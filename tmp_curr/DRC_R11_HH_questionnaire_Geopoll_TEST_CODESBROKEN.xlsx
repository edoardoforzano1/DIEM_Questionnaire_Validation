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17" fillId="5" borderId="26" applyAlignment="1" pivotButton="0" quotePrefix="0" xfId="2">
      <alignment horizontal="center" vertical="center"/>
    </xf>
    <xf numFmtId="0" fontId="20" fillId="0" borderId="30" pivotButton="0" quotePrefix="0" xfId="0"/>
    <xf numFmtId="0" fontId="20" fillId="0" borderId="31" pivotButton="0" quotePrefix="0" xfId="0"/>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20" fillId="0" borderId="62" pivotButton="0" quotePrefix="0" xfId="0"/>
    <xf numFmtId="0" fontId="33" fillId="0" borderId="34" applyAlignment="1" applyProtection="1" pivotButton="0" quotePrefix="0" xfId="3">
      <alignment horizontal="center" vertical="center" wrapText="1"/>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I82" activePane="bottomRight" state="frozen"/>
      <selection pane="topRight" activeCell="E1" sqref="E1"/>
      <selection pane="bottomLeft" activeCell="A4" sqref="A4"/>
      <selection pane="bottomRight" activeCell="O83" sqref="O83"/>
    </sheetView>
  </sheetViews>
  <sheetFormatPr baseColWidth="8" defaultColWidth="8.54296875" defaultRowHeight="21"/>
  <cols>
    <col width="13.453125" customWidth="1" style="726" min="1" max="1"/>
    <col width="32.1796875" customWidth="1" style="726" min="2" max="2"/>
    <col hidden="1" width="34.54296875" customWidth="1" style="724" min="3" max="3"/>
    <col width="87.81640625" customWidth="1" style="725" min="4" max="4"/>
    <col width="7.1796875" customWidth="1" style="726" min="5" max="5"/>
    <col width="96.1796875" customWidth="1" style="725" min="6" max="6"/>
    <col hidden="1" width="9.54296875" customWidth="1" style="726" min="7" max="7"/>
    <col width="103.7265625" customWidth="1" style="647" min="8" max="8"/>
    <col width="0.1796875" customWidth="1" style="726" min="9" max="9"/>
    <col width="17.1796875" customWidth="1" style="726" min="10" max="10"/>
    <col width="18.81640625" customWidth="1" style="726" min="11" max="11"/>
    <col width="41" customWidth="1" style="726" min="12" max="12"/>
    <col width="33" customWidth="1" style="726" min="13" max="13"/>
    <col width="23.54296875" customWidth="1" style="726" min="14" max="14"/>
    <col width="47" customWidth="1" style="726" min="15" max="15"/>
    <col width="41.54296875" customWidth="1" style="648" min="16" max="16"/>
    <col width="47.453125" customWidth="1" style="726" min="17" max="17"/>
    <col width="22.453125" customWidth="1" style="726" min="18" max="18"/>
    <col width="40.54296875" customWidth="1" style="726" min="19" max="19"/>
    <col width="15" customWidth="1" style="640" min="20" max="20"/>
    <col width="8.54296875" customWidth="1" style="641" min="21" max="21"/>
    <col width="8.54296875" customWidth="1" style="726" min="22" max="22"/>
    <col width="20.54296875" customWidth="1" style="135" min="23" max="23"/>
    <col outlineLevel="1" width="8.54296875" customWidth="1" style="726" min="24" max="24"/>
    <col width="8.54296875" customWidth="1" style="726" min="25" max="26"/>
    <col width="15.453125" customWidth="1" style="643" min="27" max="27"/>
    <col width="11.453125" customWidth="1" style="643" min="28" max="28"/>
    <col outlineLevel="1" width="10.54296875" customWidth="1" style="726" min="29" max="29"/>
    <col width="8.54296875" customWidth="1" style="726" min="30" max="30"/>
    <col width="8.54296875" customWidth="1" style="726" min="31" max="16384"/>
  </cols>
  <sheetData>
    <row r="1" ht="21.5" customHeight="1" thickBot="1">
      <c r="A1" s="722" t="inlineStr">
        <is>
          <t>GeoPoll Submission Form</t>
        </is>
      </c>
      <c r="T1" s="132" t="n"/>
      <c r="U1" s="133" t="n"/>
      <c r="W1" s="133" t="n"/>
      <c r="AA1" s="134" t="n"/>
      <c r="AB1" s="134" t="n"/>
    </row>
    <row r="2" ht="21.5" customHeight="1" thickBot="1">
      <c r="A2" s="727"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9" t="inlineStr">
        <is>
          <t>Additional notes</t>
        </is>
      </c>
      <c r="T2" s="132" t="n"/>
      <c r="U2" s="133" t="n"/>
      <c r="AA2" s="134" t="n"/>
      <c r="AB2" s="134" t="n"/>
    </row>
    <row r="3" ht="67.5" customFormat="1" customHeight="1" s="723"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08"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10"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n"/>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n"/>
      <c r="S5" s="153" t="n"/>
      <c r="T5" s="132" t="n"/>
      <c r="U5" s="133" t="n"/>
      <c r="W5" s="135" t="inlineStr">
        <is>
          <t>no</t>
        </is>
      </c>
      <c r="AA5" s="735" t="n">
        <v>0</v>
      </c>
      <c r="AB5" s="734">
        <f>IF(AA5="","",AA5*T5)</f>
        <v/>
      </c>
      <c r="AC5" s="133">
        <f>IF(W5="yes",AB5,"")</f>
        <v/>
      </c>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n"/>
      <c r="S6" s="166" t="n"/>
      <c r="T6" s="132" t="n"/>
      <c r="U6" s="133" t="n"/>
      <c r="W6" s="135" t="inlineStr">
        <is>
          <t>no</t>
        </is>
      </c>
      <c r="AA6" s="735" t="n">
        <v>14.69530773162842</v>
      </c>
      <c r="AB6" s="734">
        <f>IF(AA6="","",AA6*T6)</f>
        <v/>
      </c>
      <c r="AC6" s="133">
        <f>IF(W6="yes",AB6,"")</f>
        <v/>
      </c>
    </row>
    <row r="7" ht="42" customHeight="1">
      <c r="A7" s="155" t="inlineStr">
        <is>
          <t>NA</t>
        </is>
      </c>
      <c r="B7" s="675" t="inlineStr">
        <is>
          <t>NoAnswer</t>
        </is>
      </c>
      <c r="C7" s="156" t="inlineStr">
        <is>
          <t>calldispo_noanswer</t>
        </is>
      </c>
      <c r="D7" s="167" t="inlineStr">
        <is>
          <t xml:space="preserve">Phone rang and no one answered. Inclusive of voicemail, answering machine and temporary issues with network connection. </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n"/>
      <c r="S7" s="172" t="n"/>
      <c r="T7" s="132" t="n"/>
      <c r="U7" s="133" t="n"/>
      <c r="W7" s="135" t="inlineStr">
        <is>
          <t>no</t>
        </is>
      </c>
      <c r="AA7" s="735" t="n">
        <v>0</v>
      </c>
      <c r="AB7" s="734">
        <f>IF(AA7="","",AA7*T7)</f>
        <v/>
      </c>
      <c r="AC7" s="133">
        <f>IF(W7="yes",AB7,"")</f>
        <v/>
      </c>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n"/>
      <c r="O8" s="168" t="inlineStr">
        <is>
          <t>End Poll NonWorkingNumber</t>
        </is>
      </c>
      <c r="P8" s="169" t="n"/>
      <c r="Q8" s="170" t="inlineStr">
        <is>
          <t>NA</t>
        </is>
      </c>
      <c r="R8" s="171" t="inlineStr">
        <is>
          <t>NA</t>
        </is>
      </c>
      <c r="S8" s="172" t="n"/>
      <c r="T8" s="132" t="n"/>
      <c r="U8" s="133" t="n"/>
      <c r="AA8" s="735" t="n"/>
      <c r="AB8" s="734" t="n"/>
      <c r="AC8" s="133" t="n"/>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n"/>
      <c r="S9" s="177" t="inlineStr">
        <is>
          <t>Insert most common national languages here [max 4 for translation with GeoPoll].</t>
        </is>
      </c>
      <c r="T9" s="132" t="n"/>
      <c r="U9" s="133" t="n"/>
      <c r="W9" s="135" t="inlineStr">
        <is>
          <t>no</t>
        </is>
      </c>
      <c r="AA9" s="735" t="n">
        <v>3.103272438049316</v>
      </c>
      <c r="AB9" s="734">
        <f>IF(AA9="","",AA9*T9)</f>
        <v/>
      </c>
      <c r="AC9" s="133">
        <f>IF(W9="yes",AB9,"")</f>
        <v/>
      </c>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n"/>
      <c r="S10" s="177" t="inlineStr">
        <is>
          <t>Set the amount of incentive here, if any.</t>
        </is>
      </c>
      <c r="T10" s="132" t="n"/>
      <c r="U10" s="133" t="n"/>
      <c r="W10" s="135" t="inlineStr">
        <is>
          <t>no</t>
        </is>
      </c>
      <c r="AA10" s="735" t="n">
        <v>37.41844940185547</v>
      </c>
      <c r="AB10" s="734">
        <f>IF(AA10="","",AA10*T10)</f>
        <v/>
      </c>
      <c r="AC10" s="133">
        <f>IF(W10="yes",AB10,"")</f>
        <v/>
      </c>
    </row>
    <row r="11" ht="158.25" customFormat="1" customHeight="1" s="183">
      <c r="A11" s="155" t="inlineStr">
        <is>
          <t>NA</t>
        </is>
      </c>
      <c r="B11" s="498" t="inlineStr">
        <is>
          <t>Agree</t>
        </is>
      </c>
      <c r="C11" s="156" t="inlineStr">
        <is>
          <t>resp_agree</t>
        </is>
      </c>
      <c r="D11" s="157" t="inlineStr">
        <is>
          <t xml:space="preserve">Are you interested in participating in this survey?
[OPERATOR: SINGLE RESPONSE]
1)Yes 
2)Not now but another time in the week 
3)No </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n"/>
      <c r="S11" s="182" t="inlineStr">
        <is>
          <t xml:space="preserve">It is highly recommended to include the question id_panel if a panelist approach is used. </t>
        </is>
      </c>
      <c r="T11" s="132" t="n">
        <v>1</v>
      </c>
      <c r="U11" s="133" t="n"/>
      <c r="W11" s="135" t="inlineStr">
        <is>
          <t>no</t>
        </is>
      </c>
      <c r="X11" s="726" t="n"/>
      <c r="AA11" s="735" t="n">
        <v>3.805951595306396</v>
      </c>
      <c r="AB11" s="734">
        <f>IF(AA11="","",AA11*T11)</f>
        <v/>
      </c>
      <c r="AC11" s="133">
        <f>IF(W11="yes",AB11,"")</f>
        <v/>
      </c>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n"/>
      <c r="S12" s="166" t="n"/>
      <c r="T12" s="132" t="n">
        <v>1</v>
      </c>
      <c r="U12" s="133" t="n"/>
      <c r="W12" s="135" t="inlineStr">
        <is>
          <t>no</t>
        </is>
      </c>
      <c r="X12" s="726" t="n"/>
      <c r="AA12" s="735" t="n"/>
      <c r="AB12" s="735" t="n"/>
      <c r="AC12" s="133" t="n"/>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n"/>
      <c r="S13" s="166" t="n"/>
      <c r="T13" s="132" t="n">
        <v>1</v>
      </c>
      <c r="U13" s="133" t="n"/>
      <c r="W13" s="194" t="inlineStr">
        <is>
          <t>no</t>
        </is>
      </c>
      <c r="X13" s="726" t="n"/>
      <c r="AA13" s="735" t="n">
        <v>0</v>
      </c>
      <c r="AB13" s="734">
        <f>IF(AA13="","",AA13*T13)</f>
        <v/>
      </c>
      <c r="AC13" s="133">
        <f>IF(W13="yes",AB13,"")</f>
        <v/>
      </c>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n"/>
      <c r="S14" s="166" t="n"/>
      <c r="T14" s="132" t="n">
        <v>1</v>
      </c>
      <c r="U14" s="133" t="n"/>
      <c r="W14" s="194" t="inlineStr">
        <is>
          <t>no</t>
        </is>
      </c>
      <c r="X14" s="726" t="n"/>
      <c r="AA14" s="735" t="n">
        <v>0</v>
      </c>
      <c r="AB14" s="734">
        <f>IF(AA14="","",AA14*T14)</f>
        <v/>
      </c>
      <c r="AC14" s="133">
        <f>IF(W14="yes",AB14,"")</f>
        <v/>
      </c>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n"/>
      <c r="S15" s="166" t="n"/>
      <c r="T15" s="132" t="n">
        <v>1</v>
      </c>
      <c r="U15" s="133" t="n"/>
      <c r="W15" s="194" t="inlineStr">
        <is>
          <t>no</t>
        </is>
      </c>
      <c r="X15" s="726" t="n"/>
      <c r="AA15" s="735" t="n">
        <v>0</v>
      </c>
      <c r="AB15" s="734">
        <f>IF(AA15="","",AA15*T15)</f>
        <v/>
      </c>
      <c r="AC15" s="133">
        <f>IF(W15="yes",AB15,"")</f>
        <v/>
      </c>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n"/>
      <c r="S16" s="166" t="n"/>
      <c r="T16" s="132" t="n">
        <v>1</v>
      </c>
      <c r="U16" s="133" t="n"/>
      <c r="W16" s="194" t="inlineStr">
        <is>
          <t>no</t>
        </is>
      </c>
      <c r="X16" s="726" t="n"/>
      <c r="AA16" s="735" t="n">
        <v>0</v>
      </c>
      <c r="AB16" s="734">
        <f>IF(AA16="","",AA16*T16)</f>
        <v/>
      </c>
      <c r="AC16" s="133">
        <f>IF(W16="yes",AB16,"")</f>
        <v/>
      </c>
    </row>
    <row r="17" ht="21.5" customFormat="1" customHeight="1" s="183" thickBot="1">
      <c r="A17" s="195" t="inlineStr">
        <is>
          <t>NA</t>
        </is>
      </c>
      <c r="B17" s="551" t="inlineStr">
        <is>
          <t>Refusal</t>
        </is>
      </c>
      <c r="C17" s="196" t="inlineStr">
        <is>
          <t xml:space="preserve">NA </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n"/>
      <c r="S17" s="204" t="n"/>
      <c r="T17" s="132" t="n">
        <v>1</v>
      </c>
      <c r="U17" s="133" t="n"/>
      <c r="W17" s="194" t="inlineStr">
        <is>
          <t>no</t>
        </is>
      </c>
      <c r="X17" s="726" t="n"/>
      <c r="AA17" s="735" t="n">
        <v>0</v>
      </c>
      <c r="AB17" s="734">
        <f>IF(AA17="","",AA17*T17)</f>
        <v/>
      </c>
      <c r="AC17" s="133">
        <f>IF(W17="yes",AB17,"")</f>
        <v/>
      </c>
    </row>
    <row r="18" ht="21.5" customFormat="1" customHeight="1" s="207" thickBot="1">
      <c r="A18" s="710"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n"/>
      <c r="S19" s="217" t="n"/>
      <c r="T19" s="205">
        <f>1</f>
        <v/>
      </c>
      <c r="U19" s="133" t="n"/>
      <c r="W19" s="208" t="inlineStr">
        <is>
          <t>yes</t>
        </is>
      </c>
      <c r="X19" s="726" t="n"/>
      <c r="AA19" s="734" t="n">
        <v>25.87402725219727</v>
      </c>
      <c r="AB19" s="734">
        <f>IF(AA19="","",AA19*T19)</f>
        <v/>
      </c>
      <c r="AC19" s="133">
        <f>IF(W19="yes",AB19,"")</f>
        <v/>
      </c>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n"/>
      <c r="S20" s="217" t="n"/>
      <c r="T20" s="205">
        <f>1</f>
        <v/>
      </c>
      <c r="U20" s="133" t="n"/>
      <c r="W20" s="208" t="inlineStr">
        <is>
          <t>yes</t>
        </is>
      </c>
      <c r="X20" s="726" t="n"/>
      <c r="AA20" s="734" t="n">
        <v>8.599481582641602</v>
      </c>
      <c r="AB20" s="734">
        <f>IF(AA20="","",AA20*T20)</f>
        <v/>
      </c>
      <c r="AC20" s="133">
        <f>IF(W20="yes",AB20,"")</f>
        <v/>
      </c>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n"/>
      <c r="S21" s="217" t="n"/>
      <c r="T21" s="205">
        <f>1</f>
        <v/>
      </c>
      <c r="U21" s="133" t="n"/>
      <c r="W21" s="222" t="inlineStr">
        <is>
          <t>yes</t>
        </is>
      </c>
      <c r="X21" s="726" t="n"/>
      <c r="AA21" s="734" t="n">
        <v>9.890718460083008</v>
      </c>
      <c r="AB21" s="734">
        <f>IF(AA21="","",AA21*T21)</f>
        <v/>
      </c>
      <c r="AC21" s="133">
        <f>IF(W21="yes",AB21,"")</f>
        <v/>
      </c>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n"/>
      <c r="S22" s="166" t="n"/>
      <c r="T22" s="205">
        <f>1</f>
        <v/>
      </c>
      <c r="U22" s="133" t="n"/>
      <c r="W22" s="222" t="inlineStr">
        <is>
          <t>yes</t>
        </is>
      </c>
      <c r="X22" s="726" t="n"/>
      <c r="AA22" s="734" t="n">
        <v>1.715648174285889</v>
      </c>
      <c r="AB22" s="734">
        <f>IF(AA22="","",AA22*T22)</f>
        <v/>
      </c>
      <c r="AC22" s="133">
        <f>IF(W22="yes",AB22,"")</f>
        <v/>
      </c>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n"/>
      <c r="S23" s="233" t="n"/>
      <c r="T23" s="234">
        <f>1</f>
        <v/>
      </c>
      <c r="U23" s="235" t="n"/>
      <c r="W23" s="237" t="inlineStr">
        <is>
          <t>yes - panel</t>
        </is>
      </c>
      <c r="X23" s="238" t="n"/>
      <c r="AA23" s="736" t="n">
        <v>6.375236988067627</v>
      </c>
      <c r="AB23" s="734">
        <f>IF(AA23="","",AA23*T23)</f>
        <v/>
      </c>
      <c r="AC23" s="133">
        <f>IF(W23="yes",AB23,"")</f>
        <v/>
      </c>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n"/>
      <c r="S24" s="233" t="n"/>
      <c r="T24" s="234">
        <f>1</f>
        <v/>
      </c>
      <c r="U24" s="235" t="n"/>
      <c r="W24" s="237" t="inlineStr">
        <is>
          <t>yes - panel</t>
        </is>
      </c>
      <c r="X24" s="238" t="n"/>
      <c r="AA24" s="736" t="n">
        <v>28.70000076293945</v>
      </c>
      <c r="AB24" s="734">
        <f>IF(AA24="","",AA24*T24)</f>
        <v/>
      </c>
      <c r="AC24" s="133">
        <f>IF(W24="yes",AB24,"")</f>
        <v/>
      </c>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n"/>
      <c r="S25" s="252" t="n"/>
      <c r="T25" s="234">
        <f>1</f>
        <v/>
      </c>
      <c r="U25" s="235" t="n"/>
      <c r="W25" s="237" t="inlineStr">
        <is>
          <t>yes - panel</t>
        </is>
      </c>
      <c r="X25" s="238" t="n"/>
      <c r="AA25" s="736" t="n">
        <v>10.14181709289551</v>
      </c>
      <c r="AB25" s="734">
        <f>IF(AA25="","",AA25*T25)</f>
        <v/>
      </c>
      <c r="AC25" s="133">
        <f>IF(W25="yes",AB25,"")</f>
        <v/>
      </c>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n"/>
      <c r="S26" s="252" t="n"/>
      <c r="T26" s="234">
        <f>1</f>
        <v/>
      </c>
      <c r="U26" s="235" t="n"/>
      <c r="W26" s="237" t="inlineStr">
        <is>
          <t>yes - panel</t>
        </is>
      </c>
      <c r="X26" s="238" t="n"/>
      <c r="AA26" s="736" t="n">
        <v>21.65998268127441</v>
      </c>
      <c r="AB26" s="734">
        <f>IF(AA26="","",AA26*T26)</f>
        <v/>
      </c>
      <c r="AC26" s="133">
        <f>IF(W26="yes",AB26,"")</f>
        <v/>
      </c>
    </row>
    <row r="27" ht="14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n"/>
      <c r="S27" s="252" t="n"/>
      <c r="T27" s="234">
        <f>1</f>
        <v/>
      </c>
      <c r="U27" s="235" t="n"/>
      <c r="W27" s="237" t="inlineStr">
        <is>
          <t>yes - panel</t>
        </is>
      </c>
      <c r="X27" s="238" t="n"/>
      <c r="AA27" s="736" t="n">
        <v>11.82179641723633</v>
      </c>
      <c r="AB27" s="734">
        <f>IF(AA27="","",AA27*T27)</f>
        <v/>
      </c>
      <c r="AC27" s="133">
        <f>IF(W27="yes",AB27,"")</f>
        <v/>
      </c>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n"/>
      <c r="S28" s="252" t="n"/>
      <c r="T28" s="234">
        <f>1</f>
        <v/>
      </c>
      <c r="U28" s="235" t="n"/>
      <c r="W28" s="237" t="inlineStr">
        <is>
          <t>yes - panel</t>
        </is>
      </c>
      <c r="X28" s="238" t="n"/>
      <c r="AA28" s="736" t="n">
        <v>3.163594007492065</v>
      </c>
      <c r="AB28" s="734">
        <f>IF(AA28="","",AA28*T28)</f>
        <v/>
      </c>
      <c r="AC28" s="133">
        <f>IF(W28="yes",AB28,"")</f>
        <v/>
      </c>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n"/>
      <c r="S29" s="252" t="n"/>
      <c r="T29" s="234">
        <f>1</f>
        <v/>
      </c>
      <c r="U29" s="235" t="n"/>
      <c r="W29" s="237" t="inlineStr">
        <is>
          <t>yes - panel</t>
        </is>
      </c>
      <c r="X29" s="238" t="n"/>
      <c r="AA29" s="736" t="n">
        <v>10.83014392852783</v>
      </c>
      <c r="AB29" s="734">
        <f>IF(AA29="","",AA29*T29)</f>
        <v/>
      </c>
      <c r="AC29" s="133">
        <f>IF(W29="yes",AB29,"")</f>
        <v/>
      </c>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n"/>
      <c r="S30" s="252" t="n"/>
      <c r="T30" s="234">
        <f>1</f>
        <v/>
      </c>
      <c r="U30" s="235" t="n"/>
      <c r="W30" s="237" t="inlineStr">
        <is>
          <t>yes - panel</t>
        </is>
      </c>
      <c r="X30" s="238" t="n"/>
      <c r="AA30" s="736" t="n">
        <v>11.26041698455811</v>
      </c>
      <c r="AB30" s="734">
        <f>IF(AA30="","",AA30*T30)</f>
        <v/>
      </c>
      <c r="AC30" s="133">
        <f>IF(W30="yes",AB30,"")</f>
        <v/>
      </c>
    </row>
    <row r="31" ht="409.5" customFormat="1" customHeight="1" s="183">
      <c r="A31" s="145">
        <f>A30+1</f>
        <v/>
      </c>
      <c r="B31" s="146" t="inlineStr">
        <is>
          <t>hh_admin1</t>
        </is>
      </c>
      <c r="C31" s="156" t="inlineStr">
        <is>
          <t>hh_admin1</t>
        </is>
      </c>
      <c r="D31" s="267" t="inlineStr">
        <is>
          <t xml:space="preserve">Currently, in which $ADMIN1$ does your household reside?
[OPERATOR: SINGLE SELECTION.]
[HINT: HOUSEHOLD CONSISTS OF ALL MEMBERS LIVING TOGETHER, SHARING RESOURCES &amp; EATING FROM THE SAME POT.]
1)ADMIN1
2)DON'T KNOW
3)REFUSED </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n"/>
      <c r="R31" s="152" t="n"/>
      <c r="S31" s="280" t="n"/>
      <c r="T31" s="205">
        <f>1</f>
        <v/>
      </c>
      <c r="U31" s="133" t="n"/>
      <c r="W31" s="222" t="inlineStr">
        <is>
          <t>yes</t>
        </is>
      </c>
      <c r="X31" s="726" t="n"/>
      <c r="AA31" s="734" t="n">
        <v>13.95725891910985</v>
      </c>
      <c r="AB31" s="734">
        <f>IF(AA31="","",AA31*T31)</f>
        <v/>
      </c>
      <c r="AC31" s="133">
        <f>IF(W31="yes",AB31,"")</f>
        <v/>
      </c>
    </row>
    <row r="32" ht="354" customFormat="1" customHeight="1" s="183">
      <c r="A32" s="145">
        <f>A31+1</f>
        <v/>
      </c>
      <c r="B32" s="498" t="inlineStr">
        <is>
          <t>hh_admin2_1</t>
        </is>
      </c>
      <c r="C32" s="281" t="inlineStr">
        <is>
          <t>hh_admin2_6</t>
        </is>
      </c>
      <c r="D32" s="267" t="inlineStr">
        <is>
          <t xml:space="preserve">Currently, in which $ADMIN2$ does your household reside?
[OPERATOR: SINGLE RESPONSE.]
1)ADMIN2
2)DON'T KNOW
3)REFUSED </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n"/>
      <c r="R32" s="152" t="n"/>
      <c r="S32" s="280" t="n"/>
      <c r="T32" s="205" t="n"/>
      <c r="U32" s="133" t="n"/>
      <c r="W32" s="222" t="n"/>
      <c r="X32" s="726" t="n"/>
      <c r="AA32" s="734" t="n"/>
      <c r="AB32" s="734" t="n"/>
      <c r="AC32" s="133" t="n"/>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n"/>
      <c r="R33" s="285" t="n"/>
      <c r="S33" s="286" t="n"/>
      <c r="T33" s="734" t="n"/>
      <c r="U33" s="734" t="n"/>
      <c r="V33" s="133" t="n"/>
      <c r="X33" s="135" t="n"/>
      <c r="Y33" s="726" t="n"/>
      <c r="AB33" s="734" t="n"/>
      <c r="AC33" s="734" t="n"/>
      <c r="AD33" s="133" t="n"/>
    </row>
    <row r="34" ht="399" customFormat="1" customHeight="1" s="183">
      <c r="A34" s="145">
        <f>A33+1</f>
        <v/>
      </c>
      <c r="B34" s="287" t="inlineStr">
        <is>
          <t>hh_agricactivity</t>
        </is>
      </c>
      <c r="C34" s="287" t="inlineStr">
        <is>
          <t>hh_agricactivity</t>
        </is>
      </c>
      <c r="D34" s="157"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 xml:space="preserve">if hh_agricactivity = 1-4, go to resp_id or hh_fish. Otherwise, the respondent is ineligible. </t>
        </is>
      </c>
      <c r="R34" s="292" t="n"/>
      <c r="S34" s="293" t="n"/>
      <c r="T34" s="205">
        <f>1</f>
        <v/>
      </c>
      <c r="U34" s="133" t="n"/>
      <c r="W34" s="222" t="inlineStr">
        <is>
          <t>yes</t>
        </is>
      </c>
      <c r="X34" s="726" t="n"/>
      <c r="AA34" s="734" t="n">
        <v>24.41083908081055</v>
      </c>
      <c r="AB34" s="734">
        <f>IF(AA34="","",AA34*T34)</f>
        <v/>
      </c>
      <c r="AC34" s="133">
        <f>IF(W34="yes",AB34,"")</f>
        <v/>
      </c>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 xml:space="preserve">if hh_fish = 1-2, go to resp_id. Otherwise, the respondent is ineligible. </t>
        </is>
      </c>
      <c r="R35" s="298" t="n"/>
      <c r="S35" s="301" t="inlineStr">
        <is>
          <t xml:space="preserve">Use this question if the survey seeks to gather important information on fisheries and/or aquaculture in the country. </t>
        </is>
      </c>
      <c r="T35" s="302" t="n"/>
      <c r="U35" s="303" t="n"/>
      <c r="W35" s="305" t="n"/>
      <c r="X35" s="306" t="n"/>
      <c r="AA35" s="737" t="n"/>
      <c r="AB35" s="737" t="n"/>
      <c r="AC35" s="303" t="n"/>
    </row>
    <row r="36" ht="21.5" customFormat="1" customHeight="1" s="183" thickBot="1">
      <c r="A36" s="710"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26"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n"/>
      <c r="S37" s="286" t="n"/>
      <c r="T37" s="314" t="n">
        <v>1</v>
      </c>
      <c r="U37" s="315" t="n"/>
      <c r="W37" s="317" t="inlineStr">
        <is>
          <t>yes</t>
        </is>
      </c>
      <c r="X37" s="318" t="n"/>
      <c r="AA37" s="738" t="n">
        <v>10.5</v>
      </c>
      <c r="AB37" s="734">
        <f>IF(AA37="","",AA37*T37)</f>
        <v/>
      </c>
      <c r="AC37" s="315">
        <f>IF(W37="yes",AB37,"")</f>
        <v/>
      </c>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n"/>
      <c r="S38" s="166" t="n"/>
      <c r="T38" s="132">
        <f>1</f>
        <v/>
      </c>
      <c r="U38" s="133" t="n"/>
      <c r="W38" s="194" t="inlineStr">
        <is>
          <t>no</t>
        </is>
      </c>
      <c r="X38" s="726" t="n"/>
      <c r="AA38" s="735" t="n">
        <v>7.02484130859375</v>
      </c>
      <c r="AB38" s="735">
        <f>IF(AA38="","",AA38*T38)</f>
        <v/>
      </c>
      <c r="AC38" s="133">
        <f>IF(W38="yes",AB38,"")</f>
        <v/>
      </c>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n"/>
      <c r="S39" s="327" t="n"/>
      <c r="T39" s="205">
        <f>1</f>
        <v/>
      </c>
      <c r="U39" s="133" t="n"/>
      <c r="W39" s="208" t="inlineStr">
        <is>
          <t>yes</t>
        </is>
      </c>
      <c r="X39" s="726" t="n"/>
      <c r="AA39" s="734" t="n">
        <v>10.5045337677002</v>
      </c>
      <c r="AB39" s="734">
        <f>IF(AA39="","",AA39*T39)</f>
        <v/>
      </c>
      <c r="AC39" s="133">
        <f>IF(W39="yes",AB39,"")</f>
        <v/>
      </c>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n"/>
      <c r="S40" s="293" t="n"/>
      <c r="T40" s="205">
        <f>1</f>
        <v/>
      </c>
      <c r="U40" s="133" t="n"/>
      <c r="W40" s="208" t="inlineStr">
        <is>
          <t>yes</t>
        </is>
      </c>
      <c r="X40" s="726" t="n"/>
      <c r="AA40" s="734" t="n">
        <v>12.42189884185791</v>
      </c>
      <c r="AB40" s="734">
        <f>IF(AA40="","",AA40*T40)</f>
        <v/>
      </c>
      <c r="AC40" s="133">
        <f>IF(W40="yes",AB40,"")</f>
        <v/>
      </c>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 xml:space="preserve">
1-12 = hh_wealth_toilet</t>
        </is>
      </c>
      <c r="P41" s="330" t="n"/>
      <c r="Q41" s="324" t="inlineStr">
        <is>
          <t>For any response, go to [income_main OR other optional question]</t>
        </is>
      </c>
      <c r="R41" s="331" t="n"/>
      <c r="S41" s="721"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26" t="n"/>
      <c r="AA41" s="735" t="n">
        <v>16.61565589904785</v>
      </c>
      <c r="AB41" s="735">
        <f>IF(AA41="","",AA41*T41)</f>
        <v/>
      </c>
      <c r="AC41" s="133">
        <f>IF(W41="yes",AB41,"")</f>
        <v/>
      </c>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 xml:space="preserve">
1-7 = hh_wealth_light</t>
        </is>
      </c>
      <c r="P42" s="330" t="n"/>
      <c r="Q42" s="324" t="inlineStr">
        <is>
          <t>For any response, go to [income_main OR other optional question]</t>
        </is>
      </c>
      <c r="R42" s="331" t="n"/>
      <c r="S42" s="739" t="n"/>
      <c r="T42" s="132">
        <f>1</f>
        <v/>
      </c>
      <c r="U42" s="133" t="n"/>
      <c r="W42" s="194" t="inlineStr">
        <is>
          <t>yes</t>
        </is>
      </c>
      <c r="X42" s="726" t="n"/>
      <c r="AA42" s="735" t="n">
        <v>12.60002136230469</v>
      </c>
      <c r="AB42" s="735">
        <f>IF(AA42="","",AA42*T42)</f>
        <v/>
      </c>
      <c r="AC42" s="133">
        <f>IF(W42="yes",AB42,"")</f>
        <v/>
      </c>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 xml:space="preserve">
1-8 = hh_size</t>
        </is>
      </c>
      <c r="P43" s="333" t="n"/>
      <c r="Q43" s="324" t="inlineStr">
        <is>
          <t>For any response, go to [income_main OR other optional question]</t>
        </is>
      </c>
      <c r="R43" s="331" t="n"/>
      <c r="S43" s="740" t="n"/>
      <c r="T43" s="132">
        <f>1</f>
        <v/>
      </c>
      <c r="U43" s="133" t="n"/>
      <c r="W43" s="194" t="inlineStr">
        <is>
          <t>yes</t>
        </is>
      </c>
      <c r="X43" s="726" t="n"/>
      <c r="AA43" s="735" t="n">
        <v>11.65592288970947</v>
      </c>
      <c r="AB43" s="735">
        <f>IF(AA43="","",AA43*T43)</f>
        <v/>
      </c>
      <c r="AC43" s="133">
        <f>IF(W43="yes",AB43,"")</f>
        <v/>
      </c>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n"/>
      <c r="S44" s="166" t="n"/>
      <c r="T44" s="132">
        <f>1</f>
        <v/>
      </c>
      <c r="U44" s="133" t="n"/>
      <c r="W44" s="194" t="inlineStr">
        <is>
          <t>no</t>
        </is>
      </c>
      <c r="X44" s="726" t="n"/>
      <c r="AA44" s="735" t="n">
        <v>16.90229415893555</v>
      </c>
      <c r="AB44" s="735">
        <f>IF(AA44="","",AA44*T44)</f>
        <v/>
      </c>
      <c r="AC44" s="133">
        <f>IF(W44="yes",AB44,"")</f>
        <v/>
      </c>
    </row>
    <row r="45" ht="315" customFormat="1" customHeight="1" s="183">
      <c r="A45" s="693">
        <f>A44+1</f>
        <v/>
      </c>
      <c r="B45" s="694" t="inlineStr">
        <is>
          <t>o_hh_size_005</t>
        </is>
      </c>
      <c r="C45" s="695" t="n"/>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n"/>
      <c r="O45" s="694" t="inlineStr">
        <is>
          <t>0-50 = o_hh_size_613
888-888 = o_hh_size_613
999-999 = o_hh_size_613</t>
        </is>
      </c>
      <c r="P45" s="323" t="n"/>
      <c r="Q45" s="324" t="n"/>
      <c r="R45" s="152" t="n"/>
      <c r="S45" s="166" t="n"/>
      <c r="T45" s="132" t="n"/>
      <c r="U45" s="133" t="n"/>
      <c r="W45" s="194" t="n"/>
      <c r="X45" s="726" t="n"/>
      <c r="AA45" s="735" t="n"/>
      <c r="AB45" s="735" t="n"/>
      <c r="AC45" s="133" t="n"/>
    </row>
    <row r="46" ht="186" customFormat="1" customHeight="1" s="183">
      <c r="A46" s="693">
        <f>A45+1</f>
        <v/>
      </c>
      <c r="B46" s="694" t="inlineStr">
        <is>
          <t>o_hh_size_613</t>
        </is>
      </c>
      <c r="C46" s="694" t="n"/>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n"/>
      <c r="O46" s="694" t="inlineStr">
        <is>
          <t>0-50 = o_hh_size_1417
888-888 = o_hh_size_1417
999-999 = o_hh_size_1417</t>
        </is>
      </c>
      <c r="P46" s="323" t="n"/>
      <c r="Q46" s="696" t="inlineStr">
        <is>
          <t>For any response, go to [next question]</t>
        </is>
      </c>
      <c r="R46" s="152" t="n"/>
      <c r="S46" s="166" t="n"/>
      <c r="T46" s="132" t="n"/>
      <c r="U46" s="133" t="n"/>
      <c r="W46" s="194" t="n"/>
      <c r="X46" s="726" t="n"/>
      <c r="AA46" s="735" t="n"/>
      <c r="AB46" s="735" t="n"/>
      <c r="AC46" s="133" t="n"/>
    </row>
    <row r="47" ht="186" customFormat="1" customHeight="1" s="183">
      <c r="A47" s="693">
        <f>A46+1</f>
        <v/>
      </c>
      <c r="B47" s="697" t="inlineStr">
        <is>
          <t>o_hh_size_1417</t>
        </is>
      </c>
      <c r="C47" s="695" t="n"/>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n"/>
      <c r="O47" s="700" t="inlineStr">
        <is>
          <t>0-50 = o_hh_size_1824
888-888 = o_hh_size_1824
999-999 = o_hh_size_1824</t>
        </is>
      </c>
      <c r="P47" s="323" t="n"/>
      <c r="Q47" s="696" t="inlineStr">
        <is>
          <t>For any response, go to [next question]</t>
        </is>
      </c>
      <c r="R47" s="152" t="n"/>
      <c r="S47" s="166" t="n"/>
      <c r="T47" s="132" t="n"/>
      <c r="U47" s="133" t="n"/>
      <c r="W47" s="194" t="n"/>
      <c r="X47" s="726" t="n"/>
      <c r="AA47" s="735" t="n"/>
      <c r="AB47" s="735" t="n"/>
      <c r="AC47" s="133" t="n"/>
    </row>
    <row r="48" ht="217" customFormat="1" customHeight="1" s="183">
      <c r="A48" s="693">
        <f>A47+1</f>
        <v/>
      </c>
      <c r="B48" s="697" t="inlineStr">
        <is>
          <t>o_hh_size_1824</t>
        </is>
      </c>
      <c r="C48" s="695" t="n"/>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n"/>
      <c r="O48" s="700" t="inlineStr">
        <is>
          <t>0-50 = o_hh_size_2564
888-888 = o_hh_size_2564
999-999 = o_hh_size_2564</t>
        </is>
      </c>
      <c r="P48" s="353" t="n"/>
      <c r="Q48" s="701" t="inlineStr">
        <is>
          <t>For any response, go to [next question]</t>
        </is>
      </c>
      <c r="R48" s="152" t="n"/>
      <c r="S48" s="166" t="n"/>
      <c r="T48" s="132" t="n"/>
      <c r="U48" s="133" t="n"/>
      <c r="W48" s="194" t="n"/>
      <c r="X48" s="726" t="n"/>
      <c r="AA48" s="735" t="n"/>
      <c r="AB48" s="735" t="n"/>
      <c r="AC48" s="133" t="n"/>
    </row>
    <row r="49" ht="232.5" customFormat="1" customHeight="1" s="183">
      <c r="A49" s="693">
        <f>A48+1</f>
        <v/>
      </c>
      <c r="B49" s="697" t="inlineStr">
        <is>
          <t>o_hh_size_2564</t>
        </is>
      </c>
      <c r="C49" s="695" t="n"/>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n"/>
      <c r="O49" s="700" t="inlineStr">
        <is>
          <t>0-50 = o_hh_size_65
888-888 = o_hh_size_65
999-999 = o_hh_size_65</t>
        </is>
      </c>
      <c r="P49" s="353" t="n"/>
      <c r="Q49" s="701" t="inlineStr">
        <is>
          <t>For any response, go to [next question]</t>
        </is>
      </c>
      <c r="R49" s="152" t="n"/>
      <c r="S49" s="166" t="n"/>
      <c r="T49" s="132" t="n"/>
      <c r="U49" s="133" t="n"/>
      <c r="W49" s="194" t="n"/>
      <c r="X49" s="726" t="n"/>
      <c r="AA49" s="735" t="n"/>
      <c r="AB49" s="735" t="n"/>
      <c r="AC49" s="133" t="n"/>
    </row>
    <row r="50" ht="232.5" customFormat="1" customHeight="1" s="183">
      <c r="A50" s="693">
        <f>A49+1</f>
        <v/>
      </c>
      <c r="B50" s="702" t="inlineStr">
        <is>
          <t>o_hh_size_65</t>
        </is>
      </c>
      <c r="C50" s="695" t="n"/>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n"/>
      <c r="O50" s="700" t="inlineStr">
        <is>
          <t>0-50 = o_pregnant
888-888 = o_pregnant
999-999 = o_pregnant</t>
        </is>
      </c>
      <c r="P50" s="353" t="n"/>
      <c r="Q50" s="701" t="inlineStr">
        <is>
          <t>For any response, go to [next question]</t>
        </is>
      </c>
      <c r="R50" s="152" t="n"/>
      <c r="S50" s="166" t="n"/>
      <c r="T50" s="132" t="n"/>
      <c r="U50" s="133" t="n"/>
      <c r="W50" s="194" t="n"/>
      <c r="X50" s="726" t="n"/>
      <c r="AA50" s="735" t="n"/>
      <c r="AB50" s="735" t="n"/>
      <c r="AC50" s="133" t="n"/>
    </row>
    <row r="51" ht="124" customFormat="1" customHeight="1" s="183">
      <c r="A51" s="693">
        <f>A50+1</f>
        <v/>
      </c>
      <c r="B51" s="702" t="inlineStr">
        <is>
          <t>o_pregnant_lactating</t>
        </is>
      </c>
      <c r="C51" s="695" t="n"/>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n"/>
      <c r="O51" s="703" t="inlineStr">
        <is>
          <t>1-4=hh_asset_prod</t>
        </is>
      </c>
      <c r="P51" s="353" t="n"/>
      <c r="Q51" s="704" t="n"/>
      <c r="R51" s="152" t="n"/>
      <c r="S51" s="166" t="n"/>
      <c r="T51" s="132" t="n"/>
      <c r="U51" s="133" t="n"/>
      <c r="W51" s="194" t="n"/>
      <c r="X51" s="726" t="n"/>
      <c r="AA51" s="735" t="n"/>
      <c r="AB51" s="735" t="n"/>
      <c r="AC51" s="133" t="n"/>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n"/>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26" t="n"/>
      <c r="AA52" s="735" t="n">
        <v>16.95780372619629</v>
      </c>
      <c r="AB52" s="735">
        <f>IF(AA52="","",AA52*T52)</f>
        <v/>
      </c>
      <c r="AC52" s="133">
        <f>IF(W52="yes",AB52,"")</f>
        <v/>
      </c>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n"/>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26" t="n"/>
      <c r="AA53" s="735" t="n">
        <v>11.02202892303467</v>
      </c>
      <c r="AB53" s="735">
        <f>IF(AA53="","",AA53*T53)</f>
        <v/>
      </c>
      <c r="AC53" s="133">
        <f>IF(W53="yes",AB53,"")</f>
        <v/>
      </c>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n"/>
      <c r="S54" s="347" t="n"/>
      <c r="T54" s="132" t="n"/>
      <c r="U54" s="133" t="n"/>
      <c r="W54" s="194" t="inlineStr">
        <is>
          <t>yes</t>
        </is>
      </c>
      <c r="X54" s="726" t="n"/>
      <c r="AA54" s="735" t="n"/>
      <c r="AB54" s="735" t="n"/>
      <c r="AC54" s="133" t="n"/>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n"/>
      <c r="S55" s="347" t="n"/>
      <c r="T55" s="132" t="n"/>
      <c r="U55" s="133" t="n"/>
      <c r="W55" s="194" t="inlineStr">
        <is>
          <t>yes</t>
        </is>
      </c>
      <c r="X55" s="726" t="n"/>
      <c r="AA55" s="735" t="n"/>
      <c r="AB55" s="735" t="n"/>
      <c r="AC55" s="133" t="n"/>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 xml:space="preserve">For any response, go to hh_residencecomp. </t>
        </is>
      </c>
      <c r="R56" s="152" t="n"/>
      <c r="S56" s="347" t="n"/>
      <c r="T56" s="132" t="n"/>
      <c r="U56" s="133" t="n"/>
      <c r="W56" s="194" t="inlineStr">
        <is>
          <t>yes</t>
        </is>
      </c>
      <c r="X56" s="726" t="n"/>
      <c r="AA56" s="735" t="n"/>
      <c r="AB56" s="735" t="n"/>
      <c r="AC56" s="133" t="n"/>
    </row>
    <row r="57" ht="409.5" customFormat="1" customHeight="1" s="183">
      <c r="A57" s="145">
        <f>A56+1</f>
        <v/>
      </c>
      <c r="B57" s="498" t="inlineStr">
        <is>
          <t>hh_disp_impact</t>
        </is>
      </c>
      <c r="C57" s="354" t="inlineStr">
        <is>
          <t xml:space="preserve">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
</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n"/>
      <c r="S57" s="347" t="n"/>
      <c r="T57" s="132" t="n"/>
      <c r="U57" s="133" t="n"/>
      <c r="W57" s="194" t="n"/>
      <c r="X57" s="726" t="n"/>
      <c r="AA57" s="735" t="n"/>
      <c r="AB57" s="735" t="n"/>
      <c r="AC57" s="133" t="n"/>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n"/>
      <c r="S58" s="347" t="n"/>
      <c r="T58" s="132" t="n"/>
      <c r="U58" s="133" t="n"/>
      <c r="W58" s="194" t="inlineStr">
        <is>
          <t>yes</t>
        </is>
      </c>
      <c r="X58" s="726" t="n"/>
      <c r="AA58" s="735" t="n"/>
      <c r="AB58" s="735" t="n"/>
      <c r="AC58" s="133" t="n"/>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n"/>
      <c r="S59" s="347" t="n"/>
      <c r="T59" s="132" t="n"/>
      <c r="U59" s="133" t="n"/>
      <c r="W59" s="194" t="n"/>
      <c r="X59" s="726" t="n"/>
      <c r="AA59" s="735" t="n"/>
      <c r="AB59" s="735" t="n"/>
      <c r="AC59" s="133" t="n"/>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n"/>
      <c r="S60" s="347" t="n"/>
      <c r="T60" s="132" t="n"/>
      <c r="U60" s="133" t="n"/>
      <c r="W60" s="194" t="n"/>
      <c r="X60" s="726" t="n"/>
      <c r="AA60" s="735" t="n"/>
      <c r="AB60" s="735" t="n"/>
      <c r="AC60" s="133" t="n"/>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n"/>
      <c r="S61" s="347" t="n"/>
      <c r="T61" s="132" t="n"/>
      <c r="U61" s="133" t="n"/>
      <c r="W61" s="194" t="n"/>
      <c r="X61" s="726" t="n"/>
      <c r="AA61" s="735" t="n"/>
      <c r="AB61" s="735" t="n"/>
      <c r="AC61" s="133" t="n"/>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n"/>
      <c r="S62" s="347" t="n"/>
      <c r="T62" s="132" t="n"/>
      <c r="U62" s="133" t="n"/>
      <c r="W62" s="194" t="n"/>
      <c r="X62" s="726" t="n"/>
      <c r="AA62" s="735" t="n"/>
      <c r="AB62" s="735" t="n"/>
      <c r="AC62" s="133" t="n"/>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n"/>
      <c r="S63" s="347" t="n"/>
      <c r="T63" s="132" t="n"/>
      <c r="U63" s="133" t="n"/>
      <c r="W63" s="194" t="n"/>
      <c r="X63" s="726" t="n"/>
      <c r="AA63" s="735" t="n"/>
      <c r="AB63" s="735" t="n"/>
      <c r="AC63" s="133" t="n"/>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n"/>
      <c r="S64" s="384" t="n"/>
      <c r="T64" s="385" t="n"/>
      <c r="U64" s="386" t="n"/>
      <c r="W64" s="388" t="n"/>
      <c r="X64" s="389" t="n"/>
      <c r="AA64" s="741" t="n"/>
      <c r="AB64" s="741" t="n"/>
      <c r="AC64" s="386" t="n"/>
    </row>
    <row r="65" ht="21.5" customFormat="1" customHeight="1" s="207" thickBot="1">
      <c r="A65" s="710"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n"/>
      <c r="S66" s="327" t="n"/>
      <c r="T66" s="205">
        <f>1</f>
        <v/>
      </c>
      <c r="U66" s="133" t="n"/>
      <c r="W66" s="208" t="inlineStr">
        <is>
          <t>yes</t>
        </is>
      </c>
      <c r="X66" s="726" t="n"/>
      <c r="AA66" s="734" t="n">
        <v>31.88833427429199</v>
      </c>
      <c r="AB66" s="734">
        <f>IF(AA66="","",AA66*T66)</f>
        <v/>
      </c>
      <c r="AC66" s="133">
        <f>IF(W66="yes",AB66,"")</f>
        <v/>
      </c>
    </row>
    <row r="67" ht="189" customFormat="1" customHeight="1" s="183">
      <c r="A67" s="145">
        <f>A66+1</f>
        <v/>
      </c>
      <c r="B67" s="146" t="inlineStr">
        <is>
          <t>income_main_crop_check</t>
        </is>
      </c>
      <c r="C67" s="146" t="inlineStr">
        <is>
          <t>income_main_crop_check</t>
        </is>
      </c>
      <c r="D67" s="162" t="inlineStr">
        <is>
          <t xml:space="preserve">Are the crops sold also produced by you or anyone in your household?
[OPERATOR: SINGLE RESPONSE.]
1)YES
2)NO
3)DON'T KNOW
4)REFUSED </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n"/>
      <c r="S67" s="327" t="n"/>
      <c r="T67" s="205">
        <f>1</f>
        <v/>
      </c>
      <c r="U67" s="133" t="n"/>
      <c r="W67" s="208" t="inlineStr">
        <is>
          <t>yes</t>
        </is>
      </c>
      <c r="X67" s="726" t="n"/>
      <c r="AA67" s="734" t="n">
        <v>8</v>
      </c>
      <c r="AB67" s="734">
        <f>IF(AA67="","",AA67*T67)</f>
        <v/>
      </c>
      <c r="AC67" s="133">
        <f>IF(W67="yes",AB67,"")</f>
        <v/>
      </c>
    </row>
    <row r="68" ht="189" customFormat="1" customHeight="1" s="183">
      <c r="A68" s="145">
        <f>A67+1</f>
        <v/>
      </c>
      <c r="B68" s="146" t="inlineStr">
        <is>
          <t>income_main_ls_check</t>
        </is>
      </c>
      <c r="C68" s="146" t="inlineStr">
        <is>
          <t>income_main_ls_check</t>
        </is>
      </c>
      <c r="D68" s="397" t="inlineStr">
        <is>
          <t xml:space="preserve">Are the livestock or livestock products sold also produced by you or anyone in your household?
[OPERATOR: SINGLE RESPONSE.]
1)YES
2)NO
3)DON'T KNOW
4)REFUSED </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n"/>
      <c r="S68" s="327" t="n"/>
      <c r="T68" s="205">
        <f>1</f>
        <v/>
      </c>
      <c r="U68" s="133" t="n"/>
      <c r="W68" s="208" t="inlineStr">
        <is>
          <t>yes</t>
        </is>
      </c>
      <c r="X68" s="726" t="n"/>
      <c r="AA68" s="734" t="n">
        <v>8</v>
      </c>
      <c r="AB68" s="734">
        <f>IF(AA68="","",AA68*T68)</f>
        <v/>
      </c>
      <c r="AC68" s="133">
        <f>IF(W68="yes",AB68,"")</f>
        <v/>
      </c>
    </row>
    <row r="69" ht="189" customFormat="1" customHeight="1" s="183">
      <c r="A69" s="145">
        <f>A68+1</f>
        <v/>
      </c>
      <c r="B69" s="146" t="inlineStr">
        <is>
          <t>income_main_fish_check</t>
        </is>
      </c>
      <c r="C69" s="146" t="inlineStr">
        <is>
          <t>income_main_fish_check</t>
        </is>
      </c>
      <c r="D69" s="162" t="inlineStr">
        <is>
          <t xml:space="preserve">Are the fish or aquatic products sold also captured/harvested by you or anyone in your household?
[OPERATOR: SINGLE RESPONSE.]
1)YES
2)NO
3)DON'T KNOW
4)REFUSED </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n"/>
      <c r="S69" s="327" t="n"/>
      <c r="T69" s="205">
        <f>1</f>
        <v/>
      </c>
      <c r="U69" s="133" t="n"/>
      <c r="W69" s="208" t="inlineStr">
        <is>
          <t>yes</t>
        </is>
      </c>
      <c r="X69" s="726" t="n"/>
      <c r="AA69" s="734" t="n">
        <v>8</v>
      </c>
      <c r="AB69" s="734">
        <f>IF(AA69="","",AA69*T69)</f>
        <v/>
      </c>
      <c r="AC69" s="133">
        <f>IF(W69="yes",AB69,"")</f>
        <v/>
      </c>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n"/>
      <c r="S70" s="718" t="inlineStr">
        <is>
          <t>We recommend using this pair of questions together.</t>
        </is>
      </c>
      <c r="T70" s="132">
        <f>1</f>
        <v/>
      </c>
      <c r="U70" s="133" t="n"/>
      <c r="W70" s="194" t="inlineStr">
        <is>
          <t>no</t>
        </is>
      </c>
      <c r="X70" s="726" t="n"/>
      <c r="AA70" s="735" t="n">
        <v>31.96376609802246</v>
      </c>
      <c r="AB70" s="735">
        <f>IF(AA70="","",AA70*T70)</f>
        <v/>
      </c>
      <c r="AC70" s="133">
        <f>IF(W70="yes",AB70,"")</f>
        <v/>
      </c>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n"/>
      <c r="S71" s="740" t="n"/>
      <c r="T71" s="408">
        <f>1</f>
        <v/>
      </c>
      <c r="U71" s="303" t="n"/>
      <c r="W71" s="409" t="inlineStr">
        <is>
          <t>no</t>
        </is>
      </c>
      <c r="X71" s="306" t="n"/>
      <c r="AA71" s="742" t="n">
        <v>2.227367401123047</v>
      </c>
      <c r="AB71" s="742">
        <f>IF(AA71="","",AA71*T71)</f>
        <v/>
      </c>
      <c r="AC71" s="303">
        <f>IF(W71="yes",AB71,"")</f>
        <v/>
      </c>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n"/>
      <c r="S72" s="301" t="n"/>
      <c r="T72" s="408">
        <f>1</f>
        <v/>
      </c>
      <c r="U72" s="303" t="n"/>
      <c r="W72" s="409" t="inlineStr">
        <is>
          <t>no</t>
        </is>
      </c>
      <c r="X72" s="306" t="n"/>
      <c r="AA72" s="742" t="n">
        <v>4.787401676177979</v>
      </c>
      <c r="AB72" s="742">
        <f>IF(AA72="","",AA72*T72)</f>
        <v/>
      </c>
      <c r="AC72" s="303">
        <f>IF(W72="yes",AB72,"")</f>
        <v/>
      </c>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n"/>
      <c r="S73" s="420" t="n"/>
      <c r="T73" s="408">
        <f>1</f>
        <v/>
      </c>
      <c r="U73" s="303" t="n"/>
      <c r="V73" s="421" t="n"/>
      <c r="W73" s="409" t="inlineStr">
        <is>
          <t>no</t>
        </is>
      </c>
      <c r="X73" s="306" t="n"/>
      <c r="Y73" s="421" t="n"/>
      <c r="Z73" s="421" t="n"/>
      <c r="AA73" s="742" t="n">
        <v>20.91836738586426</v>
      </c>
      <c r="AB73" s="742">
        <f>IF(AA73="","",AA73*T73)</f>
        <v/>
      </c>
      <c r="AC73" s="303">
        <f>IF(W73="yes",AB73,"")</f>
        <v/>
      </c>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n"/>
      <c r="S74" s="166" t="n"/>
      <c r="T74" s="205">
        <f>1</f>
        <v/>
      </c>
      <c r="U74" s="133" t="n"/>
      <c r="W74" s="208" t="inlineStr">
        <is>
          <t>yes</t>
        </is>
      </c>
      <c r="X74" s="726" t="n"/>
      <c r="AA74" s="734" t="n">
        <v>22.1262149810791</v>
      </c>
      <c r="AB74" s="734">
        <f>IF(AA74="","",AA74*T74)</f>
        <v/>
      </c>
      <c r="AC74" s="133">
        <f>IF(W74="yes",AB74,"")</f>
        <v/>
      </c>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n"/>
      <c r="S75" s="166" t="n"/>
      <c r="T75" s="205">
        <f>1</f>
        <v/>
      </c>
      <c r="U75" s="133" t="n"/>
      <c r="W75" s="208" t="inlineStr">
        <is>
          <t>yes</t>
        </is>
      </c>
      <c r="X75" s="726" t="n"/>
      <c r="AA75" s="734" t="n">
        <v>18.71065330505371</v>
      </c>
      <c r="AB75" s="734">
        <f>IF(AA75="","",AA75*T75)</f>
        <v/>
      </c>
      <c r="AC75" s="133">
        <f>IF(W75="yes",AB75,"")</f>
        <v/>
      </c>
    </row>
    <row r="76" ht="189" customFormat="1" customHeight="1" s="430">
      <c r="A76" s="145">
        <f>A75+1</f>
        <v/>
      </c>
      <c r="B76" s="146" t="inlineStr">
        <is>
          <t>income_sec_crop_check</t>
        </is>
      </c>
      <c r="C76" s="146" t="inlineStr">
        <is>
          <t>income_sec_crop_check</t>
        </is>
      </c>
      <c r="D76" s="162" t="inlineStr">
        <is>
          <t xml:space="preserve">Are the crops sold also produced by you or anyone in your household?
[OPERATOR: SINGLE RESPONSE.]
1)YES
2)NO
3)DON'T KNOW
4)REFUSED </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n"/>
      <c r="S76" s="327" t="n"/>
      <c r="T76" s="428">
        <f>1</f>
        <v/>
      </c>
      <c r="U76" s="429" t="n"/>
      <c r="W76" s="431" t="inlineStr">
        <is>
          <t>yes</t>
        </is>
      </c>
      <c r="X76" s="725" t="n"/>
      <c r="AA76" s="743" t="n">
        <v>8</v>
      </c>
      <c r="AB76" s="743">
        <f>IF(AA76="","",AA76*T76)</f>
        <v/>
      </c>
      <c r="AC76" s="429">
        <f>IF(W76="yes",AB76,"")</f>
        <v/>
      </c>
    </row>
    <row r="77" ht="231" customFormat="1" customHeight="1" s="430">
      <c r="A77" s="145">
        <f>A76+1</f>
        <v/>
      </c>
      <c r="B77" s="146" t="inlineStr">
        <is>
          <t>income_sec_ls_check</t>
        </is>
      </c>
      <c r="C77" s="146" t="inlineStr">
        <is>
          <t>income_sec_ls_check</t>
        </is>
      </c>
      <c r="D77" s="397" t="inlineStr">
        <is>
          <t xml:space="preserve">Are the livestock or livestock products sold also produced by you or anyone in your household?
[OPERATOR: SINGLE RESPONSE.]
1)YES
2)NO
3)DON'T KNOW
4)REFUSED </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n"/>
      <c r="S77" s="327" t="n"/>
      <c r="T77" s="428">
        <f>1</f>
        <v/>
      </c>
      <c r="U77" s="429" t="n"/>
      <c r="W77" s="431" t="inlineStr">
        <is>
          <t>yes</t>
        </is>
      </c>
      <c r="X77" s="725" t="n"/>
      <c r="AA77" s="743" t="n">
        <v>8</v>
      </c>
      <c r="AB77" s="743">
        <f>IF(AA77="","",AA77*T77)</f>
        <v/>
      </c>
      <c r="AC77" s="429">
        <f>IF(W77="yes",AB77,"")</f>
        <v/>
      </c>
    </row>
    <row r="78" ht="189" customFormat="1" customHeight="1" s="183">
      <c r="A78" s="145">
        <f>A77+1</f>
        <v/>
      </c>
      <c r="B78" s="146" t="inlineStr">
        <is>
          <t>income_sec_fish_check</t>
        </is>
      </c>
      <c r="C78" s="146" t="inlineStr">
        <is>
          <t>income_sec_fish_check</t>
        </is>
      </c>
      <c r="D78" s="162" t="inlineStr">
        <is>
          <t xml:space="preserve">Are the fish or aquatic products sold also captured/harvested by you or anyone in your household?
[OPERATOR: SINGLE RESPONSE.]
1)YES
2)NO
3)DON'T KNOW
4)REFUSED </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n"/>
      <c r="S78" s="327" t="n"/>
      <c r="T78" s="205">
        <f>1</f>
        <v/>
      </c>
      <c r="U78" s="133" t="n"/>
      <c r="W78" s="208" t="inlineStr">
        <is>
          <t>yes</t>
        </is>
      </c>
      <c r="X78" s="726" t="n"/>
      <c r="AA78" s="734" t="n">
        <v>8</v>
      </c>
      <c r="AB78" s="734">
        <f>IF(AA78="","",AA78*T78)</f>
        <v/>
      </c>
      <c r="AC78" s="133">
        <f>IF(W78="yes",AB78,"")</f>
        <v/>
      </c>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n"/>
      <c r="S79" s="718" t="inlineStr">
        <is>
          <t>We recommend using this pair of questions together.</t>
        </is>
      </c>
      <c r="T79" s="408">
        <f>1</f>
        <v/>
      </c>
      <c r="U79" s="303" t="n"/>
      <c r="W79" s="409" t="inlineStr">
        <is>
          <t>no</t>
        </is>
      </c>
      <c r="X79" s="306" t="n"/>
      <c r="AA79" s="742" t="n">
        <v>23.20038032531738</v>
      </c>
      <c r="AB79" s="742">
        <f>IF(AA79="","",AA79*T79)</f>
        <v/>
      </c>
      <c r="AC79" s="303">
        <f>IF(W79="yes",AB79,"")</f>
        <v/>
      </c>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n"/>
      <c r="S80" s="740" t="n"/>
      <c r="T80" s="408">
        <f>1</f>
        <v/>
      </c>
      <c r="U80" s="303" t="n"/>
      <c r="W80" s="409" t="inlineStr">
        <is>
          <t>no</t>
        </is>
      </c>
      <c r="X80" s="306" t="n"/>
      <c r="AA80" s="742" t="n">
        <v>1.927738904953003</v>
      </c>
      <c r="AB80" s="742">
        <f>IF(AA80="","",AA80*T80)</f>
        <v/>
      </c>
      <c r="AC80" s="303">
        <f>IF(W80="yes",AB80,"")</f>
        <v/>
      </c>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n"/>
      <c r="S81" s="301" t="n"/>
      <c r="T81" s="408">
        <f>1</f>
        <v/>
      </c>
      <c r="U81" s="303" t="n"/>
      <c r="W81" s="409" t="inlineStr">
        <is>
          <t>no</t>
        </is>
      </c>
      <c r="X81" s="306" t="n"/>
      <c r="AA81" s="742" t="n">
        <v>4.787401676177979</v>
      </c>
      <c r="AB81" s="742">
        <f>IF(AA81="","",AA81*T81)</f>
        <v/>
      </c>
      <c r="AC81" s="303">
        <f>IF(W81="yes",AB81,"")</f>
        <v/>
      </c>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n"/>
      <c r="S82" s="166" t="n"/>
      <c r="T82" s="132">
        <f>1</f>
        <v/>
      </c>
      <c r="U82" s="133" t="n"/>
      <c r="V82" s="440" t="n"/>
      <c r="W82" s="194" t="inlineStr">
        <is>
          <t>no</t>
        </is>
      </c>
      <c r="X82" s="726" t="n"/>
      <c r="Y82" s="440" t="n"/>
      <c r="Z82" s="440" t="n"/>
      <c r="AA82" s="735" t="n">
        <v>20.91836738586426</v>
      </c>
      <c r="AB82" s="735">
        <f>IF(AA82="","",AA82*T82)</f>
        <v/>
      </c>
      <c r="AC82" s="133">
        <f>IF(W82="yes",AB82,"")</f>
        <v/>
      </c>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n"/>
      <c r="S83" s="166" t="n"/>
      <c r="T83" s="205">
        <f>1</f>
        <v/>
      </c>
      <c r="U83" s="133" t="n"/>
      <c r="W83" s="208" t="inlineStr">
        <is>
          <t>yes</t>
        </is>
      </c>
      <c r="X83" s="726" t="n"/>
      <c r="AA83" s="734" t="n">
        <v>17.26140213012695</v>
      </c>
      <c r="AB83" s="734">
        <f>IF(AA83="","",AA83*T83)</f>
        <v/>
      </c>
      <c r="AC83" s="133">
        <f>IF(W83="yes",AB83,"")</f>
        <v/>
      </c>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n"/>
      <c r="S84" s="166" t="n"/>
      <c r="T84" s="205">
        <f>1</f>
        <v/>
      </c>
      <c r="U84" s="133" t="n"/>
      <c r="W84" s="208" t="inlineStr">
        <is>
          <t>yes</t>
        </is>
      </c>
      <c r="X84" s="726" t="n"/>
      <c r="AA84" s="734" t="n">
        <v>14.47539234161377</v>
      </c>
      <c r="AB84" s="734">
        <f>IF(AA84="","",AA84*T84)</f>
        <v/>
      </c>
      <c r="AC84" s="133">
        <f>IF(W84="yes",AB84,"")</f>
        <v/>
      </c>
    </row>
    <row r="85" ht="189" customFormat="1" customHeight="1" s="430">
      <c r="A85" s="145">
        <f>A84+1</f>
        <v/>
      </c>
      <c r="B85" s="146" t="inlineStr">
        <is>
          <t>income_third_crop_check</t>
        </is>
      </c>
      <c r="C85" s="146" t="inlineStr">
        <is>
          <t>income_third_crop_check</t>
        </is>
      </c>
      <c r="D85" s="162" t="inlineStr">
        <is>
          <t xml:space="preserve">Are the crops sold also produced by you or anyone in your household?
[OPERATOR: SINGLE RESPONSE.]
1)YES
2)NO
3)DON'T KNOW
4)REFUSED </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n"/>
      <c r="S85" s="327" t="n"/>
      <c r="T85" s="428">
        <f>1</f>
        <v/>
      </c>
      <c r="U85" s="429" t="n"/>
      <c r="W85" s="431" t="inlineStr">
        <is>
          <t>yes</t>
        </is>
      </c>
      <c r="X85" s="725" t="n"/>
      <c r="AA85" s="743" t="n">
        <v>8</v>
      </c>
      <c r="AB85" s="743">
        <f>IF(AA85="","",AA85*T85)</f>
        <v/>
      </c>
      <c r="AC85" s="429">
        <f>IF(W85="yes",AB85,"")</f>
        <v/>
      </c>
    </row>
    <row r="86" ht="231" customFormat="1" customHeight="1" s="430">
      <c r="A86" s="145">
        <f>A85+1</f>
        <v/>
      </c>
      <c r="B86" s="146" t="inlineStr">
        <is>
          <t>income_third_ls_check</t>
        </is>
      </c>
      <c r="C86" s="146" t="inlineStr">
        <is>
          <t>income_third_ls_check</t>
        </is>
      </c>
      <c r="D86" s="397" t="inlineStr">
        <is>
          <t xml:space="preserve">Are the livestock or livestock products sold also produced by you or anyone in your household?
[OPERATOR: SINGLE RESPONSE.]
1)YES
2)NO
3)DON'T KNOW
4)REFUSED </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n"/>
      <c r="S86" s="327" t="n"/>
      <c r="T86" s="428">
        <f>1</f>
        <v/>
      </c>
      <c r="U86" s="429" t="n"/>
      <c r="W86" s="431" t="inlineStr">
        <is>
          <t>yes</t>
        </is>
      </c>
      <c r="X86" s="725" t="n"/>
      <c r="AA86" s="743" t="n">
        <v>8</v>
      </c>
      <c r="AB86" s="743">
        <f>IF(AA86="","",AA86*T86)</f>
        <v/>
      </c>
      <c r="AC86" s="429">
        <f>IF(W86="yes",AB86,"")</f>
        <v/>
      </c>
    </row>
    <row r="87" ht="189" customFormat="1" customHeight="1" s="183">
      <c r="A87" s="145">
        <f>A86+1</f>
        <v/>
      </c>
      <c r="B87" s="146" t="inlineStr">
        <is>
          <t>income_third_fish_check</t>
        </is>
      </c>
      <c r="C87" s="146" t="inlineStr">
        <is>
          <t>income_third_fish_check</t>
        </is>
      </c>
      <c r="D87" s="162" t="inlineStr">
        <is>
          <t xml:space="preserve">Are the fish or aquatic products sold also captured/harvested by you or anyone in your household?
[OPERATOR: SINGLE RESPONSE.]
1)YES
2)NO
3)DON'T KNOW
4)REFUSED </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n"/>
      <c r="S87" s="327" t="n"/>
      <c r="T87" s="205">
        <f>1</f>
        <v/>
      </c>
      <c r="U87" s="133" t="n"/>
      <c r="W87" s="208" t="inlineStr">
        <is>
          <t>yes</t>
        </is>
      </c>
      <c r="X87" s="726" t="n"/>
      <c r="AA87" s="734" t="n">
        <v>8</v>
      </c>
      <c r="AB87" s="734">
        <f>IF(AA87="","",AA87*T87)</f>
        <v/>
      </c>
      <c r="AC87" s="133">
        <f>IF(W87="yes",AB87,"")</f>
        <v/>
      </c>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n"/>
      <c r="S88" s="718" t="inlineStr">
        <is>
          <t>We recommend using this pair of questions together.</t>
        </is>
      </c>
      <c r="T88" s="408">
        <f>1</f>
        <v/>
      </c>
      <c r="U88" s="303" t="n"/>
      <c r="W88" s="409" t="inlineStr">
        <is>
          <t>no</t>
        </is>
      </c>
      <c r="X88" s="306" t="n"/>
      <c r="AA88" s="742" t="n">
        <v>24.40109825134277</v>
      </c>
      <c r="AB88" s="742">
        <f>IF(AA88="","",AA88*T88)</f>
        <v/>
      </c>
      <c r="AC88" s="303">
        <f>IF(W88="yes",AB88,"")</f>
        <v/>
      </c>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n"/>
      <c r="S89" s="740" t="n"/>
      <c r="T89" s="408">
        <f>1</f>
        <v/>
      </c>
      <c r="U89" s="303" t="n"/>
      <c r="W89" s="409" t="inlineStr">
        <is>
          <t>no</t>
        </is>
      </c>
      <c r="X89" s="306" t="n"/>
      <c r="AA89" s="742" t="n">
        <v>2.47</v>
      </c>
      <c r="AB89" s="742">
        <f>IF(AA89="","",AA89*T89)</f>
        <v/>
      </c>
      <c r="AC89" s="303">
        <f>IF(W89="yes",AB89,"")</f>
        <v/>
      </c>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n"/>
      <c r="S90" s="166" t="n"/>
      <c r="T90" s="205">
        <f>1</f>
        <v/>
      </c>
      <c r="U90" s="133" t="n"/>
      <c r="W90" s="208" t="inlineStr">
        <is>
          <t>yes</t>
        </is>
      </c>
      <c r="X90" s="726" t="n"/>
      <c r="AA90" s="734" t="n">
        <v>15.87650299072266</v>
      </c>
      <c r="AB90" s="734">
        <f>IF(AA90="","",AA90*T90)</f>
        <v/>
      </c>
      <c r="AC90" s="133">
        <f>IF(W90="yes",AB90,"")</f>
        <v/>
      </c>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n"/>
      <c r="S91" s="166" t="n"/>
      <c r="T91" s="205">
        <f>1</f>
        <v/>
      </c>
      <c r="U91" s="133" t="n"/>
      <c r="W91" s="208" t="inlineStr">
        <is>
          <t>yes</t>
        </is>
      </c>
      <c r="X91" s="726" t="n"/>
      <c r="AA91" s="734" t="n">
        <v>37.85363006591797</v>
      </c>
      <c r="AB91" s="734">
        <f>IF(AA91="","",AA91*T91)</f>
        <v/>
      </c>
      <c r="AC91" s="133">
        <f>IF(W91="yes",AB91,"")</f>
        <v/>
      </c>
    </row>
    <row r="92" ht="21.5" customFormat="1" customHeight="1" s="207" thickBot="1">
      <c r="A92" s="710"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n"/>
      <c r="S93" s="453" t="n"/>
      <c r="T93" s="205" t="n"/>
      <c r="U93" s="206" t="n"/>
      <c r="W93" s="208" t="n"/>
      <c r="X93" s="209" t="n"/>
      <c r="AA93" s="734" t="n"/>
      <c r="AB93" s="734" t="n"/>
      <c r="AC93" s="206" t="n"/>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n"/>
      <c r="S94" s="458" t="n"/>
      <c r="T94" s="205" t="n"/>
      <c r="U94" s="206" t="n"/>
      <c r="W94" s="208" t="n"/>
      <c r="X94" s="209" t="n"/>
      <c r="AA94" s="734" t="n"/>
      <c r="AB94" s="734" t="n"/>
      <c r="AC94" s="206" t="n"/>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n"/>
      <c r="S95" s="458" t="n"/>
      <c r="T95" s="205" t="n"/>
      <c r="U95" s="206" t="n"/>
      <c r="W95" s="208" t="n"/>
      <c r="X95" s="209" t="n"/>
      <c r="AA95" s="734" t="n"/>
      <c r="AB95" s="734" t="n"/>
      <c r="AC95" s="206" t="n"/>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n"/>
      <c r="S96" s="458" t="n"/>
      <c r="T96" s="205" t="n"/>
      <c r="U96" s="206" t="n"/>
      <c r="W96" s="208" t="n"/>
      <c r="X96" s="209" t="n"/>
      <c r="AA96" s="734" t="n"/>
      <c r="AB96" s="734" t="n"/>
      <c r="AC96" s="206" t="n"/>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n"/>
      <c r="S97" s="463" t="n"/>
      <c r="T97" s="205" t="n"/>
      <c r="U97" s="206" t="n"/>
      <c r="W97" s="208" t="n"/>
      <c r="X97" s="209" t="n"/>
      <c r="AA97" s="734" t="n"/>
      <c r="AB97" s="734" t="n"/>
      <c r="AC97" s="206" t="n"/>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n"/>
      <c r="S98" s="467" t="n"/>
      <c r="T98" s="205" t="n"/>
      <c r="U98" s="206" t="n"/>
      <c r="W98" s="208" t="n"/>
      <c r="X98" s="209" t="n"/>
      <c r="AA98" s="734" t="n"/>
      <c r="AB98" s="734" t="n"/>
      <c r="AC98" s="206" t="n"/>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7)confl_fs_theft_damage
8)confl_fs_illicit_pay
9)confl_fs_other
10)confl_fs_dk
11)confl_fs_ref</t>
        </is>
      </c>
      <c r="O99" s="471" t="inlineStr">
        <is>
          <t>1-11 = crp_intro</t>
        </is>
      </c>
      <c r="P99" s="472" t="n"/>
      <c r="Q99" s="456" t="inlineStr">
        <is>
          <t>if confl_foodsec_imp = 1-11, go to crp_intro.</t>
        </is>
      </c>
      <c r="R99" s="473" t="n"/>
      <c r="S99" s="474" t="n"/>
      <c r="T99" s="205" t="n"/>
      <c r="U99" s="206" t="n"/>
      <c r="W99" s="208" t="n"/>
      <c r="X99" s="209" t="n"/>
      <c r="AA99" s="734" t="n"/>
      <c r="AB99" s="734" t="n"/>
      <c r="AC99" s="206" t="n"/>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n"/>
      <c r="S100" s="477" t="n"/>
      <c r="T100" s="132">
        <f>'Additional information'!$D$17</f>
        <v/>
      </c>
      <c r="U100" s="133" t="n"/>
      <c r="W100" s="208" t="inlineStr">
        <is>
          <t>yes</t>
        </is>
      </c>
      <c r="X100" s="726" t="n"/>
      <c r="AA100" s="734" t="n">
        <v>7.304072856903076</v>
      </c>
      <c r="AB100" s="734">
        <f>IF(AA100="","",AA100*T100)</f>
        <v/>
      </c>
      <c r="AC100" s="133">
        <f>IF(W100="yes",AB100,"")</f>
        <v/>
      </c>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n"/>
      <c r="S101" s="479" t="n"/>
      <c r="T101" s="132">
        <f>'Additional information'!$D$17</f>
        <v/>
      </c>
      <c r="U101" s="133" t="n"/>
      <c r="W101" s="208" t="inlineStr">
        <is>
          <t>yes</t>
        </is>
      </c>
      <c r="X101" s="726" t="n"/>
      <c r="AA101" s="734" t="n">
        <v>23.93990516662598</v>
      </c>
      <c r="AB101" s="734">
        <f>IF(AA101="","",AA101*T101)</f>
        <v/>
      </c>
      <c r="AC101" s="133">
        <f>IF(W101="yes",AB101,"")</f>
        <v/>
      </c>
    </row>
    <row r="102" ht="210" customFormat="1" customHeight="1" s="480">
      <c r="A102" s="212" t="n">
        <v>76</v>
      </c>
      <c r="B102" s="158" t="inlineStr">
        <is>
          <t>crp_landsize_unit</t>
        </is>
      </c>
      <c r="C102" s="158" t="inlineStr">
        <is>
          <t>crp_landsize_unit</t>
        </is>
      </c>
      <c r="D102" s="422" t="inlineStr">
        <is>
          <t xml:space="preserve">Unit of measurement for land size: 
[OPERATOR: DO NOT READ. SINGLE RESPONSE.]
1)Acres
2)Hectares
3)Square meters
4)Square feet
</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n"/>
      <c r="S102" s="481" t="n"/>
      <c r="T102" s="132">
        <f>'Additional information'!$D$17</f>
        <v/>
      </c>
      <c r="U102" s="133" t="n"/>
      <c r="W102" s="208" t="inlineStr">
        <is>
          <t>yes</t>
        </is>
      </c>
      <c r="X102" s="726" t="n"/>
      <c r="AA102" s="734" t="n">
        <v>2.249462604522705</v>
      </c>
      <c r="AB102" s="734">
        <f>IF(AA102="","",AA102*T102)</f>
        <v/>
      </c>
      <c r="AC102" s="133">
        <f>IF(W102="yes",AB102,"")</f>
        <v/>
      </c>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n"/>
      <c r="S103" s="327" t="n"/>
      <c r="T103" s="132">
        <f>'Additional information'!$D$17</f>
        <v/>
      </c>
      <c r="U103" s="133" t="n"/>
      <c r="W103" s="208" t="inlineStr">
        <is>
          <t>yes</t>
        </is>
      </c>
      <c r="X103" s="726" t="n"/>
      <c r="AA103" s="734" t="n">
        <v>23.44011688232422</v>
      </c>
      <c r="AB103" s="734">
        <f>IF(AA103="","",AA103*T103)</f>
        <v/>
      </c>
      <c r="AC103" s="133">
        <f>IF(W103="yes",AB103,"")</f>
        <v/>
      </c>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n"/>
      <c r="S104" s="327" t="n"/>
      <c r="T104" s="132">
        <f>'Additional information'!$D$17</f>
        <v/>
      </c>
      <c r="U104" s="133" t="n"/>
      <c r="W104" s="208" t="inlineStr">
        <is>
          <t>yes</t>
        </is>
      </c>
      <c r="X104" s="726" t="n"/>
      <c r="AA104" s="734" t="n">
        <v>7.765957355499268</v>
      </c>
      <c r="AB104" s="734">
        <f>IF(AA104="","",AA104*T104)</f>
        <v/>
      </c>
      <c r="AC104" s="133">
        <f>IF(W104="yes",AB104,"")</f>
        <v/>
      </c>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n"/>
      <c r="S105" s="166" t="n"/>
      <c r="T105" s="132">
        <f>'Additional information'!$D$17</f>
        <v/>
      </c>
      <c r="U105" s="133" t="n"/>
      <c r="W105" s="208" t="inlineStr">
        <is>
          <t>yes</t>
        </is>
      </c>
      <c r="X105" s="726" t="n"/>
      <c r="AA105" s="734" t="n">
        <v>16.48175621032715</v>
      </c>
      <c r="AB105" s="734">
        <f>IF(AA105="","",AA105*T105)</f>
        <v/>
      </c>
      <c r="AC105" s="133">
        <f>IF(W105="yes",AB105,"")</f>
        <v/>
      </c>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n"/>
      <c r="S106" s="420" t="n"/>
      <c r="T106" s="408" t="n"/>
      <c r="U106" s="303" t="n"/>
      <c r="W106" s="409" t="inlineStr">
        <is>
          <t>no</t>
        </is>
      </c>
      <c r="X106" s="306" t="n"/>
      <c r="AA106" s="742" t="n"/>
      <c r="AB106" s="742" t="n"/>
      <c r="AC106" s="303" t="n"/>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n"/>
      <c r="S107" s="166" t="n"/>
      <c r="T107" s="132" t="n"/>
      <c r="U107" s="133" t="n"/>
      <c r="W107" s="194" t="inlineStr">
        <is>
          <t>no</t>
        </is>
      </c>
      <c r="X107" s="726" t="n"/>
      <c r="AA107" s="735" t="n"/>
      <c r="AB107" s="735" t="n"/>
      <c r="AC107" s="133" t="n"/>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 xml:space="preserve">Select All That Apply </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t>
        </is>
      </c>
      <c r="O108" s="495" t="inlineStr">
        <is>
          <t>1-10 = crp_area_change</t>
        </is>
      </c>
      <c r="P108" s="496" t="n"/>
      <c r="Q108" s="497" t="inlineStr">
        <is>
          <t>if crp_seed_supply = 1-10, go to crp_area_change</t>
        </is>
      </c>
      <c r="R108" s="478" t="n"/>
      <c r="S108" s="166" t="n"/>
      <c r="T108" s="132">
        <f>'Additional information'!$D$17</f>
        <v/>
      </c>
      <c r="U108" s="133" t="n"/>
      <c r="W108" s="194" t="inlineStr">
        <is>
          <t>no</t>
        </is>
      </c>
      <c r="X108" s="726" t="n"/>
      <c r="AA108" s="735" t="n">
        <v>18.51111030578613</v>
      </c>
      <c r="AB108" s="735">
        <f>IF(AA108="","",AA108*T108)</f>
        <v/>
      </c>
      <c r="AC108" s="133">
        <f>IF(W108="yes",AB108,"")</f>
        <v/>
      </c>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n"/>
      <c r="S109" s="166" t="n"/>
      <c r="T109" s="132">
        <f>'Additional information'!$D$17</f>
        <v/>
      </c>
      <c r="U109" s="133" t="n"/>
      <c r="W109" s="208" t="inlineStr">
        <is>
          <t>yes</t>
        </is>
      </c>
      <c r="X109" s="726" t="n"/>
      <c r="AA109" s="734" t="n">
        <v>20.30868148803711</v>
      </c>
      <c r="AB109" s="734">
        <f>IF(AA109="","",AA109*T109)</f>
        <v/>
      </c>
      <c r="AC109" s="133">
        <f>IF(W109="yes",AB109,"")</f>
        <v/>
      </c>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n"/>
      <c r="S110" s="502" t="n"/>
      <c r="T110" s="132">
        <f>'Additional information'!$D$17</f>
        <v/>
      </c>
      <c r="U110" s="133" t="n"/>
      <c r="W110" s="208" t="inlineStr">
        <is>
          <t>yes</t>
        </is>
      </c>
      <c r="X110" s="726" t="n"/>
      <c r="AA110" s="734" t="n">
        <v>15.44861221313477</v>
      </c>
      <c r="AB110" s="734">
        <f>IF(AA110="","",AA110*T110)</f>
        <v/>
      </c>
      <c r="AC110" s="133">
        <f>IF(W110="yes",AB110,"")</f>
        <v/>
      </c>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n"/>
      <c r="S111" s="715" t="inlineStr">
        <is>
          <t xml:space="preserve">Keep this block of questions together, if used.
</t>
        </is>
      </c>
      <c r="T111" s="132">
        <f>'Additional information'!$D$17</f>
        <v/>
      </c>
      <c r="U111" s="133" t="n"/>
      <c r="W111" s="194" t="inlineStr">
        <is>
          <t>no</t>
        </is>
      </c>
      <c r="X111" s="726" t="n"/>
      <c r="AA111" s="735" t="n">
        <v>30.34391593933105</v>
      </c>
      <c r="AB111" s="735">
        <f>IF(AA111="","",AA111*T111)</f>
        <v/>
      </c>
      <c r="AC111" s="133">
        <f>IF(W111="yes",AB111,"")</f>
        <v/>
      </c>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n"/>
      <c r="S112" s="739" t="n"/>
      <c r="T112" s="132">
        <f>'Additional information'!$D$17</f>
        <v/>
      </c>
      <c r="U112" s="133" t="n"/>
      <c r="W112" s="194" t="inlineStr">
        <is>
          <t>no</t>
        </is>
      </c>
      <c r="X112" s="726" t="n"/>
      <c r="AA112" s="735" t="n">
        <v>5.47089958190918</v>
      </c>
      <c r="AB112" s="735">
        <f>IF(AA112="","",AA112*T112)</f>
        <v/>
      </c>
      <c r="AC112" s="133">
        <f>IF(W112="yes",AB112,"")</f>
        <v/>
      </c>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n"/>
      <c r="S113" s="739" t="n"/>
      <c r="T113" s="132">
        <f>'Additional information'!$D$17</f>
        <v/>
      </c>
      <c r="U113" s="133" t="n"/>
      <c r="W113" s="194" t="inlineStr">
        <is>
          <t>no</t>
        </is>
      </c>
      <c r="X113" s="726" t="n"/>
      <c r="AA113" s="735" t="n">
        <v>7.905472755432129</v>
      </c>
      <c r="AB113" s="735">
        <f>IF(AA113="","",AA113*T113)</f>
        <v/>
      </c>
      <c r="AC113" s="133">
        <f>IF(W113="yes",AB113,"")</f>
        <v/>
      </c>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n"/>
      <c r="S114" s="740" t="n"/>
      <c r="T114" s="132">
        <f>'Additional information'!$D$17</f>
        <v/>
      </c>
      <c r="U114" s="133" t="n"/>
      <c r="W114" s="194" t="inlineStr">
        <is>
          <t>no</t>
        </is>
      </c>
      <c r="X114" s="726" t="n"/>
      <c r="AA114" s="735" t="n">
        <v>16.43597793579102</v>
      </c>
      <c r="AB114" s="735">
        <f>IF(AA114="","",AA114*T114)</f>
        <v/>
      </c>
      <c r="AC114" s="133">
        <f>IF(W114="yes",AB114,"")</f>
        <v/>
      </c>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n"/>
      <c r="S115" s="166" t="n"/>
      <c r="T115" s="132">
        <f>'Additional information'!$D$17</f>
        <v/>
      </c>
      <c r="U115" s="133" t="n"/>
      <c r="W115" s="208" t="inlineStr">
        <is>
          <t>yes</t>
        </is>
      </c>
      <c r="X115" s="726" t="n"/>
      <c r="AA115" s="734" t="n">
        <v>11.37532997131348</v>
      </c>
      <c r="AB115" s="734">
        <f>IF(AA115="","",AA115*T115)</f>
        <v/>
      </c>
      <c r="AC115" s="133">
        <f>IF(W115="yes",AB115,"")</f>
        <v/>
      </c>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 xml:space="preserve">Select All That Apply </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n"/>
      <c r="S116" s="166" t="n"/>
      <c r="T116" s="132">
        <f>'Additional information'!$D$17</f>
        <v/>
      </c>
      <c r="U116" s="133" t="n"/>
      <c r="W116" s="208" t="inlineStr">
        <is>
          <t>yes</t>
        </is>
      </c>
      <c r="X116" s="726" t="n"/>
      <c r="AA116" s="734" t="n">
        <v>25.84499931335449</v>
      </c>
      <c r="AB116" s="734">
        <f>IF(AA116="","",AA116*T116)</f>
        <v/>
      </c>
      <c r="AC116" s="133">
        <f>IF(W116="yes",AB116,"")</f>
        <v/>
      </c>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n"/>
      <c r="S117" s="166" t="n"/>
      <c r="T117" s="132">
        <f>'Additional information'!$D$17</f>
        <v/>
      </c>
      <c r="U117" s="133" t="n"/>
      <c r="W117" s="194" t="inlineStr">
        <is>
          <t>no</t>
        </is>
      </c>
      <c r="X117" s="726" t="n"/>
      <c r="AA117" s="735" t="n">
        <v>12.18603706359863</v>
      </c>
      <c r="AB117" s="735">
        <f>IF(AA117="","",AA117*T117)</f>
        <v/>
      </c>
      <c r="AC117" s="133">
        <f>IF(W117="yes",AB117,"")</f>
        <v/>
      </c>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n"/>
      <c r="S118" s="166" t="n"/>
      <c r="T118" s="132" t="n"/>
      <c r="U118" s="133" t="n"/>
      <c r="W118" s="194" t="n"/>
      <c r="X118" s="726" t="n"/>
      <c r="AA118" s="735" t="n"/>
      <c r="AB118" s="735" t="n"/>
      <c r="AC118" s="133" t="n"/>
    </row>
    <row r="119" ht="21.5" customFormat="1" customHeight="1" s="207" thickBot="1">
      <c r="A119" s="710"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n"/>
      <c r="S120" s="166" t="n"/>
      <c r="T120" s="132">
        <f>'Additional information'!$D$17</f>
        <v/>
      </c>
      <c r="U120" s="133" t="n"/>
      <c r="W120" s="208" t="inlineStr">
        <is>
          <t>yes</t>
        </is>
      </c>
      <c r="X120" s="726" t="n"/>
      <c r="AA120" s="734" t="n">
        <v>17.61201477050781</v>
      </c>
      <c r="AB120" s="734">
        <f>IF(AA120="","",AA120*T120)</f>
        <v/>
      </c>
      <c r="AC120" s="133">
        <f>IF(W120="yes",AB120,"")</f>
        <v/>
      </c>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n"/>
      <c r="S121" s="327" t="n"/>
      <c r="T121" s="132">
        <f>'Additional information'!$D$17</f>
        <v/>
      </c>
      <c r="U121" s="133" t="n"/>
      <c r="W121" s="208" t="inlineStr">
        <is>
          <t>yes</t>
        </is>
      </c>
      <c r="X121" s="726" t="n"/>
      <c r="AA121" s="734" t="n">
        <v>10.45715618133545</v>
      </c>
      <c r="AB121" s="734">
        <f>IF(AA121="","",AA121*T121)</f>
        <v/>
      </c>
      <c r="AC121" s="133">
        <f>IF(W121="yes",AB121,"")</f>
        <v/>
      </c>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 xml:space="preserve">Select All That Apply </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n"/>
      <c r="S122" s="166" t="n"/>
      <c r="T122" s="132">
        <f>'Additional information'!$D$17</f>
        <v/>
      </c>
      <c r="U122" s="133" t="n"/>
      <c r="W122" s="208" t="inlineStr">
        <is>
          <t>yes</t>
        </is>
      </c>
      <c r="X122" s="726" t="n"/>
      <c r="AA122" s="734" t="n">
        <v>20.76996231079102</v>
      </c>
      <c r="AB122" s="734">
        <f>IF(AA122="","",AA122*T122)</f>
        <v/>
      </c>
      <c r="AC122" s="133">
        <f>IF(W122="yes",AB122,"")</f>
        <v/>
      </c>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 xml:space="preserve">1-7 = ls_intro </t>
        </is>
      </c>
      <c r="P123" s="476" t="n"/>
      <c r="Q123" s="393" t="inlineStr">
        <is>
          <t>if crp_salesprice = 1-7, go to ls_intro</t>
        </is>
      </c>
      <c r="R123" s="394" t="n"/>
      <c r="S123" s="166" t="n"/>
      <c r="T123" s="132">
        <f>'Additional information'!$D$17</f>
        <v/>
      </c>
      <c r="U123" s="133" t="n"/>
      <c r="W123" s="208" t="inlineStr">
        <is>
          <t>yes</t>
        </is>
      </c>
      <c r="X123" s="726" t="n"/>
      <c r="AA123" s="734" t="n">
        <v>23.56972122192383</v>
      </c>
      <c r="AB123" s="734">
        <f>IF(AA123="","",AA123*T123)</f>
        <v/>
      </c>
      <c r="AC123" s="133">
        <f>IF(W123="yes",AB123,"")</f>
        <v/>
      </c>
    </row>
    <row r="124" ht="21.5" customFormat="1" customHeight="1" s="207" thickBot="1">
      <c r="A124" s="710"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n"/>
      <c r="S125" s="153" t="n"/>
      <c r="T125" s="205">
        <f>'Additional information'!$D$18</f>
        <v/>
      </c>
      <c r="U125" s="133" t="n"/>
      <c r="W125" s="208" t="inlineStr">
        <is>
          <t>yes</t>
        </is>
      </c>
      <c r="X125" s="726" t="n"/>
      <c r="AA125" s="734" t="n">
        <v>4.50195837020874</v>
      </c>
      <c r="AB125" s="734">
        <f>IF(AA125="","",AA125*T125)</f>
        <v/>
      </c>
      <c r="AC125" s="133">
        <f>IF(W125="yes",AB125,"")</f>
        <v/>
      </c>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n"/>
      <c r="S126" s="327" t="n"/>
      <c r="T126" s="205">
        <f>'Additional information'!$D$18</f>
        <v/>
      </c>
      <c r="U126" s="133" t="n"/>
      <c r="W126" s="208" t="inlineStr">
        <is>
          <t>yes</t>
        </is>
      </c>
      <c r="X126" s="726" t="n"/>
      <c r="AA126" s="734" t="n">
        <v>17.40248489379883</v>
      </c>
      <c r="AB126" s="734">
        <f>IF(AA126="","",AA126*T126)</f>
        <v/>
      </c>
      <c r="AC126" s="133">
        <f>IF(W126="yes",AB126,"")</f>
        <v/>
      </c>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n"/>
      <c r="S127" s="166" t="n"/>
      <c r="T127" s="205">
        <f>'Additional information'!$D$18</f>
        <v/>
      </c>
      <c r="U127" s="133" t="n"/>
      <c r="W127" s="208" t="inlineStr">
        <is>
          <t>yes</t>
        </is>
      </c>
      <c r="X127" s="726" t="n"/>
      <c r="AA127" s="734" t="n">
        <v>16.33288192749023</v>
      </c>
      <c r="AB127" s="734">
        <f>IF(AA127="","",AA127*T127)</f>
        <v/>
      </c>
      <c r="AC127" s="133">
        <f>IF(W127="yes",AB127,"")</f>
        <v/>
      </c>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n"/>
      <c r="S128" s="166" t="n"/>
      <c r="T128" s="205">
        <f>'Additional information'!$D$18</f>
        <v/>
      </c>
      <c r="U128" s="133" t="n"/>
      <c r="W128" s="208" t="inlineStr">
        <is>
          <t>yes</t>
        </is>
      </c>
      <c r="X128" s="726" t="n"/>
      <c r="AA128" s="734" t="n">
        <v>7.41445255279541</v>
      </c>
      <c r="AB128" s="734">
        <f>IF(AA128="","",AA128*T128)</f>
        <v/>
      </c>
      <c r="AC128" s="133">
        <f>IF(W128="yes",AB128,"")</f>
        <v/>
      </c>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 xml:space="preserve">Select All That Apply </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n"/>
      <c r="S129" s="166" t="n"/>
      <c r="T129" s="205">
        <f>'Additional information'!$D$18</f>
        <v/>
      </c>
      <c r="U129" s="133" t="n"/>
      <c r="W129" s="208" t="inlineStr">
        <is>
          <t>yes</t>
        </is>
      </c>
      <c r="X129" s="726" t="n"/>
      <c r="AA129" s="734" t="n">
        <v>17.79113578796387</v>
      </c>
      <c r="AB129" s="734">
        <f>IF(AA129="","",AA129*T129)</f>
        <v/>
      </c>
      <c r="AC129" s="133">
        <f>IF(W129="yes",AB129,"")</f>
        <v/>
      </c>
    </row>
    <row r="130" ht="231" customFormat="1" customHeight="1" s="183">
      <c r="A130" s="155" t="n">
        <v>102</v>
      </c>
      <c r="B130" s="282" t="inlineStr">
        <is>
          <t>ls_gone</t>
        </is>
      </c>
      <c r="C130" s="156" t="inlineStr">
        <is>
          <t>ls_gone_
1)ls_gone_lost
2)ls_gone_escape
3)ls_gone_stolen
4)ls_gone_killed
5)ls_gone_dk
6)ls_gone_ref</t>
        </is>
      </c>
      <c r="D130" s="518" t="inlineStr">
        <is>
          <t xml:space="preserve">Can you specify whether your animals escaped, were lost, stolen or killed? 
[OPERATOR: MULTIPLE RESPONSES POSSIBLE.]
1)Lost during migration
2)Escaped
3)Stolen
4)Killed
5)DON'T KNOW
6)REFUSED </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 xml:space="preserve">Select All That Apply </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n"/>
      <c r="S130" s="166" t="n"/>
      <c r="T130" s="205" t="n"/>
      <c r="U130" s="133" t="n"/>
      <c r="W130" s="208" t="n"/>
      <c r="X130" s="726" t="n"/>
      <c r="AA130" s="734" t="n"/>
      <c r="AB130" s="734" t="n"/>
      <c r="AC130" s="133" t="n"/>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 xml:space="preserve">Select All That Apply </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n"/>
      <c r="S131" s="166" t="n"/>
      <c r="T131" s="132">
        <f>'Additional information'!$D$18</f>
        <v/>
      </c>
      <c r="U131" s="133" t="n"/>
      <c r="W131" s="194" t="inlineStr">
        <is>
          <t>no</t>
        </is>
      </c>
      <c r="X131" s="726" t="n"/>
      <c r="AA131" s="735" t="n">
        <v>18.08681678771973</v>
      </c>
      <c r="AB131" s="735">
        <f>IF(AA131="","",AA131*T131)</f>
        <v/>
      </c>
      <c r="AC131" s="133">
        <f>IF(W131="yes",AB131,"")</f>
        <v/>
      </c>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n"/>
      <c r="S132" s="166" t="n"/>
      <c r="T132" s="205">
        <f>'Additional information'!$D$18</f>
        <v/>
      </c>
      <c r="U132" s="133" t="n"/>
      <c r="W132" s="208" t="inlineStr">
        <is>
          <t>yes</t>
        </is>
      </c>
      <c r="X132" s="726" t="n"/>
      <c r="AA132" s="734" t="n">
        <v>10.37455940246582</v>
      </c>
      <c r="AB132" s="734">
        <f>IF(AA132="","",AA132*T132)</f>
        <v/>
      </c>
      <c r="AC132" s="133">
        <f>IF(W132="yes",AB132,"")</f>
        <v/>
      </c>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 xml:space="preserve">Select All That Apply </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n"/>
      <c r="S133" s="166" t="n"/>
      <c r="T133" s="205">
        <f>'Additional information'!$D$18</f>
        <v/>
      </c>
      <c r="U133" s="133" t="n"/>
      <c r="W133" s="208" t="inlineStr">
        <is>
          <t>yes</t>
        </is>
      </c>
      <c r="X133" s="726" t="n"/>
      <c r="AA133" s="734" t="n">
        <v>19.61676216125488</v>
      </c>
      <c r="AB133" s="734">
        <f>IF(AA133="","",AA133*T133)</f>
        <v/>
      </c>
      <c r="AC133" s="133">
        <f>IF(W133="yes",AB133,"")</f>
        <v/>
      </c>
    </row>
    <row r="134" ht="21.5" customFormat="1" customHeight="1" s="207" thickBot="1">
      <c r="A134" s="710"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n"/>
      <c r="S135" s="153" t="n"/>
      <c r="T135" s="205">
        <f>'Additional information'!$D$18</f>
        <v/>
      </c>
      <c r="U135" s="133" t="n"/>
      <c r="W135" s="208" t="inlineStr">
        <is>
          <t>yes</t>
        </is>
      </c>
      <c r="X135" s="726" t="n"/>
      <c r="AA135" s="734" t="n">
        <v>12.99236297607422</v>
      </c>
      <c r="AB135" s="734">
        <f>IF(AA135="","",AA135*T135)</f>
        <v/>
      </c>
      <c r="AC135" s="133">
        <f>IF(W135="yes",AB135,"")</f>
        <v/>
      </c>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n"/>
      <c r="S136" s="166" t="n"/>
      <c r="T136" s="205">
        <f>'Additional information'!$D$18</f>
        <v/>
      </c>
      <c r="U136" s="133" t="n"/>
      <c r="W136" s="208" t="inlineStr">
        <is>
          <t>yes</t>
        </is>
      </c>
      <c r="X136" s="726" t="n"/>
      <c r="AA136" s="734" t="n">
        <v>8.629570960998535</v>
      </c>
      <c r="AB136" s="734">
        <f>IF(AA136="","",AA136*T136)</f>
        <v/>
      </c>
      <c r="AC136" s="133">
        <f>IF(W136="yes",AB136,"")</f>
        <v/>
      </c>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 xml:space="preserve">Select All That Apply </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n"/>
      <c r="S137" s="166" t="n"/>
      <c r="T137" s="205">
        <f>'Additional information'!$D$18</f>
        <v/>
      </c>
      <c r="U137" s="133" t="n"/>
      <c r="W137" s="208" t="inlineStr">
        <is>
          <t>yes</t>
        </is>
      </c>
      <c r="X137" s="726" t="n"/>
      <c r="AA137" s="734" t="n">
        <v>18.25617218017578</v>
      </c>
      <c r="AB137" s="734">
        <f>IF(AA137="","",AA137*T137)</f>
        <v/>
      </c>
      <c r="AC137" s="133">
        <f>IF(W137="yes",AB137,"")</f>
        <v/>
      </c>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n"/>
      <c r="S138" s="166" t="n"/>
      <c r="T138" s="205">
        <f>'Additional information'!$D$18</f>
        <v/>
      </c>
      <c r="U138" s="133" t="n"/>
      <c r="W138" s="208" t="inlineStr">
        <is>
          <t>yes</t>
        </is>
      </c>
      <c r="X138" s="726" t="n"/>
      <c r="AA138" s="734" t="n">
        <v>15.45627975463867</v>
      </c>
      <c r="AB138" s="734">
        <f>IF(AA138="","",AA138*T138)</f>
        <v/>
      </c>
      <c r="AC138" s="133">
        <f>IF(W138="yes",AB138,"")</f>
        <v/>
      </c>
    </row>
    <row r="139" ht="21.5" customFormat="1" customHeight="1" s="207" thickBot="1">
      <c r="A139" s="710"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n"/>
      <c r="S140" s="153" t="n"/>
      <c r="T140" s="205">
        <f>'Additional information'!$D$19</f>
        <v/>
      </c>
      <c r="U140" s="133" t="n"/>
      <c r="W140" s="208" t="inlineStr">
        <is>
          <t>yes</t>
        </is>
      </c>
      <c r="X140" s="726" t="n"/>
      <c r="AA140" s="734" t="n">
        <v>2.480132341384888</v>
      </c>
      <c r="AB140" s="734">
        <f>IF(AA140="","",AA140*T140)</f>
        <v/>
      </c>
      <c r="AC140" s="133">
        <f>IF(W140="yes",AB140,"")</f>
        <v/>
      </c>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n"/>
      <c r="S141" s="327" t="n"/>
      <c r="T141" s="205">
        <f>'Additional information'!$D$19</f>
        <v/>
      </c>
      <c r="U141" s="133" t="n"/>
      <c r="W141" s="208" t="inlineStr">
        <is>
          <t>yes</t>
        </is>
      </c>
      <c r="X141" s="726" t="n"/>
      <c r="AA141" s="734" t="n">
        <v>12.71689510345459</v>
      </c>
      <c r="AB141" s="734">
        <f>IF(AA141="","",AA141*T141)</f>
        <v/>
      </c>
      <c r="AC141" s="133">
        <f>IF(W141="yes",AB141,"")</f>
        <v/>
      </c>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n"/>
      <c r="S142" s="166" t="n"/>
      <c r="T142" s="205">
        <f>'Additional information'!$D$19</f>
        <v/>
      </c>
      <c r="U142" s="133" t="n"/>
      <c r="W142" s="208" t="inlineStr">
        <is>
          <t>yes</t>
        </is>
      </c>
      <c r="AA142" s="734" t="n">
        <v>10.51750373840332</v>
      </c>
      <c r="AB142" s="734">
        <f>IF(AA142="","",AA142*T142)</f>
        <v/>
      </c>
      <c r="AC142" s="133">
        <f>IF(W142="yes",AB142,"")</f>
        <v/>
      </c>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n"/>
      <c r="S143" s="166" t="n"/>
      <c r="T143" s="205">
        <f>'Additional information'!$D$19</f>
        <v/>
      </c>
      <c r="U143" s="133" t="n"/>
      <c r="W143" s="208" t="inlineStr">
        <is>
          <t>yes</t>
        </is>
      </c>
      <c r="X143" s="726" t="n"/>
      <c r="AA143" s="734" t="n">
        <v>6.48249626159668</v>
      </c>
      <c r="AB143" s="734">
        <f>IF(AA143="","",AA143*T143)</f>
        <v/>
      </c>
      <c r="AC143" s="133">
        <f>IF(W143="yes",AB143,"")</f>
        <v/>
      </c>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 xml:space="preserve">Select All That Apply </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n"/>
      <c r="S144" s="166" t="n"/>
      <c r="T144" s="205">
        <f>'Additional information'!$D$19</f>
        <v/>
      </c>
      <c r="U144" s="133" t="n"/>
      <c r="W144" s="208" t="inlineStr">
        <is>
          <t>yes</t>
        </is>
      </c>
      <c r="X144" s="726" t="n"/>
      <c r="AA144" s="734" t="n">
        <v>23.64215660095215</v>
      </c>
      <c r="AB144" s="734">
        <f>IF(AA144="","",AA144*T144)</f>
        <v/>
      </c>
      <c r="AC144" s="133">
        <f>IF(W144="yes",AB144,"")</f>
        <v/>
      </c>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 xml:space="preserve">Open Ended-Select All That Apply </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n"/>
      <c r="S145" s="534" t="n"/>
      <c r="T145" s="132">
        <f>'Additional information'!$D$19</f>
        <v/>
      </c>
      <c r="U145" s="133" t="n"/>
      <c r="W145" s="194" t="inlineStr">
        <is>
          <t>no</t>
        </is>
      </c>
      <c r="X145" s="726" t="n"/>
      <c r="AA145" s="735" t="n">
        <v>19.20000076293945</v>
      </c>
      <c r="AB145" s="735">
        <f>IF(AA145="","",AA145*T145)</f>
        <v/>
      </c>
      <c r="AC145" s="133">
        <f>IF(W145="yes",AB145,"")</f>
        <v/>
      </c>
    </row>
    <row r="146" ht="21.5" customFormat="1" customHeight="1" s="207" thickBot="1">
      <c r="A146" s="710"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n"/>
      <c r="S147" s="153" t="n"/>
      <c r="T147" s="205">
        <f>'Additional information'!$D$19</f>
        <v/>
      </c>
      <c r="U147" s="133" t="n"/>
      <c r="W147" s="208" t="inlineStr">
        <is>
          <t>yes</t>
        </is>
      </c>
      <c r="X147" s="726" t="n"/>
      <c r="AA147" s="734" t="n">
        <v>9.275494575500488</v>
      </c>
      <c r="AB147" s="734">
        <f>IF(AA147="","",AA147*T147)</f>
        <v/>
      </c>
      <c r="AC147" s="133">
        <f>IF(W147="yes",AB147,"")</f>
        <v/>
      </c>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n"/>
      <c r="S148" s="166" t="n"/>
      <c r="T148" s="205">
        <f>'Additional information'!$D$19</f>
        <v/>
      </c>
      <c r="U148" s="133" t="n"/>
      <c r="W148" s="208" t="inlineStr">
        <is>
          <t>yes</t>
        </is>
      </c>
      <c r="X148" s="726" t="n"/>
      <c r="AA148" s="734" t="n">
        <v>6.415841579437256</v>
      </c>
      <c r="AB148" s="734">
        <f>IF(AA148="","",AA148*T148)</f>
        <v/>
      </c>
      <c r="AC148" s="133">
        <f>IF(W148="yes",AB148,"")</f>
        <v/>
      </c>
    </row>
    <row r="149" ht="409.5" customFormat="1" customHeight="1" s="183">
      <c r="A149" s="155">
        <f>A148+1</f>
        <v/>
      </c>
      <c r="B149" s="498" t="inlineStr">
        <is>
          <t>fish_salesdif_2</t>
        </is>
      </c>
      <c r="C149" s="156"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 xml:space="preserve">Select All That Apply </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n"/>
      <c r="S149" s="166" t="n"/>
      <c r="T149" s="205">
        <f>'Additional information'!$D$19</f>
        <v/>
      </c>
      <c r="U149" s="133" t="n"/>
      <c r="W149" s="208" t="inlineStr">
        <is>
          <t>yes</t>
        </is>
      </c>
      <c r="X149" s="726" t="n"/>
      <c r="AA149" s="734" t="n">
        <v>20.53435134887695</v>
      </c>
      <c r="AB149" s="734">
        <f>IF(AA149="","",AA149*T149)</f>
        <v/>
      </c>
      <c r="AC149" s="133">
        <f>IF(W149="yes",AB149,"")</f>
        <v/>
      </c>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n"/>
      <c r="S150" s="166" t="n"/>
      <c r="T150" s="205">
        <f>'Additional information'!$D$19</f>
        <v/>
      </c>
      <c r="U150" s="133" t="n"/>
      <c r="W150" s="208" t="inlineStr">
        <is>
          <t>yes</t>
        </is>
      </c>
      <c r="X150" s="726" t="n"/>
      <c r="AA150" s="734" t="n">
        <v>8.306930541992188</v>
      </c>
      <c r="AB150" s="734">
        <f>IF(AA150="","",AA150*T150)</f>
        <v/>
      </c>
      <c r="AC150" s="133">
        <f>IF(W150="yes",AB150,"")</f>
        <v/>
      </c>
    </row>
    <row r="151" ht="21.5" customFormat="1" customHeight="1" s="207" thickBot="1">
      <c r="A151" s="710"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n"/>
      <c r="S152" s="544" t="inlineStr">
        <is>
          <t>Check if the ESS team has an official translation.</t>
        </is>
      </c>
      <c r="T152" s="205" t="n">
        <v>1</v>
      </c>
      <c r="U152" s="133" t="n"/>
      <c r="W152" s="208" t="inlineStr">
        <is>
          <t>yes</t>
        </is>
      </c>
      <c r="X152" s="726" t="n"/>
      <c r="AA152" s="734" t="n">
        <v>8.088166236877441</v>
      </c>
      <c r="AB152" s="734">
        <f>IF(AA152="","",AA152*T152)</f>
        <v/>
      </c>
      <c r="AC152" s="133">
        <f>IF(W152="yes",AB152,"")</f>
        <v/>
      </c>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n"/>
      <c r="S153" s="166" t="n"/>
      <c r="T153" s="205" t="n">
        <v>1</v>
      </c>
      <c r="U153" s="133" t="n"/>
      <c r="W153" s="208" t="inlineStr">
        <is>
          <t>yes</t>
        </is>
      </c>
      <c r="X153" s="726" t="n"/>
      <c r="AA153" s="734" t="n">
        <v>20.22456741333008</v>
      </c>
      <c r="AB153" s="734">
        <f>IF(AA153="","",AA153*T153)</f>
        <v/>
      </c>
      <c r="AC153" s="133">
        <f>IF(W153="yes",AB153,"")</f>
        <v/>
      </c>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n"/>
      <c r="S154" s="166" t="n"/>
      <c r="T154" s="205" t="n">
        <v>1</v>
      </c>
      <c r="U154" s="133" t="n"/>
      <c r="W154" s="208" t="inlineStr">
        <is>
          <t>yes</t>
        </is>
      </c>
      <c r="X154" s="726" t="n"/>
      <c r="AA154" s="734" t="n">
        <v>14.02606105804443</v>
      </c>
      <c r="AB154" s="734">
        <f>IF(AA154="","",AA154*T154)</f>
        <v/>
      </c>
      <c r="AC154" s="133">
        <f>IF(W154="yes",AB154,"")</f>
        <v/>
      </c>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n"/>
      <c r="S155" s="166" t="n"/>
      <c r="T155" s="205" t="n">
        <v>1</v>
      </c>
      <c r="U155" s="133" t="n"/>
      <c r="W155" s="208" t="inlineStr">
        <is>
          <t>yes</t>
        </is>
      </c>
      <c r="X155" s="726" t="n"/>
      <c r="AA155" s="734" t="n">
        <v>11.55850505828857</v>
      </c>
      <c r="AB155" s="734">
        <f>IF(AA155="","",AA155*T155)</f>
        <v/>
      </c>
      <c r="AC155" s="133">
        <f>IF(W155="yes",AB155,"")</f>
        <v/>
      </c>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n"/>
      <c r="S156" s="166" t="n"/>
      <c r="T156" s="205" t="n">
        <v>1</v>
      </c>
      <c r="U156" s="133" t="n"/>
      <c r="W156" s="208" t="inlineStr">
        <is>
          <t>yes</t>
        </is>
      </c>
      <c r="X156" s="726" t="n"/>
      <c r="AA156" s="734" t="n">
        <v>11.37925720214844</v>
      </c>
      <c r="AB156" s="734">
        <f>IF(AA156="","",AA156*T156)</f>
        <v/>
      </c>
      <c r="AC156" s="133">
        <f>IF(W156="yes",AB156,"")</f>
        <v/>
      </c>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n"/>
      <c r="S157" s="166" t="n"/>
      <c r="T157" s="205" t="n">
        <v>1</v>
      </c>
      <c r="U157" s="133" t="n"/>
      <c r="W157" s="208" t="inlineStr">
        <is>
          <t>yes</t>
        </is>
      </c>
      <c r="X157" s="726" t="n"/>
      <c r="AA157" s="734" t="n">
        <v>10.44321727752686</v>
      </c>
      <c r="AB157" s="734">
        <f>IF(AA157="","",AA157*T157)</f>
        <v/>
      </c>
      <c r="AC157" s="133">
        <f>IF(W157="yes",AB157,"")</f>
        <v/>
      </c>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n"/>
      <c r="S158" s="166" t="n"/>
      <c r="T158" s="205" t="n">
        <v>1</v>
      </c>
      <c r="U158" s="133" t="n"/>
      <c r="W158" s="208" t="inlineStr">
        <is>
          <t>yes</t>
        </is>
      </c>
      <c r="X158" s="726" t="n"/>
      <c r="AA158" s="734" t="n">
        <v>10.73201084136963</v>
      </c>
      <c r="AB158" s="734">
        <f>IF(AA158="","",AA158*T158)</f>
        <v/>
      </c>
      <c r="AC158" s="133">
        <f>IF(W158="yes",AB158,"")</f>
        <v/>
      </c>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 xml:space="preserve">1-5 = fies_hungry </t>
        </is>
      </c>
      <c r="P159" s="163" t="n"/>
      <c r="Q159" s="162" t="inlineStr">
        <is>
          <t>if fies_ranout_hhs = 1-5, go to fies_hungry</t>
        </is>
      </c>
      <c r="R159" s="190" t="n"/>
      <c r="S159" s="166" t="n"/>
      <c r="T159" s="205" t="n">
        <v>1</v>
      </c>
      <c r="U159" s="133" t="n"/>
      <c r="W159" s="208" t="inlineStr">
        <is>
          <t>yes</t>
        </is>
      </c>
      <c r="X159" s="726" t="n"/>
      <c r="AA159" s="734" t="n">
        <v>11.58613967895508</v>
      </c>
      <c r="AB159" s="734">
        <f>IF(AA159="","",AA159*T159)</f>
        <v/>
      </c>
      <c r="AC159" s="133">
        <f>IF(W159="yes",AB159,"")</f>
        <v/>
      </c>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n"/>
      <c r="S160" s="166" t="n"/>
      <c r="T160" s="205" t="n">
        <v>1</v>
      </c>
      <c r="U160" s="133" t="n"/>
      <c r="W160" s="208" t="inlineStr">
        <is>
          <t>yes</t>
        </is>
      </c>
      <c r="X160" s="726" t="n"/>
      <c r="AA160" s="734" t="n">
        <v>9.75520133972168</v>
      </c>
      <c r="AB160" s="734">
        <f>IF(AA160="","",AA160*T160)</f>
        <v/>
      </c>
      <c r="AC160" s="133">
        <f>IF(W160="yes",AB160,"")</f>
        <v/>
      </c>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n"/>
      <c r="S161" s="166" t="n"/>
      <c r="T161" s="205" t="n">
        <v>1</v>
      </c>
      <c r="U161" s="133" t="n"/>
      <c r="W161" s="208" t="inlineStr">
        <is>
          <t>yes</t>
        </is>
      </c>
      <c r="X161" s="726" t="n"/>
      <c r="AA161" s="734" t="n">
        <v>7.94479513168335</v>
      </c>
      <c r="AB161" s="734">
        <f>IF(AA161="","",AA161*T161)</f>
        <v/>
      </c>
      <c r="AC161" s="133">
        <f>IF(W161="yes",AB161,"")</f>
        <v/>
      </c>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n"/>
      <c r="S162" s="166" t="n"/>
      <c r="T162" s="205" t="n">
        <v>1</v>
      </c>
      <c r="U162" s="133" t="n"/>
      <c r="W162" s="208" t="inlineStr">
        <is>
          <t>yes</t>
        </is>
      </c>
      <c r="X162" s="726" t="n"/>
      <c r="AA162" s="734" t="n">
        <v>7.931224822998047</v>
      </c>
      <c r="AB162" s="734">
        <f>IF(AA162="","",AA162*T162)</f>
        <v/>
      </c>
      <c r="AC162" s="133">
        <f>IF(W162="yes",AB162,"")</f>
        <v/>
      </c>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n"/>
      <c r="S163" s="166" t="n"/>
      <c r="T163" s="205" t="n">
        <v>1</v>
      </c>
      <c r="U163" s="133" t="n"/>
      <c r="W163" s="208" t="inlineStr">
        <is>
          <t>yes</t>
        </is>
      </c>
      <c r="X163" s="726" t="n"/>
      <c r="AA163" s="734" t="n">
        <v>5.339005947113037</v>
      </c>
      <c r="AB163" s="734">
        <f>IF(AA163="","",AA163*T163)</f>
        <v/>
      </c>
      <c r="AC163" s="133">
        <f>IF(W163="yes",AB163,"")</f>
        <v/>
      </c>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n"/>
      <c r="R164" s="559" t="n"/>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26" t="n"/>
      <c r="AA164" s="735" t="n">
        <v>3.816555500030518</v>
      </c>
      <c r="AB164" s="735">
        <f>IF(AA164="","",AA164*T164)</f>
        <v/>
      </c>
      <c r="AC164" s="133">
        <f>IF(W164="yes",AB164,"")</f>
        <v/>
      </c>
    </row>
    <row r="165" ht="273" customFormat="1" customHeight="1" s="183">
      <c r="A165" s="155">
        <f>A164+1</f>
        <v/>
      </c>
      <c r="B165" s="184" t="inlineStr">
        <is>
          <t>cs_stress_hh_assets</t>
        </is>
      </c>
      <c r="C165" s="184" t="inlineStr">
        <is>
          <t xml:space="preserve"> 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n"/>
      <c r="R165" s="540" t="n"/>
      <c r="S165" s="166" t="n"/>
      <c r="T165" s="132" t="n">
        <v>1</v>
      </c>
      <c r="U165" s="133" t="n"/>
      <c r="W165" s="194" t="inlineStr">
        <is>
          <t>no</t>
        </is>
      </c>
      <c r="X165" s="726" t="n"/>
      <c r="AA165" s="735" t="n">
        <v>16.82703018188477</v>
      </c>
      <c r="AB165" s="735">
        <f>IF(AA165="","",AA165*T165)</f>
        <v/>
      </c>
      <c r="AC165" s="133">
        <f>IF(W165="yes",AB165,"")</f>
        <v/>
      </c>
    </row>
    <row r="166" ht="252" customFormat="1" customHeight="1" s="183">
      <c r="A166" s="155">
        <f>A165+1</f>
        <v/>
      </c>
      <c r="B166" s="184" t="inlineStr">
        <is>
          <t>cs_stress_spent_savings</t>
        </is>
      </c>
      <c r="C166" s="184" t="inlineStr">
        <is>
          <t xml:space="preserve"> 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n"/>
      <c r="R166" s="540" t="n"/>
      <c r="S166" s="166" t="n"/>
      <c r="T166" s="132" t="n">
        <v>1</v>
      </c>
      <c r="U166" s="133" t="n"/>
      <c r="W166" s="194" t="inlineStr">
        <is>
          <t>no</t>
        </is>
      </c>
      <c r="X166" s="726" t="n"/>
      <c r="AA166" s="735" t="n">
        <v>12.21140480041504</v>
      </c>
      <c r="AB166" s="735">
        <f>IF(AA166="","",AA166*T166)</f>
        <v/>
      </c>
      <c r="AC166" s="133">
        <f>IF(W166="yes",AB166,"")</f>
        <v/>
      </c>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n"/>
      <c r="R167" s="540" t="n"/>
      <c r="S167" s="166" t="n"/>
      <c r="T167" s="132" t="n">
        <v>1</v>
      </c>
      <c r="U167" s="133" t="n"/>
      <c r="W167" s="194" t="inlineStr">
        <is>
          <t>no</t>
        </is>
      </c>
      <c r="X167" s="726" t="n"/>
      <c r="AA167" s="735" t="n">
        <v>10.39294910430908</v>
      </c>
      <c r="AB167" s="735">
        <f>IF(AA167="","",AA167*T167)</f>
        <v/>
      </c>
      <c r="AC167" s="133">
        <f>IF(W167="yes",AB167,"")</f>
        <v/>
      </c>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n"/>
      <c r="R168" s="540" t="n"/>
      <c r="S168" s="166" t="n"/>
      <c r="T168" s="132" t="n">
        <v>1</v>
      </c>
      <c r="U168" s="133" t="n"/>
      <c r="W168" s="194" t="inlineStr">
        <is>
          <t>no</t>
        </is>
      </c>
      <c r="X168" s="726" t="n"/>
      <c r="AA168" s="735" t="n">
        <v>11.91341400146484</v>
      </c>
      <c r="AB168" s="735">
        <f>IF(AA168="","",AA168*T168)</f>
        <v/>
      </c>
      <c r="AC168" s="133">
        <f>IF(W168="yes",AB168,"")</f>
        <v/>
      </c>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n"/>
      <c r="R169" s="540" t="n"/>
      <c r="S169" s="166" t="n"/>
      <c r="T169" s="132" t="n">
        <v>1</v>
      </c>
      <c r="U169" s="133" t="n"/>
      <c r="W169" s="194" t="inlineStr">
        <is>
          <t>no</t>
        </is>
      </c>
      <c r="X169" s="726" t="n"/>
      <c r="AA169" s="735" t="n">
        <v>11.45889282226562</v>
      </c>
      <c r="AB169" s="735">
        <f>IF(AA169="","",AA169*T169)</f>
        <v/>
      </c>
      <c r="AC169" s="133">
        <f>IF(W169="yes",AB169,"")</f>
        <v/>
      </c>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n"/>
      <c r="R170" s="540" t="n"/>
      <c r="S170" s="166" t="n"/>
      <c r="T170" s="132" t="n">
        <v>1</v>
      </c>
      <c r="U170" s="133" t="n"/>
      <c r="W170" s="194" t="inlineStr">
        <is>
          <t>no</t>
        </is>
      </c>
      <c r="X170" s="726" t="n"/>
      <c r="AA170" s="735" t="n">
        <v>10.84387874603271</v>
      </c>
      <c r="AB170" s="735">
        <f>IF(AA170="","",AA170*T170)</f>
        <v/>
      </c>
      <c r="AC170" s="133">
        <f>IF(W170="yes",AB170,"")</f>
        <v/>
      </c>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n"/>
      <c r="R171" s="540" t="n"/>
      <c r="S171" s="166" t="n"/>
      <c r="T171" s="132" t="n">
        <v>1</v>
      </c>
      <c r="U171" s="133" t="n"/>
      <c r="W171" s="194" t="inlineStr">
        <is>
          <t>no</t>
        </is>
      </c>
      <c r="X171" s="726" t="n"/>
      <c r="AA171" s="735" t="n">
        <v>8.231814384460449</v>
      </c>
      <c r="AB171" s="735">
        <f>IF(AA171="","",AA171*T171)</f>
        <v/>
      </c>
      <c r="AC171" s="133">
        <f>IF(W171="yes",AB171,"")</f>
        <v/>
      </c>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n"/>
      <c r="R172" s="540" t="n"/>
      <c r="S172" s="166" t="n"/>
      <c r="T172" s="132" t="n">
        <v>1</v>
      </c>
      <c r="U172" s="133" t="n"/>
      <c r="W172" s="194" t="inlineStr">
        <is>
          <t>no</t>
        </is>
      </c>
      <c r="X172" s="726" t="n"/>
      <c r="AA172" s="735" t="n">
        <v>11.93405628204346</v>
      </c>
      <c r="AB172" s="735">
        <f>IF(AA172="","",AA172*T172)</f>
        <v/>
      </c>
      <c r="AC172" s="133">
        <f>IF(W172="yes",AB172,"")</f>
        <v/>
      </c>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n"/>
      <c r="R173" s="562" t="n"/>
      <c r="S173" s="166" t="n"/>
      <c r="T173" s="132" t="n">
        <v>1</v>
      </c>
      <c r="U173" s="133" t="n"/>
      <c r="W173" s="194" t="inlineStr">
        <is>
          <t>no</t>
        </is>
      </c>
      <c r="X173" s="726" t="n"/>
      <c r="AA173" s="735" t="n">
        <v>12.7567195892334</v>
      </c>
      <c r="AB173" s="735">
        <f>IF(AA173="","",AA173*T173)</f>
        <v/>
      </c>
      <c r="AC173" s="133">
        <f>IF(W173="yes",AB173,"")</f>
        <v/>
      </c>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n"/>
      <c r="R174" s="564" t="n"/>
      <c r="S174" s="166" t="n"/>
      <c r="T174" s="132" t="n">
        <v>1</v>
      </c>
      <c r="U174" s="133" t="n"/>
      <c r="W174" s="194" t="inlineStr">
        <is>
          <t>no</t>
        </is>
      </c>
      <c r="X174" s="726" t="n"/>
      <c r="AA174" s="735" t="n">
        <v>7.892221450805664</v>
      </c>
      <c r="AB174" s="735">
        <f>IF(AA174="","",AA174*T174)</f>
        <v/>
      </c>
      <c r="AC174" s="133">
        <f>IF(W174="yes",AB174,"")</f>
        <v/>
      </c>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n"/>
      <c r="R175" s="564" t="n"/>
      <c r="S175" s="166" t="n"/>
      <c r="T175" s="132" t="n">
        <v>1</v>
      </c>
      <c r="U175" s="133" t="n"/>
      <c r="W175" s="194" t="inlineStr">
        <is>
          <t>no</t>
        </is>
      </c>
      <c r="X175" s="726" t="n"/>
      <c r="AA175" s="735" t="n">
        <v>9.518729209899902</v>
      </c>
      <c r="AB175" s="735">
        <f>IF(AA175="","",AA175*T175)</f>
        <v/>
      </c>
      <c r="AC175" s="133">
        <f>IF(W175="yes",AB175,"")</f>
        <v/>
      </c>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n"/>
      <c r="R176" s="564" t="n"/>
      <c r="S176" s="166" t="n"/>
      <c r="T176" s="132" t="n">
        <v>1</v>
      </c>
      <c r="U176" s="133" t="n"/>
      <c r="W176" s="194" t="inlineStr">
        <is>
          <t>no</t>
        </is>
      </c>
      <c r="X176" s="726" t="n"/>
      <c r="AA176" s="735" t="n">
        <v>9.105807304382324</v>
      </c>
      <c r="AB176" s="735">
        <f>IF(AA176="","",AA176*T176)</f>
        <v/>
      </c>
      <c r="AC176" s="133">
        <f>IF(W176="yes",AB176,"")</f>
        <v/>
      </c>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n"/>
      <c r="R177" s="564" t="n"/>
      <c r="S177" s="166" t="n"/>
      <c r="T177" s="132" t="n">
        <v>1</v>
      </c>
      <c r="U177" s="133" t="n"/>
      <c r="W177" s="194" t="inlineStr">
        <is>
          <t>no</t>
        </is>
      </c>
      <c r="X177" s="726" t="n"/>
      <c r="AA177" s="735" t="n">
        <v>11.21794319152832</v>
      </c>
      <c r="AB177" s="735">
        <f>IF(AA177="","",AA177*T177)</f>
        <v/>
      </c>
      <c r="AC177" s="133">
        <f>IF(W177="yes",AB177,"")</f>
        <v/>
      </c>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n"/>
      <c r="R178" s="573" t="n"/>
      <c r="S178" s="574" t="n"/>
      <c r="T178" s="575" t="n">
        <v>1</v>
      </c>
      <c r="U178" s="576" t="n"/>
      <c r="W178" s="578" t="inlineStr">
        <is>
          <t>no</t>
        </is>
      </c>
      <c r="X178" s="579" t="n"/>
      <c r="AA178" s="744" t="n">
        <v>9.06495475769043</v>
      </c>
      <c r="AB178" s="744">
        <f>IF(AA178="","",AA178*T178)</f>
        <v/>
      </c>
      <c r="AC178" s="576">
        <f>IF(W178="yes",AB178,"")</f>
        <v/>
      </c>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n"/>
      <c r="S179" s="582" t="n"/>
      <c r="T179" s="205" t="n">
        <v>1</v>
      </c>
      <c r="U179" s="133" t="n"/>
      <c r="W179" s="208" t="inlineStr">
        <is>
          <t>yes</t>
        </is>
      </c>
      <c r="X179" s="726" t="n"/>
      <c r="AA179" s="734" t="n">
        <v>52.17435836791992</v>
      </c>
      <c r="AB179" s="734">
        <f>IF(AA179="","",AA179*T179)</f>
        <v/>
      </c>
      <c r="AC179" s="133">
        <f>IF(W179="yes",AB179,"")</f>
        <v/>
      </c>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n"/>
      <c r="S180" s="585" t="n"/>
      <c r="T180" s="205" t="n">
        <v>1</v>
      </c>
      <c r="U180" s="133" t="n"/>
      <c r="W180" s="208" t="inlineStr">
        <is>
          <t>yes</t>
        </is>
      </c>
      <c r="X180" s="726" t="n"/>
      <c r="AA180" s="734" t="n">
        <v>1.287102341651917</v>
      </c>
      <c r="AB180" s="734">
        <f>IF(AA180="","",AA180*T180)</f>
        <v/>
      </c>
      <c r="AC180" s="133">
        <f>IF(W180="yes",AB180,"")</f>
        <v/>
      </c>
    </row>
    <row r="181" ht="126" customFormat="1" customHeight="1" s="183">
      <c r="A181" s="155">
        <f>A180+1</f>
        <v/>
      </c>
      <c r="B181" s="586" t="inlineStr">
        <is>
          <t>fcs_intro</t>
        </is>
      </c>
      <c r="C181" s="586" t="inlineStr">
        <is>
          <t>fcs_intro</t>
        </is>
      </c>
      <c r="D181" s="587" t="inlineStr">
        <is>
          <t xml:space="preserve">Now I would like to ask you about the foods and drinks your household ate or drank in the last 7 days during the day and at night [breakfast, lunch, dinner, snacks]. 
1)CONTINUE
</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n"/>
      <c r="S181" s="280" t="n"/>
      <c r="T181" s="132" t="n">
        <v>1</v>
      </c>
      <c r="U181" s="133" t="n"/>
      <c r="W181" s="194" t="inlineStr">
        <is>
          <t>no</t>
        </is>
      </c>
      <c r="X181" s="726" t="n"/>
      <c r="AA181" s="735" t="n">
        <v>5.644973278045654</v>
      </c>
      <c r="AB181" s="735">
        <f>IF(AA181="","",AA181*T181)</f>
        <v/>
      </c>
      <c r="AC181" s="133">
        <f>IF(W181="yes",AB181,"")</f>
        <v/>
      </c>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n"/>
      <c r="S182" s="502" t="n"/>
      <c r="T182" s="132" t="n">
        <v>1</v>
      </c>
      <c r="U182" s="133" t="n"/>
      <c r="W182" s="194" t="inlineStr">
        <is>
          <t>no</t>
        </is>
      </c>
      <c r="X182" s="726" t="n"/>
      <c r="AA182" s="735" t="n">
        <v>26.99896049499512</v>
      </c>
      <c r="AB182" s="735">
        <f>IF(AA182="","",AA182*T182)</f>
        <v/>
      </c>
      <c r="AC182" s="133">
        <f>IF(W182="yes",AB182,"")</f>
        <v/>
      </c>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n"/>
      <c r="S183" s="502" t="n"/>
      <c r="T183" s="132" t="n">
        <v>1</v>
      </c>
      <c r="U183" s="133" t="n"/>
      <c r="W183" s="194" t="inlineStr">
        <is>
          <t>no</t>
        </is>
      </c>
      <c r="X183" s="726" t="n"/>
      <c r="AA183" s="735" t="n">
        <v>18.27383232116699</v>
      </c>
      <c r="AB183" s="735">
        <f>IF(AA183="","",AA183*T183)</f>
        <v/>
      </c>
      <c r="AC183" s="133">
        <f>IF(W183="yes",AB183,"")</f>
        <v/>
      </c>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n"/>
      <c r="S184" s="502" t="n"/>
      <c r="T184" s="132" t="n">
        <v>1</v>
      </c>
      <c r="U184" s="133" t="n"/>
      <c r="W184" s="194" t="inlineStr">
        <is>
          <t>no</t>
        </is>
      </c>
      <c r="X184" s="726" t="n"/>
      <c r="AA184" s="735" t="n">
        <v>16.35211563110352</v>
      </c>
      <c r="AB184" s="735">
        <f>IF(AA184="","",AA184*T184)</f>
        <v/>
      </c>
      <c r="AC184" s="133">
        <f>IF(W184="yes",AB184,"")</f>
        <v/>
      </c>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n"/>
      <c r="S185" s="502" t="n"/>
      <c r="T185" s="132" t="n">
        <v>1</v>
      </c>
      <c r="U185" s="133" t="n"/>
      <c r="W185" s="194" t="inlineStr">
        <is>
          <t>no</t>
        </is>
      </c>
      <c r="X185" s="726" t="n"/>
      <c r="AA185" s="735" t="n">
        <v>14.01507568359375</v>
      </c>
      <c r="AB185" s="735">
        <f>IF(AA185="","",AA185*T185)</f>
        <v/>
      </c>
      <c r="AC185" s="133">
        <f>IF(W185="yes",AB185,"")</f>
        <v/>
      </c>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n"/>
      <c r="S186" s="502" t="n"/>
      <c r="T186" s="132" t="n">
        <v>1</v>
      </c>
      <c r="U186" s="133" t="n"/>
      <c r="W186" s="194" t="inlineStr">
        <is>
          <t>no</t>
        </is>
      </c>
      <c r="X186" s="726" t="n"/>
      <c r="AA186" s="735" t="n">
        <v>17.22746658325195</v>
      </c>
      <c r="AB186" s="735">
        <f>IF(AA186="","",AA186*T186)</f>
        <v/>
      </c>
      <c r="AC186" s="133">
        <f>IF(W186="yes",AB186,"")</f>
        <v/>
      </c>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n"/>
      <c r="S187" s="502" t="n"/>
      <c r="T187" s="132" t="n">
        <v>1</v>
      </c>
      <c r="U187" s="133" t="n"/>
      <c r="W187" s="194" t="inlineStr">
        <is>
          <t>no</t>
        </is>
      </c>
      <c r="X187" s="726" t="n"/>
      <c r="AA187" s="735" t="n">
        <v>19.49277471670652</v>
      </c>
      <c r="AB187" s="735">
        <f>IF(AA187="","",AA187*T187)</f>
        <v/>
      </c>
      <c r="AC187" s="133">
        <f>IF(W187="yes",AB187,"")</f>
        <v/>
      </c>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n"/>
      <c r="S188" s="502" t="n"/>
      <c r="T188" s="132" t="n">
        <v>1</v>
      </c>
      <c r="U188" s="133" t="n"/>
      <c r="W188" s="194" t="inlineStr">
        <is>
          <t>no</t>
        </is>
      </c>
      <c r="X188" s="726" t="n"/>
      <c r="AA188" s="735" t="n">
        <v>14.17413425445557</v>
      </c>
      <c r="AB188" s="735">
        <f>IF(AA188="","",AA188*T188)</f>
        <v/>
      </c>
      <c r="AC188" s="133">
        <f>IF(W188="yes",AB188,"")</f>
        <v/>
      </c>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n"/>
      <c r="S189" s="502" t="n"/>
      <c r="T189" s="132" t="n">
        <v>1</v>
      </c>
      <c r="U189" s="133" t="n"/>
      <c r="W189" s="194" t="inlineStr">
        <is>
          <t>no</t>
        </is>
      </c>
      <c r="X189" s="726" t="n"/>
      <c r="AA189" s="735" t="n">
        <v>13.37862586975098</v>
      </c>
      <c r="AB189" s="735">
        <f>IF(AA189="","",AA189*T189)</f>
        <v/>
      </c>
      <c r="AC189" s="133">
        <f>IF(W189="yes",AB189,"")</f>
        <v/>
      </c>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n"/>
      <c r="S190" s="502" t="n"/>
      <c r="T190" s="132" t="n">
        <v>1</v>
      </c>
      <c r="U190" s="133" t="n"/>
      <c r="W190" s="194" t="inlineStr">
        <is>
          <t>no</t>
        </is>
      </c>
      <c r="X190" s="726" t="n"/>
      <c r="AA190" s="735" t="n">
        <v>12.75652313232422</v>
      </c>
      <c r="AB190" s="735">
        <f>IF(AA190="","",AA190*T190)</f>
        <v/>
      </c>
      <c r="AC190" s="133">
        <f>IF(W190="yes",AB190,"")</f>
        <v/>
      </c>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n"/>
      <c r="S191" s="502" t="n"/>
      <c r="T191" s="132" t="n">
        <v>1</v>
      </c>
      <c r="U191" s="133" t="n"/>
      <c r="W191" s="194" t="inlineStr">
        <is>
          <t>no</t>
        </is>
      </c>
      <c r="X191" s="726" t="n"/>
      <c r="AA191" s="735" t="n">
        <v>5.834917068481445</v>
      </c>
      <c r="AB191" s="735">
        <f>IF(AA191="","",AA191*T191)</f>
        <v/>
      </c>
      <c r="AC191" s="133">
        <f>IF(W191="yes",AB191,"")</f>
        <v/>
      </c>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n"/>
      <c r="S192" s="502" t="n"/>
      <c r="T192" s="132" t="n">
        <v>1</v>
      </c>
      <c r="U192" s="133" t="n"/>
      <c r="W192" s="194" t="inlineStr">
        <is>
          <t>no</t>
        </is>
      </c>
      <c r="X192" s="726" t="n"/>
      <c r="AA192" s="735" t="n">
        <v>28.60844549470872</v>
      </c>
      <c r="AB192" s="735">
        <f>IF(AA192="","",AA192*T192)</f>
        <v/>
      </c>
      <c r="AC192" s="133">
        <f>IF(W192="yes",AB192,"")</f>
        <v/>
      </c>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n"/>
      <c r="S193" s="502" t="n"/>
      <c r="T193" s="132" t="n">
        <v>1</v>
      </c>
      <c r="U193" s="133" t="n"/>
      <c r="W193" s="194" t="inlineStr">
        <is>
          <t>no</t>
        </is>
      </c>
      <c r="X193" s="726" t="n"/>
      <c r="AA193" s="735" t="n">
        <v>14.61820602416992</v>
      </c>
      <c r="AB193" s="735">
        <f>IF(AA193="","",AA193*T193)</f>
        <v/>
      </c>
      <c r="AC193" s="133">
        <f>IF(W193="yes",AB193,"")</f>
        <v/>
      </c>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n"/>
      <c r="S194" s="502" t="n"/>
      <c r="T194" s="132" t="n">
        <v>1</v>
      </c>
      <c r="U194" s="133" t="n"/>
      <c r="W194" s="194" t="inlineStr">
        <is>
          <t>no</t>
        </is>
      </c>
      <c r="X194" s="726" t="n"/>
      <c r="AA194" s="735" t="n">
        <v>13.777663230896</v>
      </c>
      <c r="AB194" s="735">
        <f>IF(AA194="","",AA194*T194)</f>
        <v/>
      </c>
      <c r="AC194" s="133">
        <f>IF(W194="yes",AB194,"")</f>
        <v/>
      </c>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n"/>
      <c r="S195" s="280" t="n"/>
      <c r="T195" s="132" t="n">
        <v>1</v>
      </c>
      <c r="U195" s="133" t="n"/>
      <c r="W195" s="194" t="inlineStr">
        <is>
          <t>no</t>
        </is>
      </c>
      <c r="X195" s="726" t="n"/>
      <c r="AA195" s="735" t="n">
        <v>12.39977359771729</v>
      </c>
      <c r="AB195" s="735">
        <f>IF(AA195="","",AA195*T195)</f>
        <v/>
      </c>
      <c r="AC195" s="133">
        <f>IF(W195="yes",AB195,"")</f>
        <v/>
      </c>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n"/>
      <c r="S196" s="280" t="n"/>
      <c r="T196" s="132" t="n">
        <v>1</v>
      </c>
      <c r="U196" s="133" t="n"/>
      <c r="W196" s="194" t="inlineStr">
        <is>
          <t>no</t>
        </is>
      </c>
      <c r="X196" s="726" t="n"/>
      <c r="AA196" s="735" t="n">
        <v>13.34388160705566</v>
      </c>
      <c r="AB196" s="735">
        <f>IF(AA196="","",AA196*T196)</f>
        <v/>
      </c>
      <c r="AC196" s="133">
        <f>IF(W196="yes",AB196,"")</f>
        <v/>
      </c>
    </row>
    <row r="197" ht="21.5" customFormat="1" customHeight="1" s="207" thickBot="1">
      <c r="A197" s="710"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n"/>
      <c r="S198" s="153" t="n"/>
      <c r="T198" s="205" t="n">
        <v>1</v>
      </c>
      <c r="U198" s="429" t="n"/>
      <c r="W198" s="431" t="inlineStr">
        <is>
          <t>yes</t>
        </is>
      </c>
      <c r="X198" s="725" t="n"/>
      <c r="AA198" s="743" t="n">
        <v>14.47277355194092</v>
      </c>
      <c r="AB198" s="734">
        <f>IF(AA198="","",AA198*T198)</f>
        <v/>
      </c>
      <c r="AC198" s="133">
        <f>IF(W198="yes",AB198,"")</f>
        <v/>
      </c>
    </row>
    <row r="199" ht="213.65" customFormat="1" customHeight="1" s="430">
      <c r="A199" s="596">
        <f>A198+1</f>
        <v/>
      </c>
      <c r="B199" s="146" t="inlineStr">
        <is>
          <t>need_type</t>
        </is>
      </c>
      <c r="C199" s="156" t="n"/>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 xml:space="preserve">Open Ended - Select All That Apply </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n"/>
      <c r="S199" s="327" t="n"/>
      <c r="T199" s="205" t="n"/>
      <c r="U199" s="429" t="n"/>
      <c r="W199" s="431" t="n"/>
      <c r="X199" s="725" t="n"/>
      <c r="AA199" s="743" t="n"/>
      <c r="AB199" s="734" t="n"/>
      <c r="AC199" s="133" t="n"/>
    </row>
    <row r="200" ht="213.65" customFormat="1" customHeight="1" s="430">
      <c r="A200" s="596" t="n"/>
      <c r="B200" s="173" t="inlineStr">
        <is>
          <t>need_type_main</t>
        </is>
      </c>
      <c r="C200" s="156" t="n"/>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n"/>
      <c r="S200" s="327" t="n"/>
      <c r="T200" s="205" t="n"/>
      <c r="U200" s="429" t="n"/>
      <c r="W200" s="431" t="n"/>
      <c r="X200" s="725" t="n"/>
      <c r="AA200" s="743" t="n"/>
      <c r="AB200" s="734" t="n"/>
      <c r="AC200" s="133" t="n"/>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 xml:space="preserve">Open Ended-Select All That Apply </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n"/>
      <c r="S201" s="166" t="n"/>
      <c r="T201" s="205" t="n">
        <v>1</v>
      </c>
      <c r="U201" s="133" t="n"/>
      <c r="W201" s="208" t="inlineStr">
        <is>
          <t>yes</t>
        </is>
      </c>
      <c r="X201" s="726" t="n"/>
      <c r="AA201" s="734" t="n">
        <v>33.74076461791992</v>
      </c>
      <c r="AB201" s="734">
        <f>IF(AA201="","",AA201*T201)</f>
        <v/>
      </c>
      <c r="AC201" s="133">
        <f>IF(W201="yes",AB201,"")</f>
        <v/>
      </c>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 xml:space="preserve">Open Ended-Select All That Apply </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 xml:space="preserve">if need_received = 1-9, go to assistance_quality.
Otherwise, go to callback. </t>
        </is>
      </c>
      <c r="R202" s="540" t="n"/>
      <c r="S202" s="166" t="n"/>
      <c r="T202" s="132" t="n">
        <v>1</v>
      </c>
      <c r="U202" s="133" t="n"/>
      <c r="W202" s="208" t="inlineStr">
        <is>
          <t>yes</t>
        </is>
      </c>
      <c r="X202" s="726" t="n"/>
      <c r="AA202" s="734" t="n">
        <v>14.55059909820557</v>
      </c>
      <c r="AB202" s="734">
        <f>IF(AA202="","",AA202*T202)</f>
        <v/>
      </c>
      <c r="AC202" s="133">
        <f>IF(W202="yes",AB202,"")</f>
        <v/>
      </c>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n"/>
      <c r="S203" s="166" t="n"/>
      <c r="T203" s="132" t="n">
        <v>1</v>
      </c>
      <c r="U203" s="133" t="n"/>
      <c r="W203" s="208" t="inlineStr">
        <is>
          <t>yes</t>
        </is>
      </c>
      <c r="X203" s="726" t="n"/>
      <c r="AA203" s="734" t="n">
        <v>10.81245613098145</v>
      </c>
      <c r="AB203" s="734">
        <f>IF(AA203="","",AA203*T203)</f>
        <v/>
      </c>
      <c r="AC203" s="133">
        <f>IF(W203="yes",AB203,"")</f>
        <v/>
      </c>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1)assistance_provider_CHANGEDTOKEN
3)assistance_otherun
4)assistance_gov
5)assistance_ngo
6)assistance_dk
7)assistance_ref
99)assistance_provider_ADDED99</t>
        </is>
      </c>
      <c r="O204" s="540" t="inlineStr">
        <is>
          <t>1-7 = callback</t>
        </is>
      </c>
      <c r="P204" s="560" t="n"/>
      <c r="Q204" s="190" t="inlineStr">
        <is>
          <t xml:space="preserve">if assistance_provider = 1-7, go to callback </t>
        </is>
      </c>
      <c r="R204" s="512" t="n"/>
      <c r="S204" s="605" t="n"/>
      <c r="T204" s="132" t="n">
        <v>1</v>
      </c>
      <c r="U204" s="133" t="n"/>
      <c r="W204" s="194" t="inlineStr">
        <is>
          <t>no</t>
        </is>
      </c>
      <c r="X204" s="726" t="n"/>
      <c r="AA204" s="735" t="n">
        <v>10.81245613098145</v>
      </c>
      <c r="AB204" s="735">
        <f>IF(AA204="","",AA204*T204)</f>
        <v/>
      </c>
      <c r="AC204" s="133">
        <f>IF(W204="yes",AB204,"")</f>
        <v/>
      </c>
    </row>
    <row r="205" ht="21.5" customFormat="1" customHeight="1" s="207" thickBot="1">
      <c r="A205" s="710"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n"/>
      <c r="S206" s="153" t="n"/>
      <c r="T206" s="205" t="n">
        <v>1</v>
      </c>
      <c r="U206" s="133" t="n"/>
      <c r="W206" s="208" t="inlineStr">
        <is>
          <t>yes</t>
        </is>
      </c>
      <c r="X206" s="726" t="n"/>
      <c r="AA206" s="734" t="n">
        <v>14.94646453857422</v>
      </c>
      <c r="AB206" s="734">
        <f>IF(AA206="","",AA206*T206)</f>
        <v/>
      </c>
      <c r="AC206" s="133">
        <f>IF(W206="yes",AB206,"")</f>
        <v/>
      </c>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n"/>
      <c r="S207" s="613" t="n"/>
      <c r="T207" s="614" t="n">
        <v>1</v>
      </c>
      <c r="U207" s="315" t="n"/>
      <c r="W207" s="615" t="inlineStr">
        <is>
          <t>yes - panel</t>
        </is>
      </c>
      <c r="AA207" s="745" t="n">
        <v>19.35491371154785</v>
      </c>
      <c r="AB207" s="734">
        <f>IF(AA207="","",AA207*T207)</f>
        <v/>
      </c>
      <c r="AC207" s="133">
        <f>IF(W207="yes",AB207,"")</f>
        <v/>
      </c>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n"/>
      <c r="S208" s="613" t="n"/>
      <c r="T208" s="614" t="n">
        <v>1</v>
      </c>
      <c r="U208" s="315" t="n"/>
      <c r="W208" s="615" t="inlineStr">
        <is>
          <t>yes - panel</t>
        </is>
      </c>
      <c r="AA208" s="745" t="n">
        <v>15.88939952850342</v>
      </c>
      <c r="AB208" s="734">
        <f>IF(AA208="","",AA208*T208)</f>
        <v/>
      </c>
      <c r="AC208" s="133">
        <f>IF(W208="yes",AB208,"")</f>
        <v/>
      </c>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n"/>
      <c r="S209" s="624" t="n"/>
      <c r="T209" s="205" t="n">
        <v>1</v>
      </c>
      <c r="U209" s="133" t="n"/>
      <c r="W209" s="208" t="inlineStr">
        <is>
          <t>yes</t>
        </is>
      </c>
      <c r="X209" s="726" t="n"/>
      <c r="AA209" s="734" t="n">
        <v>17.30915408839179</v>
      </c>
      <c r="AB209" s="734">
        <f>IF(AA209="","",AA209*T209)</f>
        <v/>
      </c>
      <c r="AC209" s="133">
        <f>IF(W209="yes",AB209,"")</f>
        <v/>
      </c>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n"/>
      <c r="O210" s="628" t="inlineStr">
        <is>
          <t>NA</t>
        </is>
      </c>
      <c r="P210" s="629" t="n"/>
      <c r="Q210" s="630" t="inlineStr">
        <is>
          <t>NA</t>
        </is>
      </c>
      <c r="R210" s="631" t="n"/>
      <c r="S210" s="632" t="n"/>
      <c r="T210" s="205" t="n">
        <v>1</v>
      </c>
      <c r="U210" s="726" t="n"/>
      <c r="W210" s="194" t="inlineStr">
        <is>
          <t>no</t>
        </is>
      </c>
      <c r="X210" s="726" t="n"/>
      <c r="AA210" s="746" t="n"/>
      <c r="AB210" s="734">
        <f>IF(AA210="","",AA210*T210)</f>
        <v/>
      </c>
      <c r="AC210" s="133">
        <f>IF(W210="yes",AB210,"")</f>
        <v/>
      </c>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n"/>
      <c r="O211" s="637" t="inlineStr">
        <is>
          <t>NA</t>
        </is>
      </c>
      <c r="P211" s="638" t="n"/>
      <c r="Q211" s="639" t="inlineStr">
        <is>
          <t>NA</t>
        </is>
      </c>
      <c r="AA211" s="747" t="n"/>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n"/>
      <c r="O212" s="637" t="inlineStr">
        <is>
          <t>NA</t>
        </is>
      </c>
      <c r="P212" s="638" t="n"/>
      <c r="Q212" s="639" t="inlineStr">
        <is>
          <t>NA</t>
        </is>
      </c>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n"/>
      <c r="O213" s="637" t="inlineStr">
        <is>
          <t>NA</t>
        </is>
      </c>
      <c r="P213" s="638" t="n"/>
      <c r="Q213" s="639" t="inlineStr">
        <is>
          <t>NA</t>
        </is>
      </c>
    </row>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09"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07"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07"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07"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07"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07"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08"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09"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07"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07"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07"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07"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08"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06"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07"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08"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2026-05-20T10:19:54Z</dcterms:modified>
  <cp:lastModifiedBy>edoardo forzano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