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1" activeTab="1" autoFilterDateGrouping="1"/>
  </bookViews>
  <sheets>
    <sheet name="survey" sheetId="1" state="visible" r:id="rId1"/>
    <sheet name="choices" sheetId="2" state="visible" r:id="rId2"/>
    <sheet name="settings" sheetId="3" state="visible" r:id="rId3"/>
    <sheet name="Crop list" sheetId="4" state="hidden" r:id="rId4"/>
    <sheet name="Additional information" sheetId="5" state="hidden"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
      <name val="Calibri"/>
      <family val="2"/>
      <sz val="10"/>
      <scheme val="minor"/>
    </font>
    <font>
      <name val="Calibri"/>
      <family val="2"/>
      <sz val="9"/>
      <scheme val="minor"/>
    </font>
    <font>
      <name val="Calibri"/>
      <family val="2"/>
      <color theme="1"/>
      <sz val="11"/>
    </font>
  </fonts>
  <fills count="12">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FFF2CC"/>
        <bgColor indexed="64"/>
      </patternFill>
    </fill>
    <fill>
      <patternFill patternType="solid">
        <fgColor theme="6" tint="0.7999816888943144"/>
        <bgColor indexed="64"/>
      </patternFill>
    </fill>
    <fill>
      <patternFill patternType="solid">
        <fgColor rgb="FFEBF1DE"/>
        <bgColor rgb="FF000000"/>
      </patternFill>
    </fill>
    <fill>
      <patternFill patternType="solid">
        <fgColor rgb="FFC00000"/>
        <bgColor indexed="64"/>
      </patternFill>
    </fill>
  </fills>
  <borders count="4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bottom/>
      <diagonal/>
    </border>
  </borders>
  <cellStyleXfs count="18">
    <xf numFmtId="0" fontId="7" fillId="0" borderId="0"/>
    <xf numFmtId="0" fontId="4" fillId="0" borderId="0"/>
    <xf numFmtId="0" fontId="7" fillId="0" borderId="0"/>
    <xf numFmtId="0" fontId="13" fillId="0" borderId="0"/>
    <xf numFmtId="0" fontId="4" fillId="0" borderId="0"/>
    <xf numFmtId="0" fontId="4" fillId="0" borderId="0"/>
    <xf numFmtId="0" fontId="18" fillId="4" borderId="14"/>
    <xf numFmtId="9"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7" fillId="0" borderId="0"/>
    <xf numFmtId="0" fontId="4" fillId="0" borderId="0"/>
    <xf numFmtId="0" fontId="7" fillId="0" borderId="0"/>
    <xf numFmtId="0" fontId="4" fillId="0" borderId="0"/>
  </cellStyleXfs>
  <cellXfs count="318">
    <xf numFmtId="0" fontId="0" fillId="0" borderId="0" pivotButton="0" quotePrefix="0" xfId="0"/>
    <xf numFmtId="0" fontId="6" fillId="2" borderId="0" applyProtection="1" pivotButton="0" quotePrefix="0" xfId="0">
      <protection locked="0" hidden="0"/>
    </xf>
    <xf numFmtId="0" fontId="6"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8" fillId="2" borderId="0" applyProtection="1" pivotButton="0" quotePrefix="0" xfId="0">
      <protection locked="0" hidden="0"/>
    </xf>
    <xf numFmtId="0" fontId="6" fillId="0" borderId="0" pivotButton="0" quotePrefix="0" xfId="0"/>
    <xf numFmtId="0" fontId="11" fillId="2" borderId="0" applyProtection="1" pivotButton="0" quotePrefix="0" xfId="0">
      <protection locked="0" hidden="0"/>
    </xf>
    <xf numFmtId="0" fontId="5" fillId="2" borderId="0" applyProtection="1" pivotButton="0" quotePrefix="0" xfId="0">
      <protection locked="0" hidden="0"/>
    </xf>
    <xf numFmtId="0" fontId="19"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11" fillId="0" borderId="0" applyProtection="1" pivotButton="0" quotePrefix="0" xfId="0">
      <protection locked="0" hidden="0"/>
    </xf>
    <xf numFmtId="0" fontId="5" fillId="0" borderId="0" applyProtection="1" pivotButton="0" quotePrefix="0" xfId="0">
      <protection locked="0" hidden="0"/>
    </xf>
    <xf numFmtId="0" fontId="9" fillId="0" borderId="0" pivotButton="0" quotePrefix="0" xfId="0"/>
    <xf numFmtId="0" fontId="9" fillId="0" borderId="0" applyProtection="1" pivotButton="0" quotePrefix="0" xfId="0">
      <protection locked="0" hidden="0"/>
    </xf>
    <xf numFmtId="0" fontId="8" fillId="0" borderId="0" applyProtection="1" pivotButton="0" quotePrefix="0" xfId="0">
      <protection locked="0" hidden="0"/>
    </xf>
    <xf numFmtId="0" fontId="9" fillId="2" borderId="0" applyProtection="1" pivotButton="0" quotePrefix="0" xfId="0">
      <protection locked="0" hidden="0"/>
    </xf>
    <xf numFmtId="0" fontId="8" fillId="0" borderId="0" pivotButton="0" quotePrefix="0" xfId="0"/>
    <xf numFmtId="0" fontId="10" fillId="0" borderId="0" pivotButton="0" quotePrefix="0" xfId="0"/>
    <xf numFmtId="0" fontId="2" fillId="0" borderId="2" pivotButton="0" quotePrefix="0" xfId="10"/>
    <xf numFmtId="0" fontId="16" fillId="0" borderId="27" applyAlignment="1" pivotButton="0" quotePrefix="0" xfId="10">
      <alignment horizontal="center" vertical="center" wrapText="1"/>
    </xf>
    <xf numFmtId="0" fontId="16" fillId="0" borderId="34" applyAlignment="1" pivotButton="0" quotePrefix="0" xfId="10">
      <alignment vertical="center" wrapText="1"/>
    </xf>
    <xf numFmtId="0" fontId="16" fillId="0" borderId="19" applyAlignment="1" pivotButton="0" quotePrefix="0" xfId="10">
      <alignment vertical="center" wrapText="1"/>
    </xf>
    <xf numFmtId="0" fontId="16" fillId="0" borderId="29" applyAlignment="1" pivotButton="0" quotePrefix="0" xfId="10">
      <alignment vertical="center" wrapText="1"/>
    </xf>
    <xf numFmtId="0" fontId="15" fillId="0" borderId="10" applyAlignment="1" pivotButton="0" quotePrefix="0" xfId="5">
      <alignment horizontal="left" vertical="center"/>
    </xf>
    <xf numFmtId="0" fontId="15" fillId="0" borderId="37" applyAlignment="1" pivotButton="0" quotePrefix="0" xfId="10">
      <alignment horizontal="left" vertical="center"/>
    </xf>
    <xf numFmtId="0" fontId="15" fillId="0" borderId="36" applyAlignment="1" pivotButton="0" quotePrefix="0" xfId="10">
      <alignment horizontal="left" vertical="center"/>
    </xf>
    <xf numFmtId="0" fontId="15" fillId="0" borderId="10" applyAlignment="1" pivotButton="0" quotePrefix="0" xfId="10">
      <alignment horizontal="left" vertical="center"/>
    </xf>
    <xf numFmtId="0" fontId="22" fillId="0" borderId="8" applyAlignment="1" pivotButton="0" quotePrefix="0" xfId="10">
      <alignment horizontal="center" vertical="center" wrapText="1"/>
    </xf>
    <xf numFmtId="0" fontId="22" fillId="0" borderId="5" applyAlignment="1" pivotButton="0" quotePrefix="0" xfId="10">
      <alignment horizontal="center" vertical="center" wrapText="1"/>
    </xf>
    <xf numFmtId="0" fontId="20" fillId="0" borderId="38" applyAlignment="1" applyProtection="1" pivotButton="0" quotePrefix="0" xfId="0">
      <alignment horizontal="center" vertical="center" wrapText="1"/>
      <protection locked="0" hidden="0"/>
    </xf>
    <xf numFmtId="0" fontId="17" fillId="0" borderId="25" applyAlignment="1" pivotButton="0" quotePrefix="0" xfId="10">
      <alignment horizontal="center" vertical="center"/>
    </xf>
    <xf numFmtId="0" fontId="15" fillId="0" borderId="30" applyAlignment="1" pivotButton="0" quotePrefix="0" xfId="10">
      <alignment vertical="center" wrapText="1"/>
    </xf>
    <xf numFmtId="0" fontId="2"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8" fillId="0" borderId="0" applyAlignment="1" applyProtection="1" pivotButton="0" quotePrefix="0" xfId="0">
      <alignment vertical="top" wrapText="1"/>
      <protection locked="0" hidden="0"/>
    </xf>
    <xf numFmtId="0" fontId="15" fillId="0" borderId="15" applyAlignment="1" pivotButton="0" quotePrefix="0" xfId="5">
      <alignment horizontal="left" vertical="center" wrapText="1"/>
    </xf>
    <xf numFmtId="0" fontId="22" fillId="0" borderId="15" applyAlignment="1" pivotButton="0" quotePrefix="0" xfId="10">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5" fillId="5" borderId="33" applyAlignment="1" pivotButton="0" quotePrefix="0" xfId="10">
      <alignment vertical="center"/>
    </xf>
    <xf numFmtId="0" fontId="16" fillId="5" borderId="34" applyAlignment="1" pivotButton="0" quotePrefix="0" xfId="10">
      <alignment vertical="center" wrapText="1"/>
    </xf>
    <xf numFmtId="0" fontId="16" fillId="5" borderId="35" applyAlignment="1" pivotButton="0" quotePrefix="0" xfId="10">
      <alignment horizontal="center" vertical="center" wrapText="1"/>
    </xf>
    <xf numFmtId="0" fontId="2" fillId="5" borderId="2" pivotButton="0" quotePrefix="0" xfId="10"/>
    <xf numFmtId="0" fontId="15" fillId="0" borderId="8" applyAlignment="1" pivotButton="0" quotePrefix="0" xfId="10">
      <alignment horizontal="left" vertical="center" wrapText="1"/>
    </xf>
    <xf numFmtId="0" fontId="17" fillId="0" borderId="12" applyAlignment="1" pivotButton="0" quotePrefix="0" xfId="10">
      <alignment horizontal="center" vertical="center" wrapText="1"/>
    </xf>
    <xf numFmtId="0" fontId="17" fillId="0" borderId="18" applyAlignment="1" pivotButton="0" quotePrefix="0" xfId="10">
      <alignment horizontal="center" vertical="center"/>
    </xf>
    <xf numFmtId="0" fontId="6" fillId="0" borderId="0" applyAlignment="1" pivotButton="0" quotePrefix="0" xfId="0">
      <alignment vertical="top"/>
    </xf>
    <xf numFmtId="0" fontId="6" fillId="2" borderId="0" applyAlignment="1" applyProtection="1" pivotButton="0" quotePrefix="0" xfId="0">
      <alignment vertical="top" wrapText="1"/>
      <protection locked="0" hidden="0"/>
    </xf>
    <xf numFmtId="0" fontId="6" fillId="2"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20" fillId="0" borderId="0" applyAlignment="1" applyProtection="1" pivotButton="0" quotePrefix="0" xfId="0">
      <alignment vertical="top"/>
      <protection locked="0" hidden="0"/>
    </xf>
    <xf numFmtId="0" fontId="0" fillId="0" borderId="0" applyAlignment="1" pivotButton="0" quotePrefix="0" xfId="0">
      <alignment vertical="top"/>
    </xf>
    <xf numFmtId="0" fontId="8" fillId="0"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9" fillId="0" borderId="0" applyAlignment="1" applyProtection="1" pivotButton="0" quotePrefix="0" xfId="0">
      <alignment vertical="top" wrapText="1"/>
      <protection locked="0" hidden="0"/>
    </xf>
    <xf numFmtId="0" fontId="9" fillId="2" borderId="0" applyAlignment="1" applyProtection="1" pivotButton="0" quotePrefix="0" xfId="0">
      <alignment vertical="top" wrapText="1"/>
      <protection locked="0" hidden="0"/>
    </xf>
    <xf numFmtId="0" fontId="8" fillId="0" borderId="0" applyAlignment="1" pivotButton="0" quotePrefix="0" xfId="0">
      <alignment vertical="top"/>
    </xf>
    <xf numFmtId="0" fontId="8" fillId="0" borderId="0" applyAlignment="1" pivotButton="0" quotePrefix="0" xfId="0">
      <alignment vertical="top" wrapText="1"/>
    </xf>
    <xf numFmtId="0" fontId="20" fillId="0" borderId="0" applyAlignment="1" pivotButton="0" quotePrefix="0" xfId="0">
      <alignment vertical="top"/>
    </xf>
    <xf numFmtId="0" fontId="9"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8"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8" fillId="2" borderId="1" applyAlignment="1" applyProtection="1" pivotButton="0" quotePrefix="0" xfId="0">
      <alignment vertical="top" wrapText="1"/>
      <protection locked="0" hidden="0"/>
    </xf>
    <xf numFmtId="0" fontId="8" fillId="2" borderId="1" applyAlignment="1" applyProtection="1" pivotButton="0" quotePrefix="0" xfId="0">
      <alignment vertical="top"/>
      <protection locked="0" hidden="0"/>
    </xf>
    <xf numFmtId="0" fontId="6" fillId="0" borderId="0" applyAlignment="1" pivotButton="0" quotePrefix="0" xfId="0">
      <alignment vertical="top" wrapText="1"/>
    </xf>
    <xf numFmtId="0" fontId="6" fillId="0" borderId="0" applyAlignment="1" applyProtection="1" pivotButton="0" quotePrefix="0" xfId="0">
      <alignment vertical="top" wrapText="1"/>
      <protection locked="0" hidden="0"/>
    </xf>
    <xf numFmtId="0" fontId="24" fillId="0" borderId="0" applyAlignment="1" applyProtection="1" pivotButton="0" quotePrefix="0" xfId="0">
      <alignment vertical="top"/>
      <protection locked="0" hidden="0"/>
    </xf>
    <xf numFmtId="0" fontId="8" fillId="0" borderId="1" applyAlignment="1" pivotButton="0" quotePrefix="0" xfId="0">
      <alignment vertical="top"/>
    </xf>
    <xf numFmtId="0" fontId="8" fillId="0" borderId="1" applyAlignment="1" pivotButton="0" quotePrefix="0" xfId="0">
      <alignment vertical="top" wrapText="1"/>
    </xf>
    <xf numFmtId="0" fontId="8" fillId="2" borderId="0" applyAlignment="1" applyProtection="1" pivotButton="0" quotePrefix="0" xfId="0">
      <alignment vertical="top" wrapText="1"/>
      <protection locked="0" hidden="0"/>
    </xf>
    <xf numFmtId="0" fontId="10" fillId="0" borderId="0" applyAlignment="1" applyProtection="1" pivotButton="0" quotePrefix="0" xfId="0">
      <alignment vertical="top"/>
      <protection locked="0" hidden="0"/>
    </xf>
    <xf numFmtId="0" fontId="8"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0" fillId="0" borderId="0" applyAlignment="1" pivotButton="0" quotePrefix="0" xfId="0">
      <alignment vertical="top" wrapText="1"/>
    </xf>
    <xf numFmtId="0" fontId="12" fillId="2" borderId="0" applyAlignment="1" applyProtection="1" pivotButton="0" quotePrefix="0" xfId="0">
      <alignment vertical="top"/>
      <protection locked="0" hidden="0"/>
    </xf>
    <xf numFmtId="0" fontId="10" fillId="2" borderId="0" applyAlignment="1" applyProtection="1" pivotButton="0" quotePrefix="0" xfId="0">
      <alignment vertical="top"/>
      <protection locked="0" hidden="0"/>
    </xf>
    <xf numFmtId="0" fontId="10" fillId="0" borderId="0" applyAlignment="1" pivotButton="0" quotePrefix="0" xfId="0">
      <alignment vertical="top"/>
    </xf>
    <xf numFmtId="164" fontId="8" fillId="0" borderId="0" applyAlignment="1" applyProtection="1" pivotButton="0" quotePrefix="0" xfId="0">
      <alignment vertical="top"/>
      <protection locked="0" hidden="0"/>
    </xf>
    <xf numFmtId="9" fontId="8"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6" fillId="2"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protection locked="0" hidden="0"/>
    </xf>
    <xf numFmtId="0" fontId="20"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9" fillId="0" borderId="0" applyAlignment="1" applyProtection="1" pivotButton="0" quotePrefix="0" xfId="0">
      <alignment vertical="center"/>
      <protection locked="0" hidden="0"/>
    </xf>
    <xf numFmtId="0" fontId="8" fillId="0" borderId="0" applyAlignment="1" pivotButton="0" quotePrefix="0" xfId="0">
      <alignment vertical="center"/>
    </xf>
    <xf numFmtId="0" fontId="9" fillId="0" borderId="1" applyAlignment="1" applyProtection="1" pivotButton="0" quotePrefix="0" xfId="0">
      <alignment vertical="center"/>
      <protection locked="0" hidden="0"/>
    </xf>
    <xf numFmtId="0" fontId="8" fillId="0" borderId="1" applyAlignment="1" applyProtection="1" pivotButton="0" quotePrefix="0" xfId="0">
      <alignment vertical="center"/>
      <protection locked="0" hidden="0"/>
    </xf>
    <xf numFmtId="0" fontId="6" fillId="0" borderId="0" applyAlignment="1" pivotButton="0" quotePrefix="0" xfId="0">
      <alignment vertical="center"/>
    </xf>
    <xf numFmtId="0" fontId="6"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4" fillId="0" borderId="0" applyAlignment="1" applyProtection="1" pivotButton="0" quotePrefix="0" xfId="0">
      <alignment vertical="center"/>
      <protection locked="0" hidden="0"/>
    </xf>
    <xf numFmtId="0" fontId="24" fillId="0" borderId="0" applyAlignment="1" pivotButton="0" quotePrefix="0" xfId="0">
      <alignment vertical="center"/>
    </xf>
    <xf numFmtId="0" fontId="9" fillId="0" borderId="0" applyAlignment="1" pivotButton="0" quotePrefix="0" xfId="0">
      <alignment vertical="center"/>
    </xf>
    <xf numFmtId="0" fontId="8" fillId="0" borderId="1" applyAlignment="1" pivotButton="0" quotePrefix="0" xfId="0">
      <alignment vertical="center"/>
    </xf>
    <xf numFmtId="0" fontId="8" fillId="0" borderId="0" applyAlignment="1" applyProtection="1" pivotButton="0" quotePrefix="0" xfId="0">
      <alignment vertical="center"/>
      <protection locked="0" hidden="0"/>
    </xf>
    <xf numFmtId="0" fontId="0" fillId="0" borderId="1" applyAlignment="1" pivotButton="0" quotePrefix="0" xfId="0">
      <alignment vertical="center"/>
    </xf>
    <xf numFmtId="0" fontId="20" fillId="0" borderId="0" applyAlignment="1" pivotButton="0" quotePrefix="0" xfId="0">
      <alignment vertical="center"/>
    </xf>
    <xf numFmtId="0" fontId="12" fillId="0" borderId="0" applyAlignment="1" applyProtection="1" pivotButton="0" quotePrefix="0" xfId="0">
      <alignment vertical="center"/>
      <protection locked="0" hidden="0"/>
    </xf>
    <xf numFmtId="0" fontId="9" fillId="0" borderId="0" applyAlignment="1" applyProtection="1" pivotButton="0" quotePrefix="0" xfId="0">
      <alignment vertical="center" wrapText="1"/>
      <protection locked="0" hidden="0"/>
    </xf>
    <xf numFmtId="0" fontId="5" fillId="0" borderId="0" applyAlignment="1" pivotButton="0" quotePrefix="0" xfId="0">
      <alignment vertical="center"/>
    </xf>
    <xf numFmtId="0" fontId="15" fillId="0" borderId="5" applyAlignment="1" pivotButton="0" quotePrefix="0" xfId="10">
      <alignment horizontal="left" vertical="center" wrapText="1"/>
    </xf>
    <xf numFmtId="0" fontId="15" fillId="0" borderId="8" applyAlignment="1" pivotButton="0" quotePrefix="0" xfId="10">
      <alignment horizontal="left" vertical="center"/>
    </xf>
    <xf numFmtId="0" fontId="16" fillId="0" borderId="19" applyAlignment="1" pivotButton="0" quotePrefix="0" xfId="5">
      <alignment vertical="center" wrapText="1"/>
    </xf>
    <xf numFmtId="0" fontId="16" fillId="0" borderId="22" applyAlignment="1" pivotButton="0" quotePrefix="0" xfId="10">
      <alignment horizontal="center" vertical="center" wrapText="1"/>
    </xf>
    <xf numFmtId="0" fontId="0" fillId="0" borderId="2" pivotButton="0" quotePrefix="0" xfId="0"/>
    <xf numFmtId="0" fontId="8"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6" fillId="0" borderId="7" applyAlignment="1" pivotButton="0" quotePrefix="0" xfId="0">
      <alignment horizontal="center" vertical="center" wrapText="1"/>
    </xf>
    <xf numFmtId="0" fontId="20" fillId="0" borderId="7" applyAlignment="1" pivotButton="0" quotePrefix="0" xfId="0">
      <alignment horizontal="center" vertical="center"/>
    </xf>
    <xf numFmtId="0" fontId="20"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applyAlignment="1" pivotButton="0" quotePrefix="0" xfId="0">
      <alignment wrapText="1"/>
    </xf>
    <xf numFmtId="0" fontId="20" fillId="0" borderId="7" applyAlignment="1" pivotButton="0" quotePrefix="0" xfId="0">
      <alignment wrapText="1"/>
    </xf>
    <xf numFmtId="0" fontId="8"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8"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pivotButton="0" quotePrefix="0" xfId="0">
      <alignment vertical="top" wrapText="1"/>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wrapText="1"/>
      <protection locked="0" hidden="0"/>
    </xf>
    <xf numFmtId="0" fontId="26" fillId="2" borderId="0" applyAlignment="1" applyProtection="1" pivotButton="0" quotePrefix="0" xfId="0">
      <alignment vertical="top"/>
      <protection locked="0" hidden="0"/>
    </xf>
    <xf numFmtId="0" fontId="21" fillId="0" borderId="0" applyAlignment="1" applyProtection="1" pivotButton="0" quotePrefix="0" xfId="0">
      <alignment vertical="top" wrapText="1"/>
      <protection locked="0" hidden="0"/>
    </xf>
    <xf numFmtId="9" fontId="9" fillId="0" borderId="0" applyAlignment="1" applyProtection="1" pivotButton="0" quotePrefix="0" xfId="0">
      <alignment vertical="top"/>
      <protection locked="0" hidden="0"/>
    </xf>
    <xf numFmtId="0" fontId="14" fillId="0" borderId="0" applyAlignment="1" applyProtection="1" pivotButton="0" quotePrefix="0" xfId="0">
      <alignment vertical="top"/>
      <protection locked="0" hidden="0"/>
    </xf>
    <xf numFmtId="0" fontId="14" fillId="0" borderId="0" applyAlignment="1" applyProtection="1" pivotButton="0" quotePrefix="0" xfId="0">
      <alignment vertical="center"/>
      <protection locked="0" hidden="0"/>
    </xf>
    <xf numFmtId="9" fontId="8" fillId="0" borderId="0" applyAlignment="1" applyProtection="1" pivotButton="0" quotePrefix="0" xfId="7">
      <alignment vertical="top"/>
      <protection locked="0" hidden="0"/>
    </xf>
    <xf numFmtId="165" fontId="8" fillId="0" borderId="0" applyAlignment="1" applyProtection="1" pivotButton="0" quotePrefix="0" xfId="0">
      <alignment vertical="top"/>
      <protection locked="0" hidden="0"/>
    </xf>
    <xf numFmtId="165" fontId="8" fillId="0" borderId="0" applyAlignment="1" applyProtection="1" pivotButton="0" quotePrefix="0" xfId="0">
      <alignment vertical="top" wrapText="1"/>
      <protection locked="0" hidden="0"/>
    </xf>
    <xf numFmtId="9" fontId="8" fillId="0" borderId="0" applyAlignment="1" applyProtection="1" pivotButton="0" quotePrefix="0" xfId="7">
      <alignment vertical="top" wrapText="1"/>
      <protection locked="0" hidden="0"/>
    </xf>
    <xf numFmtId="165" fontId="9" fillId="0"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9" fontId="20" fillId="0" borderId="17" applyAlignment="1" applyProtection="1" pivotButton="0" quotePrefix="0" xfId="7">
      <alignment vertical="top"/>
      <protection locked="0" hidden="0"/>
    </xf>
    <xf numFmtId="0" fontId="20" fillId="0" borderId="18" applyAlignment="1" applyProtection="1" pivotButton="0" quotePrefix="0" xfId="0">
      <alignment vertical="top"/>
      <protection locked="0" hidden="0"/>
    </xf>
    <xf numFmtId="0" fontId="20" fillId="2" borderId="0" applyAlignment="1" applyProtection="1" pivotButton="0" quotePrefix="0" xfId="0">
      <alignment vertical="top" wrapText="1"/>
      <protection locked="0" hidden="0"/>
    </xf>
    <xf numFmtId="0" fontId="20" fillId="2" borderId="0" applyAlignment="1" applyProtection="1" pivotButton="0" quotePrefix="0" xfId="0">
      <alignment vertical="top"/>
      <protection locked="0" hidden="0"/>
    </xf>
    <xf numFmtId="49" fontId="26" fillId="0" borderId="0" applyAlignment="1" pivotButton="0" quotePrefix="0" xfId="0">
      <alignment horizontal="left" vertical="top" wrapText="1"/>
    </xf>
    <xf numFmtId="0" fontId="23" fillId="0" borderId="0" applyProtection="1" pivotButton="0" quotePrefix="0" xfId="0">
      <protection locked="0" hidden="0"/>
    </xf>
    <xf numFmtId="0" fontId="16" fillId="0" borderId="16" applyAlignment="1" pivotButton="0" quotePrefix="0" xfId="5">
      <alignment vertical="center" wrapText="1"/>
    </xf>
    <xf numFmtId="0" fontId="15" fillId="0" borderId="9" applyAlignment="1" pivotButton="0" quotePrefix="0" xfId="5">
      <alignment vertical="center" wrapText="1"/>
    </xf>
    <xf numFmtId="0" fontId="15" fillId="0" borderId="7" applyAlignment="1" pivotButton="0" quotePrefix="0" xfId="5">
      <alignment vertical="center" wrapText="1"/>
    </xf>
    <xf numFmtId="0" fontId="16"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19" fillId="0" borderId="7" applyAlignment="1" pivotButton="0" quotePrefix="0" xfId="6">
      <alignment horizontal="center" vertical="center"/>
    </xf>
    <xf numFmtId="0" fontId="8" fillId="0" borderId="0" applyAlignment="1" applyProtection="1" pivotButton="0" quotePrefix="0" xfId="0">
      <alignment horizontal="right" vertical="top"/>
      <protection locked="0" hidden="0"/>
    </xf>
    <xf numFmtId="165" fontId="8" fillId="0" borderId="0" applyAlignment="1" applyProtection="1" pivotButton="0" quotePrefix="0" xfId="0">
      <alignment horizontal="right" vertical="top"/>
      <protection locked="0" hidden="0"/>
    </xf>
    <xf numFmtId="165" fontId="8" fillId="0" borderId="0" applyAlignment="1" pivotButton="0" quotePrefix="0" xfId="0">
      <alignment horizontal="right" vertical="top"/>
    </xf>
    <xf numFmtId="0" fontId="20" fillId="0" borderId="17" applyAlignment="1" applyProtection="1" pivotButton="0" quotePrefix="0" xfId="0">
      <alignment horizontal="right" vertical="top"/>
      <protection locked="0" hidden="0"/>
    </xf>
    <xf numFmtId="165" fontId="8" fillId="0" borderId="0" applyAlignment="1" applyProtection="1" pivotButton="0" quotePrefix="0" xfId="0">
      <alignment horizontal="right" vertical="top" wrapText="1"/>
      <protection locked="0" hidden="0"/>
    </xf>
    <xf numFmtId="165" fontId="9" fillId="0" borderId="0" applyAlignment="1" applyProtection="1" pivotButton="0" quotePrefix="0" xfId="0">
      <alignment horizontal="right" vertical="top"/>
      <protection locked="0" hidden="0"/>
    </xf>
    <xf numFmtId="0" fontId="6" fillId="0" borderId="32" applyAlignment="1" applyProtection="1" pivotButton="0" quotePrefix="0" xfId="0">
      <alignment horizontal="center" vertical="center" wrapText="1"/>
      <protection locked="0" hidden="0"/>
    </xf>
    <xf numFmtId="0" fontId="20" fillId="6" borderId="12" applyAlignment="1" applyProtection="1" pivotButton="0" quotePrefix="0" xfId="0">
      <alignment horizontal="center" vertical="center" wrapText="1"/>
      <protection locked="0" hidden="0"/>
    </xf>
    <xf numFmtId="9" fontId="20" fillId="6" borderId="11" applyAlignment="1" applyProtection="1" pivotButton="0" quotePrefix="0" xfId="7">
      <alignment horizontal="center" vertical="center" wrapText="1"/>
      <protection locked="0" hidden="0"/>
    </xf>
    <xf numFmtId="0" fontId="20" fillId="6" borderId="11" applyAlignment="1" applyProtection="1" pivotButton="0" quotePrefix="0" xfId="0">
      <alignment horizontal="center" vertical="center" wrapText="1"/>
      <protection locked="0" hidden="0"/>
    </xf>
    <xf numFmtId="0" fontId="19" fillId="0" borderId="20" applyProtection="1" pivotButton="0" quotePrefix="0" xfId="0">
      <protection locked="0" hidden="0"/>
    </xf>
    <xf numFmtId="0" fontId="0" fillId="0" borderId="17" applyAlignment="1" applyProtection="1" pivotButton="0" quotePrefix="0" xfId="0">
      <alignment vertical="top"/>
      <protection locked="0" hidden="0"/>
    </xf>
    <xf numFmtId="0" fontId="15" fillId="0" borderId="8" applyAlignment="1" pivotButton="0" quotePrefix="0" xfId="5">
      <alignment vertical="center"/>
    </xf>
    <xf numFmtId="0" fontId="15" fillId="0" borderId="19" applyAlignment="1" pivotButton="0" quotePrefix="0" xfId="5">
      <alignment horizontal="left" vertical="center" wrapText="1"/>
    </xf>
    <xf numFmtId="0" fontId="3" fillId="0" borderId="2" pivotButton="0" quotePrefix="0" xfId="5"/>
    <xf numFmtId="0" fontId="9" fillId="3" borderId="0" applyProtection="1" pivotButton="0" quotePrefix="0" xfId="0">
      <protection locked="0" hidden="0"/>
    </xf>
    <xf numFmtId="0" fontId="21" fillId="2" borderId="0" applyProtection="1" pivotButton="0" quotePrefix="0" xfId="0">
      <protection locked="0" hidden="0"/>
    </xf>
    <xf numFmtId="0" fontId="21" fillId="0" borderId="0" applyProtection="1" pivotButton="0" quotePrefix="0" xfId="0">
      <protection locked="0" hidden="0"/>
    </xf>
    <xf numFmtId="0" fontId="0" fillId="3" borderId="0" applyProtection="1" pivotButton="0" quotePrefix="0" xfId="0">
      <protection locked="0" hidden="0"/>
    </xf>
    <xf numFmtId="0" fontId="16" fillId="0" borderId="27" applyAlignment="1" pivotButton="0" quotePrefix="0" xfId="5">
      <alignment horizontal="center" vertical="center" wrapText="1"/>
    </xf>
    <xf numFmtId="0" fontId="15" fillId="0" borderId="43" applyAlignment="1" pivotButton="0" quotePrefix="0" xfId="5">
      <alignment vertical="center"/>
    </xf>
    <xf numFmtId="0" fontId="15" fillId="0" borderId="33" applyAlignment="1" pivotButton="0" quotePrefix="0" xfId="5">
      <alignment vertical="center"/>
    </xf>
    <xf numFmtId="165" fontId="8" fillId="7" borderId="0" applyAlignment="1" applyProtection="1" pivotButton="0" quotePrefix="0" xfId="0">
      <alignment horizontal="right" vertical="top"/>
      <protection locked="0" hidden="0"/>
    </xf>
    <xf numFmtId="9" fontId="8" fillId="7" borderId="0" applyAlignment="1" applyProtection="1" pivotButton="0" quotePrefix="0" xfId="7">
      <alignment vertical="top"/>
      <protection locked="0" hidden="0"/>
    </xf>
    <xf numFmtId="165" fontId="8" fillId="7" borderId="0" applyAlignment="1" applyProtection="1" pivotButton="0" quotePrefix="0" xfId="0">
      <alignment vertical="top"/>
      <protection locked="0" hidden="0"/>
    </xf>
    <xf numFmtId="9" fontId="8" fillId="0" borderId="0" applyAlignment="1" pivotButton="0" quotePrefix="0" xfId="7">
      <alignment vertical="top"/>
    </xf>
    <xf numFmtId="165" fontId="8" fillId="0" borderId="0" applyAlignment="1" pivotButton="0" quotePrefix="0" xfId="0">
      <alignment vertical="top"/>
    </xf>
    <xf numFmtId="0" fontId="0" fillId="0" borderId="1" applyAlignment="1" applyProtection="1" pivotButton="0" quotePrefix="0" xfId="0">
      <alignment vertical="top"/>
      <protection locked="0" hidden="0"/>
    </xf>
    <xf numFmtId="0" fontId="17" fillId="0" borderId="44" applyAlignment="1" pivotButton="0" quotePrefix="0" xfId="10">
      <alignment horizontal="center" vertical="center"/>
    </xf>
    <xf numFmtId="164" fontId="16" fillId="0" borderId="40" applyAlignment="1" pivotButton="0" quotePrefix="0" xfId="7">
      <alignment horizontal="center" vertical="center" wrapText="1"/>
    </xf>
    <xf numFmtId="164" fontId="16" fillId="0" borderId="21" applyAlignment="1" pivotButton="0" quotePrefix="0" xfId="7">
      <alignment horizontal="center" vertical="center" wrapText="1"/>
    </xf>
    <xf numFmtId="164" fontId="16" fillId="0" borderId="22" applyAlignment="1" pivotButton="0" quotePrefix="0" xfId="7">
      <alignment horizontal="center" vertical="center" wrapText="1"/>
    </xf>
    <xf numFmtId="0" fontId="27" fillId="0" borderId="31" applyAlignment="1" pivotButton="0" quotePrefix="0" xfId="10">
      <alignment horizontal="center" vertical="center" wrapText="1"/>
    </xf>
    <xf numFmtId="0" fontId="27" fillId="0" borderId="27" applyAlignment="1" pivotButton="0" quotePrefix="0" xfId="10">
      <alignment horizontal="center" vertical="center" wrapText="1"/>
    </xf>
    <xf numFmtId="0" fontId="28" fillId="0" borderId="35" applyAlignment="1" pivotButton="0" quotePrefix="0" xfId="5">
      <alignment horizontal="center" vertical="center" wrapText="1"/>
    </xf>
    <xf numFmtId="0" fontId="28" fillId="0" borderId="27" applyAlignment="1" pivotButton="0" quotePrefix="0" xfId="10">
      <alignment horizontal="center" vertical="center" wrapText="1"/>
    </xf>
    <xf numFmtId="0" fontId="28" fillId="0" borderId="27" applyAlignment="1" pivotButton="0" quotePrefix="0" xfId="5">
      <alignment horizontal="center" vertical="center" wrapText="1"/>
    </xf>
    <xf numFmtId="0" fontId="28" fillId="0" borderId="41" applyAlignment="1" pivotButton="0" quotePrefix="0" xfId="5">
      <alignment horizontal="center" vertical="center"/>
    </xf>
    <xf numFmtId="0" fontId="28" fillId="0" borderId="42" applyAlignment="1" pivotButton="0" quotePrefix="0" xfId="5">
      <alignment horizontal="center" vertical="center"/>
    </xf>
    <xf numFmtId="0" fontId="28" fillId="0" borderId="31" applyAlignment="1" pivotButton="0" quotePrefix="0" xfId="10">
      <alignment horizontal="center" vertical="center" wrapText="1"/>
    </xf>
    <xf numFmtId="0" fontId="10" fillId="0" borderId="0" applyAlignment="1" pivotButton="0" quotePrefix="0" xfId="0">
      <alignment vertical="center"/>
    </xf>
    <xf numFmtId="0" fontId="20" fillId="0" borderId="0" applyAlignment="1" applyProtection="1" pivotButton="0" quotePrefix="0" xfId="0">
      <alignment vertical="center"/>
      <protection locked="0" hidden="0"/>
    </xf>
    <xf numFmtId="0" fontId="0" fillId="8" borderId="0" applyAlignment="1" applyProtection="1" pivotButton="0" quotePrefix="0" xfId="0">
      <alignment horizontal="left" vertical="center" wrapText="1"/>
      <protection locked="0" hidden="0"/>
    </xf>
    <xf numFmtId="0" fontId="5" fillId="8" borderId="0" applyAlignment="1" applyProtection="1" pivotButton="0" quotePrefix="0" xfId="0">
      <alignment vertical="top" wrapText="1"/>
      <protection locked="0" hidden="0"/>
    </xf>
    <xf numFmtId="0" fontId="9" fillId="9" borderId="0" applyAlignment="1" applyProtection="1" pivotButton="0" quotePrefix="0" xfId="0">
      <alignment vertical="top"/>
      <protection locked="0" hidden="0"/>
    </xf>
    <xf numFmtId="0" fontId="9" fillId="9" borderId="0" applyAlignment="1" applyProtection="1" pivotButton="0" quotePrefix="0" xfId="0">
      <alignment vertical="center"/>
      <protection locked="0" hidden="0"/>
    </xf>
    <xf numFmtId="0" fontId="8" fillId="9" borderId="0" applyAlignment="1" applyProtection="1" pivotButton="0" quotePrefix="0" xfId="0">
      <alignment vertical="top"/>
      <protection locked="0" hidden="0"/>
    </xf>
    <xf numFmtId="0" fontId="8" fillId="9" borderId="0" applyAlignment="1" applyProtection="1" pivotButton="0" quotePrefix="0" xfId="0">
      <alignment vertical="top" wrapText="1"/>
      <protection locked="0" hidden="0"/>
    </xf>
    <xf numFmtId="0" fontId="8" fillId="9" borderId="0" applyAlignment="1" applyProtection="1" pivotButton="0" quotePrefix="0" xfId="0">
      <alignment vertical="center"/>
      <protection locked="0" hidden="0"/>
    </xf>
    <xf numFmtId="0" fontId="8" fillId="8" borderId="0" pivotButton="0" quotePrefix="0" xfId="0"/>
    <xf numFmtId="0" fontId="9" fillId="9" borderId="0" applyProtection="1" pivotButton="0" quotePrefix="0" xfId="0">
      <protection locked="0" hidden="0"/>
    </xf>
    <xf numFmtId="0" fontId="9" fillId="9" borderId="0" applyAlignment="1" applyProtection="1" pivotButton="0" quotePrefix="0" xfId="0">
      <alignment vertical="top" wrapText="1"/>
      <protection locked="0" hidden="0"/>
    </xf>
    <xf numFmtId="0" fontId="0" fillId="8" borderId="0" applyProtection="1" pivotButton="0" quotePrefix="0" xfId="0">
      <protection locked="0" hidden="0"/>
    </xf>
    <xf numFmtId="0" fontId="0" fillId="9" borderId="0" applyAlignment="1" applyProtection="1" pivotButton="0" quotePrefix="0" xfId="0">
      <alignment vertical="top"/>
      <protection locked="0" hidden="0"/>
    </xf>
    <xf numFmtId="0" fontId="0" fillId="9" borderId="0" applyAlignment="1" applyProtection="1" pivotButton="0" quotePrefix="0" xfId="0">
      <alignment vertical="top" wrapText="1"/>
      <protection locked="0" hidden="0"/>
    </xf>
    <xf numFmtId="0" fontId="10" fillId="9" borderId="0" applyAlignment="1" applyProtection="1" pivotButton="0" quotePrefix="0" xfId="0">
      <alignment vertical="top"/>
      <protection locked="0" hidden="0"/>
    </xf>
    <xf numFmtId="0" fontId="6" fillId="9" borderId="0" applyAlignment="1" applyProtection="1" pivotButton="0" quotePrefix="0" xfId="0">
      <alignment vertical="center"/>
      <protection locked="0" hidden="0"/>
    </xf>
    <xf numFmtId="0" fontId="6" fillId="9" borderId="0" applyAlignment="1" applyProtection="1" pivotButton="0" quotePrefix="0" xfId="0">
      <alignment vertical="top"/>
      <protection locked="0" hidden="0"/>
    </xf>
    <xf numFmtId="0" fontId="0" fillId="9" borderId="0" applyAlignment="1" applyProtection="1" pivotButton="0" quotePrefix="0" xfId="0">
      <alignment vertical="center"/>
      <protection locked="0" hidden="0"/>
    </xf>
    <xf numFmtId="0" fontId="20" fillId="9" borderId="0" applyAlignment="1" applyProtection="1" pivotButton="0" quotePrefix="0" xfId="0">
      <alignment vertical="center"/>
      <protection locked="0" hidden="0"/>
    </xf>
    <xf numFmtId="0" fontId="6" fillId="9" borderId="0" applyAlignment="1" applyProtection="1" pivotButton="0" quotePrefix="0" xfId="0">
      <alignment vertical="top" wrapText="1"/>
      <protection locked="0" hidden="0"/>
    </xf>
    <xf numFmtId="0" fontId="0" fillId="9" borderId="1" applyAlignment="1" applyProtection="1" pivotButton="0" quotePrefix="0" xfId="0">
      <alignment vertical="top"/>
      <protection locked="0" hidden="0"/>
    </xf>
    <xf numFmtId="0" fontId="0" fillId="9" borderId="1" applyAlignment="1" applyProtection="1" pivotButton="0" quotePrefix="0" xfId="0">
      <alignment vertical="top" wrapText="1"/>
      <protection locked="0" hidden="0"/>
    </xf>
    <xf numFmtId="0" fontId="0" fillId="9" borderId="1" applyAlignment="1" applyProtection="1" pivotButton="0" quotePrefix="0" xfId="0">
      <alignment vertical="center"/>
      <protection locked="0" hidden="0"/>
    </xf>
    <xf numFmtId="0" fontId="12" fillId="10" borderId="0" applyAlignment="1" applyProtection="1" pivotButton="0" quotePrefix="0" xfId="0">
      <alignment vertical="center"/>
      <protection locked="0" hidden="0"/>
    </xf>
    <xf numFmtId="0" fontId="0" fillId="8" borderId="0" pivotButton="0" quotePrefix="0" xfId="0"/>
    <xf numFmtId="0" fontId="9" fillId="8" borderId="0" pivotButton="0" quotePrefix="0" xfId="0"/>
    <xf numFmtId="164" fontId="9" fillId="0" borderId="0" applyAlignment="1" applyProtection="1" pivotButton="0" quotePrefix="0" xfId="0">
      <alignment vertical="top"/>
      <protection locked="0" hidden="0"/>
    </xf>
    <xf numFmtId="0" fontId="9" fillId="10" borderId="0" applyAlignment="1" applyProtection="1" pivotButton="0" quotePrefix="0" xfId="0">
      <alignment vertical="center"/>
      <protection locked="0" hidden="0"/>
    </xf>
    <xf numFmtId="0" fontId="9" fillId="8" borderId="0" applyAlignment="1" applyProtection="1" pivotButton="0" quotePrefix="0" xfId="0">
      <alignment vertical="top" wrapText="1"/>
      <protection locked="0" hidden="0"/>
    </xf>
    <xf numFmtId="0" fontId="8" fillId="9" borderId="0" applyAlignment="1" pivotButton="0" quotePrefix="0" xfId="0">
      <alignment vertical="top"/>
    </xf>
    <xf numFmtId="0" fontId="8" fillId="9" borderId="0" applyAlignment="1" pivotButton="0" quotePrefix="0" xfId="0">
      <alignment vertical="top" wrapText="1"/>
    </xf>
    <xf numFmtId="0" fontId="8" fillId="9" borderId="0" applyAlignment="1" pivotButton="0" quotePrefix="0" xfId="0">
      <alignment vertical="center"/>
    </xf>
    <xf numFmtId="0" fontId="8" fillId="10" borderId="0" applyAlignment="1" pivotButton="0" quotePrefix="0" xfId="0">
      <alignment vertical="center"/>
    </xf>
    <xf numFmtId="0" fontId="0" fillId="9" borderId="0" applyAlignment="1" pivotButton="0" quotePrefix="0" xfId="0">
      <alignment vertical="top"/>
    </xf>
    <xf numFmtId="0" fontId="0" fillId="9" borderId="0" applyAlignment="1" pivotButton="0" quotePrefix="0" xfId="0">
      <alignment vertical="top" wrapText="1"/>
    </xf>
    <xf numFmtId="0" fontId="10" fillId="9" borderId="0" applyAlignment="1" pivotButton="0" quotePrefix="0" xfId="0">
      <alignment vertical="center"/>
    </xf>
    <xf numFmtId="0" fontId="9" fillId="9" borderId="0" pivotButton="0" quotePrefix="0" xfId="0"/>
    <xf numFmtId="0" fontId="8" fillId="9" borderId="0" pivotButton="0" quotePrefix="0" xfId="0"/>
    <xf numFmtId="0" fontId="0" fillId="9" borderId="0" pivotButton="0" quotePrefix="0" xfId="0"/>
    <xf numFmtId="0" fontId="6" fillId="2" borderId="0" applyAlignment="1" applyProtection="1" pivotButton="0" quotePrefix="0" xfId="0">
      <alignment vertical="center" wrapText="1"/>
      <protection locked="0" hidden="0"/>
    </xf>
    <xf numFmtId="0" fontId="8" fillId="11" borderId="0" applyAlignment="1" applyProtection="1" pivotButton="0" quotePrefix="0" xfId="0">
      <alignment vertical="top"/>
      <protection locked="0" hidden="0"/>
    </xf>
    <xf numFmtId="0" fontId="0" fillId="11" borderId="0" applyAlignment="1" applyProtection="1" pivotButton="0" quotePrefix="0" xfId="0">
      <alignment vertical="top"/>
      <protection locked="0" hidden="0"/>
    </xf>
    <xf numFmtId="0" fontId="0" fillId="11" borderId="0" applyAlignment="1" applyProtection="1" pivotButton="0" quotePrefix="0" xfId="0">
      <alignment horizontal="left" vertical="center"/>
      <protection locked="0" hidden="0"/>
    </xf>
    <xf numFmtId="165" fontId="8" fillId="11" borderId="0" applyAlignment="1" applyProtection="1" pivotButton="0" quotePrefix="0" xfId="0">
      <alignment horizontal="right" vertical="top"/>
      <protection locked="0" hidden="0"/>
    </xf>
    <xf numFmtId="9" fontId="8" fillId="11" borderId="0" applyAlignment="1" applyProtection="1" pivotButton="0" quotePrefix="0" xfId="7">
      <alignment vertical="top"/>
      <protection locked="0" hidden="0"/>
    </xf>
    <xf numFmtId="165" fontId="8" fillId="11" borderId="0" applyAlignment="1" applyProtection="1" pivotButton="0" quotePrefix="0" xfId="0">
      <alignment vertical="top"/>
      <protection locked="0" hidden="0"/>
    </xf>
    <xf numFmtId="0" fontId="8" fillId="11" borderId="0" applyAlignment="1" applyProtection="1" pivotButton="0" quotePrefix="0" xfId="0">
      <alignment vertical="top" wrapText="1"/>
      <protection locked="0" hidden="0"/>
    </xf>
    <xf numFmtId="0" fontId="0" fillId="11" borderId="0" applyAlignment="1" applyProtection="1" pivotButton="0" quotePrefix="0" xfId="0">
      <alignment vertical="center"/>
      <protection locked="0" hidden="0"/>
    </xf>
    <xf numFmtId="0" fontId="8" fillId="11" borderId="0" applyAlignment="1" applyProtection="1" pivotButton="0" quotePrefix="0" xfId="0">
      <alignment vertical="center"/>
      <protection locked="0" hidden="0"/>
    </xf>
    <xf numFmtId="0" fontId="29" fillId="11" borderId="47" applyAlignment="1" applyProtection="1" pivotButton="0" quotePrefix="0" xfId="0">
      <alignment horizontal="left" vertical="center"/>
      <protection locked="0" hidden="0"/>
    </xf>
    <xf numFmtId="0" fontId="0" fillId="11" borderId="0" applyAlignment="1" applyProtection="1" pivotButton="0" quotePrefix="0" xfId="0">
      <alignment horizontal="left" vertical="center" wrapText="1"/>
      <protection locked="0" hidden="0"/>
    </xf>
    <xf numFmtId="0" fontId="9" fillId="11" borderId="0" applyAlignment="1" applyProtection="1" pivotButton="0" quotePrefix="0" xfId="0">
      <alignment vertical="top" wrapText="1"/>
      <protection locked="0" hidden="0"/>
    </xf>
    <xf numFmtId="0" fontId="9" fillId="11" borderId="0" applyAlignment="1" applyProtection="1" pivotButton="0" quotePrefix="0" xfId="0">
      <alignment vertical="top"/>
      <protection locked="0" hidden="0"/>
    </xf>
    <xf numFmtId="0" fontId="9" fillId="11" borderId="0" applyAlignment="1" applyProtection="1" pivotButton="0" quotePrefix="0" xfId="0">
      <alignment vertical="center"/>
      <protection locked="0" hidden="0"/>
    </xf>
    <xf numFmtId="0" fontId="29" fillId="11" borderId="47" applyAlignment="1" applyProtection="1" pivotButton="0" quotePrefix="0" xfId="0">
      <alignment vertical="center"/>
      <protection locked="0" hidden="0"/>
    </xf>
    <xf numFmtId="0" fontId="30" fillId="11" borderId="0" applyAlignment="1" applyProtection="1" pivotButton="0" quotePrefix="0" xfId="0">
      <alignment horizontal="left" vertical="center" wrapText="1"/>
      <protection locked="0" hidden="0"/>
    </xf>
    <xf numFmtId="0" fontId="30" fillId="11" borderId="0" applyAlignment="1" applyProtection="1" pivotButton="0" quotePrefix="0" xfId="0">
      <alignment wrapText="1"/>
      <protection locked="0" hidden="0"/>
    </xf>
    <xf numFmtId="0" fontId="0" fillId="11" borderId="0" applyProtection="1" pivotButton="0" quotePrefix="0" xfId="0">
      <protection locked="0" hidden="0"/>
    </xf>
    <xf numFmtId="0" fontId="0" fillId="11" borderId="0" applyAlignment="1" applyProtection="1" pivotButton="0" quotePrefix="0" xfId="0">
      <alignment wrapText="1"/>
      <protection locked="0" hidden="0"/>
    </xf>
    <xf numFmtId="0" fontId="0" fillId="11" borderId="0" applyAlignment="1" applyProtection="1" pivotButton="0" quotePrefix="0" xfId="0">
      <alignment vertical="top" wrapText="1"/>
      <protection locked="0" hidden="0"/>
    </xf>
    <xf numFmtId="0" fontId="0" fillId="11" borderId="0" applyAlignment="1" pivotButton="0" quotePrefix="0" xfId="0">
      <alignment vertical="center"/>
    </xf>
    <xf numFmtId="164" fontId="8" fillId="11" borderId="0" applyAlignment="1" applyProtection="1" pivotButton="0" quotePrefix="0" xfId="0">
      <alignment vertical="top"/>
      <protection locked="0" hidden="0"/>
    </xf>
    <xf numFmtId="0" fontId="9" fillId="11" borderId="0" applyAlignment="1" applyProtection="1" pivotButton="0" quotePrefix="0" xfId="0">
      <alignment horizontal="left" vertical="center" wrapText="1"/>
      <protection locked="0" hidden="0"/>
    </xf>
    <xf numFmtId="0" fontId="14" fillId="11" borderId="0" applyAlignment="1" applyProtection="1" pivotButton="0" quotePrefix="0" xfId="0">
      <alignment vertical="top" wrapText="1"/>
      <protection locked="0" hidden="0"/>
    </xf>
    <xf numFmtId="0" fontId="14" fillId="11" borderId="0" applyAlignment="1" applyProtection="1" pivotButton="0" quotePrefix="0" xfId="0">
      <alignment vertical="top"/>
      <protection locked="0" hidden="0"/>
    </xf>
    <xf numFmtId="0" fontId="9" fillId="11" borderId="0" applyAlignment="1" applyProtection="1" pivotButton="0" quotePrefix="0" xfId="0">
      <alignment horizontal="left" vertical="center"/>
      <protection locked="0" hidden="0"/>
    </xf>
    <xf numFmtId="9" fontId="8" fillId="11" borderId="0" applyAlignment="1" applyProtection="1" pivotButton="0" quotePrefix="0" xfId="0">
      <alignment vertical="top"/>
      <protection locked="0" hidden="0"/>
    </xf>
    <xf numFmtId="0" fontId="1" fillId="3" borderId="7" applyAlignment="1" applyProtection="1" pivotButton="0" quotePrefix="0" xfId="5">
      <alignment horizontal="center" vertical="center"/>
      <protection locked="0" hidden="0"/>
    </xf>
    <xf numFmtId="165" fontId="9" fillId="11" borderId="0" applyAlignment="1" applyProtection="1" pivotButton="0" quotePrefix="0" xfId="0">
      <alignment horizontal="right" vertical="top"/>
      <protection locked="0" hidden="0"/>
    </xf>
    <xf numFmtId="9" fontId="9" fillId="11" borderId="0" applyAlignment="1" applyProtection="1" pivotButton="0" quotePrefix="0" xfId="7">
      <alignment vertical="top"/>
      <protection locked="0" hidden="0"/>
    </xf>
    <xf numFmtId="165" fontId="9" fillId="11" borderId="0" applyAlignment="1" applyProtection="1" pivotButton="0" quotePrefix="0" xfId="0">
      <alignment vertical="top"/>
      <protection locked="0" hidden="0"/>
    </xf>
    <xf numFmtId="0" fontId="10" fillId="11" borderId="0" applyAlignment="1" applyProtection="1" pivotButton="0" quotePrefix="0" xfId="0">
      <alignment vertical="top"/>
      <protection locked="0" hidden="0"/>
    </xf>
    <xf numFmtId="0" fontId="8" fillId="11" borderId="0" applyAlignment="1" pivotButton="0" quotePrefix="0" xfId="0">
      <alignment vertical="top"/>
    </xf>
    <xf numFmtId="0" fontId="8" fillId="11" borderId="0" applyAlignment="1" pivotButton="0" quotePrefix="0" xfId="0">
      <alignment vertical="center"/>
    </xf>
    <xf numFmtId="0" fontId="8" fillId="11" borderId="0" applyAlignment="1" pivotButton="0" quotePrefix="0" xfId="0">
      <alignment vertical="top" wrapText="1"/>
    </xf>
    <xf numFmtId="17" fontId="0" fillId="11" borderId="0" applyProtection="1" pivotButton="0" quotePrefix="1" xfId="0">
      <protection locked="0" hidden="0"/>
    </xf>
    <xf numFmtId="0" fontId="31" fillId="11" borderId="0" applyAlignment="1" pivotButton="0" quotePrefix="0" xfId="0">
      <alignment horizontal="left" vertical="center"/>
    </xf>
    <xf numFmtId="0" fontId="0" fillId="11" borderId="0" applyAlignment="1" pivotButton="0" quotePrefix="0" xfId="0">
      <alignment vertical="top"/>
    </xf>
    <xf numFmtId="0" fontId="0" fillId="11" borderId="0" pivotButton="0" quotePrefix="0" xfId="0"/>
    <xf numFmtId="0" fontId="31" fillId="11" borderId="0" applyAlignment="1" pivotButton="0" quotePrefix="0" xfId="0">
      <alignment vertical="center"/>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6" applyAlignment="1" pivotButton="0" quotePrefix="0" xfId="10">
      <alignment vertical="center"/>
    </xf>
    <xf numFmtId="0" fontId="1" fillId="0" borderId="24"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0" fontId="1" fillId="5" borderId="46"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3" borderId="7" applyAlignment="1" applyProtection="1" pivotButton="0" quotePrefix="0" xfId="10">
      <alignment horizontal="center" vertical="center"/>
      <protection locked="0" hidden="0"/>
    </xf>
    <xf numFmtId="4" fontId="1" fillId="5" borderId="4" applyAlignment="1" pivotButton="0" quotePrefix="0" xfId="17">
      <alignment horizontal="center" vertical="center"/>
    </xf>
    <xf numFmtId="0" fontId="1" fillId="0" borderId="39" pivotButton="0" quotePrefix="0" xfId="10"/>
    <xf numFmtId="0" fontId="1" fillId="5" borderId="23" pivotButton="0" quotePrefix="0" xfId="10"/>
    <xf numFmtId="0" fontId="1" fillId="3" borderId="4" applyAlignment="1" applyProtection="1" pivotButton="0" quotePrefix="0" xfId="10">
      <alignment horizontal="center" vertical="center"/>
      <protection locked="0" hidden="0"/>
    </xf>
    <xf numFmtId="0" fontId="1" fillId="5" borderId="6" pivotButton="0" quotePrefix="0" xfId="10"/>
    <xf numFmtId="0" fontId="1" fillId="5" borderId="32" applyAlignment="1" pivotButton="0" quotePrefix="0" xfId="10">
      <alignment wrapText="1"/>
    </xf>
    <xf numFmtId="0" fontId="1" fillId="5" borderId="45" applyAlignment="1" pivotButton="0" quotePrefix="0" xfId="10">
      <alignment horizontal="center" vertical="center"/>
    </xf>
    <xf numFmtId="164" fontId="1" fillId="5" borderId="7" applyAlignment="1" pivotButton="0" quotePrefix="0" xfId="7">
      <alignment horizontal="center" vertical="center"/>
    </xf>
    <xf numFmtId="0" fontId="1" fillId="0" borderId="3" pivotButton="0" quotePrefix="0" xfId="10"/>
    <xf numFmtId="0" fontId="1" fillId="0" borderId="3" applyAlignment="1" pivotButton="0" quotePrefix="0" xfId="10">
      <alignment vertical="center"/>
    </xf>
    <xf numFmtId="0" fontId="1" fillId="0" borderId="28" applyAlignment="1" pivotButton="0" quotePrefix="0" xfId="10">
      <alignment horizontal="center" vertical="top" textRotation="90" wrapText="1"/>
    </xf>
    <xf numFmtId="0" fontId="0" fillId="0" borderId="26" pivotButton="0" quotePrefix="0" xfId="0"/>
    <xf numFmtId="0" fontId="0" fillId="0" borderId="28" pivotButton="0" quotePrefix="0" xfId="0"/>
    <xf numFmtId="0" fontId="1" fillId="0" borderId="32" applyAlignment="1" pivotButton="0" quotePrefix="0" xfId="10">
      <alignment horizontal="center" vertical="top" textRotation="90"/>
    </xf>
    <xf numFmtId="0" fontId="1" fillId="0" borderId="32" applyAlignment="1" pivotButton="0" quotePrefix="0" xfId="10">
      <alignment horizontal="center" vertical="top" textRotation="90" wrapText="1"/>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66"/>
  <sheetViews>
    <sheetView zoomScaleNormal="100" workbookViewId="0">
      <pane xSplit="2" ySplit="1" topLeftCell="C2" activePane="bottomRight" state="frozen"/>
      <selection pane="topRight" activeCell="C1" sqref="C1"/>
      <selection pane="bottomLeft" activeCell="A2" sqref="A2"/>
      <selection pane="bottomRight" activeCell="C74" sqref="C74"/>
    </sheetView>
  </sheetViews>
  <sheetFormatPr baseColWidth="8" defaultColWidth="8.81640625" defaultRowHeight="14.5"/>
  <cols>
    <col width="21.1796875" customWidth="1" style="36" min="1" max="1"/>
    <col width="25.81640625" customWidth="1" style="36" min="2" max="2"/>
    <col width="66" customWidth="1" style="37" min="3" max="3"/>
    <col width="16.81640625" customWidth="1" style="37" min="4" max="5"/>
    <col width="29.81640625" customWidth="1" style="36" min="6" max="6"/>
    <col width="15.453125" customWidth="1" style="36" min="7" max="8"/>
    <col width="8.81640625" customWidth="1" style="105" min="9" max="9"/>
    <col width="13.81640625" customWidth="1" style="105" min="10" max="10"/>
    <col width="29.1796875" customWidth="1" style="105" min="11" max="11"/>
    <col width="31.1796875" customWidth="1" style="105" min="12" max="12"/>
    <col width="8.81640625" customWidth="1" style="105" min="13" max="16"/>
    <col width="8.81640625" customWidth="1" style="36" min="17" max="20"/>
    <col hidden="1" width="9.453125" customWidth="1" style="36" min="21" max="21"/>
    <col hidden="1" width="8.81640625" customWidth="1" style="36" min="22" max="22"/>
    <col hidden="1" width="18.1796875" customWidth="1" style="166" min="23" max="23"/>
    <col hidden="1" width="18.26953125" customWidth="1" style="147" min="24" max="24"/>
    <col width="14.1796875" customWidth="1" style="57" min="25" max="25"/>
    <col width="19.7265625" customWidth="1" style="57" min="26" max="26"/>
    <col width="8.81640625" customWidth="1" style="57" min="27" max="27"/>
    <col width="8.81640625" customWidth="1" style="36" min="28" max="28"/>
    <col width="8.81640625" customWidth="1" style="36" min="29" max="16384"/>
  </cols>
  <sheetData>
    <row r="1" ht="33" customFormat="1" customHeight="1" s="96" thickBot="1">
      <c r="A1" s="93" t="inlineStr">
        <is>
          <t>type</t>
        </is>
      </c>
      <c r="B1" s="93" t="inlineStr">
        <is>
          <t>name</t>
        </is>
      </c>
      <c r="C1" s="94" t="inlineStr">
        <is>
          <t>label::English (en)</t>
        </is>
      </c>
      <c r="D1" s="246" t="inlineStr">
        <is>
          <t>label::Dari (fa)</t>
        </is>
      </c>
      <c r="E1" s="246" t="inlineStr">
        <is>
          <t>label::Pashto (pa)</t>
        </is>
      </c>
      <c r="F1" s="93" t="inlineStr">
        <is>
          <t>hint::English (en)</t>
        </is>
      </c>
      <c r="G1" s="95" t="inlineStr">
        <is>
          <t>hint::Dari (fa)</t>
        </is>
      </c>
      <c r="H1" s="95" t="inlineStr">
        <is>
          <t>hint::Pashto (pa)</t>
        </is>
      </c>
      <c r="I1" s="93" t="inlineStr">
        <is>
          <t>required</t>
        </is>
      </c>
      <c r="J1" s="93" t="inlineStr">
        <is>
          <t>appearance</t>
        </is>
      </c>
      <c r="K1" s="93" t="inlineStr">
        <is>
          <t>constraint</t>
        </is>
      </c>
      <c r="L1" s="93" t="inlineStr">
        <is>
          <t>constraint_message</t>
        </is>
      </c>
      <c r="M1" s="93" t="inlineStr">
        <is>
          <t>relevant</t>
        </is>
      </c>
      <c r="N1" s="93" t="inlineStr">
        <is>
          <t>choice_filter</t>
        </is>
      </c>
      <c r="O1" s="93" t="inlineStr">
        <is>
          <t>parameters</t>
        </is>
      </c>
      <c r="P1" s="93" t="inlineStr">
        <is>
          <t>calculation</t>
        </is>
      </c>
      <c r="U1" s="172" t="inlineStr">
        <is>
          <t xml:space="preserve">Mandatory </t>
        </is>
      </c>
      <c r="W1" s="173" t="inlineStr">
        <is>
          <t>New question duration (sec)</t>
        </is>
      </c>
      <c r="X1" s="174" t="inlineStr">
        <is>
          <t>Estimated percentage of repondents</t>
        </is>
      </c>
      <c r="Y1" s="175" t="inlineStr">
        <is>
          <t>Weighted time</t>
        </is>
      </c>
      <c r="Z1" s="30" t="inlineStr">
        <is>
          <t>Weighted time for core vars</t>
        </is>
      </c>
      <c r="AA1" s="97" t="n"/>
    </row>
    <row r="2">
      <c r="A2" s="56" t="inlineStr">
        <is>
          <t>start</t>
        </is>
      </c>
      <c r="B2" s="56" t="inlineStr">
        <is>
          <t>start</t>
        </is>
      </c>
      <c r="C2" s="35" t="n"/>
      <c r="D2" s="69" t="n"/>
      <c r="E2" s="69" t="n"/>
      <c r="F2" s="56" t="n"/>
      <c r="G2" s="70" t="n"/>
      <c r="H2" s="70" t="n"/>
      <c r="I2" s="98" t="n"/>
      <c r="J2" s="98" t="n"/>
      <c r="K2" s="98" t="n"/>
      <c r="L2" s="98" t="n"/>
      <c r="M2" s="98" t="n"/>
      <c r="N2" s="98" t="n"/>
      <c r="O2" s="98" t="n"/>
      <c r="P2" s="98" t="n"/>
      <c r="W2" s="167" t="n"/>
      <c r="Y2" s="148">
        <f>IF(W2&lt;&gt;"",W2*X2,"")</f>
        <v/>
      </c>
      <c r="Z2" s="148">
        <f>IF(AND(W2&lt;&gt;"",U2="yes"),W2*X2,"")</f>
        <v/>
      </c>
    </row>
    <row r="3">
      <c r="A3" s="56" t="inlineStr">
        <is>
          <t>end</t>
        </is>
      </c>
      <c r="B3" s="56" t="inlineStr">
        <is>
          <t>end</t>
        </is>
      </c>
      <c r="C3" s="35" t="n"/>
      <c r="D3" s="69" t="n"/>
      <c r="E3" s="69" t="n"/>
      <c r="F3" s="56" t="n"/>
      <c r="G3" s="70" t="n"/>
      <c r="H3" s="70" t="n"/>
      <c r="I3" s="98" t="n"/>
      <c r="J3" s="98" t="n"/>
      <c r="K3" s="98" t="n"/>
      <c r="L3" s="98" t="n"/>
      <c r="M3" s="98" t="n"/>
      <c r="N3" s="98" t="n"/>
      <c r="O3" s="98" t="n"/>
      <c r="P3" s="98" t="n"/>
      <c r="W3" s="167" t="n"/>
      <c r="Y3" s="148">
        <f>IF(W3&lt;&gt;"",W3*X3,"")</f>
        <v/>
      </c>
      <c r="Z3" s="148">
        <f>IF(AND(W3&lt;&gt;"",U3="yes"),W3*X3,"")</f>
        <v/>
      </c>
    </row>
    <row r="4">
      <c r="A4" s="56" t="inlineStr">
        <is>
          <t>today</t>
        </is>
      </c>
      <c r="B4" s="56" t="inlineStr">
        <is>
          <t>today</t>
        </is>
      </c>
      <c r="C4" s="35" t="n"/>
      <c r="D4" s="69" t="n"/>
      <c r="E4" s="69" t="n"/>
      <c r="F4" s="56" t="n"/>
      <c r="G4" s="70" t="n"/>
      <c r="H4" s="70" t="n"/>
      <c r="I4" s="98" t="n"/>
      <c r="J4" s="98" t="n"/>
      <c r="K4" s="98" t="n"/>
      <c r="L4" s="98" t="n"/>
      <c r="M4" s="98" t="n"/>
      <c r="N4" s="98" t="n"/>
      <c r="O4" s="98" t="n"/>
      <c r="P4" s="98" t="n"/>
      <c r="W4" s="167" t="n"/>
      <c r="Y4" s="148">
        <f>IF(W4&lt;&gt;"",W4*X4,"")</f>
        <v/>
      </c>
      <c r="Z4" s="148">
        <f>IF(AND(W4&lt;&gt;"",U4="yes"),W4*X4,"")</f>
        <v/>
      </c>
    </row>
    <row r="5">
      <c r="A5" s="56" t="inlineStr">
        <is>
          <t>deviceid</t>
        </is>
      </c>
      <c r="B5" s="56" t="inlineStr">
        <is>
          <t>deviceid</t>
        </is>
      </c>
      <c r="C5" s="35" t="n"/>
      <c r="D5" s="69" t="n"/>
      <c r="E5" s="69" t="n"/>
      <c r="F5" s="56" t="n"/>
      <c r="G5" s="70" t="n"/>
      <c r="H5" s="70" t="n"/>
      <c r="I5" s="98" t="n"/>
      <c r="J5" s="98" t="n"/>
      <c r="K5" s="98" t="n"/>
      <c r="L5" s="98" t="n"/>
      <c r="M5" s="98" t="n"/>
      <c r="N5" s="98" t="n"/>
      <c r="O5" s="98" t="n"/>
      <c r="P5" s="98" t="n"/>
      <c r="W5" s="167" t="n"/>
      <c r="Y5" s="148">
        <f>IF(W5&lt;&gt;"",W5*X5,"")</f>
        <v/>
      </c>
      <c r="Z5" s="148">
        <f>IF(AND(W5&lt;&gt;"",U5="yes"),W5*X5,"")</f>
        <v/>
      </c>
    </row>
    <row r="6">
      <c r="A6" s="56" t="inlineStr">
        <is>
          <t>audit</t>
        </is>
      </c>
      <c r="B6" s="56" t="inlineStr">
        <is>
          <t>audit</t>
        </is>
      </c>
      <c r="C6" s="35" t="n"/>
      <c r="D6" s="69" t="n"/>
      <c r="E6" s="69" t="n"/>
      <c r="F6" s="56" t="n"/>
      <c r="G6" s="70" t="n"/>
      <c r="H6" s="70" t="n"/>
      <c r="I6" s="98" t="n"/>
      <c r="J6" s="98" t="n"/>
      <c r="K6" s="98" t="n"/>
      <c r="L6" s="98" t="n"/>
      <c r="M6" s="98" t="n"/>
      <c r="N6" s="98" t="n"/>
      <c r="O6" s="98" t="n"/>
      <c r="P6" s="98" t="n"/>
      <c r="W6" s="167" t="n"/>
      <c r="Y6" s="148" t="n"/>
      <c r="Z6" s="148" t="n"/>
    </row>
    <row r="7">
      <c r="A7" s="56" t="inlineStr">
        <is>
          <t>calculate</t>
        </is>
      </c>
      <c r="B7" s="56" t="inlineStr">
        <is>
          <t>audio_random</t>
        </is>
      </c>
      <c r="C7" s="35" t="n"/>
      <c r="D7" s="69" t="n"/>
      <c r="E7" s="69" t="n"/>
      <c r="F7" s="56" t="n"/>
      <c r="G7" s="70" t="n"/>
      <c r="H7" s="70" t="n"/>
      <c r="I7" s="98" t="n"/>
      <c r="J7" s="98" t="n"/>
      <c r="K7" s="98" t="n"/>
      <c r="L7" s="98" t="n"/>
      <c r="M7" s="36" t="n"/>
      <c r="N7" s="98" t="n"/>
      <c r="O7" s="98" t="n"/>
      <c r="P7" s="98" t="inlineStr">
        <is>
          <t>once(random())</t>
        </is>
      </c>
      <c r="W7" s="167" t="n"/>
      <c r="Y7" s="148" t="n"/>
      <c r="Z7" s="148" t="n"/>
    </row>
    <row r="8">
      <c r="A8" s="56" t="inlineStr">
        <is>
          <t>background-audio</t>
        </is>
      </c>
      <c r="B8" s="56" t="inlineStr">
        <is>
          <t>background-audio</t>
        </is>
      </c>
      <c r="C8" s="35" t="n"/>
      <c r="D8" s="69" t="n"/>
      <c r="E8" s="69" t="n"/>
      <c r="F8" s="56" t="n"/>
      <c r="G8" s="70" t="n"/>
      <c r="H8" s="70" t="n"/>
      <c r="I8" s="98" t="n"/>
      <c r="J8" s="98" t="n"/>
      <c r="K8" s="98" t="n"/>
      <c r="L8" s="98" t="n"/>
      <c r="M8" s="98" t="inlineStr">
        <is>
          <t>${audio_random}&lt;=0.02</t>
        </is>
      </c>
      <c r="N8" s="98" t="n"/>
      <c r="O8" s="98" t="inlineStr">
        <is>
          <t>quality=low</t>
        </is>
      </c>
      <c r="P8" s="98" t="n"/>
      <c r="W8" s="167" t="n"/>
      <c r="Y8" s="148" t="n"/>
      <c r="Z8" s="148" t="n"/>
    </row>
    <row r="9" ht="16" customFormat="1" customHeight="1" s="58">
      <c r="A9" s="58" t="inlineStr">
        <is>
          <t>select_one enumteam</t>
        </is>
      </c>
      <c r="B9" s="58" t="inlineStr">
        <is>
          <t>enum_team</t>
        </is>
      </c>
      <c r="C9" s="59" t="inlineStr">
        <is>
          <t>Enumerator team number or code</t>
        </is>
      </c>
      <c r="D9" s="60" t="n"/>
      <c r="E9" s="60" t="n"/>
      <c r="G9" s="64" t="n"/>
      <c r="H9" s="64" t="n"/>
      <c r="I9" s="99" t="n"/>
      <c r="J9" s="99" t="n"/>
      <c r="L9" s="99" t="n"/>
      <c r="M9" s="99" t="n"/>
      <c r="N9" s="99" t="n"/>
      <c r="O9" s="99" t="n"/>
      <c r="P9" s="99" t="n"/>
      <c r="W9" s="171" t="n"/>
      <c r="X9" s="152" t="n"/>
      <c r="Y9" s="151" t="n"/>
      <c r="Z9" s="151" t="n"/>
    </row>
    <row r="10" ht="16" customHeight="1">
      <c r="A10" s="56" t="inlineStr">
        <is>
          <t>select_one enumerator</t>
        </is>
      </c>
      <c r="B10" s="56" t="inlineStr">
        <is>
          <t>enumerator</t>
        </is>
      </c>
      <c r="C10" s="35" t="inlineStr">
        <is>
          <t>Name of enumerator</t>
        </is>
      </c>
      <c r="D10" s="69" t="n"/>
      <c r="E10" s="69" t="n"/>
      <c r="F10" s="56" t="n"/>
      <c r="G10" s="70" t="n"/>
      <c r="H10" s="70" t="n"/>
      <c r="I10" s="98" t="inlineStr">
        <is>
          <t>true</t>
        </is>
      </c>
      <c r="J10" s="98" t="n"/>
      <c r="K10" s="98" t="n"/>
      <c r="L10" s="98" t="n"/>
      <c r="M10" s="98" t="n"/>
      <c r="N10" s="99" t="inlineStr">
        <is>
          <t>my_filter_admin=${enum_team}</t>
        </is>
      </c>
      <c r="O10" s="98" t="n"/>
      <c r="P10" s="98" t="n"/>
      <c r="U10" s="36" t="inlineStr">
        <is>
          <t>yes</t>
        </is>
      </c>
      <c r="W10" s="167" t="n"/>
      <c r="Y10" s="148">
        <f>IF(W10&lt;&gt;"",W10*X10,"")</f>
        <v/>
      </c>
      <c r="Z10" s="148">
        <f>IF(AND(W10&lt;&gt;"",U10="yes"),W10*X10,"")</f>
        <v/>
      </c>
    </row>
    <row r="11">
      <c r="A11" s="56" t="inlineStr">
        <is>
          <t>calculate</t>
        </is>
      </c>
      <c r="B11" s="56" t="inlineStr">
        <is>
          <t>enumerator_</t>
        </is>
      </c>
      <c r="C11" s="35" t="n"/>
      <c r="D11" s="69" t="n"/>
      <c r="E11" s="69" t="n"/>
      <c r="F11" s="56" t="n"/>
      <c r="G11" s="70" t="n"/>
      <c r="H11" s="70" t="n"/>
      <c r="I11" s="98" t="n"/>
      <c r="J11" s="98" t="n"/>
      <c r="K11" s="98" t="n"/>
      <c r="L11" s="98" t="n"/>
      <c r="M11" s="98" t="n"/>
      <c r="N11" s="98" t="n"/>
      <c r="O11" s="98" t="n"/>
      <c r="P11" s="98" t="inlineStr">
        <is>
          <t>jr:choice-name(${enumerator},'${enumerator}')</t>
        </is>
      </c>
      <c r="U11" s="36" t="inlineStr">
        <is>
          <t>yes</t>
        </is>
      </c>
      <c r="W11" s="167" t="n"/>
      <c r="Y11" s="148">
        <f>IF(W11&lt;&gt;"",W11*X11,"")</f>
        <v/>
      </c>
      <c r="Z11" s="148">
        <f>IF(AND(W11&lt;&gt;"",U11="yes"),W11*X11,"")</f>
        <v/>
      </c>
    </row>
    <row r="12">
      <c r="A12" s="36" t="inlineStr">
        <is>
          <t>calculate</t>
        </is>
      </c>
      <c r="B12" s="56" t="inlineStr">
        <is>
          <t>Sample</t>
        </is>
      </c>
      <c r="D12" s="69" t="n"/>
      <c r="E12" s="69" t="n"/>
      <c r="G12" s="70" t="n"/>
      <c r="H12" s="70" t="n"/>
      <c r="P12" s="105" t="inlineStr">
        <is>
          <t>concat('F2F')</t>
        </is>
      </c>
      <c r="W12" s="167" t="n"/>
      <c r="Y12" s="148" t="n"/>
      <c r="Z12" s="148" t="n"/>
    </row>
    <row r="13" ht="16" customFormat="1" customHeight="1" s="58" thickBot="1">
      <c r="A13" s="65" t="n"/>
      <c r="B13" s="65" t="n"/>
      <c r="C13" s="66" t="n"/>
      <c r="D13" s="67" t="n"/>
      <c r="E13" s="67" t="n"/>
      <c r="F13" s="65" t="n"/>
      <c r="G13" s="68" t="n"/>
      <c r="H13" s="68" t="n"/>
      <c r="I13" s="101" t="n"/>
      <c r="J13" s="101" t="n"/>
      <c r="K13" s="101" t="n"/>
      <c r="L13" s="101" t="n"/>
      <c r="M13" s="101" t="n"/>
      <c r="N13" s="101" t="n"/>
      <c r="O13" s="101" t="n"/>
      <c r="P13" s="101" t="n"/>
      <c r="W13" s="167" t="n"/>
      <c r="X13" s="147" t="n"/>
      <c r="Y13" s="148" t="n"/>
      <c r="Z13" s="148" t="n"/>
      <c r="AA13" s="57" t="n"/>
    </row>
    <row r="14" ht="209.15" customHeight="1" thickTop="1">
      <c r="A14" s="56" t="inlineStr">
        <is>
          <t>note</t>
        </is>
      </c>
      <c r="B14" s="56" t="inlineStr">
        <is>
          <t>introduction</t>
        </is>
      </c>
      <c r="C14" s="208"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Do you have any questions?</t>
        </is>
      </c>
      <c r="D14" s="69" t="n"/>
      <c r="E14" s="69" t="n"/>
      <c r="F14" s="56" t="inlineStr">
        <is>
          <t>[INSTRUCTIONS: ADDRESS QUESTIONS FROM RESPONDENT, IF ANY.]</t>
        </is>
      </c>
      <c r="G14" s="70" t="n"/>
      <c r="H14" s="70" t="n"/>
      <c r="I14" s="98" t="inlineStr">
        <is>
          <t>false</t>
        </is>
      </c>
      <c r="J14" s="98" t="n"/>
      <c r="K14" s="98" t="n"/>
      <c r="L14" s="98" t="n"/>
      <c r="M14" s="98" t="n"/>
      <c r="N14" s="98" t="n"/>
      <c r="O14" s="98" t="n"/>
      <c r="P14" s="98" t="n"/>
      <c r="U14" s="36" t="inlineStr">
        <is>
          <t>no</t>
        </is>
      </c>
      <c r="W14" s="167" t="n">
        <v>50.82254028320312</v>
      </c>
      <c r="Y14" s="148">
        <f>IF(W14&lt;&gt;"",W14*X14,"")</f>
        <v/>
      </c>
      <c r="Z14" s="148">
        <f>IF(AND(W14&lt;&gt;"",U14="yes"),W14*X14,"")</f>
        <v/>
      </c>
    </row>
    <row r="15" ht="16" customHeight="1">
      <c r="A15" s="56" t="inlineStr">
        <is>
          <t>select_one yesno</t>
        </is>
      </c>
      <c r="B15" s="56" t="inlineStr">
        <is>
          <t>resp_agree</t>
        </is>
      </c>
      <c r="C15" s="35" t="inlineStr">
        <is>
          <t>Are you interested in participating in this survey?</t>
        </is>
      </c>
      <c r="D15" s="69" t="n"/>
      <c r="E15" s="69" t="n"/>
      <c r="F15" s="56" t="n"/>
      <c r="G15" s="70" t="n"/>
      <c r="H15" s="70" t="n"/>
      <c r="I15" s="98" t="inlineStr">
        <is>
          <t>false</t>
        </is>
      </c>
      <c r="J15" s="98" t="n"/>
      <c r="K15" s="98" t="n"/>
      <c r="L15" s="98" t="n"/>
      <c r="M15" s="98" t="n"/>
      <c r="N15" s="98" t="n"/>
      <c r="O15" s="98" t="n"/>
      <c r="P15" s="98" t="n"/>
      <c r="U15" s="36" t="inlineStr">
        <is>
          <t>yes</t>
        </is>
      </c>
      <c r="W15" s="167" t="n">
        <v>3.5</v>
      </c>
      <c r="X15" s="147">
        <f>1</f>
        <v/>
      </c>
      <c r="Y15" s="148">
        <f>IF(W15&lt;&gt;"",W15*X15,"")</f>
        <v/>
      </c>
      <c r="Z15" s="148">
        <f>IF(AND(W15&lt;&gt;"",U15="yes"),W15*X15,"")</f>
        <v/>
      </c>
    </row>
    <row r="16" ht="16" customFormat="1" customHeight="1" s="57">
      <c r="A16" s="61" t="inlineStr">
        <is>
          <t>note</t>
        </is>
      </c>
      <c r="B16" s="61" t="inlineStr">
        <is>
          <t>Refusal</t>
        </is>
      </c>
      <c r="C16" s="62" t="inlineStr">
        <is>
          <t>Thank you for your time, you will be removed from today's survey.</t>
        </is>
      </c>
      <c r="D16" s="80" t="n"/>
      <c r="E16" s="80" t="n"/>
      <c r="F16" s="61" t="n"/>
      <c r="G16" s="82" t="n"/>
      <c r="H16" s="82" t="n"/>
      <c r="I16" s="100" t="inlineStr">
        <is>
          <t>false</t>
        </is>
      </c>
      <c r="J16" s="100" t="n"/>
      <c r="K16" s="100" t="n"/>
      <c r="L16" s="100" t="n"/>
      <c r="M16" s="100" t="inlineStr">
        <is>
          <t>${resp_agree} = '2'</t>
        </is>
      </c>
      <c r="N16" s="100" t="n"/>
      <c r="O16" s="100" t="n"/>
      <c r="P16" s="100" t="n"/>
      <c r="U16" s="57" t="inlineStr">
        <is>
          <t>no</t>
        </is>
      </c>
      <c r="W16" s="167" t="n">
        <v>0</v>
      </c>
      <c r="X16" s="147" t="n">
        <v>1</v>
      </c>
      <c r="Y16" s="148">
        <f>IF(W16&lt;&gt;"",W16*X16,"")</f>
        <v/>
      </c>
      <c r="Z16" s="148">
        <f>IF(AND(W16&lt;&gt;"",U16="yes"),W16*X16,"")</f>
        <v/>
      </c>
    </row>
    <row r="17" ht="16" customFormat="1" customHeight="1" s="57" thickBot="1">
      <c r="A17" s="71" t="n"/>
      <c r="B17" s="71" t="n"/>
      <c r="C17" s="72" t="n"/>
      <c r="D17" s="73" t="n"/>
      <c r="E17" s="73" t="n"/>
      <c r="F17" s="71" t="n"/>
      <c r="G17" s="74" t="n"/>
      <c r="H17" s="74" t="n"/>
      <c r="I17" s="102" t="n"/>
      <c r="J17" s="102" t="n"/>
      <c r="K17" s="102" t="n"/>
      <c r="L17" s="102" t="n"/>
      <c r="M17" s="102" t="n"/>
      <c r="N17" s="102" t="n"/>
      <c r="O17" s="102" t="n"/>
      <c r="P17" s="102" t="n"/>
      <c r="W17" s="167" t="n"/>
      <c r="X17" s="147" t="n"/>
      <c r="Y17" s="148">
        <f>IF(W17&lt;&gt;"",W17*X17,"")</f>
        <v/>
      </c>
      <c r="Z17" s="148">
        <f>IF(AND(W17&lt;&gt;"",U17="yes"),W17*X17,"")</f>
        <v/>
      </c>
    </row>
    <row r="18" ht="17.15" customFormat="1" customHeight="1" s="54" thickTop="1">
      <c r="A18" s="51" t="inlineStr">
        <is>
          <t>begin_group</t>
        </is>
      </c>
      <c r="B18" s="51" t="inlineStr">
        <is>
          <t>eligibility</t>
        </is>
      </c>
      <c r="C18" s="75" t="inlineStr">
        <is>
          <t>ELIGIBILITY CRITERIA</t>
        </is>
      </c>
      <c r="D18" s="52" t="n"/>
      <c r="E18" s="52" t="n"/>
      <c r="F18" s="51" t="n"/>
      <c r="G18" s="53" t="n"/>
      <c r="H18" s="53" t="n"/>
      <c r="I18" s="103" t="inlineStr">
        <is>
          <t>false</t>
        </is>
      </c>
      <c r="J18" s="103" t="n"/>
      <c r="K18" s="103" t="n"/>
      <c r="L18" s="103" t="n"/>
      <c r="M18" s="104" t="inlineStr">
        <is>
          <t>${resp_agree} = '1'</t>
        </is>
      </c>
      <c r="N18" s="103" t="n"/>
      <c r="O18" s="103" t="n"/>
      <c r="P18" s="103" t="n"/>
      <c r="U18" s="36" t="inlineStr">
        <is>
          <t>yes</t>
        </is>
      </c>
      <c r="W18" s="167" t="n"/>
      <c r="X18" s="147" t="n"/>
      <c r="Y18" s="148">
        <f>IF(W18&lt;&gt;"",W18*X18,"")</f>
        <v/>
      </c>
      <c r="Z18" s="148">
        <f>IF(AND(W18&lt;&gt;"",U18="yes"),W18*X18,"")</f>
        <v/>
      </c>
      <c r="AA18" s="55" t="n"/>
    </row>
    <row r="19" customFormat="1" s="58">
      <c r="C19" s="59" t="n"/>
      <c r="D19" s="60" t="n"/>
      <c r="E19" s="60" t="n"/>
      <c r="G19" s="64" t="n"/>
      <c r="H19" s="64" t="n"/>
      <c r="I19" s="99" t="n"/>
      <c r="J19" s="99" t="n"/>
      <c r="K19" s="99" t="n"/>
      <c r="L19" s="99" t="n"/>
      <c r="M19" s="99" t="n"/>
      <c r="N19" s="99" t="n"/>
      <c r="O19" s="99" t="n"/>
      <c r="P19" s="99" t="n"/>
      <c r="W19" s="167" t="n"/>
      <c r="X19" s="57" t="n"/>
      <c r="Y19" s="148">
        <f>IF(W19&lt;&gt;"",W19*X19,"")</f>
        <v/>
      </c>
      <c r="Z19" s="148">
        <f>IF(AND(W19&lt;&gt;"",U19="yes"),W19*X19,"")</f>
        <v/>
      </c>
      <c r="AA19" s="57" t="n"/>
    </row>
    <row r="20" ht="16" customFormat="1" customHeight="1" s="58">
      <c r="A20" s="61" t="inlineStr">
        <is>
          <t>text</t>
        </is>
      </c>
      <c r="B20" s="61" t="inlineStr">
        <is>
          <t>resp_firstname</t>
        </is>
      </c>
      <c r="C20" s="62" t="inlineStr">
        <is>
          <t>What is your first name?</t>
        </is>
      </c>
      <c r="D20" s="60" t="n"/>
      <c r="E20" s="60" t="n"/>
      <c r="F20" s="57" t="inlineStr">
        <is>
          <t>[INSTRUCTIONS: RECORD THE RESPONDENT'S FIRST NAME. ENTER 999 FOR REFUSED]</t>
        </is>
      </c>
      <c r="G20" s="64" t="n"/>
      <c r="H20" s="64" t="n"/>
      <c r="I20" s="100" t="inlineStr">
        <is>
          <t>true</t>
        </is>
      </c>
      <c r="J20" s="100" t="n"/>
      <c r="K20" s="100" t="n"/>
      <c r="L20" s="100" t="n"/>
      <c r="M20" s="100" t="n"/>
      <c r="N20" s="100" t="n"/>
      <c r="O20" s="100" t="n"/>
      <c r="P20" s="100" t="n"/>
      <c r="U20" s="57" t="inlineStr">
        <is>
          <t>yes</t>
        </is>
      </c>
      <c r="W20" s="167" t="n">
        <v>10</v>
      </c>
      <c r="X20" s="147">
        <f>1</f>
        <v/>
      </c>
      <c r="Y20" s="148">
        <f>IF(W20&lt;&gt;"",W20*X20,"")</f>
        <v/>
      </c>
      <c r="Z20" s="148">
        <f>IF(AND(W20&lt;&gt;"",U20="yes"),W20*X20,"")</f>
        <v/>
      </c>
      <c r="AA20" s="57" t="n"/>
    </row>
    <row r="21" ht="16" customFormat="1" customHeight="1" s="58">
      <c r="A21" s="61" t="inlineStr">
        <is>
          <t>text</t>
        </is>
      </c>
      <c r="B21" s="61" t="inlineStr">
        <is>
          <t>resp_lastname</t>
        </is>
      </c>
      <c r="C21" s="62" t="inlineStr">
        <is>
          <t>What is your last name?</t>
        </is>
      </c>
      <c r="D21" s="60" t="n"/>
      <c r="E21" s="60" t="n"/>
      <c r="F21" s="57" t="inlineStr">
        <is>
          <t>[INSTRUCTIONS: RECORD THE RESPONDENT'S LAST NAME. ENTER 999 FOR REFUSED]</t>
        </is>
      </c>
      <c r="G21" s="64" t="n"/>
      <c r="H21" s="64" t="n"/>
      <c r="I21" s="100" t="inlineStr">
        <is>
          <t>true</t>
        </is>
      </c>
      <c r="J21" s="100" t="n"/>
      <c r="K21" s="100" t="n"/>
      <c r="L21" s="100" t="n"/>
      <c r="M21" s="100" t="n"/>
      <c r="N21" s="100" t="n"/>
      <c r="O21" s="100" t="n"/>
      <c r="P21" s="100" t="n"/>
      <c r="U21" s="57" t="inlineStr">
        <is>
          <t>yes</t>
        </is>
      </c>
      <c r="W21" s="167" t="n">
        <v>10</v>
      </c>
      <c r="X21" s="147">
        <f>1</f>
        <v/>
      </c>
      <c r="Y21" s="148">
        <f>IF(W21&lt;&gt;"",W21*X21,"")</f>
        <v/>
      </c>
      <c r="Z21" s="148">
        <f>IF(AND(W21&lt;&gt;"",U21="yes"),W21*X21,"")</f>
        <v/>
      </c>
      <c r="AA21" s="57" t="n"/>
    </row>
    <row r="22" customFormat="1" s="58">
      <c r="C22" s="59" t="n"/>
      <c r="D22" s="60" t="n"/>
      <c r="E22" s="60" t="n"/>
      <c r="G22" s="64" t="n"/>
      <c r="H22" s="64" t="n"/>
      <c r="I22" s="99" t="n"/>
      <c r="J22" s="99" t="n"/>
      <c r="K22" s="99" t="n"/>
      <c r="L22" s="99" t="n"/>
      <c r="M22" s="99" t="n"/>
      <c r="N22" s="99" t="n"/>
      <c r="O22" s="99" t="n"/>
      <c r="P22" s="99" t="n"/>
      <c r="W22" s="167" t="n"/>
      <c r="X22" s="147">
        <f>1</f>
        <v/>
      </c>
      <c r="Y22" s="148">
        <f>IF(W22&lt;&gt;"",W22*X22,"")</f>
        <v/>
      </c>
      <c r="Z22" s="148">
        <f>IF(AND(W22&lt;&gt;"",U22="yes"),W22*X22,"")</f>
        <v/>
      </c>
      <c r="AA22" s="57" t="n"/>
    </row>
    <row r="23" ht="16" customHeight="1">
      <c r="A23" s="56" t="inlineStr">
        <is>
          <t>integer</t>
        </is>
      </c>
      <c r="B23" s="56" t="inlineStr">
        <is>
          <t>resp_age</t>
        </is>
      </c>
      <c r="C23" s="35" t="inlineStr">
        <is>
          <t>How old are you?</t>
        </is>
      </c>
      <c r="D23" s="80" t="n"/>
      <c r="E23" s="80" t="n"/>
      <c r="F23" s="61" t="inlineStr">
        <is>
          <t>[INSTRUCTIONS: RECORD AGE IN NUMBER OF YEARS. ROUND UP TO NEAREST WHOLE NUMBER. IF THE RESPONDENT GIVES BIRTH YEAR, REPEAT THE QUESTION. ENTER 888 FOR DON'T KNOW.]</t>
        </is>
      </c>
      <c r="G23" s="70" t="n"/>
      <c r="H23" s="70" t="n"/>
      <c r="I23" s="98" t="inlineStr">
        <is>
          <t>true</t>
        </is>
      </c>
      <c r="J23" s="98" t="n"/>
      <c r="K23" s="98" t="inlineStr">
        <is>
          <t>(. &gt;= 18 and . &lt;= 100) or . = 888</t>
        </is>
      </c>
      <c r="L23" s="98" t="n"/>
      <c r="M23" s="98" t="n"/>
      <c r="N23" s="98" t="n"/>
      <c r="O23" s="98" t="n"/>
      <c r="P23" s="98" t="n"/>
      <c r="U23" s="36" t="inlineStr">
        <is>
          <t>yes</t>
        </is>
      </c>
      <c r="W23" s="167" t="n">
        <v>13.75307273864746</v>
      </c>
      <c r="X23" s="147">
        <f>1</f>
        <v/>
      </c>
      <c r="Y23" s="148">
        <f>IF(W23&lt;&gt;"",W23*X23,"")</f>
        <v/>
      </c>
      <c r="Z23" s="148">
        <f>IF(AND(W23&lt;&gt;"",U23="yes"),W23*X23,"")</f>
        <v/>
      </c>
    </row>
    <row r="24">
      <c r="D24" s="69" t="n"/>
      <c r="E24" s="69" t="n"/>
      <c r="G24" s="70" t="n"/>
      <c r="H24" s="70" t="n"/>
      <c r="W24" s="167" t="n"/>
      <c r="X24" s="147">
        <f>1</f>
        <v/>
      </c>
      <c r="Y24" s="148">
        <f>IF(W24&lt;&gt;"",W24*X24,"")</f>
        <v/>
      </c>
      <c r="Z24" s="148">
        <f>IF(AND(W24&lt;&gt;"",U24="yes"),W24*X24,"")</f>
        <v/>
      </c>
    </row>
    <row r="25" ht="16" customFormat="1" customHeight="1" s="57">
      <c r="A25" s="61" t="inlineStr">
        <is>
          <t>select_one gender</t>
        </is>
      </c>
      <c r="B25" s="61" t="inlineStr">
        <is>
          <t>resp_gender</t>
        </is>
      </c>
      <c r="C25" s="62" t="inlineStr">
        <is>
          <t>What is the gender of the respondent?</t>
        </is>
      </c>
      <c r="D25" s="80" t="n"/>
      <c r="E25" s="80" t="n"/>
      <c r="F25" s="57" t="inlineStr">
        <is>
          <t>[INSTRUCTIONS: DO NOT ASK THIS QUESTION OUT LOUD. SELECT THE GENDER OF THE RESPONDENT.]</t>
        </is>
      </c>
      <c r="G25" s="82" t="n"/>
      <c r="H25" s="82" t="n"/>
      <c r="I25" s="110" t="inlineStr">
        <is>
          <t>true</t>
        </is>
      </c>
      <c r="J25" s="110" t="n"/>
      <c r="K25" s="110" t="n"/>
      <c r="L25" s="110" t="n"/>
      <c r="M25" s="110" t="n"/>
      <c r="N25" s="110" t="n"/>
      <c r="O25" s="110" t="n"/>
      <c r="P25" s="110" t="n"/>
      <c r="U25" s="57" t="inlineStr">
        <is>
          <t>yes</t>
        </is>
      </c>
      <c r="W25" s="167" t="n">
        <v>2.117356061935425</v>
      </c>
      <c r="X25" s="147">
        <f>1</f>
        <v/>
      </c>
      <c r="Y25" s="148">
        <f>IF(W25&lt;&gt;"",W25*X25,"")</f>
        <v/>
      </c>
      <c r="Z25" s="148">
        <f>IF(AND(W25&lt;&gt;"",U25="yes"),W25*X25,"")</f>
        <v/>
      </c>
    </row>
    <row r="26" customFormat="1" s="58">
      <c r="C26" s="59" t="n"/>
      <c r="D26" s="60" t="n"/>
      <c r="E26" s="60" t="n"/>
      <c r="G26" s="64" t="n"/>
      <c r="H26" s="64" t="n"/>
      <c r="I26" s="99" t="n"/>
      <c r="J26" s="99" t="n"/>
      <c r="K26" s="99" t="n"/>
      <c r="L26" s="106" t="n"/>
      <c r="M26" s="99" t="n"/>
      <c r="N26" s="99" t="n"/>
      <c r="O26" s="99" t="n"/>
      <c r="P26" s="99" t="n"/>
      <c r="W26" s="167" t="n"/>
      <c r="X26" s="147">
        <f>1</f>
        <v/>
      </c>
      <c r="Y26" s="148">
        <f>IF(W26&lt;&gt;"",W26*X26,"")</f>
        <v/>
      </c>
      <c r="Z26" s="148">
        <f>IF(AND(W26&lt;&gt;"",U26="yes"),W26*X26,"")</f>
        <v/>
      </c>
      <c r="AA26" s="57" t="n"/>
    </row>
    <row r="27" ht="16" customFormat="1" customHeight="1" s="77">
      <c r="A27" s="138" t="inlineStr">
        <is>
          <t>text</t>
        </is>
      </c>
      <c r="B27" s="138" t="inlineStr">
        <is>
          <t>phone_number_personal</t>
        </is>
      </c>
      <c r="C27" s="139" t="inlineStr">
        <is>
          <t>What is your phone number?</t>
        </is>
      </c>
      <c r="D27" s="141" t="n"/>
      <c r="E27" s="141" t="n"/>
      <c r="F27" s="140" t="n"/>
      <c r="G27" s="142" t="n"/>
      <c r="H27" s="142" t="n"/>
      <c r="I27" s="137" t="inlineStr">
        <is>
          <t>true</t>
        </is>
      </c>
      <c r="J27" s="137" t="inlineStr">
        <is>
          <t>numbers</t>
        </is>
      </c>
      <c r="K27" s="108" t="inlineStr">
        <is>
          <t>regex(.,’^[0-9]{10}$’)</t>
        </is>
      </c>
      <c r="L27" s="137" t="inlineStr">
        <is>
          <t>Please enter the telephone number in the correct format, e.g. 0700704549</t>
        </is>
      </c>
      <c r="M27" s="137" t="n"/>
      <c r="N27" s="137" t="n"/>
      <c r="O27" s="137" t="n"/>
      <c r="P27" s="107" t="n"/>
      <c r="U27" s="140" t="inlineStr">
        <is>
          <t>yes - panel</t>
        </is>
      </c>
      <c r="W27" s="167" t="n">
        <v>10</v>
      </c>
      <c r="X27" s="147">
        <f>1</f>
        <v/>
      </c>
      <c r="Y27" s="148">
        <f>IF(W27&lt;&gt;"",W27*X27,"")</f>
        <v/>
      </c>
      <c r="Z27" s="148">
        <f>IF(AND(W27&lt;&gt;"",U27="yes"),W27*X27,"")</f>
        <v/>
      </c>
    </row>
    <row r="28" ht="48" customFormat="1" customHeight="1" s="77">
      <c r="A28" s="138" t="inlineStr">
        <is>
          <t>select_one contact_info</t>
        </is>
      </c>
      <c r="B28" s="138" t="inlineStr">
        <is>
          <t>contact_2</t>
        </is>
      </c>
      <c r="C28" s="139" t="inlineStr">
        <is>
          <t>Can you give me an additional phone number belonging to you, another household member or a close relation living outside of the household at which you can be reached?</t>
        </is>
      </c>
      <c r="D28" s="141" t="n"/>
      <c r="E28" s="141" t="n"/>
      <c r="F28" s="140" t="n"/>
      <c r="G28" s="142" t="n"/>
      <c r="H28" s="142" t="n"/>
      <c r="I28" s="137" t="inlineStr">
        <is>
          <t>true</t>
        </is>
      </c>
      <c r="J28" s="137" t="n"/>
      <c r="K28" s="107" t="n"/>
      <c r="L28" s="137" t="n"/>
      <c r="M28" s="137" t="n"/>
      <c r="N28" s="137" t="n"/>
      <c r="O28" s="137" t="n"/>
      <c r="P28" s="107" t="n"/>
      <c r="U28" s="140" t="inlineStr">
        <is>
          <t>yes - panel</t>
        </is>
      </c>
      <c r="W28" s="167" t="n">
        <v>10</v>
      </c>
      <c r="X28" s="147">
        <f>1</f>
        <v/>
      </c>
      <c r="Y28" s="148">
        <f>IF(W28&lt;&gt;"",W28*X28,"")</f>
        <v/>
      </c>
      <c r="Z28" s="148">
        <f>IF(AND(W28&lt;&gt;"",U28="yes"),W28*X28,"")</f>
        <v/>
      </c>
    </row>
    <row r="29" ht="16" customFormat="1" customHeight="1" s="77">
      <c r="A29" s="138" t="inlineStr">
        <is>
          <t>text</t>
        </is>
      </c>
      <c r="B29" s="138" t="inlineStr">
        <is>
          <t>phone_number_2</t>
        </is>
      </c>
      <c r="C29" s="139" t="inlineStr">
        <is>
          <t>What is the additional phone number?</t>
        </is>
      </c>
      <c r="D29" s="141" t="n"/>
      <c r="E29" s="141" t="n"/>
      <c r="F29" s="140" t="n"/>
      <c r="G29" s="142" t="n"/>
      <c r="H29" s="142" t="n"/>
      <c r="I29" s="137" t="inlineStr">
        <is>
          <t>true</t>
        </is>
      </c>
      <c r="J29" s="137" t="inlineStr">
        <is>
          <t>numbers</t>
        </is>
      </c>
      <c r="K29" s="108" t="inlineStr">
        <is>
          <t>regex(.,’^[0-9]{10}$’)</t>
        </is>
      </c>
      <c r="L29" s="137" t="inlineStr">
        <is>
          <t>Please enter the telephone number in the correct format, e.g. 0700704549</t>
        </is>
      </c>
      <c r="M29" s="137" t="inlineStr">
        <is>
          <t xml:space="preserve">${contact_2} = '1' or ${contact_2} = '2' or ${contact_2} = '3' </t>
        </is>
      </c>
      <c r="N29" s="137" t="n"/>
      <c r="O29" s="137" t="n"/>
      <c r="P29" s="107" t="n"/>
      <c r="U29" s="140" t="inlineStr">
        <is>
          <t>yes - panel</t>
        </is>
      </c>
      <c r="W29" s="167" t="n">
        <v>10</v>
      </c>
      <c r="X29" s="147">
        <f>1</f>
        <v/>
      </c>
      <c r="Y29" s="148">
        <f>IF(W29&lt;&gt;"",W29*X29,"")</f>
        <v/>
      </c>
      <c r="Z29" s="148">
        <f>IF(AND(W29&lt;&gt;"",U29="yes"),W29*X29,"")</f>
        <v/>
      </c>
    </row>
    <row r="30" ht="16" customFormat="1" customHeight="1" s="77">
      <c r="A30" s="138" t="inlineStr">
        <is>
          <t>text</t>
        </is>
      </c>
      <c r="B30" s="138" t="inlineStr">
        <is>
          <t>contact_2_name</t>
        </is>
      </c>
      <c r="C30" s="139" t="inlineStr">
        <is>
          <t>What is the name of the contact?</t>
        </is>
      </c>
      <c r="D30" s="141" t="n"/>
      <c r="E30" s="141" t="n"/>
      <c r="F30" s="140" t="n"/>
      <c r="G30" s="142" t="n"/>
      <c r="H30" s="142" t="n"/>
      <c r="I30" s="137" t="inlineStr">
        <is>
          <t>true</t>
        </is>
      </c>
      <c r="J30" s="137" t="n"/>
      <c r="K30" s="107" t="n"/>
      <c r="L30" s="137" t="n"/>
      <c r="M30" s="137" t="inlineStr">
        <is>
          <t xml:space="preserve">${contact_2} = '2' or ${contact_2} = '3' </t>
        </is>
      </c>
      <c r="N30" s="137" t="n"/>
      <c r="O30" s="137" t="n"/>
      <c r="P30" s="107" t="n"/>
      <c r="U30" s="140" t="inlineStr">
        <is>
          <t>yes - panel</t>
        </is>
      </c>
      <c r="W30" s="167" t="n">
        <v>10</v>
      </c>
      <c r="X30" s="147">
        <f>1</f>
        <v/>
      </c>
      <c r="Y30" s="148">
        <f>IF(W30&lt;&gt;"",W30*X30,"")</f>
        <v/>
      </c>
      <c r="Z30" s="148">
        <f>IF(AND(W30&lt;&gt;"",U30="yes"),W30*X30,"")</f>
        <v/>
      </c>
    </row>
    <row r="31" ht="48" customFormat="1" customHeight="1" s="77">
      <c r="A31" s="138" t="inlineStr">
        <is>
          <t>select_one contact_info</t>
        </is>
      </c>
      <c r="B31" s="138" t="inlineStr">
        <is>
          <t>contact_3</t>
        </is>
      </c>
      <c r="C31" s="139" t="inlineStr">
        <is>
          <t>Can you give me an additional phone number belonging to you, another household member or a close relation living outside of the household at which you can be reached?</t>
        </is>
      </c>
      <c r="D31" s="141" t="n"/>
      <c r="E31" s="141" t="n"/>
      <c r="F31" s="56" t="n"/>
      <c r="G31" s="142" t="n"/>
      <c r="H31" s="142" t="n"/>
      <c r="I31" s="137" t="inlineStr">
        <is>
          <t>true</t>
        </is>
      </c>
      <c r="J31" s="137" t="n"/>
      <c r="K31" s="107" t="n"/>
      <c r="L31" s="137" t="n"/>
      <c r="M31" s="137" t="inlineStr">
        <is>
          <t xml:space="preserve">${contact_2} = '1' or ${contact_2} = '2' or ${contact_2} = '3' </t>
        </is>
      </c>
      <c r="N31" s="137" t="n"/>
      <c r="O31" s="137" t="n"/>
      <c r="P31" s="107" t="n"/>
      <c r="U31" s="140" t="inlineStr">
        <is>
          <t>yes - panel</t>
        </is>
      </c>
      <c r="W31" s="167" t="n">
        <v>10</v>
      </c>
      <c r="X31" s="147">
        <f>1</f>
        <v/>
      </c>
      <c r="Y31" s="148">
        <f>IF(W31&lt;&gt;"",W31*X31,"")</f>
        <v/>
      </c>
      <c r="Z31" s="148">
        <f>IF(AND(W31&lt;&gt;"",U31="yes"),W31*X31,"")</f>
        <v/>
      </c>
    </row>
    <row r="32" ht="16" customFormat="1" customHeight="1" s="77">
      <c r="A32" s="138" t="inlineStr">
        <is>
          <t>text</t>
        </is>
      </c>
      <c r="B32" s="138" t="inlineStr">
        <is>
          <t>phone_number_3</t>
        </is>
      </c>
      <c r="C32" s="139" t="inlineStr">
        <is>
          <t>What is the additional phone number?</t>
        </is>
      </c>
      <c r="D32" s="141" t="n"/>
      <c r="E32" s="141" t="n"/>
      <c r="F32" s="140" t="n"/>
      <c r="G32" s="142" t="n"/>
      <c r="H32" s="142" t="n"/>
      <c r="I32" s="137" t="inlineStr">
        <is>
          <t>true</t>
        </is>
      </c>
      <c r="J32" s="137" t="inlineStr">
        <is>
          <t>numbers</t>
        </is>
      </c>
      <c r="K32" s="108" t="inlineStr">
        <is>
          <t>regex(.,’^[0-9]{10}$’)</t>
        </is>
      </c>
      <c r="L32" s="137" t="inlineStr">
        <is>
          <t>Please enter the telephone number in the correct format, e.g. 0700704549</t>
        </is>
      </c>
      <c r="M32" s="137" t="inlineStr">
        <is>
          <t xml:space="preserve">${contact_3} = '1' or ${contact_3} = '2' or ${contact_3} = '3' </t>
        </is>
      </c>
      <c r="N32" s="137" t="n"/>
      <c r="O32" s="137" t="n"/>
      <c r="P32" s="107" t="n"/>
      <c r="U32" s="140" t="inlineStr">
        <is>
          <t>yes - panel</t>
        </is>
      </c>
      <c r="W32" s="167" t="n">
        <v>10</v>
      </c>
      <c r="X32" s="147">
        <f>1</f>
        <v/>
      </c>
      <c r="Y32" s="148">
        <f>IF(W32&lt;&gt;"",W32*X32,"")</f>
        <v/>
      </c>
      <c r="Z32" s="148">
        <f>IF(AND(W32&lt;&gt;"",U32="yes"),W32*X32,"")</f>
        <v/>
      </c>
    </row>
    <row r="33" ht="16" customFormat="1" customHeight="1" s="77">
      <c r="A33" s="138" t="inlineStr">
        <is>
          <t>text</t>
        </is>
      </c>
      <c r="B33" s="138" t="inlineStr">
        <is>
          <t>contact_3_name</t>
        </is>
      </c>
      <c r="C33" s="139" t="inlineStr">
        <is>
          <t>What is the name of the contact?</t>
        </is>
      </c>
      <c r="D33" s="141" t="n"/>
      <c r="E33" s="141" t="n"/>
      <c r="F33" s="140" t="n"/>
      <c r="G33" s="142" t="n"/>
      <c r="H33" s="142" t="n"/>
      <c r="I33" s="137" t="inlineStr">
        <is>
          <t>true</t>
        </is>
      </c>
      <c r="J33" s="137" t="n"/>
      <c r="K33" s="107" t="n"/>
      <c r="L33" s="137" t="n"/>
      <c r="M33" s="137" t="inlineStr">
        <is>
          <t xml:space="preserve">${contact_3} = '2' or ${contact_3} = '3' </t>
        </is>
      </c>
      <c r="N33" s="137" t="n"/>
      <c r="O33" s="137" t="n"/>
      <c r="P33" s="107" t="n"/>
      <c r="U33" s="140" t="inlineStr">
        <is>
          <t>yes - panel</t>
        </is>
      </c>
      <c r="W33" s="167" t="n">
        <v>10</v>
      </c>
      <c r="X33" s="147">
        <f>1</f>
        <v/>
      </c>
      <c r="Y33" s="148">
        <f>IF(W33&lt;&gt;"",W33*X33,"")</f>
        <v/>
      </c>
      <c r="Z33" s="148">
        <f>IF(AND(W33&lt;&gt;"",U33="yes"),W33*X33,"")</f>
        <v/>
      </c>
    </row>
    <row r="34" customFormat="1" s="58">
      <c r="C34" s="59" t="n"/>
      <c r="D34" s="60" t="n"/>
      <c r="E34" s="60" t="n"/>
      <c r="G34" s="64" t="n"/>
      <c r="H34" s="64" t="n"/>
      <c r="I34" s="99" t="n"/>
      <c r="J34" s="99" t="n"/>
      <c r="K34" s="99" t="n"/>
      <c r="L34" s="106" t="n"/>
      <c r="M34" s="99" t="n"/>
      <c r="N34" s="99" t="n"/>
      <c r="O34" s="99" t="n"/>
      <c r="P34" s="99" t="n"/>
      <c r="W34" s="167" t="n"/>
      <c r="X34" s="147">
        <f>1</f>
        <v/>
      </c>
      <c r="Y34" s="148">
        <f>IF(W34&lt;&gt;"",W34*X34,"")</f>
        <v/>
      </c>
      <c r="Z34" s="148">
        <f>IF(AND(W34&lt;&gt;"",U34="yes"),W34*X34,"")</f>
        <v/>
      </c>
      <c r="AA34" s="57" t="n"/>
    </row>
    <row r="35" ht="16" customHeight="1">
      <c r="A35" s="56" t="inlineStr">
        <is>
          <t>select_one admin1</t>
        </is>
      </c>
      <c r="B35" s="56" t="inlineStr">
        <is>
          <t>adm1_pcode</t>
        </is>
      </c>
      <c r="C35" s="35" t="inlineStr">
        <is>
          <t>Currently, in which Province does your household reside?</t>
        </is>
      </c>
      <c r="D35" s="69" t="n"/>
      <c r="E35" s="69" t="n"/>
      <c r="F35" s="56" t="inlineStr">
        <is>
          <t>[HINT: HOUSEHOLD CONSISTS OF ALL MEMBERS LIVING TOGETHER, SHARING RESOURCES &amp; EATING FROM THE SAME POT.]</t>
        </is>
      </c>
      <c r="G35" s="70" t="n"/>
      <c r="H35" s="70" t="n"/>
      <c r="I35" s="98" t="inlineStr">
        <is>
          <t>true</t>
        </is>
      </c>
      <c r="J35" s="98" t="inlineStr">
        <is>
          <t>autocomplete</t>
        </is>
      </c>
      <c r="K35" s="98" t="n"/>
      <c r="L35" s="107" t="n"/>
      <c r="M35" s="98" t="n"/>
      <c r="N35" s="98" t="n"/>
      <c r="O35" s="98" t="n"/>
      <c r="P35" s="98" t="n"/>
      <c r="U35" s="36" t="inlineStr">
        <is>
          <t>yes</t>
        </is>
      </c>
      <c r="W35" s="167" t="n">
        <v>8.800000000000001</v>
      </c>
      <c r="X35" s="147">
        <f>1</f>
        <v/>
      </c>
      <c r="Y35" s="148">
        <f>IF(W35&lt;&gt;"",W35*X35,"")</f>
        <v/>
      </c>
      <c r="Z35" s="148">
        <f>IF(AND(W35&lt;&gt;"",U35="yes"),W35*X35,"")</f>
        <v/>
      </c>
    </row>
    <row r="36">
      <c r="A36" s="56" t="inlineStr">
        <is>
          <t>calculate</t>
        </is>
      </c>
      <c r="B36" s="56" t="inlineStr">
        <is>
          <t>adm1_name</t>
        </is>
      </c>
      <c r="C36" s="35" t="n"/>
      <c r="D36" s="69" t="n"/>
      <c r="E36" s="69" t="n"/>
      <c r="F36" s="56" t="n"/>
      <c r="G36" s="70" t="n"/>
      <c r="H36" s="70" t="n"/>
      <c r="I36" s="98" t="n"/>
      <c r="J36" s="98" t="n"/>
      <c r="K36" s="98" t="n"/>
      <c r="L36" s="98" t="n"/>
      <c r="M36" s="98" t="n"/>
      <c r="N36" s="98" t="n"/>
      <c r="O36" s="98" t="n"/>
      <c r="P36" s="98" t="inlineStr">
        <is>
          <t>jr:choice-name(${adm1_pcode},'${adm1_pcode}')</t>
        </is>
      </c>
      <c r="U36" s="36" t="inlineStr">
        <is>
          <t>yes</t>
        </is>
      </c>
      <c r="W36" s="167" t="n"/>
      <c r="X36" s="147">
        <f>1</f>
        <v/>
      </c>
      <c r="Y36" s="148">
        <f>IF(W36&lt;&gt;"",W36*X36,"")</f>
        <v/>
      </c>
      <c r="Z36" s="148">
        <f>IF(AND(W36&lt;&gt;"",U36="yes"),W36*X36,"")</f>
        <v/>
      </c>
    </row>
    <row r="37" ht="16" customHeight="1">
      <c r="A37" s="56" t="inlineStr">
        <is>
          <t>select_one admin2</t>
        </is>
      </c>
      <c r="B37" s="56" t="inlineStr">
        <is>
          <t xml:space="preserve">adm2_pcode </t>
        </is>
      </c>
      <c r="C37" s="35" t="inlineStr">
        <is>
          <t>Currently, in which District does your household reside?</t>
        </is>
      </c>
      <c r="D37" s="69" t="n"/>
      <c r="E37" s="69" t="n"/>
      <c r="F37" s="56" t="n"/>
      <c r="G37" s="70" t="n"/>
      <c r="H37" s="70" t="n"/>
      <c r="I37" s="98" t="inlineStr">
        <is>
          <t>true</t>
        </is>
      </c>
      <c r="J37" s="98" t="inlineStr">
        <is>
          <t>autocomplete</t>
        </is>
      </c>
      <c r="K37" s="98" t="n"/>
      <c r="L37" s="98" t="n"/>
      <c r="M37" s="98" t="n"/>
      <c r="N37" s="98" t="inlineStr">
        <is>
          <t>my_filter_admin=${adm1_pcode}</t>
        </is>
      </c>
      <c r="O37" s="98" t="n"/>
      <c r="P37" s="98" t="n"/>
      <c r="U37" s="36" t="inlineStr">
        <is>
          <t>yes</t>
        </is>
      </c>
      <c r="W37" s="167" t="n">
        <v>10.4</v>
      </c>
      <c r="X37" s="147">
        <f>1</f>
        <v/>
      </c>
      <c r="Y37" s="148">
        <f>IF(W37&lt;&gt;"",W37*X37,"")</f>
        <v/>
      </c>
      <c r="Z37" s="148">
        <f>IF(AND(W37&lt;&gt;"",U37="yes"),W37*X37,"")</f>
        <v/>
      </c>
    </row>
    <row r="38">
      <c r="A38" s="56" t="inlineStr">
        <is>
          <t>calculate</t>
        </is>
      </c>
      <c r="B38" s="56" t="inlineStr">
        <is>
          <t>adm2_name</t>
        </is>
      </c>
      <c r="C38" s="35" t="n"/>
      <c r="D38" s="69" t="n"/>
      <c r="E38" s="69" t="n"/>
      <c r="F38" s="56" t="n"/>
      <c r="G38" s="70" t="n"/>
      <c r="H38" s="70" t="n"/>
      <c r="I38" s="98" t="n"/>
      <c r="J38" s="98" t="n"/>
      <c r="K38" s="98" t="n"/>
      <c r="L38" s="98" t="n"/>
      <c r="M38" s="98" t="n"/>
      <c r="N38" s="98" t="n"/>
      <c r="O38" s="98" t="n"/>
      <c r="P38" s="98" t="inlineStr">
        <is>
          <t>jr:choice-name(${adm2_pcode},'${adm2_pcode}')</t>
        </is>
      </c>
      <c r="U38" s="36" t="inlineStr">
        <is>
          <t>yes</t>
        </is>
      </c>
      <c r="W38" s="167" t="n"/>
      <c r="X38" s="147">
        <f>1</f>
        <v/>
      </c>
      <c r="Y38" s="148">
        <f>IF(W38&lt;&gt;"",W38*X38,"")</f>
        <v/>
      </c>
      <c r="Z38" s="148">
        <f>IF(AND(W38&lt;&gt;"",U38="yes"),W38*X38,"")</f>
        <v/>
      </c>
    </row>
    <row r="39" customFormat="1" s="57">
      <c r="A39" s="247" t="inlineStr">
        <is>
          <t>text</t>
        </is>
      </c>
      <c r="B39" s="248" t="inlineStr">
        <is>
          <t>o_village_name</t>
        </is>
      </c>
      <c r="C39" s="249" t="inlineStr">
        <is>
          <t>Currently, in which village/community does your household reside?</t>
        </is>
      </c>
      <c r="D39" s="253" t="n"/>
      <c r="E39" s="253" t="n"/>
      <c r="F39" s="247" t="n"/>
      <c r="G39" s="247" t="n"/>
      <c r="H39" s="247" t="n"/>
      <c r="I39" s="254" t="inlineStr">
        <is>
          <t>true</t>
        </is>
      </c>
      <c r="J39" s="254" t="inlineStr">
        <is>
          <t>autocomplete</t>
        </is>
      </c>
      <c r="K39" s="255" t="n"/>
      <c r="L39" s="255" t="n"/>
      <c r="M39" s="255" t="n"/>
      <c r="N39" s="255" t="n"/>
      <c r="O39" s="255" t="n"/>
      <c r="P39" s="255" t="n"/>
      <c r="Q39" s="247" t="n"/>
      <c r="R39" s="247" t="n"/>
      <c r="S39" s="247" t="n"/>
      <c r="T39" s="247" t="n"/>
      <c r="U39" s="247" t="n"/>
      <c r="V39" s="247" t="n"/>
      <c r="W39" s="250" t="n"/>
      <c r="X39" s="251" t="n"/>
      <c r="Y39" s="252" t="n">
        <v>5</v>
      </c>
      <c r="Z39" s="148" t="n">
        <v>5</v>
      </c>
    </row>
    <row r="40">
      <c r="D40" s="69" t="n"/>
      <c r="E40" s="69" t="n"/>
      <c r="G40" s="70" t="n"/>
      <c r="H40" s="70" t="n"/>
      <c r="I40" s="105" t="inlineStr">
        <is>
          <t>true</t>
        </is>
      </c>
      <c r="W40" s="167" t="n"/>
      <c r="X40" s="147">
        <f>1</f>
        <v/>
      </c>
      <c r="Y40" s="148">
        <f>IF(W40&lt;&gt;"",W40*X40,"")</f>
        <v/>
      </c>
      <c r="Z40" s="148">
        <f>IF(AND(W40&lt;&gt;"",U40="yes"),W40*X40,"")</f>
        <v/>
      </c>
    </row>
    <row r="41" ht="48" customFormat="1" customHeight="1" s="37">
      <c r="A41" s="35" t="inlineStr">
        <is>
          <t>select_one agricactivity</t>
        </is>
      </c>
      <c r="B41" s="35" t="inlineStr">
        <is>
          <t>hh_agricactivity</t>
        </is>
      </c>
      <c r="C41" s="35" t="inlineStr">
        <is>
          <t>Has anybody in your household produced crops or livestock for household consumption or for sale in the past 12 months, including household members currently away for transhumance?</t>
        </is>
      </c>
      <c r="D41" s="69" t="n"/>
      <c r="E41" s="69" t="n"/>
      <c r="F41" s="56"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1" s="69" t="n"/>
      <c r="H41" s="69" t="n"/>
      <c r="I41" s="34" t="inlineStr">
        <is>
          <t>true</t>
        </is>
      </c>
      <c r="J41" s="34" t="n"/>
      <c r="K41" s="34" t="n"/>
      <c r="L41" s="34" t="n"/>
      <c r="M41" s="34" t="n"/>
      <c r="N41" s="34" t="n"/>
      <c r="O41" s="34" t="n"/>
      <c r="P41" s="34" t="n"/>
      <c r="U41" s="37" t="inlineStr">
        <is>
          <t>yes</t>
        </is>
      </c>
      <c r="W41" s="170" t="n">
        <v>31.37237739562988</v>
      </c>
      <c r="X41" s="147">
        <f>1</f>
        <v/>
      </c>
      <c r="Y41" s="149">
        <f>IF(W41&lt;&gt;"",W41*X41,"")</f>
        <v/>
      </c>
      <c r="Z41" s="149">
        <f>IF(AND(W41&lt;&gt;"",U41="yes"),W41*X41,"")</f>
        <v/>
      </c>
      <c r="AA41" s="38" t="n"/>
    </row>
    <row r="42" customFormat="1" s="37">
      <c r="A42" s="58" t="n"/>
      <c r="B42" s="58" t="n"/>
      <c r="C42" s="59" t="n"/>
      <c r="D42" s="69" t="n"/>
      <c r="E42" s="69" t="n"/>
      <c r="F42" s="58" t="n"/>
      <c r="G42" s="69" t="n"/>
      <c r="H42" s="69" t="n"/>
      <c r="I42" s="99" t="n"/>
      <c r="J42" s="99" t="n"/>
      <c r="K42" s="99" t="n"/>
      <c r="L42" s="99" t="n"/>
      <c r="M42" s="99" t="n"/>
      <c r="N42" s="99" t="n"/>
      <c r="O42" s="99" t="n"/>
      <c r="P42" s="99" t="n"/>
      <c r="Q42" s="58" t="n"/>
      <c r="R42" s="58" t="n"/>
      <c r="S42" s="58" t="n"/>
      <c r="T42" s="58" t="n"/>
      <c r="U42" s="58" t="inlineStr">
        <is>
          <t>no</t>
        </is>
      </c>
      <c r="V42" s="58" t="n"/>
      <c r="W42" s="167" t="n">
        <v>17</v>
      </c>
      <c r="X42" s="147">
        <f>1</f>
        <v/>
      </c>
      <c r="Y42" s="148" t="n"/>
      <c r="Z42" s="149" t="n"/>
      <c r="AA42" s="38" t="n"/>
    </row>
    <row r="43" ht="16" customFormat="1" customHeight="1" s="57" thickBot="1">
      <c r="A43" s="78" t="inlineStr">
        <is>
          <t>end_group</t>
        </is>
      </c>
      <c r="B43" s="78" t="n"/>
      <c r="C43" s="79" t="n"/>
      <c r="D43" s="73" t="n"/>
      <c r="E43" s="73" t="n"/>
      <c r="F43" s="78" t="n"/>
      <c r="G43" s="74" t="n"/>
      <c r="H43" s="74" t="n"/>
      <c r="I43" s="109" t="n"/>
      <c r="J43" s="109" t="n"/>
      <c r="K43" s="109" t="n"/>
      <c r="L43" s="109" t="n"/>
      <c r="M43" s="109" t="n"/>
      <c r="N43" s="109" t="n"/>
      <c r="O43" s="109" t="n"/>
      <c r="P43" s="109" t="n"/>
      <c r="W43" s="167" t="n"/>
      <c r="X43" s="147" t="n"/>
      <c r="Y43" s="148">
        <f>IF(W43&lt;&gt;"",W43*X43,"")</f>
        <v/>
      </c>
      <c r="Z43" s="148">
        <f>IF(AND(W43&lt;&gt;"",U43="yes"),W43*X43,"")</f>
        <v/>
      </c>
    </row>
    <row r="44" ht="17.15" customFormat="1" customHeight="1" s="54" thickTop="1">
      <c r="A44" s="51" t="inlineStr">
        <is>
          <t>begin_group</t>
        </is>
      </c>
      <c r="B44" s="51" t="inlineStr">
        <is>
          <t>generalInfo</t>
        </is>
      </c>
      <c r="C44" s="75" t="inlineStr">
        <is>
          <t>GENERAL INFORMATION</t>
        </is>
      </c>
      <c r="D44" s="52" t="n"/>
      <c r="E44" s="52" t="n"/>
      <c r="F44" s="51" t="n"/>
      <c r="G44" s="53" t="n"/>
      <c r="H44" s="53" t="n"/>
      <c r="I44" s="103" t="inlineStr">
        <is>
          <t>false</t>
        </is>
      </c>
      <c r="J44" s="103" t="n"/>
      <c r="K44" s="103" t="n"/>
      <c r="L44" s="103" t="n"/>
      <c r="M44" s="104" t="inlineStr">
        <is>
          <t>${resp_agree} = '1' and ${hh_agricactivity} != '5' and ${hh_agricactivity} != '6'</t>
        </is>
      </c>
      <c r="N44" s="103" t="n"/>
      <c r="O44" s="103" t="n"/>
      <c r="P44" s="103" t="n"/>
      <c r="U44" s="36" t="inlineStr">
        <is>
          <t>yes</t>
        </is>
      </c>
      <c r="W44" s="167" t="n"/>
      <c r="X44" s="147" t="n"/>
      <c r="Y44" s="148">
        <f>IF(W44&lt;&gt;"",W44*X44,"")</f>
        <v/>
      </c>
      <c r="Z44" s="148">
        <f>IF(AND(W44&lt;&gt;"",U44="yes"),W44*X44,"")</f>
        <v/>
      </c>
      <c r="AA44" s="55" t="n"/>
    </row>
    <row r="45">
      <c r="D45" s="69" t="n"/>
      <c r="E45" s="69" t="n"/>
      <c r="G45" s="70" t="n"/>
      <c r="H45" s="70" t="n"/>
      <c r="W45" s="167" t="n"/>
      <c r="X45" s="147">
        <f>1</f>
        <v/>
      </c>
      <c r="Y45" s="148">
        <f>IF(W45&lt;&gt;"",W45*X45,"")</f>
        <v/>
      </c>
      <c r="Z45" s="148">
        <f>IF(AND(W45&lt;&gt;"",U45="yes"),W45*X45,"")</f>
        <v/>
      </c>
    </row>
    <row r="46" ht="16" customHeight="1">
      <c r="A46" s="56" t="inlineStr">
        <is>
          <t>select_one yes_no</t>
        </is>
      </c>
      <c r="B46" s="56" t="inlineStr">
        <is>
          <t>resp_id</t>
        </is>
      </c>
      <c r="C46" s="35" t="inlineStr">
        <is>
          <t>Are you the head of household?</t>
        </is>
      </c>
      <c r="D46" s="69" t="n"/>
      <c r="E46" s="69" t="n"/>
      <c r="F46" s="56" t="n"/>
      <c r="G46" s="70" t="n"/>
      <c r="H46" s="70" t="n"/>
      <c r="I46" s="98" t="inlineStr">
        <is>
          <t>true</t>
        </is>
      </c>
      <c r="J46" s="98" t="n"/>
      <c r="K46" s="98" t="n"/>
      <c r="L46" s="98" t="n"/>
      <c r="M46" s="98" t="n"/>
      <c r="N46" s="98" t="n"/>
      <c r="O46" s="98" t="n"/>
      <c r="P46" s="98" t="n"/>
      <c r="U46" s="36" t="inlineStr">
        <is>
          <t>yes</t>
        </is>
      </c>
      <c r="W46" s="188" t="n"/>
      <c r="X46" s="189" t="n"/>
      <c r="Y46" s="190" t="n"/>
      <c r="Z46" s="148" t="n"/>
    </row>
    <row r="47" ht="16" customHeight="1">
      <c r="A47" s="56" t="inlineStr">
        <is>
          <t>select_one gender</t>
        </is>
      </c>
      <c r="B47" s="56" t="inlineStr">
        <is>
          <t>hh_gender</t>
        </is>
      </c>
      <c r="C47" s="35" t="inlineStr">
        <is>
          <t xml:space="preserve">Is the head of your household male or female? </t>
        </is>
      </c>
      <c r="D47" s="69" t="n"/>
      <c r="E47" s="69" t="n"/>
      <c r="F47" s="56" t="n"/>
      <c r="G47" s="70" t="n"/>
      <c r="H47" s="70" t="n"/>
      <c r="I47" s="98" t="inlineStr">
        <is>
          <t>true</t>
        </is>
      </c>
      <c r="J47" s="98" t="n"/>
      <c r="K47" s="98" t="n"/>
      <c r="L47" s="98" t="n"/>
      <c r="M47" s="98" t="inlineStr">
        <is>
          <t>${resp_id} != '1'</t>
        </is>
      </c>
      <c r="N47" s="98" t="n"/>
      <c r="O47" s="98" t="n"/>
      <c r="P47" s="98" t="n"/>
      <c r="U47" s="36" t="inlineStr">
        <is>
          <t>yes</t>
        </is>
      </c>
      <c r="W47" s="167" t="n">
        <v>10.08573150634766</v>
      </c>
      <c r="X47" s="147">
        <f>1</f>
        <v/>
      </c>
      <c r="Y47" s="148">
        <f>IF(W47&lt;&gt;"",W47*X47,"")</f>
        <v/>
      </c>
      <c r="Z47" s="148">
        <f>IF(AND(W47&lt;&gt;"",U47="yes"),W47*X47,"")</f>
        <v/>
      </c>
    </row>
    <row r="48">
      <c r="D48" s="69" t="n"/>
      <c r="E48" s="69" t="n"/>
      <c r="G48" s="70" t="n"/>
      <c r="H48" s="70" t="n"/>
      <c r="W48" s="167" t="n"/>
      <c r="X48" s="147">
        <f>1</f>
        <v/>
      </c>
      <c r="Y48" s="148">
        <f>IF(W48&lt;&gt;"",W48*X48,"")</f>
        <v/>
      </c>
      <c r="Z48" s="148">
        <f>IF(AND(W48&lt;&gt;"",U48="yes"),W48*X48,"")</f>
        <v/>
      </c>
    </row>
    <row r="49" ht="16" customHeight="1">
      <c r="A49" s="56" t="inlineStr">
        <is>
          <t>select_one edu</t>
        </is>
      </c>
      <c r="B49" s="56" t="inlineStr">
        <is>
          <t>hh_education</t>
        </is>
      </c>
      <c r="C49" s="35" t="inlineStr">
        <is>
          <t xml:space="preserve">What is the educational level attained by the head of household? </t>
        </is>
      </c>
      <c r="D49" s="69" t="n"/>
      <c r="E49" s="69" t="n"/>
      <c r="F49" s="56" t="n"/>
      <c r="G49" s="70" t="n"/>
      <c r="H49" s="70" t="n"/>
      <c r="I49" s="98" t="inlineStr">
        <is>
          <t>true</t>
        </is>
      </c>
      <c r="J49" s="98" t="n"/>
      <c r="K49" s="98" t="n"/>
      <c r="L49" s="98" t="n"/>
      <c r="M49" s="98" t="n"/>
      <c r="N49" s="98" t="n"/>
      <c r="O49" s="98" t="n"/>
      <c r="P49" s="98" t="n"/>
      <c r="U49" s="36" t="inlineStr">
        <is>
          <t>yes</t>
        </is>
      </c>
      <c r="W49" s="167" t="n">
        <v>12.89403438568115</v>
      </c>
      <c r="X49" s="147">
        <f>1</f>
        <v/>
      </c>
      <c r="Y49" s="148">
        <f>IF(W49&lt;&gt;"",W49*X49,"")</f>
        <v/>
      </c>
      <c r="Z49" s="148">
        <f>IF(AND(W49&lt;&gt;"",U49="yes"),W49*X49,"")</f>
        <v/>
      </c>
    </row>
    <row r="50">
      <c r="D50" s="69" t="n"/>
      <c r="E50" s="69" t="n"/>
      <c r="G50" s="70" t="n"/>
      <c r="H50" s="70" t="n"/>
      <c r="W50" s="167" t="n"/>
      <c r="X50" s="147">
        <f>1</f>
        <v/>
      </c>
      <c r="Y50" s="148">
        <f>IF(W50&lt;&gt;"",W50*X50,"")</f>
        <v/>
      </c>
      <c r="Z50" s="148">
        <f>IF(AND(W50&lt;&gt;"",U50="yes"),W50*X50,"")</f>
        <v/>
      </c>
    </row>
    <row r="51" ht="16" customFormat="1" customHeight="1" s="57">
      <c r="A51" s="57" t="inlineStr">
        <is>
          <t>select_one water</t>
        </is>
      </c>
      <c r="B51" s="57" t="inlineStr">
        <is>
          <t>hh_wealth_water</t>
        </is>
      </c>
      <c r="C51" s="38" t="inlineStr">
        <is>
          <t>Where does the water that you drink at home come from?</t>
        </is>
      </c>
      <c r="D51" s="80" t="n"/>
      <c r="E51" s="80" t="n"/>
      <c r="F51" s="81" t="n"/>
      <c r="G51" s="82" t="n"/>
      <c r="H51" s="82" t="n"/>
      <c r="I51" s="105" t="inlineStr">
        <is>
          <t>true</t>
        </is>
      </c>
      <c r="J51" s="110" t="n"/>
      <c r="K51" s="110" t="n"/>
      <c r="L51" s="110" t="n"/>
      <c r="M51" s="110" t="n"/>
      <c r="N51" s="110" t="n"/>
      <c r="O51" s="110" t="n"/>
      <c r="P51" s="110" t="n"/>
      <c r="U51" s="57" t="inlineStr">
        <is>
          <t>yes</t>
        </is>
      </c>
      <c r="W51" s="167" t="n">
        <v>15.26582908630371</v>
      </c>
      <c r="X51" s="147">
        <f>1</f>
        <v/>
      </c>
      <c r="Y51" s="148">
        <f>IF(W51&lt;&gt;"",W51*X51,"")</f>
        <v/>
      </c>
      <c r="Z51" s="148">
        <f>IF(AND(W51&lt;&gt;"",U51="yes"),W51*X51,"")</f>
        <v/>
      </c>
    </row>
    <row r="52" ht="16" customFormat="1" customHeight="1" s="57">
      <c r="A52" s="57" t="inlineStr">
        <is>
          <t>select_one toilet</t>
        </is>
      </c>
      <c r="B52" s="57" t="inlineStr">
        <is>
          <t>hh_wealth_toilet</t>
        </is>
      </c>
      <c r="C52" s="38" t="inlineStr">
        <is>
          <t>Where do household members typically go to use the toilet?</t>
        </is>
      </c>
      <c r="D52" s="80" t="n"/>
      <c r="E52" s="80" t="n"/>
      <c r="F52" s="81" t="n"/>
      <c r="G52" s="82" t="n"/>
      <c r="H52" s="82" t="n"/>
      <c r="I52" s="105" t="inlineStr">
        <is>
          <t>true</t>
        </is>
      </c>
      <c r="J52" s="110" t="n"/>
      <c r="K52" s="110" t="n"/>
      <c r="L52" s="110" t="n"/>
      <c r="M52" s="110" t="n"/>
      <c r="N52" s="110" t="n"/>
      <c r="O52" s="110" t="n"/>
      <c r="P52" s="110" t="n"/>
      <c r="U52" s="57" t="inlineStr">
        <is>
          <t>yes</t>
        </is>
      </c>
      <c r="W52" s="167" t="n">
        <v>15.12371826171875</v>
      </c>
      <c r="X52" s="147">
        <f>1</f>
        <v/>
      </c>
      <c r="Y52" s="148">
        <f>IF(W52&lt;&gt;"",W52*X52,"")</f>
        <v/>
      </c>
      <c r="Z52" s="148">
        <f>IF(AND(W52&lt;&gt;"",U52="yes"),W52*X52,"")</f>
        <v/>
      </c>
    </row>
    <row r="53" ht="16" customFormat="1" customHeight="1" s="57">
      <c r="A53" s="57" t="inlineStr">
        <is>
          <t>select_one light</t>
        </is>
      </c>
      <c r="B53" s="57" t="inlineStr">
        <is>
          <t>hh_wealth_light</t>
        </is>
      </c>
      <c r="C53" s="38" t="inlineStr">
        <is>
          <t>What is the main source of light in your dwelling?</t>
        </is>
      </c>
      <c r="D53" s="80" t="n"/>
      <c r="E53" s="80" t="n"/>
      <c r="F53" s="81" t="n"/>
      <c r="G53" s="82" t="n"/>
      <c r="H53" s="82" t="n"/>
      <c r="I53" s="105" t="inlineStr">
        <is>
          <t>true</t>
        </is>
      </c>
      <c r="J53" s="110" t="n"/>
      <c r="K53" s="110" t="n"/>
      <c r="L53" s="110" t="n"/>
      <c r="M53" s="110" t="n"/>
      <c r="N53" s="110" t="n"/>
      <c r="O53" s="110" t="n"/>
      <c r="P53" s="110" t="n"/>
      <c r="U53" s="57" t="inlineStr">
        <is>
          <t>yes</t>
        </is>
      </c>
      <c r="W53" s="167" t="n">
        <v>13.76013851165771</v>
      </c>
      <c r="X53" s="147">
        <f>1</f>
        <v/>
      </c>
      <c r="Y53" s="148">
        <f>IF(W53&lt;&gt;"",W53*X53,"")</f>
        <v/>
      </c>
      <c r="Z53" s="148">
        <f>IF(AND(W53&lt;&gt;"",U53="yes"),W53*X53,"")</f>
        <v/>
      </c>
    </row>
    <row r="54" ht="16" customFormat="1" customHeight="1" s="58">
      <c r="A54" s="58" t="inlineStr">
        <is>
          <t>select_multiple asset_prod</t>
        </is>
      </c>
      <c r="B54" s="58" t="inlineStr">
        <is>
          <t>hh_asset_prod</t>
        </is>
      </c>
      <c r="C54" s="59" t="inlineStr">
        <is>
          <t xml:space="preserve">Does your household own any of the following productive assets? </t>
        </is>
      </c>
      <c r="D54" s="60" t="n"/>
      <c r="E54" s="60" t="n"/>
      <c r="F54" s="58" t="inlineStr">
        <is>
          <t>[INSTRUCTIONS: MULTIPLE RESPONSES POSSIBLE. READ ANSWER OPTIONS OUT LOUD.]</t>
        </is>
      </c>
      <c r="G54" s="64" t="n"/>
      <c r="H54" s="64" t="n"/>
      <c r="I54" s="99" t="inlineStr">
        <is>
          <t>true</t>
        </is>
      </c>
      <c r="J54" s="99" t="n"/>
      <c r="K54" s="99" t="inlineStr">
        <is>
          <t>if(selected(.,'none') or selected(.,'dk') or selected(.,'ref'), count-selected(.) = 1, count-selected(.) &gt;= 1)</t>
        </is>
      </c>
      <c r="L54" s="99" t="n"/>
      <c r="M54" s="99" t="n"/>
      <c r="N54" s="99" t="n"/>
      <c r="O54" s="99" t="n"/>
      <c r="P54" s="99" t="n"/>
      <c r="U54" s="58" t="inlineStr">
        <is>
          <t>no</t>
        </is>
      </c>
      <c r="W54" s="167" t="n">
        <v>17</v>
      </c>
      <c r="X54" s="147">
        <f>1</f>
        <v/>
      </c>
      <c r="Y54" s="148">
        <f>IF(W54&lt;&gt;"",W54*X54,"")</f>
        <v/>
      </c>
      <c r="Z54" s="148">
        <f>IF(AND(W54&lt;&gt;"",U54="yes"),W54*X54,"")</f>
        <v/>
      </c>
      <c r="AA54" s="57" t="n"/>
    </row>
    <row r="55" customFormat="1" s="58">
      <c r="C55" s="59" t="n"/>
      <c r="D55" s="60" t="n"/>
      <c r="E55" s="60" t="n"/>
      <c r="G55" s="64" t="n"/>
      <c r="H55" s="64" t="n"/>
      <c r="I55" s="99" t="n"/>
      <c r="J55" s="99" t="n"/>
      <c r="K55" s="99" t="n"/>
      <c r="L55" s="99" t="n"/>
      <c r="M55" s="99" t="n"/>
      <c r="N55" s="99" t="n"/>
      <c r="O55" s="99" t="n"/>
      <c r="P55" s="99" t="n"/>
      <c r="W55" s="167" t="n"/>
      <c r="X55" s="147" t="n"/>
      <c r="Y55" s="148" t="n"/>
      <c r="Z55" s="148" t="n"/>
      <c r="AA55" s="57" t="n"/>
    </row>
    <row r="56" customFormat="1" s="58">
      <c r="C56" s="59" t="n"/>
      <c r="D56" s="60" t="n"/>
      <c r="E56" s="60" t="n"/>
      <c r="G56" s="64" t="n"/>
      <c r="H56" s="64" t="n"/>
      <c r="I56" s="99" t="n"/>
      <c r="J56" s="99" t="n"/>
      <c r="K56" s="99" t="n"/>
      <c r="L56" s="99" t="n"/>
      <c r="M56" s="99" t="n"/>
      <c r="N56" s="99" t="n"/>
      <c r="O56" s="99" t="n"/>
      <c r="P56" s="99" t="n"/>
      <c r="W56" s="167" t="n"/>
      <c r="X56" s="147" t="n"/>
      <c r="Y56" s="148" t="n"/>
      <c r="Z56" s="148" t="n"/>
      <c r="AA56" s="57" t="n"/>
    </row>
    <row r="57" ht="16" customFormat="1" customHeight="1" s="57">
      <c r="A57" s="57" t="inlineStr">
        <is>
          <t>select_one residence</t>
        </is>
      </c>
      <c r="B57" s="57" t="inlineStr">
        <is>
          <t>hh_residencetype</t>
        </is>
      </c>
      <c r="C57" s="209" t="inlineStr">
        <is>
          <t xml:space="preserve">How would you describe your residence status? Are you a... </t>
        </is>
      </c>
      <c r="D57" s="80" t="n"/>
      <c r="E57" s="80" t="n"/>
      <c r="F57" s="57" t="inlineStr">
        <is>
          <t>[INSTRUCTIONS: READ OUT THE OPTIONS.]
[HINT: IF RESPONDENT IS ONLY AWAY FROM THE HOUSEHOLD FOR SHORT SEASONAL WORK (&lt;6 MONTHS) OR TRANSHUMANCE, MAKE SURE TO REFER TO THEIR HOUSEHOLD BACK WHERE THEY TYPICALLY ARE LOCATED.]</t>
        </is>
      </c>
      <c r="G57" s="82" t="n"/>
      <c r="H57" s="82" t="n"/>
      <c r="I57" s="110" t="inlineStr">
        <is>
          <t>true</t>
        </is>
      </c>
      <c r="J57" s="110" t="n"/>
      <c r="K57" s="110" t="n"/>
      <c r="L57" s="110" t="n"/>
      <c r="M57" s="110" t="n"/>
      <c r="N57" s="110" t="n"/>
      <c r="O57" s="110" t="n"/>
      <c r="P57" s="110" t="n"/>
      <c r="U57" s="57" t="inlineStr">
        <is>
          <t>no</t>
        </is>
      </c>
      <c r="W57" s="167" t="n">
        <v>30.64618873596191</v>
      </c>
      <c r="X57" s="147">
        <f>1</f>
        <v/>
      </c>
      <c r="Y57" s="148">
        <f>IF(W57&lt;&gt;"",W57*X57,"")</f>
        <v/>
      </c>
      <c r="Z57" s="148">
        <f>IF(AND(W57&lt;&gt;"",U57="yes"),W57*X57,"")</f>
        <v/>
      </c>
    </row>
    <row r="58" ht="16" customFormat="1" customHeight="1" s="57">
      <c r="A58" s="236" t="inlineStr">
        <is>
          <t>integer</t>
        </is>
      </c>
      <c r="B58" s="236" t="inlineStr">
        <is>
          <t>hh_arrivaltime</t>
        </is>
      </c>
      <c r="C58" s="237" t="inlineStr">
        <is>
          <t>How long ago did you arrive in this place?</t>
        </is>
      </c>
      <c r="D58" s="80" t="n"/>
      <c r="E58" s="80" t="n"/>
      <c r="F58" s="212" t="inlineStr">
        <is>
          <t>[OPERATOR: INDICATE THE NUMBER OF MONTHS. YOU MAY NEED TO CALCULATE THIS. ENTER 888 FOR DON'T KNOW &amp; 999 FOR REFUSED.]</t>
        </is>
      </c>
      <c r="G58" s="82" t="n"/>
      <c r="H58" s="82" t="n"/>
      <c r="I58" s="238" t="inlineStr">
        <is>
          <t>true</t>
        </is>
      </c>
      <c r="J58" s="238" t="n"/>
      <c r="K58" s="238" t="n"/>
      <c r="L58" s="238" t="n"/>
      <c r="M58" s="238" t="inlineStr">
        <is>
          <t>${hh_residencetype} = 2 or ${hh_residencetype} = 3 or ${hh_residencetype} = 4</t>
        </is>
      </c>
      <c r="N58" s="238" t="n"/>
      <c r="O58" s="238" t="n"/>
      <c r="P58" s="238" t="n"/>
      <c r="W58" s="167" t="n"/>
      <c r="X58" s="147" t="n"/>
      <c r="Y58" s="148" t="n">
        <v>17</v>
      </c>
      <c r="Z58" s="148" t="n">
        <v>17</v>
      </c>
    </row>
    <row r="59" ht="32.15" customFormat="1" customHeight="1" s="57">
      <c r="A59" s="236" t="inlineStr">
        <is>
          <t>integer</t>
        </is>
      </c>
      <c r="B59" s="236" t="inlineStr">
        <is>
          <t>hh_displacementfreq</t>
        </is>
      </c>
      <c r="C59" s="237" t="inlineStr">
        <is>
          <t>How many times have you [respondent] been forced to move due to conflict, insecurity or disaster since you were first displaced/returned?</t>
        </is>
      </c>
      <c r="D59" s="80" t="n"/>
      <c r="E59" s="80" t="n"/>
      <c r="F59" s="212" t="inlineStr">
        <is>
          <t>[INSTRUCTIONS: ENTER 888 FOR DON'T KNOW &amp; 999 FOR REFUSED.]</t>
        </is>
      </c>
      <c r="G59" s="82" t="n"/>
      <c r="H59" s="82" t="n"/>
      <c r="I59" s="238" t="inlineStr">
        <is>
          <t>true</t>
        </is>
      </c>
      <c r="J59" s="238" t="n"/>
      <c r="K59" s="238" t="n"/>
      <c r="L59" s="238" t="n"/>
      <c r="M59" s="238" t="inlineStr">
        <is>
          <t>${hh_residencetype} = 2 or ${hh_residencetype} = 3 or ${hh_residencetype} = 4</t>
        </is>
      </c>
      <c r="N59" s="238" t="n"/>
      <c r="O59" s="238" t="n"/>
      <c r="P59" s="238" t="n"/>
      <c r="W59" s="167" t="n"/>
      <c r="X59" s="147" t="n"/>
      <c r="Y59" s="148" t="n">
        <v>17</v>
      </c>
      <c r="Z59" s="148" t="n">
        <v>17</v>
      </c>
    </row>
    <row r="60" ht="32.15" customFormat="1" customHeight="1" s="57">
      <c r="A60" s="236" t="inlineStr">
        <is>
          <t>select_multiple residencecomp</t>
        </is>
      </c>
      <c r="B60" s="236" t="inlineStr">
        <is>
          <t>temp_hh_residencecomp</t>
        </is>
      </c>
      <c r="C60" s="237" t="inlineStr">
        <is>
          <t>Does your household include any members with a different status type than the one you reported? And if so, which one(s)?</t>
        </is>
      </c>
      <c r="D60" s="80" t="n"/>
      <c r="E60" s="80" t="n"/>
      <c r="F60" s="212" t="inlineStr">
        <is>
          <t>[OPERATOR: MULTIPLE RESPONSES POSSIBLE. SELECT ALL THAT APPLY.]</t>
        </is>
      </c>
      <c r="G60" s="82" t="n"/>
      <c r="H60" s="82" t="n"/>
      <c r="I60" s="238" t="inlineStr">
        <is>
          <t>true</t>
        </is>
      </c>
      <c r="J60" s="239" t="inlineStr">
        <is>
          <t>if(selected(., '0') or selected(., '5') or selected(., '6'), count-selected(.) = 1, count-selected(.) &gt;= 1)</t>
        </is>
      </c>
      <c r="K60" s="238" t="n"/>
      <c r="L60" s="238" t="n"/>
      <c r="M60" s="238" t="inlineStr">
        <is>
          <t>${hh_residencetype} != 5 and ${hh_residencetype} != 6</t>
        </is>
      </c>
      <c r="N60" s="238" t="inlineStr">
        <is>
          <t>not(selected(${hh_residencetype}, name))</t>
        </is>
      </c>
      <c r="O60" s="238" t="n"/>
      <c r="P60" s="238" t="n"/>
      <c r="W60" s="167" t="n"/>
      <c r="X60" s="147" t="n"/>
      <c r="Y60" s="148" t="n">
        <v>17</v>
      </c>
      <c r="Z60" s="148" t="n">
        <v>17</v>
      </c>
    </row>
    <row r="61" hidden="1" customFormat="1" s="57">
      <c r="A61" s="212" t="inlineStr">
        <is>
          <t>calculate</t>
        </is>
      </c>
      <c r="B61" s="212" t="inlineStr">
        <is>
          <t>hh_residencecomp_none</t>
        </is>
      </c>
      <c r="C61" s="213" t="n"/>
      <c r="D61" s="80" t="n"/>
      <c r="E61" s="80" t="n"/>
      <c r="F61" s="212" t="n"/>
      <c r="G61" s="82" t="n"/>
      <c r="H61" s="82" t="n"/>
      <c r="I61" s="214" t="inlineStr">
        <is>
          <t>true</t>
        </is>
      </c>
      <c r="J61" s="214" t="n"/>
      <c r="K61" s="214" t="n"/>
      <c r="L61" s="214" t="n"/>
      <c r="M61" s="214" t="n"/>
      <c r="N61" s="214" t="n"/>
      <c r="O61" s="214" t="n"/>
      <c r="P61" s="214" t="inlineStr">
        <is>
          <t>if(${temp_hh_residencecomp}='0',1,0)</t>
        </is>
      </c>
      <c r="W61" s="167" t="n"/>
      <c r="X61" s="147" t="n"/>
      <c r="Y61" s="148" t="n"/>
      <c r="Z61" s="148" t="n"/>
    </row>
    <row r="62" hidden="1" customFormat="1" s="57">
      <c r="A62" s="212" t="inlineStr">
        <is>
          <t>calculate</t>
        </is>
      </c>
      <c r="B62" s="212" t="inlineStr">
        <is>
          <t>hh_residencecomp_permresident</t>
        </is>
      </c>
      <c r="C62" s="213" t="n"/>
      <c r="D62" s="80" t="n"/>
      <c r="E62" s="80" t="n"/>
      <c r="F62" s="212" t="n"/>
      <c r="G62" s="82" t="n"/>
      <c r="H62" s="82" t="n"/>
      <c r="I62" s="214" t="inlineStr">
        <is>
          <t>true</t>
        </is>
      </c>
      <c r="J62" s="214" t="n"/>
      <c r="K62" s="214" t="n"/>
      <c r="L62" s="214" t="n"/>
      <c r="M62" s="214" t="n"/>
      <c r="N62" s="214" t="n"/>
      <c r="O62" s="214" t="n"/>
      <c r="P62" s="214" t="inlineStr">
        <is>
          <t>if(${hh_residencetype}='1' or ${temp_hh_residencecomp}='1',1,0)</t>
        </is>
      </c>
      <c r="W62" s="167" t="n"/>
      <c r="X62" s="147" t="n"/>
      <c r="Y62" s="148" t="n"/>
      <c r="Z62" s="148" t="n"/>
    </row>
    <row r="63" hidden="1" customFormat="1" s="57">
      <c r="A63" s="212" t="inlineStr">
        <is>
          <t>calculate</t>
        </is>
      </c>
      <c r="B63" s="212" t="inlineStr">
        <is>
          <t>hh_residencecomp_returnee</t>
        </is>
      </c>
      <c r="C63" s="213" t="n"/>
      <c r="D63" s="80" t="n"/>
      <c r="E63" s="80" t="n"/>
      <c r="F63" s="212" t="n"/>
      <c r="G63" s="82" t="n"/>
      <c r="H63" s="82" t="n"/>
      <c r="I63" s="214" t="inlineStr">
        <is>
          <t>true</t>
        </is>
      </c>
      <c r="J63" s="214" t="n"/>
      <c r="K63" s="214" t="n"/>
      <c r="L63" s="214" t="n"/>
      <c r="M63" s="214" t="n"/>
      <c r="N63" s="214" t="n"/>
      <c r="O63" s="214" t="n"/>
      <c r="P63" s="214" t="inlineStr">
        <is>
          <t>if(${hh_residencetype}='2' or ${temp_hh_residencecomp}='2',1,0)</t>
        </is>
      </c>
      <c r="W63" s="167" t="n"/>
      <c r="X63" s="147" t="n"/>
      <c r="Y63" s="148" t="n"/>
      <c r="Z63" s="148" t="n"/>
    </row>
    <row r="64" hidden="1" customFormat="1" s="57">
      <c r="A64" s="212" t="inlineStr">
        <is>
          <t>calculate</t>
        </is>
      </c>
      <c r="B64" s="212" t="inlineStr">
        <is>
          <t>hh_residencecomp_idp</t>
        </is>
      </c>
      <c r="C64" s="213" t="n"/>
      <c r="D64" s="80" t="n"/>
      <c r="E64" s="80" t="n"/>
      <c r="F64" s="212" t="n"/>
      <c r="G64" s="82" t="n"/>
      <c r="H64" s="82" t="n"/>
      <c r="I64" s="214" t="inlineStr">
        <is>
          <t>true</t>
        </is>
      </c>
      <c r="J64" s="214" t="n"/>
      <c r="K64" s="214" t="n"/>
      <c r="L64" s="214" t="n"/>
      <c r="M64" s="214" t="n"/>
      <c r="N64" s="214" t="n"/>
      <c r="O64" s="214" t="n"/>
      <c r="P64" s="214" t="inlineStr">
        <is>
          <t>if(${hh_residencetype}='3' or ${temp_hh_residencecomp}='3',1,0)</t>
        </is>
      </c>
      <c r="W64" s="167" t="n"/>
      <c r="X64" s="147" t="n"/>
      <c r="Y64" s="148" t="n"/>
      <c r="Z64" s="148" t="n"/>
    </row>
    <row r="65" hidden="1" customFormat="1" s="57">
      <c r="A65" s="212" t="inlineStr">
        <is>
          <t>calculate</t>
        </is>
      </c>
      <c r="B65" s="212" t="inlineStr">
        <is>
          <t>hh_residencecomp_refugee</t>
        </is>
      </c>
      <c r="C65" s="213" t="n"/>
      <c r="D65" s="80" t="n"/>
      <c r="E65" s="80" t="n"/>
      <c r="F65" s="212" t="n"/>
      <c r="G65" s="82" t="n"/>
      <c r="H65" s="82" t="n"/>
      <c r="I65" s="214" t="inlineStr">
        <is>
          <t>true</t>
        </is>
      </c>
      <c r="J65" s="214" t="n"/>
      <c r="K65" s="214" t="n"/>
      <c r="L65" s="214" t="n"/>
      <c r="M65" s="214" t="n"/>
      <c r="N65" s="214" t="n"/>
      <c r="O65" s="214" t="n"/>
      <c r="P65" s="214" t="inlineStr">
        <is>
          <t>if(${hh_residencetype}='4' or ${temp_hh_residencecomp}='4',1,0)</t>
        </is>
      </c>
      <c r="W65" s="167" t="n"/>
      <c r="X65" s="147" t="n"/>
      <c r="Y65" s="148" t="n"/>
      <c r="Z65" s="148" t="n"/>
    </row>
    <row r="66" hidden="1" customFormat="1" s="57">
      <c r="A66" s="212" t="inlineStr">
        <is>
          <t>calculate</t>
        </is>
      </c>
      <c r="B66" s="212" t="inlineStr">
        <is>
          <t>hh_residencecomp_dk</t>
        </is>
      </c>
      <c r="C66" s="213" t="n"/>
      <c r="D66" s="80" t="n"/>
      <c r="E66" s="80" t="n"/>
      <c r="F66" s="212" t="n"/>
      <c r="G66" s="82" t="n"/>
      <c r="H66" s="82" t="n"/>
      <c r="I66" s="214" t="inlineStr">
        <is>
          <t>true</t>
        </is>
      </c>
      <c r="J66" s="214" t="n"/>
      <c r="K66" s="214" t="n"/>
      <c r="L66" s="214" t="n"/>
      <c r="M66" s="214" t="n"/>
      <c r="N66" s="214" t="n"/>
      <c r="O66" s="214" t="n"/>
      <c r="P66" s="214" t="inlineStr">
        <is>
          <t>if(${temp_hh_residencecomp}='5',1,0)</t>
        </is>
      </c>
      <c r="W66" s="167" t="n"/>
      <c r="X66" s="147" t="n"/>
      <c r="Y66" s="148" t="n"/>
      <c r="Z66" s="148" t="n"/>
    </row>
    <row r="67" hidden="1" customFormat="1" s="57">
      <c r="A67" s="212" t="inlineStr">
        <is>
          <t>calculate</t>
        </is>
      </c>
      <c r="B67" s="212" t="inlineStr">
        <is>
          <t>hh_residencecomp_ref</t>
        </is>
      </c>
      <c r="C67" s="213" t="n"/>
      <c r="D67" s="80" t="n"/>
      <c r="E67" s="80" t="n"/>
      <c r="F67" s="212" t="n"/>
      <c r="G67" s="82" t="n"/>
      <c r="H67" s="82" t="n"/>
      <c r="I67" s="214" t="inlineStr">
        <is>
          <t>true</t>
        </is>
      </c>
      <c r="J67" s="214" t="n"/>
      <c r="K67" s="214" t="n"/>
      <c r="L67" s="214" t="n"/>
      <c r="M67" s="214" t="n"/>
      <c r="N67" s="214" t="n"/>
      <c r="O67" s="214" t="n"/>
      <c r="P67" s="214" t="inlineStr">
        <is>
          <t>if(${temp_hh_residencecomp}='6',1,0)</t>
        </is>
      </c>
      <c r="W67" s="167" t="n"/>
      <c r="X67" s="147" t="n"/>
      <c r="Y67" s="148" t="n"/>
      <c r="Z67" s="148" t="n"/>
    </row>
    <row r="68" customFormat="1" s="58">
      <c r="A68" s="210" t="inlineStr">
        <is>
          <t>select_one hhsite</t>
        </is>
      </c>
      <c r="B68" s="210" t="inlineStr">
        <is>
          <t>hh_site</t>
        </is>
      </c>
      <c r="C68" s="210" t="inlineStr">
        <is>
          <t xml:space="preserve">Which of the following best describes where you live? </t>
        </is>
      </c>
      <c r="D68" s="60" t="n"/>
      <c r="E68" s="60" t="n"/>
      <c r="F68" s="210" t="inlineStr">
        <is>
          <t>[INSTRUCTIONS: READ OUT THE OPTIONS.]</t>
        </is>
      </c>
      <c r="G68" s="64" t="n"/>
      <c r="H68" s="64" t="n"/>
      <c r="I68" s="211" t="inlineStr">
        <is>
          <t>true</t>
        </is>
      </c>
      <c r="J68" s="211" t="n"/>
      <c r="K68" s="211" t="n"/>
      <c r="L68" s="211" t="n"/>
      <c r="M68" s="211" t="inlineStr">
        <is>
          <t>${hh_residencetype} = 2 or ${hh_residencetype} = 3 or ${hh_residencetype} = 4</t>
        </is>
      </c>
      <c r="N68" s="211" t="n"/>
      <c r="O68" s="211" t="n"/>
      <c r="P68" s="211" t="n"/>
      <c r="W68" s="171" t="n"/>
      <c r="X68" s="152" t="n"/>
      <c r="Y68" s="151" t="n">
        <v>17</v>
      </c>
      <c r="Z68" s="151" t="n"/>
    </row>
    <row r="69" customFormat="1" s="58">
      <c r="A69" s="210" t="inlineStr">
        <is>
          <t>select_one hhshelter</t>
        </is>
      </c>
      <c r="B69" s="210" t="inlineStr">
        <is>
          <t>hh_shelter</t>
        </is>
      </c>
      <c r="C69" s="210" t="inlineStr">
        <is>
          <t>What kind of shelter is your household living in?</t>
        </is>
      </c>
      <c r="D69" s="60" t="n"/>
      <c r="E69" s="60" t="n"/>
      <c r="F69" s="210" t="n"/>
      <c r="G69" s="64" t="n"/>
      <c r="H69" s="64" t="n"/>
      <c r="I69" s="211" t="inlineStr">
        <is>
          <t>true</t>
        </is>
      </c>
      <c r="J69" s="211" t="n"/>
      <c r="K69" s="211" t="n"/>
      <c r="L69" s="211" t="n"/>
      <c r="M69" s="211" t="n"/>
      <c r="N69" s="211" t="n"/>
      <c r="O69" s="211" t="n"/>
      <c r="P69" s="211" t="n"/>
      <c r="W69" s="171" t="n"/>
      <c r="X69" s="152" t="n"/>
      <c r="Y69" s="151" t="n">
        <v>17</v>
      </c>
      <c r="Z69" s="151" t="n"/>
    </row>
    <row r="70" customFormat="1" s="58">
      <c r="A70" s="210" t="inlineStr">
        <is>
          <t>select_one yes_no</t>
        </is>
      </c>
      <c r="B70" s="210" t="inlineStr">
        <is>
          <t>hh_predisp_agricactivity</t>
        </is>
      </c>
      <c r="C70" s="210" t="inlineStr">
        <is>
          <t>Did you or others in your household engage in agricultural activities prior to your displacement or repatriation?</t>
        </is>
      </c>
      <c r="D70" s="60" t="n"/>
      <c r="E70" s="60" t="n"/>
      <c r="F70" s="210" t="inlineStr">
        <is>
          <t>[INSTRUCTIONS: MULTIPLE RESPONSES POSSIBLE.]</t>
        </is>
      </c>
      <c r="G70" s="64" t="n"/>
      <c r="H70" s="64" t="n"/>
      <c r="I70" s="211" t="n"/>
      <c r="J70" s="211" t="n"/>
      <c r="K70" s="211" t="n"/>
      <c r="L70" s="211" t="n"/>
      <c r="M70" s="211" t="inlineStr">
        <is>
          <t>${hh_residencetype} = 2 or ${hh_residencetype} = 3 or ${hh_residencetype} = 4 or ${hh_residencecomp} = 2 or ${hh_residencecomp} = 3 or ${hh_residencecomp} = 4</t>
        </is>
      </c>
      <c r="N70" s="211" t="n"/>
      <c r="O70" s="211" t="n"/>
      <c r="P70" s="211" t="n"/>
      <c r="W70" s="171" t="n"/>
      <c r="X70" s="152" t="n"/>
      <c r="Y70" s="151" t="n">
        <v>17</v>
      </c>
      <c r="Z70" s="151" t="n"/>
    </row>
    <row r="71" customFormat="1" s="58">
      <c r="A71" s="210" t="inlineStr">
        <is>
          <t>select_mutiple hhagricpredisp</t>
        </is>
      </c>
      <c r="B71" s="210" t="inlineStr">
        <is>
          <t>hh_predisp</t>
        </is>
      </c>
      <c r="C71" s="210" t="inlineStr">
        <is>
          <t xml:space="preserve">What type of agricultural activities were they? </t>
        </is>
      </c>
      <c r="D71" s="60" t="n"/>
      <c r="E71" s="60" t="n"/>
      <c r="F71" s="210" t="n"/>
      <c r="G71" s="64" t="n"/>
      <c r="H71" s="64" t="n"/>
      <c r="I71" s="211" t="n"/>
      <c r="J71" s="234" t="inlineStr">
        <is>
          <t>if(selected(., 'dk') or selected(., 'ref'), count-selected(.) = 1, count-selected(.) &gt;= 1)</t>
        </is>
      </c>
      <c r="K71" s="211" t="n"/>
      <c r="L71" s="211" t="n"/>
      <c r="M71" s="211" t="inlineStr">
        <is>
          <t>${hh_predisp_agricactivity} = '1'</t>
        </is>
      </c>
      <c r="N71" s="211" t="n"/>
      <c r="O71" s="211" t="n"/>
      <c r="P71" s="211" t="n"/>
      <c r="W71" s="171" t="n"/>
      <c r="X71" s="152" t="n"/>
      <c r="Y71" s="151" t="n">
        <v>17</v>
      </c>
      <c r="Z71" s="151" t="n"/>
    </row>
    <row r="72" ht="32.15" customFormat="1" customHeight="1" s="58">
      <c r="A72" s="210" t="inlineStr">
        <is>
          <t>select_one ret_plotaccess</t>
        </is>
      </c>
      <c r="B72" s="210" t="inlineStr">
        <is>
          <t>crp_returnee_plotaccess</t>
        </is>
      </c>
      <c r="C72" s="217" t="inlineStr">
        <is>
          <t>If you used to cultivate land in this area, fled and have since returned, are you able to access the same land as before?</t>
        </is>
      </c>
      <c r="D72" s="60" t="n"/>
      <c r="E72" s="60" t="n"/>
      <c r="F72" s="210" t="n"/>
      <c r="G72" s="64" t="n"/>
      <c r="H72" s="64" t="n"/>
      <c r="I72" s="211" t="inlineStr">
        <is>
          <t>true</t>
        </is>
      </c>
      <c r="J72" s="211" t="n"/>
      <c r="K72" s="211" t="n"/>
      <c r="L72" s="211" t="n"/>
      <c r="M72" s="211" t="inlineStr">
        <is>
          <t>${hh_residencetype} = 2</t>
        </is>
      </c>
      <c r="N72" s="211" t="n"/>
      <c r="O72" s="211" t="n"/>
      <c r="P72" s="211" t="n"/>
      <c r="W72" s="171" t="n"/>
      <c r="X72" s="152" t="n"/>
      <c r="Y72" s="151" t="n"/>
      <c r="Z72" s="151" t="n"/>
    </row>
    <row r="73" ht="16" customFormat="1" customHeight="1" s="58">
      <c r="A73" s="210" t="inlineStr">
        <is>
          <t>select_multiple accessorigplot</t>
        </is>
      </c>
      <c r="B73" s="210" t="inlineStr">
        <is>
          <t>crp_origplot</t>
        </is>
      </c>
      <c r="C73" s="217" t="inlineStr">
        <is>
          <t>Why are you unable to access your original land for cultivation?</t>
        </is>
      </c>
      <c r="D73" s="60" t="n"/>
      <c r="E73" s="60" t="n"/>
      <c r="F73" s="210" t="inlineStr">
        <is>
          <t>[INSTRUCTIONS: MULTIPLE RESPONSES POSSIBLE.]</t>
        </is>
      </c>
      <c r="G73" s="64" t="n"/>
      <c r="H73" s="64" t="n"/>
      <c r="I73" s="211" t="inlineStr">
        <is>
          <t>true</t>
        </is>
      </c>
      <c r="J73" s="234" t="inlineStr">
        <is>
          <t>if(selected(., 'ref') or selected(., 'dk') or selected(.,'none'), count-selected(.) = 1, count-selected(.) &gt;= 1)</t>
        </is>
      </c>
      <c r="K73" s="211" t="n"/>
      <c r="L73" s="211" t="n"/>
      <c r="M73" s="211" t="inlineStr">
        <is>
          <t>${hh_residencetype} = 2 and ${crp_returnee_plotaccess} = 2</t>
        </is>
      </c>
      <c r="N73" s="211" t="n"/>
      <c r="O73" s="211" t="n"/>
      <c r="P73" s="211" t="n"/>
      <c r="W73" s="171" t="n"/>
      <c r="X73" s="152" t="n"/>
      <c r="Y73" s="151" t="n">
        <v>17</v>
      </c>
      <c r="Z73" s="151" t="n"/>
    </row>
    <row r="74" ht="16" customFormat="1" customHeight="1" s="58">
      <c r="A74" s="210" t="inlineStr">
        <is>
          <t>text</t>
        </is>
      </c>
      <c r="B74" s="210" t="inlineStr">
        <is>
          <t>crp_origplot_otherspecify</t>
        </is>
      </c>
      <c r="C74" s="217" t="inlineStr">
        <is>
          <t>If other, specify.</t>
        </is>
      </c>
      <c r="D74" s="60" t="n"/>
      <c r="E74" s="60" t="n"/>
      <c r="F74" s="210" t="inlineStr">
        <is>
          <t>[INSTRUCTIONS: RECORD THE OPEN RESPONSE GIVEN IN FEW WORDS. ENTER 888 FOR DON'T KNOW AND 999 FOR REFUSED]</t>
        </is>
      </c>
      <c r="G74" s="64" t="n"/>
      <c r="H74" s="64" t="n"/>
      <c r="I74" s="211" t="inlineStr">
        <is>
          <t>true</t>
        </is>
      </c>
      <c r="J74" s="211" t="n"/>
      <c r="K74" s="211" t="n"/>
      <c r="L74" s="211" t="n"/>
      <c r="M74" s="211" t="inlineStr">
        <is>
          <t>selected(${crp_origplot}, 'other')</t>
        </is>
      </c>
      <c r="N74" s="211" t="n"/>
      <c r="O74" s="211" t="n"/>
      <c r="P74" s="211" t="n"/>
      <c r="U74" s="58" t="inlineStr">
        <is>
          <t>yes</t>
        </is>
      </c>
      <c r="W74" s="171" t="n"/>
      <c r="X74" s="233">
        <f>'Additional information'!#REF!</f>
        <v/>
      </c>
      <c r="Y74" s="151">
        <f>IF(W74&lt;&gt;"",W74*X74,"")</f>
        <v/>
      </c>
      <c r="Z74" s="151">
        <f>IF(AND(W74&lt;&gt;"",U74="yes"),W74*X74,"")</f>
        <v/>
      </c>
    </row>
    <row r="75"/>
    <row r="76" ht="16" customFormat="1" customHeight="1" s="58">
      <c r="A76" s="58" t="inlineStr">
        <is>
          <t>select_one maritalstat</t>
        </is>
      </c>
      <c r="B76" s="58" t="inlineStr">
        <is>
          <t>hh_maritalstat</t>
        </is>
      </c>
      <c r="C76" s="59" t="inlineStr">
        <is>
          <t xml:space="preserve">What is the head of household’s current marital status? </t>
        </is>
      </c>
      <c r="D76" s="60" t="n"/>
      <c r="E76" s="60" t="n"/>
      <c r="G76" s="64" t="n"/>
      <c r="H76" s="64" t="n"/>
      <c r="I76" s="99" t="inlineStr">
        <is>
          <t>true</t>
        </is>
      </c>
      <c r="J76" s="99" t="n"/>
      <c r="K76" s="99" t="n"/>
      <c r="L76" s="99" t="n"/>
      <c r="M76" s="99" t="n"/>
      <c r="N76" s="99" t="n"/>
      <c r="O76" s="99" t="n"/>
      <c r="P76" s="99" t="n"/>
      <c r="U76" s="58" t="inlineStr">
        <is>
          <t>no</t>
        </is>
      </c>
      <c r="W76" s="167" t="n">
        <v>17</v>
      </c>
      <c r="X76" s="147">
        <f>1</f>
        <v/>
      </c>
      <c r="Y76" s="148">
        <f>IF(W76&lt;&gt;"",W76*X76,"")</f>
        <v/>
      </c>
      <c r="Z76" s="148">
        <f>IF(AND(W76&lt;&gt;"",U76="yes"),W76*X76,"")</f>
        <v/>
      </c>
      <c r="AA76" s="57" t="n"/>
    </row>
    <row r="77" ht="16" customFormat="1" customHeight="1" s="58">
      <c r="A77" s="58" t="inlineStr">
        <is>
          <t>select_one agegroup</t>
        </is>
      </c>
      <c r="B77" s="58" t="inlineStr">
        <is>
          <t>hh_age</t>
        </is>
      </c>
      <c r="C77" s="59" t="inlineStr">
        <is>
          <t xml:space="preserve">How old is the head of household? </t>
        </is>
      </c>
      <c r="D77" s="60" t="n"/>
      <c r="E77" s="60" t="n"/>
      <c r="G77" s="64" t="n"/>
      <c r="H77" s="64" t="n"/>
      <c r="I77" s="99" t="inlineStr">
        <is>
          <t>true</t>
        </is>
      </c>
      <c r="J77" s="99" t="n"/>
      <c r="K77" s="99" t="n"/>
      <c r="L77" s="99" t="n"/>
      <c r="M77" s="99" t="inlineStr">
        <is>
          <t>${resp_id} != '1'</t>
        </is>
      </c>
      <c r="N77" s="99" t="n"/>
      <c r="O77" s="99" t="n"/>
      <c r="P77" s="99" t="n"/>
      <c r="U77" s="58" t="inlineStr">
        <is>
          <t>no</t>
        </is>
      </c>
      <c r="W77" s="167" t="n">
        <v>8.228806495666504</v>
      </c>
      <c r="X77" s="147">
        <f>1</f>
        <v/>
      </c>
      <c r="Y77" s="148">
        <f>IF(W77&lt;&gt;"",W77*X77,"")</f>
        <v/>
      </c>
      <c r="Z77" s="148">
        <f>IF(AND(W77&lt;&gt;"",U77="yes"),W77*X77,"")</f>
        <v/>
      </c>
      <c r="AA77" s="57" t="n"/>
    </row>
    <row r="78" customFormat="1" s="58">
      <c r="C78" s="59" t="n"/>
      <c r="D78" s="60" t="n"/>
      <c r="E78" s="60" t="n"/>
      <c r="G78" s="64" t="n"/>
      <c r="H78" s="64" t="n"/>
      <c r="I78" s="99" t="n"/>
      <c r="J78" s="99" t="n"/>
      <c r="K78" s="99" t="n"/>
      <c r="L78" s="99" t="n"/>
      <c r="M78" s="99" t="n"/>
      <c r="N78" s="99" t="n"/>
      <c r="O78" s="99" t="n"/>
      <c r="P78" s="99" t="n"/>
      <c r="W78" s="167" t="n"/>
      <c r="X78" s="147">
        <f>1</f>
        <v/>
      </c>
      <c r="Y78" s="148">
        <f>IF(W78&lt;&gt;"",W78*X78,"")</f>
        <v/>
      </c>
      <c r="Z78" s="148">
        <f>IF(AND(W78&lt;&gt;"",U78="yes"),W78*X78,"")</f>
        <v/>
      </c>
      <c r="AA78" s="57" t="n"/>
    </row>
    <row r="79" ht="16" customHeight="1" thickBot="1">
      <c r="A79" s="83" t="inlineStr">
        <is>
          <t>end_group</t>
        </is>
      </c>
      <c r="B79" s="83" t="n"/>
      <c r="C79" s="84" t="n"/>
      <c r="D79" s="91" t="n"/>
      <c r="E79" s="91" t="n"/>
      <c r="F79" s="83" t="n"/>
      <c r="G79" s="92" t="n"/>
      <c r="H79" s="92" t="n"/>
      <c r="I79" s="111" t="n"/>
      <c r="J79" s="111" t="n"/>
      <c r="K79" s="111" t="n"/>
      <c r="L79" s="111" t="n"/>
      <c r="M79" s="111" t="n"/>
      <c r="N79" s="111" t="n"/>
      <c r="O79" s="111" t="n"/>
      <c r="P79" s="111" t="n"/>
      <c r="W79" s="167" t="n"/>
      <c r="X79" s="147">
        <f>1</f>
        <v/>
      </c>
      <c r="Y79" s="148">
        <f>IF(W79&lt;&gt;"",W79*X79,"")</f>
        <v/>
      </c>
      <c r="Z79" s="148">
        <f>IF(AND(W79&lt;&gt;"",U79="yes"),W79*X79,"")</f>
        <v/>
      </c>
    </row>
    <row r="80" ht="17.15" customFormat="1" customHeight="1" s="54" thickTop="1">
      <c r="A80" s="63" t="inlineStr">
        <is>
          <t>begin_group</t>
        </is>
      </c>
      <c r="B80" s="63" t="inlineStr">
        <is>
          <t>Income_Shocks_group</t>
        </is>
      </c>
      <c r="C80" s="85" t="inlineStr">
        <is>
          <t>INCOME SOURCES, LIVELIHOODS AND SHOCKS</t>
        </is>
      </c>
      <c r="D80" s="155" t="n"/>
      <c r="E80" s="155" t="n"/>
      <c r="F80" s="63" t="n"/>
      <c r="G80" s="156" t="n"/>
      <c r="H80" s="156" t="n"/>
      <c r="I80" s="112" t="inlineStr">
        <is>
          <t>false</t>
        </is>
      </c>
      <c r="J80" s="112" t="n"/>
      <c r="K80" s="112" t="n"/>
      <c r="L80" s="112" t="n"/>
      <c r="M80" s="207" t="inlineStr">
        <is>
          <t>${resp_agree} = '1' and ${hh_agricactivity} != '5' and ${hh_agricactivity} != '6'</t>
        </is>
      </c>
      <c r="N80" s="112" t="n"/>
      <c r="O80" s="112" t="n"/>
      <c r="P80" s="112" t="n"/>
      <c r="U80" s="36" t="inlineStr">
        <is>
          <t>yes</t>
        </is>
      </c>
      <c r="W80" s="167" t="n"/>
      <c r="X80" s="147">
        <f>1</f>
        <v/>
      </c>
      <c r="Y80" s="148">
        <f>IF(W80&lt;&gt;"",W80*X80,"")</f>
        <v/>
      </c>
      <c r="Z80" s="148">
        <f>IF(AND(W80&lt;&gt;"",U80="yes"),W80*X80,"")</f>
        <v/>
      </c>
      <c r="AA80" s="55" t="n"/>
    </row>
    <row r="81">
      <c r="D81" s="69" t="n"/>
      <c r="E81" s="69" t="n"/>
      <c r="G81" s="70" t="n"/>
      <c r="H81" s="70" t="n"/>
      <c r="W81" s="167" t="n"/>
      <c r="X81" s="147">
        <f>1</f>
        <v/>
      </c>
      <c r="Y81" s="148">
        <f>IF(W81&lt;&gt;"",W81*X81,"")</f>
        <v/>
      </c>
      <c r="Z81" s="148">
        <f>IF(AND(W81&lt;&gt;"",U81="yes"),W81*X81,"")</f>
        <v/>
      </c>
    </row>
    <row r="82" ht="16" customHeight="1">
      <c r="A82" s="61" t="inlineStr">
        <is>
          <t>select_one incomesource1</t>
        </is>
      </c>
      <c r="B82" s="61" t="inlineStr">
        <is>
          <t>income_main</t>
        </is>
      </c>
      <c r="C82" s="62" t="inlineStr">
        <is>
          <t>What was your household's main source of income in the past 3 months?</t>
        </is>
      </c>
      <c r="D82" s="80" t="n"/>
      <c r="E82" s="80" t="n"/>
      <c r="F82" s="57" t="inlineStr">
        <is>
          <t>[INSTRUCTIONS: REFUSED OPTIONS SHOULD BE AVOIDED AS MUCH AS POSSIBLE.]</t>
        </is>
      </c>
      <c r="G82" s="82" t="n"/>
      <c r="H82" s="82" t="n"/>
      <c r="I82" s="100" t="inlineStr">
        <is>
          <t>true</t>
        </is>
      </c>
      <c r="J82" s="100" t="inlineStr">
        <is>
          <t>minimal</t>
        </is>
      </c>
      <c r="K82" s="100" t="n"/>
      <c r="L82" s="100" t="n"/>
      <c r="M82" s="100" t="n"/>
      <c r="N82" s="100" t="n"/>
      <c r="O82" s="100" t="n"/>
      <c r="P82" s="100" t="n"/>
      <c r="U82" s="36" t="inlineStr">
        <is>
          <t>yes</t>
        </is>
      </c>
      <c r="W82" s="167" t="n">
        <v>36.92873382568359</v>
      </c>
      <c r="X82" s="147">
        <f>1</f>
        <v/>
      </c>
      <c r="Y82" s="148">
        <f>IF(W82&lt;&gt;"",W82*X82,"")</f>
        <v/>
      </c>
      <c r="Z82" s="148">
        <f>IF(AND(W82&lt;&gt;"",U82="yes"),W82*X82,"")</f>
        <v/>
      </c>
    </row>
    <row r="83">
      <c r="A83" s="61" t="inlineStr">
        <is>
          <t>calculate</t>
        </is>
      </c>
      <c r="B83" s="61" t="inlineStr">
        <is>
          <t>incomemain</t>
        </is>
      </c>
      <c r="C83" s="62" t="n"/>
      <c r="D83" s="80" t="n"/>
      <c r="E83" s="80" t="n"/>
      <c r="F83" s="57" t="n"/>
      <c r="G83" s="82" t="n"/>
      <c r="H83" s="82" t="n"/>
      <c r="I83" s="100" t="n"/>
      <c r="J83" s="100" t="n"/>
      <c r="K83" s="100" t="n"/>
      <c r="L83" s="100" t="n"/>
      <c r="M83" s="100" t="n"/>
      <c r="N83" s="100" t="n"/>
      <c r="O83" s="100" t="n"/>
      <c r="P83" s="100" t="inlineStr">
        <is>
          <t>jr:choice-name(${income_main},'${income_main}')</t>
        </is>
      </c>
      <c r="U83" s="36" t="inlineStr">
        <is>
          <t>yes</t>
        </is>
      </c>
      <c r="W83" s="167" t="n"/>
      <c r="X83" s="147">
        <f>1</f>
        <v/>
      </c>
      <c r="Y83" s="148">
        <f>IF(W83&lt;&gt;"",W83*X83,"")</f>
        <v/>
      </c>
      <c r="Z83" s="148">
        <f>IF(AND(W83&lt;&gt;"",U83="yes"),W83*X83,"")</f>
        <v/>
      </c>
    </row>
    <row r="84" ht="16" customHeight="1">
      <c r="A84" s="61" t="inlineStr">
        <is>
          <t>select_one yes_no</t>
        </is>
      </c>
      <c r="B84" s="61" t="inlineStr">
        <is>
          <t>income_main_crop_check</t>
        </is>
      </c>
      <c r="C84" s="62" t="inlineStr">
        <is>
          <t>Are the crops sold also produced by you or anyone in your household?</t>
        </is>
      </c>
      <c r="D84" s="80" t="n"/>
      <c r="E84" s="80" t="n"/>
      <c r="F84" s="57" t="n"/>
      <c r="G84" s="82" t="n"/>
      <c r="H84" s="82" t="n"/>
      <c r="I84" s="100" t="inlineStr">
        <is>
          <t>true</t>
        </is>
      </c>
      <c r="J84" s="100" t="n"/>
      <c r="K84" s="100" t="n"/>
      <c r="L84" s="100" t="n"/>
      <c r="M84" s="100" t="inlineStr">
        <is>
          <t xml:space="preserve">${income_main} = '1' or ${income_main} = '2' or ${income_main} = '3' </t>
        </is>
      </c>
      <c r="N84" s="100" t="n"/>
      <c r="O84" s="100" t="n"/>
      <c r="P84" s="100" t="n"/>
      <c r="U84" s="36" t="inlineStr">
        <is>
          <t>yes</t>
        </is>
      </c>
      <c r="W84" s="167" t="n">
        <v>0</v>
      </c>
      <c r="X84" s="147">
        <f>1</f>
        <v/>
      </c>
      <c r="Y84" s="148">
        <f>IF(W84&lt;&gt;"",W84*X84,"")</f>
        <v/>
      </c>
      <c r="Z84" s="148">
        <f>IF(AND(W84&lt;&gt;"",U84="yes"),W84*X84,"")</f>
        <v/>
      </c>
    </row>
    <row r="85" ht="32.15" customHeight="1">
      <c r="A85" s="61" t="inlineStr">
        <is>
          <t>select_one yes_no</t>
        </is>
      </c>
      <c r="B85" s="61" t="inlineStr">
        <is>
          <t>income_main_ls_check</t>
        </is>
      </c>
      <c r="C85" s="62" t="inlineStr">
        <is>
          <t>Are the livestock or livestock products sold also produced by you or anyone in your household?</t>
        </is>
      </c>
      <c r="D85" s="80" t="n"/>
      <c r="E85" s="80" t="n"/>
      <c r="F85" s="57" t="n"/>
      <c r="G85" s="82" t="n"/>
      <c r="H85" s="82" t="n"/>
      <c r="I85" s="100" t="inlineStr">
        <is>
          <t>true</t>
        </is>
      </c>
      <c r="J85" s="100" t="n"/>
      <c r="K85" s="100" t="n"/>
      <c r="L85" s="100" t="n"/>
      <c r="M85" s="100" t="inlineStr">
        <is>
          <t>${income_main} = '4'</t>
        </is>
      </c>
      <c r="N85" s="100" t="n"/>
      <c r="O85" s="100" t="n"/>
      <c r="P85" s="100" t="n"/>
      <c r="U85" s="36" t="inlineStr">
        <is>
          <t>yes</t>
        </is>
      </c>
      <c r="W85" s="167" t="n">
        <v>0</v>
      </c>
      <c r="X85" s="147">
        <f>1</f>
        <v/>
      </c>
      <c r="Y85" s="148">
        <f>IF(W85&lt;&gt;"",W85*X85,"")</f>
        <v/>
      </c>
      <c r="Z85" s="148">
        <f>IF(AND(W85&lt;&gt;"",U85="yes"),W85*X85,"")</f>
        <v/>
      </c>
    </row>
    <row r="86" ht="32.15" customHeight="1">
      <c r="A86" s="61" t="inlineStr">
        <is>
          <t>select_one yes_no</t>
        </is>
      </c>
      <c r="B86" s="61" t="inlineStr">
        <is>
          <t>income_main_fish_check</t>
        </is>
      </c>
      <c r="C86" s="62" t="inlineStr">
        <is>
          <t>Are the fish or aquatic products sold also captured/harvested by you or anyone in your household?</t>
        </is>
      </c>
      <c r="D86" s="80" t="n"/>
      <c r="E86" s="80" t="n"/>
      <c r="F86" s="57" t="n"/>
      <c r="G86" s="82" t="n"/>
      <c r="H86" s="82" t="n"/>
      <c r="I86" s="100" t="inlineStr">
        <is>
          <t>true</t>
        </is>
      </c>
      <c r="J86" s="100" t="n"/>
      <c r="K86" s="100" t="n"/>
      <c r="L86" s="100" t="n"/>
      <c r="M86" s="100" t="inlineStr">
        <is>
          <t>${income_main} = '6'</t>
        </is>
      </c>
      <c r="N86" s="100" t="n"/>
      <c r="O86" s="100" t="n"/>
      <c r="P86" s="100" t="n"/>
      <c r="U86" s="36" t="inlineStr">
        <is>
          <t>yes</t>
        </is>
      </c>
      <c r="W86" s="167" t="n">
        <v>0</v>
      </c>
      <c r="X86" s="147">
        <f>1</f>
        <v/>
      </c>
      <c r="Y86" s="148">
        <f>IF(W86&lt;&gt;"",W86*X86,"")</f>
        <v/>
      </c>
      <c r="Z86" s="148">
        <f>IF(AND(W86&lt;&gt;"",U86="yes"),W86*X86,"")</f>
        <v/>
      </c>
    </row>
    <row r="87">
      <c r="D87" s="69" t="n"/>
      <c r="E87" s="69" t="n"/>
      <c r="G87" s="70" t="n"/>
      <c r="H87" s="70" t="n"/>
      <c r="W87" s="167" t="n"/>
      <c r="X87" s="147">
        <f>1</f>
        <v/>
      </c>
      <c r="Y87" s="148">
        <f>IF(W87&lt;&gt;"",W87*X87,"")</f>
        <v/>
      </c>
      <c r="Z87" s="148">
        <f>IF(AND(W87&lt;&gt;"",U87="yes"),W87*X87,"")</f>
        <v/>
      </c>
    </row>
    <row r="88" ht="32.15" customFormat="1" customHeight="1" s="58">
      <c r="A88" s="58" t="inlineStr">
        <is>
          <t>decimal</t>
        </is>
      </c>
      <c r="B88" s="58" t="inlineStr">
        <is>
          <t>income_main_amount</t>
        </is>
      </c>
      <c r="C88" s="59" t="inlineStr">
        <is>
          <t>How much was earned (in Afghani) from your main income source, ${incomemain}, in the past 3 months ?</t>
        </is>
      </c>
      <c r="D88" s="60" t="n"/>
      <c r="E88" s="60" t="n"/>
      <c r="F88" s="58" t="inlineStr">
        <is>
          <t>[INSTRUCTIONS: MAKE SURE THE INFORMATION IS RECORDED IN THE CORRECT CURRENCY. ENTER 888 FOR DON'T KNOW AND 999 FOR REFUSED.]</t>
        </is>
      </c>
      <c r="G88" s="64" t="n"/>
      <c r="H88" s="64" t="n"/>
      <c r="I88" s="99" t="inlineStr">
        <is>
          <t>true</t>
        </is>
      </c>
      <c r="J88" s="99" t="n"/>
      <c r="K88" s="99" t="inlineStr">
        <is>
          <t>. &gt; 500 or . = 888 or . = 999</t>
        </is>
      </c>
      <c r="L88" s="99" t="n"/>
      <c r="M88" s="99" t="inlineStr">
        <is>
          <t>${income_main} != '19' and ${income_main} != '20'</t>
        </is>
      </c>
      <c r="N88" s="99" t="n"/>
      <c r="O88" s="99" t="n"/>
      <c r="P88" s="99" t="n"/>
      <c r="U88" s="58" t="inlineStr">
        <is>
          <t>no</t>
        </is>
      </c>
      <c r="W88" s="167" t="n">
        <v>40.04731750488281</v>
      </c>
      <c r="X88" s="147">
        <f>1</f>
        <v/>
      </c>
      <c r="Y88" s="148">
        <f>IF(W88&lt;&gt;"",W88*X88,"")</f>
        <v/>
      </c>
      <c r="Z88" s="148">
        <f>IF(AND(W88&lt;&gt;"",U88="yes"),W88*X88,"")</f>
        <v/>
      </c>
      <c r="AA88" s="57" t="n"/>
    </row>
    <row r="89" customFormat="1" s="58">
      <c r="A89" s="58" t="inlineStr">
        <is>
          <t>select_one continue</t>
        </is>
      </c>
      <c r="B89" s="58" t="inlineStr">
        <is>
          <t>income_main_amount_conf</t>
        </is>
      </c>
      <c r="C89" s="58" t="inlineStr">
        <is>
          <t>Can you confirm the amount of income you just stated is correct?</t>
        </is>
      </c>
      <c r="D89" s="64" t="n"/>
      <c r="E89" s="64" t="n"/>
      <c r="F89" s="58" t="inlineStr">
        <is>
          <t>[INSTRUCTIONS: IF THE RESPONDENT CONFIRMS THAT THE INCOME AMOUNT EARNED FROM THIS INCOME SOURCE OVER THE PAST 3 MONTH IS INDEED OVER 150000, CLICK ON CONTINUE. OTHERWISE, GO BACK AND CHANGE THE AMOUNT ENTERED.]</t>
        </is>
      </c>
      <c r="G89" s="64" t="n"/>
      <c r="H89" s="64" t="n"/>
      <c r="I89" s="99" t="inlineStr">
        <is>
          <t>false</t>
        </is>
      </c>
      <c r="J89" s="99" t="n"/>
      <c r="K89" s="99" t="n"/>
      <c r="L89" s="99" t="n"/>
      <c r="M89" s="99" t="inlineStr">
        <is>
          <t xml:space="preserve">${income_main_amount} &gt;= 150000 and (${income_main} != '19' and ${income_main} != '20') </t>
        </is>
      </c>
      <c r="N89" s="99" t="n"/>
      <c r="O89" s="99" t="n"/>
      <c r="P89" s="99" t="n"/>
      <c r="U89" s="58" t="inlineStr">
        <is>
          <t>no</t>
        </is>
      </c>
      <c r="W89" s="167" t="n">
        <v>3.687011003494263</v>
      </c>
      <c r="X89" s="147">
        <f>1</f>
        <v/>
      </c>
      <c r="Y89" s="148">
        <f>IF(W89&lt;&gt;"",W89*X89,"")</f>
        <v/>
      </c>
      <c r="Z89" s="148">
        <f>IF(AND(W89&lt;&gt;"",U89="yes"),W89*X89,"")</f>
        <v/>
      </c>
      <c r="AA89" s="57" t="n"/>
    </row>
    <row r="90">
      <c r="D90" s="64" t="n"/>
      <c r="E90" s="64" t="n"/>
      <c r="G90" s="64" t="n"/>
      <c r="H90" s="64" t="n"/>
    </row>
    <row r="91" customFormat="1" s="61">
      <c r="A91" s="61" t="inlineStr">
        <is>
          <t>select_one gender_inc_1</t>
        </is>
      </c>
      <c r="B91" s="61" t="inlineStr">
        <is>
          <t>income_main_gender</t>
        </is>
      </c>
      <c r="C91" s="61" t="inlineStr">
        <is>
          <t xml:space="preserve">What is the gender of the household member(s) generating income from this source? </t>
        </is>
      </c>
      <c r="D91" s="82" t="n"/>
      <c r="E91" s="82" t="n"/>
      <c r="G91" s="82" t="n"/>
      <c r="H91" s="82" t="n"/>
      <c r="I91" s="100" t="inlineStr">
        <is>
          <t>true</t>
        </is>
      </c>
      <c r="J91" s="100" t="n"/>
      <c r="K91" s="100" t="n"/>
      <c r="L91" s="100" t="n"/>
      <c r="M91" s="100" t="inlineStr">
        <is>
          <t>${income_main} != '19' and ${income_main} != '20'</t>
        </is>
      </c>
      <c r="N91" s="100" t="n"/>
      <c r="O91" s="100" t="n"/>
      <c r="P91" s="100" t="n"/>
      <c r="U91" s="61" t="inlineStr">
        <is>
          <t>yes</t>
        </is>
      </c>
      <c r="W91" s="168" t="n"/>
      <c r="X91" s="191" t="n"/>
      <c r="Y91" s="192" t="n"/>
      <c r="Z91" s="192" t="n"/>
    </row>
    <row r="92" customFormat="1" s="61">
      <c r="A92" s="61" t="inlineStr">
        <is>
          <t>select_one gender_inc_2</t>
        </is>
      </c>
      <c r="B92" s="61" t="inlineStr">
        <is>
          <t>income_main_control</t>
        </is>
      </c>
      <c r="C92" s="61" t="inlineStr">
        <is>
          <t xml:space="preserve">Who controls the revenue that is earned from this source? </t>
        </is>
      </c>
      <c r="D92" s="82" t="n"/>
      <c r="E92" s="82" t="n"/>
      <c r="G92" s="82" t="n"/>
      <c r="H92" s="82" t="n"/>
      <c r="I92" s="100" t="inlineStr">
        <is>
          <t>true</t>
        </is>
      </c>
      <c r="J92" s="100" t="n"/>
      <c r="K92" s="100" t="n"/>
      <c r="L92" s="100" t="n"/>
      <c r="M92" s="100" t="inlineStr">
        <is>
          <t>${income_main} != '19' and ${income_main} != '20'</t>
        </is>
      </c>
      <c r="N92" s="100" t="n"/>
      <c r="O92" s="100" t="n"/>
      <c r="P92" s="100" t="n"/>
      <c r="U92" s="61" t="inlineStr">
        <is>
          <t>yes</t>
        </is>
      </c>
      <c r="W92" s="168" t="n"/>
      <c r="X92" s="191" t="n"/>
      <c r="Y92" s="192" t="n"/>
      <c r="Z92" s="192" t="n"/>
    </row>
    <row r="93">
      <c r="D93" s="69" t="n"/>
      <c r="E93" s="69" t="n"/>
      <c r="G93" s="70" t="n"/>
      <c r="H93" s="70" t="n"/>
      <c r="W93" s="167" t="n"/>
      <c r="X93" s="147">
        <f>1</f>
        <v/>
      </c>
      <c r="Y93" s="148">
        <f>IF(W93&lt;&gt;"",W93*X93,"")</f>
        <v/>
      </c>
      <c r="Z93" s="148">
        <f>IF(AND(W93&lt;&gt;"",U93="yes"),W93*X93,"")</f>
        <v/>
      </c>
    </row>
    <row r="94" ht="32.15" customHeight="1">
      <c r="A94" s="61" t="inlineStr">
        <is>
          <t>select_one change</t>
        </is>
      </c>
      <c r="B94" s="61" t="inlineStr">
        <is>
          <t>income_main_comp</t>
        </is>
      </c>
      <c r="C94" s="62" t="inlineStr">
        <is>
          <t>Has your household's income from ${incomemain} changed in the last 3 months compared to the same period of last year?</t>
        </is>
      </c>
      <c r="D94" s="80" t="n"/>
      <c r="E94" s="80" t="n"/>
      <c r="F94" s="61" t="n"/>
      <c r="G94" s="82" t="n"/>
      <c r="H94" s="82" t="n"/>
      <c r="I94" s="100" t="inlineStr">
        <is>
          <t>true</t>
        </is>
      </c>
      <c r="J94" s="100" t="n"/>
      <c r="K94" s="100" t="n"/>
      <c r="L94" s="100" t="n"/>
      <c r="M94" s="100" t="inlineStr">
        <is>
          <t>${income_main} != '19' and ${income_main} != '20'</t>
        </is>
      </c>
      <c r="N94" s="100" t="n"/>
      <c r="O94" s="100" t="n"/>
      <c r="P94" s="100" t="n"/>
      <c r="U94" s="36" t="inlineStr">
        <is>
          <t>yes</t>
        </is>
      </c>
      <c r="W94" s="167" t="n">
        <v>27.24216651916504</v>
      </c>
      <c r="X94" s="147">
        <f>1</f>
        <v/>
      </c>
      <c r="Y94" s="148">
        <f>IF(W94&lt;&gt;"",W94*X94,"")</f>
        <v/>
      </c>
      <c r="Z94" s="148">
        <f>IF(AND(W94&lt;&gt;"",U94="yes"),W94*X94,"")</f>
        <v/>
      </c>
    </row>
    <row r="95">
      <c r="D95" s="69" t="n"/>
      <c r="E95" s="69" t="n"/>
      <c r="G95" s="70" t="n"/>
      <c r="H95" s="70" t="n"/>
      <c r="W95" s="167" t="n"/>
      <c r="X95" s="147">
        <f>1</f>
        <v/>
      </c>
      <c r="Y95" s="148">
        <f>IF(W95&lt;&gt;"",W95*X95,"")</f>
        <v/>
      </c>
      <c r="Z95" s="148">
        <f>IF(AND(W95&lt;&gt;"",U95="yes"),W95*X95,"")</f>
        <v/>
      </c>
    </row>
    <row r="96" ht="32.15" customHeight="1">
      <c r="A96" s="61" t="inlineStr">
        <is>
          <t>select_one incomesource2</t>
        </is>
      </c>
      <c r="B96" s="61" t="inlineStr">
        <is>
          <t>income_sec</t>
        </is>
      </c>
      <c r="C96" s="62" t="inlineStr">
        <is>
          <t>What was your household's second most important source of income in the past 3 months?</t>
        </is>
      </c>
      <c r="D96" s="80" t="n"/>
      <c r="E96" s="80" t="n"/>
      <c r="F96" s="57" t="inlineStr">
        <is>
          <t>[INSTRUCTIONS: DON'T KNOW AND REFUSED OPTIONS SHOULD BE AVOIDED AS MUCH AS POSSIBLE.]</t>
        </is>
      </c>
      <c r="G96" s="82" t="n"/>
      <c r="H96" s="82" t="n"/>
      <c r="I96" s="100" t="inlineStr">
        <is>
          <t>true</t>
        </is>
      </c>
      <c r="J96" s="100" t="inlineStr">
        <is>
          <t>minimal</t>
        </is>
      </c>
      <c r="K96" s="100" t="n"/>
      <c r="L96" s="100" t="n"/>
      <c r="M96" s="100" t="inlineStr">
        <is>
          <t>${income_main} != '19' and ${income_main} != '20'</t>
        </is>
      </c>
      <c r="N96" s="100" t="inlineStr">
        <is>
          <t>not(selected(${income_main}, name))</t>
        </is>
      </c>
      <c r="O96" s="100" t="n"/>
      <c r="P96" s="100" t="n"/>
      <c r="U96" s="36" t="inlineStr">
        <is>
          <t>yes</t>
        </is>
      </c>
      <c r="W96" s="167" t="n">
        <v>25.30800437927246</v>
      </c>
      <c r="X96" s="147">
        <f>1</f>
        <v/>
      </c>
      <c r="Y96" s="148">
        <f>IF(W96&lt;&gt;"",W96*X96,"")</f>
        <v/>
      </c>
      <c r="Z96" s="148">
        <f>IF(AND(W96&lt;&gt;"",U96="yes"),W96*X96,"")</f>
        <v/>
      </c>
    </row>
    <row r="97">
      <c r="A97" s="61" t="inlineStr">
        <is>
          <t>calculate</t>
        </is>
      </c>
      <c r="B97" s="61" t="inlineStr">
        <is>
          <t>incomesec</t>
        </is>
      </c>
      <c r="C97" s="62" t="n"/>
      <c r="D97" s="80" t="n"/>
      <c r="E97" s="80" t="n"/>
      <c r="F97" s="57" t="n"/>
      <c r="G97" s="82" t="n"/>
      <c r="H97" s="82" t="n"/>
      <c r="I97" s="100" t="n"/>
      <c r="J97" s="100" t="n"/>
      <c r="K97" s="100" t="n"/>
      <c r="L97" s="100" t="n"/>
      <c r="M97" s="100" t="n"/>
      <c r="N97" s="100" t="n"/>
      <c r="O97" s="100" t="n"/>
      <c r="P97" s="100" t="inlineStr">
        <is>
          <t>jr:choice-name(${income_sec},'${income_sec}')</t>
        </is>
      </c>
      <c r="U97" s="36" t="inlineStr">
        <is>
          <t>yes</t>
        </is>
      </c>
      <c r="W97" s="167" t="n"/>
      <c r="X97" s="147">
        <f>1</f>
        <v/>
      </c>
      <c r="Y97" s="148">
        <f>IF(W97&lt;&gt;"",W97*X97,"")</f>
        <v/>
      </c>
      <c r="Z97" s="148">
        <f>IF(AND(W97&lt;&gt;"",U97="yes"),W97*X97,"")</f>
        <v/>
      </c>
    </row>
    <row r="98" ht="16" customHeight="1">
      <c r="A98" s="61" t="inlineStr">
        <is>
          <t>select_one yes_no</t>
        </is>
      </c>
      <c r="B98" s="61" t="inlineStr">
        <is>
          <t>income_sec_crop_check</t>
        </is>
      </c>
      <c r="C98" s="62" t="inlineStr">
        <is>
          <t>Are the crops sold also produced by you or anyone in your household?</t>
        </is>
      </c>
      <c r="D98" s="80" t="n"/>
      <c r="E98" s="80" t="n"/>
      <c r="F98" s="57" t="n"/>
      <c r="G98" s="82" t="n"/>
      <c r="H98" s="82" t="n"/>
      <c r="I98" s="100" t="inlineStr">
        <is>
          <t>true</t>
        </is>
      </c>
      <c r="J98" s="100" t="n"/>
      <c r="K98" s="100" t="n"/>
      <c r="L98" s="100" t="n"/>
      <c r="M98" s="100" t="inlineStr">
        <is>
          <t xml:space="preserve">${income_sec} = '1' or ${income_sec} = '2' or ${income_sec} = '3' </t>
        </is>
      </c>
      <c r="N98" s="100" t="n"/>
      <c r="O98" s="100" t="n"/>
      <c r="P98" s="100" t="n"/>
      <c r="U98" s="36" t="inlineStr">
        <is>
          <t>yes</t>
        </is>
      </c>
      <c r="W98" s="167" t="n">
        <v>0</v>
      </c>
      <c r="X98" s="147">
        <f>1</f>
        <v/>
      </c>
      <c r="Y98" s="148">
        <f>IF(W98&lt;&gt;"",W98*X98,"")</f>
        <v/>
      </c>
      <c r="Z98" s="148">
        <f>IF(AND(W98&lt;&gt;"",U98="yes"),W98*X98,"")</f>
        <v/>
      </c>
    </row>
    <row r="99" ht="32.15" customHeight="1">
      <c r="A99" s="61" t="inlineStr">
        <is>
          <t>select_one yes_no</t>
        </is>
      </c>
      <c r="B99" s="61" t="inlineStr">
        <is>
          <t>income_sec_ls_check</t>
        </is>
      </c>
      <c r="C99" s="62" t="inlineStr">
        <is>
          <t>Are the livestock or livestock products sold also produced by you or anyone in your household?</t>
        </is>
      </c>
      <c r="D99" s="80" t="n"/>
      <c r="E99" s="80" t="n"/>
      <c r="F99" s="57" t="n"/>
      <c r="G99" s="82" t="n"/>
      <c r="H99" s="82" t="n"/>
      <c r="I99" s="100" t="inlineStr">
        <is>
          <t>true</t>
        </is>
      </c>
      <c r="J99" s="100" t="n"/>
      <c r="K99" s="100" t="n"/>
      <c r="L99" s="100" t="n"/>
      <c r="M99" s="100" t="inlineStr">
        <is>
          <t>${income_sec} = '4'</t>
        </is>
      </c>
      <c r="N99" s="100" t="n"/>
      <c r="O99" s="100" t="n"/>
      <c r="P99" s="100" t="n"/>
      <c r="U99" s="36" t="inlineStr">
        <is>
          <t>yes</t>
        </is>
      </c>
      <c r="W99" s="167" t="n">
        <v>0</v>
      </c>
      <c r="X99" s="147">
        <f>1</f>
        <v/>
      </c>
      <c r="Y99" s="148">
        <f>IF(W99&lt;&gt;"",W99*X99,"")</f>
        <v/>
      </c>
      <c r="Z99" s="148">
        <f>IF(AND(W99&lt;&gt;"",U99="yes"),W99*X99,"")</f>
        <v/>
      </c>
    </row>
    <row r="100" ht="32.15" customHeight="1">
      <c r="A100" s="61" t="inlineStr">
        <is>
          <t>select_one yes_no</t>
        </is>
      </c>
      <c r="B100" s="61" t="inlineStr">
        <is>
          <t>income_sec_fish_check</t>
        </is>
      </c>
      <c r="C100" s="62" t="inlineStr">
        <is>
          <t>Are the fish or aquatic products sold also captured/harvested by you or anyone in your household?</t>
        </is>
      </c>
      <c r="D100" s="80" t="n"/>
      <c r="E100" s="80" t="n"/>
      <c r="F100" s="57" t="n"/>
      <c r="G100" s="82" t="n"/>
      <c r="H100" s="82" t="n"/>
      <c r="I100" s="100" t="inlineStr">
        <is>
          <t>true</t>
        </is>
      </c>
      <c r="J100" s="100" t="n"/>
      <c r="K100" s="100" t="n"/>
      <c r="L100" s="100" t="n"/>
      <c r="M100" s="100" t="inlineStr">
        <is>
          <t>${income_sec} = '6'</t>
        </is>
      </c>
      <c r="N100" s="100" t="n"/>
      <c r="O100" s="100" t="n"/>
      <c r="P100" s="100" t="n"/>
      <c r="U100" s="36" t="inlineStr">
        <is>
          <t>yes</t>
        </is>
      </c>
      <c r="W100" s="167" t="n">
        <v>0</v>
      </c>
      <c r="X100" s="147">
        <f>1</f>
        <v/>
      </c>
      <c r="Y100" s="148">
        <f>IF(W100&lt;&gt;"",W100*X100,"")</f>
        <v/>
      </c>
      <c r="Z100" s="148">
        <f>IF(AND(W100&lt;&gt;"",U100="yes"),W100*X100,"")</f>
        <v/>
      </c>
    </row>
    <row r="101">
      <c r="D101" s="69" t="n"/>
      <c r="E101" s="69" t="n"/>
      <c r="G101" s="70" t="n"/>
      <c r="H101" s="70" t="n"/>
      <c r="W101" s="167" t="n"/>
      <c r="X101" s="147">
        <f>1</f>
        <v/>
      </c>
      <c r="Y101" s="148">
        <f>IF(W101&lt;&gt;"",W101*X101,"")</f>
        <v/>
      </c>
      <c r="Z101" s="148">
        <f>IF(AND(W101&lt;&gt;"",U101="yes"),W101*X101,"")</f>
        <v/>
      </c>
    </row>
    <row r="102" ht="32.15" customFormat="1" customHeight="1" s="58">
      <c r="A102" s="58" t="inlineStr">
        <is>
          <t>decimal</t>
        </is>
      </c>
      <c r="B102" s="58" t="inlineStr">
        <is>
          <t>income_sec_amount</t>
        </is>
      </c>
      <c r="C102" s="59" t="inlineStr">
        <is>
          <t>How much was earned (in Afghani) from your second main income source, ${incomesec}, in the past 3 months ?</t>
        </is>
      </c>
      <c r="D102" s="60" t="n"/>
      <c r="E102" s="60" t="n"/>
      <c r="F102" s="58" t="inlineStr">
        <is>
          <t>[INSTRUCTIONS: MAKE SURE THE INFORMATION IS RECORDED IN THE CORRECT CURRENCY. ENTER 888 FOR DON'T KNOW AND 999 FOR REFUSED.]</t>
        </is>
      </c>
      <c r="G102" s="64" t="n"/>
      <c r="H102" s="64" t="n"/>
      <c r="I102" s="99" t="inlineStr">
        <is>
          <t>true</t>
        </is>
      </c>
      <c r="J102" s="99" t="n"/>
      <c r="K102" s="99" t="inlineStr">
        <is>
          <t>. &gt; 500 or . = 888 or . = 999</t>
        </is>
      </c>
      <c r="L102" s="99" t="n"/>
      <c r="M102" s="99" t="inlineStr">
        <is>
          <t xml:space="preserve">${income_main} != '19' and ${income_main} != '20' and ${income_sec} != '19' and ${income_sec} != '20' and ${income_sec} != '21' </t>
        </is>
      </c>
      <c r="N102" s="99" t="n"/>
      <c r="O102" s="99" t="n"/>
      <c r="P102" s="99" t="n"/>
      <c r="U102" s="58" t="inlineStr">
        <is>
          <t>no</t>
        </is>
      </c>
      <c r="W102" s="167" t="n">
        <v>30.82847023010254</v>
      </c>
      <c r="X102" s="147">
        <f>1</f>
        <v/>
      </c>
      <c r="Y102" s="148">
        <f>IF(W102&lt;&gt;"",W102*X102,"")</f>
        <v/>
      </c>
      <c r="Z102" s="148">
        <f>IF(AND(W102&lt;&gt;"",U102="yes"),W102*X102,"")</f>
        <v/>
      </c>
      <c r="AA102" s="57" t="n"/>
    </row>
    <row r="103" customFormat="1" s="58">
      <c r="A103" s="58" t="inlineStr">
        <is>
          <t>select_one continue</t>
        </is>
      </c>
      <c r="B103" s="58" t="inlineStr">
        <is>
          <t>income_sec_amount_conf</t>
        </is>
      </c>
      <c r="C103" s="58" t="inlineStr">
        <is>
          <t>Can you confirm the amount of income you just stated is correct?</t>
        </is>
      </c>
      <c r="D103" s="60" t="n"/>
      <c r="E103" s="60" t="n"/>
      <c r="F103" s="58" t="inlineStr">
        <is>
          <t>[INSTRUCTIONS: IF THE RESPONDENT CONFIRMS THAT THE INCOME AMOUNT EARNED FROM THIS INCOME SOURCE OVER THE PAST 3 MONTH IS INDEED OVER 150000, CLICK ON CONTINUE. OTHERWISE, GO BACK AND CHANGE THE AMOUNT ENTERED.]</t>
        </is>
      </c>
      <c r="G103" s="64" t="n"/>
      <c r="H103" s="64" t="n"/>
      <c r="I103" s="99" t="inlineStr">
        <is>
          <t>false</t>
        </is>
      </c>
      <c r="J103" s="99" t="n"/>
      <c r="K103" s="99" t="n"/>
      <c r="L103" s="99" t="n"/>
      <c r="M103" s="99" t="inlineStr">
        <is>
          <t>${income_sec_amount} &gt;= 150000 and (${income_main} != '19' and ${income_main} != '20' and ${income_sec} != '19' and ${income_sec} != '20' and ${income_sec} != '21')</t>
        </is>
      </c>
      <c r="N103" s="99" t="n"/>
      <c r="O103" s="99" t="n"/>
      <c r="P103" s="99" t="n"/>
      <c r="U103" s="58" t="inlineStr">
        <is>
          <t>no</t>
        </is>
      </c>
      <c r="W103" s="167" t="n">
        <v>2.29411768913269</v>
      </c>
      <c r="X103" s="147">
        <f>1</f>
        <v/>
      </c>
      <c r="Y103" s="148">
        <f>IF(W103&lt;&gt;"",W103*X103,"")</f>
        <v/>
      </c>
      <c r="Z103" s="148">
        <f>IF(AND(W103&lt;&gt;"",U103="yes"),W103*X103,"")</f>
        <v/>
      </c>
      <c r="AA103" s="57" t="n"/>
    </row>
    <row r="104" customFormat="1" s="58">
      <c r="C104" s="59" t="n"/>
      <c r="D104" s="60" t="n"/>
      <c r="E104" s="60" t="n"/>
      <c r="G104" s="64" t="n"/>
      <c r="H104" s="64" t="n"/>
      <c r="I104" s="99" t="n"/>
      <c r="J104" s="99" t="n"/>
      <c r="K104" s="99" t="n"/>
      <c r="L104" s="99" t="n"/>
      <c r="M104" s="99" t="n"/>
      <c r="N104" s="99" t="n"/>
      <c r="O104" s="99" t="n"/>
      <c r="P104" s="99" t="n"/>
      <c r="W104" s="167" t="n"/>
      <c r="X104" s="147">
        <f>1</f>
        <v/>
      </c>
      <c r="Y104" s="148">
        <f>IF(W104&lt;&gt;"",W104*X104,"")</f>
        <v/>
      </c>
      <c r="Z104" s="148">
        <f>IF(AND(W104&lt;&gt;"",U104="yes"),W104*X104,"")</f>
        <v/>
      </c>
      <c r="AA104" s="57" t="n"/>
    </row>
    <row r="105" customFormat="1" s="58">
      <c r="C105" s="59" t="n"/>
      <c r="D105" s="60" t="n"/>
      <c r="E105" s="60" t="n"/>
      <c r="G105" s="64" t="n"/>
      <c r="H105" s="64" t="n"/>
      <c r="I105" s="99" t="n"/>
      <c r="J105" s="99" t="n"/>
      <c r="K105" s="99" t="n"/>
      <c r="L105" s="99" t="n"/>
      <c r="M105" s="99" t="n"/>
      <c r="N105" s="99" t="n"/>
      <c r="O105" s="99" t="n"/>
      <c r="P105" s="99" t="n"/>
      <c r="W105" s="167" t="n"/>
      <c r="X105" s="147">
        <f>1</f>
        <v/>
      </c>
      <c r="Y105" s="148">
        <f>IF(W105&lt;&gt;"",W105*X105,"")</f>
        <v/>
      </c>
      <c r="Z105" s="148">
        <f>IF(AND(W105&lt;&gt;"",U105="yes"),W105*X105,"")</f>
        <v/>
      </c>
      <c r="AA105" s="57" t="n"/>
    </row>
    <row r="106" ht="32.15" customHeight="1">
      <c r="A106" s="61" t="inlineStr">
        <is>
          <t>select_one change</t>
        </is>
      </c>
      <c r="B106" s="61" t="inlineStr">
        <is>
          <t>income_sec_comp</t>
        </is>
      </c>
      <c r="C106" s="62" t="inlineStr">
        <is>
          <t>Has your household's income from ${incomesec} changed in the last 3 months compared to the same period of last year?</t>
        </is>
      </c>
      <c r="D106" s="80" t="n"/>
      <c r="E106" s="80" t="n"/>
      <c r="F106" s="61" t="n"/>
      <c r="G106" s="82" t="n"/>
      <c r="H106" s="82" t="n"/>
      <c r="I106" s="100" t="inlineStr">
        <is>
          <t>true</t>
        </is>
      </c>
      <c r="J106" s="100" t="n"/>
      <c r="K106" s="100" t="n"/>
      <c r="L106" s="100" t="n"/>
      <c r="M106" s="100" t="inlineStr">
        <is>
          <t xml:space="preserve">${income_main} != '19' and ${income_main} != '20' and ${income_sec} != '19' and ${income_sec} != '20' and ${income_sec} != '21' </t>
        </is>
      </c>
      <c r="N106" s="100" t="n"/>
      <c r="O106" s="100" t="n"/>
      <c r="P106" s="100" t="n"/>
      <c r="U106" s="36" t="inlineStr">
        <is>
          <t>yes</t>
        </is>
      </c>
      <c r="W106" s="167" t="n">
        <v>21.19325637817383</v>
      </c>
      <c r="X106" s="147">
        <f>1</f>
        <v/>
      </c>
      <c r="Y106" s="148">
        <f>IF(W106&lt;&gt;"",W106*X106,"")</f>
        <v/>
      </c>
      <c r="Z106" s="148">
        <f>IF(AND(W106&lt;&gt;"",U106="yes"),W106*X106,"")</f>
        <v/>
      </c>
    </row>
    <row r="107">
      <c r="D107" s="69" t="n"/>
      <c r="E107" s="69" t="n"/>
      <c r="G107" s="70" t="n"/>
      <c r="H107" s="70" t="n"/>
      <c r="M107" s="110" t="n"/>
      <c r="W107" s="167" t="n"/>
      <c r="X107" s="147">
        <f>1</f>
        <v/>
      </c>
      <c r="Y107" s="148">
        <f>IF(W107&lt;&gt;"",W107*X107,"")</f>
        <v/>
      </c>
      <c r="Z107" s="148">
        <f>IF(AND(W107&lt;&gt;"",U107="yes"),W107*X107,"")</f>
        <v/>
      </c>
    </row>
    <row r="108">
      <c r="A108" s="61" t="inlineStr">
        <is>
          <t>select_one incomesource3</t>
        </is>
      </c>
      <c r="B108" s="61" t="inlineStr">
        <is>
          <t>income_third</t>
        </is>
      </c>
      <c r="C108" s="61" t="inlineStr">
        <is>
          <t>What was your household's third most important source of income in the past 3 months?</t>
        </is>
      </c>
      <c r="D108" s="82" t="n"/>
      <c r="E108" s="82" t="n"/>
      <c r="F108" s="57" t="inlineStr">
        <is>
          <t>[INSTRUCTIONS: DON'T KNOW AND REFUSED OPTIONS SHOULD BE AVOIDED AS MUCH AS POSSIBLE.]</t>
        </is>
      </c>
      <c r="G108" s="82" t="n"/>
      <c r="H108" s="82" t="n"/>
      <c r="I108" s="100" t="inlineStr">
        <is>
          <t>true</t>
        </is>
      </c>
      <c r="J108" s="100" t="inlineStr">
        <is>
          <t>minimal</t>
        </is>
      </c>
      <c r="K108" s="100" t="n"/>
      <c r="L108" s="100" t="n"/>
      <c r="M108" s="100" t="inlineStr">
        <is>
          <t xml:space="preserve">${income_main} != '19' and ${income_main} != '20' and ${income_sec} != '19' and ${income_sec} != '20' and ${income_sec} != '21' </t>
        </is>
      </c>
      <c r="N108" s="100" t="inlineStr">
        <is>
          <t>not(selected(${income_main}, name) or selected(${income_sec}, name))</t>
        </is>
      </c>
      <c r="O108" s="100" t="n"/>
      <c r="P108" s="100" t="n"/>
      <c r="U108" s="36" t="inlineStr">
        <is>
          <t>yes</t>
        </is>
      </c>
      <c r="W108" s="167" t="n">
        <v>20.22992706298828</v>
      </c>
      <c r="X108" s="147">
        <f>1</f>
        <v/>
      </c>
      <c r="Y108" s="148">
        <f>IF(W108&lt;&gt;"",W108*X108,"")</f>
        <v/>
      </c>
      <c r="Z108" s="148">
        <f>IF(AND(W108&lt;&gt;"",U108="yes"),W108*X108,"")</f>
        <v/>
      </c>
    </row>
    <row r="109">
      <c r="A109" s="61" t="inlineStr">
        <is>
          <t>calculate</t>
        </is>
      </c>
      <c r="B109" s="61" t="inlineStr">
        <is>
          <t>incomethird</t>
        </is>
      </c>
      <c r="C109" s="62" t="n"/>
      <c r="D109" s="80" t="n"/>
      <c r="E109" s="80" t="n"/>
      <c r="F109" s="57" t="n"/>
      <c r="G109" s="82" t="n"/>
      <c r="H109" s="82" t="n"/>
      <c r="I109" s="100" t="n"/>
      <c r="J109" s="100" t="n"/>
      <c r="K109" s="100" t="n"/>
      <c r="L109" s="100" t="n"/>
      <c r="M109" s="100" t="n"/>
      <c r="N109" s="100" t="n"/>
      <c r="O109" s="100" t="n"/>
      <c r="P109" s="100" t="inlineStr">
        <is>
          <t>jr:choice-name(${income_third},'${income_third}')</t>
        </is>
      </c>
      <c r="U109" s="36" t="inlineStr">
        <is>
          <t>yes</t>
        </is>
      </c>
      <c r="W109" s="167" t="n"/>
      <c r="X109" s="147">
        <f>1</f>
        <v/>
      </c>
      <c r="Y109" s="148">
        <f>IF(W109&lt;&gt;"",W109*X109,"")</f>
        <v/>
      </c>
      <c r="Z109" s="148">
        <f>IF(AND(W109&lt;&gt;"",U109="yes"),W109*X109,"")</f>
        <v/>
      </c>
    </row>
    <row r="110" ht="16" customHeight="1">
      <c r="A110" s="61" t="inlineStr">
        <is>
          <t>select_one yes_no</t>
        </is>
      </c>
      <c r="B110" s="61" t="inlineStr">
        <is>
          <t>income_third_crop_check</t>
        </is>
      </c>
      <c r="C110" s="62" t="inlineStr">
        <is>
          <t>Are the crops sold also produced by you or anyone in your household?</t>
        </is>
      </c>
      <c r="D110" s="80" t="n"/>
      <c r="E110" s="80" t="n"/>
      <c r="F110" s="57" t="n"/>
      <c r="G110" s="82" t="n"/>
      <c r="H110" s="82" t="n"/>
      <c r="I110" s="100" t="inlineStr">
        <is>
          <t>true</t>
        </is>
      </c>
      <c r="J110" s="100" t="n"/>
      <c r="K110" s="100" t="n"/>
      <c r="L110" s="100" t="n"/>
      <c r="M110" s="100" t="inlineStr">
        <is>
          <t xml:space="preserve">${income_third} = '1' or ${income_third} = '2' or ${income_third} = '3' </t>
        </is>
      </c>
      <c r="N110" s="100" t="n"/>
      <c r="O110" s="100" t="n"/>
      <c r="P110" s="100" t="n"/>
      <c r="U110" s="36" t="inlineStr">
        <is>
          <t>yes</t>
        </is>
      </c>
      <c r="W110" s="167" t="n">
        <v>0</v>
      </c>
      <c r="X110" s="147">
        <f>1</f>
        <v/>
      </c>
      <c r="Y110" s="148">
        <f>IF(W110&lt;&gt;"",W110*X110,"")</f>
        <v/>
      </c>
      <c r="Z110" s="148">
        <f>IF(AND(W110&lt;&gt;"",U110="yes"),W110*X110,"")</f>
        <v/>
      </c>
    </row>
    <row r="111" ht="32.15" customHeight="1">
      <c r="A111" s="61" t="inlineStr">
        <is>
          <t>select_one yes_no</t>
        </is>
      </c>
      <c r="B111" s="61" t="inlineStr">
        <is>
          <t>income_third_ls_check</t>
        </is>
      </c>
      <c r="C111" s="62" t="inlineStr">
        <is>
          <t>Are the livestock or livestock products sold also produced by you or anyone in your household?</t>
        </is>
      </c>
      <c r="D111" s="80" t="n"/>
      <c r="E111" s="80" t="n"/>
      <c r="F111" s="57" t="n"/>
      <c r="G111" s="82" t="n"/>
      <c r="H111" s="82" t="n"/>
      <c r="I111" s="100" t="inlineStr">
        <is>
          <t>true</t>
        </is>
      </c>
      <c r="J111" s="100" t="n"/>
      <c r="K111" s="100" t="n"/>
      <c r="L111" s="100" t="n"/>
      <c r="M111" s="100" t="inlineStr">
        <is>
          <t>${income_third} = '4'</t>
        </is>
      </c>
      <c r="N111" s="100" t="n"/>
      <c r="O111" s="100" t="n"/>
      <c r="P111" s="100" t="n"/>
      <c r="U111" s="36" t="inlineStr">
        <is>
          <t>yes</t>
        </is>
      </c>
      <c r="W111" s="167" t="n">
        <v>0</v>
      </c>
      <c r="X111" s="147">
        <f>1</f>
        <v/>
      </c>
      <c r="Y111" s="148">
        <f>IF(W111&lt;&gt;"",W111*X111,"")</f>
        <v/>
      </c>
      <c r="Z111" s="148">
        <f>IF(AND(W111&lt;&gt;"",U111="yes"),W111*X111,"")</f>
        <v/>
      </c>
    </row>
    <row r="112" ht="32.15" customHeight="1">
      <c r="A112" s="61" t="inlineStr">
        <is>
          <t>select_one yes_no</t>
        </is>
      </c>
      <c r="B112" s="61" t="inlineStr">
        <is>
          <t>income_third_fish_check</t>
        </is>
      </c>
      <c r="C112" s="62" t="inlineStr">
        <is>
          <t>Are the fish or aquatic products sold also captured/harvested by you or anyone in your household?</t>
        </is>
      </c>
      <c r="D112" s="80" t="n"/>
      <c r="E112" s="80" t="n"/>
      <c r="F112" s="57" t="n"/>
      <c r="G112" s="82" t="n"/>
      <c r="H112" s="82" t="n"/>
      <c r="I112" s="100" t="inlineStr">
        <is>
          <t>true</t>
        </is>
      </c>
      <c r="J112" s="100" t="n"/>
      <c r="K112" s="100" t="n"/>
      <c r="L112" s="100" t="n"/>
      <c r="M112" s="100" t="inlineStr">
        <is>
          <t>${income_third} = '6'</t>
        </is>
      </c>
      <c r="N112" s="100" t="n"/>
      <c r="O112" s="100" t="n"/>
      <c r="P112" s="100" t="n"/>
      <c r="U112" s="36" t="inlineStr">
        <is>
          <t>yes</t>
        </is>
      </c>
      <c r="W112" s="167" t="n">
        <v>0</v>
      </c>
      <c r="X112" s="147">
        <f>1</f>
        <v/>
      </c>
      <c r="Y112" s="148">
        <f>IF(W112&lt;&gt;"",W112*X112,"")</f>
        <v/>
      </c>
      <c r="Z112" s="148">
        <f>IF(AND(W112&lt;&gt;"",U112="yes"),W112*X112,"")</f>
        <v/>
      </c>
    </row>
    <row r="113">
      <c r="D113" s="69" t="n"/>
      <c r="E113" s="69" t="n"/>
      <c r="G113" s="70" t="n"/>
      <c r="H113" s="70" t="n"/>
      <c r="W113" s="167" t="n"/>
      <c r="X113" s="147">
        <f>1</f>
        <v/>
      </c>
      <c r="Y113" s="148">
        <f>IF(W113&lt;&gt;"",W113*X113,"")</f>
        <v/>
      </c>
      <c r="Z113" s="148">
        <f>IF(AND(W113&lt;&gt;"",U113="yes"),W113*X113,"")</f>
        <v/>
      </c>
    </row>
    <row r="114" ht="32.15" customFormat="1" customHeight="1" s="58">
      <c r="A114" s="58" t="inlineStr">
        <is>
          <t>decimal</t>
        </is>
      </c>
      <c r="B114" s="58" t="inlineStr">
        <is>
          <t>income_third_amount</t>
        </is>
      </c>
      <c r="C114" s="59" t="inlineStr">
        <is>
          <t>How much was earned (in Afghani) from your third main income source, ${incomethird}, in the past 3 months ?</t>
        </is>
      </c>
      <c r="D114" s="60" t="n"/>
      <c r="E114" s="60" t="n"/>
      <c r="F114" s="58" t="inlineStr">
        <is>
          <t>[INSTRUCTIONS: MAKE SURE THE INFORMATION IS RECORDED IN THE CORRECT CURRENCY. ENTER 888 FOR DON'T KNOW AND 999 FOR REFUSED.]</t>
        </is>
      </c>
      <c r="G114" s="64" t="n"/>
      <c r="H114" s="64" t="n"/>
      <c r="I114" s="99" t="inlineStr">
        <is>
          <t>true</t>
        </is>
      </c>
      <c r="J114" s="99" t="n"/>
      <c r="K114" s="99" t="inlineStr">
        <is>
          <t>. &gt; 500 or . = 888 or . = 999</t>
        </is>
      </c>
      <c r="L114" s="99" t="n"/>
      <c r="M114" s="99" t="inlineStr">
        <is>
          <t xml:space="preserve">${income_main} != '19' and ${income_main} != '20' and ${income_sec} != '19' and ${income_sec} != '20' and ${income_sec} != '21' and ${income_third} != '19' and ${income_third} != '20' and ${income_third} != '21' </t>
        </is>
      </c>
      <c r="N114" s="99" t="n"/>
      <c r="O114" s="99" t="n"/>
      <c r="P114" s="99" t="n"/>
      <c r="U114" s="58" t="inlineStr">
        <is>
          <t>no</t>
        </is>
      </c>
      <c r="W114" s="167" t="n">
        <v>29.42983245849609</v>
      </c>
      <c r="X114" s="147">
        <f>1</f>
        <v/>
      </c>
      <c r="Y114" s="148">
        <f>IF(W114&lt;&gt;"",W114*X114,"")</f>
        <v/>
      </c>
      <c r="Z114" s="148">
        <f>IF(AND(W114&lt;&gt;"",U114="yes"),W114*X114,"")</f>
        <v/>
      </c>
      <c r="AA114" s="57" t="n"/>
    </row>
    <row r="115" customFormat="1" s="58">
      <c r="A115" s="58" t="inlineStr">
        <is>
          <t>select_one continue</t>
        </is>
      </c>
      <c r="B115" s="58" t="inlineStr">
        <is>
          <t>income_third_amount_conf</t>
        </is>
      </c>
      <c r="C115" s="58" t="inlineStr">
        <is>
          <t>Can you confirm the amount of income you just stated is correct?</t>
        </is>
      </c>
      <c r="D115" s="60" t="n"/>
      <c r="E115" s="60" t="n"/>
      <c r="F115" s="58" t="inlineStr">
        <is>
          <t>[INSTRUCTIONS: IF THE RESPONDENT CONFIRMS THAT THE INCOME AMOUNT EARNED FROM THIS INCOME SOURCE OVER THE PAST 3 MONTH IS INDEED OVER 150000, CLICK ON CONTINUE. OTHERWISE, GO BACK AND CHANGE THE AMOUNT ENTERED.]</t>
        </is>
      </c>
      <c r="G115" s="86" t="n"/>
      <c r="H115" s="86" t="n"/>
      <c r="I115" s="99" t="inlineStr">
        <is>
          <t>false</t>
        </is>
      </c>
      <c r="J115" s="99" t="n"/>
      <c r="K115" s="99" t="n"/>
      <c r="L115" s="99" t="n"/>
      <c r="M115" s="113" t="inlineStr">
        <is>
          <t>${income_third_amount} &gt;= 150000 and (${income_main} != '19' and ${income_main} != '20' and ${income_sec} != '19' and ${income_sec} != '20' and ${income_sec} != '21' and ${income_third} != '19' and ${income_third} != '20' and ${income_third} != '21' )</t>
        </is>
      </c>
      <c r="N115" s="99" t="n"/>
      <c r="O115" s="99" t="n"/>
      <c r="P115" s="99" t="n"/>
      <c r="U115" s="58" t="inlineStr">
        <is>
          <t>no</t>
        </is>
      </c>
      <c r="W115" s="167" t="n">
        <v>1.555555582046509</v>
      </c>
      <c r="X115" s="147">
        <f>1</f>
        <v/>
      </c>
      <c r="Y115" s="148">
        <f>IF(W115&lt;&gt;"",W115*X115,"")</f>
        <v/>
      </c>
      <c r="Z115" s="148">
        <f>IF(AND(W115&lt;&gt;"",U115="yes"),W115*X115,"")</f>
        <v/>
      </c>
      <c r="AA115" s="57" t="n"/>
    </row>
    <row r="116" customFormat="1" s="58">
      <c r="C116" s="59" t="n"/>
      <c r="D116" s="60" t="n"/>
      <c r="E116" s="60" t="n"/>
      <c r="G116" s="64" t="n"/>
      <c r="H116" s="64" t="n"/>
      <c r="I116" s="99" t="n"/>
      <c r="J116" s="99" t="n"/>
      <c r="K116" s="99" t="n"/>
      <c r="L116" s="99" t="n"/>
      <c r="M116" s="99" t="n"/>
      <c r="N116" s="99" t="n"/>
      <c r="O116" s="99" t="n"/>
      <c r="P116" s="99" t="n"/>
      <c r="W116" s="167" t="n"/>
      <c r="X116" s="147">
        <f>1</f>
        <v/>
      </c>
      <c r="Y116" s="148">
        <f>IF(W116&lt;&gt;"",W116*X116,"")</f>
        <v/>
      </c>
      <c r="Z116" s="148">
        <f>IF(AND(W116&lt;&gt;"",U116="yes"),W116*X116,"")</f>
        <v/>
      </c>
      <c r="AA116" s="57" t="n"/>
    </row>
    <row r="117" customFormat="1" s="58">
      <c r="C117" s="59" t="n"/>
      <c r="D117" s="60" t="n"/>
      <c r="E117" s="60" t="n"/>
      <c r="G117" s="86" t="n"/>
      <c r="H117" s="86" t="n"/>
      <c r="I117" s="99" t="n"/>
      <c r="J117" s="99" t="n"/>
      <c r="K117" s="99" t="n"/>
      <c r="L117" s="99" t="n"/>
      <c r="M117" s="113" t="n"/>
      <c r="N117" s="99" t="n"/>
      <c r="O117" s="99" t="n"/>
      <c r="P117" s="99" t="n"/>
      <c r="W117" s="167" t="n"/>
      <c r="X117" s="147">
        <f>1</f>
        <v/>
      </c>
      <c r="Y117" s="148">
        <f>IF(W117&lt;&gt;"",W117*X117,"")</f>
        <v/>
      </c>
      <c r="Z117" s="148">
        <f>IF(AND(W117&lt;&gt;"",U117="yes"),W117*X117,"")</f>
        <v/>
      </c>
      <c r="AA117" s="57" t="n"/>
    </row>
    <row r="118" ht="32.15" customHeight="1">
      <c r="A118" s="61" t="inlineStr">
        <is>
          <t>select_one change</t>
        </is>
      </c>
      <c r="B118" s="61" t="inlineStr">
        <is>
          <t>income_third_comp</t>
        </is>
      </c>
      <c r="C118" s="62" t="inlineStr">
        <is>
          <t>Has your household's income from ${incomethird} changed in the last 3 months compared to the same period of last year?</t>
        </is>
      </c>
      <c r="D118" s="80" t="n"/>
      <c r="E118" s="80" t="n"/>
      <c r="F118" s="61" t="n"/>
      <c r="G118" s="82" t="n"/>
      <c r="H118" s="82" t="n"/>
      <c r="I118" s="100" t="inlineStr">
        <is>
          <t>true</t>
        </is>
      </c>
      <c r="J118" s="100" t="n"/>
      <c r="K118" s="100" t="n"/>
      <c r="L118" s="100" t="n"/>
      <c r="M118" s="100" t="inlineStr">
        <is>
          <t xml:space="preserve">${income_main} != '19' and ${income_main} != '20' and ${income_sec} != '19' and ${income_sec} != '20' and ${income_sec} != '21' and ${income_third} != '19' and ${income_third} != '20' and ${income_third} != '21' </t>
        </is>
      </c>
      <c r="N118" s="100" t="n"/>
      <c r="O118" s="100" t="n"/>
      <c r="P118" s="100" t="n"/>
      <c r="U118" s="36" t="inlineStr">
        <is>
          <t>yes</t>
        </is>
      </c>
      <c r="W118" s="167" t="n">
        <v>16.34839630126953</v>
      </c>
      <c r="X118" s="147">
        <f>1</f>
        <v/>
      </c>
      <c r="Y118" s="148">
        <f>IF(W118&lt;&gt;"",W118*X118,"")</f>
        <v/>
      </c>
      <c r="Z118" s="148">
        <f>IF(AND(W118&lt;&gt;"",U118="yes"),W118*X118,"")</f>
        <v/>
      </c>
    </row>
    <row r="119" customFormat="1" s="58">
      <c r="C119" s="59" t="n"/>
      <c r="D119" s="60" t="n"/>
      <c r="E119" s="60" t="n"/>
      <c r="G119" s="64" t="n"/>
      <c r="H119" s="64" t="n"/>
      <c r="I119" s="99" t="n"/>
      <c r="J119" s="99" t="n"/>
      <c r="K119" s="99" t="n"/>
      <c r="L119" s="99" t="n"/>
      <c r="M119" s="99" t="n"/>
      <c r="N119" s="99" t="n"/>
      <c r="O119" s="99" t="n"/>
      <c r="P119" s="99" t="n"/>
      <c r="W119" s="167" t="n"/>
      <c r="X119" s="147">
        <f>1</f>
        <v/>
      </c>
      <c r="Y119" s="148">
        <f>IF(W119&lt;&gt;"",W119*X119,"")</f>
        <v/>
      </c>
      <c r="Z119" s="148">
        <f>IF(AND(W119&lt;&gt;"",U119="yes"),W119*X119,"")</f>
        <v/>
      </c>
      <c r="AA119" s="57" t="n"/>
    </row>
    <row r="120" ht="48" customHeight="1">
      <c r="A120" s="61" t="inlineStr">
        <is>
          <t>select_multiple shock</t>
        </is>
      </c>
      <c r="B120" s="61" t="inlineStr">
        <is>
          <t>shock</t>
        </is>
      </c>
      <c r="C120" s="62" t="inlineStr">
        <is>
          <t xml:space="preserve">Has your household or community faced any particular disaster or crisis affecting your household's ability to raise an income and/or to produce food for self consumption in the last 3 months, and if so, which ones? </t>
        </is>
      </c>
      <c r="D120" s="80" t="n"/>
      <c r="E120" s="80" t="n"/>
      <c r="F120" s="61" t="inlineStr">
        <is>
          <t>[INSTRUCTIONS: SELECT RELEVANT SHOCKS EXPERIENCED BY THE HOUSEHOLD. MULTIPLE RESPONSES POSSIBLE. REFER TO ECONOMIC SHOCKS, CROP AND LIVESTOCK SHOCKS, INTRA-HOUSEHOLD SHOCK, NATURAL HAZARDS AND HUMAN-INDUCED HAZARDS.]</t>
        </is>
      </c>
      <c r="G120" s="82" t="n"/>
      <c r="H120" s="82" t="n"/>
      <c r="I120" s="100" t="inlineStr">
        <is>
          <t>true</t>
        </is>
      </c>
      <c r="J120" s="100" t="n"/>
      <c r="K120" s="100" t="inlineStr">
        <is>
          <t>if(selected(.,'noshock') or selected(.,'dk') or selected(.,'ref'), count-selected(.) = 1, count-selected(.) &gt;= 1)</t>
        </is>
      </c>
      <c r="L120" s="100" t="n"/>
      <c r="M120" s="100" t="n"/>
      <c r="N120" s="100" t="n"/>
      <c r="O120" s="100" t="n"/>
      <c r="P120" s="100" t="n"/>
      <c r="U120" s="36" t="inlineStr">
        <is>
          <t>yes</t>
        </is>
      </c>
      <c r="W120" s="167" t="n">
        <v>46.24752807617188</v>
      </c>
      <c r="X120" s="147">
        <f>1</f>
        <v/>
      </c>
      <c r="Y120" s="148">
        <f>IF(W120&lt;&gt;"",W120*X120,"")</f>
        <v/>
      </c>
      <c r="Z120" s="148">
        <f>IF(AND(W120&lt;&gt;"",U120="yes"),W120*X120,"")</f>
        <v/>
      </c>
    </row>
    <row r="121" ht="16" customHeight="1">
      <c r="A121" s="279" t="inlineStr">
        <is>
          <t>select_one floodtime</t>
        </is>
      </c>
      <c r="B121" s="279" t="inlineStr">
        <is>
          <t>o_floodtime</t>
        </is>
      </c>
      <c r="C121" s="281" t="inlineStr">
        <is>
          <t>when have floods happened?</t>
        </is>
      </c>
      <c r="D121" s="253" t="n"/>
      <c r="E121" s="253" t="n"/>
      <c r="F121" s="279" t="n"/>
      <c r="G121" s="247" t="n"/>
      <c r="H121" s="247" t="n"/>
      <c r="I121" s="280" t="n"/>
      <c r="J121" s="280" t="n"/>
      <c r="K121" s="280" t="n"/>
      <c r="L121" s="280" t="n"/>
      <c r="M121" s="280" t="n"/>
      <c r="N121" s="280" t="n"/>
      <c r="O121" s="280" t="n"/>
      <c r="P121" s="280" t="n"/>
      <c r="Q121" s="248" t="n"/>
      <c r="R121" s="248" t="n"/>
      <c r="S121" s="248" t="n"/>
      <c r="T121" s="248" t="n"/>
      <c r="W121" s="167" t="n"/>
      <c r="Y121" s="148" t="n"/>
      <c r="Z121" s="148" t="n"/>
    </row>
    <row r="122" ht="16" customHeight="1">
      <c r="A122" s="255" t="inlineStr">
        <is>
          <t>select_multiple floodsaseverity</t>
        </is>
      </c>
      <c r="B122" s="254" t="inlineStr">
        <is>
          <t>o_flood_severity</t>
        </is>
      </c>
      <c r="C122" s="266" t="inlineStr">
        <is>
          <t>How severe the floods were in your area?</t>
        </is>
      </c>
      <c r="D122" s="253" t="n"/>
      <c r="E122" s="253" t="n"/>
      <c r="F122" s="279" t="n"/>
      <c r="G122" s="247" t="n"/>
      <c r="H122" s="247" t="n"/>
      <c r="I122" s="280" t="b">
        <v>1</v>
      </c>
      <c r="J122" s="280" t="n"/>
      <c r="K122" s="280" t="n"/>
      <c r="L122" s="280" t="n"/>
      <c r="M122" s="254" t="inlineStr">
        <is>
          <t>selected(${shock}, 'flood')</t>
        </is>
      </c>
      <c r="N122" s="280" t="n"/>
      <c r="O122" s="280" t="n"/>
      <c r="P122" s="280" t="n"/>
      <c r="Q122" s="248" t="n"/>
      <c r="R122" s="248" t="n"/>
      <c r="S122" s="248" t="n"/>
      <c r="T122" s="248" t="n"/>
      <c r="W122" s="167" t="n"/>
      <c r="Y122" s="148" t="n">
        <v>5</v>
      </c>
      <c r="Z122" s="148" t="n"/>
    </row>
    <row r="123">
      <c r="D123" s="69" t="n"/>
      <c r="E123" s="69" t="n"/>
      <c r="G123" s="70" t="n"/>
      <c r="H123" s="70" t="n"/>
      <c r="W123" s="167" t="n"/>
      <c r="X123" s="147">
        <f>1</f>
        <v/>
      </c>
      <c r="Y123" s="148">
        <f>IF(W123&lt;&gt;"",W123*X123,"")</f>
        <v/>
      </c>
      <c r="Z123" s="148">
        <f>IF(AND(W123&lt;&gt;"",U123="yes"),W123*X123,"")</f>
        <v/>
      </c>
    </row>
    <row r="124" ht="16" customHeight="1" thickBot="1">
      <c r="A124" s="78" t="inlineStr">
        <is>
          <t>end_group</t>
        </is>
      </c>
      <c r="B124" s="78" t="n"/>
      <c r="C124" s="79" t="n"/>
      <c r="D124" s="73" t="n"/>
      <c r="E124" s="73" t="n"/>
      <c r="F124" s="78" t="n"/>
      <c r="G124" s="74" t="n"/>
      <c r="H124" s="74" t="n"/>
      <c r="I124" s="109" t="n"/>
      <c r="J124" s="109" t="n"/>
      <c r="K124" s="109" t="n"/>
      <c r="L124" s="109" t="n"/>
      <c r="M124" s="109" t="n"/>
      <c r="N124" s="109" t="n"/>
      <c r="O124" s="109" t="n"/>
      <c r="P124" s="109" t="n"/>
      <c r="W124" s="167" t="n"/>
      <c r="X124" s="57" t="n"/>
      <c r="Y124" s="148">
        <f>IF(W124&lt;&gt;"",W124*X124,"")</f>
        <v/>
      </c>
      <c r="Z124" s="148">
        <f>IF(AND(W124&lt;&gt;"",U124="yes"),W124*X124,"")</f>
        <v/>
      </c>
    </row>
    <row r="125" ht="17.15" customFormat="1" customHeight="1" s="54" thickTop="1">
      <c r="A125" s="223" t="inlineStr">
        <is>
          <t>begin_group</t>
        </is>
      </c>
      <c r="B125" s="223" t="inlineStr">
        <is>
          <t>Conflict_group</t>
        </is>
      </c>
      <c r="C125" s="226" t="inlineStr">
        <is>
          <t>CONFLICT</t>
        </is>
      </c>
      <c r="D125" s="52" t="n"/>
      <c r="E125" s="52" t="n"/>
      <c r="F125" s="223" t="n"/>
      <c r="G125" s="53" t="n"/>
      <c r="H125" s="53" t="n"/>
      <c r="I125" s="222" t="inlineStr">
        <is>
          <t>false</t>
        </is>
      </c>
      <c r="J125" s="222" t="n"/>
      <c r="K125" s="222" t="n"/>
      <c r="L125" s="222" t="n"/>
      <c r="M125" s="225" t="inlineStr">
        <is>
          <t>${resp_agree} = '1' and ${hh_agricactivity} != '5' and ${hh_agricactivity} != '6'</t>
        </is>
      </c>
      <c r="N125" s="222" t="n"/>
      <c r="O125" s="222" t="n"/>
      <c r="P125" s="222" t="n"/>
      <c r="Q125" s="36" t="n"/>
      <c r="U125" s="36" t="inlineStr">
        <is>
          <t>yes</t>
        </is>
      </c>
      <c r="W125" s="167" t="n"/>
      <c r="X125" s="147" t="n"/>
      <c r="Y125" s="148">
        <f>IF(W125&lt;&gt;"",W125*X125,"")</f>
        <v/>
      </c>
      <c r="Z125" s="148">
        <f>IF(AND(W125&lt;&gt;"",U125="yes"),W125*X125,"")</f>
        <v/>
      </c>
      <c r="AA125" s="55" t="n"/>
    </row>
    <row r="126" customFormat="1" s="54">
      <c r="A126" s="223" t="n"/>
      <c r="B126" s="223" t="n"/>
      <c r="C126" s="226" t="n"/>
      <c r="D126" s="52" t="n"/>
      <c r="E126" s="52" t="n"/>
      <c r="F126" s="223" t="n"/>
      <c r="G126" s="53" t="n"/>
      <c r="H126" s="53" t="n"/>
      <c r="I126" s="222" t="n"/>
      <c r="J126" s="222" t="n"/>
      <c r="K126" s="222" t="n"/>
      <c r="L126" s="222" t="n"/>
      <c r="M126" s="225" t="n"/>
      <c r="N126" s="222" t="n"/>
      <c r="O126" s="222" t="n"/>
      <c r="P126" s="222" t="n"/>
      <c r="Q126" s="36" t="n"/>
      <c r="U126" s="36" t="n"/>
      <c r="W126" s="167" t="n"/>
      <c r="X126" s="147" t="n"/>
      <c r="Y126" s="148" t="n"/>
      <c r="Z126" s="148" t="n"/>
      <c r="AA126" s="55" t="n"/>
    </row>
    <row r="127" ht="16" customFormat="1" customHeight="1" s="58">
      <c r="A127" s="210" t="inlineStr">
        <is>
          <t>select_multiple wellbeing</t>
        </is>
      </c>
      <c r="B127" s="210" t="inlineStr">
        <is>
          <t>confl_wb</t>
        </is>
      </c>
      <c r="C127" s="217" t="inlineStr">
        <is>
          <t>What are the main problems affecting the community's wellbeing?</t>
        </is>
      </c>
      <c r="D127" s="60" t="n"/>
      <c r="E127" s="60" t="n"/>
      <c r="F127" s="210" t="inlineStr">
        <is>
          <t>[INSTRUCTIONS: UP TO THREE RESPONSES ALLOWED]</t>
        </is>
      </c>
      <c r="G127" s="64" t="n"/>
      <c r="H127" s="64" t="n"/>
      <c r="I127" s="211" t="inlineStr">
        <is>
          <t>true</t>
        </is>
      </c>
      <c r="J127" s="211" t="n"/>
      <c r="K127" s="230" t="inlineStr">
        <is>
          <t>if(selected(., 'ref') or selected(., 'dk') or selected(.,'none'), count-selected(.) = 1, count-selected(.) &lt;= 3)</t>
        </is>
      </c>
      <c r="L127" s="211" t="n"/>
      <c r="M127" s="211" t="n"/>
      <c r="N127" s="210" t="n"/>
      <c r="O127" s="211" t="n"/>
      <c r="P127" s="211" t="n"/>
      <c r="Q127" s="36" t="n"/>
      <c r="U127" s="58" t="inlineStr">
        <is>
          <t>yes</t>
        </is>
      </c>
      <c r="W127" s="171" t="n">
        <v>13.55</v>
      </c>
      <c r="X127" s="152">
        <f>'Additional information'!#REF!</f>
        <v/>
      </c>
      <c r="Y127" s="151">
        <f>IF(W127&lt;&gt;"",W127*X127,"")</f>
        <v/>
      </c>
      <c r="Z127" s="151" t="n"/>
    </row>
    <row r="128" ht="16" customFormat="1" customHeight="1" s="58">
      <c r="A128" s="210" t="inlineStr">
        <is>
          <t>text</t>
        </is>
      </c>
      <c r="B128" s="210" t="inlineStr">
        <is>
          <t>confl_wb_otherspecify</t>
        </is>
      </c>
      <c r="C128" s="217" t="inlineStr">
        <is>
          <t>If other, specify.</t>
        </is>
      </c>
      <c r="D128" s="60" t="n"/>
      <c r="E128" s="60" t="n"/>
      <c r="F128" s="210" t="inlineStr">
        <is>
          <t>[INSTRUCTIONS: RECORD THE OPEN RESPONSE GIVEN IN FEW WORDS. ENTER 888 FOR DON'T KNOW AND 999 FOR REFUSED]</t>
        </is>
      </c>
      <c r="G128" s="64" t="n"/>
      <c r="H128" s="64" t="n"/>
      <c r="I128" s="211" t="inlineStr">
        <is>
          <t>true</t>
        </is>
      </c>
      <c r="J128" s="211" t="n"/>
      <c r="K128" s="211" t="n"/>
      <c r="L128" s="211" t="n"/>
      <c r="M128" s="211" t="inlineStr">
        <is>
          <t>selected(${confl_wb}, 'other')</t>
        </is>
      </c>
      <c r="N128" s="210" t="n"/>
      <c r="O128" s="211" t="n"/>
      <c r="P128" s="211" t="n"/>
      <c r="Q128" s="36" t="n"/>
      <c r="U128" s="58" t="inlineStr">
        <is>
          <t>no</t>
        </is>
      </c>
      <c r="W128" s="171" t="n"/>
      <c r="X128" s="152">
        <f>1</f>
        <v/>
      </c>
      <c r="Y128" s="151">
        <f>IF(W128&lt;&gt;"",W128*X128,"")</f>
        <v/>
      </c>
      <c r="Z128" s="151">
        <f>IF(AND(W128&lt;&gt;"",U128="yes"),W128*X128,"")</f>
        <v/>
      </c>
    </row>
    <row r="129" ht="32.15" customHeight="1">
      <c r="A129" s="240" t="inlineStr">
        <is>
          <t>select_one yes_no</t>
        </is>
      </c>
      <c r="B129" s="240" t="inlineStr">
        <is>
          <t>confl_yn</t>
        </is>
      </c>
      <c r="C129" s="241" t="inlineStr">
        <is>
          <t>Have you or anyone within your household been affected by any form of insecurity or conflict during the past 3 months?</t>
        </is>
      </c>
      <c r="D129" s="69" t="n"/>
      <c r="E129" s="69" t="n"/>
      <c r="F129" s="219" t="n"/>
      <c r="G129" s="70" t="n"/>
      <c r="H129" s="70" t="n"/>
      <c r="I129" s="238" t="inlineStr">
        <is>
          <t>true</t>
        </is>
      </c>
      <c r="J129" s="242" t="n"/>
      <c r="K129" s="238" t="n"/>
      <c r="L129" s="238" t="n"/>
      <c r="M129" s="238" t="n"/>
      <c r="N129" s="238" t="n"/>
      <c r="O129" s="238" t="n"/>
      <c r="P129" s="238" t="n"/>
      <c r="U129" s="36" t="inlineStr">
        <is>
          <t>yes</t>
        </is>
      </c>
      <c r="W129" s="167" t="n">
        <v>13.55</v>
      </c>
      <c r="X129" s="147">
        <f>'Additional information'!#REF!</f>
        <v/>
      </c>
      <c r="Y129" s="148">
        <f>IF(W129&lt;&gt;"",W129*X129,"")</f>
        <v/>
      </c>
      <c r="Z129" s="148" t="n"/>
    </row>
    <row r="130" ht="32.15" customFormat="1" customHeight="1" s="57">
      <c r="A130" s="236" t="inlineStr">
        <is>
          <t>select_multiple agri_impact</t>
        </is>
      </c>
      <c r="B130" s="236" t="inlineStr">
        <is>
          <t>confl_agri</t>
        </is>
      </c>
      <c r="C130" s="237" t="inlineStr">
        <is>
          <t xml:space="preserve">How has insecurity and/or conflict affected your household's farming, livestock or fishing activities? </t>
        </is>
      </c>
      <c r="D130" s="80" t="n"/>
      <c r="E130" s="80" t="n"/>
      <c r="F130" s="212" t="inlineStr">
        <is>
          <t>[INSTRUCTIONS: UP TO THREE RESPONSES ALLOWED]</t>
        </is>
      </c>
      <c r="G130" s="82" t="n"/>
      <c r="H130" s="82" t="n"/>
      <c r="I130" s="238" t="inlineStr">
        <is>
          <t>true</t>
        </is>
      </c>
      <c r="J130" s="238" t="n"/>
      <c r="K130" s="239" t="inlineStr">
        <is>
          <t>if(selected(., 'ref') or selected(., 'dk') or selected(.,'none'), count-selected(.) = 1, count-selected(.) &lt;= 3)</t>
        </is>
      </c>
      <c r="L130" s="238" t="n"/>
      <c r="M130" s="238" t="inlineStr">
        <is>
          <t>${confl_yn} = '1'</t>
        </is>
      </c>
      <c r="N130" s="238" t="n"/>
      <c r="O130" s="238" t="n"/>
      <c r="P130" s="238" t="n"/>
      <c r="Q130" s="36" t="n"/>
      <c r="U130" s="57" t="inlineStr">
        <is>
          <t>yes</t>
        </is>
      </c>
      <c r="W130" s="167" t="n"/>
      <c r="X130" s="147">
        <f>'Additional information'!#REF!</f>
        <v/>
      </c>
      <c r="Y130" s="148" t="n"/>
      <c r="Z130" s="148" t="n"/>
    </row>
    <row r="131" ht="16" customFormat="1" customHeight="1" s="57">
      <c r="A131" s="236" t="inlineStr">
        <is>
          <t>text</t>
        </is>
      </c>
      <c r="B131" s="236" t="inlineStr">
        <is>
          <t>confl_agri_otherspecify</t>
        </is>
      </c>
      <c r="C131" s="237" t="inlineStr">
        <is>
          <t>If other, specify.</t>
        </is>
      </c>
      <c r="D131" s="80" t="n"/>
      <c r="E131" s="80" t="n"/>
      <c r="F131" s="212" t="inlineStr">
        <is>
          <t>[INSTRUCTIONS: RECORD THE OPEN RESPONSE GIVEN IN FEW WORDS. ENTER 888 FOR DON'T KNOW AND 999 FOR REFUSED]</t>
        </is>
      </c>
      <c r="G131" s="82" t="n"/>
      <c r="H131" s="82" t="n"/>
      <c r="I131" s="238" t="inlineStr">
        <is>
          <t>true</t>
        </is>
      </c>
      <c r="J131" s="238" t="n"/>
      <c r="K131" s="238" t="n"/>
      <c r="L131" s="238" t="n"/>
      <c r="M131" s="238" t="inlineStr">
        <is>
          <t>${confl_yn} = '1' and selected(${confl_agri}, 'other')</t>
        </is>
      </c>
      <c r="N131" s="236" t="n"/>
      <c r="O131" s="238" t="n"/>
      <c r="P131" s="238" t="n"/>
      <c r="Q131" s="36" t="n"/>
      <c r="U131" s="57" t="inlineStr">
        <is>
          <t>no</t>
        </is>
      </c>
      <c r="W131" s="167" t="n"/>
      <c r="X131" s="147">
        <f>1</f>
        <v/>
      </c>
      <c r="Y131" s="148">
        <f>IF(W131&lt;&gt;"",W131*X131,"")</f>
        <v/>
      </c>
      <c r="Z131" s="148">
        <f>IF(AND(W131&lt;&gt;"",U131="yes"),W131*X131,"")</f>
        <v/>
      </c>
    </row>
    <row r="132" ht="16" customFormat="1" customHeight="1" s="58">
      <c r="A132" s="210" t="inlineStr">
        <is>
          <t>select_multiple fs_impact</t>
        </is>
      </c>
      <c r="B132" s="210" t="inlineStr">
        <is>
          <t>confl_fs</t>
        </is>
      </c>
      <c r="C132" s="217" t="inlineStr">
        <is>
          <t>How has insecurity  affected your household's access to food?</t>
        </is>
      </c>
      <c r="D132" s="60" t="n"/>
      <c r="E132" s="60" t="n"/>
      <c r="F132" s="210" t="inlineStr">
        <is>
          <t>[INSTRUCTIONS: UP TO THREE RESPONSES ALLOWED]</t>
        </is>
      </c>
      <c r="G132" s="64" t="n"/>
      <c r="H132" s="64" t="n"/>
      <c r="I132" s="211" t="inlineStr">
        <is>
          <t>true</t>
        </is>
      </c>
      <c r="J132" s="211" t="n"/>
      <c r="K132" s="230" t="inlineStr">
        <is>
          <t>if(selected(., 'ref') or selected(., 'dk') or selected(.,'none'), count-selected(.) = 1, count-selected(.) &lt;= 3)</t>
        </is>
      </c>
      <c r="L132" s="211" t="n"/>
      <c r="M132" s="211" t="inlineStr">
        <is>
          <t>${confl_yn} = '1'</t>
        </is>
      </c>
      <c r="N132" s="211" t="n"/>
      <c r="O132" s="211" t="n"/>
      <c r="P132" s="211" t="n"/>
      <c r="Q132" s="36" t="n"/>
      <c r="W132" s="171" t="n"/>
      <c r="X132" s="152">
        <f>'Additional information'!#REF!</f>
        <v/>
      </c>
      <c r="Y132" s="151" t="n"/>
      <c r="Z132" s="151" t="n"/>
    </row>
    <row r="133" ht="16" customFormat="1" customHeight="1" s="58">
      <c r="A133" s="210" t="inlineStr">
        <is>
          <t>text</t>
        </is>
      </c>
      <c r="B133" s="210" t="inlineStr">
        <is>
          <t>confl_fs_otherspecify</t>
        </is>
      </c>
      <c r="C133" s="217" t="inlineStr">
        <is>
          <t>If other, specify.</t>
        </is>
      </c>
      <c r="D133" s="60" t="n"/>
      <c r="E133" s="60" t="n"/>
      <c r="F133" s="210" t="inlineStr">
        <is>
          <t>[INSTRUCTIONS: RECORD THE OPEN RESPONSE GIVEN IN FEW WORDS. ENTER 888 FOR DON'T KNOW AND 999 FOR REFUSED]</t>
        </is>
      </c>
      <c r="G133" s="64" t="n"/>
      <c r="H133" s="64" t="n"/>
      <c r="I133" s="211" t="inlineStr">
        <is>
          <t>true</t>
        </is>
      </c>
      <c r="J133" s="211" t="n"/>
      <c r="K133" s="211" t="n"/>
      <c r="L133" s="211" t="n"/>
      <c r="M133" s="211" t="inlineStr">
        <is>
          <t>${confl_yn} = '1' and selected(${confl_fs}, 'other')</t>
        </is>
      </c>
      <c r="N133" s="210" t="n"/>
      <c r="O133" s="211" t="n"/>
      <c r="P133" s="211" t="n"/>
      <c r="Q133" s="36" t="n"/>
      <c r="U133" s="58" t="inlineStr">
        <is>
          <t>no</t>
        </is>
      </c>
      <c r="W133" s="171" t="n"/>
      <c r="X133" s="152">
        <f>1</f>
        <v/>
      </c>
      <c r="Y133" s="151">
        <f>IF(W133&lt;&gt;"",W133*X133,"")</f>
        <v/>
      </c>
      <c r="Z133" s="151">
        <f>IF(AND(W133&lt;&gt;"",U133="yes"),W133*X133,"")</f>
        <v/>
      </c>
    </row>
    <row r="134">
      <c r="A134" s="219" t="n"/>
      <c r="B134" s="219" t="n"/>
      <c r="C134" s="220" t="n"/>
      <c r="D134" s="69" t="n"/>
      <c r="E134" s="69" t="n"/>
      <c r="F134" s="221" t="n"/>
      <c r="G134" s="87" t="n"/>
      <c r="H134" s="87" t="n"/>
      <c r="I134" s="224" t="n"/>
      <c r="J134" s="224" t="n"/>
      <c r="K134" s="224" t="n"/>
      <c r="L134" s="224" t="n"/>
      <c r="M134" s="214" t="n"/>
      <c r="N134" s="224" t="n"/>
      <c r="O134" s="224" t="n"/>
      <c r="P134" s="224" t="n"/>
      <c r="U134" s="36" t="inlineStr">
        <is>
          <t>yes</t>
        </is>
      </c>
      <c r="W134" s="167" t="n">
        <v>12.68148708343506</v>
      </c>
      <c r="X134" s="147">
        <f>'Additional information'!#REF!</f>
        <v/>
      </c>
      <c r="Y134" s="148">
        <f>IF(W134&lt;&gt;"",W134*X134,"")</f>
        <v/>
      </c>
      <c r="Z134" s="148">
        <f>IF(AND(W134&lt;&gt;"",U134="yes"),W134*X134,"")</f>
        <v/>
      </c>
    </row>
    <row r="135" ht="16" customHeight="1" thickBot="1">
      <c r="A135" s="227" t="inlineStr">
        <is>
          <t>end_group</t>
        </is>
      </c>
      <c r="B135" s="227" t="n"/>
      <c r="C135" s="228" t="n"/>
      <c r="D135" s="91" t="n"/>
      <c r="E135" s="91" t="n"/>
      <c r="F135" s="227" t="n"/>
      <c r="G135" s="92" t="n"/>
      <c r="H135" s="92" t="n"/>
      <c r="I135" s="229" t="n"/>
      <c r="J135" s="229" t="n"/>
      <c r="K135" s="229" t="n"/>
      <c r="L135" s="229" t="n"/>
      <c r="M135" s="229" t="n"/>
      <c r="N135" s="229" t="n"/>
      <c r="O135" s="229" t="n"/>
      <c r="P135" s="229" t="n"/>
      <c r="W135" s="167" t="n"/>
      <c r="Y135" s="148">
        <f>IF(W135&lt;&gt;"",W135*X135,"")</f>
        <v/>
      </c>
      <c r="Z135" s="148">
        <f>IF(AND(W135&lt;&gt;"",U135="yes"),W135*X135,"")</f>
        <v/>
      </c>
    </row>
    <row r="136" ht="17.15" customFormat="1" customHeight="1" s="54" thickTop="1">
      <c r="A136" s="51" t="inlineStr">
        <is>
          <t>begin_group</t>
        </is>
      </c>
      <c r="B136" s="51" t="inlineStr">
        <is>
          <t>CropProduction_group</t>
        </is>
      </c>
      <c r="C136" s="75" t="inlineStr">
        <is>
          <t>CROP PRODUCTION</t>
        </is>
      </c>
      <c r="D136" s="52" t="n"/>
      <c r="E136" s="52" t="n"/>
      <c r="F136" s="51" t="n"/>
      <c r="G136" s="53" t="n"/>
      <c r="H136" s="53" t="n"/>
      <c r="I136" s="103" t="inlineStr">
        <is>
          <t>false</t>
        </is>
      </c>
      <c r="J136" s="103" t="n"/>
      <c r="K136" s="103" t="n"/>
      <c r="L136" s="103" t="n"/>
      <c r="M136" s="104" t="inlineStr">
        <is>
          <t>${resp_agree} = '1' and (${hh_agricactivity}='1' or ${hh_agricactivity} = '3' or ${income_main_crop_check}='1' or ${income_sec_crop_check}='1' or ${income_third_crop_check}='1')</t>
        </is>
      </c>
      <c r="N136" s="103" t="n"/>
      <c r="O136" s="103" t="n"/>
      <c r="P136" s="103" t="n"/>
      <c r="Q136" s="36" t="n"/>
      <c r="U136" s="36" t="inlineStr">
        <is>
          <t>yes</t>
        </is>
      </c>
      <c r="W136" s="167" t="n"/>
      <c r="X136" s="55" t="n"/>
      <c r="Y136" s="148">
        <f>IF(W136&lt;&gt;"",W136*X136,"")</f>
        <v/>
      </c>
      <c r="Z136" s="148">
        <f>IF(AND(W136&lt;&gt;"",U136="yes"),W136*X136,"")</f>
        <v/>
      </c>
      <c r="AA136" s="55" t="n"/>
    </row>
    <row r="137" ht="64" customFormat="1" customHeight="1" s="37">
      <c r="A137" s="35" t="inlineStr">
        <is>
          <t>note</t>
        </is>
      </c>
      <c r="B137" s="35" t="inlineStr">
        <is>
          <t>crp_intro</t>
        </is>
      </c>
      <c r="C137" s="35" t="inlineStr">
        <is>
          <t>We will now ask you some questions about crop production which apply to you and anyone in your household that is involved in crop production or sales. All questions refer to the crops grown during #season#.</t>
        </is>
      </c>
      <c r="D137" s="69" t="n"/>
      <c r="E137" s="69" t="n"/>
      <c r="F137" s="35" t="n"/>
      <c r="G137" s="69" t="n"/>
      <c r="H137" s="69" t="n"/>
      <c r="I137" s="34" t="n"/>
      <c r="J137" s="34" t="n"/>
      <c r="K137" s="34" t="n"/>
      <c r="L137" s="34" t="n"/>
      <c r="M137" s="34" t="n"/>
      <c r="N137" s="34" t="n"/>
      <c r="O137" s="34" t="n"/>
      <c r="P137" s="34" t="n"/>
      <c r="U137" s="37" t="inlineStr">
        <is>
          <t>yes</t>
        </is>
      </c>
      <c r="W137" s="170" t="n">
        <v>7.5</v>
      </c>
      <c r="X137" s="150">
        <f>'Additional information'!#REF!</f>
        <v/>
      </c>
      <c r="Y137" s="149">
        <f>IF(W137&lt;&gt;"",W137*X137,"")</f>
        <v/>
      </c>
      <c r="Z137" s="149">
        <f>IF(AND(W137&lt;&gt;"",U137="yes"),W137*X137,"")</f>
        <v/>
      </c>
      <c r="AA137" s="38" t="n"/>
    </row>
    <row r="138">
      <c r="D138" s="69" t="n"/>
      <c r="E138" s="69" t="n"/>
      <c r="G138" s="70" t="n"/>
      <c r="H138" s="70" t="n"/>
      <c r="W138" s="167" t="n"/>
      <c r="X138" s="147">
        <f>'Additional information'!#REF!</f>
        <v/>
      </c>
      <c r="Y138" s="148">
        <f>IF(W138&lt;&gt;"",W138*X138,"")</f>
        <v/>
      </c>
      <c r="Z138" s="148">
        <f>IF(AND(W138&lt;&gt;"",U138="yes"),W138*X138,"")</f>
        <v/>
      </c>
    </row>
    <row r="139" ht="16" customFormat="1" customHeight="1" s="57">
      <c r="A139" s="61" t="inlineStr">
        <is>
          <t>decimal</t>
        </is>
      </c>
      <c r="B139" s="61" t="inlineStr">
        <is>
          <t>crp_landsize_num</t>
        </is>
      </c>
      <c r="C139" s="62" t="inlineStr">
        <is>
          <t>What is the total size of the land you can cultivate?</t>
        </is>
      </c>
      <c r="D139" s="80" t="n"/>
      <c r="E139" s="80" t="n"/>
      <c r="F139" s="61" t="inlineStr">
        <is>
          <t>[INSTRUCTIONS: RECORD THE TOTAL LAND SIZE PROVIDED BY THE RESPONDENT. WRITE 888 FOR DON'T KNOW AND 999 FOR REFUSED. MEASUREMENT UNIT WILL BE SPECIFIED IN THE FOLLOWING QUESTION.]</t>
        </is>
      </c>
      <c r="G139" s="82" t="n"/>
      <c r="H139" s="82" t="n"/>
      <c r="I139" s="100" t="inlineStr">
        <is>
          <t>true</t>
        </is>
      </c>
      <c r="J139" s="100" t="n"/>
      <c r="K139" s="100" t="inlineStr">
        <is>
          <t>. &gt;= 0</t>
        </is>
      </c>
      <c r="L139" s="100" t="n"/>
      <c r="M139" s="100" t="n"/>
      <c r="N139" s="100" t="n"/>
      <c r="O139" s="100" t="n"/>
      <c r="P139" s="100" t="n"/>
      <c r="U139" s="57" t="inlineStr">
        <is>
          <t>yes</t>
        </is>
      </c>
      <c r="W139" s="167" t="n">
        <v>17</v>
      </c>
      <c r="X139" s="147">
        <f>'Additional information'!#REF!</f>
        <v/>
      </c>
      <c r="Y139" s="148">
        <f>IF(W139&lt;&gt;"",W139*X139,"")</f>
        <v/>
      </c>
      <c r="Z139" s="148">
        <f>IF(AND(W139&lt;&gt;"",U139="yes"),W139*X139,"")</f>
        <v/>
      </c>
    </row>
    <row r="140" ht="16" customFormat="1" customHeight="1" s="57">
      <c r="A140" s="61" t="inlineStr">
        <is>
          <t>select_one landsize_unit</t>
        </is>
      </c>
      <c r="B140" s="61" t="inlineStr">
        <is>
          <t>crp_landsize_unit</t>
        </is>
      </c>
      <c r="C140" s="62" t="inlineStr">
        <is>
          <t xml:space="preserve">Unit of measurement for land size: </t>
        </is>
      </c>
      <c r="D140" s="80" t="n"/>
      <c r="E140" s="80" t="n"/>
      <c r="F140" s="61" t="inlineStr">
        <is>
          <t>[INSTRUCTIONS: DO NOT READ QUESTION. SELECT UNIT OF MEASUREMENT IN WHICH LAND SIZE WAS PROVIDED.]</t>
        </is>
      </c>
      <c r="G140" s="82" t="n"/>
      <c r="H140" s="82" t="n"/>
      <c r="I140" s="100" t="inlineStr">
        <is>
          <t>true</t>
        </is>
      </c>
      <c r="J140" s="100" t="n"/>
      <c r="K140" s="100" t="n"/>
      <c r="L140" s="100" t="n"/>
      <c r="M140" s="100" t="inlineStr">
        <is>
          <t>${crp_landsize_num} != 888 and ${crp_landsize_num} != 999</t>
        </is>
      </c>
      <c r="N140" s="100" t="n"/>
      <c r="O140" s="100" t="n"/>
      <c r="P140" s="100" t="n"/>
      <c r="U140" s="57" t="inlineStr">
        <is>
          <t>yes</t>
        </is>
      </c>
      <c r="W140" s="167" t="n">
        <v>0</v>
      </c>
      <c r="X140" s="147">
        <f>'Additional information'!#REF!</f>
        <v/>
      </c>
      <c r="Y140" s="148">
        <f>IF(W140&lt;&gt;"",W140*X140,"")</f>
        <v/>
      </c>
      <c r="Z140" s="148">
        <f>IF(AND(W140&lt;&gt;"",U140="yes"),W140*X140,"")</f>
        <v/>
      </c>
    </row>
    <row r="141" customFormat="1" s="54">
      <c r="C141" s="76" t="n"/>
      <c r="D141" s="52" t="n"/>
      <c r="E141" s="52" t="n"/>
      <c r="G141" s="53" t="n"/>
      <c r="H141" s="53" t="n"/>
      <c r="I141" s="104" t="n"/>
      <c r="J141" s="104" t="n"/>
      <c r="K141" s="104" t="n"/>
      <c r="L141" s="104" t="n"/>
      <c r="M141" s="104" t="n"/>
      <c r="N141" s="104" t="n"/>
      <c r="O141" s="104" t="n"/>
      <c r="P141" s="104" t="n"/>
      <c r="U141" s="36" t="n"/>
      <c r="W141" s="167" t="n"/>
      <c r="X141" s="147">
        <f>'Additional information'!#REF!</f>
        <v/>
      </c>
      <c r="Y141" s="148">
        <f>IF(W141&lt;&gt;"",W141*X141,"")</f>
        <v/>
      </c>
      <c r="Z141" s="148">
        <f>IF(AND(W141&lt;&gt;"",U141="yes"),W141*X141,"")</f>
        <v/>
      </c>
      <c r="AA141" s="55" t="n"/>
    </row>
    <row r="142" ht="32.15" customHeight="1">
      <c r="A142" s="56" t="inlineStr">
        <is>
          <t>select_one crop</t>
        </is>
      </c>
      <c r="B142" s="56" t="inlineStr">
        <is>
          <t>crp_main</t>
        </is>
      </c>
      <c r="C142" s="35" t="inlineStr">
        <is>
          <t>What is the main crop that your household grows for food or income generation in #season#, if any?</t>
        </is>
      </c>
      <c r="D142" s="69" t="n"/>
      <c r="E142" s="69" t="n"/>
      <c r="F142" s="56" t="inlineStr">
        <is>
          <t>[INSTRUCTIONS: "NO CROP PRODUCTION" APPEARS AT THE END OF THE LIST OF OPTIONS.]</t>
        </is>
      </c>
      <c r="G142" s="70" t="n"/>
      <c r="H142" s="70" t="n"/>
      <c r="I142" s="98" t="inlineStr">
        <is>
          <t>true</t>
        </is>
      </c>
      <c r="J142" s="98" t="inlineStr">
        <is>
          <t>autocomplete</t>
        </is>
      </c>
      <c r="K142" s="98" t="n"/>
      <c r="L142" s="98" t="n"/>
      <c r="M142" s="98" t="n"/>
      <c r="N142" s="98" t="n"/>
      <c r="O142" s="98" t="n"/>
      <c r="P142" s="98" t="n"/>
      <c r="U142" s="36" t="inlineStr">
        <is>
          <t>yes</t>
        </is>
      </c>
      <c r="W142" s="167" t="n">
        <v>27.05755233764648</v>
      </c>
      <c r="X142" s="147">
        <f>'Additional information'!#REF!</f>
        <v/>
      </c>
      <c r="Y142" s="148">
        <f>IF(W142&lt;&gt;"",W142*X142,"")</f>
        <v/>
      </c>
      <c r="Z142" s="148">
        <f>IF(AND(W142&lt;&gt;"",U142="yes"),W142*X142,"")</f>
        <v/>
      </c>
    </row>
    <row r="143">
      <c r="A143" s="56" t="inlineStr">
        <is>
          <t>calculate</t>
        </is>
      </c>
      <c r="B143" s="56" t="inlineStr">
        <is>
          <t>crpmain</t>
        </is>
      </c>
      <c r="C143" s="35" t="n"/>
      <c r="D143" s="69" t="n"/>
      <c r="E143" s="69" t="n"/>
      <c r="G143" s="70" t="n"/>
      <c r="H143" s="70" t="n"/>
      <c r="I143" s="98" t="n"/>
      <c r="J143" s="98" t="n"/>
      <c r="K143" s="98" t="n"/>
      <c r="L143" s="98" t="n"/>
      <c r="M143" s="98" t="n"/>
      <c r="N143" s="98" t="n"/>
      <c r="O143" s="98" t="n"/>
      <c r="P143" s="98" t="inlineStr">
        <is>
          <t>jr:choice-name(${crp_main},'${crp_main}')</t>
        </is>
      </c>
      <c r="U143" s="36" t="inlineStr">
        <is>
          <t>yes</t>
        </is>
      </c>
      <c r="W143" s="167" t="n"/>
      <c r="X143" s="147">
        <f>'Additional information'!#REF!</f>
        <v/>
      </c>
      <c r="Y143" s="148">
        <f>IF(W143&lt;&gt;"",W143*X143,"")</f>
        <v/>
      </c>
      <c r="Z143" s="148">
        <f>IF(AND(W143&lt;&gt;"",U143="yes"),W143*X143,"")</f>
        <v/>
      </c>
    </row>
    <row r="144" ht="16" customHeight="1">
      <c r="A144" s="56" t="inlineStr">
        <is>
          <t>select_one cropcheck</t>
        </is>
      </c>
      <c r="B144" s="56" t="inlineStr">
        <is>
          <t>crp_main_check</t>
        </is>
      </c>
      <c r="C144" s="35" t="inlineStr">
        <is>
          <t>Why did you not produce any crops in #season#?</t>
        </is>
      </c>
      <c r="D144" s="69" t="n"/>
      <c r="E144" s="69" t="n"/>
      <c r="G144" s="70" t="n"/>
      <c r="H144" s="70" t="n"/>
      <c r="I144" s="98" t="inlineStr">
        <is>
          <t>true</t>
        </is>
      </c>
      <c r="J144" s="98" t="n"/>
      <c r="K144" s="98" t="n"/>
      <c r="L144" s="98" t="n"/>
      <c r="M144" s="98" t="inlineStr">
        <is>
          <t>${crp_main}='777'</t>
        </is>
      </c>
      <c r="N144" s="98" t="n"/>
      <c r="O144" s="98" t="n"/>
      <c r="P144" s="98" t="n"/>
      <c r="U144" s="36" t="inlineStr">
        <is>
          <t>yes</t>
        </is>
      </c>
      <c r="W144" s="167" t="n">
        <v>0</v>
      </c>
      <c r="X144" s="147">
        <f>'Additional information'!#REF!</f>
        <v/>
      </c>
      <c r="Y144" s="148">
        <f>IF(W144&lt;&gt;"",W144*X144,"")</f>
        <v/>
      </c>
      <c r="Z144" s="148">
        <f>IF(AND(W144&lt;&gt;"",U144="yes"),W144*X144,"")</f>
        <v/>
      </c>
    </row>
    <row r="145" customFormat="1" s="57">
      <c r="C145" s="38" t="n"/>
      <c r="D145" s="80" t="n"/>
      <c r="E145" s="80" t="n"/>
      <c r="G145" s="82" t="n"/>
      <c r="H145" s="82" t="n"/>
      <c r="I145" s="110" t="n"/>
      <c r="J145" s="110" t="n"/>
      <c r="K145" s="110" t="n"/>
      <c r="L145" s="110" t="n"/>
      <c r="M145" s="110" t="n"/>
      <c r="N145" s="110" t="n"/>
      <c r="O145" s="110" t="n"/>
      <c r="P145" s="110" t="n"/>
      <c r="W145" s="167" t="n"/>
      <c r="X145" s="147">
        <f>'Additional information'!#REF!</f>
        <v/>
      </c>
      <c r="Y145" s="148">
        <f>IF(W145&lt;&gt;"",W145*X145,"")</f>
        <v/>
      </c>
      <c r="Z145" s="148">
        <f>IF(AND(W145&lt;&gt;"",U145="yes"),W145*X145,"")</f>
        <v/>
      </c>
    </row>
    <row r="146" ht="31.75" customHeight="1">
      <c r="A146" s="56" t="inlineStr">
        <is>
          <t>select_one irrigation</t>
        </is>
      </c>
      <c r="B146" s="56" t="inlineStr">
        <is>
          <t>crp_irrig_source</t>
        </is>
      </c>
      <c r="C146" s="56" t="inlineStr">
        <is>
          <t xml:space="preserve">Where do you normally and mainly obtain water for the production of ${crpmain}? </t>
        </is>
      </c>
      <c r="D146" s="70" t="n"/>
      <c r="E146" s="70" t="n"/>
      <c r="G146" s="70" t="n"/>
      <c r="H146" s="70" t="n"/>
      <c r="I146" s="98" t="inlineStr">
        <is>
          <t>true</t>
        </is>
      </c>
      <c r="J146" s="98" t="n"/>
      <c r="K146" s="98" t="n"/>
      <c r="L146" s="98" t="n"/>
      <c r="M146" s="98" t="inlineStr">
        <is>
          <t>${crp_main} != '777' and ${crp_main} != '888' and ${crp_main} != '999'</t>
        </is>
      </c>
      <c r="N146" s="98" t="n"/>
      <c r="O146" s="98" t="n"/>
      <c r="P146" s="98" t="n"/>
      <c r="U146" s="36" t="inlineStr">
        <is>
          <t>yes</t>
        </is>
      </c>
      <c r="W146" s="167" t="n">
        <v>15.95429515838623</v>
      </c>
      <c r="X146" s="147">
        <f>'Additional information'!#REF!</f>
        <v/>
      </c>
      <c r="Y146" s="148">
        <f>IF(W146&lt;&gt;"",W146*X146,"")</f>
        <v/>
      </c>
      <c r="Z146" s="148">
        <f>IF(AND(W146&lt;&gt;"",U146="yes"),W146*X146,"")</f>
        <v/>
      </c>
    </row>
    <row r="147" ht="15.75" customHeight="1">
      <c r="A147" s="56" t="inlineStr">
        <is>
          <t>text</t>
        </is>
      </c>
      <c r="B147" s="56" t="inlineStr">
        <is>
          <t>crp_irrig_source_otherspecify</t>
        </is>
      </c>
      <c r="C147" s="62" t="inlineStr">
        <is>
          <t>If other, specify.</t>
        </is>
      </c>
      <c r="D147" s="80" t="n"/>
      <c r="E147" s="80" t="n"/>
      <c r="F147" s="57" t="inlineStr">
        <is>
          <t>[INSTRUCTIONS: RECORD THE OPEN RESPONSE GIVEN IN FEW WORDS. ENTER 888 FOR DON'T KNOW AND 999 FOR REFUSED]</t>
        </is>
      </c>
      <c r="G147" s="70" t="n"/>
      <c r="H147" s="70" t="n"/>
      <c r="I147" s="98" t="inlineStr">
        <is>
          <t>true</t>
        </is>
      </c>
      <c r="J147" s="98" t="n"/>
      <c r="K147" s="98" t="n"/>
      <c r="L147" s="98" t="n"/>
      <c r="M147" s="98" t="inlineStr">
        <is>
          <t>${crp_irrig_source}='6' and (${crp_main} != '777' and ${crp_main} != '888' and ${crp_main} != '999')</t>
        </is>
      </c>
      <c r="N147" s="98" t="n"/>
      <c r="O147" s="98" t="n"/>
      <c r="P147" s="98" t="n"/>
      <c r="U147" s="36" t="inlineStr">
        <is>
          <t>yes</t>
        </is>
      </c>
      <c r="W147" s="167" t="n"/>
      <c r="X147" s="147">
        <f>'Additional information'!#REF!</f>
        <v/>
      </c>
      <c r="Y147" s="148">
        <f>IF(W147&lt;&gt;"",W147*X147,"")</f>
        <v/>
      </c>
      <c r="Z147" s="148">
        <f>IF(AND(W147&lt;&gt;"",U147="yes"),W147*X147,"")</f>
        <v/>
      </c>
    </row>
    <row r="148" ht="15.75" customFormat="1" customHeight="1" s="58">
      <c r="C148" s="59" t="n"/>
      <c r="D148" s="60" t="n"/>
      <c r="E148" s="60" t="n"/>
      <c r="G148" s="64" t="n"/>
      <c r="H148" s="64" t="n"/>
      <c r="I148" s="99" t="n"/>
      <c r="J148" s="99" t="n"/>
      <c r="K148" s="99" t="n"/>
      <c r="L148" s="99" t="n"/>
      <c r="M148" s="99" t="n"/>
      <c r="N148" s="99" t="n"/>
      <c r="O148" s="99" t="n"/>
      <c r="P148" s="99" t="n"/>
      <c r="W148" s="167" t="n"/>
      <c r="X148" s="147">
        <f>'Additional information'!#REF!</f>
        <v/>
      </c>
      <c r="Y148" s="148">
        <f>IF(W148&lt;&gt;"",W148*X148,"")</f>
        <v/>
      </c>
      <c r="Z148" s="148">
        <f>IF(AND(W148&lt;&gt;"",U148="yes"),W148*X148,"")</f>
        <v/>
      </c>
      <c r="AA148" s="57" t="n"/>
    </row>
    <row r="149" ht="15.75" customFormat="1" customHeight="1" s="58">
      <c r="A149" s="58" t="inlineStr">
        <is>
          <t>select_one irrigpump</t>
        </is>
      </c>
      <c r="B149" s="58" t="inlineStr">
        <is>
          <t>crp_irrig_system</t>
        </is>
      </c>
      <c r="C149" s="59" t="inlineStr">
        <is>
          <t>Do you [your community] use a pump for your own [the communal] irrigation system?</t>
        </is>
      </c>
      <c r="D149" s="60" t="n"/>
      <c r="E149" s="60" t="n"/>
      <c r="G149" s="64" t="n"/>
      <c r="H149" s="64" t="n"/>
      <c r="I149" s="99" t="n"/>
      <c r="J149" s="99" t="n"/>
      <c r="K149" s="99" t="n"/>
      <c r="L149" s="99" t="n"/>
      <c r="M149" s="99" t="inlineStr">
        <is>
          <t>not(${crp_irrig_source}='7' or ${crp_irrig_source}='8') and (${crp_main} != '777' and ${crp_main} != '888' and ${crp_main} != '999')</t>
        </is>
      </c>
      <c r="N149" s="99" t="n"/>
      <c r="O149" s="99" t="n"/>
      <c r="P149" s="99" t="n"/>
      <c r="U149" s="58" t="inlineStr">
        <is>
          <t>no</t>
        </is>
      </c>
      <c r="W149" s="167" t="n"/>
      <c r="X149" s="147" t="n"/>
      <c r="Y149" s="148" t="n"/>
      <c r="Z149" s="148" t="n"/>
      <c r="AA149" s="57" t="n"/>
    </row>
    <row r="150" ht="16" customFormat="1" customHeight="1" s="58">
      <c r="A150" s="58" t="inlineStr">
        <is>
          <t xml:space="preserve">select_multiple seedsupply </t>
        </is>
      </c>
      <c r="B150" s="58" t="inlineStr">
        <is>
          <t>crp_seed</t>
        </is>
      </c>
      <c r="C150" s="59" t="inlineStr">
        <is>
          <t xml:space="preserve">Who do you normally procure your seeds from? </t>
        </is>
      </c>
      <c r="D150" s="60" t="n"/>
      <c r="E150" s="60" t="n"/>
      <c r="F150" s="58" t="inlineStr">
        <is>
          <t>[INSTRUCTIONS: MULTIPLE RESPONSES POSSIBLE.]</t>
        </is>
      </c>
      <c r="G150" s="64" t="n"/>
      <c r="H150" s="64" t="n"/>
      <c r="I150" s="99" t="inlineStr">
        <is>
          <t>true</t>
        </is>
      </c>
      <c r="J150" s="99" t="n"/>
      <c r="K150" s="99" t="inlineStr">
        <is>
          <t>if(selected(., 'ref') or selected(., 'dk'), count-selected(.) = 1, count-selected(.) &gt;= 1)</t>
        </is>
      </c>
      <c r="L150" s="99" t="n"/>
      <c r="M150" s="99" t="inlineStr">
        <is>
          <t>${crp_main} != '777' and ${crp_main} != '888' and ${crp_main} != '999'</t>
        </is>
      </c>
      <c r="N150" s="99" t="n"/>
      <c r="O150" s="99" t="n"/>
      <c r="P150" s="99" t="n"/>
      <c r="U150" s="58" t="inlineStr">
        <is>
          <t>no</t>
        </is>
      </c>
      <c r="W150" s="167" t="n">
        <v>17.92890930175781</v>
      </c>
      <c r="X150" s="147">
        <f>'Additional information'!#REF!</f>
        <v/>
      </c>
      <c r="Y150" s="148">
        <f>IF(W150&lt;&gt;"",W150*X150,"")</f>
        <v/>
      </c>
      <c r="Z150" s="148">
        <f>IF(AND(W150&lt;&gt;"",U150="yes"),W150*X150,"")</f>
        <v/>
      </c>
      <c r="AA150" s="57" t="n"/>
    </row>
    <row r="151" ht="32.15" customFormat="1" customHeight="1" s="58">
      <c r="A151" s="256" t="inlineStr">
        <is>
          <t>select_one o_difficulty_seed</t>
        </is>
      </c>
      <c r="B151" s="256" t="inlineStr">
        <is>
          <t>o_difficulty_seed</t>
        </is>
      </c>
      <c r="C151" s="257" t="inlineStr">
        <is>
          <t>Have you been facing any particular difficulty accessing seeds over the past three months?</t>
        </is>
      </c>
      <c r="D151" s="258" t="n"/>
      <c r="E151" s="258" t="n"/>
      <c r="F151" s="259" t="n"/>
      <c r="G151" s="259" t="n"/>
      <c r="H151" s="259" t="n"/>
      <c r="I151" s="254" t="inlineStr">
        <is>
          <t>true</t>
        </is>
      </c>
      <c r="J151" s="260" t="n"/>
      <c r="K151" s="260" t="n"/>
      <c r="L151" s="260" t="n"/>
      <c r="M151" s="260" t="n"/>
      <c r="N151" s="260" t="n"/>
      <c r="O151" s="260" t="n"/>
      <c r="P151" s="260" t="n"/>
      <c r="Q151" s="259" t="n"/>
      <c r="R151" s="259" t="n"/>
      <c r="S151" s="259" t="n"/>
      <c r="T151" s="259" t="n"/>
      <c r="U151" s="259" t="inlineStr">
        <is>
          <t>Yes</t>
        </is>
      </c>
      <c r="V151" s="259" t="n"/>
      <c r="W151" s="250" t="n">
        <v>10</v>
      </c>
      <c r="X151" s="147" t="n"/>
      <c r="Y151" s="250" t="n">
        <v>10</v>
      </c>
      <c r="Z151" s="252">
        <f>IF(AND(W151&lt;&gt;"",U151="yes"),W151*X151,"")</f>
        <v/>
      </c>
      <c r="AA151" s="57" t="n"/>
    </row>
    <row r="152" ht="16" customFormat="1" customHeight="1" s="58">
      <c r="A152" s="256" t="inlineStr">
        <is>
          <t>select_one o_difficulty_seed_type</t>
        </is>
      </c>
      <c r="B152" s="256" t="inlineStr">
        <is>
          <t>o_difficulty_seed_type</t>
        </is>
      </c>
      <c r="C152" s="257" t="inlineStr">
        <is>
          <t>What has been the main difficulty in accessing seeds [over the past three months?</t>
        </is>
      </c>
      <c r="D152" s="258" t="n"/>
      <c r="E152" s="258" t="n"/>
      <c r="F152" s="259" t="n"/>
      <c r="G152" s="259" t="n"/>
      <c r="H152" s="259" t="n"/>
      <c r="I152" s="254" t="inlineStr">
        <is>
          <t>true</t>
        </is>
      </c>
      <c r="J152" s="260" t="n"/>
      <c r="K152" s="260" t="n"/>
      <c r="L152" s="260" t="n"/>
      <c r="M152" s="261" t="inlineStr">
        <is>
          <t>${o_difficulty_seed} = 'yes_difficulties'</t>
        </is>
      </c>
      <c r="N152" s="260" t="n"/>
      <c r="O152" s="260" t="n"/>
      <c r="P152" s="260" t="n"/>
      <c r="Q152" s="259" t="n"/>
      <c r="R152" s="259" t="n"/>
      <c r="S152" s="259" t="n"/>
      <c r="T152" s="259" t="n"/>
      <c r="U152" s="259" t="inlineStr">
        <is>
          <t>Yes</t>
        </is>
      </c>
      <c r="V152" s="259" t="n"/>
      <c r="W152" s="250" t="n">
        <v>10</v>
      </c>
      <c r="X152" s="147" t="n"/>
      <c r="Y152" s="250" t="n">
        <v>10</v>
      </c>
      <c r="Z152" s="252">
        <f>IF(AND(W152&lt;&gt;"",U152="yes"),W152*X152,"")</f>
        <v/>
      </c>
      <c r="AA152" s="57" t="n"/>
    </row>
    <row r="153" ht="16" customFormat="1" customHeight="1" s="58">
      <c r="A153" s="256" t="inlineStr">
        <is>
          <t>text</t>
        </is>
      </c>
      <c r="B153" s="256" t="inlineStr">
        <is>
          <t>o_difficulty_seed_type_other</t>
        </is>
      </c>
      <c r="C153" s="257" t="inlineStr">
        <is>
          <t>Other, Please Specify</t>
        </is>
      </c>
      <c r="D153" s="258" t="n"/>
      <c r="E153" s="258" t="n"/>
      <c r="F153" s="259" t="n"/>
      <c r="G153" s="259" t="n"/>
      <c r="H153" s="259" t="n"/>
      <c r="I153" s="254" t="inlineStr">
        <is>
          <t>true</t>
        </is>
      </c>
      <c r="J153" s="260" t="n"/>
      <c r="K153" s="260" t="n"/>
      <c r="L153" s="260" t="n"/>
      <c r="M153" s="261" t="inlineStr">
        <is>
          <t>${o_difficulty_seed_type} = 'other'</t>
        </is>
      </c>
      <c r="N153" s="260" t="n"/>
      <c r="O153" s="260" t="n"/>
      <c r="P153" s="260" t="n"/>
      <c r="Q153" s="259" t="n"/>
      <c r="R153" s="259" t="n"/>
      <c r="S153" s="259" t="n"/>
      <c r="T153" s="259" t="n"/>
      <c r="U153" s="259" t="inlineStr">
        <is>
          <t>Yes</t>
        </is>
      </c>
      <c r="V153" s="259" t="n"/>
      <c r="W153" s="250" t="n"/>
      <c r="X153" s="147" t="n"/>
      <c r="Y153" s="250" t="n">
        <v>5</v>
      </c>
      <c r="Z153" s="250" t="n"/>
      <c r="AA153" s="57" t="n"/>
    </row>
    <row r="154" customFormat="1" s="58">
      <c r="C154" s="59" t="n"/>
      <c r="D154" s="60" t="n"/>
      <c r="E154" s="60" t="n"/>
      <c r="G154" s="64" t="n"/>
      <c r="H154" s="64" t="n"/>
      <c r="I154" s="99" t="n"/>
      <c r="J154" s="99" t="n"/>
      <c r="K154" s="99" t="n"/>
      <c r="L154" s="99" t="n"/>
      <c r="M154" s="99" t="n"/>
      <c r="N154" s="99" t="n"/>
      <c r="O154" s="99" t="n"/>
      <c r="P154" s="99" t="n"/>
      <c r="W154" s="167" t="n"/>
      <c r="X154" s="147">
        <f>'Additional information'!#REF!</f>
        <v/>
      </c>
      <c r="Y154" s="148">
        <f>IF(W154&lt;&gt;"",W154*X154,"")</f>
        <v/>
      </c>
      <c r="Z154" s="148">
        <f>IF(AND(W154&lt;&gt;"",U154="yes"),W154*X154,"")</f>
        <v/>
      </c>
      <c r="AA154" s="57" t="n"/>
    </row>
    <row r="155" ht="32.15" customHeight="1">
      <c r="A155" s="56" t="inlineStr">
        <is>
          <t>select_one change</t>
        </is>
      </c>
      <c r="B155" s="56" t="inlineStr">
        <is>
          <t>crp_area_change</t>
        </is>
      </c>
      <c r="C155" s="35" t="inlineStr">
        <is>
          <t>How did the ***area planted*** for ${crpmain} from #season# compare to last year?</t>
        </is>
      </c>
      <c r="D155" s="69" t="n"/>
      <c r="E155" s="69" t="n"/>
      <c r="F155" s="56" t="n"/>
      <c r="G155" s="70" t="n"/>
      <c r="H155" s="70" t="n"/>
      <c r="I155" s="98" t="inlineStr">
        <is>
          <t>true</t>
        </is>
      </c>
      <c r="J155" s="98" t="n"/>
      <c r="K155" s="98" t="n"/>
      <c r="L155" s="98" t="n"/>
      <c r="M155" s="100" t="inlineStr">
        <is>
          <t>${crp_main} != '777' and ${crp_main} != '888' and ${crp_main} != '999'</t>
        </is>
      </c>
      <c r="N155" s="98" t="n"/>
      <c r="O155" s="98" t="n"/>
      <c r="P155" s="98" t="n"/>
      <c r="U155" s="36" t="inlineStr">
        <is>
          <t>yes</t>
        </is>
      </c>
      <c r="W155" s="167" t="n">
        <v>25.43687438964844</v>
      </c>
      <c r="X155" s="147">
        <f>'Additional information'!#REF!</f>
        <v/>
      </c>
      <c r="Y155" s="148">
        <f>IF(W155&lt;&gt;"",W155*X155,"")</f>
        <v/>
      </c>
      <c r="Z155" s="148">
        <f>IF(AND(W155&lt;&gt;"",U155="yes"),W155*X155,"")</f>
        <v/>
      </c>
    </row>
    <row r="156">
      <c r="A156" s="248" t="inlineStr">
        <is>
          <t>select_multiple reasons_less_planted</t>
        </is>
      </c>
      <c r="B156" s="248" t="inlineStr">
        <is>
          <t>o_less_area_reasons</t>
        </is>
      </c>
      <c r="C156" s="249" t="inlineStr">
        <is>
          <t xml:space="preserve">if planting less, what were the main issues? </t>
        </is>
      </c>
      <c r="D156" s="266" t="n"/>
      <c r="E156" s="266" t="n"/>
      <c r="F156" s="248" t="n"/>
      <c r="G156" s="248" t="n"/>
      <c r="H156" s="248" t="n"/>
      <c r="I156" s="254" t="inlineStr">
        <is>
          <t>true</t>
        </is>
      </c>
      <c r="J156" s="254" t="n"/>
      <c r="K156" s="254" t="n"/>
      <c r="L156" s="254" t="n"/>
      <c r="M156" s="255" t="inlineStr">
        <is>
          <t>${crp_area_change}= '4' or ${crp_area_change}= '5'</t>
        </is>
      </c>
      <c r="N156" s="254" t="n"/>
      <c r="O156" s="254" t="n"/>
      <c r="P156" s="254" t="n"/>
      <c r="Q156" s="248" t="n"/>
      <c r="R156" s="248" t="n"/>
      <c r="S156" s="248" t="n"/>
      <c r="T156" s="248" t="n"/>
      <c r="U156" s="259" t="inlineStr">
        <is>
          <t>Yes</t>
        </is>
      </c>
      <c r="W156" s="167" t="n"/>
      <c r="Y156" s="250" t="n">
        <v>10</v>
      </c>
      <c r="Z156" s="252" t="n"/>
    </row>
    <row r="157">
      <c r="A157" s="256" t="inlineStr">
        <is>
          <t>select_one reasons_waterlack</t>
        </is>
      </c>
      <c r="B157" s="248" t="inlineStr">
        <is>
          <t>o_reasons_waterlack</t>
        </is>
      </c>
      <c r="C157" s="249" t="inlineStr">
        <is>
          <t>what was the main reason for lack of water?</t>
        </is>
      </c>
      <c r="D157" s="266" t="n"/>
      <c r="E157" s="266" t="n"/>
      <c r="F157" s="248" t="n"/>
      <c r="G157" s="248" t="n"/>
      <c r="H157" s="248" t="n"/>
      <c r="I157" s="254" t="inlineStr">
        <is>
          <t>true</t>
        </is>
      </c>
      <c r="J157" s="254" t="n"/>
      <c r="K157" s="254" t="n"/>
      <c r="L157" s="254" t="n"/>
      <c r="M157" s="255" t="inlineStr">
        <is>
          <t>${o_less_area_reasons} = '2'</t>
        </is>
      </c>
      <c r="N157" s="254" t="n"/>
      <c r="O157" s="254" t="n"/>
      <c r="P157" s="254" t="n"/>
      <c r="Q157" s="248" t="n"/>
      <c r="R157" s="248" t="n"/>
      <c r="S157" s="248" t="n"/>
      <c r="T157" s="248" t="n"/>
      <c r="U157" s="259" t="inlineStr">
        <is>
          <t>Yes</t>
        </is>
      </c>
      <c r="W157" s="167" t="n"/>
      <c r="Y157" s="250" t="n">
        <v>10</v>
      </c>
      <c r="Z157" s="252" t="n"/>
    </row>
    <row r="158">
      <c r="A158" s="256" t="inlineStr">
        <is>
          <t>select_one reasons_accessinputs</t>
        </is>
      </c>
      <c r="B158" s="248" t="inlineStr">
        <is>
          <t>o_reasons_accessinputs</t>
        </is>
      </c>
      <c r="C158" s="249" t="inlineStr">
        <is>
          <t>What was the main reason for lack of other inputs?</t>
        </is>
      </c>
      <c r="D158" s="266" t="n"/>
      <c r="E158" s="266" t="n"/>
      <c r="F158" s="248" t="n"/>
      <c r="G158" s="248" t="n"/>
      <c r="H158" s="248" t="n"/>
      <c r="I158" s="254" t="inlineStr">
        <is>
          <t>true</t>
        </is>
      </c>
      <c r="J158" s="254" t="n"/>
      <c r="K158" s="254" t="n"/>
      <c r="L158" s="254" t="n"/>
      <c r="M158" s="255" t="inlineStr">
        <is>
          <t>${o_less_area_reasons} = '4'</t>
        </is>
      </c>
      <c r="N158" s="254" t="n"/>
      <c r="O158" s="254" t="n"/>
      <c r="P158" s="254" t="n"/>
      <c r="Q158" s="248" t="n"/>
      <c r="R158" s="248" t="n"/>
      <c r="S158" s="248" t="n"/>
      <c r="T158" s="248" t="n"/>
      <c r="U158" s="259" t="inlineStr">
        <is>
          <t>Yes</t>
        </is>
      </c>
      <c r="W158" s="167" t="n"/>
      <c r="Y158" s="250" t="n">
        <v>10</v>
      </c>
      <c r="Z158" s="252" t="n"/>
    </row>
    <row r="159">
      <c r="A159" s="56" t="n"/>
      <c r="B159" s="56" t="n"/>
      <c r="C159" s="35" t="n"/>
      <c r="D159" s="69" t="n"/>
      <c r="E159" s="69" t="n"/>
      <c r="F159" s="56" t="n"/>
      <c r="G159" s="70" t="n"/>
      <c r="H159" s="70" t="n"/>
      <c r="I159" s="98" t="n"/>
      <c r="J159" s="98" t="n"/>
      <c r="K159" s="98" t="n"/>
      <c r="L159" s="98" t="n"/>
      <c r="M159" s="100" t="n"/>
      <c r="N159" s="98" t="n"/>
      <c r="O159" s="98" t="n"/>
      <c r="P159" s="98" t="n"/>
      <c r="W159" s="167" t="n"/>
      <c r="Y159" s="148" t="n"/>
      <c r="Z159" s="148" t="n"/>
    </row>
    <row r="160" ht="32.15" customHeight="1">
      <c r="A160" s="56" t="inlineStr">
        <is>
          <t>select_one change</t>
        </is>
      </c>
      <c r="B160" s="56" t="inlineStr">
        <is>
          <t>crp_harv_change</t>
        </is>
      </c>
      <c r="C160" s="35" t="inlineStr">
        <is>
          <t xml:space="preserve">How does the #expected or nothing# ***harvest*** of ${crpmain} in the #season# compare to last year? </t>
        </is>
      </c>
      <c r="D160" s="69" t="n"/>
      <c r="E160" s="69" t="n"/>
      <c r="G160" s="70" t="n"/>
      <c r="H160" s="70" t="n"/>
      <c r="I160" s="98" t="inlineStr">
        <is>
          <t>true</t>
        </is>
      </c>
      <c r="J160" s="98" t="n"/>
      <c r="K160" s="98" t="n"/>
      <c r="L160" s="98" t="n"/>
      <c r="M160" s="100" t="inlineStr">
        <is>
          <t>${crp_main} != '777' and ${crp_main} != '888' and ${crp_main} != '999'</t>
        </is>
      </c>
      <c r="N160" s="98" t="n"/>
      <c r="O160" s="98" t="n"/>
      <c r="P160" s="98" t="n"/>
      <c r="U160" s="36" t="inlineStr">
        <is>
          <t>yes</t>
        </is>
      </c>
      <c r="W160" s="167" t="n">
        <v>19.36494636535645</v>
      </c>
      <c r="X160" s="147">
        <f>'Additional information'!#REF!</f>
        <v/>
      </c>
      <c r="Y160" s="148">
        <f>IF(W160&lt;&gt;"",W160*X160,"")</f>
        <v/>
      </c>
      <c r="Z160" s="148">
        <f>IF(AND(W160&lt;&gt;"",U160="yes"),W160*X160,"")</f>
        <v/>
      </c>
    </row>
    <row r="161" customFormat="1" s="58">
      <c r="C161" s="59" t="n"/>
      <c r="D161" s="60" t="n"/>
      <c r="E161" s="60" t="n"/>
      <c r="G161" s="64" t="n"/>
      <c r="H161" s="64" t="n"/>
      <c r="I161" s="99" t="n"/>
      <c r="J161" s="99" t="n"/>
      <c r="K161" s="99" t="n"/>
      <c r="L161" s="99" t="n"/>
      <c r="M161" s="99" t="n"/>
      <c r="N161" s="99" t="n"/>
      <c r="O161" s="99" t="n"/>
      <c r="P161" s="99" t="n"/>
      <c r="W161" s="167" t="n"/>
      <c r="X161" s="147">
        <f>'Additional information'!#REF!</f>
        <v/>
      </c>
      <c r="Y161" s="148">
        <f>IF(W161&lt;&gt;"",W161*X161,"")</f>
        <v/>
      </c>
      <c r="Z161" s="148">
        <f>IF(AND(W161&lt;&gt;"",U161="yes"),W161*X161,"")</f>
        <v/>
      </c>
      <c r="AA161" s="57" t="n"/>
    </row>
    <row r="162" ht="32.15" customHeight="1">
      <c r="A162" s="56" t="inlineStr">
        <is>
          <t>select_one yes_no</t>
        </is>
      </c>
      <c r="B162" s="56" t="inlineStr">
        <is>
          <t>crp_proddif</t>
        </is>
      </c>
      <c r="C162" s="35" t="inlineStr">
        <is>
          <t>Has your household faced any significant difficulty ***in terms of crop production*** in #season#?</t>
        </is>
      </c>
      <c r="D162" s="69" t="n"/>
      <c r="E162" s="69" t="n"/>
      <c r="G162" s="70" t="n"/>
      <c r="H162" s="70" t="n"/>
      <c r="I162" s="98" t="inlineStr">
        <is>
          <t>true</t>
        </is>
      </c>
      <c r="J162" s="98" t="n"/>
      <c r="K162" s="98" t="n"/>
      <c r="L162" s="98" t="n"/>
      <c r="M162" s="100" t="inlineStr">
        <is>
          <t>${crp_main} != '888' and ${crp_main} != '999' and ${crp_main_check} != 1</t>
        </is>
      </c>
      <c r="N162" s="98" t="n"/>
      <c r="O162" s="98" t="n"/>
      <c r="P162" s="98" t="n"/>
      <c r="U162" s="36" t="inlineStr">
        <is>
          <t>yes</t>
        </is>
      </c>
      <c r="W162" s="167" t="n">
        <v>13.45886421203613</v>
      </c>
      <c r="X162" s="147">
        <f>'Additional information'!#REF!</f>
        <v/>
      </c>
      <c r="Y162" s="148">
        <f>IF(W162&lt;&gt;"",W162*X162,"")</f>
        <v/>
      </c>
      <c r="Z162" s="148">
        <f>IF(AND(W162&lt;&gt;"",U162="yes"),W162*X162,"")</f>
        <v/>
      </c>
    </row>
    <row r="163" ht="16" customHeight="1">
      <c r="A163" s="56" t="inlineStr">
        <is>
          <t>select_multiple cropproddiff</t>
        </is>
      </c>
      <c r="B163" s="56" t="inlineStr">
        <is>
          <t>crp_proddif_</t>
        </is>
      </c>
      <c r="C163" s="35" t="inlineStr">
        <is>
          <t>Which difficulties has your household faced with crop production in #season#?</t>
        </is>
      </c>
      <c r="D163" s="69" t="n"/>
      <c r="E163" s="69" t="n"/>
      <c r="F163" s="36" t="inlineStr">
        <is>
          <t>[INSTRUCTIONS: MULTIPLE RESPONSES POSSIBLE. SELECT OPTION(S) THAT BEST FIT THE INFORMATION PROVIDED BY THE RESPONDENTS.]</t>
        </is>
      </c>
      <c r="G163" s="70" t="n"/>
      <c r="H163" s="70" t="n"/>
      <c r="I163" s="98" t="inlineStr">
        <is>
          <t>true</t>
        </is>
      </c>
      <c r="J163" s="98" t="n"/>
      <c r="K163" s="100" t="inlineStr">
        <is>
          <t>if(selected(., 'ref') or selected(., 'dk'), count-selected(.) = 1, count-selected(.) &gt;= 1)</t>
        </is>
      </c>
      <c r="L163" s="98" t="n"/>
      <c r="M163" s="100" t="inlineStr">
        <is>
          <t>${crp_proddif} = '1' and (${crp_main} != '888' and ${crp_main} != '999' and ${crp_main_check} != 1)</t>
        </is>
      </c>
      <c r="N163" s="98" t="n"/>
      <c r="O163" s="98" t="n"/>
      <c r="P163" s="98" t="n"/>
      <c r="U163" s="36" t="inlineStr">
        <is>
          <t>yes</t>
        </is>
      </c>
      <c r="W163" s="167" t="n">
        <v>37.52328872680664</v>
      </c>
      <c r="X163" s="147">
        <f>'Additional information'!#REF!</f>
        <v/>
      </c>
      <c r="Y163" s="148">
        <f>IF(W163&lt;&gt;"",W163*X163,"")</f>
        <v/>
      </c>
      <c r="Z163" s="148">
        <f>IF(AND(W163&lt;&gt;"",U163="yes"),W163*X163,"")</f>
        <v/>
      </c>
    </row>
    <row r="164" ht="32.15" customHeight="1">
      <c r="A164" s="254" t="inlineStr">
        <is>
          <t>text</t>
        </is>
      </c>
      <c r="B164" s="254" t="inlineStr">
        <is>
          <t>o_pest_disease</t>
        </is>
      </c>
      <c r="C164" s="257" t="inlineStr">
        <is>
          <t>Which diseases affected your crop production in the past three months? (open-ended)</t>
        </is>
      </c>
      <c r="D164" s="266" t="n"/>
      <c r="E164" s="266" t="n"/>
      <c r="F164" s="248" t="n"/>
      <c r="G164" s="248" t="n"/>
      <c r="H164" s="248" t="n"/>
      <c r="I164" s="254" t="inlineStr">
        <is>
          <t>true</t>
        </is>
      </c>
      <c r="J164" s="254" t="n"/>
      <c r="K164" s="254" t="n"/>
      <c r="L164" s="254" t="n"/>
      <c r="M164" s="254" t="inlineStr">
        <is>
          <t>selected(${crp_proddif_}, 'plant_disease')</t>
        </is>
      </c>
      <c r="N164" s="267" t="n"/>
      <c r="O164" s="267" t="n"/>
      <c r="P164" s="267" t="n"/>
      <c r="Q164" s="248" t="n"/>
      <c r="R164" s="248" t="n"/>
      <c r="S164" s="248" t="n"/>
      <c r="T164" s="248" t="n"/>
      <c r="U164" s="248" t="n"/>
      <c r="V164" s="248" t="n"/>
      <c r="W164" s="250" t="n"/>
      <c r="X164" s="251" t="n"/>
      <c r="Y164" s="252" t="n">
        <v>10</v>
      </c>
      <c r="Z164" s="252" t="n"/>
    </row>
    <row r="165" ht="16" customFormat="1" customHeight="1" s="58">
      <c r="A165" s="210" t="inlineStr">
        <is>
          <t>select_multiple plotaccess</t>
        </is>
      </c>
      <c r="B165" s="210" t="inlineStr">
        <is>
          <t>crp_plot</t>
        </is>
      </c>
      <c r="C165" s="217" t="inlineStr">
        <is>
          <t>Why are you unable to access your land?</t>
        </is>
      </c>
      <c r="D165" s="60" t="n"/>
      <c r="E165" s="60" t="n"/>
      <c r="F165" s="210" t="inlineStr">
        <is>
          <t>[INSTRUCTIONS: MULTIPLE RESPONSES POSSIBLE.]</t>
        </is>
      </c>
      <c r="G165" s="64" t="n"/>
      <c r="H165" s="64" t="n"/>
      <c r="I165" s="211" t="inlineStr">
        <is>
          <t>true</t>
        </is>
      </c>
      <c r="J165" s="211" t="n"/>
      <c r="K165" s="211" t="inlineStr">
        <is>
          <t>if(selected(., 'ref') or selected(., 'dk'), count-selected(.) = 1, count-selected(.) &gt;= 1)</t>
        </is>
      </c>
      <c r="L165" s="211" t="n"/>
      <c r="M165" s="211" t="inlineStr">
        <is>
          <t>selected(${crp_proddif_}, 'access_plot')</t>
        </is>
      </c>
      <c r="N165" s="211" t="n"/>
      <c r="O165" s="211" t="n"/>
      <c r="P165" s="211" t="n"/>
      <c r="U165" s="58" t="inlineStr">
        <is>
          <t>no</t>
        </is>
      </c>
      <c r="W165" s="167" t="n">
        <v>17</v>
      </c>
      <c r="X165" s="147">
        <f>'Additional information'!#REF!</f>
        <v/>
      </c>
      <c r="Y165" s="148">
        <f>IF(W165&lt;&gt;"",W165*X165,"")</f>
        <v/>
      </c>
      <c r="Z165" s="148">
        <f>IF(AND(W165&lt;&gt;"",U165="yes"),W165*X165,"")</f>
        <v/>
      </c>
      <c r="AA165" s="57" t="n"/>
    </row>
    <row r="166" ht="16" customFormat="1" customHeight="1" s="58">
      <c r="A166" s="210" t="inlineStr">
        <is>
          <t>text</t>
        </is>
      </c>
      <c r="B166" s="210" t="inlineStr">
        <is>
          <t>crp_plot_otherspecify</t>
        </is>
      </c>
      <c r="C166" s="217" t="inlineStr">
        <is>
          <t>If other, specify.</t>
        </is>
      </c>
      <c r="D166" s="60" t="n"/>
      <c r="E166" s="60" t="n"/>
      <c r="F166" s="210" t="inlineStr">
        <is>
          <t>[INSTRUCTIONS: RECORD THE OPEN RESPONSE GIVEN IN FEW WORDS. ENTER 888 FOR DON'T KNOW AND 999 FOR REFUSED]</t>
        </is>
      </c>
      <c r="G166" s="64" t="n"/>
      <c r="H166" s="64" t="n"/>
      <c r="I166" s="211" t="inlineStr">
        <is>
          <t>true</t>
        </is>
      </c>
      <c r="J166" s="211" t="n"/>
      <c r="K166" s="211" t="n"/>
      <c r="L166" s="211" t="n"/>
      <c r="M166" s="211" t="inlineStr">
        <is>
          <t>selected(${crp_plot}, 'other')</t>
        </is>
      </c>
      <c r="N166" s="210" t="n"/>
      <c r="O166" s="211" t="n"/>
      <c r="P166" s="211" t="n"/>
      <c r="Q166" s="36" t="n"/>
      <c r="U166" s="58" t="inlineStr">
        <is>
          <t>no</t>
        </is>
      </c>
      <c r="W166" s="171" t="n"/>
      <c r="X166" s="152">
        <f>1</f>
        <v/>
      </c>
      <c r="Y166" s="151">
        <f>IF(W166&lt;&gt;"",W166*X166,"")</f>
        <v/>
      </c>
      <c r="Z166" s="151">
        <f>IF(AND(W166&lt;&gt;"",U166="yes"),W166*X166,"")</f>
        <v/>
      </c>
    </row>
    <row r="167">
      <c r="D167" s="69" t="n"/>
      <c r="E167" s="69" t="n"/>
      <c r="G167" s="70" t="n"/>
      <c r="H167" s="70" t="n"/>
      <c r="M167" s="110" t="n"/>
      <c r="W167" s="167" t="n"/>
      <c r="X167" s="147">
        <f>'Additional information'!#REF!</f>
        <v/>
      </c>
      <c r="Y167" s="148">
        <f>IF(W167&lt;&gt;"",W167*X167,"")</f>
        <v/>
      </c>
      <c r="Z167" s="148">
        <f>IF(AND(W167&lt;&gt;"",U167="yes"),W167*X167,"")</f>
        <v/>
      </c>
    </row>
    <row r="168" ht="32.15" customFormat="1" customHeight="1" s="58">
      <c r="A168" s="58" t="inlineStr">
        <is>
          <t>select_one storage</t>
        </is>
      </c>
      <c r="B168" s="58" t="inlineStr">
        <is>
          <t>crp_storage</t>
        </is>
      </c>
      <c r="C168" s="235" t="inlineStr">
        <is>
          <t>Last year, what proportion of your ${crpmain} stock did you lose [to pests, rotting, mould, theft, conflict, etc.] after the harvest?</t>
        </is>
      </c>
      <c r="D168" s="60" t="n"/>
      <c r="E168" s="60" t="n"/>
      <c r="G168" s="64" t="n"/>
      <c r="H168" s="64" t="n"/>
      <c r="I168" s="99" t="inlineStr">
        <is>
          <t>true</t>
        </is>
      </c>
      <c r="J168" s="99" t="n"/>
      <c r="K168" s="99" t="n"/>
      <c r="L168" s="99" t="n"/>
      <c r="M168" s="99" t="inlineStr">
        <is>
          <t>${crp_main} != '888' and ${crp_main} != '999' and ${crp_main} != '777'</t>
        </is>
      </c>
      <c r="N168" s="99" t="n"/>
      <c r="O168" s="99" t="n"/>
      <c r="P168" s="99" t="n"/>
      <c r="U168" s="58" t="inlineStr">
        <is>
          <t>no</t>
        </is>
      </c>
      <c r="W168" s="167" t="n">
        <v>17</v>
      </c>
      <c r="X168" s="147">
        <f>'Additional information'!#REF!</f>
        <v/>
      </c>
      <c r="Y168" s="148">
        <f>IF(W168&lt;&gt;"",W168*X168,"")</f>
        <v/>
      </c>
      <c r="Z168" s="148">
        <f>IF(AND(W168&lt;&gt;"",U168="yes"),W168*X168,"")</f>
        <v/>
      </c>
      <c r="AA168" s="57" t="n"/>
    </row>
    <row r="169" ht="16" customFormat="1" customHeight="1" s="58">
      <c r="A169" s="210" t="inlineStr">
        <is>
          <t>select_multiple storage_reason</t>
        </is>
      </c>
      <c r="B169" s="210" t="inlineStr">
        <is>
          <t>crp_storage_</t>
        </is>
      </c>
      <c r="C169" s="217" t="inlineStr">
        <is>
          <t>What was the reason for your stock loss after the harvest</t>
        </is>
      </c>
      <c r="D169" s="60" t="n"/>
      <c r="E169" s="60" t="n"/>
      <c r="F169" s="210" t="inlineStr">
        <is>
          <t>[INSTRUCTIONS: MULTIPLE RESPONSES POSSIBLE.]</t>
        </is>
      </c>
      <c r="G169" s="64" t="n"/>
      <c r="H169" s="64" t="n"/>
      <c r="I169" s="211" t="n"/>
      <c r="J169" s="211" t="n"/>
      <c r="K169" s="211" t="inlineStr">
        <is>
          <t>if(selected(., 'ref') or selected(., 'dk'), count-selected(.) = 1, count-selected(.) &gt;= 1)</t>
        </is>
      </c>
      <c r="L169" s="211" t="n"/>
      <c r="M169" s="211" t="inlineStr">
        <is>
          <t>${crp_storage} &gt; 1 and ${crp_storage} &lt; 7</t>
        </is>
      </c>
      <c r="N169" s="211" t="n"/>
      <c r="O169" s="211" t="n"/>
      <c r="P169" s="211" t="n"/>
      <c r="W169" s="167" t="n"/>
      <c r="X169" s="147" t="n"/>
      <c r="Y169" s="148" t="n"/>
      <c r="Z169" s="148" t="n"/>
      <c r="AA169" s="57" t="n"/>
    </row>
    <row r="170" ht="16" customFormat="1" customHeight="1" s="58">
      <c r="A170" s="210" t="inlineStr">
        <is>
          <t>text</t>
        </is>
      </c>
      <c r="B170" s="210" t="inlineStr">
        <is>
          <t>crp_storage_otherspecify</t>
        </is>
      </c>
      <c r="C170" s="217" t="inlineStr">
        <is>
          <t>If other, specify.</t>
        </is>
      </c>
      <c r="D170" s="60" t="n"/>
      <c r="E170" s="60" t="n"/>
      <c r="F170" s="210" t="inlineStr">
        <is>
          <t>[INSTRUCTIONS: RECORD THE OPEN RESPONSE GIVEN IN FEW WORDS. ENTER 888 FOR DON'T KNOW AND 999 FOR REFUSED]</t>
        </is>
      </c>
      <c r="G170" s="64" t="n"/>
      <c r="H170" s="64" t="n"/>
      <c r="I170" s="211" t="inlineStr">
        <is>
          <t>true</t>
        </is>
      </c>
      <c r="J170" s="211" t="n"/>
      <c r="K170" s="211" t="n"/>
      <c r="L170" s="211" t="n"/>
      <c r="M170" s="211" t="inlineStr">
        <is>
          <t>selected(${crp_plot}, 'other')</t>
        </is>
      </c>
      <c r="N170" s="210" t="n"/>
      <c r="O170" s="211" t="n"/>
      <c r="P170" s="211" t="n"/>
      <c r="Q170" s="36" t="n"/>
      <c r="U170" s="58" t="inlineStr">
        <is>
          <t>no</t>
        </is>
      </c>
      <c r="W170" s="171" t="n"/>
      <c r="X170" s="152">
        <f>1</f>
        <v/>
      </c>
      <c r="Y170" s="151">
        <f>IF(W170&lt;&gt;"",W170*X170,"")</f>
        <v/>
      </c>
      <c r="Z170" s="151">
        <f>IF(AND(W170&lt;&gt;"",U170="yes"),W170*X170,"")</f>
        <v/>
      </c>
    </row>
    <row r="171" customFormat="1" s="58">
      <c r="C171" s="59" t="n"/>
      <c r="D171" s="59" t="n"/>
      <c r="E171" s="59" t="n"/>
      <c r="I171" s="99" t="n"/>
      <c r="J171" s="99" t="n"/>
      <c r="K171" s="99" t="n"/>
      <c r="L171" s="99" t="n"/>
      <c r="M171" s="99" t="n"/>
      <c r="O171" s="99" t="n"/>
      <c r="P171" s="99" t="n"/>
      <c r="Q171" s="36" t="n"/>
      <c r="W171" s="171" t="n"/>
      <c r="X171" s="152" t="n"/>
      <c r="Y171" s="151" t="n"/>
      <c r="Z171" s="151" t="n"/>
    </row>
    <row r="172" ht="16" customFormat="1" customHeight="1" s="58">
      <c r="A172" s="248" t="inlineStr">
        <is>
          <t>select_one yes_no</t>
        </is>
      </c>
      <c r="B172" s="248" t="inlineStr">
        <is>
          <t>o_cultivation_flooded</t>
        </is>
      </c>
      <c r="C172" s="266" t="inlineStr">
        <is>
          <t>Did the floods affect your cultivation?</t>
        </is>
      </c>
      <c r="D172" s="258" t="n"/>
      <c r="E172" s="258" t="n"/>
      <c r="F172" s="259" t="n"/>
      <c r="G172" s="259" t="n"/>
      <c r="H172" s="259" t="n"/>
      <c r="I172" s="254" t="inlineStr">
        <is>
          <t>true</t>
        </is>
      </c>
      <c r="J172" s="260" t="n"/>
      <c r="K172" s="260" t="n"/>
      <c r="L172" s="259" t="n"/>
      <c r="M172" s="254" t="inlineStr">
        <is>
          <t>selected(${shock}, 'flood')</t>
        </is>
      </c>
      <c r="N172" s="259" t="n"/>
      <c r="O172" s="260" t="n"/>
      <c r="P172" s="260" t="n"/>
      <c r="Q172" s="248" t="n"/>
      <c r="R172" s="259" t="n"/>
      <c r="S172" s="259" t="n"/>
      <c r="T172" s="259" t="n"/>
      <c r="U172" s="259" t="n"/>
      <c r="V172" s="259" t="n"/>
      <c r="W172" s="275" t="n"/>
      <c r="X172" s="276" t="n"/>
      <c r="Y172" s="277" t="n">
        <v>5</v>
      </c>
      <c r="Z172" s="277" t="n"/>
    </row>
    <row r="173" ht="16" customFormat="1" customHeight="1" s="58">
      <c r="A173" s="247" t="inlineStr">
        <is>
          <t>decimal</t>
        </is>
      </c>
      <c r="B173" s="248" t="inlineStr">
        <is>
          <t>o_landsize_flooded</t>
        </is>
      </c>
      <c r="C173" s="266" t="inlineStr">
        <is>
          <t>What size of land was flooded?</t>
        </is>
      </c>
      <c r="D173" s="258" t="n"/>
      <c r="E173" s="258" t="n"/>
      <c r="F173" s="259" t="n"/>
      <c r="G173" s="259" t="n"/>
      <c r="H173" s="259" t="n"/>
      <c r="I173" s="254" t="inlineStr">
        <is>
          <t>true</t>
        </is>
      </c>
      <c r="J173" s="260" t="n"/>
      <c r="K173" s="255" t="inlineStr">
        <is>
          <t>. &gt;= 0</t>
        </is>
      </c>
      <c r="L173" s="259" t="n"/>
      <c r="M173" s="255" t="inlineStr">
        <is>
          <t xml:space="preserve">${o_cultivation_flooded} = '1' </t>
        </is>
      </c>
      <c r="N173" s="259" t="n"/>
      <c r="O173" s="260" t="n"/>
      <c r="P173" s="260" t="n"/>
      <c r="Q173" s="248" t="n"/>
      <c r="R173" s="259" t="n"/>
      <c r="S173" s="259" t="n"/>
      <c r="T173" s="259" t="n"/>
      <c r="U173" s="259" t="n"/>
      <c r="V173" s="259" t="n"/>
      <c r="W173" s="275" t="n"/>
      <c r="X173" s="276" t="n"/>
      <c r="Y173" s="277" t="n">
        <v>7</v>
      </c>
      <c r="Z173" s="277" t="n"/>
    </row>
    <row r="174" ht="16" customFormat="1" customHeight="1" s="58">
      <c r="A174" s="247" t="inlineStr">
        <is>
          <t>select_one landsize_unit</t>
        </is>
      </c>
      <c r="B174" s="248" t="inlineStr">
        <is>
          <t>o_unit_of_measurement</t>
        </is>
      </c>
      <c r="C174" s="266" t="inlineStr">
        <is>
          <t xml:space="preserve">Unit of measurement for land size: </t>
        </is>
      </c>
      <c r="D174" s="258" t="n"/>
      <c r="E174" s="258" t="n"/>
      <c r="F174" s="259" t="n"/>
      <c r="G174" s="259" t="n"/>
      <c r="H174" s="259" t="n"/>
      <c r="I174" s="254" t="inlineStr">
        <is>
          <t>true</t>
        </is>
      </c>
      <c r="J174" s="260" t="n"/>
      <c r="K174" s="260" t="n"/>
      <c r="L174" s="259" t="n"/>
      <c r="M174" s="255" t="inlineStr">
        <is>
          <t xml:space="preserve">${o_cultivation_flooded} = '1' </t>
        </is>
      </c>
      <c r="N174" s="259" t="n"/>
      <c r="O174" s="260" t="n"/>
      <c r="P174" s="260" t="n"/>
      <c r="Q174" s="248" t="n"/>
      <c r="R174" s="259" t="n"/>
      <c r="S174" s="259" t="n"/>
      <c r="T174" s="259" t="n"/>
      <c r="U174" s="259" t="n"/>
      <c r="V174" s="259" t="n"/>
      <c r="W174" s="275" t="n"/>
      <c r="X174" s="276" t="n"/>
      <c r="Y174" s="277" t="n">
        <v>5</v>
      </c>
      <c r="Z174" s="277" t="n"/>
    </row>
    <row r="175" ht="16" customFormat="1" customHeight="1" s="58">
      <c r="A175" s="247" t="inlineStr">
        <is>
          <t>select_multiple crop2</t>
        </is>
      </c>
      <c r="B175" s="248" t="inlineStr">
        <is>
          <t>o_flooded_crp</t>
        </is>
      </c>
      <c r="C175" s="266" t="inlineStr">
        <is>
          <t>which crops yielded or are expected to yield less than half, due to the floods?</t>
        </is>
      </c>
      <c r="D175" s="258" t="n"/>
      <c r="E175" s="258" t="n"/>
      <c r="F175" s="259" t="n"/>
      <c r="G175" s="259" t="n"/>
      <c r="H175" s="259" t="n"/>
      <c r="I175" s="254" t="n"/>
      <c r="J175" s="260" t="n"/>
      <c r="K175" s="260" t="n"/>
      <c r="L175" s="259" t="n"/>
      <c r="M175" s="255" t="n"/>
      <c r="N175" s="259" t="n"/>
      <c r="O175" s="260" t="n"/>
      <c r="P175" s="260" t="n"/>
      <c r="Q175" s="248" t="n"/>
      <c r="R175" s="259" t="n"/>
      <c r="S175" s="259" t="n"/>
      <c r="T175" s="259" t="n"/>
      <c r="U175" s="259" t="n"/>
      <c r="V175" s="259" t="n"/>
      <c r="W175" s="275" t="n"/>
      <c r="X175" s="276" t="n"/>
      <c r="Y175" s="277" t="n"/>
      <c r="Z175" s="277" t="n"/>
    </row>
    <row r="176" ht="16" customFormat="1" customHeight="1" s="58">
      <c r="A176" s="248" t="inlineStr">
        <is>
          <t>select_one yes_no</t>
        </is>
      </c>
      <c r="B176" s="248" t="inlineStr">
        <is>
          <t>o_stored_seed_loss</t>
        </is>
      </c>
      <c r="C176" s="266" t="inlineStr">
        <is>
          <t>Was your stored seed/crop damaged due to floods?</t>
        </is>
      </c>
      <c r="D176" s="258" t="n"/>
      <c r="E176" s="258" t="n"/>
      <c r="F176" s="259" t="n"/>
      <c r="G176" s="259" t="n"/>
      <c r="H176" s="259" t="n"/>
      <c r="I176" s="254" t="inlineStr">
        <is>
          <t>true</t>
        </is>
      </c>
      <c r="J176" s="260" t="n"/>
      <c r="K176" s="260" t="n"/>
      <c r="L176" s="259" t="n"/>
      <c r="M176" s="255" t="inlineStr">
        <is>
          <t xml:space="preserve">${o_cultivation_flooded} = '1' </t>
        </is>
      </c>
      <c r="N176" s="259" t="n"/>
      <c r="O176" s="260" t="n"/>
      <c r="P176" s="260" t="n"/>
      <c r="Q176" s="248" t="n"/>
      <c r="R176" s="259" t="n"/>
      <c r="S176" s="259" t="n"/>
      <c r="T176" s="259" t="n"/>
      <c r="U176" s="259" t="n"/>
      <c r="V176" s="259" t="n"/>
      <c r="W176" s="275" t="n"/>
      <c r="X176" s="276" t="n"/>
      <c r="Y176" s="277" t="n">
        <v>10</v>
      </c>
      <c r="Z176" s="277" t="n"/>
    </row>
    <row r="177" ht="16" customFormat="1" customHeight="1" s="58">
      <c r="A177" s="248" t="inlineStr">
        <is>
          <t>decimal</t>
        </is>
      </c>
      <c r="B177" s="248" t="inlineStr">
        <is>
          <t>o_stored_seed_loss</t>
        </is>
      </c>
      <c r="C177" s="266" t="inlineStr">
        <is>
          <t>How much stored seed/crop did the flood destroy/washed away in Kilogram?</t>
        </is>
      </c>
      <c r="D177" s="258" t="n"/>
      <c r="E177" s="258" t="n"/>
      <c r="F177" s="259" t="n"/>
      <c r="G177" s="259" t="n"/>
      <c r="H177" s="259" t="n"/>
      <c r="I177" s="254" t="inlineStr">
        <is>
          <t>true</t>
        </is>
      </c>
      <c r="J177" s="260" t="n"/>
      <c r="K177" s="260" t="n"/>
      <c r="L177" s="259" t="n"/>
      <c r="M177" s="255" t="inlineStr">
        <is>
          <t xml:space="preserve">${o_stored_seed_loss} = '1' </t>
        </is>
      </c>
      <c r="N177" s="259" t="n"/>
      <c r="O177" s="260" t="n"/>
      <c r="P177" s="260" t="n"/>
      <c r="Q177" s="248" t="n"/>
      <c r="R177" s="259" t="n"/>
      <c r="S177" s="259" t="n"/>
      <c r="T177" s="259" t="n"/>
      <c r="U177" s="259" t="n"/>
      <c r="V177" s="259" t="n"/>
      <c r="W177" s="275" t="n"/>
      <c r="X177" s="276" t="n"/>
      <c r="Y177" s="277" t="n">
        <v>5</v>
      </c>
      <c r="Z177" s="277" t="n"/>
    </row>
    <row r="178" customFormat="1" s="58">
      <c r="C178" s="59" t="n"/>
      <c r="D178" s="59" t="n"/>
      <c r="E178" s="59" t="n"/>
      <c r="I178" s="99" t="n"/>
      <c r="J178" s="99" t="n"/>
      <c r="K178" s="99" t="n"/>
      <c r="L178" s="99" t="n"/>
      <c r="M178" s="99" t="n"/>
      <c r="O178" s="99" t="n"/>
      <c r="P178" s="99" t="n"/>
      <c r="Q178" s="36" t="n"/>
      <c r="W178" s="171" t="n"/>
      <c r="X178" s="152" t="n"/>
      <c r="Y178" s="151" t="n"/>
      <c r="Z178" s="151" t="n"/>
    </row>
    <row r="179" ht="16" customFormat="1" customHeight="1" s="58">
      <c r="A179" s="58" t="inlineStr">
        <is>
          <t>select_multiple crop2</t>
        </is>
      </c>
      <c r="B179" s="58" t="inlineStr">
        <is>
          <t>crp_all</t>
        </is>
      </c>
      <c r="C179" s="59" t="inlineStr">
        <is>
          <t>Do you cultivate any other crops aside from ${crpmain}, and if so which ones?</t>
        </is>
      </c>
      <c r="D179" s="60" t="n"/>
      <c r="E179" s="60" t="n"/>
      <c r="F179" s="58" t="inlineStr">
        <is>
          <t>[INSTRUCTIONS: "No other crops" APPEARS AT THE END OF THE LIST OF OPTIONS. SELECT ALL CROPS LISTED BY THE RESPONDENT.]</t>
        </is>
      </c>
      <c r="G179" s="64" t="n"/>
      <c r="H179" s="64" t="n"/>
      <c r="I179" s="99" t="inlineStr">
        <is>
          <t>true</t>
        </is>
      </c>
      <c r="J179" s="99" t="inlineStr">
        <is>
          <t>autocomplete</t>
        </is>
      </c>
      <c r="K179" s="99" t="inlineStr">
        <is>
          <t>if(selected(., '888') or selected(., '999') or selected(.,'666'), count-selected(.) = 1, count-selected(.) &gt;= 1)</t>
        </is>
      </c>
      <c r="L179" s="99" t="n"/>
      <c r="M179" s="99" t="inlineStr">
        <is>
          <t>${crp_main} != '888' and ${crp_main} != '999' and ${crp_main} != '777'</t>
        </is>
      </c>
      <c r="N179" s="99" t="inlineStr">
        <is>
          <t>not(selected(${crp_main}, name))</t>
        </is>
      </c>
      <c r="O179" s="105" t="n"/>
      <c r="P179" s="105" t="n"/>
      <c r="Q179" s="36" t="n"/>
      <c r="U179" s="58" t="inlineStr">
        <is>
          <t>no</t>
        </is>
      </c>
      <c r="W179" s="167" t="n">
        <v>17</v>
      </c>
      <c r="X179" s="147">
        <f>'Additional information'!#REF!</f>
        <v/>
      </c>
      <c r="Y179" s="148">
        <f>IF(W179&lt;&gt;"",W179*X179,"")</f>
        <v/>
      </c>
      <c r="Z179" s="148">
        <f>IF(AND(W179&lt;&gt;"",U179="yes"),W179*X179,"")</f>
        <v/>
      </c>
      <c r="AA179" s="57" t="n"/>
    </row>
    <row r="180">
      <c r="D180" s="69" t="n"/>
      <c r="E180" s="69" t="n"/>
      <c r="G180" s="70" t="n"/>
      <c r="H180" s="70" t="n"/>
      <c r="M180" s="110" t="n"/>
      <c r="W180" s="167" t="n"/>
      <c r="X180" s="147">
        <f>'Additional information'!#REF!</f>
        <v/>
      </c>
      <c r="Y180" s="148">
        <f>IF(W180&lt;&gt;"",W180*X180,"")</f>
        <v/>
      </c>
      <c r="Z180" s="148">
        <f>IF(AND(W180&lt;&gt;"",U180="yes"),W180*X180,"")</f>
        <v/>
      </c>
    </row>
    <row r="181" ht="16" customHeight="1" thickBot="1">
      <c r="A181" s="83" t="inlineStr">
        <is>
          <t>end_group</t>
        </is>
      </c>
      <c r="B181" s="83" t="n"/>
      <c r="C181" s="84" t="n"/>
      <c r="D181" s="91" t="n"/>
      <c r="E181" s="91" t="n"/>
      <c r="F181" s="193" t="n"/>
      <c r="G181" s="92" t="n"/>
      <c r="H181" s="92" t="n"/>
      <c r="I181" s="111" t="n"/>
      <c r="J181" s="111" t="n"/>
      <c r="K181" s="111" t="n"/>
      <c r="L181" s="111" t="n"/>
      <c r="M181" s="111" t="n"/>
      <c r="N181" s="111" t="n"/>
      <c r="O181" s="111" t="n"/>
      <c r="P181" s="111" t="n"/>
      <c r="W181" s="167" t="n"/>
      <c r="Y181" s="148">
        <f>IF(W181&lt;&gt;"",W181*X181,"")</f>
        <v/>
      </c>
      <c r="Z181" s="148">
        <f>IF(AND(W181&lt;&gt;"",U181="yes"),W181*X181,"")</f>
        <v/>
      </c>
    </row>
    <row r="182" ht="17.15" customFormat="1" customHeight="1" s="54" thickTop="1">
      <c r="A182" s="51" t="inlineStr">
        <is>
          <t>begin_group</t>
        </is>
      </c>
      <c r="B182" s="51" t="inlineStr">
        <is>
          <t>CropSales_group</t>
        </is>
      </c>
      <c r="C182" s="75" t="inlineStr">
        <is>
          <t>CROP MARKETING</t>
        </is>
      </c>
      <c r="D182" s="52" t="n"/>
      <c r="E182" s="52" t="n"/>
      <c r="F182" s="51" t="n"/>
      <c r="G182" s="53" t="n"/>
      <c r="H182" s="53" t="n"/>
      <c r="I182" s="103" t="inlineStr">
        <is>
          <t>false</t>
        </is>
      </c>
      <c r="J182" s="103" t="n"/>
      <c r="K182" s="103" t="n"/>
      <c r="L182" s="103" t="n"/>
      <c r="M182" s="104" t="inlineStr">
        <is>
          <t>${resp_agree} = '1' and (${income_main}='1' or ${income_sec}='1' or ${income_third}='1' or ${income_main}='2' or ${income_sec}='2' or ${income_third}='2' or ${income_main}='3' or ${income_sec}='3' or ${income_third}='3')</t>
        </is>
      </c>
      <c r="N182" s="103" t="n"/>
      <c r="O182" s="103" t="n"/>
      <c r="P182" s="103" t="n"/>
      <c r="U182" s="36" t="inlineStr">
        <is>
          <t>yes</t>
        </is>
      </c>
      <c r="W182" s="167" t="n"/>
      <c r="X182" s="147" t="n"/>
      <c r="Y182" s="148">
        <f>IF(W182&lt;&gt;"",W182*X182,"")</f>
        <v/>
      </c>
      <c r="Z182" s="148">
        <f>IF(AND(W182&lt;&gt;"",U182="yes"),W182*X182,"")</f>
        <v/>
      </c>
      <c r="AA182" s="55" t="n"/>
    </row>
    <row r="183">
      <c r="D183" s="69" t="n"/>
      <c r="E183" s="69" t="n"/>
      <c r="G183" s="70" t="n"/>
      <c r="H183" s="70" t="n"/>
      <c r="W183" s="167" t="n"/>
      <c r="X183" s="147">
        <f>'Additional information'!#REF!</f>
        <v/>
      </c>
      <c r="Y183" s="148" t="n"/>
      <c r="Z183" s="148" t="n"/>
    </row>
    <row r="184" ht="16" customHeight="1">
      <c r="A184" s="56" t="inlineStr">
        <is>
          <t>select_one yes_no</t>
        </is>
      </c>
      <c r="B184" s="56" t="inlineStr">
        <is>
          <t>crp_sales_main_1</t>
        </is>
      </c>
      <c r="C184" s="62" t="inlineStr">
        <is>
          <t xml:space="preserve">Was ${crpmain} the main crop that you sold over the *last 3 months*? </t>
        </is>
      </c>
      <c r="D184" s="69" t="n"/>
      <c r="E184" s="69" t="n"/>
      <c r="G184" s="70" t="n"/>
      <c r="H184" s="70" t="n"/>
      <c r="I184" s="100" t="inlineStr">
        <is>
          <t>true</t>
        </is>
      </c>
      <c r="K184" s="100" t="n"/>
      <c r="L184" s="100" t="n"/>
      <c r="M184" s="100" t="inlineStr">
        <is>
          <t>${crp_main} != '' and ${crp_main} != '888' and ${crp_main} != '999' and ${crp_main} != '777'</t>
        </is>
      </c>
      <c r="N184" s="61" t="n"/>
      <c r="O184" s="100" t="n"/>
      <c r="P184" s="100" t="n"/>
      <c r="U184" s="36" t="inlineStr">
        <is>
          <t>yes</t>
        </is>
      </c>
      <c r="W184" s="167" t="n">
        <v>13.55</v>
      </c>
      <c r="X184" s="147">
        <f>'Additional information'!#REF!</f>
        <v/>
      </c>
      <c r="Y184" s="148">
        <f>IF(W184&lt;&gt;"",W184*X184,"")</f>
        <v/>
      </c>
      <c r="Z184" s="148" t="n"/>
    </row>
    <row r="185" ht="16" customHeight="1">
      <c r="A185" s="56" t="inlineStr">
        <is>
          <t>select_one crop3</t>
        </is>
      </c>
      <c r="B185" s="56" t="inlineStr">
        <is>
          <t>crp_sales_main_2</t>
        </is>
      </c>
      <c r="C185" s="35" t="inlineStr">
        <is>
          <t>What was the main crop that you sold over the *last 3 months*?</t>
        </is>
      </c>
      <c r="D185" s="69" t="n"/>
      <c r="E185" s="69" t="n"/>
      <c r="G185" s="70" t="n"/>
      <c r="H185" s="70" t="n"/>
      <c r="I185" s="100" t="inlineStr">
        <is>
          <t>true</t>
        </is>
      </c>
      <c r="J185" s="206" t="inlineStr">
        <is>
          <t>autocomplete</t>
        </is>
      </c>
      <c r="K185" s="100" t="n"/>
      <c r="L185" s="100" t="n"/>
      <c r="M185" s="100" t="inlineStr">
        <is>
          <t>${crp_sales_main_1}='2' or ${crp_sales_main_1}=''</t>
        </is>
      </c>
      <c r="N185" s="100" t="inlineStr">
        <is>
          <t>not(selected(${crp_main}, name))</t>
        </is>
      </c>
      <c r="O185" s="100" t="n"/>
      <c r="P185" s="100" t="n"/>
      <c r="U185" s="36" t="inlineStr">
        <is>
          <t>yes</t>
        </is>
      </c>
      <c r="W185" s="167" t="n">
        <v>13.55</v>
      </c>
      <c r="X185" s="147">
        <f>'Additional information'!#REF!</f>
        <v/>
      </c>
      <c r="Y185" s="148">
        <f>IF(W185&lt;&gt;"",W185*X185,"")</f>
        <v/>
      </c>
      <c r="Z185" s="148" t="n"/>
    </row>
    <row r="186">
      <c r="A186" s="56" t="inlineStr">
        <is>
          <t>calculate</t>
        </is>
      </c>
      <c r="B186" s="56" t="inlineStr">
        <is>
          <t>crp_salesmain</t>
        </is>
      </c>
      <c r="C186" s="35" t="n"/>
      <c r="D186" s="69" t="n"/>
      <c r="E186" s="69" t="n"/>
      <c r="G186" s="70" t="n"/>
      <c r="H186" s="70" t="n"/>
      <c r="I186" s="100" t="n"/>
      <c r="J186" s="100" t="n"/>
      <c r="K186" s="100" t="n"/>
      <c r="L186" s="100" t="n"/>
      <c r="M186" s="100" t="n"/>
      <c r="N186" s="100" t="n"/>
      <c r="O186" s="100" t="n"/>
      <c r="P186" s="100" t="inlineStr">
        <is>
          <t>if(${crp_sales_main_1}='1',${crp_main},${crp_sales_main_2})</t>
        </is>
      </c>
      <c r="U186" s="36" t="inlineStr">
        <is>
          <t>yes</t>
        </is>
      </c>
      <c r="W186" s="167" t="n"/>
      <c r="X186" s="147">
        <f>'Additional information'!#REF!</f>
        <v/>
      </c>
      <c r="Y186" s="148" t="n"/>
      <c r="Z186" s="148" t="n"/>
    </row>
    <row r="187">
      <c r="A187" s="56" t="inlineStr">
        <is>
          <t>calculate</t>
        </is>
      </c>
      <c r="B187" s="56" t="inlineStr">
        <is>
          <t>crp_sales_main</t>
        </is>
      </c>
      <c r="C187" s="35" t="n"/>
      <c r="D187" s="69" t="n"/>
      <c r="E187" s="69" t="n"/>
      <c r="G187" s="70" t="n"/>
      <c r="H187" s="70" t="n"/>
      <c r="I187" s="100" t="n"/>
      <c r="J187" s="100" t="n"/>
      <c r="K187" s="100" t="n"/>
      <c r="L187" s="100" t="n"/>
      <c r="M187" s="100" t="n"/>
      <c r="N187" s="100" t="n"/>
      <c r="O187" s="100" t="n"/>
      <c r="P187" s="100" t="inlineStr">
        <is>
          <t>if(${crp_sales_main_1}='1',${crpmain},jr:choice-name(${crp_sales_main_2},'${crp_sales_main_2}'))</t>
        </is>
      </c>
      <c r="U187" s="36" t="inlineStr">
        <is>
          <t>yes</t>
        </is>
      </c>
      <c r="W187" s="167" t="n"/>
      <c r="X187" s="147">
        <f>'Additional information'!#REF!</f>
        <v/>
      </c>
      <c r="Y187" s="148" t="n"/>
      <c r="Z187" s="148" t="n"/>
    </row>
    <row r="188">
      <c r="D188" s="69" t="n"/>
      <c r="E188" s="69" t="n"/>
      <c r="G188" s="70" t="n"/>
      <c r="H188" s="70" t="n"/>
      <c r="W188" s="167" t="n"/>
      <c r="X188" s="147">
        <f>'Additional information'!#REF!</f>
        <v/>
      </c>
      <c r="Y188" s="148" t="n"/>
      <c r="Z188" s="148" t="n"/>
    </row>
    <row r="189" ht="32.15" customHeight="1">
      <c r="A189" s="56" t="inlineStr">
        <is>
          <t>select_one yes_no</t>
        </is>
      </c>
      <c r="B189" s="56" t="inlineStr">
        <is>
          <t>crp_salesdif</t>
        </is>
      </c>
      <c r="C189" s="35" t="inlineStr">
        <is>
          <t>Has your household faced any significant difficulty in the last 3 months **selling** your ${crp_sales_main}?</t>
        </is>
      </c>
      <c r="D189" s="69" t="n"/>
      <c r="E189" s="69" t="n"/>
      <c r="F189" s="81" t="n"/>
      <c r="G189" s="87" t="n"/>
      <c r="H189" s="87" t="n"/>
      <c r="I189" s="98" t="inlineStr">
        <is>
          <t>true</t>
        </is>
      </c>
      <c r="J189" s="98" t="n"/>
      <c r="K189" s="98" t="n"/>
      <c r="L189" s="98" t="n"/>
      <c r="M189" s="100" t="inlineStr">
        <is>
          <t>${crp_salesmain}!='888' and ${crp_salesmain}!='999'</t>
        </is>
      </c>
      <c r="N189" s="98" t="n"/>
      <c r="O189" s="98" t="n"/>
      <c r="P189" s="98" t="n"/>
      <c r="U189" s="36" t="inlineStr">
        <is>
          <t>yes</t>
        </is>
      </c>
      <c r="W189" s="167" t="n">
        <v>12.68148708343506</v>
      </c>
      <c r="X189" s="147">
        <f>'Additional information'!#REF!</f>
        <v/>
      </c>
      <c r="Y189" s="148">
        <f>IF(W189&lt;&gt;"",W189*X189,"")</f>
        <v/>
      </c>
      <c r="Z189" s="148">
        <f>IF(AND(W189&lt;&gt;"",U189="yes"),W189*X189,"")</f>
        <v/>
      </c>
    </row>
    <row r="190" ht="32.15" customHeight="1">
      <c r="A190" s="56" t="inlineStr">
        <is>
          <t>select_multiple cropsalesdiff</t>
        </is>
      </c>
      <c r="B190" s="56" t="inlineStr">
        <is>
          <t>crp_saledif</t>
        </is>
      </c>
      <c r="C190" s="62" t="inlineStr">
        <is>
          <t xml:space="preserve">Which difficulties has your household faced in the last 3 months selling your ${crp_sales_main}? </t>
        </is>
      </c>
      <c r="D190" s="80" t="n"/>
      <c r="E190" s="80" t="n"/>
      <c r="F190" s="36" t="inlineStr">
        <is>
          <t>[INSTRUCTIONS: MULTIPLE RESPONSES POSSIBLE. SELECT OPTION(S) THAT BEST FIT THE INFORMATION PROVIDED BY THE RESPONDENTS.]</t>
        </is>
      </c>
      <c r="G190" s="70" t="n"/>
      <c r="H190" s="70" t="n"/>
      <c r="I190" s="98" t="inlineStr">
        <is>
          <t>true</t>
        </is>
      </c>
      <c r="J190" s="98" t="n"/>
      <c r="K190" s="100" t="inlineStr">
        <is>
          <t>if(selected(., 'dk') or selected(., 'ref'), count-selected(.) = 1, count-selected(.) &gt;= 1)</t>
        </is>
      </c>
      <c r="L190" s="98" t="n"/>
      <c r="M190" s="100" t="inlineStr">
        <is>
          <t xml:space="preserve">${crp_salesdif} = '1' </t>
        </is>
      </c>
      <c r="N190" s="98" t="n"/>
      <c r="O190" s="98" t="n"/>
      <c r="P190" s="98" t="n"/>
      <c r="U190" s="36" t="inlineStr">
        <is>
          <t>yes</t>
        </is>
      </c>
      <c r="W190" s="167" t="n">
        <v>22.61360931396484</v>
      </c>
      <c r="X190" s="147">
        <f>'Additional information'!#REF!</f>
        <v/>
      </c>
      <c r="Y190" s="148">
        <f>IF(W190&lt;&gt;"",W190*X190,"")</f>
        <v/>
      </c>
      <c r="Z190" s="148">
        <f>IF(AND(W190&lt;&gt;"",U190="yes"),W190*X190,"")</f>
        <v/>
      </c>
    </row>
    <row r="191">
      <c r="D191" s="69" t="n"/>
      <c r="E191" s="69" t="n"/>
      <c r="G191" s="70" t="n"/>
      <c r="H191" s="70" t="n"/>
      <c r="M191" s="110" t="n"/>
      <c r="W191" s="167" t="n"/>
      <c r="X191" s="147">
        <f>'Additional information'!#REF!</f>
        <v/>
      </c>
      <c r="Y191" s="148">
        <f>IF(W191&lt;&gt;"",W191*X191,"")</f>
        <v/>
      </c>
      <c r="Z191" s="148">
        <f>IF(AND(W191&lt;&gt;"",U191="yes"),W191*X191,"")</f>
        <v/>
      </c>
    </row>
    <row r="192" ht="32.15" customHeight="1">
      <c r="A192" s="56" t="inlineStr">
        <is>
          <t>select_one change</t>
        </is>
      </c>
      <c r="B192" s="56" t="inlineStr">
        <is>
          <t>crp_salesprice</t>
        </is>
      </c>
      <c r="C192" s="62" t="inlineStr">
        <is>
          <t>How does the current price of your household's ${crp_sales_main} compare to the average price in the same period of last year?</t>
        </is>
      </c>
      <c r="D192" s="80" t="n"/>
      <c r="E192" s="80" t="n"/>
      <c r="F192" s="88" t="inlineStr">
        <is>
          <t>[INSTRUCTIONS: INSIST ON THE MAIN PRODUCT MENTIONED.]</t>
        </is>
      </c>
      <c r="G192" s="87" t="n"/>
      <c r="H192" s="87" t="n"/>
      <c r="I192" s="98" t="inlineStr">
        <is>
          <t>true</t>
        </is>
      </c>
      <c r="J192" s="98" t="n"/>
      <c r="K192" s="98" t="n"/>
      <c r="L192" s="98" t="n"/>
      <c r="M192" s="100" t="inlineStr">
        <is>
          <t>${crp_salesmain}!='888' and ${crp_salesmain}!='999'</t>
        </is>
      </c>
      <c r="N192" s="98" t="n"/>
      <c r="O192" s="98" t="n"/>
      <c r="P192" s="98" t="n"/>
      <c r="U192" s="36" t="inlineStr">
        <is>
          <t>yes</t>
        </is>
      </c>
      <c r="W192" s="167" t="n">
        <v>21.70190811157227</v>
      </c>
      <c r="X192" s="147">
        <f>'Additional information'!#REF!</f>
        <v/>
      </c>
      <c r="Y192" s="148">
        <f>IF(W192&lt;&gt;"",W192*X192,"")</f>
        <v/>
      </c>
      <c r="Z192" s="148">
        <f>IF(AND(W192&lt;&gt;"",U192="yes"),W192*X192,"")</f>
        <v/>
      </c>
    </row>
    <row r="193" ht="16" customHeight="1">
      <c r="A193" s="248" t="inlineStr">
        <is>
          <t>select_one yes_no</t>
        </is>
      </c>
      <c r="B193" s="248" t="inlineStr">
        <is>
          <t>o_market_access</t>
        </is>
      </c>
      <c r="C193" s="253" t="inlineStr">
        <is>
          <t>Did the floods unable you to access market to sell your products?</t>
        </is>
      </c>
      <c r="D193" s="253" t="n"/>
      <c r="E193" s="253" t="n"/>
      <c r="F193" s="278" t="n"/>
      <c r="G193" s="278" t="n"/>
      <c r="H193" s="278" t="n"/>
      <c r="I193" s="254" t="inlineStr">
        <is>
          <t>true</t>
        </is>
      </c>
      <c r="J193" s="254" t="n"/>
      <c r="K193" s="254" t="n"/>
      <c r="L193" s="254" t="n"/>
      <c r="M193" s="254" t="inlineStr">
        <is>
          <t>selected(${shock}, 'flood')</t>
        </is>
      </c>
      <c r="N193" s="254" t="n"/>
      <c r="O193" s="254" t="n"/>
      <c r="P193" s="254" t="n"/>
      <c r="Q193" s="248" t="n"/>
      <c r="R193" s="248" t="n"/>
      <c r="S193" s="248" t="n"/>
      <c r="T193" s="248" t="n"/>
      <c r="U193" s="248" t="n"/>
      <c r="V193" s="248" t="n"/>
      <c r="W193" s="250" t="n"/>
      <c r="X193" s="251">
        <f>'Additional information'!#REF!</f>
        <v/>
      </c>
      <c r="Y193" s="252" t="n">
        <v>5</v>
      </c>
      <c r="Z193" s="148">
        <f>IF(AND(W193&lt;&gt;"",U193="yes"),W193*X193,"")</f>
        <v/>
      </c>
    </row>
    <row r="194" ht="16" customHeight="1" thickBot="1">
      <c r="A194" s="83" t="inlineStr">
        <is>
          <t>end_group</t>
        </is>
      </c>
      <c r="B194" s="83" t="n"/>
      <c r="C194" s="84" t="n"/>
      <c r="D194" s="91" t="n"/>
      <c r="E194" s="91" t="n"/>
      <c r="F194" s="83" t="n"/>
      <c r="G194" s="92" t="n"/>
      <c r="H194" s="92" t="n"/>
      <c r="I194" s="111" t="n"/>
      <c r="J194" s="111" t="n"/>
      <c r="K194" s="111" t="n"/>
      <c r="L194" s="111" t="n"/>
      <c r="M194" s="111" t="n"/>
      <c r="N194" s="111" t="n"/>
      <c r="O194" s="111" t="n"/>
      <c r="P194" s="111" t="n"/>
      <c r="W194" s="167" t="n"/>
      <c r="Y194" s="148">
        <f>IF(W194&lt;&gt;"",W194*X194,"")</f>
        <v/>
      </c>
      <c r="Z194" s="148">
        <f>IF(AND(W194&lt;&gt;"",U194="yes"),W194*X194,"")</f>
        <v/>
      </c>
    </row>
    <row r="195" ht="17.15" customFormat="1" customHeight="1" s="54" thickTop="1">
      <c r="A195" s="51" t="inlineStr">
        <is>
          <t>begin_group</t>
        </is>
      </c>
      <c r="B195" s="51" t="inlineStr">
        <is>
          <t>Livestock_group</t>
        </is>
      </c>
      <c r="C195" s="75" t="inlineStr">
        <is>
          <t>LIVESTOCK PRODUCTION</t>
        </is>
      </c>
      <c r="D195" s="52" t="n"/>
      <c r="E195" s="52" t="n"/>
      <c r="F195" s="51" t="n"/>
      <c r="G195" s="53" t="n"/>
      <c r="H195" s="53" t="n"/>
      <c r="I195" s="103" t="inlineStr">
        <is>
          <t>false</t>
        </is>
      </c>
      <c r="J195" s="103" t="n"/>
      <c r="K195" s="103" t="n"/>
      <c r="L195" s="103" t="n"/>
      <c r="M195" s="104" t="inlineStr">
        <is>
          <t>${resp_agree} = '1' and (${hh_agricactivity}='2' or ${hh_agricactivity} = '3' or ${income_main_ls_check}='1' or ${income_sec_ls_check}='1' or ${income_third_ls_check}='1')</t>
        </is>
      </c>
      <c r="N195" s="103" t="n"/>
      <c r="O195" s="103" t="n"/>
      <c r="P195" s="103" t="n"/>
      <c r="U195" s="36" t="inlineStr">
        <is>
          <t>yes</t>
        </is>
      </c>
      <c r="W195" s="167" t="n"/>
      <c r="X195" s="55" t="n"/>
      <c r="Y195" s="148">
        <f>IF(W195&lt;&gt;"",W195*X195,"")</f>
        <v/>
      </c>
      <c r="Z195" s="148">
        <f>IF(AND(W195&lt;&gt;"",U195="yes"),W195*X195,"")</f>
        <v/>
      </c>
      <c r="AA195" s="55" t="n"/>
    </row>
    <row r="196" ht="32.15" customHeight="1">
      <c r="A196" s="56" t="inlineStr">
        <is>
          <t>note</t>
        </is>
      </c>
      <c r="B196" s="56" t="inlineStr">
        <is>
          <t>ls_intro</t>
        </is>
      </c>
      <c r="C196" s="35" t="inlineStr">
        <is>
          <t xml:space="preserve">We will now ask you some questions about livestock production which apply to you and anyone in your household that is involved in livestock production or sales. </t>
        </is>
      </c>
      <c r="D196" s="69" t="n"/>
      <c r="E196" s="69" t="n"/>
      <c r="F196" s="56" t="n"/>
      <c r="G196" s="70" t="n"/>
      <c r="H196" s="70" t="n"/>
      <c r="I196" s="98" t="n"/>
      <c r="J196" s="98" t="n"/>
      <c r="K196" s="98" t="n"/>
      <c r="L196" s="98" t="n"/>
      <c r="M196" s="98" t="n"/>
      <c r="N196" s="98" t="n"/>
      <c r="O196" s="98" t="n"/>
      <c r="P196" s="98" t="n"/>
      <c r="U196" s="36" t="inlineStr">
        <is>
          <t>yes</t>
        </is>
      </c>
      <c r="W196" s="167" t="n">
        <v>7.5</v>
      </c>
      <c r="X196" s="89">
        <f>'Additional information'!#REF!</f>
        <v/>
      </c>
      <c r="Y196" s="148">
        <f>IF(W196&lt;&gt;"",W196*X196,"")</f>
        <v/>
      </c>
      <c r="Z196" s="148">
        <f>IF(AND(W196&lt;&gt;"",U196="yes"),W196*X196,"")</f>
        <v/>
      </c>
    </row>
    <row r="197" customFormat="1" s="54">
      <c r="C197" s="76" t="n"/>
      <c r="D197" s="52" t="n"/>
      <c r="E197" s="52" t="n"/>
      <c r="G197" s="53" t="n"/>
      <c r="H197" s="53" t="n"/>
      <c r="I197" s="104" t="n"/>
      <c r="J197" s="104" t="n"/>
      <c r="K197" s="104" t="n"/>
      <c r="L197" s="104" t="n"/>
      <c r="M197" s="104" t="n"/>
      <c r="N197" s="104" t="n"/>
      <c r="O197" s="104" t="n"/>
      <c r="P197" s="104" t="n"/>
      <c r="U197" s="36" t="n"/>
      <c r="W197" s="167" t="n"/>
      <c r="X197" s="89">
        <f>'Additional information'!#REF!</f>
        <v/>
      </c>
      <c r="Y197" s="148">
        <f>IF(W197&lt;&gt;"",W197*X197,"")</f>
        <v/>
      </c>
      <c r="Z197" s="148">
        <f>IF(AND(W197&lt;&gt;"",U197="yes"),W197*X197,"")</f>
        <v/>
      </c>
      <c r="AA197" s="55" t="n"/>
    </row>
    <row r="198" ht="32.15" customHeight="1">
      <c r="A198" s="56" t="inlineStr">
        <is>
          <t>select_one lsmain</t>
        </is>
      </c>
      <c r="B198" s="56" t="inlineStr">
        <is>
          <t>ls_main</t>
        </is>
      </c>
      <c r="C198" s="35" t="inlineStr">
        <is>
          <t>What was the main animal raised by your household for food or income generation in the last 12 months?</t>
        </is>
      </c>
      <c r="D198" s="69" t="n"/>
      <c r="E198" s="69" t="n"/>
      <c r="F198" s="36" t="inlineStr">
        <is>
          <t>[INSTRUCTIONS: ASK ABOUT THE MOST IMPORTANT ANIMAL ONLY.] [HINT: DON'T FORGET TO PROBE ABOUT TRANSHUMANCE - MOVING LIVESTOCK FROM ONE GRAZING GROUND TO ANOTHER.]</t>
        </is>
      </c>
      <c r="G198" s="70" t="n"/>
      <c r="H198" s="70" t="n"/>
      <c r="I198" s="98" t="inlineStr">
        <is>
          <t>true</t>
        </is>
      </c>
      <c r="J198" s="98" t="inlineStr">
        <is>
          <t>minimal</t>
        </is>
      </c>
      <c r="K198" s="98" t="n"/>
      <c r="L198" s="98" t="n"/>
      <c r="M198" s="98" t="n"/>
      <c r="N198" s="98" t="n"/>
      <c r="O198" s="98" t="n"/>
      <c r="P198" s="98" t="n"/>
      <c r="U198" s="36" t="inlineStr">
        <is>
          <t>yes</t>
        </is>
      </c>
      <c r="W198" s="167" t="n">
        <v>20.2944221496582</v>
      </c>
      <c r="X198" s="89">
        <f>'Additional information'!#REF!</f>
        <v/>
      </c>
      <c r="Y198" s="148">
        <f>IF(W198&lt;&gt;"",W198*X198,"")</f>
        <v/>
      </c>
      <c r="Z198" s="148">
        <f>IF(AND(W198&lt;&gt;"",U198="yes"),W198*X198,"")</f>
        <v/>
      </c>
    </row>
    <row r="199">
      <c r="A199" s="56" t="inlineStr">
        <is>
          <t>calculate</t>
        </is>
      </c>
      <c r="B199" s="56" t="inlineStr">
        <is>
          <t>lsmain</t>
        </is>
      </c>
      <c r="C199" s="35" t="n"/>
      <c r="D199" s="69" t="n"/>
      <c r="E199" s="69" t="n"/>
      <c r="G199" s="70" t="n"/>
      <c r="H199" s="70" t="n"/>
      <c r="I199" s="98" t="n"/>
      <c r="J199" s="98" t="n"/>
      <c r="K199" s="98" t="n"/>
      <c r="L199" s="98" t="n"/>
      <c r="M199" s="98" t="n"/>
      <c r="N199" s="98" t="n"/>
      <c r="O199" s="98" t="n"/>
      <c r="P199" s="98" t="inlineStr">
        <is>
          <t>jr:choice-name(${ls_main},'${ls_main}')</t>
        </is>
      </c>
      <c r="U199" s="36" t="inlineStr">
        <is>
          <t>yes</t>
        </is>
      </c>
      <c r="W199" s="167" t="n"/>
      <c r="X199" s="89">
        <f>'Additional information'!#REF!</f>
        <v/>
      </c>
      <c r="Y199" s="148">
        <f>IF(W199&lt;&gt;"",W199*X199,"")</f>
        <v/>
      </c>
      <c r="Z199" s="148">
        <f>IF(AND(W199&lt;&gt;"",U199="yes"),W199*X199,"")</f>
        <v/>
      </c>
    </row>
    <row r="200">
      <c r="D200" s="69" t="n"/>
      <c r="E200" s="69" t="n"/>
      <c r="G200" s="70" t="n"/>
      <c r="H200" s="70" t="n"/>
      <c r="M200" s="110" t="n"/>
      <c r="W200" s="167" t="n"/>
      <c r="X200" s="89">
        <f>'Additional information'!#REF!</f>
        <v/>
      </c>
      <c r="Y200" s="148">
        <f>IF(W200&lt;&gt;"",W200*X200,"")</f>
        <v/>
      </c>
      <c r="Z200" s="148">
        <f>IF(AND(W200&lt;&gt;"",U200="yes"),W200*X200,"")</f>
        <v/>
      </c>
    </row>
    <row r="201" ht="16" customHeight="1">
      <c r="A201" s="56" t="inlineStr">
        <is>
          <t>integer</t>
        </is>
      </c>
      <c r="B201" s="56" t="inlineStr">
        <is>
          <t>ls_num_lastyr</t>
        </is>
      </c>
      <c r="C201" s="35" t="inlineStr">
        <is>
          <t>How many ${lsmain} did you have at the same time last year?</t>
        </is>
      </c>
      <c r="D201" s="69" t="n"/>
      <c r="E201" s="69" t="n"/>
      <c r="F201" s="56" t="inlineStr">
        <is>
          <t>[INSTRUCTIONS: RECORD THE NUMBER OF ANIMALS. ENTER 888 FOR DON'T KNOW AND 999 FOR REFUSED.]</t>
        </is>
      </c>
      <c r="G201" s="70" t="n"/>
      <c r="H201" s="70" t="n"/>
      <c r="I201" s="98" t="inlineStr">
        <is>
          <t>true</t>
        </is>
      </c>
      <c r="J201" s="98" t="n"/>
      <c r="K201" s="98" t="inlineStr">
        <is>
          <t xml:space="preserve">. &gt;= 0 </t>
        </is>
      </c>
      <c r="L201" s="98" t="n"/>
      <c r="M201" s="98" t="inlineStr">
        <is>
          <t>${ls_main} != '10' and ${ls_main} != '11'</t>
        </is>
      </c>
      <c r="N201" s="98" t="n"/>
      <c r="O201" s="98" t="n"/>
      <c r="P201" s="98" t="n"/>
      <c r="U201" s="36" t="inlineStr">
        <is>
          <t>yes</t>
        </is>
      </c>
      <c r="W201" s="167" t="n">
        <v>18.53907775878906</v>
      </c>
      <c r="X201" s="89">
        <f>'Additional information'!#REF!</f>
        <v/>
      </c>
      <c r="Y201" s="148">
        <f>IF(W201&lt;&gt;"",W201*X201,"")</f>
        <v/>
      </c>
      <c r="Z201" s="148">
        <f>IF(AND(W201&lt;&gt;"",U201="yes"),W201*X201,"")</f>
        <v/>
      </c>
    </row>
    <row r="202" ht="16" customHeight="1">
      <c r="A202" s="56" t="inlineStr">
        <is>
          <t>integer</t>
        </is>
      </c>
      <c r="B202" s="56" t="inlineStr">
        <is>
          <t>ls_num_now</t>
        </is>
      </c>
      <c r="C202" s="35" t="inlineStr">
        <is>
          <t>How many ${lsmain} do you have now?</t>
        </is>
      </c>
      <c r="D202" s="69" t="n"/>
      <c r="E202" s="69" t="n"/>
      <c r="F202" s="56" t="inlineStr">
        <is>
          <t>[INSTRUCTIONS: RECORD THE NUMBER OF ANIMALS. ENTER 888 FOR DON'T KNOW AND 999 FOR REFUSED.]</t>
        </is>
      </c>
      <c r="G202" s="70" t="n"/>
      <c r="H202" s="70" t="n"/>
      <c r="I202" s="98" t="inlineStr">
        <is>
          <t>true</t>
        </is>
      </c>
      <c r="J202" s="98" t="n"/>
      <c r="K202" s="98" t="inlineStr">
        <is>
          <t xml:space="preserve">. &gt;= 0 </t>
        </is>
      </c>
      <c r="L202" s="98" t="n"/>
      <c r="M202" s="98" t="inlineStr">
        <is>
          <t>${ls_main} != '10' and ${ls_main} != '11'</t>
        </is>
      </c>
      <c r="N202" s="98" t="n"/>
      <c r="O202" s="98" t="n"/>
      <c r="P202" s="98" t="n"/>
      <c r="U202" s="36" t="inlineStr">
        <is>
          <t>yes</t>
        </is>
      </c>
      <c r="W202" s="167" t="n">
        <v>8.915891647338867</v>
      </c>
      <c r="X202" s="89">
        <f>'Additional information'!#REF!</f>
        <v/>
      </c>
      <c r="Y202" s="148">
        <f>IF(W202&lt;&gt;"",W202*X202,"")</f>
        <v/>
      </c>
      <c r="Z202" s="148">
        <f>IF(AND(W202&lt;&gt;"",U202="yes"),W202*X202,"")</f>
        <v/>
      </c>
    </row>
    <row r="203" ht="16" customHeight="1">
      <c r="A203" s="56" t="inlineStr">
        <is>
          <t>calculate</t>
        </is>
      </c>
      <c r="B203" s="56" t="inlineStr">
        <is>
          <t>ls_num_diff</t>
        </is>
      </c>
      <c r="C203" s="35" t="inlineStr">
        <is>
          <t xml:space="preserve">Change in ${lsmain}: </t>
        </is>
      </c>
      <c r="D203" s="69" t="n"/>
      <c r="E203" s="69" t="n"/>
      <c r="F203" s="56" t="n"/>
      <c r="G203" s="70" t="n"/>
      <c r="H203" s="70" t="n"/>
      <c r="I203" s="98" t="inlineStr">
        <is>
          <t>true</t>
        </is>
      </c>
      <c r="J203" s="98" t="n"/>
      <c r="K203" s="98" t="n"/>
      <c r="L203" s="98" t="n"/>
      <c r="M203" s="98" t="inlineStr">
        <is>
          <t>(${ls_main} != '10' and ${ls_main} != '11') and (${ls_num_lastyr} != '888' and ${ls_num_lastyr} != '999' and ${ls_num_now} != '888' and ${ls_num_now} != '999')</t>
        </is>
      </c>
      <c r="N203" s="98" t="n"/>
      <c r="O203" s="98" t="n"/>
      <c r="P203" s="98" t="inlineStr">
        <is>
          <t>${ls_num_now} - ${ls_num_lastyr}</t>
        </is>
      </c>
      <c r="U203" s="36" t="inlineStr">
        <is>
          <t>yes</t>
        </is>
      </c>
      <c r="W203" s="167" t="n"/>
      <c r="X203" s="89">
        <f>'Additional information'!#REF!</f>
        <v/>
      </c>
      <c r="Y203" s="148">
        <f>IF(W203&lt;&gt;"",W203*X203,"")</f>
        <v/>
      </c>
      <c r="Z203" s="148">
        <f>IF(AND(W203&lt;&gt;"",U203="yes"),W203*X203,"")</f>
        <v/>
      </c>
    </row>
    <row r="204">
      <c r="D204" s="69" t="n"/>
      <c r="E204" s="69" t="n"/>
      <c r="G204" s="70" t="n"/>
      <c r="H204" s="70" t="n"/>
      <c r="W204" s="167" t="n"/>
      <c r="X204" s="89">
        <f>'Additional information'!#REF!</f>
        <v/>
      </c>
      <c r="Y204" s="148">
        <f>IF(W204&lt;&gt;"",W204*X204,"")</f>
        <v/>
      </c>
      <c r="Z204" s="148">
        <f>IF(AND(W204&lt;&gt;"",U204="yes"),W204*X204,"")</f>
        <v/>
      </c>
    </row>
    <row r="205" ht="16" customHeight="1">
      <c r="A205" s="56" t="inlineStr">
        <is>
          <t>select_multiple lsnum</t>
        </is>
      </c>
      <c r="B205" s="56" t="inlineStr">
        <is>
          <t>ls_num</t>
        </is>
      </c>
      <c r="C205" s="35" t="inlineStr">
        <is>
          <t>Why did the number of livestock change?</t>
        </is>
      </c>
      <c r="D205" s="69" t="n"/>
      <c r="E205" s="69" t="n"/>
      <c r="F205" s="36" t="inlineStr">
        <is>
          <t>[INSTRUCTIONS: MULTIPLE RESPONSES POSSIBLE.]</t>
        </is>
      </c>
      <c r="G205" s="70" t="n"/>
      <c r="H205" s="70" t="n"/>
      <c r="I205" s="98" t="inlineStr">
        <is>
          <t>true</t>
        </is>
      </c>
      <c r="J205" s="98" t="n"/>
      <c r="K205" s="98" t="inlineStr">
        <is>
          <t>if(selected(., 'inc_dec_dk') or selected(., 'inc_dec_ref'), count-selected(.) = 1, count-selected(.) &gt;= 1)</t>
        </is>
      </c>
      <c r="L205" s="98" t="n"/>
      <c r="M205" s="98" t="inlineStr">
        <is>
          <t>${ls_main} != '10' and ${ls_main} != '11'</t>
        </is>
      </c>
      <c r="N205" s="98" t="n"/>
      <c r="O205" s="98" t="n"/>
      <c r="P205" s="98" t="n"/>
      <c r="U205" s="36" t="inlineStr">
        <is>
          <t>yes</t>
        </is>
      </c>
      <c r="W205" s="167" t="n">
        <v>25.81001091003418</v>
      </c>
      <c r="X205" s="89">
        <f>'Additional information'!#REF!</f>
        <v/>
      </c>
      <c r="Y205" s="148">
        <f>IF(W205&lt;&gt;"",W205*X205,"")</f>
        <v/>
      </c>
      <c r="Z205" s="148">
        <f>IF(AND(W205&lt;&gt;"",U205="yes"),W205*X205,"")</f>
        <v/>
      </c>
    </row>
    <row r="206" ht="16" customFormat="1" customHeight="1" s="58">
      <c r="A206" s="210" t="inlineStr">
        <is>
          <t>select_multiple lsgone</t>
        </is>
      </c>
      <c r="B206" s="210" t="inlineStr">
        <is>
          <t>ls_gone</t>
        </is>
      </c>
      <c r="C206" s="217" t="inlineStr">
        <is>
          <t xml:space="preserve">Can you specify whether your animals escaped, were lost, stolen or killed? </t>
        </is>
      </c>
      <c r="D206" s="60" t="n"/>
      <c r="E206" s="60" t="n"/>
      <c r="F206" s="210" t="inlineStr">
        <is>
          <t>[INSTRUCTIONS: MULTIPLE RESPONSES POSSIBLE.]</t>
        </is>
      </c>
      <c r="G206" s="64" t="n"/>
      <c r="H206" s="64" t="n"/>
      <c r="I206" s="211" t="inlineStr">
        <is>
          <t>true</t>
        </is>
      </c>
      <c r="J206" s="211" t="n"/>
      <c r="K206" s="211" t="inlineStr">
        <is>
          <t>if(selected(., 'dk') or selected(., 'ref'), count-selected(.) = 1, count-selected(.) &gt;= 1)</t>
        </is>
      </c>
      <c r="L206" s="211" t="n"/>
      <c r="M206" s="211" t="inlineStr">
        <is>
          <t>selected(${ls_num}, 'dec_escape_stolen')</t>
        </is>
      </c>
      <c r="N206" s="211" t="n"/>
      <c r="O206" s="211" t="n"/>
      <c r="P206" s="211" t="n"/>
      <c r="W206" s="171" t="n"/>
      <c r="X206" s="233" t="n"/>
      <c r="Y206" s="151" t="n"/>
      <c r="Z206" s="151" t="n"/>
    </row>
    <row r="207">
      <c r="D207" s="69" t="n"/>
      <c r="E207" s="69" t="n"/>
      <c r="G207" s="70" t="n"/>
      <c r="H207" s="70" t="n"/>
      <c r="M207" s="110" t="n"/>
      <c r="W207" s="167" t="n"/>
      <c r="X207" s="89">
        <f>'Additional information'!#REF!</f>
        <v/>
      </c>
      <c r="Y207" s="148">
        <f>IF(W207&lt;&gt;"",W207*X207,"")</f>
        <v/>
      </c>
      <c r="Z207" s="148">
        <f>IF(AND(W207&lt;&gt;"",U207="yes"),W207*X207,"")</f>
        <v/>
      </c>
    </row>
    <row r="208" ht="16" customFormat="1" customHeight="1" s="58">
      <c r="A208" s="58" t="inlineStr">
        <is>
          <t>select_multiple lsfood</t>
        </is>
      </c>
      <c r="B208" s="58" t="inlineStr">
        <is>
          <t>ls_feed</t>
        </is>
      </c>
      <c r="C208" s="59" t="inlineStr">
        <is>
          <t xml:space="preserve">Where do you usually access feed for your ${lsmain}? </t>
        </is>
      </c>
      <c r="D208" s="60" t="n"/>
      <c r="E208" s="60" t="n"/>
      <c r="F208" s="58" t="inlineStr">
        <is>
          <t>[INSTRUCTIONS: MULTIPLE RESPONSES POSSIBLE.]</t>
        </is>
      </c>
      <c r="G208" s="64" t="n"/>
      <c r="H208" s="64" t="n"/>
      <c r="I208" s="99" t="inlineStr">
        <is>
          <t>true</t>
        </is>
      </c>
      <c r="J208" s="99" t="n"/>
      <c r="K208" s="99" t="inlineStr">
        <is>
          <t>if(selected(., 'dk') or selected(., 'ref'), count-selected(.) = 1, count-selected(.) &gt;= 1)</t>
        </is>
      </c>
      <c r="L208" s="99" t="n"/>
      <c r="M208" s="99" t="inlineStr">
        <is>
          <t>${ls_main} != '10' and ${ls_main} != '11'</t>
        </is>
      </c>
      <c r="N208" s="99" t="n"/>
      <c r="O208" s="99" t="n"/>
      <c r="P208" s="99" t="n"/>
      <c r="U208" s="58" t="inlineStr">
        <is>
          <t>no</t>
        </is>
      </c>
      <c r="W208" s="167" t="n">
        <v>19.55319786071777</v>
      </c>
      <c r="X208" s="89">
        <f>'Additional information'!#REF!</f>
        <v/>
      </c>
      <c r="Y208" s="148">
        <f>IF(W208&lt;&gt;"",W208*X208,"")</f>
        <v/>
      </c>
      <c r="Z208" s="148">
        <f>IF(AND(W208&lt;&gt;"",U208="yes"),W208*X208,"")</f>
        <v/>
      </c>
      <c r="AA208" s="57" t="n"/>
    </row>
    <row r="209" ht="16" customFormat="1" customHeight="1" s="58">
      <c r="A209" s="210" t="inlineStr">
        <is>
          <t>select_multiple lsfeeddist</t>
        </is>
      </c>
      <c r="B209" s="210" t="inlineStr">
        <is>
          <t>ls_feed_freedist</t>
        </is>
      </c>
      <c r="C209" s="217" t="inlineStr">
        <is>
          <t xml:space="preserve">Who provided the free distribution received? </t>
        </is>
      </c>
      <c r="D209" s="60" t="n"/>
      <c r="E209" s="60" t="n"/>
      <c r="F209" s="210" t="inlineStr">
        <is>
          <t>[INSTRUCTIONS: MULTIPLE RESPONSES POSSIBLE.]</t>
        </is>
      </c>
      <c r="G209" s="64" t="n"/>
      <c r="H209" s="64" t="n"/>
      <c r="I209" s="211" t="inlineStr">
        <is>
          <t>true</t>
        </is>
      </c>
      <c r="J209" s="211" t="n"/>
      <c r="K209" s="211" t="inlineStr">
        <is>
          <t>if(selected(., 'dk') or selected(., 'ref'), count-selected(.) = 1, count-selected(.) &gt;= 1)</t>
        </is>
      </c>
      <c r="L209" s="211" t="n"/>
      <c r="M209" s="211" t="inlineStr">
        <is>
          <t>selected(${ls_feed}, 'free_dist')</t>
        </is>
      </c>
      <c r="N209" s="211" t="n"/>
      <c r="O209" s="211" t="n"/>
      <c r="P209" s="211" t="n"/>
      <c r="W209" s="171" t="n"/>
      <c r="X209" s="233" t="n"/>
      <c r="Y209" s="151" t="n"/>
      <c r="Z209" s="151" t="n"/>
    </row>
    <row r="210" customFormat="1" s="58">
      <c r="C210" s="59" t="n"/>
      <c r="D210" s="60" t="n"/>
      <c r="E210" s="60" t="n"/>
      <c r="G210" s="64" t="n"/>
      <c r="H210" s="64" t="n"/>
      <c r="I210" s="99" t="n"/>
      <c r="J210" s="99" t="n"/>
      <c r="K210" s="99" t="n"/>
      <c r="L210" s="99" t="n"/>
      <c r="M210" s="99" t="n"/>
      <c r="N210" s="99" t="n"/>
      <c r="O210" s="99" t="n"/>
      <c r="P210" s="99" t="n"/>
      <c r="W210" s="167" t="n"/>
      <c r="X210" s="89">
        <f>'Additional information'!#REF!</f>
        <v/>
      </c>
      <c r="Y210" s="148">
        <f>IF(W210&lt;&gt;"",W210*X210,"")</f>
        <v/>
      </c>
      <c r="Z210" s="148">
        <f>IF(AND(W210&lt;&gt;"",U210="yes"),W210*X210,"")</f>
        <v/>
      </c>
      <c r="AA210" s="57" t="n"/>
    </row>
    <row r="211" ht="32.15" customHeight="1">
      <c r="A211" s="56" t="inlineStr">
        <is>
          <t>select_one yes_no</t>
        </is>
      </c>
      <c r="B211" s="56" t="inlineStr">
        <is>
          <t>ls_proddif</t>
        </is>
      </c>
      <c r="C211" s="35" t="inlineStr">
        <is>
          <t>Has your household faced any significant difficulty with livestock production over the last 3 months?</t>
        </is>
      </c>
      <c r="D211" s="69" t="n"/>
      <c r="E211" s="69" t="n"/>
      <c r="G211" s="70" t="n"/>
      <c r="H211" s="70" t="n"/>
      <c r="I211" s="98" t="inlineStr">
        <is>
          <t>true</t>
        </is>
      </c>
      <c r="J211" s="98" t="n"/>
      <c r="K211" s="98" t="n"/>
      <c r="L211" s="98" t="n"/>
      <c r="M211" s="100" t="inlineStr">
        <is>
          <t>${ls_main} != '10' and ${ls_main} != '11'</t>
        </is>
      </c>
      <c r="N211" s="98" t="n"/>
      <c r="O211" s="98" t="n"/>
      <c r="P211" s="98" t="n"/>
      <c r="U211" s="36" t="inlineStr">
        <is>
          <t>yes</t>
        </is>
      </c>
      <c r="W211" s="167" t="n">
        <v>13.61331653594971</v>
      </c>
      <c r="X211" s="89">
        <f>'Additional information'!#REF!</f>
        <v/>
      </c>
      <c r="Y211" s="148">
        <f>IF(W211&lt;&gt;"",W211*X211,"")</f>
        <v/>
      </c>
      <c r="Z211" s="148">
        <f>IF(AND(W211&lt;&gt;"",U211="yes"),W211*X211,"")</f>
        <v/>
      </c>
    </row>
    <row r="212" ht="32.15" customHeight="1">
      <c r="A212" s="56" t="inlineStr">
        <is>
          <t>select_multiple lsproddiff</t>
        </is>
      </c>
      <c r="B212" s="56" t="inlineStr">
        <is>
          <t>ls_proddif_</t>
        </is>
      </c>
      <c r="C212" s="35" t="inlineStr">
        <is>
          <t>Which difficulties has your household faced with livestock production in the last 3 months?</t>
        </is>
      </c>
      <c r="D212" s="69" t="n"/>
      <c r="E212" s="69" t="n"/>
      <c r="F212" s="36" t="inlineStr">
        <is>
          <t>[INSTRUCTIONS: MULTIPLE RESPONSES POSSIBLE. SELECT OPTION(S) THAT BEST FIT THE INFORMATION PROVIDED BY THE RESPONDENTS.]</t>
        </is>
      </c>
      <c r="G212" s="70" t="n"/>
      <c r="H212" s="70" t="n"/>
      <c r="I212" s="98" t="inlineStr">
        <is>
          <t>true</t>
        </is>
      </c>
      <c r="J212" s="98" t="n"/>
      <c r="K212" s="100" t="inlineStr">
        <is>
          <t>if(selected(., 'dk') or selected(., 'ref'), count-selected(.) = 1, count-selected(.) &gt;= 1)</t>
        </is>
      </c>
      <c r="L212" s="98" t="n"/>
      <c r="M212" s="100" t="inlineStr">
        <is>
          <t>${ls_proddif}='1'</t>
        </is>
      </c>
      <c r="N212" s="98" t="n"/>
      <c r="O212" s="98" t="n"/>
      <c r="P212" s="98" t="n"/>
      <c r="U212" s="36" t="inlineStr">
        <is>
          <t>yes</t>
        </is>
      </c>
      <c r="W212" s="167" t="n">
        <v>27.75464820861816</v>
      </c>
      <c r="X212" s="89">
        <f>'Additional information'!#REF!</f>
        <v/>
      </c>
      <c r="Y212" s="148">
        <f>IF(W212&lt;&gt;"",W212*X212,"")</f>
        <v/>
      </c>
      <c r="Z212" s="148">
        <f>IF(AND(W212&lt;&gt;"",U212="yes"),W212*X212,"")</f>
        <v/>
      </c>
    </row>
    <row r="213">
      <c r="A213" s="248" t="inlineStr">
        <is>
          <t>select_one o_pastures</t>
        </is>
      </c>
      <c r="B213" s="248" t="inlineStr">
        <is>
          <t>o_pasture</t>
        </is>
      </c>
      <c r="C213" s="249" t="inlineStr">
        <is>
          <t>How are pastures during the last 6 months compared to the usual?</t>
        </is>
      </c>
      <c r="D213" s="266" t="n"/>
      <c r="E213" s="266" t="n"/>
      <c r="F213" s="248" t="n"/>
      <c r="G213" s="248" t="n"/>
      <c r="H213" s="248" t="n"/>
      <c r="I213" s="260" t="inlineStr">
        <is>
          <t>true</t>
        </is>
      </c>
      <c r="J213" s="254" t="n"/>
      <c r="K213" s="254" t="n"/>
      <c r="L213" s="254" t="n"/>
      <c r="M213" s="255" t="n"/>
      <c r="N213" s="254" t="n"/>
      <c r="O213" s="254" t="n"/>
      <c r="P213" s="254" t="n"/>
      <c r="Q213" s="248" t="n"/>
      <c r="R213" s="248" t="n"/>
      <c r="S213" s="248" t="n"/>
      <c r="T213" s="248" t="n"/>
      <c r="U213" s="248" t="n"/>
      <c r="V213" s="248" t="n"/>
      <c r="W213" s="250" t="n"/>
      <c r="X213" s="268">
        <f>'Additional information'!#REF!</f>
        <v/>
      </c>
      <c r="Y213" s="252" t="n">
        <v>5</v>
      </c>
      <c r="Z213" s="252">
        <f>IF(AND(W213&lt;&gt;"",U213="yes"),W213*X213,"")</f>
        <v/>
      </c>
    </row>
    <row r="214">
      <c r="A214" s="248" t="inlineStr">
        <is>
          <t>select_one yes_no</t>
        </is>
      </c>
      <c r="B214" s="248" t="inlineStr">
        <is>
          <t>o_animals_died</t>
        </is>
      </c>
      <c r="C214" s="249" t="inlineStr">
        <is>
          <t>Have some of your animals died because of the recent floods?</t>
        </is>
      </c>
      <c r="D214" s="266" t="n"/>
      <c r="E214" s="266" t="n"/>
      <c r="F214" s="248" t="n"/>
      <c r="G214" s="248" t="n"/>
      <c r="H214" s="248" t="n"/>
      <c r="I214" s="260" t="inlineStr">
        <is>
          <t>true</t>
        </is>
      </c>
      <c r="J214" s="254" t="n"/>
      <c r="K214" s="254" t="n"/>
      <c r="L214" s="254" t="n"/>
      <c r="M214" s="254" t="inlineStr">
        <is>
          <t>selected(${shock}, 'flood')</t>
        </is>
      </c>
      <c r="N214" s="254" t="n"/>
      <c r="O214" s="254" t="n"/>
      <c r="P214" s="254" t="n"/>
      <c r="Q214" s="248" t="n"/>
      <c r="R214" s="248" t="n"/>
      <c r="S214" s="248" t="n"/>
      <c r="T214" s="248" t="n"/>
      <c r="U214" s="248" t="n"/>
      <c r="V214" s="248" t="n"/>
      <c r="W214" s="250" t="n"/>
      <c r="X214" s="268" t="n"/>
      <c r="Y214" s="252" t="n">
        <v>5</v>
      </c>
      <c r="Z214" s="252" t="n"/>
    </row>
    <row r="215">
      <c r="A215" s="248" t="inlineStr">
        <is>
          <t>select_one yes_no</t>
        </is>
      </c>
      <c r="B215" s="248" t="inlineStr">
        <is>
          <t>o_animals_sick</t>
        </is>
      </c>
      <c r="C215" s="249" t="inlineStr">
        <is>
          <t>Have some of your animals felt sick because of the recent floods?</t>
        </is>
      </c>
      <c r="D215" s="266" t="n"/>
      <c r="E215" s="266" t="n"/>
      <c r="F215" s="248" t="n"/>
      <c r="G215" s="248" t="n"/>
      <c r="H215" s="248" t="n"/>
      <c r="I215" s="260" t="inlineStr">
        <is>
          <t>true</t>
        </is>
      </c>
      <c r="J215" s="254" t="n"/>
      <c r="K215" s="254" t="n"/>
      <c r="L215" s="254" t="n"/>
      <c r="M215" s="254" t="inlineStr">
        <is>
          <t>selected(${shock}, 'flood')</t>
        </is>
      </c>
      <c r="N215" s="254" t="n"/>
      <c r="O215" s="254" t="n"/>
      <c r="P215" s="254" t="n"/>
      <c r="Q215" s="248" t="n"/>
      <c r="R215" s="248" t="n"/>
      <c r="S215" s="248" t="n"/>
      <c r="T215" s="248" t="n"/>
      <c r="U215" s="248" t="n"/>
      <c r="V215" s="248" t="n"/>
      <c r="W215" s="250" t="n"/>
      <c r="X215" s="268" t="n"/>
      <c r="Y215" s="252" t="n">
        <v>5</v>
      </c>
      <c r="Z215" s="252" t="n"/>
    </row>
    <row r="216">
      <c r="A216" s="248" t="inlineStr">
        <is>
          <t>select_one yes_no</t>
        </is>
      </c>
      <c r="B216" s="248" t="inlineStr">
        <is>
          <t>o_animals_body_deteriorated</t>
        </is>
      </c>
      <c r="C216" s="249" t="inlineStr">
        <is>
          <t>Have some of your animals had a deteriorated body condition because of the recent floods?</t>
        </is>
      </c>
      <c r="D216" s="266" t="n"/>
      <c r="E216" s="266" t="n"/>
      <c r="F216" s="248" t="n"/>
      <c r="G216" s="248" t="n"/>
      <c r="H216" s="248" t="n"/>
      <c r="I216" s="260" t="inlineStr">
        <is>
          <t>true</t>
        </is>
      </c>
      <c r="J216" s="254" t="n"/>
      <c r="K216" s="254" t="n"/>
      <c r="L216" s="254" t="n"/>
      <c r="M216" s="254" t="inlineStr">
        <is>
          <t>selected(${shock}, 'flood')</t>
        </is>
      </c>
      <c r="N216" s="254" t="n"/>
      <c r="O216" s="254" t="n"/>
      <c r="P216" s="254" t="n"/>
      <c r="Q216" s="248" t="n"/>
      <c r="R216" s="248" t="n"/>
      <c r="S216" s="248" t="n"/>
      <c r="T216" s="248" t="n"/>
      <c r="U216" s="248" t="n"/>
      <c r="V216" s="248" t="n"/>
      <c r="W216" s="250" t="n"/>
      <c r="X216" s="268" t="n"/>
      <c r="Y216" s="252" t="n">
        <v>5</v>
      </c>
      <c r="Z216" s="252" t="n"/>
    </row>
    <row r="217" ht="16" customFormat="1" customHeight="1" s="58">
      <c r="A217" s="58" t="inlineStr">
        <is>
          <t>select_multiple lsmain2</t>
        </is>
      </c>
      <c r="B217" s="58" t="inlineStr">
        <is>
          <t>ls_all</t>
        </is>
      </c>
      <c r="C217" s="59" t="inlineStr">
        <is>
          <t>Do you own any other livestock aside from ${lsmain}, and if so which ones?</t>
        </is>
      </c>
      <c r="D217" s="60" t="n"/>
      <c r="E217" s="60" t="n"/>
      <c r="F217" s="58" t="inlineStr">
        <is>
          <t>[INSTRUCTIONS: "No other livestock" APPEARS AT THE END OF THE LIST OF OPTIONS. SELECT ALL LIVESTOCK LISTED BY THE RESPONDENT.]</t>
        </is>
      </c>
      <c r="G217" s="64" t="n"/>
      <c r="H217" s="64" t="n"/>
      <c r="I217" s="99" t="inlineStr">
        <is>
          <t>true</t>
        </is>
      </c>
      <c r="J217" s="99" t="inlineStr">
        <is>
          <t>minimal</t>
        </is>
      </c>
      <c r="K217" s="99" t="inlineStr">
        <is>
          <t>if(selected(., '10') or selected(., '11') or selected(.,'666'), count-selected(.) = 1, count-selected(.) &gt;= 1)</t>
        </is>
      </c>
      <c r="L217" s="99" t="n"/>
      <c r="M217" s="99" t="inlineStr">
        <is>
          <t>${ls_main} != '10' and ${ls_main} != '11'</t>
        </is>
      </c>
      <c r="N217" s="99" t="inlineStr">
        <is>
          <t>not(selected(${ls_main}, name))</t>
        </is>
      </c>
      <c r="O217" s="105" t="n"/>
      <c r="P217" s="105" t="n"/>
      <c r="Q217" s="36" t="n"/>
      <c r="U217" s="58" t="inlineStr">
        <is>
          <t>no</t>
        </is>
      </c>
      <c r="W217" s="167" t="n">
        <v>17</v>
      </c>
      <c r="X217" s="89">
        <f>'Additional information'!#REF!</f>
        <v/>
      </c>
      <c r="Y217" s="148">
        <f>IF(W217&lt;&gt;"",W217*X217,"")</f>
        <v/>
      </c>
      <c r="Z217" s="148">
        <f>IF(AND(W217&lt;&gt;"",U217="yes"),W217*X217,"")</f>
        <v/>
      </c>
      <c r="AA217" s="57" t="n"/>
    </row>
    <row r="218">
      <c r="D218" s="69" t="n"/>
      <c r="E218" s="69" t="n"/>
      <c r="G218" s="70" t="n"/>
      <c r="H218" s="70" t="n"/>
      <c r="M218" s="110" t="n"/>
      <c r="W218" s="167" t="n"/>
      <c r="X218" s="89">
        <f>'Additional information'!#REF!</f>
        <v/>
      </c>
      <c r="Y218" s="148">
        <f>IF(W218&lt;&gt;"",W218*X218,"")</f>
        <v/>
      </c>
      <c r="Z218" s="148">
        <f>IF(AND(W218&lt;&gt;"",U218="yes"),W218*X218,"")</f>
        <v/>
      </c>
    </row>
    <row r="219" ht="16" customHeight="1" thickBot="1">
      <c r="A219" s="83" t="inlineStr">
        <is>
          <t>end_group</t>
        </is>
      </c>
      <c r="B219" s="83" t="n"/>
      <c r="C219" s="84" t="n"/>
      <c r="D219" s="91" t="n"/>
      <c r="E219" s="91" t="n"/>
      <c r="F219" s="83" t="n"/>
      <c r="G219" s="92" t="n"/>
      <c r="H219" s="92" t="n"/>
      <c r="I219" s="111" t="n"/>
      <c r="J219" s="111" t="n"/>
      <c r="K219" s="111" t="n"/>
      <c r="L219" s="111" t="n"/>
      <c r="M219" s="111" t="n"/>
      <c r="N219" s="111" t="n"/>
      <c r="O219" s="111" t="n"/>
      <c r="P219" s="111" t="n"/>
      <c r="W219" s="167" t="n"/>
      <c r="Y219" s="148">
        <f>IF(W219&lt;&gt;"",W219*X219,"")</f>
        <v/>
      </c>
      <c r="Z219" s="148">
        <f>IF(AND(W219&lt;&gt;"",U219="yes"),W219*X219,"")</f>
        <v/>
      </c>
    </row>
    <row r="220" ht="17.15" customFormat="1" customHeight="1" s="54" thickTop="1">
      <c r="A220" s="51" t="inlineStr">
        <is>
          <t>begin_group</t>
        </is>
      </c>
      <c r="B220" s="51" t="inlineStr">
        <is>
          <t>LivestockSales_group</t>
        </is>
      </c>
      <c r="C220" s="75" t="inlineStr">
        <is>
          <t xml:space="preserve">LIVESTOCK &amp; LIVESTOCK PRODUCT MARKETING </t>
        </is>
      </c>
      <c r="D220" s="52" t="n"/>
      <c r="E220" s="52" t="n"/>
      <c r="F220" s="51" t="n"/>
      <c r="G220" s="53" t="n"/>
      <c r="H220" s="53" t="n"/>
      <c r="I220" s="103" t="inlineStr">
        <is>
          <t>false</t>
        </is>
      </c>
      <c r="J220" s="103" t="n"/>
      <c r="K220" s="103" t="n"/>
      <c r="L220" s="103" t="n"/>
      <c r="M220" s="104" t="inlineStr">
        <is>
          <t>${resp_agree} = '1' and (${income_main}='4' or ${income_sec}='4' or ${income_third}='4')</t>
        </is>
      </c>
      <c r="N220" s="103" t="n"/>
      <c r="O220" s="103" t="n"/>
      <c r="P220" s="103" t="n"/>
      <c r="U220" s="36" t="inlineStr">
        <is>
          <t>yes</t>
        </is>
      </c>
      <c r="W220" s="167" t="n"/>
      <c r="X220" s="147" t="n"/>
      <c r="Y220" s="148">
        <f>IF(W220&lt;&gt;"",W220*X220,"")</f>
        <v/>
      </c>
      <c r="Z220" s="148">
        <f>IF(AND(W220&lt;&gt;"",U220="yes"),W220*X220,"")</f>
        <v/>
      </c>
      <c r="AA220" s="55" t="n"/>
    </row>
    <row r="221" customFormat="1" s="54">
      <c r="C221" s="76" t="n"/>
      <c r="D221" s="52" t="n"/>
      <c r="E221" s="52" t="n"/>
      <c r="G221" s="53" t="n"/>
      <c r="H221" s="53" t="n"/>
      <c r="I221" s="104" t="n"/>
      <c r="J221" s="104" t="n"/>
      <c r="K221" s="104" t="n"/>
      <c r="L221" s="104" t="n"/>
      <c r="M221" s="104" t="n"/>
      <c r="N221" s="104" t="n"/>
      <c r="O221" s="104" t="n"/>
      <c r="P221" s="104" t="n"/>
      <c r="U221" s="36" t="n"/>
      <c r="W221" s="167" t="n"/>
      <c r="X221" s="89">
        <f>'Additional information'!#REF!</f>
        <v/>
      </c>
      <c r="Y221" s="148">
        <f>IF(W221&lt;&gt;"",W221*X221,"")</f>
        <v/>
      </c>
      <c r="Z221" s="148">
        <f>IF(AND(W221&lt;&gt;"",U221="yes"),W221*X221,"")</f>
        <v/>
      </c>
      <c r="AA221" s="55" t="n"/>
    </row>
    <row r="222" ht="32.15" customFormat="1" customHeight="1" s="54">
      <c r="A222" s="56" t="inlineStr">
        <is>
          <t>select_one salesmain</t>
        </is>
      </c>
      <c r="B222" s="56" t="inlineStr">
        <is>
          <t>ls_salesmain</t>
        </is>
      </c>
      <c r="C222" s="35" t="inlineStr">
        <is>
          <t>What was the main livestock or livestock product sold by the household in the last 3 months?</t>
        </is>
      </c>
      <c r="D222" s="69" t="n"/>
      <c r="E222" s="69" t="n"/>
      <c r="F222" s="88" t="n"/>
      <c r="G222" s="70" t="n"/>
      <c r="H222" s="70" t="n"/>
      <c r="I222" s="98" t="inlineStr">
        <is>
          <t>true</t>
        </is>
      </c>
      <c r="J222" s="98" t="inlineStr">
        <is>
          <t>minimal</t>
        </is>
      </c>
      <c r="K222" s="103" t="n"/>
      <c r="L222" s="103" t="n"/>
      <c r="M222" s="103" t="n"/>
      <c r="N222" s="103" t="n"/>
      <c r="O222" s="103" t="n"/>
      <c r="P222" s="103" t="n"/>
      <c r="U222" s="36" t="inlineStr">
        <is>
          <t>yes</t>
        </is>
      </c>
      <c r="W222" s="167" t="n">
        <v>13.99939060211182</v>
      </c>
      <c r="X222" s="89">
        <f>'Additional information'!#REF!</f>
        <v/>
      </c>
      <c r="Y222" s="148">
        <f>IF(W222&lt;&gt;"",W222*X222,"")</f>
        <v/>
      </c>
      <c r="Z222" s="148">
        <f>IF(AND(W222&lt;&gt;"",U222="yes"),W222*X222,"")</f>
        <v/>
      </c>
      <c r="AA222" s="55" t="n"/>
    </row>
    <row r="223">
      <c r="A223" s="56" t="inlineStr">
        <is>
          <t>calculate</t>
        </is>
      </c>
      <c r="B223" s="56" t="inlineStr">
        <is>
          <t>lssalesmain</t>
        </is>
      </c>
      <c r="C223" s="35" t="n"/>
      <c r="D223" s="69" t="n"/>
      <c r="E223" s="69" t="n"/>
      <c r="G223" s="70" t="n"/>
      <c r="H223" s="70" t="n"/>
      <c r="I223" s="98" t="n"/>
      <c r="J223" s="98" t="n"/>
      <c r="K223" s="98" t="n"/>
      <c r="L223" s="98" t="n"/>
      <c r="M223" s="98" t="n"/>
      <c r="N223" s="98" t="n"/>
      <c r="O223" s="98" t="n"/>
      <c r="P223" s="98" t="inlineStr">
        <is>
          <t>jr:choice-name(${ls_salesmain},'${ls_salesmain}')</t>
        </is>
      </c>
      <c r="U223" s="36" t="inlineStr">
        <is>
          <t>yes</t>
        </is>
      </c>
      <c r="W223" s="167" t="n"/>
      <c r="X223" s="89">
        <f>'Additional information'!#REF!</f>
        <v/>
      </c>
      <c r="Y223" s="148">
        <f>IF(W223&lt;&gt;"",W223*X223,"")</f>
        <v/>
      </c>
      <c r="Z223" s="148">
        <f>IF(AND(W223&lt;&gt;"",U223="yes"),W223*X223,"")</f>
        <v/>
      </c>
    </row>
    <row r="224">
      <c r="D224" s="69" t="n"/>
      <c r="E224" s="69" t="n"/>
      <c r="G224" s="70" t="n"/>
      <c r="H224" s="70" t="n"/>
      <c r="W224" s="167" t="n"/>
      <c r="X224" s="89">
        <f>'Additional information'!#REF!</f>
        <v/>
      </c>
      <c r="Y224" s="148">
        <f>IF(W224&lt;&gt;"",W224*X224,"")</f>
        <v/>
      </c>
      <c r="Z224" s="148">
        <f>IF(AND(W224&lt;&gt;"",U224="yes"),W224*X224,"")</f>
        <v/>
      </c>
    </row>
    <row r="225" ht="32.15" customHeight="1">
      <c r="A225" s="56" t="inlineStr">
        <is>
          <t>select_one yes_no</t>
        </is>
      </c>
      <c r="B225" s="56" t="inlineStr">
        <is>
          <t>ls_salesdif</t>
        </is>
      </c>
      <c r="C225" s="35" t="inlineStr">
        <is>
          <t>Has your household faced any significant difficulty in the last 3 months selling your ${lssalesmain}?</t>
        </is>
      </c>
      <c r="D225" s="69" t="n"/>
      <c r="E225" s="69" t="n"/>
      <c r="G225" s="70" t="n"/>
      <c r="H225" s="70" t="n"/>
      <c r="I225" s="98" t="inlineStr">
        <is>
          <t>true</t>
        </is>
      </c>
      <c r="J225" s="98" t="n"/>
      <c r="K225" s="98" t="n"/>
      <c r="L225" s="98" t="n"/>
      <c r="M225" s="98" t="inlineStr">
        <is>
          <t>${ls_salesmain} != '12' and ${ls_salesmain} != '13'</t>
        </is>
      </c>
      <c r="N225" s="98" t="n"/>
      <c r="O225" s="98" t="n"/>
      <c r="P225" s="98" t="n"/>
      <c r="U225" s="36" t="inlineStr">
        <is>
          <t>yes</t>
        </is>
      </c>
      <c r="W225" s="167" t="n">
        <v>10.25279426574707</v>
      </c>
      <c r="X225" s="89">
        <f>'Additional information'!#REF!</f>
        <v/>
      </c>
      <c r="Y225" s="148">
        <f>IF(W225&lt;&gt;"",W225*X225,"")</f>
        <v/>
      </c>
      <c r="Z225" s="148">
        <f>IF(AND(W225&lt;&gt;"",U225="yes"),W225*X225,"")</f>
        <v/>
      </c>
    </row>
    <row r="226" ht="32.15" customHeight="1">
      <c r="A226" s="56" t="inlineStr">
        <is>
          <t>select_multiple lssalesdif</t>
        </is>
      </c>
      <c r="B226" s="56" t="inlineStr">
        <is>
          <t>ls_salesdif_</t>
        </is>
      </c>
      <c r="C226" s="35" t="inlineStr">
        <is>
          <t>What difficulties has your household faced in the last 3 months selling your ${lssalesmain}?</t>
        </is>
      </c>
      <c r="D226" s="69" t="n"/>
      <c r="E226" s="69" t="n"/>
      <c r="F226" s="36" t="inlineStr">
        <is>
          <t>[INSTRUCTIONS: MULTIPLE RESPONSES POSSIBLE. SELECT OPTION(S) THAT BEST FIT THE INFORMATION PROVIDED BY THE RESPONDENTS.]</t>
        </is>
      </c>
      <c r="G226" s="70" t="n"/>
      <c r="H226" s="70" t="n"/>
      <c r="I226" s="98" t="inlineStr">
        <is>
          <t>true</t>
        </is>
      </c>
      <c r="J226" s="98" t="n"/>
      <c r="K226" s="100" t="inlineStr">
        <is>
          <t>if(selected(., 'dk') or selected(., 'ref'), count-selected(.) = 1, count-selected(.) &gt;= 1)</t>
        </is>
      </c>
      <c r="L226" s="100" t="n"/>
      <c r="M226" s="100" t="inlineStr">
        <is>
          <t xml:space="preserve">${ls_salesdif} = '1' </t>
        </is>
      </c>
      <c r="N226" s="98" t="n"/>
      <c r="O226" s="98" t="n"/>
      <c r="P226" s="98" t="n"/>
      <c r="U226" s="36" t="inlineStr">
        <is>
          <t>yes</t>
        </is>
      </c>
      <c r="W226" s="167" t="n">
        <v>24.19434356689453</v>
      </c>
      <c r="X226" s="89">
        <f>'Additional information'!#REF!</f>
        <v/>
      </c>
      <c r="Y226" s="148">
        <f>IF(W226&lt;&gt;"",W226*X226,"")</f>
        <v/>
      </c>
      <c r="Z226" s="148">
        <f>IF(AND(W226&lt;&gt;"",U226="yes"),W226*X226,"")</f>
        <v/>
      </c>
    </row>
    <row r="227">
      <c r="D227" s="69" t="n"/>
      <c r="E227" s="69" t="n"/>
      <c r="G227" s="70" t="n"/>
      <c r="H227" s="70" t="n"/>
      <c r="M227" s="110" t="n"/>
      <c r="W227" s="167" t="n"/>
      <c r="X227" s="89">
        <f>'Additional information'!#REF!</f>
        <v/>
      </c>
      <c r="Y227" s="148">
        <f>IF(W227&lt;&gt;"",W227*X227,"")</f>
        <v/>
      </c>
      <c r="Z227" s="148">
        <f>IF(AND(W227&lt;&gt;"",U227="yes"),W227*X227,"")</f>
        <v/>
      </c>
    </row>
    <row r="228" ht="32.15" customHeight="1">
      <c r="A228" s="56" t="inlineStr">
        <is>
          <t>select_one change</t>
        </is>
      </c>
      <c r="B228" s="56" t="inlineStr">
        <is>
          <t>ls_salesprice</t>
        </is>
      </c>
      <c r="C228" s="62" t="inlineStr">
        <is>
          <t>How does the current price of your household's ${lssalesmain} compare to the average price in the same period of last year?</t>
        </is>
      </c>
      <c r="D228" s="69" t="n"/>
      <c r="E228" s="69" t="n"/>
      <c r="F228" s="56" t="inlineStr">
        <is>
          <t>[INSTRUCTIONS: INSIST ON THE MAIN PRODUCT MENTIONED.]</t>
        </is>
      </c>
      <c r="G228" s="70" t="n"/>
      <c r="H228" s="70" t="n"/>
      <c r="I228" s="98" t="inlineStr">
        <is>
          <t>true</t>
        </is>
      </c>
      <c r="J228" s="98" t="n"/>
      <c r="K228" s="98" t="n"/>
      <c r="L228" s="98" t="n"/>
      <c r="M228" s="98" t="inlineStr">
        <is>
          <t>${ls_salesmain} != '12' and ${ls_salesmain} != '13'</t>
        </is>
      </c>
      <c r="N228" s="98" t="n"/>
      <c r="O228" s="98" t="n"/>
      <c r="P228" s="98" t="n"/>
      <c r="U228" s="36" t="inlineStr">
        <is>
          <t>yes</t>
        </is>
      </c>
      <c r="W228" s="167" t="n">
        <v>19.32173728942871</v>
      </c>
      <c r="X228" s="89">
        <f>'Additional information'!#REF!</f>
        <v/>
      </c>
      <c r="Y228" s="148">
        <f>IF(W228&lt;&gt;"",W228*X228,"")</f>
        <v/>
      </c>
      <c r="Z228" s="148">
        <f>IF(AND(W228&lt;&gt;"",U228="yes"),W228*X228,"")</f>
        <v/>
      </c>
    </row>
    <row r="229">
      <c r="C229" s="38" t="n"/>
      <c r="D229" s="69" t="n"/>
      <c r="E229" s="69" t="n"/>
      <c r="G229" s="70" t="n"/>
      <c r="H229" s="70" t="n"/>
      <c r="M229" s="110" t="n"/>
      <c r="W229" s="167" t="n"/>
      <c r="X229" s="89">
        <f>'Additional information'!#REF!</f>
        <v/>
      </c>
      <c r="Y229" s="148">
        <f>IF(W229&lt;&gt;"",W229*X229,"")</f>
        <v/>
      </c>
      <c r="Z229" s="148">
        <f>IF(AND(W229&lt;&gt;"",U229="yes"),W229*X229,"")</f>
        <v/>
      </c>
    </row>
    <row r="230" ht="16" customHeight="1" thickBot="1">
      <c r="A230" s="83" t="inlineStr">
        <is>
          <t>end_group</t>
        </is>
      </c>
      <c r="B230" s="83" t="n"/>
      <c r="C230" s="84" t="n"/>
      <c r="D230" s="91" t="n"/>
      <c r="E230" s="91" t="n"/>
      <c r="F230" s="83" t="n"/>
      <c r="G230" s="92" t="n"/>
      <c r="H230" s="92" t="n"/>
      <c r="I230" s="111" t="n"/>
      <c r="J230" s="111" t="n"/>
      <c r="K230" s="111" t="n"/>
      <c r="L230" s="111" t="n"/>
      <c r="M230" s="111" t="n"/>
      <c r="N230" s="111" t="n"/>
      <c r="O230" s="111" t="n"/>
      <c r="P230" s="111" t="n"/>
      <c r="W230" s="167" t="n"/>
      <c r="Y230" s="148">
        <f>IF(W230&lt;&gt;"",W230*X230,"")</f>
        <v/>
      </c>
      <c r="Z230" s="148">
        <f>IF(AND(W230&lt;&gt;"",U230="yes"),W230*X230,"")</f>
        <v/>
      </c>
    </row>
    <row r="231" ht="17.15" customFormat="1" customHeight="1" s="54" thickTop="1">
      <c r="A231" s="51" t="inlineStr">
        <is>
          <t>begin_group</t>
        </is>
      </c>
      <c r="B231" s="51" t="inlineStr">
        <is>
          <t>Fishing_group</t>
        </is>
      </c>
      <c r="C231" s="75" t="inlineStr">
        <is>
          <t>FISHING / AQUACULTURE PRODUCTION</t>
        </is>
      </c>
      <c r="D231" s="52" t="n"/>
      <c r="E231" s="52" t="n"/>
      <c r="F231" s="51" t="n"/>
      <c r="G231" s="53" t="n"/>
      <c r="H231" s="53" t="n"/>
      <c r="I231" s="103" t="inlineStr">
        <is>
          <t>false</t>
        </is>
      </c>
      <c r="J231" s="103" t="n"/>
      <c r="K231" s="103" t="n"/>
      <c r="L231" s="103" t="n"/>
      <c r="M231" s="104" t="inlineStr">
        <is>
          <t>${resp_agree} = '1' and (${income_main_fish_check}='1' or ${income_sec_fish_check}='1' or ${income_third_fish_check}='1' or ${hh_fish}='1')</t>
        </is>
      </c>
      <c r="N231" s="103" t="n"/>
      <c r="O231" s="103" t="n"/>
      <c r="P231" s="103" t="n"/>
      <c r="U231" s="36" t="inlineStr">
        <is>
          <t>yes</t>
        </is>
      </c>
      <c r="W231" s="167" t="n"/>
      <c r="X231" s="55" t="n"/>
      <c r="Y231" s="148">
        <f>IF(W231&lt;&gt;"",W231*X231,"")</f>
        <v/>
      </c>
      <c r="Z231" s="148">
        <f>IF(AND(W231&lt;&gt;"",U231="yes"),W231*X231,"")</f>
        <v/>
      </c>
      <c r="AA231" s="55" t="n"/>
    </row>
    <row r="232" ht="48" customFormat="1" customHeight="1" s="57">
      <c r="A232" s="61" t="inlineStr">
        <is>
          <t>note</t>
        </is>
      </c>
      <c r="B232" s="61" t="inlineStr">
        <is>
          <t>fish_intro</t>
        </is>
      </c>
      <c r="C232" s="62" t="inlineStr">
        <is>
          <t>We will now ask you some questions about fishing and aquaculture production which apply to you and anyone in your household that is involved in the capture, culture, or harvest of fish and aquatic products.</t>
        </is>
      </c>
      <c r="D232" s="80" t="n"/>
      <c r="E232" s="80" t="n"/>
      <c r="G232" s="82" t="n"/>
      <c r="H232" s="82" t="n"/>
      <c r="I232" s="100" t="n"/>
      <c r="J232" s="100" t="n"/>
      <c r="K232" s="100" t="n"/>
      <c r="L232" s="100" t="n"/>
      <c r="M232" s="100" t="n"/>
      <c r="N232" s="100" t="n"/>
      <c r="O232" s="100" t="n"/>
      <c r="P232" s="100" t="n"/>
      <c r="U232" s="57" t="inlineStr">
        <is>
          <t>yes</t>
        </is>
      </c>
      <c r="W232" s="167" t="n">
        <v>7.5</v>
      </c>
      <c r="X232" s="89">
        <f>'Additional information'!#REF!</f>
        <v/>
      </c>
      <c r="Y232" s="148">
        <f>IF(W232&lt;&gt;"",W232*X232,"")</f>
        <v/>
      </c>
      <c r="Z232" s="148">
        <f>IF(AND(W232&lt;&gt;"",U232="yes"),W232*X232,"")</f>
        <v/>
      </c>
    </row>
    <row r="233" customFormat="1" s="54">
      <c r="C233" s="76" t="n"/>
      <c r="D233" s="52" t="n"/>
      <c r="E233" s="52" t="n"/>
      <c r="G233" s="53" t="n"/>
      <c r="H233" s="53" t="n"/>
      <c r="I233" s="104" t="n"/>
      <c r="J233" s="104" t="n"/>
      <c r="K233" s="104" t="n"/>
      <c r="L233" s="104" t="n"/>
      <c r="M233" s="104" t="n"/>
      <c r="N233" s="104" t="n"/>
      <c r="O233" s="104" t="n"/>
      <c r="P233" s="104" t="n"/>
      <c r="U233" s="36" t="n"/>
      <c r="W233" s="167" t="n"/>
      <c r="X233" s="89">
        <f>'Additional information'!#REF!</f>
        <v/>
      </c>
      <c r="Y233" s="148">
        <f>IF(W233&lt;&gt;"",W233*X233,"")</f>
        <v/>
      </c>
      <c r="Z233" s="148">
        <f>IF(AND(W233&lt;&gt;"",U233="yes"),W233*X233,"")</f>
        <v/>
      </c>
      <c r="AA233" s="55" t="n"/>
    </row>
    <row r="234" ht="16" customHeight="1">
      <c r="A234" s="56" t="inlineStr">
        <is>
          <t>select_multiple fishactivity</t>
        </is>
      </c>
      <c r="B234" s="56" t="inlineStr">
        <is>
          <t>fish_main</t>
        </is>
      </c>
      <c r="C234" s="35" t="inlineStr">
        <is>
          <t>What type of fishing activity does your household generally practice?</t>
        </is>
      </c>
      <c r="D234" s="69" t="n"/>
      <c r="E234" s="69" t="n"/>
      <c r="F234" s="36" t="inlineStr">
        <is>
          <t>[INSTRUCTIONS: MUTIPLE RESPONSES POSSIBLE.]</t>
        </is>
      </c>
      <c r="G234" s="70" t="n"/>
      <c r="H234" s="70" t="n"/>
      <c r="I234" s="98" t="inlineStr">
        <is>
          <t>true</t>
        </is>
      </c>
      <c r="J234" s="98" t="n"/>
      <c r="K234" s="98" t="inlineStr">
        <is>
          <t>if(selected(., 'dk') or selected(., 'ref'), count-selected(.) = 1, count-selected(.) &gt;= 1)</t>
        </is>
      </c>
      <c r="L234" s="98" t="n"/>
      <c r="M234" s="98" t="n"/>
      <c r="N234" s="98" t="n"/>
      <c r="O234" s="98" t="n"/>
      <c r="P234" s="98" t="n"/>
      <c r="U234" s="36" t="inlineStr">
        <is>
          <t>yes</t>
        </is>
      </c>
      <c r="W234" s="167" t="n">
        <v>19.09011650085449</v>
      </c>
      <c r="X234" s="89">
        <f>'Additional information'!#REF!</f>
        <v/>
      </c>
      <c r="Y234" s="148">
        <f>IF(W234&lt;&gt;"",W234*X234,"")</f>
        <v/>
      </c>
      <c r="Z234" s="148">
        <f>IF(AND(W234&lt;&gt;"",U234="yes"),W234*X234,"")</f>
        <v/>
      </c>
    </row>
    <row r="235">
      <c r="D235" s="69" t="n"/>
      <c r="E235" s="69" t="n"/>
      <c r="G235" s="70" t="n"/>
      <c r="H235" s="70" t="n"/>
      <c r="W235" s="167" t="n"/>
      <c r="X235" s="89">
        <f>'Additional information'!#REF!</f>
        <v/>
      </c>
      <c r="Y235" s="148">
        <f>IF(W235&lt;&gt;"",W235*X235,"")</f>
        <v/>
      </c>
      <c r="Z235" s="148">
        <f>IF(AND(W235&lt;&gt;"",U235="yes"),W235*X235,"")</f>
        <v/>
      </c>
    </row>
    <row r="236" ht="32.15" customHeight="1">
      <c r="A236" s="56" t="inlineStr">
        <is>
          <t>select_one change</t>
        </is>
      </c>
      <c r="B236" s="56" t="inlineStr">
        <is>
          <t>fish_change</t>
        </is>
      </c>
      <c r="C236" s="35" t="inlineStr">
        <is>
          <t>How does your fish catch [farmed] in the last 3 months [last harvest] compare to the same period [harvest] last year?</t>
        </is>
      </c>
      <c r="D236" s="69" t="n"/>
      <c r="E236" s="69" t="n"/>
      <c r="G236" s="70" t="n"/>
      <c r="H236" s="70" t="n"/>
      <c r="I236" s="98" t="inlineStr">
        <is>
          <t>true</t>
        </is>
      </c>
      <c r="J236" s="98" t="n"/>
      <c r="K236" s="98" t="n"/>
      <c r="L236" s="98" t="n"/>
      <c r="M236" s="98" t="inlineStr">
        <is>
          <t>not(${fish_main}='dk' or ${fish_main}='ref')</t>
        </is>
      </c>
      <c r="N236" s="98" t="n"/>
      <c r="O236" s="98" t="n"/>
      <c r="P236" s="98" t="n"/>
      <c r="U236" s="36" t="inlineStr">
        <is>
          <t>yes</t>
        </is>
      </c>
      <c r="W236" s="167" t="n">
        <v>17.6569766998291</v>
      </c>
      <c r="X236" s="89">
        <f>'Additional information'!#REF!</f>
        <v/>
      </c>
      <c r="Y236" s="148">
        <f>IF(W236&lt;&gt;"",W236*X236,"")</f>
        <v/>
      </c>
      <c r="Z236" s="148">
        <f>IF(AND(W236&lt;&gt;"",U236="yes"),W236*X236,"")</f>
        <v/>
      </c>
    </row>
    <row r="237">
      <c r="D237" s="69" t="n"/>
      <c r="E237" s="69" t="n"/>
      <c r="G237" s="70" t="n"/>
      <c r="H237" s="70" t="n"/>
      <c r="W237" s="167" t="n"/>
      <c r="X237" s="89">
        <f>'Additional information'!#REF!</f>
        <v/>
      </c>
      <c r="Y237" s="148">
        <f>IF(W237&lt;&gt;"",W237*X237,"")</f>
        <v/>
      </c>
      <c r="Z237" s="148">
        <f>IF(AND(W237&lt;&gt;"",U237="yes"),W237*X237,"")</f>
        <v/>
      </c>
    </row>
    <row r="238" ht="32.15" customHeight="1">
      <c r="A238" s="56" t="inlineStr">
        <is>
          <t>select_one yes_no</t>
        </is>
      </c>
      <c r="B238" s="56" t="inlineStr">
        <is>
          <t>fish_proddif</t>
        </is>
      </c>
      <c r="C238" s="35" t="inlineStr">
        <is>
          <t>Has your household faced any significant difficulty with fish catch / harvest / farming in the last 3 months?</t>
        </is>
      </c>
      <c r="D238" s="69" t="n"/>
      <c r="E238" s="69" t="n"/>
      <c r="G238" s="70" t="n"/>
      <c r="H238" s="70" t="n"/>
      <c r="I238" s="98" t="inlineStr">
        <is>
          <t>true</t>
        </is>
      </c>
      <c r="J238" s="98" t="n"/>
      <c r="K238" s="98" t="n"/>
      <c r="L238" s="98" t="n"/>
      <c r="M238" s="98" t="inlineStr">
        <is>
          <t>not(${fish_main}='dk' or ${fish_main}='ref')</t>
        </is>
      </c>
      <c r="N238" s="98" t="n"/>
      <c r="O238" s="98" t="n"/>
      <c r="P238" s="98" t="n"/>
      <c r="U238" s="36" t="inlineStr">
        <is>
          <t>yes</t>
        </is>
      </c>
      <c r="W238" s="168" t="n">
        <v>8.764705657958984</v>
      </c>
      <c r="X238" s="89">
        <f>'Additional information'!#REF!</f>
        <v/>
      </c>
      <c r="Y238" s="148">
        <f>IF(W238&lt;&gt;"",W238*X238,"")</f>
        <v/>
      </c>
      <c r="Z238" s="148">
        <f>IF(AND(W238&lt;&gt;"",U238="yes"),W238*X238,"")</f>
        <v/>
      </c>
    </row>
    <row r="239" ht="32.15" customHeight="1">
      <c r="A239" s="56" t="inlineStr">
        <is>
          <t>select_multiple fishproddiff</t>
        </is>
      </c>
      <c r="B239" s="56" t="inlineStr">
        <is>
          <t>fish_proddif_</t>
        </is>
      </c>
      <c r="C239" s="35" t="inlineStr">
        <is>
          <t>Which difficulties has your household faced with fish catch / harvest / farming in the last 3 months?</t>
        </is>
      </c>
      <c r="D239" s="69" t="n"/>
      <c r="E239" s="69" t="n"/>
      <c r="F239" s="36" t="inlineStr">
        <is>
          <t>[INSTRUCTIONS: MULTIPLE RESPONSES POSSIBLE. SELECT OPTION(S) THAT BEST FIT THE INFORMATION PROVIDED BY THE RESPONDENTS.]</t>
        </is>
      </c>
      <c r="G239" s="70" t="n"/>
      <c r="H239" s="70" t="n"/>
      <c r="I239" s="98" t="n"/>
      <c r="J239" s="98" t="n"/>
      <c r="K239" s="100" t="inlineStr">
        <is>
          <t>if(selected(., 'dk') or selected(., 'ref'), count-selected(.) = 1, count-selected(.) &gt;= 1)</t>
        </is>
      </c>
      <c r="L239" s="98" t="n"/>
      <c r="M239" s="100" t="inlineStr">
        <is>
          <t>${fish_proddif}='1'</t>
        </is>
      </c>
      <c r="N239" s="98" t="n"/>
      <c r="O239" s="98" t="n"/>
      <c r="P239" s="98" t="n"/>
      <c r="U239" s="36" t="inlineStr">
        <is>
          <t>yes</t>
        </is>
      </c>
      <c r="W239" s="168" t="n">
        <v>27.9538459777832</v>
      </c>
      <c r="X239" s="89">
        <f>'Additional information'!#REF!</f>
        <v/>
      </c>
      <c r="Y239" s="148">
        <f>IF(W239&lt;&gt;"",W239*X239,"")</f>
        <v/>
      </c>
      <c r="Z239" s="148">
        <f>IF(AND(W239&lt;&gt;"",U239="yes"),W239*X239,"")</f>
        <v/>
      </c>
    </row>
    <row r="240" ht="16" customHeight="1">
      <c r="A240" s="56" t="inlineStr">
        <is>
          <t>text</t>
        </is>
      </c>
      <c r="B240" s="56" t="inlineStr">
        <is>
          <t>fish_proddif_otherspecify</t>
        </is>
      </c>
      <c r="C240" s="62" t="inlineStr">
        <is>
          <t>If other, specify.</t>
        </is>
      </c>
      <c r="D240" s="80" t="n"/>
      <c r="E240" s="80" t="n"/>
      <c r="F240" s="57" t="inlineStr">
        <is>
          <t>[INSTRUCTIONS: RECORD THE OPEN RESPONSE GIVEN IN FEW WORDS. ENTER 888 FOR DON'T KNOW AND 999 FOR REFUSED]</t>
        </is>
      </c>
      <c r="G240" s="70" t="n"/>
      <c r="H240" s="70" t="n"/>
      <c r="I240" s="98" t="inlineStr">
        <is>
          <t>true</t>
        </is>
      </c>
      <c r="J240" s="98" t="n"/>
      <c r="K240" s="98" t="n"/>
      <c r="L240" s="98" t="n"/>
      <c r="M240" s="98" t="inlineStr">
        <is>
          <t>${fish_proddif} = '1' and selected(${fish_proddif_}, 'other')</t>
        </is>
      </c>
      <c r="N240" s="98" t="n"/>
      <c r="O240" s="98" t="n"/>
      <c r="P240" s="98" t="n"/>
      <c r="U240" s="36" t="inlineStr">
        <is>
          <t>yes</t>
        </is>
      </c>
      <c r="W240" s="167" t="n"/>
      <c r="X240" s="89">
        <f>'Additional information'!#REF!</f>
        <v/>
      </c>
      <c r="Y240" s="148">
        <f>IF(W240&lt;&gt;"",W240*X240,"")</f>
        <v/>
      </c>
      <c r="Z240" s="148">
        <f>IF(AND(W240&lt;&gt;"",U240="yes"),W240*X240,"")</f>
        <v/>
      </c>
    </row>
    <row r="241">
      <c r="D241" s="69" t="n"/>
      <c r="E241" s="69" t="n"/>
      <c r="G241" s="70" t="n"/>
      <c r="H241" s="70" t="n"/>
      <c r="W241" s="167" t="n"/>
      <c r="X241" s="89">
        <f>'Additional information'!#REF!</f>
        <v/>
      </c>
      <c r="Y241" s="148">
        <f>IF(W241&lt;&gt;"",W241*X241,"")</f>
        <v/>
      </c>
      <c r="Z241" s="148">
        <f>IF(AND(W241&lt;&gt;"",U241="yes"),W241*X241,"")</f>
        <v/>
      </c>
    </row>
    <row r="242" ht="32.15" customFormat="1" customHeight="1" s="58">
      <c r="A242" s="58" t="inlineStr">
        <is>
          <t>select_multiple fishinput</t>
        </is>
      </c>
      <c r="B242" s="58" t="inlineStr">
        <is>
          <t>fish_inputdif</t>
        </is>
      </c>
      <c r="C242" s="59" t="inlineStr">
        <is>
          <t>Which fishing [culture] input material has your household had difficulties accessing in the last 3 months?</t>
        </is>
      </c>
      <c r="D242" s="60" t="n"/>
      <c r="E242" s="60" t="n"/>
      <c r="F242" s="58" t="inlineStr">
        <is>
          <t>[INSTRUCTIONS: MUTIPLE RESPONSES POSSIBLE.]</t>
        </is>
      </c>
      <c r="G242" s="64" t="n"/>
      <c r="H242" s="64" t="n"/>
      <c r="I242" s="99" t="inlineStr">
        <is>
          <t>true</t>
        </is>
      </c>
      <c r="J242" s="99" t="n"/>
      <c r="K242" s="99" t="inlineStr">
        <is>
          <t>if(selected(., 'dk') or selected(., 'ref'), count-selected(.) = 1, count-selected(.) &gt;= 1)</t>
        </is>
      </c>
      <c r="L242" s="99" t="n"/>
      <c r="M242" s="99" t="inlineStr">
        <is>
          <t>${fish_proddif} = '1' and selected(${fish_proddif_}, 'input_access')</t>
        </is>
      </c>
      <c r="N242" s="99" t="n"/>
      <c r="O242" s="99" t="n"/>
      <c r="P242" s="99" t="n"/>
      <c r="U242" s="58" t="inlineStr">
        <is>
          <t>no</t>
        </is>
      </c>
      <c r="W242" s="167" t="n">
        <v>21.25</v>
      </c>
      <c r="X242" s="89">
        <f>'Additional information'!#REF!</f>
        <v/>
      </c>
      <c r="Y242" s="148">
        <f>IF(W242&lt;&gt;"",W242*X242,"")</f>
        <v/>
      </c>
      <c r="Z242" s="148">
        <f>IF(AND(W242&lt;&gt;"",U242="yes"),W242*X242,"")</f>
        <v/>
      </c>
      <c r="AA242" s="57" t="n"/>
    </row>
    <row r="243" ht="16" customFormat="1" customHeight="1" s="58">
      <c r="A243" s="58" t="inlineStr">
        <is>
          <t>text</t>
        </is>
      </c>
      <c r="B243" s="58" t="inlineStr">
        <is>
          <t>fish_inputdif_otherspecify</t>
        </is>
      </c>
      <c r="C243" s="59" t="inlineStr">
        <is>
          <t>If other, specify.</t>
        </is>
      </c>
      <c r="D243" s="60" t="n"/>
      <c r="E243" s="60" t="n"/>
      <c r="F243" s="58" t="inlineStr">
        <is>
          <t>[INSTRUCTIONS: RECORD THE OPEN RESPONSE GIVEN IN FEW WORDS. ENTER 888 FOR DON'T KNOW AND 999 FOR REFUSED]</t>
        </is>
      </c>
      <c r="G243" s="64" t="n"/>
      <c r="H243" s="64" t="n"/>
      <c r="I243" s="99" t="inlineStr">
        <is>
          <t>true</t>
        </is>
      </c>
      <c r="J243" s="99" t="n"/>
      <c r="K243" s="99" t="n"/>
      <c r="L243" s="99" t="n"/>
      <c r="M243" s="99" t="inlineStr">
        <is>
          <t>${fish_inputdif} = 'other'</t>
        </is>
      </c>
      <c r="N243" s="99" t="n"/>
      <c r="O243" s="99" t="n"/>
      <c r="P243" s="99" t="n"/>
      <c r="U243" s="58" t="inlineStr">
        <is>
          <t>no</t>
        </is>
      </c>
      <c r="W243" s="167" t="n"/>
      <c r="X243" s="89">
        <f>'Additional information'!#REF!</f>
        <v/>
      </c>
      <c r="Y243" s="148">
        <f>IF(W243&lt;&gt;"",W243*X243,"")</f>
        <v/>
      </c>
      <c r="Z243" s="148">
        <f>IF(AND(W243&lt;&gt;"",U243="yes"),W243*X243,"")</f>
        <v/>
      </c>
      <c r="AA243" s="57" t="n"/>
    </row>
    <row r="244" customFormat="1" s="58">
      <c r="C244" s="59" t="n"/>
      <c r="D244" s="60" t="n"/>
      <c r="E244" s="60" t="n"/>
      <c r="G244" s="64" t="n"/>
      <c r="H244" s="64" t="n"/>
      <c r="I244" s="99" t="n"/>
      <c r="J244" s="99" t="n"/>
      <c r="K244" s="99" t="n"/>
      <c r="L244" s="99" t="n"/>
      <c r="M244" s="99" t="n"/>
      <c r="N244" s="99" t="n"/>
      <c r="O244" s="99" t="n"/>
      <c r="P244" s="99" t="n"/>
      <c r="W244" s="167" t="n"/>
      <c r="X244" s="89">
        <f>'Additional information'!#REF!</f>
        <v/>
      </c>
      <c r="Y244" s="148">
        <f>IF(W244&lt;&gt;"",W244*X244,"")</f>
        <v/>
      </c>
      <c r="Z244" s="148">
        <f>IF(AND(W244&lt;&gt;"",U244="yes"),W244*X244,"")</f>
        <v/>
      </c>
      <c r="AA244" s="57" t="n"/>
    </row>
    <row r="245" ht="16" customHeight="1" thickBot="1">
      <c r="A245" s="78" t="inlineStr">
        <is>
          <t>end_group</t>
        </is>
      </c>
      <c r="B245" s="78" t="n"/>
      <c r="C245" s="79" t="n"/>
      <c r="D245" s="73" t="n"/>
      <c r="E245" s="73" t="n"/>
      <c r="F245" s="78" t="n"/>
      <c r="G245" s="74" t="n"/>
      <c r="H245" s="74" t="n"/>
      <c r="I245" s="109" t="n"/>
      <c r="J245" s="109" t="n"/>
      <c r="K245" s="109" t="n"/>
      <c r="L245" s="109" t="n"/>
      <c r="M245" s="109" t="n"/>
      <c r="N245" s="109" t="n"/>
      <c r="O245" s="109" t="n"/>
      <c r="P245" s="109" t="n"/>
      <c r="W245" s="167" t="n"/>
      <c r="Y245" s="148">
        <f>IF(W245&lt;&gt;"",W245*X245,"")</f>
        <v/>
      </c>
      <c r="Z245" s="148">
        <f>IF(AND(W245&lt;&gt;"",U245="yes"),W245*X245,"")</f>
        <v/>
      </c>
    </row>
    <row r="246" ht="17.15" customFormat="1" customHeight="1" s="54" thickTop="1">
      <c r="A246" s="51" t="inlineStr">
        <is>
          <t>begin_group</t>
        </is>
      </c>
      <c r="B246" s="51" t="inlineStr">
        <is>
          <t>FishSales_group</t>
        </is>
      </c>
      <c r="C246" s="75" t="inlineStr">
        <is>
          <t xml:space="preserve">FISHING / AQUACULTURE MARKETING </t>
        </is>
      </c>
      <c r="D246" s="52" t="n"/>
      <c r="E246" s="52" t="n"/>
      <c r="F246" s="51" t="n"/>
      <c r="G246" s="53" t="n"/>
      <c r="H246" s="53" t="n"/>
      <c r="I246" s="103" t="inlineStr">
        <is>
          <t>false</t>
        </is>
      </c>
      <c r="J246" s="103" t="n"/>
      <c r="K246" s="103" t="n"/>
      <c r="L246" s="103" t="n"/>
      <c r="M246" s="104" t="inlineStr">
        <is>
          <t>${resp_agree} = '1' and (${income_main}='6' or ${income_sec}='6' or ${income_third}='6')</t>
        </is>
      </c>
      <c r="N246" s="103" t="n"/>
      <c r="O246" s="103" t="n"/>
      <c r="P246" s="103" t="n"/>
      <c r="U246" s="36" t="inlineStr">
        <is>
          <t>yes</t>
        </is>
      </c>
      <c r="W246" s="167" t="n"/>
      <c r="X246" s="55" t="n"/>
      <c r="Y246" s="148">
        <f>IF(W246&lt;&gt;"",W246*X246,"")</f>
        <v/>
      </c>
      <c r="Z246" s="148">
        <f>IF(AND(W246&lt;&gt;"",U246="yes"),W246*X246,"")</f>
        <v/>
      </c>
      <c r="AA246" s="55" t="n"/>
    </row>
    <row r="247" customFormat="1" s="54">
      <c r="C247" s="76" t="n"/>
      <c r="D247" s="52" t="n"/>
      <c r="E247" s="52" t="n"/>
      <c r="G247" s="53" t="n"/>
      <c r="H247" s="53" t="n"/>
      <c r="I247" s="104" t="n"/>
      <c r="J247" s="104" t="n"/>
      <c r="K247" s="104" t="n"/>
      <c r="L247" s="104" t="n"/>
      <c r="M247" s="104" t="n"/>
      <c r="N247" s="104" t="n"/>
      <c r="O247" s="104" t="n"/>
      <c r="P247" s="104" t="n"/>
      <c r="U247" s="36" t="n"/>
      <c r="W247" s="167" t="n"/>
      <c r="X247" s="89">
        <f>'Additional information'!#REF!</f>
        <v/>
      </c>
      <c r="Y247" s="148">
        <f>IF(W247&lt;&gt;"",W247*X247,"")</f>
        <v/>
      </c>
      <c r="Z247" s="148">
        <f>IF(AND(W247&lt;&gt;"",U247="yes"),W247*X247,"")</f>
        <v/>
      </c>
      <c r="AA247" s="55" t="n"/>
    </row>
    <row r="248" ht="32.15" customFormat="1" customHeight="1" s="54">
      <c r="A248" s="56" t="inlineStr">
        <is>
          <t>select_one fishsales</t>
        </is>
      </c>
      <c r="B248" s="56" t="inlineStr">
        <is>
          <t>fish_salesmain</t>
        </is>
      </c>
      <c r="C248" s="35" t="inlineStr">
        <is>
          <t>What was the main fish or aquatic product sold by your household in the last 3 months?</t>
        </is>
      </c>
      <c r="D248" s="69" t="n"/>
      <c r="E248" s="69" t="n"/>
      <c r="F248" s="56" t="n"/>
      <c r="G248" s="70" t="n"/>
      <c r="H248" s="70" t="n"/>
      <c r="I248" s="98" t="inlineStr">
        <is>
          <t>true</t>
        </is>
      </c>
      <c r="J248" s="103" t="n"/>
      <c r="K248" s="103" t="n"/>
      <c r="L248" s="103" t="n"/>
      <c r="M248" s="103" t="n"/>
      <c r="N248" s="103" t="n"/>
      <c r="O248" s="103" t="n"/>
      <c r="P248" s="103" t="n"/>
      <c r="U248" s="36" t="inlineStr">
        <is>
          <t>yes</t>
        </is>
      </c>
      <c r="W248" s="167" t="n">
        <v>14.38495540618896</v>
      </c>
      <c r="X248" s="89">
        <f>'Additional information'!#REF!</f>
        <v/>
      </c>
      <c r="Y248" s="148">
        <f>IF(W248&lt;&gt;"",W248*X248,"")</f>
        <v/>
      </c>
      <c r="Z248" s="148">
        <f>IF(AND(W248&lt;&gt;"",U248="yes"),W248*X248,"")</f>
        <v/>
      </c>
      <c r="AA248" s="55" t="n"/>
    </row>
    <row r="249">
      <c r="A249" s="56" t="inlineStr">
        <is>
          <t>calculate</t>
        </is>
      </c>
      <c r="B249" s="56" t="inlineStr">
        <is>
          <t>fishsalesmain</t>
        </is>
      </c>
      <c r="C249" s="35" t="n"/>
      <c r="D249" s="69" t="n"/>
      <c r="E249" s="69" t="n"/>
      <c r="F249" s="56" t="n"/>
      <c r="G249" s="70" t="n"/>
      <c r="H249" s="70" t="n"/>
      <c r="I249" s="98" t="n"/>
      <c r="J249" s="98" t="n"/>
      <c r="K249" s="98" t="n"/>
      <c r="L249" s="98" t="n"/>
      <c r="M249" s="98" t="n"/>
      <c r="N249" s="98" t="n"/>
      <c r="O249" s="98" t="n"/>
      <c r="P249" s="98" t="inlineStr">
        <is>
          <t>jr:choice-name(${fish_salesmain},'${fish_salesmain}')</t>
        </is>
      </c>
      <c r="U249" s="36" t="inlineStr">
        <is>
          <t>yes</t>
        </is>
      </c>
      <c r="W249" s="167" t="n"/>
      <c r="X249" s="89">
        <f>'Additional information'!#REF!</f>
        <v/>
      </c>
      <c r="Y249" s="148">
        <f>IF(W249&lt;&gt;"",W249*X249,"")</f>
        <v/>
      </c>
      <c r="Z249" s="148">
        <f>IF(AND(W249&lt;&gt;"",U249="yes"),W249*X249,"")</f>
        <v/>
      </c>
    </row>
    <row r="250" ht="16" customHeight="1">
      <c r="A250" s="56" t="inlineStr">
        <is>
          <t>text</t>
        </is>
      </c>
      <c r="B250" s="56" t="inlineStr">
        <is>
          <t>fish_salesmain_otherspecify</t>
        </is>
      </c>
      <c r="C250" s="62" t="inlineStr">
        <is>
          <t>If other, specify.</t>
        </is>
      </c>
      <c r="D250" s="80" t="n"/>
      <c r="E250" s="80" t="n"/>
      <c r="F250" s="57" t="inlineStr">
        <is>
          <t>[INSTRUCTIONS: RECORD THE OPEN RESPONSE GIVEN IN FEW WORDS. ENTER 888 FOR DON'T KNOW AND 999 FOR REFUSED]</t>
        </is>
      </c>
      <c r="G250" s="70" t="n"/>
      <c r="H250" s="70" t="n"/>
      <c r="I250" s="98" t="inlineStr">
        <is>
          <t>true</t>
        </is>
      </c>
      <c r="J250" s="98" t="n"/>
      <c r="K250" s="98" t="n"/>
      <c r="L250" s="98" t="n"/>
      <c r="M250" s="100" t="inlineStr">
        <is>
          <t>selected(${fish_salesmain} , '5')</t>
        </is>
      </c>
      <c r="N250" s="98" t="n"/>
      <c r="O250" s="98" t="n"/>
      <c r="P250" s="98" t="n"/>
      <c r="U250" s="36" t="inlineStr">
        <is>
          <t>yes</t>
        </is>
      </c>
      <c r="W250" s="167" t="n"/>
      <c r="X250" s="89">
        <f>'Additional information'!#REF!</f>
        <v/>
      </c>
      <c r="Y250" s="148">
        <f>IF(W250&lt;&gt;"",W250*X250,"")</f>
        <v/>
      </c>
      <c r="Z250" s="148">
        <f>IF(AND(W250&lt;&gt;"",U250="yes"),W250*X250,"")</f>
        <v/>
      </c>
    </row>
    <row r="251">
      <c r="D251" s="69" t="n"/>
      <c r="E251" s="69" t="n"/>
      <c r="G251" s="70" t="n"/>
      <c r="H251" s="70" t="n"/>
      <c r="M251" s="110" t="n"/>
      <c r="W251" s="167" t="n"/>
      <c r="X251" s="89">
        <f>'Additional information'!#REF!</f>
        <v/>
      </c>
      <c r="Y251" s="148">
        <f>IF(W251&lt;&gt;"",W251*X251,"")</f>
        <v/>
      </c>
      <c r="Z251" s="148">
        <f>IF(AND(W251&lt;&gt;"",U251="yes"),W251*X251,"")</f>
        <v/>
      </c>
    </row>
    <row r="252" ht="32.15" customHeight="1">
      <c r="A252" s="56" t="inlineStr">
        <is>
          <t>select_one yes_no</t>
        </is>
      </c>
      <c r="B252" s="56" t="inlineStr">
        <is>
          <t>fish_salesdif</t>
        </is>
      </c>
      <c r="C252" s="35" t="inlineStr">
        <is>
          <t>Has your household faced any significant difficulty marketing / selling your ${fishsalesmain} in the last 3 months?</t>
        </is>
      </c>
      <c r="D252" s="69" t="n"/>
      <c r="E252" s="69" t="n"/>
      <c r="F252" s="56" t="n"/>
      <c r="G252" s="70" t="n"/>
      <c r="H252" s="70" t="n"/>
      <c r="I252" s="98" t="inlineStr">
        <is>
          <t>true</t>
        </is>
      </c>
      <c r="J252" s="98" t="n"/>
      <c r="K252" s="98" t="n"/>
      <c r="L252" s="98" t="n"/>
      <c r="M252" s="98" t="inlineStr">
        <is>
          <t>${fish_salesmain} != '6' and ${fish_salesmain} != '7'</t>
        </is>
      </c>
      <c r="N252" s="98" t="n"/>
      <c r="O252" s="98" t="n"/>
      <c r="P252" s="98" t="n"/>
      <c r="U252" s="36" t="inlineStr">
        <is>
          <t>yes</t>
        </is>
      </c>
      <c r="W252" s="167" t="n">
        <v>9.438053131103516</v>
      </c>
      <c r="X252" s="89">
        <f>'Additional information'!#REF!</f>
        <v/>
      </c>
      <c r="Y252" s="148">
        <f>IF(W252&lt;&gt;"",W252*X252,"")</f>
        <v/>
      </c>
      <c r="Z252" s="148">
        <f>IF(AND(W252&lt;&gt;"",U252="yes"),W252*X252,"")</f>
        <v/>
      </c>
    </row>
    <row r="253" ht="32.15" customHeight="1">
      <c r="A253" s="56" t="inlineStr">
        <is>
          <t>select_multiple fishsalesdif</t>
        </is>
      </c>
      <c r="B253" s="56" t="inlineStr">
        <is>
          <t>fish_saledif</t>
        </is>
      </c>
      <c r="C253" s="35" t="inlineStr">
        <is>
          <t>What difficulties has your household faced in the last 3 months selling your ${fishsalesmain}?</t>
        </is>
      </c>
      <c r="D253" s="69" t="n"/>
      <c r="E253" s="69" t="n"/>
      <c r="F253" s="56" t="inlineStr">
        <is>
          <t>[INSTRUCTIONS: MULTIPLE RESPONSES POSSIBLE.]</t>
        </is>
      </c>
      <c r="G253" s="70" t="n"/>
      <c r="H253" s="70" t="n"/>
      <c r="I253" s="98" t="inlineStr">
        <is>
          <t>true</t>
        </is>
      </c>
      <c r="J253" s="98" t="n"/>
      <c r="K253" s="100" t="inlineStr">
        <is>
          <t>if(selected(., 'dk') or selected(., 'ref'), count-selected(.) = 1, count-selected(.) &gt;= 1)</t>
        </is>
      </c>
      <c r="L253" s="98" t="n"/>
      <c r="M253" s="100" t="inlineStr">
        <is>
          <t xml:space="preserve">${fish_salesdif} = '1' </t>
        </is>
      </c>
      <c r="N253" s="98" t="n"/>
      <c r="O253" s="98" t="n"/>
      <c r="P253" s="98" t="n"/>
      <c r="U253" s="36" t="inlineStr">
        <is>
          <t>yes</t>
        </is>
      </c>
      <c r="W253" s="167" t="n">
        <v>27.76699066162109</v>
      </c>
      <c r="X253" s="89">
        <f>'Additional information'!#REF!</f>
        <v/>
      </c>
      <c r="Y253" s="148">
        <f>IF(W253&lt;&gt;"",W253*X253,"")</f>
        <v/>
      </c>
      <c r="Z253" s="148">
        <f>IF(AND(W253&lt;&gt;"",U253="yes"),W253*X253,"")</f>
        <v/>
      </c>
    </row>
    <row r="254" ht="16" customHeight="1">
      <c r="A254" s="56" t="inlineStr">
        <is>
          <t>text</t>
        </is>
      </c>
      <c r="B254" s="56" t="inlineStr">
        <is>
          <t>fish_salesdif_otherspecify</t>
        </is>
      </c>
      <c r="C254" s="62" t="inlineStr">
        <is>
          <t>If other, specify.</t>
        </is>
      </c>
      <c r="D254" s="80" t="n"/>
      <c r="E254" s="80" t="n"/>
      <c r="F254" s="57" t="inlineStr">
        <is>
          <t>[INSTRUCTIONS: RECORD THE OPEN RESPONSE GIVEN IN FEW WORDS. ENTER 888 FOR DON'T KNOW AND 999 FOR REFUSED]</t>
        </is>
      </c>
      <c r="G254" s="70" t="n"/>
      <c r="H254" s="70" t="n"/>
      <c r="I254" s="98" t="inlineStr">
        <is>
          <t>true</t>
        </is>
      </c>
      <c r="J254" s="98" t="n"/>
      <c r="K254" s="98" t="n"/>
      <c r="L254" s="98" t="n"/>
      <c r="M254" s="100" t="inlineStr">
        <is>
          <t>selected(${fish_saledif}, 'other')</t>
        </is>
      </c>
      <c r="N254" s="98" t="n"/>
      <c r="O254" s="98" t="n"/>
      <c r="P254" s="98" t="n"/>
      <c r="U254" s="36" t="inlineStr">
        <is>
          <t>yes</t>
        </is>
      </c>
      <c r="W254" s="167" t="n"/>
      <c r="X254" s="89">
        <f>'Additional information'!#REF!</f>
        <v/>
      </c>
      <c r="Y254" s="148">
        <f>IF(W254&lt;&gt;"",W254*X254,"")</f>
        <v/>
      </c>
      <c r="Z254" s="148">
        <f>IF(AND(W254&lt;&gt;"",U254="yes"),W254*X254,"")</f>
        <v/>
      </c>
    </row>
    <row r="255">
      <c r="D255" s="69" t="n"/>
      <c r="E255" s="69" t="n"/>
      <c r="G255" s="70" t="n"/>
      <c r="H255" s="70" t="n"/>
      <c r="M255" s="110" t="n"/>
      <c r="W255" s="167" t="n"/>
      <c r="X255" s="89">
        <f>'Additional information'!#REF!</f>
        <v/>
      </c>
      <c r="Y255" s="148">
        <f>IF(W255&lt;&gt;"",W255*X255,"")</f>
        <v/>
      </c>
      <c r="Z255" s="148">
        <f>IF(AND(W255&lt;&gt;"",U255="yes"),W255*X255,"")</f>
        <v/>
      </c>
    </row>
    <row r="256" ht="32.15" customHeight="1">
      <c r="A256" s="56" t="inlineStr">
        <is>
          <t>select_one change</t>
        </is>
      </c>
      <c r="B256" s="56" t="inlineStr">
        <is>
          <t>fish_salesprice</t>
        </is>
      </c>
      <c r="C256" s="62" t="inlineStr">
        <is>
          <t xml:space="preserve">How does the current price of your household's ${fishsalesmain} compare to the average price in the same period/harvest of last year? </t>
        </is>
      </c>
      <c r="D256" s="69" t="n"/>
      <c r="E256" s="69" t="n"/>
      <c r="F256" s="56" t="inlineStr">
        <is>
          <t>[INSTRUCTIONS: INSIST ON THE MAIN PRODUCT MENTIONED.]</t>
        </is>
      </c>
      <c r="G256" s="70" t="n"/>
      <c r="H256" s="70" t="n"/>
      <c r="I256" s="98" t="inlineStr">
        <is>
          <t>true</t>
        </is>
      </c>
      <c r="J256" s="98" t="n"/>
      <c r="K256" s="98" t="n"/>
      <c r="L256" s="98" t="n"/>
      <c r="M256" s="98" t="inlineStr">
        <is>
          <t>${fish_salesmain} != '6' and ${fish_salesmain} != '7'</t>
        </is>
      </c>
      <c r="N256" s="98" t="n"/>
      <c r="O256" s="98" t="n"/>
      <c r="P256" s="98" t="n"/>
      <c r="U256" s="36" t="inlineStr">
        <is>
          <t>yes</t>
        </is>
      </c>
      <c r="W256" s="167" t="n">
        <v>13.7057523727417</v>
      </c>
      <c r="X256" s="89">
        <f>'Additional information'!#REF!</f>
        <v/>
      </c>
      <c r="Y256" s="148">
        <f>IF(W256&lt;&gt;"",W256*X256,"")</f>
        <v/>
      </c>
      <c r="Z256" s="148">
        <f>IF(AND(W256&lt;&gt;"",U256="yes"),W256*X256,"")</f>
        <v/>
      </c>
    </row>
    <row r="257">
      <c r="C257" s="38" t="n"/>
      <c r="D257" s="69" t="n"/>
      <c r="E257" s="69" t="n"/>
      <c r="G257" s="70" t="n"/>
      <c r="H257" s="70" t="n"/>
      <c r="M257" s="110" t="n"/>
      <c r="W257" s="167" t="n"/>
      <c r="X257" s="89">
        <f>'Additional information'!#REF!</f>
        <v/>
      </c>
      <c r="Y257" s="148">
        <f>IF(W257&lt;&gt;"",W257*X257,"")</f>
        <v/>
      </c>
      <c r="Z257" s="148">
        <f>IF(AND(W257&lt;&gt;"",U257="yes"),W257*X257,"")</f>
        <v/>
      </c>
    </row>
    <row r="258" ht="16" customHeight="1" thickBot="1">
      <c r="A258" s="83" t="inlineStr">
        <is>
          <t>end_group</t>
        </is>
      </c>
      <c r="B258" s="83" t="n"/>
      <c r="C258" s="84" t="n"/>
      <c r="D258" s="91" t="n"/>
      <c r="E258" s="91" t="n"/>
      <c r="F258" s="83" t="n"/>
      <c r="G258" s="92" t="n"/>
      <c r="H258" s="92" t="n"/>
      <c r="I258" s="111" t="n"/>
      <c r="J258" s="111" t="n"/>
      <c r="K258" s="111" t="n"/>
      <c r="L258" s="111" t="n"/>
      <c r="M258" s="111" t="n"/>
      <c r="N258" s="111" t="n"/>
      <c r="O258" s="111" t="n"/>
      <c r="P258" s="111" t="n"/>
      <c r="W258" s="167" t="n"/>
      <c r="Y258" s="148">
        <f>IF(W258&lt;&gt;"",W258*X258,"")</f>
        <v/>
      </c>
      <c r="Z258" s="148">
        <f>IF(AND(W258&lt;&gt;"",U258="yes"),W258*X258,"")</f>
        <v/>
      </c>
    </row>
    <row r="259" ht="17.15" customFormat="1" customHeight="1" s="54" thickTop="1">
      <c r="A259" s="51" t="inlineStr">
        <is>
          <t>begin_group</t>
        </is>
      </c>
      <c r="B259" s="51" t="inlineStr">
        <is>
          <t>FSI</t>
        </is>
      </c>
      <c r="C259" s="75" t="inlineStr">
        <is>
          <t>FOOD SECURITY INDICATORS</t>
        </is>
      </c>
      <c r="D259" s="52" t="n"/>
      <c r="E259" s="52" t="n"/>
      <c r="F259" s="51" t="n"/>
      <c r="G259" s="53" t="n"/>
      <c r="H259" s="53" t="n"/>
      <c r="I259" s="103" t="inlineStr">
        <is>
          <t>false</t>
        </is>
      </c>
      <c r="J259" s="103" t="n"/>
      <c r="K259" s="103" t="n"/>
      <c r="L259" s="103" t="n"/>
      <c r="M259" s="104" t="inlineStr">
        <is>
          <t>${resp_agree} = '1' and ${hh_agricactivity} != '5' and ${hh_agricactivity} != '6'</t>
        </is>
      </c>
      <c r="N259" s="103" t="n"/>
      <c r="O259" s="103" t="n"/>
      <c r="P259" s="103" t="n"/>
      <c r="U259" s="36" t="inlineStr">
        <is>
          <t>yes</t>
        </is>
      </c>
      <c r="W259" s="167" t="n"/>
      <c r="X259" s="55" t="n"/>
      <c r="Y259" s="148">
        <f>IF(W259&lt;&gt;"",W259*X259,"")</f>
        <v/>
      </c>
      <c r="Z259" s="148">
        <f>IF(AND(W259&lt;&gt;"",U259="yes"),W259*X259,"")</f>
        <v/>
      </c>
      <c r="AA259" s="55" t="n"/>
    </row>
    <row r="260">
      <c r="C260" s="38" t="n"/>
      <c r="D260" s="69" t="n"/>
      <c r="E260" s="69" t="n"/>
      <c r="G260" s="70" t="n"/>
      <c r="H260" s="70" t="n"/>
      <c r="M260" s="110" t="n"/>
      <c r="W260" s="167" t="n"/>
      <c r="X260" s="89" t="n">
        <v>1</v>
      </c>
      <c r="Y260" s="148">
        <f>IF(W260&lt;&gt;"",W260*X260,"")</f>
        <v/>
      </c>
      <c r="Z260" s="148">
        <f>IF(AND(W260&lt;&gt;"",U260="yes"),W260*X260,"")</f>
        <v/>
      </c>
    </row>
    <row r="261" ht="48" customFormat="1" customHeight="1" s="54">
      <c r="A261" s="56" t="inlineStr">
        <is>
          <t>note</t>
        </is>
      </c>
      <c r="B261" s="56" t="inlineStr">
        <is>
          <t>intro_foodsec</t>
        </is>
      </c>
      <c r="C261" s="35" t="inlineStr">
        <is>
          <t>Now I would like to ask you some questions about food consumption, food utilization and coping mechanisms. Make sure to refer to the correct time period for each set of questions.</t>
        </is>
      </c>
      <c r="D261" s="52" t="n"/>
      <c r="E261" s="52" t="n"/>
      <c r="G261" s="53" t="n"/>
      <c r="H261" s="53" t="n"/>
      <c r="I261" s="103" t="n"/>
      <c r="J261" s="103" t="n"/>
      <c r="K261" s="103" t="n"/>
      <c r="L261" s="103" t="n"/>
      <c r="M261" s="103" t="n"/>
      <c r="N261" s="103" t="n"/>
      <c r="O261" s="103" t="n"/>
      <c r="P261" s="103" t="n"/>
      <c r="U261" s="36" t="inlineStr">
        <is>
          <t>no</t>
        </is>
      </c>
      <c r="W261" s="167" t="n"/>
      <c r="X261" s="90" t="n">
        <v>1</v>
      </c>
      <c r="Y261" s="148">
        <f>IF(W261&lt;&gt;"",W261*X261,"")</f>
        <v/>
      </c>
      <c r="Z261" s="148">
        <f>IF(AND(W261&lt;&gt;"",U261="yes"),W261*X261,"")</f>
        <v/>
      </c>
      <c r="AA261" s="55" t="n"/>
    </row>
    <row r="262">
      <c r="C262" s="38" t="n"/>
      <c r="D262" s="69" t="n"/>
      <c r="E262" s="69" t="n"/>
      <c r="G262" s="70" t="n"/>
      <c r="H262" s="70" t="n"/>
      <c r="M262" s="110" t="n"/>
      <c r="W262" s="167" t="n"/>
      <c r="X262" s="89" t="n">
        <v>1</v>
      </c>
      <c r="Y262" s="148">
        <f>IF(W262&lt;&gt;"",W262*X262,"")</f>
        <v/>
      </c>
      <c r="Z262" s="148">
        <f>IF(AND(W262&lt;&gt;"",U262="yes"),W262*X262,"")</f>
        <v/>
      </c>
    </row>
    <row r="263" ht="16" customFormat="1" customHeight="1" s="54">
      <c r="A263" s="56" t="inlineStr">
        <is>
          <t>begin_group</t>
        </is>
      </c>
      <c r="B263" s="56" t="inlineStr">
        <is>
          <t>grp_fies</t>
        </is>
      </c>
      <c r="C263" s="75" t="inlineStr">
        <is>
          <t>FIES</t>
        </is>
      </c>
      <c r="D263" s="52" t="n"/>
      <c r="E263" s="52" t="n"/>
      <c r="F263" s="51" t="n"/>
      <c r="G263" s="53" t="n"/>
      <c r="H263" s="53" t="n"/>
      <c r="I263" s="103" t="n"/>
      <c r="J263" s="103" t="n"/>
      <c r="K263" s="103" t="n"/>
      <c r="L263" s="103" t="n"/>
      <c r="M263" s="103" t="n"/>
      <c r="N263" s="103" t="n"/>
      <c r="O263" s="103" t="n"/>
      <c r="P263" s="103" t="n"/>
      <c r="U263" s="36" t="n"/>
      <c r="W263" s="167" t="n"/>
      <c r="X263" s="90" t="n">
        <v>1</v>
      </c>
      <c r="Y263" s="148">
        <f>IF(W263&lt;&gt;"",W263*X263,"")</f>
        <v/>
      </c>
      <c r="Z263" s="148">
        <f>IF(AND(W263&lt;&gt;"",U263="yes"),W263*X263,"")</f>
        <v/>
      </c>
      <c r="AA263" s="55" t="n"/>
    </row>
    <row r="264" ht="32.15" customHeight="1">
      <c r="A264" s="56" t="inlineStr">
        <is>
          <t>note</t>
        </is>
      </c>
      <c r="B264" s="56" t="inlineStr">
        <is>
          <t>fies_intro</t>
        </is>
      </c>
      <c r="C264" s="35" t="inlineStr">
        <is>
          <t xml:space="preserve">The first set of questions refers to experiences faced by your or any of your household members over the past 30 days. </t>
        </is>
      </c>
      <c r="D264" s="69" t="n"/>
      <c r="E264" s="69" t="n"/>
      <c r="F264" s="56" t="n"/>
      <c r="G264" s="70" t="n"/>
      <c r="H264" s="70" t="n"/>
      <c r="I264" s="98" t="inlineStr">
        <is>
          <t>false</t>
        </is>
      </c>
      <c r="J264" s="98" t="n"/>
      <c r="K264" s="98" t="n"/>
      <c r="L264" s="98" t="n"/>
      <c r="M264" s="98" t="n"/>
      <c r="N264" s="98" t="n"/>
      <c r="O264" s="98" t="n"/>
      <c r="P264" s="98" t="n"/>
      <c r="U264" s="36" t="inlineStr">
        <is>
          <t>yes</t>
        </is>
      </c>
      <c r="W264" s="167" t="n">
        <v>12.77690315246582</v>
      </c>
      <c r="X264" s="90" t="n">
        <v>1</v>
      </c>
      <c r="Y264" s="148">
        <f>IF(W264&lt;&gt;"",W264*X264,"")</f>
        <v/>
      </c>
      <c r="Z264" s="148">
        <f>IF(AND(W264&lt;&gt;"",U264="yes"),W264*X264,"")</f>
        <v/>
      </c>
    </row>
    <row r="265" ht="48" customHeight="1">
      <c r="A265" s="56" t="inlineStr">
        <is>
          <t>select_one yes_no</t>
        </is>
      </c>
      <c r="B265" s="56" t="inlineStr">
        <is>
          <t>fies_worried</t>
        </is>
      </c>
      <c r="C265" s="35" t="inlineStr">
        <is>
          <t>During the *last 30 days*, was there a time when you or others in your household were **worried about not having enough food to eat** because of lack of money or other resources?</t>
        </is>
      </c>
      <c r="D265" s="69" t="n"/>
      <c r="E265" s="69" t="n"/>
      <c r="F265" s="56" t="n"/>
      <c r="G265" s="70" t="n"/>
      <c r="H265" s="70" t="n"/>
      <c r="I265" s="98" t="inlineStr">
        <is>
          <t>true</t>
        </is>
      </c>
      <c r="J265" s="98" t="n"/>
      <c r="K265" s="98" t="n"/>
      <c r="L265" s="98" t="n"/>
      <c r="M265" s="98" t="n"/>
      <c r="N265" s="98" t="n"/>
      <c r="O265" s="98" t="n"/>
      <c r="P265" s="98" t="n"/>
      <c r="U265" s="36" t="inlineStr">
        <is>
          <t>yes</t>
        </is>
      </c>
      <c r="W265" s="167" t="n">
        <v>21.39860534667969</v>
      </c>
      <c r="X265" s="90" t="n">
        <v>1</v>
      </c>
      <c r="Y265" s="148">
        <f>IF(W265&lt;&gt;"",W265*X265,"")</f>
        <v/>
      </c>
      <c r="Z265" s="148">
        <f>IF(AND(W265&lt;&gt;"",U265="yes"),W265*X265,"")</f>
        <v/>
      </c>
    </row>
    <row r="266" ht="48" customHeight="1">
      <c r="A266" s="56" t="inlineStr">
        <is>
          <t>select_one yes_no</t>
        </is>
      </c>
      <c r="B266" s="56" t="inlineStr">
        <is>
          <t>fies_healthy</t>
        </is>
      </c>
      <c r="C266" s="35" t="inlineStr">
        <is>
          <t>During the *last 30 days*, was there a time when you or others in your household were **unable to eat healthy and nutritious food** because of lack of money or other resources?</t>
        </is>
      </c>
      <c r="D266" s="69" t="n"/>
      <c r="E266" s="69" t="n"/>
      <c r="F266" s="56" t="n"/>
      <c r="G266" s="70" t="n"/>
      <c r="H266" s="70" t="n"/>
      <c r="I266" s="98" t="inlineStr">
        <is>
          <t>true</t>
        </is>
      </c>
      <c r="J266" s="98" t="n"/>
      <c r="K266" s="98" t="n"/>
      <c r="L266" s="98" t="n"/>
      <c r="M266" s="98" t="n"/>
      <c r="N266" s="98" t="n"/>
      <c r="O266" s="98" t="n"/>
      <c r="P266" s="98" t="n"/>
      <c r="U266" s="36" t="inlineStr">
        <is>
          <t>yes</t>
        </is>
      </c>
      <c r="W266" s="167" t="n">
        <v>14.98074054718018</v>
      </c>
      <c r="X266" s="90" t="n">
        <v>1</v>
      </c>
      <c r="Y266" s="148">
        <f>IF(W266&lt;&gt;"",W266*X266,"")</f>
        <v/>
      </c>
      <c r="Z266" s="148">
        <f>IF(AND(W266&lt;&gt;"",U266="yes"),W266*X266,"")</f>
        <v/>
      </c>
    </row>
    <row r="267" ht="32.15" customHeight="1">
      <c r="A267" s="56" t="inlineStr">
        <is>
          <t>select_one yes_no</t>
        </is>
      </c>
      <c r="B267" s="56" t="inlineStr">
        <is>
          <t>fies_fewfoods</t>
        </is>
      </c>
      <c r="C267" s="35" t="inlineStr">
        <is>
          <t>During the *last 30 days*, was there a time when you or others in your household **ate only a few kinds of foods** because of lack of money or other resources?</t>
        </is>
      </c>
      <c r="D267" s="69" t="n"/>
      <c r="E267" s="69" t="n"/>
      <c r="F267" s="56" t="n"/>
      <c r="G267" s="70" t="n"/>
      <c r="H267" s="70" t="n"/>
      <c r="I267" s="98" t="inlineStr">
        <is>
          <t>true</t>
        </is>
      </c>
      <c r="J267" s="98" t="n"/>
      <c r="K267" s="98" t="n"/>
      <c r="L267" s="98" t="n"/>
      <c r="M267" s="98" t="n"/>
      <c r="N267" s="98" t="n"/>
      <c r="O267" s="98" t="n"/>
      <c r="P267" s="98" t="n"/>
      <c r="U267" s="36" t="inlineStr">
        <is>
          <t>yes</t>
        </is>
      </c>
      <c r="W267" s="167" t="n">
        <v>13.72302150726318</v>
      </c>
      <c r="X267" s="90" t="n">
        <v>1</v>
      </c>
      <c r="Y267" s="148">
        <f>IF(W267&lt;&gt;"",W267*X267,"")</f>
        <v/>
      </c>
      <c r="Z267" s="148">
        <f>IF(AND(W267&lt;&gt;"",U267="yes"),W267*X267,"")</f>
        <v/>
      </c>
    </row>
    <row r="268" ht="32.15" customHeight="1">
      <c r="A268" s="56" t="inlineStr">
        <is>
          <t>select_one yes_no</t>
        </is>
      </c>
      <c r="B268" s="56" t="inlineStr">
        <is>
          <t>fies_skipped</t>
        </is>
      </c>
      <c r="C268" s="35" t="inlineStr">
        <is>
          <t>During the *last 30 days*, was there a time when you or others in your household **had to skip a meal** because of lack of money or other resources to get food?</t>
        </is>
      </c>
      <c r="D268" s="69" t="n"/>
      <c r="E268" s="69" t="n"/>
      <c r="F268" s="56" t="n"/>
      <c r="G268" s="70" t="n"/>
      <c r="H268" s="70" t="n"/>
      <c r="I268" s="98" t="inlineStr">
        <is>
          <t>true</t>
        </is>
      </c>
      <c r="J268" s="98" t="n"/>
      <c r="K268" s="98" t="n"/>
      <c r="L268" s="98" t="n"/>
      <c r="M268" s="98" t="n"/>
      <c r="N268" s="98" t="n"/>
      <c r="O268" s="98" t="n"/>
      <c r="P268" s="98" t="n"/>
      <c r="U268" s="36" t="inlineStr">
        <is>
          <t>yes</t>
        </is>
      </c>
      <c r="W268" s="167" t="n">
        <v>13.06220054626465</v>
      </c>
      <c r="X268" s="90" t="n">
        <v>1</v>
      </c>
      <c r="Y268" s="148">
        <f>IF(W268&lt;&gt;"",W268*X268,"")</f>
        <v/>
      </c>
      <c r="Z268" s="148">
        <f>IF(AND(W268&lt;&gt;"",U268="yes"),W268*X268,"")</f>
        <v/>
      </c>
    </row>
    <row r="269" ht="48" customHeight="1">
      <c r="A269" s="56" t="inlineStr">
        <is>
          <t>select_one yes_no</t>
        </is>
      </c>
      <c r="B269" s="56" t="inlineStr">
        <is>
          <t>fies_ateless</t>
        </is>
      </c>
      <c r="C269" s="35" t="inlineStr">
        <is>
          <t>During the *last 30 days*, was there a time when you or others in your household **ate less than you thought you should** because of lack of money or other resources?</t>
        </is>
      </c>
      <c r="D269" s="69" t="n"/>
      <c r="E269" s="69" t="n"/>
      <c r="F269" s="56" t="n"/>
      <c r="G269" s="70" t="n"/>
      <c r="H269" s="70" t="n"/>
      <c r="I269" s="98" t="inlineStr">
        <is>
          <t>true</t>
        </is>
      </c>
      <c r="J269" s="98" t="n"/>
      <c r="K269" s="98" t="n"/>
      <c r="L269" s="98" t="n"/>
      <c r="M269" s="98" t="n"/>
      <c r="N269" s="98" t="n"/>
      <c r="O269" s="98" t="n"/>
      <c r="P269" s="98" t="n"/>
      <c r="U269" s="36" t="inlineStr">
        <is>
          <t>yes</t>
        </is>
      </c>
      <c r="W269" s="167" t="n">
        <v>13.09532356262207</v>
      </c>
      <c r="X269" s="90" t="n">
        <v>1</v>
      </c>
      <c r="Y269" s="148">
        <f>IF(W269&lt;&gt;"",W269*X269,"")</f>
        <v/>
      </c>
      <c r="Z269" s="148">
        <f>IF(AND(W269&lt;&gt;"",U269="yes"),W269*X269,"")</f>
        <v/>
      </c>
    </row>
    <row r="270" ht="32.15" customHeight="1">
      <c r="A270" s="56" t="inlineStr">
        <is>
          <t>select_one yes_no</t>
        </is>
      </c>
      <c r="B270" s="56" t="inlineStr">
        <is>
          <t>fies_ranout</t>
        </is>
      </c>
      <c r="C270" s="35" t="inlineStr">
        <is>
          <t>In the *past 30 days*, was there ever **no food to eat of any kind** in your house because of lack of resources to get food?</t>
        </is>
      </c>
      <c r="D270" s="69" t="n"/>
      <c r="E270" s="69" t="n"/>
      <c r="F270" s="56" t="n"/>
      <c r="G270" s="70" t="n"/>
      <c r="H270" s="70" t="n"/>
      <c r="I270" s="98" t="inlineStr">
        <is>
          <t>true</t>
        </is>
      </c>
      <c r="J270" s="98" t="n"/>
      <c r="K270" s="98" t="n"/>
      <c r="L270" s="98" t="n"/>
      <c r="M270" s="98" t="n"/>
      <c r="N270" s="98" t="n"/>
      <c r="O270" s="98" t="n"/>
      <c r="P270" s="98" t="n"/>
      <c r="U270" s="36" t="inlineStr">
        <is>
          <t>yes</t>
        </is>
      </c>
      <c r="W270" s="167" t="n">
        <v>16.10101918465228</v>
      </c>
      <c r="X270" s="90" t="n">
        <v>1</v>
      </c>
      <c r="Y270" s="148">
        <f>IF(W270&lt;&gt;"",W270*X270,"")</f>
        <v/>
      </c>
      <c r="Z270" s="148">
        <f>IF(AND(W270&lt;&gt;"",U270="yes"),W270*X270,"")</f>
        <v/>
      </c>
    </row>
    <row r="271" ht="16" customFormat="1" customHeight="1" s="57">
      <c r="A271" s="61" t="inlineStr">
        <is>
          <t>select_one frequency</t>
        </is>
      </c>
      <c r="B271" s="61" t="inlineStr">
        <is>
          <t>fies_ranout_hhs</t>
        </is>
      </c>
      <c r="C271" s="62" t="inlineStr">
        <is>
          <t xml:space="preserve">How often did this happen? </t>
        </is>
      </c>
      <c r="D271" s="80" t="n"/>
      <c r="E271" s="80" t="n"/>
      <c r="F271" s="61" t="n"/>
      <c r="G271" s="82" t="n"/>
      <c r="H271" s="82" t="n"/>
      <c r="I271" s="100" t="inlineStr">
        <is>
          <t>true</t>
        </is>
      </c>
      <c r="J271" s="100" t="n"/>
      <c r="K271" s="100" t="n"/>
      <c r="L271" s="100" t="n"/>
      <c r="M271" s="100" t="inlineStr">
        <is>
          <t>${fies_ranout} = '1'</t>
        </is>
      </c>
      <c r="N271" s="100" t="n"/>
      <c r="O271" s="100" t="n"/>
      <c r="P271" s="100" t="n"/>
      <c r="U271" s="57" t="inlineStr">
        <is>
          <t>yes</t>
        </is>
      </c>
      <c r="W271" s="167" t="n">
        <v>11.76504325866699</v>
      </c>
      <c r="X271" s="90" t="n">
        <v>1</v>
      </c>
      <c r="Y271" s="148">
        <f>IF(W271&lt;&gt;"",W271*X271,"")</f>
        <v/>
      </c>
      <c r="Z271" s="148">
        <f>IF(AND(W271&lt;&gt;"",U271="yes"),W271*X271,"")</f>
        <v/>
      </c>
    </row>
    <row r="272" ht="32.15" customFormat="1" customHeight="1" s="57">
      <c r="A272" s="61" t="inlineStr">
        <is>
          <t>select_one yes_no</t>
        </is>
      </c>
      <c r="B272" s="61" t="inlineStr">
        <is>
          <t>fies_hungry</t>
        </is>
      </c>
      <c r="C272" s="62" t="inlineStr">
        <is>
          <t>In the *past 30 days*, did you or any household member ever **go to sleep at night hungry** because there was not enough food?</t>
        </is>
      </c>
      <c r="D272" s="80" t="n"/>
      <c r="E272" s="80" t="n"/>
      <c r="F272" s="61" t="n"/>
      <c r="G272" s="82" t="n"/>
      <c r="H272" s="82" t="n"/>
      <c r="I272" s="100" t="inlineStr">
        <is>
          <t>true</t>
        </is>
      </c>
      <c r="J272" s="100" t="n"/>
      <c r="K272" s="100" t="n"/>
      <c r="L272" s="100" t="n"/>
      <c r="M272" s="100" t="n"/>
      <c r="N272" s="100" t="n"/>
      <c r="O272" s="100" t="n"/>
      <c r="P272" s="100" t="n"/>
      <c r="U272" s="57" t="inlineStr">
        <is>
          <t>yes</t>
        </is>
      </c>
      <c r="W272" s="167" t="n">
        <v>12.43247890472412</v>
      </c>
      <c r="X272" s="90" t="n">
        <v>1</v>
      </c>
      <c r="Y272" s="148">
        <f>IF(W272&lt;&gt;"",W272*X272,"")</f>
        <v/>
      </c>
      <c r="Z272" s="148">
        <f>IF(AND(W272&lt;&gt;"",U272="yes"),W272*X272,"")</f>
        <v/>
      </c>
    </row>
    <row r="273" ht="16" customFormat="1" customHeight="1" s="57">
      <c r="A273" s="61" t="inlineStr">
        <is>
          <t>select_one frequency</t>
        </is>
      </c>
      <c r="B273" s="61" t="inlineStr">
        <is>
          <t>fies_hungry_hhs</t>
        </is>
      </c>
      <c r="C273" s="62" t="inlineStr">
        <is>
          <t xml:space="preserve">How often did this happen? </t>
        </is>
      </c>
      <c r="D273" s="80" t="n"/>
      <c r="E273" s="80" t="n"/>
      <c r="F273" s="61" t="n"/>
      <c r="G273" s="82" t="n"/>
      <c r="H273" s="82" t="n"/>
      <c r="I273" s="100" t="inlineStr">
        <is>
          <t>true</t>
        </is>
      </c>
      <c r="J273" s="100" t="n"/>
      <c r="K273" s="100" t="n"/>
      <c r="L273" s="100" t="n"/>
      <c r="M273" s="100" t="inlineStr">
        <is>
          <t>${fies_hungry} = '1'</t>
        </is>
      </c>
      <c r="N273" s="100" t="n"/>
      <c r="O273" s="100" t="n"/>
      <c r="P273" s="100" t="n"/>
      <c r="U273" s="57" t="inlineStr">
        <is>
          <t>yes</t>
        </is>
      </c>
      <c r="W273" s="167" t="n">
        <v>8.980183601379395</v>
      </c>
      <c r="X273" s="90" t="n">
        <v>1</v>
      </c>
      <c r="Y273" s="148">
        <f>IF(W273&lt;&gt;"",W273*X273,"")</f>
        <v/>
      </c>
      <c r="Z273" s="148">
        <f>IF(AND(W273&lt;&gt;"",U273="yes"),W273*X273,"")</f>
        <v/>
      </c>
    </row>
    <row r="274" ht="32.15" customFormat="1" customHeight="1" s="57">
      <c r="A274" s="61" t="inlineStr">
        <is>
          <t>select_one yes_no</t>
        </is>
      </c>
      <c r="B274" s="61" t="inlineStr">
        <is>
          <t>fies_whlday</t>
        </is>
      </c>
      <c r="C274" s="62" t="inlineStr">
        <is>
          <t>In the *past 30 days*, did you or any household member ever **go a whole day and night without eating anything at all** because there was not enough food?</t>
        </is>
      </c>
      <c r="D274" s="80" t="n"/>
      <c r="E274" s="80" t="n"/>
      <c r="F274" s="61" t="n"/>
      <c r="G274" s="82" t="n"/>
      <c r="H274" s="82" t="n"/>
      <c r="I274" s="100" t="inlineStr">
        <is>
          <t>true</t>
        </is>
      </c>
      <c r="J274" s="100" t="n"/>
      <c r="K274" s="100" t="n"/>
      <c r="L274" s="100" t="n"/>
      <c r="M274" s="100" t="n"/>
      <c r="N274" s="100" t="n"/>
      <c r="O274" s="100" t="n"/>
      <c r="P274" s="100" t="n"/>
      <c r="U274" s="57" t="inlineStr">
        <is>
          <t>yes</t>
        </is>
      </c>
      <c r="W274" s="167" t="n">
        <v>11.08932876586914</v>
      </c>
      <c r="X274" s="90" t="n">
        <v>1</v>
      </c>
      <c r="Y274" s="148">
        <f>IF(W274&lt;&gt;"",W274*X274,"")</f>
        <v/>
      </c>
      <c r="Z274" s="148">
        <f>IF(AND(W274&lt;&gt;"",U274="yes"),W274*X274,"")</f>
        <v/>
      </c>
    </row>
    <row r="275" ht="16" customFormat="1" customHeight="1" s="57">
      <c r="A275" s="61" t="inlineStr">
        <is>
          <t>select_one frequency</t>
        </is>
      </c>
      <c r="B275" s="61" t="inlineStr">
        <is>
          <t>fies_whlday_hhs</t>
        </is>
      </c>
      <c r="C275" s="62" t="inlineStr">
        <is>
          <t xml:space="preserve">How often did this happen? </t>
        </is>
      </c>
      <c r="D275" s="80" t="n"/>
      <c r="E275" s="80" t="n"/>
      <c r="F275" s="61" t="n"/>
      <c r="G275" s="82" t="n"/>
      <c r="H275" s="82" t="n"/>
      <c r="I275" s="100" t="inlineStr">
        <is>
          <t>true</t>
        </is>
      </c>
      <c r="J275" s="100" t="n"/>
      <c r="K275" s="100" t="n"/>
      <c r="L275" s="100" t="n"/>
      <c r="M275" s="100" t="inlineStr">
        <is>
          <t>${fies_whlday} = '1'</t>
        </is>
      </c>
      <c r="N275" s="100" t="n"/>
      <c r="O275" s="100" t="n"/>
      <c r="P275" s="100" t="n"/>
      <c r="U275" s="57" t="inlineStr">
        <is>
          <t>yes</t>
        </is>
      </c>
      <c r="W275" s="167" t="n">
        <v>8.06833553314209</v>
      </c>
      <c r="X275" s="90" t="n">
        <v>1</v>
      </c>
      <c r="Y275" s="148">
        <f>IF(W275&lt;&gt;"",W275*X275,"")</f>
        <v/>
      </c>
      <c r="Z275" s="148">
        <f>IF(AND(W275&lt;&gt;"",U275="yes"),W275*X275,"")</f>
        <v/>
      </c>
    </row>
    <row r="276">
      <c r="A276" s="61" t="inlineStr">
        <is>
          <t>end_group</t>
        </is>
      </c>
      <c r="B276" s="61" t="n"/>
      <c r="C276" s="35" t="n"/>
      <c r="D276" s="69" t="n"/>
      <c r="E276" s="69" t="n"/>
      <c r="F276" s="56" t="n"/>
      <c r="G276" s="70" t="n"/>
      <c r="H276" s="70" t="n"/>
      <c r="I276" s="98" t="n"/>
      <c r="J276" s="98" t="n"/>
      <c r="K276" s="98" t="n"/>
      <c r="L276" s="98" t="n"/>
      <c r="M276" s="98" t="n"/>
      <c r="N276" s="98" t="n"/>
      <c r="O276" s="98" t="n"/>
      <c r="P276" s="98" t="n"/>
      <c r="W276" s="167" t="n"/>
      <c r="X276" s="90" t="n">
        <v>1</v>
      </c>
      <c r="Y276" s="148">
        <f>IF(W276&lt;&gt;"",W276*X276,"")</f>
        <v/>
      </c>
      <c r="Z276" s="148">
        <f>IF(AND(W276&lt;&gt;"",U276="yes"),W276*X276,"")</f>
        <v/>
      </c>
    </row>
    <row r="277">
      <c r="A277" s="57" t="n"/>
      <c r="B277" s="57" t="n"/>
      <c r="D277" s="69" t="n"/>
      <c r="E277" s="69" t="n"/>
      <c r="G277" s="70" t="n"/>
      <c r="H277" s="70" t="n"/>
      <c r="W277" s="167" t="n"/>
      <c r="X277" s="90" t="n">
        <v>1</v>
      </c>
      <c r="Y277" s="148">
        <f>IF(W277&lt;&gt;"",W277*X277,"")</f>
        <v/>
      </c>
      <c r="Z277" s="148">
        <f>IF(AND(W277&lt;&gt;"",U277="yes"),W277*X277,"")</f>
        <v/>
      </c>
    </row>
    <row r="278" ht="16" customFormat="1" customHeight="1" s="58">
      <c r="A278" s="58" t="inlineStr">
        <is>
          <t>begin_group</t>
        </is>
      </c>
      <c r="B278" s="58" t="inlineStr">
        <is>
          <t>grp_lcsi</t>
        </is>
      </c>
      <c r="C278" s="143" t="inlineStr">
        <is>
          <t>LCSI</t>
        </is>
      </c>
      <c r="D278" s="60" t="n"/>
      <c r="E278" s="60" t="n"/>
      <c r="G278" s="64" t="n"/>
      <c r="H278" s="64" t="n"/>
      <c r="I278" s="99" t="n"/>
      <c r="J278" s="99" t="inlineStr">
        <is>
          <t>field-list</t>
        </is>
      </c>
      <c r="K278" s="99" t="n"/>
      <c r="L278" s="99" t="n"/>
      <c r="M278" s="99" t="n"/>
      <c r="N278" s="99" t="n"/>
      <c r="O278" s="99" t="n"/>
      <c r="P278" s="99" t="n"/>
      <c r="W278" s="171" t="n"/>
      <c r="X278" s="144" t="n">
        <v>1</v>
      </c>
      <c r="Y278" s="151">
        <f>IF(W278&lt;&gt;"",W278*X278,"")</f>
        <v/>
      </c>
      <c r="Z278" s="151">
        <f>IF(AND(W278&lt;&gt;"",U278="yes"),W278*X278,"")</f>
        <v/>
      </c>
    </row>
    <row r="279" ht="64" customFormat="1" customHeight="1" s="58">
      <c r="A279" s="58" t="inlineStr">
        <is>
          <t>note</t>
        </is>
      </c>
      <c r="B279" s="58" t="inlineStr">
        <is>
          <t>lcsi_intro</t>
        </is>
      </c>
      <c r="C279" s="59"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79" s="60" t="n"/>
      <c r="E279" s="60" t="n"/>
      <c r="G279" s="64" t="n"/>
      <c r="H279" s="64" t="n"/>
      <c r="I279" s="99" t="n"/>
      <c r="J279" s="99" t="n"/>
      <c r="K279" s="99" t="n"/>
      <c r="L279" s="99" t="n"/>
      <c r="M279" s="99" t="n"/>
      <c r="N279" s="99" t="n"/>
      <c r="O279" s="99" t="n"/>
      <c r="P279" s="99" t="n"/>
      <c r="U279" s="58" t="inlineStr">
        <is>
          <t>no</t>
        </is>
      </c>
      <c r="W279" s="171" t="n">
        <v>5.711253643035889</v>
      </c>
      <c r="X279" s="144" t="n">
        <v>1</v>
      </c>
      <c r="Y279" s="151">
        <f>IF(W279&lt;&gt;"",W279*X279,"")</f>
        <v/>
      </c>
      <c r="Z279" s="151">
        <f>IF(AND(W279&lt;&gt;"",U279="yes"),W279*X279,"")</f>
        <v/>
      </c>
    </row>
    <row r="280" ht="32.15" customFormat="1" customHeight="1" s="145">
      <c r="A280" s="259" t="inlineStr">
        <is>
          <t>select_one coping</t>
        </is>
      </c>
      <c r="B280" s="259" t="inlineStr">
        <is>
          <t>cs_stress_hh_assets</t>
        </is>
      </c>
      <c r="C280" s="269" t="inlineStr">
        <is>
          <t>**sell non-productive household assets / goods** (clothes, carpet, furniture, radio, television, refrigerator, jewelry, etc.)</t>
        </is>
      </c>
      <c r="D280" s="270" t="n"/>
      <c r="E280" s="270" t="n"/>
      <c r="F280" s="271" t="n"/>
      <c r="G280" s="271" t="n"/>
      <c r="H280" s="271" t="n"/>
      <c r="I280" s="260" t="inlineStr">
        <is>
          <t>true</t>
        </is>
      </c>
      <c r="J280" s="260" t="inlineStr">
        <is>
          <t>minimal</t>
        </is>
      </c>
      <c r="K280" s="146" t="n"/>
      <c r="L280" s="146" t="n"/>
      <c r="M280" s="146" t="n"/>
      <c r="N280" s="146" t="n"/>
      <c r="O280" s="146" t="n"/>
      <c r="P280" s="146" t="n"/>
      <c r="U280" s="58" t="inlineStr">
        <is>
          <t>no</t>
        </is>
      </c>
      <c r="W280" s="167" t="n">
        <v>19.85153007507324</v>
      </c>
      <c r="X280" s="90" t="n">
        <v>1</v>
      </c>
      <c r="Y280" s="148">
        <f>IF(W280&lt;&gt;"",W280*X280,"")</f>
        <v/>
      </c>
      <c r="Z280" s="148">
        <f>IF(AND(W280&lt;&gt;"",U280="yes"),W280*X280,"")</f>
        <v/>
      </c>
      <c r="AA280" s="57" t="n"/>
    </row>
    <row r="281" customFormat="1" s="145">
      <c r="A281" s="259" t="inlineStr">
        <is>
          <t>select_one coping</t>
        </is>
      </c>
      <c r="B281" s="259" t="inlineStr">
        <is>
          <t>cs_stress_spent_savings</t>
        </is>
      </c>
      <c r="C281" s="272" t="inlineStr">
        <is>
          <t>**spend savings and skipped debt payment**</t>
        </is>
      </c>
      <c r="D281" s="270" t="n"/>
      <c r="E281" s="270" t="n"/>
      <c r="F281" s="271" t="n"/>
      <c r="G281" s="271" t="n"/>
      <c r="H281" s="271" t="n"/>
      <c r="I281" s="260" t="inlineStr">
        <is>
          <t>true</t>
        </is>
      </c>
      <c r="J281" s="260" t="inlineStr">
        <is>
          <t>minimal</t>
        </is>
      </c>
      <c r="K281" s="146" t="n"/>
      <c r="L281" s="146" t="n"/>
      <c r="M281" s="146" t="n"/>
      <c r="N281" s="146" t="n"/>
      <c r="O281" s="146" t="n"/>
      <c r="P281" s="146" t="n"/>
      <c r="U281" s="58" t="inlineStr">
        <is>
          <t>no</t>
        </is>
      </c>
      <c r="W281" s="167" t="n">
        <v>15.43667125701904</v>
      </c>
      <c r="X281" s="90" t="n">
        <v>1</v>
      </c>
      <c r="Y281" s="148">
        <f>IF(W281&lt;&gt;"",W281*X281,"")</f>
        <v/>
      </c>
      <c r="Z281" s="148">
        <f>IF(AND(W281&lt;&gt;"",U281="yes"),W281*X281,"")</f>
        <v/>
      </c>
      <c r="AA281" s="57" t="n"/>
    </row>
    <row r="282" customFormat="1" s="145">
      <c r="A282" s="259" t="inlineStr">
        <is>
          <t>select_one coping</t>
        </is>
      </c>
      <c r="B282" s="259" t="inlineStr">
        <is>
          <t>cs_stress_sold_more_animals</t>
        </is>
      </c>
      <c r="C282" s="272" t="inlineStr">
        <is>
          <t>**sell more animals (non-productive) than usual (on a sustainable basis)**</t>
        </is>
      </c>
      <c r="D282" s="270" t="n"/>
      <c r="E282" s="270" t="n"/>
      <c r="F282" s="271" t="n"/>
      <c r="G282" s="271" t="n"/>
      <c r="H282" s="271" t="n"/>
      <c r="I282" s="260" t="inlineStr">
        <is>
          <t>true</t>
        </is>
      </c>
      <c r="J282" s="260" t="inlineStr">
        <is>
          <t>minimal</t>
        </is>
      </c>
      <c r="K282" s="146" t="n"/>
      <c r="L282" s="146" t="n"/>
      <c r="M282" s="146" t="n"/>
      <c r="N282" s="146" t="n"/>
      <c r="O282" s="146" t="n"/>
      <c r="P282" s="146" t="n"/>
      <c r="U282" s="58" t="inlineStr">
        <is>
          <t>no</t>
        </is>
      </c>
      <c r="W282" s="167" t="n">
        <v>13.39993858337402</v>
      </c>
      <c r="X282" s="90" t="n">
        <v>1</v>
      </c>
      <c r="Y282" s="148">
        <f>IF(W282&lt;&gt;"",W282*X282,"")</f>
        <v/>
      </c>
      <c r="Z282" s="148">
        <f>IF(AND(W282&lt;&gt;"",U282="yes"),W282*X282,"")</f>
        <v/>
      </c>
      <c r="AA282" s="57" t="n"/>
    </row>
    <row r="283" customFormat="1" s="145">
      <c r="A283" s="259" t="inlineStr">
        <is>
          <t>select_one coping</t>
        </is>
      </c>
      <c r="B283" s="259" t="inlineStr">
        <is>
          <t>cs_stress_borrowed_money</t>
        </is>
      </c>
      <c r="C283" s="272" t="inlineStr">
        <is>
          <t>**borrow money (from a formal lender/bank/non-relatives)**</t>
        </is>
      </c>
      <c r="D283" s="270" t="n"/>
      <c r="E283" s="270" t="n"/>
      <c r="F283" s="271" t="n"/>
      <c r="G283" s="271" t="n"/>
      <c r="H283" s="271" t="n"/>
      <c r="I283" s="260" t="inlineStr">
        <is>
          <t>true</t>
        </is>
      </c>
      <c r="J283" s="260" t="inlineStr">
        <is>
          <t>minimal</t>
        </is>
      </c>
      <c r="K283" s="146" t="n"/>
      <c r="L283" s="146" t="n"/>
      <c r="M283" s="146" t="n"/>
      <c r="N283" s="146" t="n"/>
      <c r="O283" s="146" t="n"/>
      <c r="P283" s="146" t="n"/>
      <c r="U283" s="58" t="inlineStr">
        <is>
          <t>no</t>
        </is>
      </c>
      <c r="W283" s="167" t="n">
        <v>14.62593364715576</v>
      </c>
      <c r="X283" s="90" t="n">
        <v>1</v>
      </c>
      <c r="Y283" s="148">
        <f>IF(W283&lt;&gt;"",W283*X283,"")</f>
        <v/>
      </c>
      <c r="Z283" s="148">
        <f>IF(AND(W283&lt;&gt;"",U283="yes"),W283*X283,"")</f>
        <v/>
      </c>
      <c r="AA283" s="57" t="n"/>
    </row>
    <row r="284" customFormat="1" s="145">
      <c r="A284" s="259" t="inlineStr">
        <is>
          <t>select_one coping</t>
        </is>
      </c>
      <c r="B284" s="259" t="inlineStr">
        <is>
          <t>cs_stress_reduced_expenses</t>
        </is>
      </c>
      <c r="C284" s="272" t="inlineStr">
        <is>
          <t>**reduce essential non-food expenses on health (including drugs) and education**</t>
        </is>
      </c>
      <c r="D284" s="270" t="n"/>
      <c r="E284" s="270" t="n"/>
      <c r="F284" s="271" t="n"/>
      <c r="G284" s="271" t="n"/>
      <c r="H284" s="271" t="n"/>
      <c r="I284" s="260" t="inlineStr">
        <is>
          <t>true</t>
        </is>
      </c>
      <c r="J284" s="260" t="inlineStr">
        <is>
          <t>minimal</t>
        </is>
      </c>
      <c r="K284" s="146" t="n"/>
      <c r="L284" s="146" t="n"/>
      <c r="M284" s="146" t="n"/>
      <c r="N284" s="146" t="n"/>
      <c r="O284" s="146" t="n"/>
      <c r="P284" s="146" t="n"/>
      <c r="U284" s="58" t="inlineStr">
        <is>
          <t>no</t>
        </is>
      </c>
      <c r="W284" s="167" t="n">
        <v>11.78780174255371</v>
      </c>
      <c r="X284" s="90" t="n">
        <v>1</v>
      </c>
      <c r="Y284" s="148">
        <f>IF(W284&lt;&gt;"",W284*X284,"")</f>
        <v/>
      </c>
      <c r="Z284" s="148">
        <f>IF(AND(W284&lt;&gt;"",U284="yes"),W284*X284,"")</f>
        <v/>
      </c>
      <c r="AA284" s="57" t="n"/>
    </row>
    <row r="285" customFormat="1" s="145">
      <c r="A285" s="259" t="inlineStr">
        <is>
          <t>select_one coping</t>
        </is>
      </c>
      <c r="B285" s="259" t="inlineStr">
        <is>
          <t>cs_crisis_harvest_immature_crops</t>
        </is>
      </c>
      <c r="C285" s="272" t="inlineStr">
        <is>
          <t>**Harvest immature crops or let animals graze immature crops**</t>
        </is>
      </c>
      <c r="D285" s="270" t="n"/>
      <c r="E285" s="270" t="n"/>
      <c r="F285" s="271" t="n"/>
      <c r="G285" s="271" t="n"/>
      <c r="H285" s="271" t="n"/>
      <c r="I285" s="260" t="inlineStr">
        <is>
          <t>true</t>
        </is>
      </c>
      <c r="J285" s="260" t="inlineStr">
        <is>
          <t>minimal</t>
        </is>
      </c>
      <c r="K285" s="146" t="n"/>
      <c r="L285" s="146" t="n"/>
      <c r="M285" s="146" t="n"/>
      <c r="N285" s="146" t="n"/>
      <c r="O285" s="146" t="n"/>
      <c r="P285" s="146" t="n"/>
      <c r="U285" s="58" t="inlineStr">
        <is>
          <t>no</t>
        </is>
      </c>
      <c r="W285" s="167" t="n">
        <v>12.4080867767334</v>
      </c>
      <c r="X285" s="90" t="n">
        <v>1</v>
      </c>
      <c r="Y285" s="148">
        <f>IF(W285&lt;&gt;"",W285*X285,"")</f>
        <v/>
      </c>
      <c r="Z285" s="148">
        <f>IF(AND(W285&lt;&gt;"",U285="yes"),W285*X285,"")</f>
        <v/>
      </c>
      <c r="AA285" s="57" t="n"/>
    </row>
    <row r="286" ht="32.15" customFormat="1" customHeight="1" s="145">
      <c r="A286" s="259" t="inlineStr">
        <is>
          <t>select_one coping</t>
        </is>
      </c>
      <c r="B286" s="259" t="inlineStr">
        <is>
          <t>cs_crisis_sell_prod_assets</t>
        </is>
      </c>
      <c r="C286" s="269" t="inlineStr">
        <is>
          <t xml:space="preserve">**sell productive assets or means of transport** (sewing machine, wheelbarrow, tools, animals, bicycle, motorbike, car, etc.) </t>
        </is>
      </c>
      <c r="D286" s="270" t="n"/>
      <c r="E286" s="270" t="n"/>
      <c r="F286" s="271" t="n"/>
      <c r="G286" s="271" t="n"/>
      <c r="H286" s="271" t="n"/>
      <c r="I286" s="260" t="inlineStr">
        <is>
          <t>true</t>
        </is>
      </c>
      <c r="J286" s="260" t="inlineStr">
        <is>
          <t>minimal</t>
        </is>
      </c>
      <c r="K286" s="146" t="n"/>
      <c r="L286" s="146" t="n"/>
      <c r="M286" s="146" t="n"/>
      <c r="N286" s="146" t="n"/>
      <c r="O286" s="146" t="n"/>
      <c r="P286" s="146" t="n"/>
      <c r="U286" s="58" t="inlineStr">
        <is>
          <t>no</t>
        </is>
      </c>
      <c r="W286" s="167" t="n">
        <v>9.289467811584473</v>
      </c>
      <c r="X286" s="90" t="n">
        <v>1</v>
      </c>
      <c r="Y286" s="148">
        <f>IF(W286&lt;&gt;"",W286*X286,"")</f>
        <v/>
      </c>
      <c r="Z286" s="148">
        <f>IF(AND(W286&lt;&gt;"",U286="yes"),W286*X286,"")</f>
        <v/>
      </c>
      <c r="AA286" s="57" t="n"/>
    </row>
    <row r="287" customFormat="1" s="145">
      <c r="A287" s="259" t="inlineStr">
        <is>
          <t>select_one coping</t>
        </is>
      </c>
      <c r="B287" s="259" t="inlineStr">
        <is>
          <t>cs_crisis_consumed_seed_stocks</t>
        </is>
      </c>
      <c r="C287" s="272" t="inlineStr">
        <is>
          <t>**consume seed stocks that were to be held/saved for the next planting season**</t>
        </is>
      </c>
      <c r="D287" s="270" t="n"/>
      <c r="E287" s="270" t="n"/>
      <c r="F287" s="271" t="n"/>
      <c r="G287" s="271" t="n"/>
      <c r="H287" s="271" t="n"/>
      <c r="I287" s="260" t="inlineStr">
        <is>
          <t>true</t>
        </is>
      </c>
      <c r="J287" s="260" t="inlineStr">
        <is>
          <t>minimal</t>
        </is>
      </c>
      <c r="K287" s="146" t="n"/>
      <c r="L287" s="146" t="n"/>
      <c r="M287" s="146" t="n"/>
      <c r="N287" s="146" t="n"/>
      <c r="O287" s="146" t="n"/>
      <c r="P287" s="146" t="n"/>
      <c r="U287" s="58" t="inlineStr">
        <is>
          <t>no</t>
        </is>
      </c>
      <c r="W287" s="167" t="n">
        <v>12</v>
      </c>
      <c r="X287" s="90" t="n">
        <v>1</v>
      </c>
      <c r="Y287" s="148">
        <f>IF(W287&lt;&gt;"",W287*X287,"")</f>
        <v/>
      </c>
      <c r="Z287" s="148">
        <f>IF(AND(W287&lt;&gt;"",U287="yes"),W287*X287,"")</f>
        <v/>
      </c>
      <c r="AA287" s="57" t="n"/>
    </row>
    <row r="288" customFormat="1" s="145">
      <c r="A288" s="259" t="inlineStr">
        <is>
          <t>select_one coping</t>
        </is>
      </c>
      <c r="B288" s="259" t="inlineStr">
        <is>
          <t>cs_crisis_decrease_expend_farming_inputs</t>
        </is>
      </c>
      <c r="C288" s="272" t="inlineStr">
        <is>
          <t>**decrease expenditures on farming inputs** (fertilizer, pesticide, seeds etc.)</t>
        </is>
      </c>
      <c r="D288" s="270" t="n"/>
      <c r="E288" s="270" t="n"/>
      <c r="F288" s="271" t="n"/>
      <c r="G288" s="271" t="n"/>
      <c r="H288" s="271" t="n"/>
      <c r="I288" s="260" t="inlineStr">
        <is>
          <t>true</t>
        </is>
      </c>
      <c r="J288" s="260" t="inlineStr">
        <is>
          <t>minimal</t>
        </is>
      </c>
      <c r="K288" s="146" t="n"/>
      <c r="L288" s="146" t="n"/>
      <c r="M288" s="146" t="n"/>
      <c r="N288" s="146" t="n"/>
      <c r="O288" s="146" t="n"/>
      <c r="P288" s="146" t="n"/>
      <c r="U288" s="58" t="inlineStr">
        <is>
          <t>no</t>
        </is>
      </c>
      <c r="W288" s="167" t="n">
        <v>14.41095890410959</v>
      </c>
      <c r="X288" s="90" t="n">
        <v>1</v>
      </c>
      <c r="Y288" s="148">
        <f>IF(W288&lt;&gt;"",W288*X288,"")</f>
        <v/>
      </c>
      <c r="Z288" s="148">
        <f>IF(AND(W288&lt;&gt;"",U288="yes"),W288*X288,"")</f>
        <v/>
      </c>
      <c r="AA288" s="57" t="n"/>
    </row>
    <row r="289" customFormat="1" s="145">
      <c r="A289" s="259" t="inlineStr">
        <is>
          <t>select_one coping</t>
        </is>
      </c>
      <c r="B289" s="259" t="inlineStr">
        <is>
          <t>cs_crisis_decrease_expend_livestock_inputs</t>
        </is>
      </c>
      <c r="C289" s="272" t="inlineStr">
        <is>
          <t>**decrease expenditures on livestock inputs** (fodder/feed, de-worming, vaccinations, consultations, drugs etc.)</t>
        </is>
      </c>
      <c r="D289" s="270" t="n"/>
      <c r="E289" s="270" t="n"/>
      <c r="F289" s="271" t="n"/>
      <c r="G289" s="271" t="n"/>
      <c r="H289" s="271" t="n"/>
      <c r="I289" s="260" t="inlineStr">
        <is>
          <t>true</t>
        </is>
      </c>
      <c r="J289" s="260" t="inlineStr">
        <is>
          <t>minimal</t>
        </is>
      </c>
      <c r="K289" s="146" t="n"/>
      <c r="L289" s="146" t="n"/>
      <c r="M289" s="146" t="n"/>
      <c r="N289" s="146" t="n"/>
      <c r="O289" s="146" t="n"/>
      <c r="P289" s="146" t="n"/>
      <c r="U289" s="58" t="inlineStr">
        <is>
          <t>no</t>
        </is>
      </c>
      <c r="W289" s="167" t="n">
        <v>15.40838527679443</v>
      </c>
      <c r="X289" s="90" t="n">
        <v>1</v>
      </c>
      <c r="Y289" s="148">
        <f>IF(W289&lt;&gt;"",W289*X289,"")</f>
        <v/>
      </c>
      <c r="Z289" s="148">
        <f>IF(AND(W289&lt;&gt;"",U289="yes"),W289*X289,"")</f>
        <v/>
      </c>
      <c r="AA289" s="57" t="n"/>
    </row>
    <row r="290" customFormat="1" s="145">
      <c r="A290" s="259" t="inlineStr">
        <is>
          <t>select_one coping</t>
        </is>
      </c>
      <c r="B290" s="259" t="inlineStr">
        <is>
          <t>cs_crisis_sell_all_prod_animals</t>
        </is>
      </c>
      <c r="C290" s="272" t="inlineStr">
        <is>
          <t>**sell all productive animals**</t>
        </is>
      </c>
      <c r="D290" s="270" t="n"/>
      <c r="E290" s="270" t="n"/>
      <c r="F290" s="271" t="n"/>
      <c r="G290" s="271" t="n"/>
      <c r="H290" s="271" t="n"/>
      <c r="I290" s="260" t="inlineStr">
        <is>
          <t>true</t>
        </is>
      </c>
      <c r="J290" s="260" t="inlineStr">
        <is>
          <t>minimal</t>
        </is>
      </c>
      <c r="K290" s="146" t="n"/>
      <c r="L290" s="146" t="n"/>
      <c r="M290" s="146" t="n"/>
      <c r="N290" s="146" t="n"/>
      <c r="O290" s="146" t="n"/>
      <c r="P290" s="146" t="n"/>
      <c r="U290" s="58" t="inlineStr">
        <is>
          <t>no</t>
        </is>
      </c>
      <c r="W290" s="167" t="n">
        <v>15.54398632049561</v>
      </c>
      <c r="X290" s="90" t="n">
        <v>1</v>
      </c>
      <c r="Y290" s="148">
        <f>IF(W290&lt;&gt;"",W290*X290,"")</f>
        <v/>
      </c>
      <c r="Z290" s="148">
        <f>IF(AND(W290&lt;&gt;"",U290="yes"),W290*X290,"")</f>
        <v/>
      </c>
      <c r="AA290" s="57" t="n"/>
    </row>
    <row r="291" customFormat="1" s="145">
      <c r="A291" s="259" t="inlineStr">
        <is>
          <t>select_one coping</t>
        </is>
      </c>
      <c r="B291" s="259" t="inlineStr">
        <is>
          <t>cs_crisis_forgone_farming_all_land</t>
        </is>
      </c>
      <c r="C291" s="272" t="inlineStr">
        <is>
          <t>**forgone farming all your land this year for lack of rain or factors**</t>
        </is>
      </c>
      <c r="D291" s="270" t="n"/>
      <c r="E291" s="270" t="n"/>
      <c r="F291" s="271" t="n"/>
      <c r="G291" s="271" t="n"/>
      <c r="H291" s="271" t="n"/>
      <c r="I291" s="260" t="inlineStr">
        <is>
          <t>true</t>
        </is>
      </c>
      <c r="J291" s="260" t="inlineStr">
        <is>
          <t>minimal</t>
        </is>
      </c>
      <c r="K291" s="146" t="n"/>
      <c r="L291" s="146" t="n"/>
      <c r="M291" s="146" t="n"/>
      <c r="N291" s="146" t="n"/>
      <c r="O291" s="146" t="n"/>
      <c r="P291" s="146" t="n"/>
      <c r="U291" s="58" t="inlineStr">
        <is>
          <t>no</t>
        </is>
      </c>
      <c r="W291" s="167" t="n">
        <v>12</v>
      </c>
      <c r="X291" s="90" t="n">
        <v>1</v>
      </c>
      <c r="Y291" s="148">
        <f>IF(W291&lt;&gt;"",W291*X291,"")</f>
        <v/>
      </c>
      <c r="Z291" s="148">
        <f>IF(AND(W291&lt;&gt;"",U291="yes"),W291*X291,"")</f>
        <v/>
      </c>
      <c r="AA291" s="57" t="n"/>
    </row>
    <row r="292" ht="32.15" customFormat="1" customHeight="1" s="145">
      <c r="A292" s="259" t="inlineStr">
        <is>
          <t>select_one coping</t>
        </is>
      </c>
      <c r="B292" s="259" t="inlineStr">
        <is>
          <t>cs_crisis_send_family_members_wage_labour</t>
        </is>
      </c>
      <c r="C292" s="269" t="inlineStr">
        <is>
          <t>**send family memebers for wage labour**(near villages/district center or provincial center)</t>
        </is>
      </c>
      <c r="D292" s="270" t="n"/>
      <c r="E292" s="270" t="n"/>
      <c r="F292" s="271" t="n"/>
      <c r="G292" s="271" t="n"/>
      <c r="H292" s="271" t="n"/>
      <c r="I292" s="260" t="inlineStr">
        <is>
          <t>true</t>
        </is>
      </c>
      <c r="J292" s="260" t="inlineStr">
        <is>
          <t>minimal</t>
        </is>
      </c>
      <c r="K292" s="146" t="n"/>
      <c r="L292" s="146" t="n"/>
      <c r="M292" s="146" t="n"/>
      <c r="N292" s="146" t="n"/>
      <c r="O292" s="146" t="n"/>
      <c r="P292" s="146" t="n"/>
      <c r="U292" s="58" t="inlineStr">
        <is>
          <t>no</t>
        </is>
      </c>
      <c r="W292" s="167" t="n">
        <v>12.99618148803711</v>
      </c>
      <c r="X292" s="90" t="n">
        <v>1</v>
      </c>
      <c r="Y292" s="148">
        <f>IF(W292&lt;&gt;"",W292*X292,"")</f>
        <v/>
      </c>
      <c r="Z292" s="148">
        <f>IF(AND(W292&lt;&gt;"",U292="yes"),W292*X292,"")</f>
        <v/>
      </c>
      <c r="AA292" s="57" t="n"/>
    </row>
    <row r="293" customFormat="1" s="145">
      <c r="A293" s="259" t="inlineStr">
        <is>
          <t>select_one coping</t>
        </is>
      </c>
      <c r="B293" s="259" t="inlineStr">
        <is>
          <t>cs_emergency_marry_child</t>
        </is>
      </c>
      <c r="C293" s="272" t="inlineStr">
        <is>
          <t>**have child (under 15) household members marry**</t>
        </is>
      </c>
      <c r="D293" s="270" t="n"/>
      <c r="E293" s="270" t="n"/>
      <c r="F293" s="271" t="n"/>
      <c r="G293" s="271" t="n"/>
      <c r="H293" s="271" t="n"/>
      <c r="I293" s="260" t="inlineStr">
        <is>
          <t>true</t>
        </is>
      </c>
      <c r="J293" s="260" t="inlineStr">
        <is>
          <t>minimal</t>
        </is>
      </c>
      <c r="K293" s="146" t="n"/>
      <c r="L293" s="146" t="n"/>
      <c r="M293" s="146" t="n"/>
      <c r="N293" s="146" t="n"/>
      <c r="O293" s="146" t="n"/>
      <c r="P293" s="146" t="n"/>
      <c r="U293" s="58" t="inlineStr">
        <is>
          <t>no</t>
        </is>
      </c>
      <c r="W293" s="167" t="n">
        <v>14.75238990783691</v>
      </c>
      <c r="X293" s="90" t="n">
        <v>1</v>
      </c>
      <c r="Y293" s="148">
        <f>IF(W293&lt;&gt;"",W293*X293,"")</f>
        <v/>
      </c>
      <c r="Z293" s="148">
        <f>IF(AND(W293&lt;&gt;"",U293="yes"),W293*X293,"")</f>
        <v/>
      </c>
      <c r="AA293" s="57" t="n"/>
    </row>
    <row r="294" customFormat="1" s="145">
      <c r="A294" s="259" t="inlineStr">
        <is>
          <t>select_one coping</t>
        </is>
      </c>
      <c r="B294" s="259" t="inlineStr">
        <is>
          <t>cs_emergency_sell_land_all_herd</t>
        </is>
      </c>
      <c r="C294" s="272" t="inlineStr">
        <is>
          <t>**Sell house or all your land (cultivable) or entire herd**</t>
        </is>
      </c>
      <c r="D294" s="270" t="n"/>
      <c r="E294" s="270" t="n"/>
      <c r="F294" s="271" t="n"/>
      <c r="G294" s="271" t="n"/>
      <c r="H294" s="271" t="n"/>
      <c r="I294" s="260" t="inlineStr">
        <is>
          <t>true</t>
        </is>
      </c>
      <c r="J294" s="260" t="inlineStr">
        <is>
          <t>minimal</t>
        </is>
      </c>
      <c r="K294" s="146" t="n"/>
      <c r="L294" s="146" t="n"/>
      <c r="M294" s="146" t="n"/>
      <c r="N294" s="146" t="n"/>
      <c r="O294" s="146" t="n"/>
      <c r="P294" s="146" t="n"/>
      <c r="U294" s="58" t="inlineStr">
        <is>
          <t>no</t>
        </is>
      </c>
      <c r="W294" s="167" t="n">
        <v>10.66811275482178</v>
      </c>
      <c r="X294" s="90" t="n">
        <v>1</v>
      </c>
      <c r="Y294" s="148">
        <f>IF(W294&lt;&gt;"",W294*X294,"")</f>
        <v/>
      </c>
      <c r="Z294" s="148">
        <f>IF(AND(W294&lt;&gt;"",U294="yes"),W294*X294,"")</f>
        <v/>
      </c>
      <c r="AA294" s="57" t="n"/>
    </row>
    <row r="295" ht="32.15" customFormat="1" customHeight="1" s="145">
      <c r="A295" s="259" t="inlineStr">
        <is>
          <t>select_one coping</t>
        </is>
      </c>
      <c r="B295" s="259" t="inlineStr">
        <is>
          <t>cs_emergency_hh_migration</t>
        </is>
      </c>
      <c r="C295" s="269" t="inlineStr">
        <is>
          <t>**migrate with the whole household**(typical migration for job search not included)</t>
        </is>
      </c>
      <c r="D295" s="270" t="n"/>
      <c r="E295" s="270" t="n"/>
      <c r="F295" s="271" t="n"/>
      <c r="G295" s="271" t="n"/>
      <c r="H295" s="271" t="n"/>
      <c r="I295" s="260" t="inlineStr">
        <is>
          <t>true</t>
        </is>
      </c>
      <c r="J295" s="260" t="inlineStr">
        <is>
          <t>minimal</t>
        </is>
      </c>
      <c r="K295" s="146" t="n"/>
      <c r="L295" s="146" t="n"/>
      <c r="M295" s="146" t="n"/>
      <c r="N295" s="146" t="n"/>
      <c r="O295" s="146" t="n"/>
      <c r="P295" s="146" t="n"/>
      <c r="U295" s="58" t="inlineStr">
        <is>
          <t>no</t>
        </is>
      </c>
      <c r="W295" s="167" t="n">
        <v>9.716710090637207</v>
      </c>
      <c r="X295" s="90" t="n">
        <v>1</v>
      </c>
      <c r="Y295" s="148">
        <f>IF(W295&lt;&gt;"",W295*X295,"")</f>
        <v/>
      </c>
      <c r="Z295" s="148">
        <f>IF(AND(W295&lt;&gt;"",U295="yes"),W295*X295,"")</f>
        <v/>
      </c>
      <c r="AA295" s="57" t="n"/>
    </row>
    <row r="296">
      <c r="A296" s="58" t="inlineStr">
        <is>
          <t>end_group</t>
        </is>
      </c>
      <c r="B296" s="58" t="n"/>
      <c r="C296" s="59" t="n"/>
      <c r="D296" s="69" t="n"/>
      <c r="E296" s="69" t="n"/>
      <c r="G296" s="70" t="n"/>
      <c r="H296" s="70" t="n"/>
      <c r="I296" s="99" t="n"/>
      <c r="W296" s="167" t="n"/>
      <c r="X296" s="90" t="n">
        <v>1</v>
      </c>
      <c r="Y296" s="148">
        <f>IF(W296&lt;&gt;"",W296*X296,"")</f>
        <v/>
      </c>
      <c r="Z296" s="148">
        <f>IF(AND(W296&lt;&gt;"",U296="yes"),W296*X296,"")</f>
        <v/>
      </c>
    </row>
    <row r="297">
      <c r="A297" s="57" t="n"/>
      <c r="B297" s="57" t="n"/>
      <c r="D297" s="69" t="n"/>
      <c r="E297" s="69" t="n"/>
      <c r="G297" s="70" t="n"/>
      <c r="H297" s="70" t="n"/>
      <c r="W297" s="167" t="n"/>
      <c r="X297" s="90" t="n">
        <v>1</v>
      </c>
      <c r="Y297" s="148">
        <f>IF(W297&lt;&gt;"",W297*X297,"")</f>
        <v/>
      </c>
      <c r="Z297" s="148">
        <f>IF(AND(W297&lt;&gt;"",U297="yes"),W297*X297,"")</f>
        <v/>
      </c>
    </row>
    <row r="298" ht="16" customHeight="1">
      <c r="A298" s="61" t="inlineStr">
        <is>
          <t>begin_group</t>
        </is>
      </c>
      <c r="B298" s="61" t="inlineStr">
        <is>
          <t>grp_hdds</t>
        </is>
      </c>
      <c r="C298" s="75" t="inlineStr">
        <is>
          <t>HDDS</t>
        </is>
      </c>
      <c r="D298" s="69" t="n"/>
      <c r="E298" s="69" t="n"/>
      <c r="F298" s="56" t="n"/>
      <c r="G298" s="70" t="n"/>
      <c r="H298" s="70" t="n"/>
      <c r="I298" s="98" t="n"/>
      <c r="J298" s="98" t="n"/>
      <c r="K298" s="98" t="n"/>
      <c r="L298" s="98" t="n"/>
      <c r="M298" s="98" t="n"/>
      <c r="N298" s="98" t="n"/>
      <c r="O298" s="98" t="n"/>
      <c r="P298" s="98" t="n"/>
      <c r="W298" s="167" t="n"/>
      <c r="X298" s="90" t="n">
        <v>1</v>
      </c>
      <c r="Y298" s="148">
        <f>IF(W298&lt;&gt;"",W298*X298,"")</f>
        <v/>
      </c>
      <c r="Z298" s="148">
        <f>IF(AND(W298&lt;&gt;"",U298="yes"),W298*X298,"")</f>
        <v/>
      </c>
    </row>
    <row r="299" ht="32.15" customHeight="1">
      <c r="A299" s="56" t="inlineStr">
        <is>
          <t>note</t>
        </is>
      </c>
      <c r="B299" s="56" t="inlineStr">
        <is>
          <t>hdds_intro</t>
        </is>
      </c>
      <c r="C299" s="35" t="inlineStr">
        <is>
          <t>Now I would like to ask you about a set of questions on food consumption, referring to the *24 hours of yesterday*.</t>
        </is>
      </c>
      <c r="D299" s="69" t="n"/>
      <c r="E299" s="69" t="n"/>
      <c r="F299" s="56" t="n"/>
      <c r="G299" s="70" t="n"/>
      <c r="H299" s="70" t="n"/>
      <c r="I299" s="98" t="inlineStr">
        <is>
          <t>false</t>
        </is>
      </c>
      <c r="J299" s="98" t="n"/>
      <c r="K299" s="98" t="n"/>
      <c r="L299" s="98" t="n"/>
      <c r="M299" s="98" t="n"/>
      <c r="N299" s="98" t="n"/>
      <c r="O299" s="98" t="n"/>
      <c r="P299" s="98" t="n"/>
      <c r="U299" s="36" t="inlineStr">
        <is>
          <t>yes</t>
        </is>
      </c>
      <c r="W299" s="167" t="n"/>
      <c r="X299" s="90" t="n">
        <v>1</v>
      </c>
      <c r="Y299" s="148">
        <f>IF(W299&lt;&gt;"",W299*X299,"")</f>
        <v/>
      </c>
      <c r="Z299" s="148">
        <f>IF(AND(W299&lt;&gt;"",U299="yes"),W299*X299,"")</f>
        <v/>
      </c>
    </row>
    <row r="300" ht="48" customHeight="1">
      <c r="A300" s="56" t="inlineStr">
        <is>
          <t>select_multiple hdds</t>
        </is>
      </c>
      <c r="B300" s="56" t="inlineStr">
        <is>
          <t>hdds</t>
        </is>
      </c>
      <c r="C300" s="35" t="inlineStr">
        <is>
          <t>Please describe the foods (meals and snacks) that you or any household member ate or drank at home yesterday (in the *24 hours of yesterday*: breakfast, lunch, dinner and snacks).</t>
        </is>
      </c>
      <c r="D300" s="69" t="n"/>
      <c r="E300" s="69" t="n"/>
      <c r="F300" s="56" t="inlineStr">
        <is>
          <t>[INSTRUCTIONS: SELECT ALL FOOD GROUPS CONSUMED IN THE 24 HOURS OF YESTERDAY AS THE RESPONDENT ANSWERS. MULTIPLE RESPONSES POSSIBLE.]</t>
        </is>
      </c>
      <c r="G300" s="70" t="n"/>
      <c r="H300" s="70" t="n"/>
      <c r="I300" s="98" t="inlineStr">
        <is>
          <t>true</t>
        </is>
      </c>
      <c r="J300" s="98" t="n"/>
      <c r="K300" s="98" t="n"/>
      <c r="L300" s="98" t="n"/>
      <c r="M300" s="98" t="n"/>
      <c r="N300" s="98" t="n"/>
      <c r="O300" s="98" t="n"/>
      <c r="P300" s="98" t="n"/>
      <c r="U300" s="36" t="inlineStr">
        <is>
          <t>yes</t>
        </is>
      </c>
      <c r="W300" s="167" t="n">
        <v>72.29513549804688</v>
      </c>
      <c r="X300" s="90" t="n">
        <v>1</v>
      </c>
      <c r="Y300" s="148">
        <f>IF(W300&lt;&gt;"",W300*X300,"")</f>
        <v/>
      </c>
      <c r="Z300" s="148">
        <f>IF(AND(W300&lt;&gt;"",U300="yes"),W300*X300,"")</f>
        <v/>
      </c>
    </row>
    <row r="301" ht="48" customHeight="1">
      <c r="A301" s="56" t="inlineStr">
        <is>
          <t>note</t>
        </is>
      </c>
      <c r="B301" s="56" t="inlineStr">
        <is>
          <t>hdds_confirmation</t>
        </is>
      </c>
      <c r="C301" s="35" t="inlineStr">
        <is>
          <t>[INSTRUCTIONS: Remember to probe for snacks, special foods given to children or pregnant women, ingredients in mixed dishes. At the end, probe for any food groups not specified.]</t>
        </is>
      </c>
      <c r="D301" s="69" t="n"/>
      <c r="E301" s="69" t="n"/>
      <c r="F301" s="56" t="n"/>
      <c r="G301" s="70" t="n"/>
      <c r="H301" s="70" t="n"/>
      <c r="I301" s="98" t="inlineStr">
        <is>
          <t>false</t>
        </is>
      </c>
      <c r="J301" s="98" t="n"/>
      <c r="K301" s="98" t="n"/>
      <c r="L301" s="98" t="n"/>
      <c r="M301" s="98" t="n"/>
      <c r="N301" s="98" t="n"/>
      <c r="O301" s="98" t="n"/>
      <c r="P301" s="98" t="n"/>
      <c r="U301" s="36" t="inlineStr">
        <is>
          <t>yes</t>
        </is>
      </c>
      <c r="W301" s="167" t="n">
        <v>3.705221891403198</v>
      </c>
      <c r="X301" s="90" t="n">
        <v>1</v>
      </c>
      <c r="Y301" s="148">
        <f>IF(W301&lt;&gt;"",W301*X301,"")</f>
        <v/>
      </c>
      <c r="Z301" s="148">
        <f>IF(AND(W301&lt;&gt;"",U301="yes"),W301*X301,"")</f>
        <v/>
      </c>
    </row>
    <row r="302" ht="16" customHeight="1">
      <c r="A302" s="56" t="inlineStr">
        <is>
          <t>end_group</t>
        </is>
      </c>
      <c r="B302" s="56" t="n"/>
      <c r="C302" s="35" t="n"/>
      <c r="D302" s="69" t="n"/>
      <c r="E302" s="69" t="n"/>
      <c r="F302" s="56" t="n"/>
      <c r="G302" s="70" t="n"/>
      <c r="H302" s="70" t="n"/>
      <c r="I302" s="98" t="n"/>
      <c r="J302" s="98" t="n"/>
      <c r="K302" s="98" t="n"/>
      <c r="L302" s="98" t="n"/>
      <c r="M302" s="98" t="n"/>
      <c r="N302" s="98" t="n"/>
      <c r="O302" s="98" t="n"/>
      <c r="P302" s="98" t="n"/>
      <c r="W302" s="167" t="n"/>
      <c r="X302" s="90" t="n">
        <v>1</v>
      </c>
      <c r="Y302" s="148">
        <f>IF(W302&lt;&gt;"",W302*X302,"")</f>
        <v/>
      </c>
      <c r="Z302" s="148">
        <f>IF(AND(W302&lt;&gt;"",U302="yes"),W302*X302,"")</f>
        <v/>
      </c>
    </row>
    <row r="303">
      <c r="A303" s="57" t="n"/>
      <c r="B303" s="57" t="n"/>
      <c r="D303" s="69" t="n"/>
      <c r="E303" s="69" t="n"/>
      <c r="G303" s="70" t="n"/>
      <c r="H303" s="70" t="n"/>
      <c r="W303" s="167" t="n"/>
      <c r="X303" s="90" t="n">
        <v>1</v>
      </c>
      <c r="Y303" s="148">
        <f>IF(W303&lt;&gt;"",W303*X303,"")</f>
        <v/>
      </c>
      <c r="Z303" s="148">
        <f>IF(AND(W303&lt;&gt;"",U303="yes"),W303*X303,"")</f>
        <v/>
      </c>
    </row>
    <row r="304" ht="16" customFormat="1" customHeight="1" s="58">
      <c r="A304" s="58" t="inlineStr">
        <is>
          <t>begin_group</t>
        </is>
      </c>
      <c r="B304" s="58" t="inlineStr">
        <is>
          <t>grp_fcs</t>
        </is>
      </c>
      <c r="C304" s="143" t="inlineStr">
        <is>
          <t>FCS</t>
        </is>
      </c>
      <c r="D304" s="60" t="n"/>
      <c r="E304" s="60" t="n"/>
      <c r="G304" s="64" t="n"/>
      <c r="H304" s="64" t="n"/>
      <c r="I304" s="99" t="n"/>
      <c r="J304" s="99" t="n"/>
      <c r="K304" s="99" t="n"/>
      <c r="L304" s="99" t="n"/>
      <c r="M304" s="99" t="n"/>
      <c r="N304" s="99" t="n"/>
      <c r="O304" s="99" t="n"/>
      <c r="P304" s="99" t="n"/>
      <c r="U304" s="58" t="inlineStr">
        <is>
          <t>no</t>
        </is>
      </c>
      <c r="W304" s="167" t="n"/>
      <c r="X304" s="90" t="n">
        <v>1</v>
      </c>
      <c r="Y304" s="148">
        <f>IF(W304&lt;&gt;"",W304*X304,"")</f>
        <v/>
      </c>
      <c r="Z304" s="148">
        <f>IF(AND(W304&lt;&gt;"",U304="yes"),W304*X304,"")</f>
        <v/>
      </c>
    </row>
    <row r="305" ht="32.15" customFormat="1" customHeight="1" s="59">
      <c r="A305" s="59" t="inlineStr">
        <is>
          <t>note</t>
        </is>
      </c>
      <c r="B305" s="59" t="inlineStr">
        <is>
          <t>fcs_intro</t>
        </is>
      </c>
      <c r="C305" s="59" t="inlineStr">
        <is>
          <t>Now I would like to ask you about the foods and drinks your household ate or drank in  *the last 7 days* during the day and at night [breakfast, lunch, dinner, snacks].</t>
        </is>
      </c>
      <c r="D305" s="60" t="n"/>
      <c r="E305" s="60" t="n"/>
      <c r="G305" s="60" t="n"/>
      <c r="H305" s="60" t="n"/>
      <c r="I305" s="99" t="inlineStr">
        <is>
          <t>false</t>
        </is>
      </c>
      <c r="J305" s="114" t="n"/>
      <c r="K305" s="114" t="n"/>
      <c r="L305" s="99" t="n"/>
      <c r="M305" s="114" t="n"/>
      <c r="N305" s="114" t="n"/>
      <c r="O305" s="114" t="n"/>
      <c r="P305" s="114" t="n"/>
      <c r="U305" s="59" t="inlineStr">
        <is>
          <t>no</t>
        </is>
      </c>
      <c r="W305" s="167" t="n">
        <v>0</v>
      </c>
      <c r="X305" s="90" t="n">
        <v>1</v>
      </c>
      <c r="Y305" s="148">
        <f>IF(W305&lt;&gt;"",W305*X305,"")</f>
        <v/>
      </c>
      <c r="Z305" s="148">
        <f>IF(AND(W305&lt;&gt;"",U305="yes"),W305*X305,"")</f>
        <v/>
      </c>
    </row>
    <row r="306" ht="48" customFormat="1" customHeight="1" s="59">
      <c r="A306" s="59" t="inlineStr">
        <is>
          <t>integer</t>
        </is>
      </c>
      <c r="B306" s="59" t="inlineStr">
        <is>
          <t>fcs_staple_days</t>
        </is>
      </c>
      <c r="C306" s="59" t="inlineStr">
        <is>
          <t>How many days over *the last 7 days*, did members of your household eat **starches, roots and tubers** such as rice, maize, pasta, bread, sorghum, millet, potato, yam, cassava, white sweet potato?</t>
        </is>
      </c>
      <c r="D306" s="60" t="n"/>
      <c r="E306" s="60" t="n"/>
      <c r="F306" s="58" t="inlineStr">
        <is>
          <t>[INSTRUCTIONS: RECORD NUMBER OF DAYS 0 - 7. IF CONSUMED ONLY IN SMALL QUANTITY, DO NOT INCLUDE.]</t>
        </is>
      </c>
      <c r="G306" s="60" t="n"/>
      <c r="H306" s="60" t="n"/>
      <c r="I306" s="99" t="inlineStr">
        <is>
          <t>true</t>
        </is>
      </c>
      <c r="J306" s="114" t="n"/>
      <c r="K306" s="114" t="inlineStr">
        <is>
          <t>.&gt;= 0 and .&lt;=7</t>
        </is>
      </c>
      <c r="L306" s="99" t="inlineStr">
        <is>
          <t>The answer must be between 0 and 7 days</t>
        </is>
      </c>
      <c r="M306" s="114" t="n"/>
      <c r="N306" s="114" t="n"/>
      <c r="O306" s="114" t="n"/>
      <c r="P306" s="114" t="n"/>
      <c r="U306" s="59" t="inlineStr">
        <is>
          <t>no</t>
        </is>
      </c>
      <c r="W306" s="167" t="n">
        <v>17</v>
      </c>
      <c r="X306" s="90" t="n">
        <v>1</v>
      </c>
      <c r="Y306" s="148">
        <f>IF(W306&lt;&gt;"",W306*X306,"")</f>
        <v/>
      </c>
      <c r="Z306" s="148">
        <f>IF(AND(W306&lt;&gt;"",U306="yes"),W306*X306,"")</f>
        <v/>
      </c>
    </row>
    <row r="307" ht="48" customFormat="1" customHeight="1" s="59">
      <c r="A307" s="59" t="inlineStr">
        <is>
          <t>integer</t>
        </is>
      </c>
      <c r="B307" s="59" t="inlineStr">
        <is>
          <t>fcs_pulses_days</t>
        </is>
      </c>
      <c r="C307" s="59" t="inlineStr">
        <is>
          <t>How many days over *the last 7 days*, did members of your household eat** pulses and nuts such as beans, lentils, cowpeas, soybean, pigeon peas and peanuts or other nuts**?</t>
        </is>
      </c>
      <c r="D307" s="60" t="n"/>
      <c r="E307" s="60" t="n"/>
      <c r="F307" s="58" t="inlineStr">
        <is>
          <t>[INSTRUCTIONS: RECORD NUMBER OF DAYS 0 - 7. IF CONSUMED ONLY IN SMALL QUANTITY, DO NOT INCLUDE.]</t>
        </is>
      </c>
      <c r="G307" s="60" t="n"/>
      <c r="H307" s="60" t="n"/>
      <c r="I307" s="99" t="inlineStr">
        <is>
          <t>true</t>
        </is>
      </c>
      <c r="J307" s="114" t="n"/>
      <c r="K307" s="114" t="inlineStr">
        <is>
          <t>.&gt;= 0 and .&lt;=7</t>
        </is>
      </c>
      <c r="L307" s="99" t="inlineStr">
        <is>
          <t>The answer must be between 0 and 7 days</t>
        </is>
      </c>
      <c r="M307" s="114" t="n"/>
      <c r="N307" s="114" t="n"/>
      <c r="O307" s="114" t="n"/>
      <c r="P307" s="114" t="n"/>
      <c r="U307" s="59" t="inlineStr">
        <is>
          <t>no</t>
        </is>
      </c>
      <c r="W307" s="167" t="n">
        <v>17</v>
      </c>
      <c r="X307" s="90" t="n">
        <v>1</v>
      </c>
      <c r="Y307" s="148">
        <f>IF(W307&lt;&gt;"",W307*X307,"")</f>
        <v/>
      </c>
      <c r="Z307" s="148">
        <f>IF(AND(W307&lt;&gt;"",U307="yes"),W307*X307,"")</f>
        <v/>
      </c>
    </row>
    <row r="308" ht="32.15" customFormat="1" customHeight="1" s="59">
      <c r="A308" s="59" t="inlineStr">
        <is>
          <t>integer</t>
        </is>
      </c>
      <c r="B308" s="59" t="inlineStr">
        <is>
          <t>fcs_vegetables_days</t>
        </is>
      </c>
      <c r="C308" s="59" t="inlineStr">
        <is>
          <t>How many days over *the last 7 days*, did members of your household eat **vegetables or leaves** such as Okra, eggplant, lettuce,beans, potatoes, spinach, tomatoes, onions and/or other leaves/vegetables?</t>
        </is>
      </c>
      <c r="D308" s="60" t="n"/>
      <c r="E308" s="60" t="n"/>
      <c r="F308" s="58" t="inlineStr">
        <is>
          <t>[INSTRUCTIONS: RECORD NUMBER OF DAYS 0 - 7. IF CONSUMED ONLY IN SMALL QUANTITY, DO NOT INCLUDE.]</t>
        </is>
      </c>
      <c r="G308" s="60" t="n"/>
      <c r="H308" s="60" t="n"/>
      <c r="I308" s="99" t="inlineStr">
        <is>
          <t>true</t>
        </is>
      </c>
      <c r="J308" s="114" t="n"/>
      <c r="K308" s="114" t="inlineStr">
        <is>
          <t>.&gt;= 0 and .&lt;=7</t>
        </is>
      </c>
      <c r="L308" s="99" t="inlineStr">
        <is>
          <t>The answer must be between 0 and 7 days</t>
        </is>
      </c>
      <c r="M308" s="114" t="n"/>
      <c r="N308" s="114" t="n"/>
      <c r="O308" s="114" t="n"/>
      <c r="P308" s="114" t="n"/>
      <c r="U308" s="59" t="inlineStr">
        <is>
          <t>no</t>
        </is>
      </c>
      <c r="W308" s="167" t="n">
        <v>17</v>
      </c>
      <c r="X308" s="90" t="n">
        <v>1</v>
      </c>
      <c r="Y308" s="148">
        <f>IF(W308&lt;&gt;"",W308*X308,"")</f>
        <v/>
      </c>
      <c r="Z308" s="148">
        <f>IF(AND(W308&lt;&gt;"",U308="yes"),W308*X308,"")</f>
        <v/>
      </c>
    </row>
    <row r="309" ht="32.15" customFormat="1" customHeight="1" s="59">
      <c r="A309" s="59" t="inlineStr">
        <is>
          <t>integer</t>
        </is>
      </c>
      <c r="B309" s="59" t="inlineStr">
        <is>
          <t>fcs_fruit_days</t>
        </is>
      </c>
      <c r="C309" s="59" t="inlineStr">
        <is>
          <t>How many days over *the last 7 days*, did members of your household eat **fruit** such as Apple, grapes, pomegranate, watermelon, melon, almond and/or other fruits?</t>
        </is>
      </c>
      <c r="D309" s="60" t="n"/>
      <c r="E309" s="60" t="n"/>
      <c r="F309" s="58" t="inlineStr">
        <is>
          <t>[INSTRUCTIONS: RECORD NUMBER OF DAYS 0 - 7. IF CONSUMED ONLY IN SMALL QUANTITY, DO NOT INCLUDE.]</t>
        </is>
      </c>
      <c r="G309" s="60" t="n"/>
      <c r="H309" s="60" t="n"/>
      <c r="I309" s="99" t="inlineStr">
        <is>
          <t>true</t>
        </is>
      </c>
      <c r="J309" s="114" t="n"/>
      <c r="K309" s="114" t="inlineStr">
        <is>
          <t>.&gt;= 0 and .&lt;=7</t>
        </is>
      </c>
      <c r="L309" s="99" t="inlineStr">
        <is>
          <t>The answer must be between 0 and 7 days</t>
        </is>
      </c>
      <c r="M309" s="114" t="n"/>
      <c r="N309" s="114" t="n"/>
      <c r="O309" s="114" t="n"/>
      <c r="P309" s="114" t="n"/>
      <c r="U309" s="59" t="inlineStr">
        <is>
          <t>no</t>
        </is>
      </c>
      <c r="W309" s="167" t="n">
        <v>17</v>
      </c>
      <c r="X309" s="90" t="n">
        <v>1</v>
      </c>
      <c r="Y309" s="148">
        <f>IF(W309&lt;&gt;"",W309*X309,"")</f>
        <v/>
      </c>
      <c r="Z309" s="148">
        <f>IF(AND(W309&lt;&gt;"",U309="yes"),W309*X309,"")</f>
        <v/>
      </c>
    </row>
    <row r="310" ht="48" customFormat="1" customHeight="1" s="59">
      <c r="A310" s="59" t="inlineStr">
        <is>
          <t>integer</t>
        </is>
      </c>
      <c r="B310" s="59" t="inlineStr">
        <is>
          <t>fcs_meat_fish_days</t>
        </is>
      </c>
      <c r="C310" s="59" t="inlineStr">
        <is>
          <t>How many days over *the last 7 days*, did members of your household eat **meat, eggs or fish** [any type of meat or fish including insects, birds, bush meat, seafood, or organs]?</t>
        </is>
      </c>
      <c r="D310" s="60" t="n"/>
      <c r="E310" s="60" t="n"/>
      <c r="F310" s="58" t="inlineStr">
        <is>
          <t>[INSTRUCTIONS: RECORD NUMBER OF DAYS 0 - 7. IF CONSUMED ONLY IN SMALL QUANTITY, DO NOT INCLUDE.]</t>
        </is>
      </c>
      <c r="G310" s="60" t="n"/>
      <c r="H310" s="60" t="n"/>
      <c r="I310" s="99" t="inlineStr">
        <is>
          <t>true</t>
        </is>
      </c>
      <c r="J310" s="114" t="n"/>
      <c r="K310" s="114" t="inlineStr">
        <is>
          <t>.&gt;= 0 and .&lt;=7</t>
        </is>
      </c>
      <c r="L310" s="99" t="inlineStr">
        <is>
          <t>The answer must be between 0 and 7 days</t>
        </is>
      </c>
      <c r="M310" s="114" t="n"/>
      <c r="N310" s="114" t="n"/>
      <c r="O310" s="114" t="n"/>
      <c r="P310" s="114" t="n"/>
      <c r="U310" s="59" t="inlineStr">
        <is>
          <t>no</t>
        </is>
      </c>
      <c r="W310" s="167" t="n">
        <v>17</v>
      </c>
      <c r="X310" s="90" t="n">
        <v>1</v>
      </c>
      <c r="Y310" s="148">
        <f>IF(W310&lt;&gt;"",W310*X310,"")</f>
        <v/>
      </c>
      <c r="Z310" s="148">
        <f>IF(AND(W310&lt;&gt;"",U310="yes"),W310*X310,"")</f>
        <v/>
      </c>
    </row>
    <row r="311" ht="48" customFormat="1" customHeight="1" s="59">
      <c r="A311" s="59" t="inlineStr">
        <is>
          <t>integer</t>
        </is>
      </c>
      <c r="B311" s="59" t="inlineStr">
        <is>
          <t>fcs_dairy_days</t>
        </is>
      </c>
      <c r="C311" s="59" t="inlineStr">
        <is>
          <t>How many days over *the last 7 days*, did members of your household consume fresh milk, sour milk, yogurt, cheese or other **dairy products** [excluding margarine/butter or small amounts of milk for tea/ coffee]?</t>
        </is>
      </c>
      <c r="D311" s="60" t="n"/>
      <c r="E311" s="60" t="n"/>
      <c r="F311" s="58" t="inlineStr">
        <is>
          <t>[INSTRUCTIONS: RECORD NUMBER OF DAYS 0 - 7. IF CONSUMED ONLY IN SMALL QUANTITY, DO NOT INCLUDE.]</t>
        </is>
      </c>
      <c r="G311" s="60" t="n"/>
      <c r="H311" s="60" t="n"/>
      <c r="I311" s="99" t="inlineStr">
        <is>
          <t>true</t>
        </is>
      </c>
      <c r="J311" s="114" t="n"/>
      <c r="K311" s="114" t="inlineStr">
        <is>
          <t>.&gt;= 0 and .&lt;=7</t>
        </is>
      </c>
      <c r="L311" s="99" t="inlineStr">
        <is>
          <t>The answer must be between 0 and 7 days</t>
        </is>
      </c>
      <c r="M311" s="114" t="n"/>
      <c r="N311" s="114" t="n"/>
      <c r="O311" s="114" t="n"/>
      <c r="P311" s="114" t="n"/>
      <c r="U311" s="59" t="inlineStr">
        <is>
          <t>no</t>
        </is>
      </c>
      <c r="W311" s="167" t="n">
        <v>17</v>
      </c>
      <c r="X311" s="90" t="n">
        <v>1</v>
      </c>
      <c r="Y311" s="148">
        <f>IF(W311&lt;&gt;"",W311*X311,"")</f>
        <v/>
      </c>
      <c r="Z311" s="148">
        <f>IF(AND(W311&lt;&gt;"",U311="yes"),W311*X311,"")</f>
        <v/>
      </c>
    </row>
    <row r="312" ht="48" customFormat="1" customHeight="1" s="59">
      <c r="A312" s="59" t="inlineStr">
        <is>
          <t>integer</t>
        </is>
      </c>
      <c r="B312" s="59" t="inlineStr">
        <is>
          <t>fcs_sugar_days</t>
        </is>
      </c>
      <c r="C312" s="59" t="inlineStr">
        <is>
          <t>How many days over *the last 7 days*, did members of your household consume **sugar or sweets** such as sugar, honey, jam, cakes, candy, cookies, pastries, cakes and other sweets and sugary drinks?</t>
        </is>
      </c>
      <c r="D312" s="60" t="n"/>
      <c r="E312" s="60" t="n"/>
      <c r="F312" s="58" t="inlineStr">
        <is>
          <t>[INSTRUCTIONS: RECORD NUMBER OF DAYS 0 - 7. IF CONSUMED ONLY IN SMALL QUANTITY, DO NOT INCLUDE.]</t>
        </is>
      </c>
      <c r="G312" s="60" t="n"/>
      <c r="H312" s="60" t="n"/>
      <c r="I312" s="99" t="inlineStr">
        <is>
          <t>true</t>
        </is>
      </c>
      <c r="J312" s="114" t="n"/>
      <c r="K312" s="114" t="inlineStr">
        <is>
          <t>.&gt;= 0 and .&lt;=7</t>
        </is>
      </c>
      <c r="L312" s="99" t="inlineStr">
        <is>
          <t>The answer must be between 0 and 7 days</t>
        </is>
      </c>
      <c r="M312" s="114" t="n"/>
      <c r="N312" s="114" t="n"/>
      <c r="O312" s="114" t="n"/>
      <c r="P312" s="114" t="n"/>
      <c r="U312" s="59" t="inlineStr">
        <is>
          <t>no</t>
        </is>
      </c>
      <c r="W312" s="167" t="n">
        <v>17</v>
      </c>
      <c r="X312" s="90" t="n">
        <v>1</v>
      </c>
      <c r="Y312" s="148">
        <f>IF(W312&lt;&gt;"",W312*X312,"")</f>
        <v/>
      </c>
      <c r="Z312" s="148">
        <f>IF(AND(W312&lt;&gt;"",U312="yes"),W312*X312,"")</f>
        <v/>
      </c>
    </row>
    <row r="313" ht="48" customFormat="1" customHeight="1" s="59">
      <c r="A313" s="59" t="inlineStr">
        <is>
          <t>integer</t>
        </is>
      </c>
      <c r="B313" s="59" t="inlineStr">
        <is>
          <t>fcs_oil_days</t>
        </is>
      </c>
      <c r="C313" s="59" t="inlineStr">
        <is>
          <t>How many days over *the last 7 days*, did members of your household eat **oil/fat/butter** such as vegetable oil, palm oil, groundnut oil, margarine, other fats / oil?</t>
        </is>
      </c>
      <c r="D313" s="60" t="n"/>
      <c r="E313" s="60" t="n"/>
      <c r="F313" s="58" t="inlineStr">
        <is>
          <t>[INSTRUCTIONS: RECORD NUMBER OF DAYS 0 - 7. IF CONSUMED ONLY IN SMALL QUANTITY, DO NOT INCLUDE.]</t>
        </is>
      </c>
      <c r="G313" s="60" t="n"/>
      <c r="H313" s="60" t="n"/>
      <c r="I313" s="99" t="inlineStr">
        <is>
          <t>true</t>
        </is>
      </c>
      <c r="J313" s="114" t="n"/>
      <c r="K313" s="114" t="inlineStr">
        <is>
          <t>.&gt;= 0 and .&lt;=7</t>
        </is>
      </c>
      <c r="L313" s="99" t="inlineStr">
        <is>
          <t>The answer must be between 0 and 7 days</t>
        </is>
      </c>
      <c r="M313" s="114" t="n"/>
      <c r="N313" s="114" t="n"/>
      <c r="O313" s="114" t="n"/>
      <c r="P313" s="114" t="n"/>
      <c r="U313" s="59" t="inlineStr">
        <is>
          <t>no</t>
        </is>
      </c>
      <c r="W313" s="167" t="n">
        <v>17</v>
      </c>
      <c r="X313" s="90" t="n">
        <v>1</v>
      </c>
      <c r="Y313" s="148">
        <f>IF(W313&lt;&gt;"",W313*X313,"")</f>
        <v/>
      </c>
      <c r="Z313" s="148">
        <f>IF(AND(W313&lt;&gt;"",U313="yes"),W313*X313,"")</f>
        <v/>
      </c>
    </row>
    <row r="314" ht="48" customFormat="1" customHeight="1" s="59">
      <c r="A314" s="59" t="inlineStr">
        <is>
          <t>integer</t>
        </is>
      </c>
      <c r="B314" s="59" t="inlineStr">
        <is>
          <t>fcs_condiments_days</t>
        </is>
      </c>
      <c r="C314" s="59" t="inlineStr">
        <is>
          <t>How many days over *the last 7 days*, did members of your household eat **spices or condiments** such as tea, coffee, cocoa, salt, garlic, spices, yeast, meat fish as a condiment or small amounts of milk for tea or coffee?</t>
        </is>
      </c>
      <c r="D314" s="60" t="n"/>
      <c r="E314" s="60" t="n"/>
      <c r="F314" s="58" t="inlineStr">
        <is>
          <t>[INSTRUCTIONS: RECORD NUMBER OF DAYS 0 - 7. IF CONSUMED ONLY IN SMALL QUANTITY, DO NOT INCLUDE.]</t>
        </is>
      </c>
      <c r="G314" s="60" t="n"/>
      <c r="H314" s="60" t="n"/>
      <c r="I314" s="99" t="inlineStr">
        <is>
          <t>true</t>
        </is>
      </c>
      <c r="J314" s="114" t="n"/>
      <c r="K314" s="114" t="inlineStr">
        <is>
          <t>.&gt;= 0 and .&lt;=7</t>
        </is>
      </c>
      <c r="L314" s="99" t="inlineStr">
        <is>
          <t>The answer must be between 0 and 7 days</t>
        </is>
      </c>
      <c r="M314" s="114" t="n"/>
      <c r="N314" s="114" t="n"/>
      <c r="O314" s="114" t="n"/>
      <c r="P314" s="114" t="n"/>
      <c r="U314" s="59" t="inlineStr">
        <is>
          <t>no</t>
        </is>
      </c>
      <c r="W314" s="167" t="n">
        <v>17</v>
      </c>
      <c r="X314" s="90" t="n">
        <v>1</v>
      </c>
      <c r="Y314" s="148">
        <f>IF(W314&lt;&gt;"",W314*X314,"")</f>
        <v/>
      </c>
      <c r="Z314" s="148">
        <f>IF(AND(W314&lt;&gt;"",U314="yes"),W314*X314,"")</f>
        <v/>
      </c>
    </row>
    <row r="315" customFormat="1" s="58">
      <c r="A315" s="58" t="inlineStr">
        <is>
          <t>end_group</t>
        </is>
      </c>
      <c r="C315" s="59" t="n"/>
      <c r="D315" s="60" t="n"/>
      <c r="E315" s="60" t="n"/>
      <c r="G315" s="64" t="n"/>
      <c r="H315" s="64" t="n"/>
      <c r="I315" s="99" t="n"/>
      <c r="J315" s="99" t="n"/>
      <c r="K315" s="99" t="n"/>
      <c r="L315" s="99" t="n"/>
      <c r="M315" s="99" t="n"/>
      <c r="N315" s="99" t="n"/>
      <c r="O315" s="99" t="n"/>
      <c r="P315" s="99" t="n"/>
      <c r="W315" s="167" t="n">
        <v>17</v>
      </c>
      <c r="X315" s="90" t="n">
        <v>1</v>
      </c>
      <c r="Y315" s="148">
        <f>IF(W315&lt;&gt;"",W315*X315,"")</f>
        <v/>
      </c>
      <c r="Z315" s="148">
        <f>IF(AND(W315&lt;&gt;"",U315="yes"),W315*X315,"")</f>
        <v/>
      </c>
      <c r="AA315" s="57" t="n"/>
    </row>
    <row r="316" customFormat="1" s="58">
      <c r="C316" s="59" t="n"/>
      <c r="D316" s="60" t="n"/>
      <c r="E316" s="60" t="n"/>
      <c r="G316" s="64" t="n"/>
      <c r="H316" s="64" t="n"/>
      <c r="I316" s="99" t="n"/>
      <c r="J316" s="99" t="n"/>
      <c r="K316" s="99" t="n"/>
      <c r="L316" s="99" t="n"/>
      <c r="M316" s="99" t="n"/>
      <c r="N316" s="99" t="n"/>
      <c r="O316" s="99" t="n"/>
      <c r="P316" s="99" t="n"/>
      <c r="W316" s="167" t="n">
        <v>17</v>
      </c>
      <c r="X316" s="90" t="n">
        <v>1</v>
      </c>
      <c r="Y316" s="148">
        <f>IF(W316&lt;&gt;"",W316*X316,"")</f>
        <v/>
      </c>
      <c r="Z316" s="148">
        <f>IF(AND(W316&lt;&gt;"",U316="yes"),W316*X316,"")</f>
        <v/>
      </c>
      <c r="AA316" s="57" t="n"/>
    </row>
    <row r="317" ht="16" customFormat="1" customHeight="1" s="58">
      <c r="A317" s="58" t="inlineStr">
        <is>
          <t>begin_group</t>
        </is>
      </c>
      <c r="B317" s="58" t="inlineStr">
        <is>
          <t>grp_rcsi</t>
        </is>
      </c>
      <c r="C317" s="143" t="inlineStr">
        <is>
          <t>rCSI</t>
        </is>
      </c>
      <c r="D317" s="60" t="n"/>
      <c r="E317" s="60" t="n"/>
      <c r="G317" s="64" t="n"/>
      <c r="H317" s="64" t="n"/>
      <c r="I317" s="99" t="n"/>
      <c r="J317" s="99" t="n"/>
      <c r="K317" s="99" t="n"/>
      <c r="L317" s="99" t="n"/>
      <c r="M317" s="99" t="n"/>
      <c r="N317" s="99" t="n"/>
      <c r="O317" s="99" t="n"/>
      <c r="P317" s="99" t="n"/>
      <c r="U317" s="58" t="inlineStr">
        <is>
          <t>no</t>
        </is>
      </c>
      <c r="W317" s="167" t="n"/>
      <c r="X317" s="90" t="n">
        <v>1</v>
      </c>
      <c r="Y317" s="148">
        <f>IF(W317&lt;&gt;"",W317*X317,"")</f>
        <v/>
      </c>
      <c r="Z317" s="148">
        <f>IF(AND(W317&lt;&gt;"",U317="yes"),W317*X317,"")</f>
        <v/>
      </c>
    </row>
    <row r="318" ht="48" customFormat="1" customHeight="1" s="58">
      <c r="A318" s="58" t="inlineStr">
        <is>
          <t>note</t>
        </is>
      </c>
      <c r="B318" s="58" t="inlineStr">
        <is>
          <t>rcsi_intro</t>
        </is>
      </c>
      <c r="C318" s="59" t="inlineStr">
        <is>
          <t>Now I will ask you about the number of days, in *the last 7 days*, during which the household has done some of the actions that I will mention to cope with the lack of food or money to buy food.</t>
        </is>
      </c>
      <c r="D318" s="60" t="n"/>
      <c r="E318" s="60" t="n"/>
      <c r="G318" s="64" t="n"/>
      <c r="H318" s="64" t="n"/>
      <c r="I318" s="99" t="inlineStr">
        <is>
          <t>false</t>
        </is>
      </c>
      <c r="J318" s="99" t="n"/>
      <c r="K318" s="99" t="n"/>
      <c r="L318" s="99" t="n"/>
      <c r="M318" s="99" t="n"/>
      <c r="N318" s="99" t="n"/>
      <c r="O318" s="99" t="n"/>
      <c r="P318" s="99" t="n"/>
      <c r="U318" s="58" t="inlineStr">
        <is>
          <t>no</t>
        </is>
      </c>
      <c r="W318" s="167" t="n">
        <v>17</v>
      </c>
      <c r="X318" s="90" t="n">
        <v>1</v>
      </c>
      <c r="Y318" s="148">
        <f>IF(W318&lt;&gt;"",W318*X318,"")</f>
        <v/>
      </c>
      <c r="Z318" s="148">
        <f>IF(AND(W318&lt;&gt;"",U318="yes"),W318*X318,"")</f>
        <v/>
      </c>
    </row>
    <row r="319" ht="32.15" customFormat="1" customHeight="1" s="58">
      <c r="A319" s="58" t="inlineStr">
        <is>
          <t>integer</t>
        </is>
      </c>
      <c r="B319" s="58" t="inlineStr">
        <is>
          <t>rcsi_less_preferred_foods</t>
        </is>
      </c>
      <c r="C319" s="59" t="inlineStr">
        <is>
          <t xml:space="preserve">In *the past 7 days*, how many days did your household **rely on less preferred or less expensive food** due to lack of food/money?  </t>
        </is>
      </c>
      <c r="D319" s="60" t="n"/>
      <c r="E319" s="60" t="n"/>
      <c r="F319" s="58" t="inlineStr">
        <is>
          <t>[INSTRUCTIONS: RECORD NUMBER OF DAYS 0 - 7]</t>
        </is>
      </c>
      <c r="G319" s="64" t="n"/>
      <c r="H319" s="64" t="n"/>
      <c r="I319" s="99" t="inlineStr">
        <is>
          <t>true</t>
        </is>
      </c>
      <c r="J319" s="99" t="n"/>
      <c r="K319" s="99" t="inlineStr">
        <is>
          <t>.&gt;= 0 and .&lt;=7</t>
        </is>
      </c>
      <c r="L319" s="99" t="inlineStr">
        <is>
          <t>The answer must be between 0 and 7 days</t>
        </is>
      </c>
      <c r="M319" s="99" t="n"/>
      <c r="N319" s="99" t="n"/>
      <c r="O319" s="99" t="n"/>
      <c r="P319" s="99" t="n"/>
      <c r="U319" s="58" t="inlineStr">
        <is>
          <t>no</t>
        </is>
      </c>
      <c r="W319" s="167" t="n">
        <v>17</v>
      </c>
      <c r="X319" s="90" t="n">
        <v>1</v>
      </c>
      <c r="Y319" s="148">
        <f>IF(W319&lt;&gt;"",W319*X319,"")</f>
        <v/>
      </c>
      <c r="Z319" s="148">
        <f>IF(AND(W319&lt;&gt;"",U319="yes"),W319*X319,"")</f>
        <v/>
      </c>
    </row>
    <row r="320" ht="32.15" customFormat="1" customHeight="1" s="58">
      <c r="A320" s="58" t="inlineStr">
        <is>
          <t>integer</t>
        </is>
      </c>
      <c r="B320" s="58" t="inlineStr">
        <is>
          <t>rcsi_borrowed_food</t>
        </is>
      </c>
      <c r="C320" s="59" t="inlineStr">
        <is>
          <t xml:space="preserve">In the *past 7 days*, how many days did your household **borrow food, or rely on help from a friend or relative** due to lack of food or money to buy food? </t>
        </is>
      </c>
      <c r="D320" s="60" t="n"/>
      <c r="E320" s="60" t="n"/>
      <c r="F320" s="58" t="inlineStr">
        <is>
          <t>[INSTRUCTIONS: RECORD NUMBER OF DAYS 0 - 7]</t>
        </is>
      </c>
      <c r="G320" s="64" t="n"/>
      <c r="H320" s="64" t="n"/>
      <c r="I320" s="99" t="inlineStr">
        <is>
          <t>true</t>
        </is>
      </c>
      <c r="J320" s="99" t="n"/>
      <c r="K320" s="99" t="inlineStr">
        <is>
          <t>.&gt;= 0 and .&lt;=7</t>
        </is>
      </c>
      <c r="L320" s="99" t="inlineStr">
        <is>
          <t>The answer must be between 0 and 7 days</t>
        </is>
      </c>
      <c r="M320" s="99" t="n"/>
      <c r="N320" s="99" t="n"/>
      <c r="O320" s="99" t="n"/>
      <c r="P320" s="99" t="n"/>
      <c r="U320" s="58" t="inlineStr">
        <is>
          <t>no</t>
        </is>
      </c>
      <c r="W320" s="167" t="n">
        <v>17</v>
      </c>
      <c r="X320" s="90" t="n">
        <v>1</v>
      </c>
      <c r="Y320" s="148">
        <f>IF(W320&lt;&gt;"",W320*X320,"")</f>
        <v/>
      </c>
      <c r="Z320" s="148">
        <f>IF(AND(W320&lt;&gt;"",U320="yes"),W320*X320,"")</f>
        <v/>
      </c>
    </row>
    <row r="321" ht="32.15" customFormat="1" customHeight="1" s="58">
      <c r="A321" s="58" t="inlineStr">
        <is>
          <t>integer</t>
        </is>
      </c>
      <c r="B321" s="58" t="inlineStr">
        <is>
          <t>rcsi_reduce_number_meals</t>
        </is>
      </c>
      <c r="C321" s="59" t="inlineStr">
        <is>
          <t>In the past 7 days, how many days did your household **reduce the number of meals eaten in a day** due to lack of food or money to buy food?</t>
        </is>
      </c>
      <c r="D321" s="60" t="n"/>
      <c r="E321" s="60" t="n"/>
      <c r="F321" s="58" t="inlineStr">
        <is>
          <t>[INSTRUCTIONS: RECORD NUMBER OF DAYS 0 - 7]</t>
        </is>
      </c>
      <c r="G321" s="64" t="n"/>
      <c r="H321" s="64" t="n"/>
      <c r="I321" s="99" t="inlineStr">
        <is>
          <t>true</t>
        </is>
      </c>
      <c r="J321" s="99" t="n"/>
      <c r="K321" s="99" t="inlineStr">
        <is>
          <t>.&gt;= 0 and .&lt;=7</t>
        </is>
      </c>
      <c r="L321" s="99" t="inlineStr">
        <is>
          <t>The answer must be between 0 and 7 days</t>
        </is>
      </c>
      <c r="M321" s="99" t="n"/>
      <c r="N321" s="99" t="n"/>
      <c r="O321" s="99" t="n"/>
      <c r="P321" s="99" t="n"/>
      <c r="U321" s="58" t="inlineStr">
        <is>
          <t>no</t>
        </is>
      </c>
      <c r="W321" s="167" t="n">
        <v>17</v>
      </c>
      <c r="X321" s="90" t="n">
        <v>1</v>
      </c>
      <c r="Y321" s="148">
        <f>IF(W321&lt;&gt;"",W321*X321,"")</f>
        <v/>
      </c>
      <c r="Z321" s="148">
        <f>IF(AND(W321&lt;&gt;"",U321="yes"),W321*X321,"")</f>
        <v/>
      </c>
    </row>
    <row r="322" ht="32.15" customFormat="1" customHeight="1" s="58">
      <c r="A322" s="58" t="inlineStr">
        <is>
          <t>integer</t>
        </is>
      </c>
      <c r="B322" s="58" t="inlineStr">
        <is>
          <t>rcsi_limit_portions</t>
        </is>
      </c>
      <c r="C322" s="59" t="inlineStr">
        <is>
          <t xml:space="preserve">In the *past 7 days*, how many days did your household **limit portion sizes at mealtime** due to lack of food or money to buy food? </t>
        </is>
      </c>
      <c r="D322" s="60" t="n"/>
      <c r="E322" s="60" t="n"/>
      <c r="F322" s="58" t="inlineStr">
        <is>
          <t>[INSTRUCTIONS: RECORD NUMBER OF DAYS 0 - 7]</t>
        </is>
      </c>
      <c r="G322" s="64" t="n"/>
      <c r="H322" s="64" t="n"/>
      <c r="I322" s="99" t="inlineStr">
        <is>
          <t>true</t>
        </is>
      </c>
      <c r="J322" s="99" t="n"/>
      <c r="K322" s="99" t="inlineStr">
        <is>
          <t>.&gt;= 0 and .&lt;=7</t>
        </is>
      </c>
      <c r="L322" s="99" t="inlineStr">
        <is>
          <t>The answer must be between 0 and 7 days</t>
        </is>
      </c>
      <c r="M322" s="99" t="n"/>
      <c r="N322" s="99" t="n"/>
      <c r="O322" s="99" t="n"/>
      <c r="P322" s="99" t="n"/>
      <c r="U322" s="58" t="inlineStr">
        <is>
          <t>no</t>
        </is>
      </c>
      <c r="W322" s="167" t="n">
        <v>17</v>
      </c>
      <c r="X322" s="90" t="n">
        <v>1</v>
      </c>
      <c r="Y322" s="148">
        <f>IF(W322&lt;&gt;"",W322*X322,"")</f>
        <v/>
      </c>
      <c r="Z322" s="148">
        <f>IF(AND(W322&lt;&gt;"",U322="yes"),W322*X322,"")</f>
        <v/>
      </c>
    </row>
    <row r="323" ht="32.15" customFormat="1" customHeight="1" s="58">
      <c r="A323" s="58" t="inlineStr">
        <is>
          <t>integer</t>
        </is>
      </c>
      <c r="B323" s="58" t="inlineStr">
        <is>
          <t>rcsi_restrict_adult_consumpt</t>
        </is>
      </c>
      <c r="C323" s="59" t="inlineStr">
        <is>
          <t>In the *past 7 days*, how many days did your household **restrict consumption by adults so children could eat**, due to lack of food or money to buy food?</t>
        </is>
      </c>
      <c r="D323" s="60" t="n"/>
      <c r="E323" s="60" t="n"/>
      <c r="F323" s="58" t="inlineStr">
        <is>
          <t>[INSTRUCTIONS: RECORD NUMBER OF DAYS 0 - 7]</t>
        </is>
      </c>
      <c r="G323" s="64" t="n"/>
      <c r="H323" s="64" t="n"/>
      <c r="I323" s="99" t="inlineStr">
        <is>
          <t>true</t>
        </is>
      </c>
      <c r="J323" s="99" t="n"/>
      <c r="K323" s="99" t="inlineStr">
        <is>
          <t>.&gt;= 0 and .&lt;=7</t>
        </is>
      </c>
      <c r="L323" s="99" t="inlineStr">
        <is>
          <t>The answer must be between 0 and 7 days</t>
        </is>
      </c>
      <c r="M323" s="99" t="n"/>
      <c r="N323" s="99" t="n"/>
      <c r="O323" s="99" t="n"/>
      <c r="P323" s="99" t="n"/>
      <c r="U323" s="58" t="inlineStr">
        <is>
          <t>no</t>
        </is>
      </c>
      <c r="W323" s="167" t="n">
        <v>17</v>
      </c>
      <c r="X323" s="90" t="n">
        <v>1</v>
      </c>
      <c r="Y323" s="148">
        <f>IF(W323&lt;&gt;"",W323*X323,"")</f>
        <v/>
      </c>
      <c r="Z323" s="148">
        <f>IF(AND(W323&lt;&gt;"",U323="yes"),W323*X323,"")</f>
        <v/>
      </c>
    </row>
    <row r="324" customFormat="1" s="58">
      <c r="A324" s="58" t="inlineStr">
        <is>
          <t>end_group</t>
        </is>
      </c>
      <c r="C324" s="59" t="n"/>
      <c r="D324" s="60" t="n"/>
      <c r="E324" s="60" t="n"/>
      <c r="G324" s="64" t="n"/>
      <c r="H324" s="64" t="n"/>
      <c r="I324" s="99" t="n"/>
      <c r="J324" s="99" t="n"/>
      <c r="K324" s="99" t="n"/>
      <c r="L324" s="99" t="n"/>
      <c r="M324" s="99" t="n"/>
      <c r="N324" s="99" t="n"/>
      <c r="O324" s="99" t="n"/>
      <c r="P324" s="99" t="n"/>
      <c r="W324" s="167" t="n"/>
      <c r="X324" s="90" t="n">
        <v>1</v>
      </c>
      <c r="Y324" s="148">
        <f>IF(W324&lt;&gt;"",W324*X324,"")</f>
        <v/>
      </c>
      <c r="Z324" s="148">
        <f>IF(AND(W324&lt;&gt;"",U324="yes"),W324*X324,"")</f>
        <v/>
      </c>
    </row>
    <row r="325" customFormat="1" s="58">
      <c r="C325" s="59" t="n"/>
      <c r="D325" s="60" t="n"/>
      <c r="E325" s="60" t="n"/>
      <c r="G325" s="64" t="n"/>
      <c r="H325" s="64" t="n"/>
      <c r="I325" s="99" t="n"/>
      <c r="J325" s="99" t="n"/>
      <c r="K325" s="99" t="n"/>
      <c r="L325" s="99" t="n"/>
      <c r="M325" s="99" t="n"/>
      <c r="N325" s="99" t="n"/>
      <c r="O325" s="99" t="n"/>
      <c r="P325" s="99" t="n"/>
      <c r="W325" s="167" t="n"/>
      <c r="X325" s="90" t="n"/>
      <c r="Y325" s="148" t="n"/>
      <c r="Z325" s="148" t="n"/>
    </row>
    <row r="326" customFormat="1" s="58">
      <c r="A326" s="51" t="inlineStr">
        <is>
          <t>begin_group</t>
        </is>
      </c>
      <c r="B326" s="58" t="inlineStr">
        <is>
          <t>market_access</t>
        </is>
      </c>
      <c r="C326" s="58" t="inlineStr">
        <is>
          <t>Market Access</t>
        </is>
      </c>
      <c r="D326" s="60" t="n"/>
      <c r="E326" s="60" t="n"/>
      <c r="G326" s="64" t="n"/>
      <c r="H326" s="64" t="n"/>
      <c r="I326" s="99" t="n"/>
      <c r="J326" s="99" t="n"/>
      <c r="K326" s="99" t="n"/>
      <c r="L326" s="99" t="n"/>
      <c r="M326" s="99" t="n"/>
      <c r="N326" s="99" t="n"/>
      <c r="O326" s="99" t="n"/>
      <c r="P326" s="99" t="n"/>
      <c r="W326" s="167" t="n"/>
      <c r="X326" s="90" t="n"/>
      <c r="Y326" s="148" t="n"/>
      <c r="Z326" s="148" t="n"/>
    </row>
    <row r="327" customFormat="1" s="58">
      <c r="A327" s="284" t="inlineStr">
        <is>
          <t>select_one marketaccess</t>
        </is>
      </c>
      <c r="B327" s="259" t="inlineStr">
        <is>
          <t>o_market_access</t>
        </is>
      </c>
      <c r="C327" s="283" t="inlineStr">
        <is>
          <t>Are you facing significant constraints to access markets due to flooded roads?</t>
        </is>
      </c>
      <c r="D327" s="258" t="n"/>
      <c r="E327" s="258" t="n"/>
      <c r="F327" s="259" t="n"/>
      <c r="G327" s="259" t="n"/>
      <c r="H327" s="259" t="n"/>
      <c r="I327" s="260" t="n"/>
      <c r="J327" s="260" t="n"/>
      <c r="K327" s="260" t="n"/>
      <c r="L327" s="260" t="n"/>
      <c r="M327" s="260" t="n"/>
      <c r="N327" s="260" t="n"/>
      <c r="O327" s="260" t="n"/>
      <c r="P327" s="260" t="n"/>
      <c r="Q327" s="259" t="n"/>
      <c r="R327" s="259" t="n"/>
      <c r="S327" s="259" t="n"/>
      <c r="T327" s="259" t="n"/>
      <c r="W327" s="167" t="n"/>
      <c r="X327" s="90" t="n"/>
      <c r="Y327" s="148" t="n"/>
      <c r="Z327" s="148" t="n"/>
    </row>
    <row r="328" customFormat="1" s="58">
      <c r="A328" s="58" t="inlineStr">
        <is>
          <t>end_group</t>
        </is>
      </c>
      <c r="C328" s="59" t="n"/>
      <c r="D328" s="60" t="n"/>
      <c r="E328" s="60" t="n"/>
      <c r="G328" s="64" t="n"/>
      <c r="H328" s="64" t="n"/>
      <c r="I328" s="99" t="n"/>
      <c r="J328" s="99" t="n"/>
      <c r="K328" s="99" t="n"/>
      <c r="L328" s="99" t="n"/>
      <c r="M328" s="99" t="n"/>
      <c r="N328" s="99" t="n"/>
      <c r="O328" s="99" t="n"/>
      <c r="P328" s="99" t="n"/>
      <c r="W328" s="167" t="n"/>
      <c r="X328" s="90" t="n"/>
      <c r="Y328" s="148" t="n"/>
      <c r="Z328" s="148" t="n"/>
    </row>
    <row r="329" customFormat="1" s="58">
      <c r="C329" s="59" t="n"/>
      <c r="D329" s="60" t="n"/>
      <c r="E329" s="60" t="n"/>
      <c r="G329" s="64" t="n"/>
      <c r="H329" s="64" t="n"/>
      <c r="I329" s="99" t="n"/>
      <c r="J329" s="99" t="n"/>
      <c r="K329" s="99" t="n"/>
      <c r="L329" s="99" t="n"/>
      <c r="M329" s="99" t="n"/>
      <c r="N329" s="99" t="n"/>
      <c r="O329" s="99" t="n"/>
      <c r="P329" s="99" t="n"/>
      <c r="W329" s="167" t="n"/>
      <c r="X329" s="90" t="n">
        <v>1</v>
      </c>
      <c r="Y329" s="148">
        <f>IF(W329&lt;&gt;"",W329*X329,"")</f>
        <v/>
      </c>
      <c r="Z329" s="148">
        <f>IF(AND(W329&lt;&gt;"",U329="yes"),W329*X329,"")</f>
        <v/>
      </c>
    </row>
    <row r="330" ht="16" customHeight="1" thickBot="1">
      <c r="A330" s="83" t="inlineStr">
        <is>
          <t>end_group</t>
        </is>
      </c>
      <c r="B330" s="83" t="n"/>
      <c r="C330" s="84" t="n"/>
      <c r="D330" s="91" t="n"/>
      <c r="E330" s="91" t="n"/>
      <c r="F330" s="83" t="n"/>
      <c r="G330" s="92" t="n"/>
      <c r="H330" s="92" t="n"/>
      <c r="I330" s="111" t="n"/>
      <c r="J330" s="111" t="n"/>
      <c r="K330" s="111" t="n"/>
      <c r="L330" s="111" t="n"/>
      <c r="M330" s="111" t="n"/>
      <c r="N330" s="111" t="n"/>
      <c r="O330" s="111" t="n"/>
      <c r="P330" s="111" t="n"/>
      <c r="W330" s="167" t="n"/>
      <c r="Y330" s="148">
        <f>IF(W330&lt;&gt;"",W330*X330,"")</f>
        <v/>
      </c>
      <c r="Z330" s="148">
        <f>IF(AND(W330&lt;&gt;"",U330="yes"),W330*X330,"")</f>
        <v/>
      </c>
    </row>
    <row r="331" ht="15" customFormat="1" customHeight="1" s="54" thickTop="1">
      <c r="A331" s="51" t="inlineStr">
        <is>
          <t>begin_group</t>
        </is>
      </c>
      <c r="B331" s="51" t="inlineStr">
        <is>
          <t>Assisstance_group</t>
        </is>
      </c>
      <c r="C331" s="75" t="inlineStr">
        <is>
          <t>NEEDS ASSISTANCE</t>
        </is>
      </c>
      <c r="D331" s="52" t="n"/>
      <c r="E331" s="52" t="n"/>
      <c r="F331" s="51" t="n"/>
      <c r="G331" s="53" t="n"/>
      <c r="H331" s="53" t="n"/>
      <c r="I331" s="103" t="inlineStr">
        <is>
          <t>false</t>
        </is>
      </c>
      <c r="J331" s="103" t="n"/>
      <c r="K331" s="103" t="n"/>
      <c r="L331" s="103" t="n"/>
      <c r="M331" s="104"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331" s="103" t="n"/>
      <c r="O331" s="103" t="n"/>
      <c r="P331" s="103" t="n"/>
      <c r="U331" s="36" t="inlineStr">
        <is>
          <t>yes</t>
        </is>
      </c>
      <c r="W331" s="167" t="n"/>
      <c r="X331" s="55" t="n"/>
      <c r="Y331" s="148">
        <f>IF(W331&lt;&gt;"",W331*X331,"")</f>
        <v/>
      </c>
      <c r="Z331" s="148">
        <f>IF(AND(W331&lt;&gt;"",U331="yes"),W331*X331,"")</f>
        <v/>
      </c>
      <c r="AA331" s="55" t="n"/>
    </row>
    <row r="332" ht="15" customFormat="1" customHeight="1" s="54">
      <c r="C332" s="76" t="n"/>
      <c r="D332" s="52" t="n"/>
      <c r="E332" s="52" t="n"/>
      <c r="G332" s="53" t="n"/>
      <c r="H332" s="53" t="n"/>
      <c r="I332" s="104" t="n"/>
      <c r="J332" s="104" t="n"/>
      <c r="K332" s="104" t="n"/>
      <c r="L332" s="104" t="n"/>
      <c r="M332" s="104" t="n"/>
      <c r="N332" s="104" t="n"/>
      <c r="O332" s="104" t="n"/>
      <c r="P332" s="104" t="n"/>
      <c r="U332" s="36" t="n"/>
      <c r="W332" s="167" t="n"/>
      <c r="X332" s="90" t="n">
        <v>1</v>
      </c>
      <c r="Y332" s="148">
        <f>IF(W332&lt;&gt;"",W332*X332,"")</f>
        <v/>
      </c>
      <c r="Z332" s="148">
        <f>IF(AND(W332&lt;&gt;"",U332="yes"),W332*X332,"")</f>
        <v/>
      </c>
      <c r="AA332" s="55" t="n"/>
    </row>
    <row r="333" ht="32.15" customHeight="1">
      <c r="A333" s="56" t="inlineStr">
        <is>
          <t>select_one yes_no</t>
        </is>
      </c>
      <c r="B333" s="56" t="inlineStr">
        <is>
          <t>need</t>
        </is>
      </c>
      <c r="C333" s="35" t="inlineStr">
        <is>
          <t>Does your household need assistance for agricultural activities [including crop, livestock or fisheries/aquaculture activities] over the next 3 to 6 months?</t>
        </is>
      </c>
      <c r="D333" s="69" t="n"/>
      <c r="E333" s="69" t="n"/>
      <c r="F333" s="56" t="n"/>
      <c r="G333" s="70" t="n"/>
      <c r="H333" s="70" t="n"/>
      <c r="I333" s="98" t="inlineStr">
        <is>
          <t>true</t>
        </is>
      </c>
      <c r="J333" s="98" t="n"/>
      <c r="K333" s="98" t="n"/>
      <c r="L333" s="98" t="n"/>
      <c r="M333" s="98" t="n"/>
      <c r="N333" s="98" t="n"/>
      <c r="O333" s="98" t="n"/>
      <c r="P333" s="98" t="n"/>
      <c r="U333" s="36" t="inlineStr">
        <is>
          <t>yes</t>
        </is>
      </c>
      <c r="W333" s="167" t="n">
        <v>19.82824516296387</v>
      </c>
      <c r="X333" s="90" t="n">
        <v>1</v>
      </c>
      <c r="Y333" s="148">
        <f>IF(W333&lt;&gt;"",W333*X333,"")</f>
        <v/>
      </c>
      <c r="Z333" s="148">
        <f>IF(AND(W333&lt;&gt;"",U333="yes"),W333*X333,"")</f>
        <v/>
      </c>
    </row>
    <row r="334" ht="48" customHeight="1">
      <c r="A334" s="56" t="inlineStr">
        <is>
          <t>select_multiple needs</t>
        </is>
      </c>
      <c r="B334" s="56" t="inlineStr">
        <is>
          <t>need_</t>
        </is>
      </c>
      <c r="C334" s="35" t="inlineStr">
        <is>
          <t>What are your household's greatest needs for assistance for your household's agricultural activities [including crop, livestock or fisheries/aquaculture production activities] over the next 3 to 6 months?</t>
        </is>
      </c>
      <c r="D334" s="69" t="n"/>
      <c r="E334" s="69" t="n"/>
      <c r="F334" s="56" t="inlineStr">
        <is>
          <t>[INSTRUCTIONS: MULTIPLE RESPONSE. DO NOT READ THE OPTIONS.]</t>
        </is>
      </c>
      <c r="G334" s="70" t="n"/>
      <c r="H334" s="70" t="n"/>
      <c r="I334" s="98" t="inlineStr">
        <is>
          <t>true</t>
        </is>
      </c>
      <c r="J334" s="98" t="n"/>
      <c r="K334" s="100" t="inlineStr">
        <is>
          <t>if(selected(., 'dk') or selected(., 'ref'), count-selected(.) = 1, count-selected(.) &gt;= 1)</t>
        </is>
      </c>
      <c r="L334" s="98" t="n"/>
      <c r="M334" s="98" t="inlineStr">
        <is>
          <t>${need} = 1</t>
        </is>
      </c>
      <c r="N334" s="98" t="n"/>
      <c r="O334" s="98" t="n"/>
      <c r="P334" s="98" t="n"/>
      <c r="U334" s="36" t="inlineStr">
        <is>
          <t>yes</t>
        </is>
      </c>
      <c r="W334" s="167" t="n">
        <v>49.52969360351562</v>
      </c>
      <c r="X334" s="90" t="n">
        <v>1</v>
      </c>
      <c r="Y334" s="148">
        <f>IF(W334&lt;&gt;"",W334*X334,"")</f>
        <v/>
      </c>
      <c r="Z334" s="148">
        <f>IF(AND(W334&lt;&gt;"",U334="yes"),W334*X334,"")</f>
        <v/>
      </c>
    </row>
    <row r="335" ht="16" customHeight="1">
      <c r="A335" s="56" t="inlineStr">
        <is>
          <t>text</t>
        </is>
      </c>
      <c r="B335" s="56" t="inlineStr">
        <is>
          <t>need_otherspecify</t>
        </is>
      </c>
      <c r="C335" s="62" t="inlineStr">
        <is>
          <t>If other, specify.</t>
        </is>
      </c>
      <c r="D335" s="80" t="n"/>
      <c r="E335" s="80" t="n"/>
      <c r="F335" s="57" t="inlineStr">
        <is>
          <t>[INSTRUCTIONS: RECORD THE OPEN RESPONSE GIVEN IN FEW WORDS. ENTER 888 FOR DON'T KNOW AND 999 FOR REFUSED]</t>
        </is>
      </c>
      <c r="G335" s="70" t="n"/>
      <c r="H335" s="70" t="n"/>
      <c r="I335" s="98" t="inlineStr">
        <is>
          <t>true</t>
        </is>
      </c>
      <c r="J335" s="98" t="n"/>
      <c r="K335" s="98" t="n"/>
      <c r="L335" s="98" t="n"/>
      <c r="M335" s="98" t="inlineStr">
        <is>
          <t>selected(${need_}, 'other')</t>
        </is>
      </c>
      <c r="N335" s="98" t="n"/>
      <c r="O335" s="98" t="n"/>
      <c r="P335" s="98" t="n"/>
      <c r="U335" s="36" t="inlineStr">
        <is>
          <t>yes</t>
        </is>
      </c>
      <c r="W335" s="167" t="n"/>
      <c r="X335" s="90" t="n">
        <v>1</v>
      </c>
      <c r="Y335" s="148">
        <f>IF(W335&lt;&gt;"",W335*X335,"")</f>
        <v/>
      </c>
      <c r="Z335" s="148">
        <f>IF(AND(W335&lt;&gt;"",U335="yes"),W335*X335,"")</f>
        <v/>
      </c>
    </row>
    <row r="336">
      <c r="D336" s="69" t="n"/>
      <c r="E336" s="69" t="n"/>
      <c r="G336" s="70" t="n"/>
      <c r="H336" s="70" t="n"/>
      <c r="W336" s="167" t="n"/>
      <c r="X336" s="90" t="n">
        <v>1</v>
      </c>
      <c r="Y336" s="148">
        <f>IF(W336&lt;&gt;"",W336*X336,"")</f>
        <v/>
      </c>
      <c r="Z336" s="148">
        <f>IF(AND(W336&lt;&gt;"",U336="yes"),W336*X336,"")</f>
        <v/>
      </c>
    </row>
    <row r="337" ht="32.15" customFormat="1" customHeight="1" s="57">
      <c r="A337" s="61" t="inlineStr">
        <is>
          <t>select_multiple needreceived</t>
        </is>
      </c>
      <c r="B337" s="61" t="inlineStr">
        <is>
          <t>need_received</t>
        </is>
      </c>
      <c r="C337" s="62" t="inlineStr">
        <is>
          <t>Has your household received any assistance in the last 3 months, and if so, which kind?</t>
        </is>
      </c>
      <c r="D337" s="80" t="n"/>
      <c r="E337" s="80" t="n"/>
      <c r="F337" s="61" t="inlineStr">
        <is>
          <t>[INSTRUCTIONS: READ OUT ANSWER OPTIONS. MULTIPLE RESPONSES POSSIBLE.]</t>
        </is>
      </c>
      <c r="G337" s="82" t="n"/>
      <c r="H337" s="82" t="n"/>
      <c r="I337" s="100" t="inlineStr">
        <is>
          <t>true</t>
        </is>
      </c>
      <c r="J337" s="100" t="n"/>
      <c r="K337" s="100" t="inlineStr">
        <is>
          <t>if(selected(., 'dk') or selected(., 'ref') or selected(., 'none'), count-selected(.) = 1, count-selected(.) &gt;= 1)</t>
        </is>
      </c>
      <c r="L337" s="100" t="n"/>
      <c r="M337" s="100" t="n"/>
      <c r="N337" s="100" t="n"/>
      <c r="O337" s="100" t="n"/>
      <c r="P337" s="100" t="n"/>
      <c r="U337" s="57" t="inlineStr">
        <is>
          <t>yes</t>
        </is>
      </c>
      <c r="W337" s="167" t="n">
        <v>22.02975082397461</v>
      </c>
      <c r="X337" s="90" t="n">
        <v>1</v>
      </c>
      <c r="Y337" s="148">
        <f>IF(W337&lt;&gt;"",W337*X337,"")</f>
        <v/>
      </c>
      <c r="Z337" s="148">
        <f>IF(AND(W337&lt;&gt;"",U337="yes"),W337*X337,"")</f>
        <v/>
      </c>
    </row>
    <row r="338" ht="16" customFormat="1" customHeight="1" s="57">
      <c r="A338" s="61" t="inlineStr">
        <is>
          <t>text</t>
        </is>
      </c>
      <c r="B338" s="61" t="inlineStr">
        <is>
          <t>need_received_otherspecify</t>
        </is>
      </c>
      <c r="C338" s="62" t="inlineStr">
        <is>
          <t>If other, specify.</t>
        </is>
      </c>
      <c r="D338" s="80" t="n"/>
      <c r="E338" s="80" t="n"/>
      <c r="F338" s="61" t="inlineStr">
        <is>
          <t>[INSTRUCTIONS: RECORD THE OPEN RESPONSE GIVEN IN FEW WORDS. ENTER 888 FOR DON'T KNOW AND 999 FOR REFUSED]</t>
        </is>
      </c>
      <c r="G338" s="82" t="n"/>
      <c r="H338" s="82" t="n"/>
      <c r="I338" s="100" t="inlineStr">
        <is>
          <t>true</t>
        </is>
      </c>
      <c r="J338" s="100" t="n"/>
      <c r="K338" s="100" t="n"/>
      <c r="L338" s="100" t="n"/>
      <c r="M338" s="100" t="inlineStr">
        <is>
          <t>selected(${need_received}, 'other')</t>
        </is>
      </c>
      <c r="N338" s="100" t="n"/>
      <c r="O338" s="100" t="n"/>
      <c r="P338" s="100" t="n"/>
      <c r="U338" s="57" t="inlineStr">
        <is>
          <t>yes</t>
        </is>
      </c>
      <c r="W338" s="167" t="n"/>
      <c r="X338" s="90" t="n">
        <v>1</v>
      </c>
      <c r="Y338" s="148">
        <f>IF(W338&lt;&gt;"",W338*X338,"")</f>
        <v/>
      </c>
      <c r="Z338" s="148">
        <f>IF(AND(W338&lt;&gt;"",U338="yes"),W338*X338,"")</f>
        <v/>
      </c>
    </row>
    <row r="339" ht="16" customFormat="1" customHeight="1" s="57">
      <c r="A339" s="61" t="inlineStr">
        <is>
          <t>select_one assist_quality</t>
        </is>
      </c>
      <c r="B339" s="61" t="inlineStr">
        <is>
          <t>assistance_quality</t>
        </is>
      </c>
      <c r="C339" s="62" t="inlineStr">
        <is>
          <t xml:space="preserve">Were you satisfied with the quality of the assistance provided? </t>
        </is>
      </c>
      <c r="D339" s="80" t="n"/>
      <c r="E339" s="80" t="n"/>
      <c r="F339" s="61" t="inlineStr">
        <is>
          <t>[INSTRUCTIONS: QUALITY OF ASSISTANCE IN TERMS OF SUFFICIENT ASSISTANCE FOR PRODUCTION OR SALES DIFFICULTY TO BE OVERCOME.]</t>
        </is>
      </c>
      <c r="G339" s="82" t="n"/>
      <c r="H339" s="82" t="n"/>
      <c r="I339" s="100" t="inlineStr">
        <is>
          <t>true</t>
        </is>
      </c>
      <c r="J339" s="100" t="n"/>
      <c r="K339" s="100" t="n"/>
      <c r="L339" s="100" t="n"/>
      <c r="M339" s="100" t="inlineStr">
        <is>
          <t>${need_received} != 'dk' and ${need_received} != 'ref' and ${need_received} != 'none'</t>
        </is>
      </c>
      <c r="N339" s="100" t="n"/>
      <c r="O339" s="100" t="n"/>
      <c r="P339" s="100" t="n"/>
      <c r="U339" s="57" t="inlineStr">
        <is>
          <t>yes</t>
        </is>
      </c>
      <c r="W339" s="167" t="n">
        <v>17</v>
      </c>
      <c r="X339" s="90" t="n">
        <v>1</v>
      </c>
      <c r="Y339" s="148">
        <f>IF(W339&lt;&gt;"",W339*X339,"")</f>
        <v/>
      </c>
      <c r="Z339" s="148">
        <f>IF(AND(W339&lt;&gt;"",U339="yes"),W339*X339,"")</f>
        <v/>
      </c>
    </row>
    <row r="340" customFormat="1" s="58">
      <c r="C340" s="59" t="n"/>
      <c r="D340" s="60" t="n"/>
      <c r="E340" s="60" t="n"/>
      <c r="G340" s="64" t="n"/>
      <c r="H340" s="64" t="n"/>
      <c r="I340" s="99" t="n"/>
      <c r="J340" s="99" t="n"/>
      <c r="K340" s="99" t="n"/>
      <c r="L340" s="99" t="n"/>
      <c r="M340" s="99" t="n"/>
      <c r="N340" s="99" t="n"/>
      <c r="O340" s="99" t="n"/>
      <c r="P340" s="99" t="n"/>
      <c r="R340" s="36" t="n"/>
      <c r="W340" s="167" t="n"/>
      <c r="X340" s="90" t="n">
        <v>1</v>
      </c>
      <c r="Y340" s="148">
        <f>IF(W340&lt;&gt;"",W340*X340,"")</f>
        <v/>
      </c>
      <c r="Z340" s="148">
        <f>IF(AND(W340&lt;&gt;"",U340="yes"),W340*X340,"")</f>
        <v/>
      </c>
      <c r="AA340" s="57" t="n"/>
    </row>
    <row r="341" ht="16" customFormat="1" customHeight="1" s="58">
      <c r="A341" s="58" t="inlineStr">
        <is>
          <t>select_multiple provider</t>
        </is>
      </c>
      <c r="B341" s="58" t="inlineStr">
        <is>
          <t>assistance</t>
        </is>
      </c>
      <c r="C341" s="59" t="inlineStr">
        <is>
          <t>Who provided your household with this assistance?</t>
        </is>
      </c>
      <c r="D341" s="60" t="n"/>
      <c r="E341" s="60" t="n"/>
      <c r="F341" s="58" t="inlineStr">
        <is>
          <t>[INSTRUCTIONS: MULTIPLE RESPONSES.]</t>
        </is>
      </c>
      <c r="G341" s="64" t="n"/>
      <c r="H341" s="64" t="n"/>
      <c r="I341" s="99" t="inlineStr">
        <is>
          <t>true</t>
        </is>
      </c>
      <c r="J341" s="99" t="n"/>
      <c r="K341" s="110" t="inlineStr">
        <is>
          <t>if(selected(., 'dk') or selected(., 'ref'), count-selected(.) = 1, count-selected(.) &gt;= 1)</t>
        </is>
      </c>
      <c r="L341" s="99" t="n"/>
      <c r="M341" s="110" t="inlineStr">
        <is>
          <t>${need_received} != 'dk' and ${need_received} != 'ref' and ${need_received} != 'none'</t>
        </is>
      </c>
      <c r="N341" s="99" t="n"/>
      <c r="O341" s="99" t="n"/>
      <c r="P341" s="99" t="n"/>
      <c r="R341" s="36" t="n"/>
      <c r="U341" s="58" t="inlineStr">
        <is>
          <t>no</t>
        </is>
      </c>
      <c r="W341" s="167" t="n"/>
      <c r="X341" s="90" t="n"/>
      <c r="Y341" s="148" t="n"/>
      <c r="Z341" s="148" t="n"/>
      <c r="AA341" s="57" t="n"/>
    </row>
    <row r="342" customFormat="1" s="58">
      <c r="C342" s="59" t="n"/>
      <c r="D342" s="60" t="n"/>
      <c r="E342" s="60" t="n"/>
      <c r="G342" s="64" t="n"/>
      <c r="H342" s="64" t="n"/>
      <c r="I342" s="99" t="n"/>
      <c r="J342" s="99" t="n"/>
      <c r="K342" s="99" t="n"/>
      <c r="L342" s="99" t="n"/>
      <c r="M342" s="99" t="n"/>
      <c r="N342" s="99" t="n"/>
      <c r="O342" s="99" t="n"/>
      <c r="P342" s="99" t="n"/>
      <c r="R342" s="36" t="n"/>
      <c r="W342" s="167" t="n"/>
      <c r="X342" s="90" t="n"/>
      <c r="Y342" s="148" t="n"/>
      <c r="Z342" s="148" t="n"/>
      <c r="AA342" s="57" t="n"/>
    </row>
    <row r="343" ht="16" customHeight="1" thickBot="1">
      <c r="A343" s="83" t="inlineStr">
        <is>
          <t>end_group</t>
        </is>
      </c>
      <c r="B343" s="83" t="n"/>
      <c r="C343" s="84" t="n"/>
      <c r="D343" s="91" t="n"/>
      <c r="E343" s="91" t="n"/>
      <c r="F343" s="83" t="n"/>
      <c r="G343" s="92" t="n"/>
      <c r="H343" s="92" t="n"/>
      <c r="I343" s="111" t="n"/>
      <c r="J343" s="111" t="n"/>
      <c r="K343" s="111" t="n"/>
      <c r="L343" s="111" t="n"/>
      <c r="M343" s="111" t="n"/>
      <c r="N343" s="111" t="n"/>
      <c r="O343" s="111" t="n"/>
      <c r="P343" s="111" t="n"/>
      <c r="W343" s="167" t="n"/>
      <c r="Y343" s="148">
        <f>IF(W343&lt;&gt;"",W343*X343,"")</f>
        <v/>
      </c>
      <c r="Z343" s="148">
        <f>IF(AND(W343&lt;&gt;"",U343="yes"),W343*X343,"")</f>
        <v/>
      </c>
    </row>
    <row r="344" ht="17.15" customFormat="1" customHeight="1" s="54" thickTop="1">
      <c r="A344" s="51" t="inlineStr">
        <is>
          <t>begin_group</t>
        </is>
      </c>
      <c r="B344" s="51" t="inlineStr">
        <is>
          <t>closing</t>
        </is>
      </c>
      <c r="C344" s="75" t="inlineStr">
        <is>
          <t>CLOSING</t>
        </is>
      </c>
      <c r="D344" s="52" t="n"/>
      <c r="E344" s="52" t="n"/>
      <c r="F344" s="51" t="n"/>
      <c r="G344" s="53" t="n"/>
      <c r="H344" s="53" t="n"/>
      <c r="I344" s="103" t="inlineStr">
        <is>
          <t>false</t>
        </is>
      </c>
      <c r="J344" s="103" t="n"/>
      <c r="K344" s="103" t="n"/>
      <c r="L344" s="103" t="n"/>
      <c r="M344" s="104" t="inlineStr">
        <is>
          <t>${resp_agree} = '1' and ${hh_agricactivity} != '5' and ${hh_agricactivity} != '6'</t>
        </is>
      </c>
      <c r="N344" s="103" t="n"/>
      <c r="O344" s="103" t="n"/>
      <c r="P344" s="103" t="n"/>
      <c r="U344" s="36" t="inlineStr">
        <is>
          <t>yes</t>
        </is>
      </c>
      <c r="W344" s="167" t="n"/>
      <c r="X344" s="147" t="n"/>
      <c r="Y344" s="148">
        <f>IF(W344&lt;&gt;"",W344*X344,"")</f>
        <v/>
      </c>
      <c r="Z344" s="148">
        <f>IF(AND(W344&lt;&gt;"",U344="yes"),W344*X344,"")</f>
        <v/>
      </c>
      <c r="AA344" s="55" t="n"/>
    </row>
    <row r="345" customFormat="1" s="54">
      <c r="C345" s="76" t="n"/>
      <c r="D345" s="52" t="n"/>
      <c r="E345" s="52" t="n"/>
      <c r="G345" s="53" t="n"/>
      <c r="H345" s="53" t="n"/>
      <c r="I345" s="104" t="n"/>
      <c r="J345" s="104" t="n"/>
      <c r="K345" s="104" t="n"/>
      <c r="L345" s="104" t="n"/>
      <c r="M345" s="104" t="n"/>
      <c r="N345" s="104" t="n"/>
      <c r="O345" s="104" t="n"/>
      <c r="P345" s="104" t="n"/>
      <c r="U345" s="36" t="n"/>
      <c r="W345" s="167" t="n"/>
      <c r="X345" s="90" t="n">
        <v>1</v>
      </c>
      <c r="Y345" s="148">
        <f>IF(W345&lt;&gt;"",W345*X345,"")</f>
        <v/>
      </c>
      <c r="Z345" s="148">
        <f>IF(AND(W345&lt;&gt;"",U345="yes"),W345*X345,"")</f>
        <v/>
      </c>
      <c r="AA345" s="55" t="n"/>
    </row>
    <row r="346" ht="32.15" customHeight="1">
      <c r="A346" s="56" t="inlineStr">
        <is>
          <t>select_one yesno</t>
        </is>
      </c>
      <c r="B346" s="56" t="inlineStr">
        <is>
          <t>callback</t>
        </is>
      </c>
      <c r="C346" s="35" t="inlineStr">
        <is>
          <t>Your answers will help us to understand and respond to your community needs. May we call you in a few months?</t>
        </is>
      </c>
      <c r="D346" s="69" t="n"/>
      <c r="E346" s="69" t="n"/>
      <c r="F346" s="56" t="n"/>
      <c r="G346" s="70" t="n"/>
      <c r="H346" s="70" t="n"/>
      <c r="I346" s="98" t="inlineStr">
        <is>
          <t>true</t>
        </is>
      </c>
      <c r="J346" s="98" t="n"/>
      <c r="K346" s="98" t="n"/>
      <c r="L346" s="98" t="n"/>
      <c r="M346" s="98" t="n"/>
      <c r="N346" s="98" t="n"/>
      <c r="O346" s="98" t="n"/>
      <c r="P346" s="98" t="n"/>
      <c r="U346" s="36" t="inlineStr">
        <is>
          <t>yes</t>
        </is>
      </c>
      <c r="W346" s="167" t="n">
        <v>36.78304672241211</v>
      </c>
      <c r="X346" s="90" t="n">
        <v>1</v>
      </c>
      <c r="Y346" s="148">
        <f>IF(W346&lt;&gt;"",W346*X346,"")</f>
        <v/>
      </c>
      <c r="Z346" s="148">
        <f>IF(AND(W346&lt;&gt;"",U346="yes"),W346*X346,"")</f>
        <v/>
      </c>
    </row>
    <row r="347">
      <c r="D347" s="69" t="n"/>
      <c r="E347" s="69" t="n"/>
      <c r="G347" s="70" t="n"/>
      <c r="H347" s="70" t="n"/>
      <c r="W347" s="167" t="n"/>
      <c r="X347" s="90" t="n">
        <v>1</v>
      </c>
      <c r="Y347" s="148">
        <f>IF(W347&lt;&gt;"",W347*X347,"")</f>
        <v/>
      </c>
      <c r="Z347" s="148">
        <f>IF(AND(W347&lt;&gt;"",U347="yes"),W347*X347,"")</f>
        <v/>
      </c>
    </row>
    <row r="348" ht="16" customFormat="1" customHeight="1" s="58">
      <c r="A348" s="138" t="inlineStr">
        <is>
          <t>select_multiple week</t>
        </is>
      </c>
      <c r="B348" s="138" t="inlineStr">
        <is>
          <t>future_int_day</t>
        </is>
      </c>
      <c r="C348" s="157" t="inlineStr">
        <is>
          <t>For future interviews, in which day(s) can I call you?</t>
        </is>
      </c>
      <c r="D348" s="141" t="n"/>
      <c r="E348" s="141" t="n"/>
      <c r="F348" s="138" t="inlineStr">
        <is>
          <t>[INSTRUCTIONS: MULTIPLE ANSWERS POSSIBLE.]</t>
        </is>
      </c>
      <c r="G348" s="142" t="n"/>
      <c r="H348" s="142" t="n"/>
      <c r="I348" s="137" t="inlineStr">
        <is>
          <t>true</t>
        </is>
      </c>
      <c r="J348" s="137" t="n"/>
      <c r="K348" s="115" t="n"/>
      <c r="L348" s="137" t="n"/>
      <c r="M348" s="137" t="inlineStr">
        <is>
          <t>${callback} = '1'</t>
        </is>
      </c>
      <c r="N348" s="108" t="n"/>
      <c r="O348" s="108" t="n"/>
      <c r="P348" s="108" t="n"/>
      <c r="U348" s="140" t="inlineStr">
        <is>
          <t>yes - panel</t>
        </is>
      </c>
      <c r="W348" s="167" t="n">
        <v>10</v>
      </c>
      <c r="X348" s="90" t="n">
        <v>1</v>
      </c>
      <c r="Y348" s="148">
        <f>IF(W348&lt;&gt;"",W348*X348,"")</f>
        <v/>
      </c>
      <c r="Z348" s="148">
        <f>IF(AND(W348&lt;&gt;"",U348="yes"),W348*X348,"")</f>
        <v/>
      </c>
      <c r="AA348" s="57" t="n"/>
    </row>
    <row r="349" ht="16" customFormat="1" customHeight="1" s="58">
      <c r="A349" s="138" t="inlineStr">
        <is>
          <t>select_multiple time</t>
        </is>
      </c>
      <c r="B349" s="138" t="inlineStr">
        <is>
          <t>future_int_time</t>
        </is>
      </c>
      <c r="C349" s="157" t="inlineStr">
        <is>
          <t>For future interviews, at what time(s) can I call you?</t>
        </is>
      </c>
      <c r="D349" s="141" t="n"/>
      <c r="E349" s="141" t="n"/>
      <c r="F349" s="138" t="inlineStr">
        <is>
          <t>[INSTRUCTIONS: MULTIPLE ANSWERS POSSIBLE.]</t>
        </is>
      </c>
      <c r="G349" s="142" t="n"/>
      <c r="H349" s="142" t="n"/>
      <c r="I349" s="137" t="inlineStr">
        <is>
          <t>true</t>
        </is>
      </c>
      <c r="J349" s="137" t="n"/>
      <c r="K349" s="115" t="n"/>
      <c r="L349" s="137" t="n"/>
      <c r="M349" s="137" t="inlineStr">
        <is>
          <t>${callback} = '1'</t>
        </is>
      </c>
      <c r="N349" s="108" t="n"/>
      <c r="O349" s="108" t="n"/>
      <c r="P349" s="108" t="n"/>
      <c r="U349" s="140" t="inlineStr">
        <is>
          <t>yes - panel</t>
        </is>
      </c>
      <c r="W349" s="167" t="n">
        <v>10</v>
      </c>
      <c r="X349" s="90" t="n">
        <v>1</v>
      </c>
      <c r="Y349" s="148">
        <f>IF(W349&lt;&gt;"",W349*X349,"")</f>
        <v/>
      </c>
      <c r="Z349" s="148">
        <f>IF(AND(W349&lt;&gt;"",U349="yes"),W349*X349,"")</f>
        <v/>
      </c>
      <c r="AA349" s="57" t="n"/>
    </row>
    <row r="350" customFormat="1" s="58">
      <c r="C350" s="59" t="n"/>
      <c r="D350" s="60" t="n"/>
      <c r="E350" s="60" t="n"/>
      <c r="G350" s="64" t="n"/>
      <c r="H350" s="64" t="n"/>
      <c r="I350" s="99" t="n"/>
      <c r="J350" s="99" t="n"/>
      <c r="K350" s="99" t="n"/>
      <c r="L350" s="99" t="n"/>
      <c r="M350" s="99" t="n"/>
      <c r="N350" s="99" t="n"/>
      <c r="O350" s="99" t="n"/>
      <c r="P350" s="99" t="n"/>
      <c r="W350" s="167" t="n"/>
      <c r="X350" s="90" t="n">
        <v>1</v>
      </c>
      <c r="Y350" s="148">
        <f>IF(W350&lt;&gt;"",W350*X350,"")</f>
        <v/>
      </c>
      <c r="Z350" s="148">
        <f>IF(AND(W350&lt;&gt;"",U350="yes"),W350*X350,"")</f>
        <v/>
      </c>
      <c r="AA350" s="57" t="n"/>
    </row>
    <row r="351" ht="16" customHeight="1">
      <c r="A351" s="56" t="inlineStr">
        <is>
          <t>select_one language</t>
        </is>
      </c>
      <c r="B351" s="56" t="inlineStr">
        <is>
          <t>language2</t>
        </is>
      </c>
      <c r="C351" s="35" t="inlineStr">
        <is>
          <t xml:space="preserve">Select the language that was mostly used to complete the interview. </t>
        </is>
      </c>
      <c r="D351" s="69" t="n"/>
      <c r="E351" s="69" t="n"/>
      <c r="F351" s="56" t="n"/>
      <c r="G351" s="70" t="n"/>
      <c r="H351" s="70" t="n"/>
      <c r="I351" s="98" t="inlineStr">
        <is>
          <t>true</t>
        </is>
      </c>
      <c r="J351" s="98" t="n"/>
      <c r="K351" s="98" t="n"/>
      <c r="L351" s="98" t="n"/>
      <c r="M351" s="98" t="n"/>
      <c r="N351" s="98" t="n"/>
      <c r="O351" s="98" t="n"/>
      <c r="P351" s="98" t="n"/>
      <c r="U351" s="36" t="inlineStr">
        <is>
          <t>yes</t>
        </is>
      </c>
      <c r="W351" s="167" t="n">
        <v>3</v>
      </c>
      <c r="X351" s="90" t="n">
        <v>1</v>
      </c>
      <c r="Y351" s="148">
        <f>IF(W351&lt;&gt;"",W351*X351,"")</f>
        <v/>
      </c>
      <c r="Z351" s="148">
        <f>IF(AND(W351&lt;&gt;"",U351="yes"),W351*X351,"")</f>
        <v/>
      </c>
    </row>
    <row r="352">
      <c r="D352" s="69" t="n"/>
      <c r="E352" s="69" t="n"/>
      <c r="G352" s="70" t="n"/>
      <c r="H352" s="70" t="n"/>
      <c r="W352" s="167" t="n"/>
      <c r="X352" s="90" t="n">
        <v>1</v>
      </c>
      <c r="Y352" s="148">
        <f>IF(W352&lt;&gt;"",W352*X352,"")</f>
        <v/>
      </c>
      <c r="Z352" s="148">
        <f>IF(AND(W352&lt;&gt;"",U352="yes"),W352*X352,"")</f>
        <v/>
      </c>
    </row>
    <row r="353" ht="16" customHeight="1">
      <c r="A353" s="56" t="inlineStr">
        <is>
          <t>note</t>
        </is>
      </c>
      <c r="B353" s="56" t="inlineStr">
        <is>
          <t>closeout</t>
        </is>
      </c>
      <c r="C353" s="35" t="inlineStr">
        <is>
          <t xml:space="preserve">Thank you for your time. The interview has come to an end. </t>
        </is>
      </c>
      <c r="D353" s="69" t="n"/>
      <c r="E353" s="69" t="n"/>
      <c r="F353" s="56" t="n"/>
      <c r="G353" s="70" t="n"/>
      <c r="H353" s="70" t="n"/>
      <c r="I353" s="98" t="inlineStr">
        <is>
          <t>false</t>
        </is>
      </c>
      <c r="J353" s="98" t="n"/>
      <c r="K353" s="98" t="n"/>
      <c r="L353" s="98" t="n"/>
      <c r="M353" s="98" t="n"/>
      <c r="N353" s="98" t="n"/>
      <c r="O353" s="98" t="n"/>
      <c r="P353" s="98" t="n"/>
      <c r="U353" s="36" t="inlineStr">
        <is>
          <t>no</t>
        </is>
      </c>
      <c r="W353" s="167" t="n">
        <v>0</v>
      </c>
      <c r="X353" s="90" t="n">
        <v>1</v>
      </c>
      <c r="Y353" s="148">
        <f>IF(W353&lt;&gt;"",W353*X353,"")</f>
        <v/>
      </c>
      <c r="Z353" s="148">
        <f>IF(AND(W353&lt;&gt;"",U353="yes"),W353*X353,"")</f>
        <v/>
      </c>
    </row>
    <row r="354">
      <c r="A354" s="248" t="inlineStr">
        <is>
          <t>image</t>
        </is>
      </c>
      <c r="B354" s="248" t="inlineStr">
        <is>
          <t>o_image</t>
        </is>
      </c>
      <c r="C354" s="249" t="inlineStr">
        <is>
          <t>image</t>
        </is>
      </c>
      <c r="D354" s="266" t="n"/>
      <c r="E354" s="266" t="n"/>
      <c r="F354" s="248" t="n"/>
      <c r="G354" s="248" t="n"/>
      <c r="H354" s="248" t="n"/>
      <c r="I354" s="254" t="inlineStr">
        <is>
          <t>true</t>
        </is>
      </c>
      <c r="J354" s="254" t="n"/>
      <c r="K354" s="254" t="n"/>
      <c r="L354" s="254" t="n"/>
      <c r="M354" s="254" t="n"/>
      <c r="N354" s="254" t="n"/>
      <c r="O354" s="254" t="n"/>
      <c r="P354" s="254" t="n"/>
      <c r="Q354" s="248" t="n"/>
      <c r="R354" s="248" t="n"/>
      <c r="S354" s="248" t="n"/>
      <c r="T354" s="248" t="n"/>
      <c r="U354" s="248" t="n"/>
      <c r="V354" s="248" t="n"/>
      <c r="W354" s="250" t="n"/>
      <c r="X354" s="273" t="n">
        <v>1</v>
      </c>
      <c r="Y354" s="252" t="n">
        <v>5</v>
      </c>
      <c r="Z354" s="252">
        <f>IF(AND(W354&lt;&gt;"",U354="yes"),W354*X354,"")</f>
        <v/>
      </c>
    </row>
    <row r="355" ht="16" customHeight="1" thickBot="1">
      <c r="A355" s="83" t="inlineStr">
        <is>
          <t>end_group</t>
        </is>
      </c>
      <c r="B355" s="83" t="n"/>
      <c r="C355" s="84" t="n"/>
      <c r="D355" s="91" t="n"/>
      <c r="E355" s="91" t="n"/>
      <c r="F355" s="83" t="n"/>
      <c r="G355" s="92" t="n"/>
      <c r="H355" s="92" t="n"/>
      <c r="I355" s="111" t="n"/>
      <c r="J355" s="111" t="n"/>
      <c r="K355" s="111" t="n"/>
      <c r="L355" s="111" t="n"/>
      <c r="M355" s="111" t="n"/>
      <c r="N355" s="111" t="n"/>
      <c r="O355" s="111" t="n"/>
      <c r="P355" s="111" t="n"/>
      <c r="W355" s="167" t="n"/>
      <c r="Y355" s="148">
        <f>IF(W355&lt;&gt;"",W355*X355,"")</f>
        <v/>
      </c>
      <c r="Z355" s="148">
        <f>IF(AND(W355&lt;&gt;"",U355="yes"),W355*X355,"")</f>
        <v/>
      </c>
    </row>
    <row r="356" ht="16" customFormat="1" customHeight="1" s="58" thickTop="1">
      <c r="C356" s="59" t="n"/>
      <c r="D356" s="59" t="n"/>
      <c r="E356" s="59" t="n"/>
      <c r="I356" s="99" t="n"/>
      <c r="J356" s="99" t="n"/>
      <c r="K356" s="99" t="n"/>
      <c r="L356" s="99" t="n"/>
      <c r="M356" s="99" t="n"/>
      <c r="N356" s="99" t="n"/>
      <c r="O356" s="99" t="n"/>
      <c r="P356" s="99" t="n"/>
      <c r="W356" s="167" t="n"/>
      <c r="X356" s="152" t="n"/>
      <c r="Y356" s="151" t="n"/>
    </row>
    <row r="357" ht="16" customHeight="1">
      <c r="A357" s="56" t="inlineStr">
        <is>
          <t>time</t>
        </is>
      </c>
      <c r="B357" s="56" t="inlineStr">
        <is>
          <t>Interview_End_Time</t>
        </is>
      </c>
      <c r="C357" s="35" t="inlineStr">
        <is>
          <t>Interview End Time</t>
        </is>
      </c>
      <c r="F357" s="56" t="n"/>
      <c r="I357" s="98" t="inlineStr">
        <is>
          <t>true</t>
        </is>
      </c>
      <c r="J357" s="98" t="n"/>
      <c r="K357" s="98" t="n"/>
      <c r="L357" s="98" t="n"/>
      <c r="M357" s="105" t="inlineStr">
        <is>
          <t>${resp_agree} = '1'</t>
        </is>
      </c>
      <c r="N357" s="98" t="n"/>
      <c r="O357" s="98" t="n"/>
      <c r="P357" s="98" t="n"/>
      <c r="U357" s="36" t="inlineStr">
        <is>
          <t>no</t>
        </is>
      </c>
      <c r="W357" s="167" t="n"/>
      <c r="Y357" s="148" t="n"/>
    </row>
    <row r="358" ht="32.15" customHeight="1">
      <c r="A358" s="36" t="inlineStr">
        <is>
          <t>geopoint</t>
        </is>
      </c>
      <c r="B358" s="36" t="inlineStr">
        <is>
          <t>gps_2</t>
        </is>
      </c>
      <c r="C358" s="37" t="inlineStr">
        <is>
          <t>GPS INSTRUCTION: You didn't take a measurement earlier. Now walk around the household or go near the main road and try to take a GPS measurement.</t>
        </is>
      </c>
      <c r="D358" s="163" t="n"/>
      <c r="E358" s="163" t="n"/>
      <c r="G358" s="164" t="n"/>
      <c r="H358" s="164" t="n"/>
      <c r="I358" s="98" t="inlineStr">
        <is>
          <t>true</t>
        </is>
      </c>
      <c r="M358" s="105" t="inlineStr">
        <is>
          <t>${resp_agree} = '1' and ${gps_1} = ''</t>
        </is>
      </c>
      <c r="W358" s="167" t="n"/>
      <c r="Y358" s="148" t="n"/>
    </row>
    <row r="359" ht="16" customFormat="1" customHeight="1" s="58">
      <c r="A359" s="58" t="inlineStr">
        <is>
          <t>text</t>
        </is>
      </c>
      <c r="B359" s="58" t="inlineStr">
        <is>
          <t>enum_notes</t>
        </is>
      </c>
      <c r="C359" s="59" t="inlineStr">
        <is>
          <t>Enter any notes or feedback from this survey:</t>
        </is>
      </c>
      <c r="D359" s="60" t="n"/>
      <c r="E359" s="60" t="n"/>
      <c r="F359" s="58" t="inlineStr">
        <is>
          <t xml:space="preserve">Leave empty if there are no comments. </t>
        </is>
      </c>
      <c r="G359" s="64" t="n"/>
      <c r="H359" s="64" t="n"/>
      <c r="I359" s="99" t="inlineStr">
        <is>
          <t>false</t>
        </is>
      </c>
      <c r="J359" s="99" t="n"/>
      <c r="K359" s="99" t="n"/>
      <c r="L359" s="99" t="n"/>
      <c r="M359" s="99" t="n"/>
      <c r="N359" s="99" t="n"/>
      <c r="O359" s="99" t="n"/>
      <c r="P359" s="99" t="n"/>
      <c r="U359" s="58" t="inlineStr">
        <is>
          <t>no</t>
        </is>
      </c>
      <c r="W359" s="167" t="n"/>
      <c r="X359" s="90" t="n"/>
      <c r="Y359" s="148" t="n"/>
      <c r="Z359" s="148">
        <f>IF(AND(W359&lt;&gt;"",U359="yes"),W359*X359,"")</f>
        <v/>
      </c>
    </row>
    <row r="360">
      <c r="A360" s="56" t="inlineStr">
        <is>
          <t>calculate</t>
        </is>
      </c>
      <c r="B360" s="56" t="inlineStr">
        <is>
          <t>__version__</t>
        </is>
      </c>
      <c r="C360" s="35" t="n"/>
      <c r="F360" s="56" t="n"/>
      <c r="I360" s="98" t="inlineStr">
        <is>
          <t>false</t>
        </is>
      </c>
      <c r="J360" s="98" t="n"/>
      <c r="K360" s="98" t="n"/>
      <c r="L360" s="98" t="n"/>
      <c r="M360" s="98" t="n"/>
      <c r="N360" s="98" t="n"/>
      <c r="O360" s="98" t="n"/>
      <c r="P360" s="98" t="inlineStr">
        <is>
          <t>'vfVbKi5bfYAnEzqoBsXTzQ'</t>
        </is>
      </c>
      <c r="U360" s="36" t="inlineStr">
        <is>
          <t>no</t>
        </is>
      </c>
      <c r="W360" s="167" t="n"/>
    </row>
    <row r="361">
      <c r="W361" s="167" t="n"/>
    </row>
    <row r="362"/>
    <row r="363"/>
    <row r="364"/>
    <row r="365"/>
    <row r="366" ht="17.15" customHeight="1" thickBot="1">
      <c r="S366" s="176" t="inlineStr">
        <is>
          <t xml:space="preserve">AVERAGE ESTIMATED DURATION </t>
        </is>
      </c>
      <c r="T366" s="177" t="n"/>
      <c r="U366" s="177" t="n"/>
      <c r="V366" s="177" t="n"/>
      <c r="W366" s="169" t="n"/>
      <c r="X366" s="153" t="n"/>
      <c r="Y366" s="154">
        <f>(SUM(Y4:Y353)/60)</f>
        <v/>
      </c>
      <c r="Z366" s="154">
        <f>(SUM(Z4:Z50)+AVERAGE(Z51:Z53)+SUM(Z56:Z353))/60</f>
        <v/>
      </c>
    </row>
  </sheetData>
  <conditionalFormatting sqref="B151:B153">
    <cfRule type="duplicateValues" priority="2" dxfId="0"/>
    <cfRule type="duplicateValues" priority="3" dxfId="0"/>
    <cfRule type="duplicateValues" priority="4" dxfId="0"/>
  </conditionalFormatting>
  <conditionalFormatting sqref="B152:B153">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441"/>
  <sheetViews>
    <sheetView tabSelected="1" topLeftCell="C1" zoomScale="110" zoomScaleNormal="110" workbookViewId="0">
      <pane ySplit="1" topLeftCell="A1019" activePane="bottomLeft" state="frozen"/>
      <selection pane="bottomLeft" activeCell="E1039" sqref="E1039"/>
    </sheetView>
  </sheetViews>
  <sheetFormatPr baseColWidth="8" defaultColWidth="8.81640625" defaultRowHeight="14.5"/>
  <cols>
    <col width="15" customWidth="1" style="3" min="1" max="1"/>
    <col width="30" customWidth="1" style="3" min="2" max="2"/>
    <col width="61.1796875" customWidth="1" style="3" min="3" max="3"/>
    <col width="27.1796875" customWidth="1" style="3" min="4" max="4"/>
    <col width="20" customWidth="1" style="3" min="5" max="5"/>
    <col width="16.1796875" customWidth="1" style="3" min="6" max="6"/>
    <col width="8.81640625" customWidth="1" style="3" min="7" max="7"/>
    <col width="8.81640625" customWidth="1" style="3"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4">
      <c r="A2" t="inlineStr">
        <is>
          <t>enumteam</t>
        </is>
      </c>
      <c r="B2" t="n">
        <v>1</v>
      </c>
      <c r="C2" t="inlineStr">
        <is>
          <t>Enumerator team 1</t>
        </is>
      </c>
    </row>
    <row r="3" customFormat="1" s="14">
      <c r="A3" t="inlineStr">
        <is>
          <t>enumteam</t>
        </is>
      </c>
      <c r="B3" t="n">
        <v>2</v>
      </c>
      <c r="C3" t="inlineStr">
        <is>
          <t>Enumerator team 2</t>
        </is>
      </c>
    </row>
    <row r="4" customFormat="1" s="14">
      <c r="A4" t="inlineStr">
        <is>
          <t>enumteam</t>
        </is>
      </c>
      <c r="B4" t="n">
        <v>3</v>
      </c>
      <c r="C4" t="inlineStr">
        <is>
          <t>Enumerator team 3</t>
        </is>
      </c>
    </row>
    <row r="5" customFormat="1" s="14">
      <c r="A5" t="inlineStr">
        <is>
          <t>enumteam</t>
        </is>
      </c>
      <c r="B5" t="n">
        <v>4</v>
      </c>
      <c r="C5" t="inlineStr">
        <is>
          <t>Enumerator team 4</t>
        </is>
      </c>
    </row>
    <row r="6"/>
    <row r="7">
      <c r="A7" t="inlineStr">
        <is>
          <t>enumerator</t>
        </is>
      </c>
      <c r="B7" t="n">
        <v>1</v>
      </c>
      <c r="C7" t="inlineStr">
        <is>
          <t>enumerator name 1</t>
        </is>
      </c>
    </row>
    <row r="8">
      <c r="A8" t="inlineStr">
        <is>
          <t>enumerator</t>
        </is>
      </c>
      <c r="B8" t="n">
        <v>2</v>
      </c>
      <c r="C8" t="inlineStr">
        <is>
          <t>enumerator name 2</t>
        </is>
      </c>
    </row>
    <row r="9">
      <c r="A9" t="inlineStr">
        <is>
          <t>enumerator</t>
        </is>
      </c>
      <c r="B9" t="n">
        <v>3</v>
      </c>
      <c r="C9" t="inlineStr">
        <is>
          <t>enumerator name 3</t>
        </is>
      </c>
    </row>
    <row r="10"/>
    <row r="11">
      <c r="A11" t="inlineStr">
        <is>
          <t>yes_no</t>
        </is>
      </c>
      <c r="B11" t="n">
        <v>1</v>
      </c>
      <c r="C11" t="inlineStr">
        <is>
          <t>Yes</t>
        </is>
      </c>
    </row>
    <row r="12">
      <c r="A12" t="inlineStr">
        <is>
          <t>yes_no</t>
        </is>
      </c>
      <c r="B12" t="n">
        <v>2</v>
      </c>
      <c r="C12" t="inlineStr">
        <is>
          <t>No</t>
        </is>
      </c>
    </row>
    <row r="13">
      <c r="A13" t="inlineStr">
        <is>
          <t>yes_no</t>
        </is>
      </c>
      <c r="B13" t="n">
        <v>3</v>
      </c>
      <c r="C13" t="inlineStr">
        <is>
          <t>DON'T KNOW</t>
        </is>
      </c>
    </row>
    <row r="14">
      <c r="A14" t="inlineStr">
        <is>
          <t>yes_no</t>
        </is>
      </c>
      <c r="B14" t="n">
        <v>4</v>
      </c>
      <c r="C14" t="inlineStr">
        <is>
          <t>REFUSED</t>
        </is>
      </c>
    </row>
    <row r="15"/>
    <row r="16">
      <c r="A16" t="inlineStr">
        <is>
          <t>continue</t>
        </is>
      </c>
      <c r="B16" t="inlineStr">
        <is>
          <t>continue</t>
        </is>
      </c>
      <c r="C16" t="inlineStr">
        <is>
          <t>continue</t>
        </is>
      </c>
    </row>
    <row r="17"/>
    <row r="18">
      <c r="A18" t="inlineStr">
        <is>
          <t>yesno</t>
        </is>
      </c>
      <c r="B18" t="n">
        <v>1</v>
      </c>
      <c r="C18" t="inlineStr">
        <is>
          <t>Yes</t>
        </is>
      </c>
    </row>
    <row r="19">
      <c r="A19" t="inlineStr">
        <is>
          <t>yesno</t>
        </is>
      </c>
      <c r="B19" t="n">
        <v>2</v>
      </c>
      <c r="C19" t="inlineStr">
        <is>
          <t>No</t>
        </is>
      </c>
    </row>
    <row r="20"/>
    <row r="21" customFormat="1" s="11">
      <c r="A21" t="inlineStr">
        <is>
          <t>language</t>
        </is>
      </c>
      <c r="B21" t="inlineStr">
        <is>
          <t>en</t>
        </is>
      </c>
      <c r="C21" t="inlineStr">
        <is>
          <t>English</t>
        </is>
      </c>
    </row>
    <row r="22" customFormat="1" s="11">
      <c r="A22" t="inlineStr">
        <is>
          <t>language</t>
        </is>
      </c>
      <c r="B22" t="inlineStr">
        <is>
          <t>fr</t>
        </is>
      </c>
      <c r="C22" t="inlineStr">
        <is>
          <t>French</t>
        </is>
      </c>
    </row>
    <row r="23" customFormat="1" s="11">
      <c r="A23" t="inlineStr">
        <is>
          <t>language</t>
        </is>
      </c>
      <c r="B23" t="inlineStr">
        <is>
          <t>…</t>
        </is>
      </c>
      <c r="C23" t="inlineStr">
        <is>
          <t>…</t>
        </is>
      </c>
    </row>
    <row r="24"/>
    <row r="25">
      <c r="A25" t="inlineStr">
        <is>
          <t>gender</t>
        </is>
      </c>
      <c r="B25" t="n">
        <v>1</v>
      </c>
      <c r="C25" t="inlineStr">
        <is>
          <t>Male</t>
        </is>
      </c>
    </row>
    <row r="26">
      <c r="A26" t="inlineStr">
        <is>
          <t>gender</t>
        </is>
      </c>
      <c r="B26" t="n">
        <v>2</v>
      </c>
      <c r="C26" t="inlineStr">
        <is>
          <t>Female</t>
        </is>
      </c>
    </row>
    <row r="27">
      <c r="A27" t="inlineStr">
        <is>
          <t>gender</t>
        </is>
      </c>
      <c r="B27" t="n">
        <v>3</v>
      </c>
      <c r="C27" t="inlineStr">
        <is>
          <t>DON'T KNOW</t>
        </is>
      </c>
    </row>
    <row r="28">
      <c r="A28" t="inlineStr">
        <is>
          <t>gender</t>
        </is>
      </c>
      <c r="B28" t="n">
        <v>4</v>
      </c>
      <c r="C28" t="inlineStr">
        <is>
          <t>REFUSED</t>
        </is>
      </c>
    </row>
    <row r="29"/>
    <row r="30">
      <c r="A30" t="inlineStr">
        <is>
          <t>contact_info</t>
        </is>
      </c>
      <c r="B30" t="n">
        <v>1</v>
      </c>
      <c r="C30" t="inlineStr">
        <is>
          <t>YES - mine</t>
        </is>
      </c>
    </row>
    <row r="31">
      <c r="A31" t="inlineStr">
        <is>
          <t>contact_info</t>
        </is>
      </c>
      <c r="B31" t="n">
        <v>2</v>
      </c>
      <c r="C31" t="inlineStr">
        <is>
          <t>YES - other household member</t>
        </is>
      </c>
    </row>
    <row r="32">
      <c r="A32" t="inlineStr">
        <is>
          <t>contact_info</t>
        </is>
      </c>
      <c r="B32" t="n">
        <v>3</v>
      </c>
      <c r="C32" t="inlineStr">
        <is>
          <t>YES - friend or relative [non household member]</t>
        </is>
      </c>
    </row>
    <row r="33">
      <c r="A33" t="inlineStr">
        <is>
          <t>contact_info</t>
        </is>
      </c>
      <c r="B33" t="n">
        <v>4</v>
      </c>
      <c r="C33" t="inlineStr">
        <is>
          <t>NO</t>
        </is>
      </c>
    </row>
    <row r="34"/>
    <row r="35">
      <c r="A35" t="inlineStr">
        <is>
          <t>agricactivity</t>
        </is>
      </c>
      <c r="B35" t="n">
        <v>1</v>
      </c>
      <c r="C35" t="inlineStr">
        <is>
          <t xml:space="preserve">Yes - crop production </t>
        </is>
      </c>
    </row>
    <row r="36">
      <c r="A36" t="inlineStr">
        <is>
          <t>agricactivity</t>
        </is>
      </c>
      <c r="B36" t="n">
        <v>2</v>
      </c>
      <c r="C36" t="inlineStr">
        <is>
          <t>Yes - livestock production</t>
        </is>
      </c>
    </row>
    <row r="37">
      <c r="A37" t="inlineStr">
        <is>
          <t>agricactivity</t>
        </is>
      </c>
      <c r="B37" t="n">
        <v>3</v>
      </c>
      <c r="C37" t="inlineStr">
        <is>
          <t xml:space="preserve">Yes - both crop and livestock production </t>
        </is>
      </c>
    </row>
    <row r="38">
      <c r="A38" t="inlineStr">
        <is>
          <t>agricactivity</t>
        </is>
      </c>
      <c r="B38" t="n">
        <v>4</v>
      </c>
      <c r="C38" t="inlineStr">
        <is>
          <t>No</t>
        </is>
      </c>
    </row>
    <row r="39">
      <c r="A39" t="inlineStr">
        <is>
          <t>agricactivity</t>
        </is>
      </c>
      <c r="B39" t="n">
        <v>5</v>
      </c>
      <c r="C39" t="inlineStr">
        <is>
          <t>DON'T KNOW</t>
        </is>
      </c>
    </row>
    <row r="40">
      <c r="A40" t="inlineStr">
        <is>
          <t>agricactivity</t>
        </is>
      </c>
      <c r="B40" t="n">
        <v>6</v>
      </c>
      <c r="C40" t="inlineStr">
        <is>
          <t>REFUSED</t>
        </is>
      </c>
    </row>
    <row r="41"/>
    <row r="42">
      <c r="A42" t="inlineStr">
        <is>
          <t>edu</t>
        </is>
      </c>
      <c r="B42" t="n">
        <v>1</v>
      </c>
      <c r="C42" t="inlineStr">
        <is>
          <t>None or did not complete primary school</t>
        </is>
      </c>
    </row>
    <row r="43">
      <c r="A43" t="inlineStr">
        <is>
          <t>edu</t>
        </is>
      </c>
      <c r="B43" t="n">
        <v>2</v>
      </c>
      <c r="C43" t="inlineStr">
        <is>
          <t>Completed primary school</t>
        </is>
      </c>
    </row>
    <row r="44">
      <c r="A44" t="inlineStr">
        <is>
          <t>edu</t>
        </is>
      </c>
      <c r="B44" t="n">
        <v>3</v>
      </c>
      <c r="C44" t="inlineStr">
        <is>
          <t>Completed secondary school</t>
        </is>
      </c>
    </row>
    <row r="45">
      <c r="A45" t="inlineStr">
        <is>
          <t>edu</t>
        </is>
      </c>
      <c r="B45" t="n">
        <v>4</v>
      </c>
      <c r="C45" t="inlineStr">
        <is>
          <t>Completed higher education [University / College] degree</t>
        </is>
      </c>
    </row>
    <row r="46">
      <c r="A46" t="inlineStr">
        <is>
          <t>edu</t>
        </is>
      </c>
      <c r="B46" t="n">
        <v>5</v>
      </c>
      <c r="C46" t="inlineStr">
        <is>
          <t>Religious or informal education only</t>
        </is>
      </c>
    </row>
    <row r="47">
      <c r="A47" t="inlineStr">
        <is>
          <t>edu</t>
        </is>
      </c>
      <c r="B47" t="n">
        <v>6</v>
      </c>
      <c r="C47" t="inlineStr">
        <is>
          <t>DON'T KNOW</t>
        </is>
      </c>
    </row>
    <row r="48">
      <c r="A48" t="inlineStr">
        <is>
          <t>edu</t>
        </is>
      </c>
      <c r="B48" t="n">
        <v>7</v>
      </c>
      <c r="C48" t="inlineStr">
        <is>
          <t>REFUSED</t>
        </is>
      </c>
    </row>
    <row r="49"/>
    <row r="50">
      <c r="A50" t="inlineStr">
        <is>
          <t>water</t>
        </is>
      </c>
      <c r="B50" t="n">
        <v>1</v>
      </c>
      <c r="C50" t="inlineStr">
        <is>
          <t>Private tap from piped water</t>
        </is>
      </c>
    </row>
    <row r="51">
      <c r="A51" t="inlineStr">
        <is>
          <t>water</t>
        </is>
      </c>
      <c r="B51" t="n">
        <v>2</v>
      </c>
      <c r="C51" t="inlineStr">
        <is>
          <t>Public tap</t>
        </is>
      </c>
    </row>
    <row r="52">
      <c r="A52" t="inlineStr">
        <is>
          <t>water</t>
        </is>
      </c>
      <c r="B52" t="n">
        <v>3</v>
      </c>
      <c r="C52" t="inlineStr">
        <is>
          <t>Protected well</t>
        </is>
      </c>
    </row>
    <row r="53">
      <c r="A53" t="inlineStr">
        <is>
          <t>water</t>
        </is>
      </c>
      <c r="B53" t="n">
        <v>4</v>
      </c>
      <c r="C53" t="inlineStr">
        <is>
          <t>Bottled water</t>
        </is>
      </c>
    </row>
    <row r="54">
      <c r="A54" t="inlineStr">
        <is>
          <t>water</t>
        </is>
      </c>
      <c r="B54" t="n">
        <v>5</v>
      </c>
      <c r="C54" t="inlineStr">
        <is>
          <t>Other safe source</t>
        </is>
      </c>
    </row>
    <row r="55">
      <c r="A55" t="inlineStr">
        <is>
          <t>water</t>
        </is>
      </c>
      <c r="B55" t="n">
        <v>6</v>
      </c>
      <c r="C55" t="inlineStr">
        <is>
          <t>River</t>
        </is>
      </c>
    </row>
    <row r="56">
      <c r="A56" t="inlineStr">
        <is>
          <t>water</t>
        </is>
      </c>
      <c r="B56" t="n">
        <v>7</v>
      </c>
      <c r="C56" t="inlineStr">
        <is>
          <t>Unprotected well</t>
        </is>
      </c>
    </row>
    <row r="57">
      <c r="A57" t="inlineStr">
        <is>
          <t>water</t>
        </is>
      </c>
      <c r="B57" t="n">
        <v>8</v>
      </c>
      <c r="C57" t="inlineStr">
        <is>
          <t>Spring water</t>
        </is>
      </c>
    </row>
    <row r="58">
      <c r="A58" t="inlineStr">
        <is>
          <t>water</t>
        </is>
      </c>
      <c r="B58" t="n">
        <v>9</v>
      </c>
      <c r="C58" t="inlineStr">
        <is>
          <t>Surface water [e.g. canal, ponds, dams]</t>
        </is>
      </c>
    </row>
    <row r="59">
      <c r="A59" t="inlineStr">
        <is>
          <t>water</t>
        </is>
      </c>
      <c r="B59" t="n">
        <v>10</v>
      </c>
      <c r="C59" t="inlineStr">
        <is>
          <t>Other unsafe source</t>
        </is>
      </c>
    </row>
    <row r="60">
      <c r="A60" t="inlineStr">
        <is>
          <t>water</t>
        </is>
      </c>
      <c r="B60" t="n">
        <v>11</v>
      </c>
      <c r="C60" t="inlineStr">
        <is>
          <t>DON'T KNOW</t>
        </is>
      </c>
    </row>
    <row r="61">
      <c r="A61" t="inlineStr">
        <is>
          <t>water</t>
        </is>
      </c>
      <c r="B61" t="n">
        <v>12</v>
      </c>
      <c r="C61" t="inlineStr">
        <is>
          <t>REFUSED</t>
        </is>
      </c>
    </row>
    <row r="62"/>
    <row r="63">
      <c r="A63" t="inlineStr">
        <is>
          <t>toilet</t>
        </is>
      </c>
      <c r="B63" t="n">
        <v>1</v>
      </c>
      <c r="C63" t="inlineStr">
        <is>
          <t>Flush latrine/toilet with water</t>
        </is>
      </c>
    </row>
    <row r="64">
      <c r="A64" t="inlineStr">
        <is>
          <t>toilet</t>
        </is>
      </c>
      <c r="B64" t="n">
        <v>2</v>
      </c>
      <c r="C64" t="inlineStr">
        <is>
          <t>Traditional pit latrine [no water]</t>
        </is>
      </c>
    </row>
    <row r="65">
      <c r="A65" t="inlineStr">
        <is>
          <t>toilet</t>
        </is>
      </c>
      <c r="B65" t="n">
        <v>3</v>
      </c>
      <c r="C65" t="inlineStr">
        <is>
          <t>Open pit [hole in the ground for excrement without water, roof or wall]</t>
        </is>
      </c>
    </row>
    <row r="66">
      <c r="A66" t="inlineStr">
        <is>
          <t>toilet</t>
        </is>
      </c>
      <c r="B66" t="n">
        <v>4</v>
      </c>
      <c r="C66" t="inlineStr">
        <is>
          <t>Communal latrine [with or without water]</t>
        </is>
      </c>
    </row>
    <row r="67">
      <c r="A67" t="inlineStr">
        <is>
          <t>toilet</t>
        </is>
      </c>
      <c r="B67" t="n">
        <v>5</v>
      </c>
      <c r="C67" t="inlineStr">
        <is>
          <t>None – bush</t>
        </is>
      </c>
    </row>
    <row r="68">
      <c r="A68" t="inlineStr">
        <is>
          <t>toilet</t>
        </is>
      </c>
      <c r="B68" t="n">
        <v>6</v>
      </c>
      <c r="C68" t="inlineStr">
        <is>
          <t>DON'T KNOW</t>
        </is>
      </c>
    </row>
    <row r="69">
      <c r="A69" t="inlineStr">
        <is>
          <t>toilet</t>
        </is>
      </c>
      <c r="B69" t="n">
        <v>7</v>
      </c>
      <c r="C69" t="inlineStr">
        <is>
          <t>REFUSED</t>
        </is>
      </c>
    </row>
    <row r="70"/>
    <row r="71">
      <c r="A71" t="inlineStr">
        <is>
          <t>light</t>
        </is>
      </c>
      <c r="B71" t="n">
        <v>1</v>
      </c>
      <c r="C71" t="inlineStr">
        <is>
          <t>Electricity [from generator or electrical grid]</t>
        </is>
      </c>
    </row>
    <row r="72">
      <c r="A72" t="inlineStr">
        <is>
          <t>light</t>
        </is>
      </c>
      <c r="B72" t="n">
        <v>2</v>
      </c>
      <c r="C72" t="inlineStr">
        <is>
          <t>Candle</t>
        </is>
      </c>
    </row>
    <row r="73">
      <c r="A73" t="inlineStr">
        <is>
          <t>light</t>
        </is>
      </c>
      <c r="B73" t="n">
        <v>3</v>
      </c>
      <c r="C73" t="inlineStr">
        <is>
          <t>Petrol lamp</t>
        </is>
      </c>
    </row>
    <row r="74">
      <c r="A74" t="inlineStr">
        <is>
          <t>light</t>
        </is>
      </c>
      <c r="B74" t="n">
        <v>4</v>
      </c>
      <c r="C74" t="inlineStr">
        <is>
          <t>Lamp with batteries</t>
        </is>
      </c>
    </row>
    <row r="75">
      <c r="A75" t="inlineStr">
        <is>
          <t>light</t>
        </is>
      </c>
      <c r="B75" t="n">
        <v>5</v>
      </c>
      <c r="C75" t="inlineStr">
        <is>
          <t>Solar panel</t>
        </is>
      </c>
    </row>
    <row r="76">
      <c r="A76" t="inlineStr">
        <is>
          <t>light</t>
        </is>
      </c>
      <c r="B76" t="n">
        <v>6</v>
      </c>
      <c r="C76" t="inlineStr">
        <is>
          <t>Other [no electric supply to the house]</t>
        </is>
      </c>
    </row>
    <row r="77">
      <c r="A77" t="inlineStr">
        <is>
          <t>light</t>
        </is>
      </c>
      <c r="B77" t="n">
        <v>7</v>
      </c>
      <c r="C77" t="inlineStr">
        <is>
          <t>DON'T KNOW</t>
        </is>
      </c>
    </row>
    <row r="78">
      <c r="A78" t="inlineStr">
        <is>
          <t>light</t>
        </is>
      </c>
      <c r="B78" t="n">
        <v>8</v>
      </c>
      <c r="C78" t="inlineStr">
        <is>
          <t>REFUSED</t>
        </is>
      </c>
    </row>
    <row r="79"/>
    <row r="80">
      <c r="A80" t="inlineStr">
        <is>
          <t>asset_prod</t>
        </is>
      </c>
      <c r="B80" t="inlineStr">
        <is>
          <t>process</t>
        </is>
      </c>
      <c r="C80" t="inlineStr">
        <is>
          <t>Processing assets (e.g. grinding/crushing machine, mill, oil press, fish tanks)</t>
        </is>
      </c>
    </row>
    <row r="81">
      <c r="A81" t="inlineStr">
        <is>
          <t>asset_prod</t>
        </is>
      </c>
      <c r="B81" t="inlineStr">
        <is>
          <t>farmmach</t>
        </is>
      </c>
      <c r="C81" t="inlineStr">
        <is>
          <t>Farm or fishing machinery (e.g. tractor, plough, sickle, boats, engines)</t>
        </is>
      </c>
    </row>
    <row r="82">
      <c r="A82" t="inlineStr">
        <is>
          <t>asset_prod</t>
        </is>
      </c>
      <c r="B82" t="inlineStr">
        <is>
          <t>sewing</t>
        </is>
      </c>
      <c r="C82" t="inlineStr">
        <is>
          <t>Sewing machine or weaving tool</t>
        </is>
      </c>
    </row>
    <row r="83">
      <c r="A83" t="inlineStr">
        <is>
          <t>asset_prod</t>
        </is>
      </c>
      <c r="B83" t="inlineStr">
        <is>
          <t>taxi</t>
        </is>
      </c>
      <c r="C83" t="inlineStr">
        <is>
          <t>Taxi</t>
        </is>
      </c>
    </row>
    <row r="84">
      <c r="A84" t="inlineStr">
        <is>
          <t>asset_prod</t>
        </is>
      </c>
      <c r="B84" t="inlineStr">
        <is>
          <t>truck</t>
        </is>
      </c>
      <c r="C84" t="inlineStr">
        <is>
          <t>Truck</t>
        </is>
      </c>
    </row>
    <row r="85">
      <c r="A85" t="inlineStr">
        <is>
          <t>asset_prod</t>
        </is>
      </c>
      <c r="B85" t="inlineStr">
        <is>
          <t>other</t>
        </is>
      </c>
      <c r="C85" t="inlineStr">
        <is>
          <t>Other productive machines or assets</t>
        </is>
      </c>
    </row>
    <row r="86">
      <c r="A86" t="inlineStr">
        <is>
          <t>asset_prod</t>
        </is>
      </c>
      <c r="B86" t="inlineStr">
        <is>
          <t>none</t>
        </is>
      </c>
      <c r="C86" t="inlineStr">
        <is>
          <t>No productive machines or assets</t>
        </is>
      </c>
    </row>
    <row r="87">
      <c r="A87" t="inlineStr">
        <is>
          <t>asset_prod</t>
        </is>
      </c>
      <c r="B87" t="inlineStr">
        <is>
          <t>dk</t>
        </is>
      </c>
      <c r="C87" t="inlineStr">
        <is>
          <t>DON'T KNOW</t>
        </is>
      </c>
    </row>
    <row r="88">
      <c r="A88" t="inlineStr">
        <is>
          <t>asset_prod</t>
        </is>
      </c>
      <c r="B88" t="inlineStr">
        <is>
          <t>ref</t>
        </is>
      </c>
      <c r="C88" t="inlineStr">
        <is>
          <t>REFUSED</t>
        </is>
      </c>
    </row>
    <row r="89"/>
    <row r="90"/>
    <row r="91" customFormat="1" s="15">
      <c r="A91" t="inlineStr">
        <is>
          <t>residence</t>
        </is>
      </c>
      <c r="B91" t="n">
        <v>1</v>
      </c>
      <c r="C91" t="inlineStr">
        <is>
          <t>Permanent Resident</t>
        </is>
      </c>
    </row>
    <row r="92" customFormat="1" s="15">
      <c r="A92" t="inlineStr">
        <is>
          <t>residence</t>
        </is>
      </c>
      <c r="B92" t="n">
        <v>2</v>
      </c>
      <c r="C92" t="inlineStr">
        <is>
          <t>Returnee</t>
        </is>
      </c>
    </row>
    <row r="93" customFormat="1" s="15">
      <c r="A93" t="inlineStr">
        <is>
          <t>residence</t>
        </is>
      </c>
      <c r="B93" t="n">
        <v>3</v>
      </c>
      <c r="C93" t="inlineStr">
        <is>
          <t>Internally displaced person [IDP]</t>
        </is>
      </c>
    </row>
    <row r="94" customFormat="1" s="15">
      <c r="A94" t="inlineStr">
        <is>
          <t>residence</t>
        </is>
      </c>
      <c r="B94" t="n">
        <v>4</v>
      </c>
      <c r="C94" t="inlineStr">
        <is>
          <t>Refugee</t>
        </is>
      </c>
    </row>
    <row r="95" customFormat="1" s="15">
      <c r="A95" t="inlineStr">
        <is>
          <t>residence</t>
        </is>
      </c>
      <c r="B95" t="n">
        <v>5</v>
      </c>
      <c r="C95" t="inlineStr">
        <is>
          <t>DON'T KNOW</t>
        </is>
      </c>
    </row>
    <row r="96" customFormat="1" s="15">
      <c r="A96" t="inlineStr">
        <is>
          <t>residence</t>
        </is>
      </c>
      <c r="B96" t="n">
        <v>6</v>
      </c>
      <c r="C96" t="inlineStr">
        <is>
          <t>REFUSED</t>
        </is>
      </c>
    </row>
    <row r="97"/>
    <row r="98">
      <c r="A98" t="inlineStr">
        <is>
          <t>residencecomp</t>
        </is>
      </c>
      <c r="B98" t="n">
        <v>0</v>
      </c>
      <c r="C98" t="inlineStr">
        <is>
          <t>No other status</t>
        </is>
      </c>
    </row>
    <row r="99">
      <c r="A99" t="inlineStr">
        <is>
          <t>residencecomp</t>
        </is>
      </c>
      <c r="B99" t="n">
        <v>1</v>
      </c>
      <c r="C99" t="inlineStr">
        <is>
          <t>Permanent Resident</t>
        </is>
      </c>
    </row>
    <row r="100">
      <c r="A100" t="inlineStr">
        <is>
          <t>residencecomp</t>
        </is>
      </c>
      <c r="B100" t="n">
        <v>2</v>
      </c>
      <c r="C100" t="inlineStr">
        <is>
          <t>Returnee</t>
        </is>
      </c>
    </row>
    <row r="101">
      <c r="A101" t="inlineStr">
        <is>
          <t>residencecomp</t>
        </is>
      </c>
      <c r="B101" t="n">
        <v>3</v>
      </c>
      <c r="C101" t="inlineStr">
        <is>
          <t>Internally displaced person [IDP]</t>
        </is>
      </c>
    </row>
    <row r="102">
      <c r="A102" t="inlineStr">
        <is>
          <t>residencecomp</t>
        </is>
      </c>
      <c r="B102" t="n">
        <v>4</v>
      </c>
      <c r="C102" t="inlineStr">
        <is>
          <t>Refugee</t>
        </is>
      </c>
    </row>
    <row r="103">
      <c r="A103" t="inlineStr">
        <is>
          <t>residencecomp</t>
        </is>
      </c>
      <c r="B103" t="n">
        <v>5</v>
      </c>
      <c r="C103" t="inlineStr">
        <is>
          <t>DON'T KNOW</t>
        </is>
      </c>
    </row>
    <row r="104">
      <c r="A104" t="inlineStr">
        <is>
          <t>residencecomp</t>
        </is>
      </c>
      <c r="B104" t="n">
        <v>6</v>
      </c>
      <c r="C104" t="inlineStr">
        <is>
          <t>REFUSED</t>
        </is>
      </c>
    </row>
    <row r="105"/>
    <row r="106">
      <c r="A106" t="inlineStr">
        <is>
          <t>hhagricpredisp</t>
        </is>
      </c>
      <c r="B106" t="inlineStr">
        <is>
          <t>crpprod</t>
        </is>
      </c>
      <c r="C106" t="inlineStr">
        <is>
          <t>Crop production</t>
        </is>
      </c>
    </row>
    <row r="107">
      <c r="A107" t="inlineStr">
        <is>
          <t>hhagricpredisp</t>
        </is>
      </c>
      <c r="B107" t="inlineStr">
        <is>
          <t>lsprod</t>
        </is>
      </c>
      <c r="C107" t="inlineStr">
        <is>
          <t>Livestock production</t>
        </is>
      </c>
    </row>
    <row r="108">
      <c r="A108" t="inlineStr">
        <is>
          <t>hhagricpredisp</t>
        </is>
      </c>
      <c r="B108" t="inlineStr">
        <is>
          <t>fishprod</t>
        </is>
      </c>
      <c r="C108" t="inlineStr">
        <is>
          <t>Fisheries or aquaculture production</t>
        </is>
      </c>
    </row>
    <row r="109">
      <c r="A109" t="inlineStr">
        <is>
          <t>hhagricpredisp</t>
        </is>
      </c>
      <c r="B109" t="inlineStr">
        <is>
          <t>dk</t>
        </is>
      </c>
      <c r="C109" t="inlineStr">
        <is>
          <t>DON'T KNOW</t>
        </is>
      </c>
    </row>
    <row r="110">
      <c r="A110" t="inlineStr">
        <is>
          <t>hhagricpredisp</t>
        </is>
      </c>
      <c r="B110" t="inlineStr">
        <is>
          <t>ref</t>
        </is>
      </c>
      <c r="C110" t="inlineStr">
        <is>
          <t>REFUSED</t>
        </is>
      </c>
    </row>
    <row r="111"/>
    <row r="112">
      <c r="A112" t="inlineStr">
        <is>
          <t>hhsite</t>
        </is>
      </c>
      <c r="B112" t="n">
        <v>1</v>
      </c>
      <c r="C112" t="inlineStr">
        <is>
          <t>Formal camp or settlement</t>
        </is>
      </c>
    </row>
    <row r="113">
      <c r="A113" t="inlineStr">
        <is>
          <t>hhsite</t>
        </is>
      </c>
      <c r="B113" t="n">
        <v>2</v>
      </c>
      <c r="C113" t="inlineStr">
        <is>
          <t>Informal camp or settlement</t>
        </is>
      </c>
    </row>
    <row r="114">
      <c r="A114" t="inlineStr">
        <is>
          <t>hhsite</t>
        </is>
      </c>
      <c r="B114" t="n">
        <v>3</v>
      </c>
      <c r="C114" t="inlineStr">
        <is>
          <t>Outside of a camp or settlement, with a host family</t>
        </is>
      </c>
    </row>
    <row r="115">
      <c r="A115" t="inlineStr">
        <is>
          <t>hhsite</t>
        </is>
      </c>
      <c r="B115" t="n">
        <v>4</v>
      </c>
      <c r="C115" t="inlineStr">
        <is>
          <t>Outside of a camp or settlement, on my own</t>
        </is>
      </c>
    </row>
    <row r="116">
      <c r="A116" t="inlineStr">
        <is>
          <t>hhsite</t>
        </is>
      </c>
      <c r="B116" t="n">
        <v>5</v>
      </c>
      <c r="C116" t="inlineStr">
        <is>
          <t>DON'T KNOW</t>
        </is>
      </c>
    </row>
    <row r="117">
      <c r="A117" t="inlineStr">
        <is>
          <t>hhsite</t>
        </is>
      </c>
      <c r="B117" t="n">
        <v>6</v>
      </c>
      <c r="C117" t="inlineStr">
        <is>
          <t>REFUSED</t>
        </is>
      </c>
    </row>
    <row r="118"/>
    <row r="119">
      <c r="A119" t="inlineStr">
        <is>
          <t>hhshelter</t>
        </is>
      </c>
      <c r="B119" t="n">
        <v>1</v>
      </c>
      <c r="C119" t="inlineStr">
        <is>
          <t>Apartment/house, good condition</t>
        </is>
      </c>
    </row>
    <row r="120">
      <c r="A120" t="inlineStr">
        <is>
          <t>hhshelter</t>
        </is>
      </c>
      <c r="B120" t="n">
        <v>2</v>
      </c>
      <c r="C120" t="inlineStr">
        <is>
          <t>Apartment/house, damaged/destroyed bad condition</t>
        </is>
      </c>
    </row>
    <row r="121">
      <c r="A121" t="inlineStr">
        <is>
          <t>hhshelter</t>
        </is>
      </c>
      <c r="B121" t="n">
        <v>3</v>
      </c>
      <c r="C121" t="inlineStr">
        <is>
          <t>Hotel/motel/short term rental</t>
        </is>
      </c>
    </row>
    <row r="122">
      <c r="A122" t="inlineStr">
        <is>
          <t>hhshelter</t>
        </is>
      </c>
      <c r="B122" t="n">
        <v>4</v>
      </c>
      <c r="C122" t="inlineStr">
        <is>
          <t>Unfinished or abandoned building</t>
        </is>
      </c>
    </row>
    <row r="123">
      <c r="A123" t="inlineStr">
        <is>
          <t>hhshelter</t>
        </is>
      </c>
      <c r="B123" t="n">
        <v>5</v>
      </c>
      <c r="C123" t="inlineStr">
        <is>
          <t>Tent/makeshift shelter</t>
        </is>
      </c>
    </row>
    <row r="124">
      <c r="A124" t="inlineStr">
        <is>
          <t>hhshelter</t>
        </is>
      </c>
      <c r="B124" t="n">
        <v>6</v>
      </c>
      <c r="C124" t="inlineStr">
        <is>
          <t>Mud or block structure</t>
        </is>
      </c>
    </row>
    <row r="125">
      <c r="A125" t="inlineStr">
        <is>
          <t>hhshelter</t>
        </is>
      </c>
      <c r="B125" t="n">
        <v>7</v>
      </c>
      <c r="C125" t="inlineStr">
        <is>
          <t>Container/caravan</t>
        </is>
      </c>
    </row>
    <row r="126">
      <c r="A126" t="inlineStr">
        <is>
          <t>hhshelter</t>
        </is>
      </c>
      <c r="B126" t="n">
        <v>8</v>
      </c>
      <c r="C126" t="inlineStr">
        <is>
          <t>Public building or collective shelter</t>
        </is>
      </c>
    </row>
    <row r="127">
      <c r="A127" t="inlineStr">
        <is>
          <t>hhshelter</t>
        </is>
      </c>
      <c r="B127" t="n">
        <v>9</v>
      </c>
      <c r="C127" t="inlineStr">
        <is>
          <t>Other shelter (eg garage, farm building etc)</t>
        </is>
      </c>
    </row>
    <row r="128">
      <c r="A128" t="inlineStr">
        <is>
          <t>hhshelter</t>
        </is>
      </c>
      <c r="B128" t="n">
        <v>10</v>
      </c>
      <c r="C128" t="inlineStr">
        <is>
          <t>DON'T KNOW</t>
        </is>
      </c>
    </row>
    <row r="129">
      <c r="A129" t="inlineStr">
        <is>
          <t>hhshelter</t>
        </is>
      </c>
      <c r="B129" t="n">
        <v>11</v>
      </c>
      <c r="C129" t="inlineStr">
        <is>
          <t>REFUSED</t>
        </is>
      </c>
    </row>
    <row r="130"/>
    <row r="131">
      <c r="A131" t="inlineStr">
        <is>
          <t>ret_plotaccess</t>
        </is>
      </c>
      <c r="B131" t="n">
        <v>1</v>
      </c>
      <c r="C131" t="inlineStr">
        <is>
          <t>YES</t>
        </is>
      </c>
    </row>
    <row r="132">
      <c r="A132" t="inlineStr">
        <is>
          <t>ret_plotaccess</t>
        </is>
      </c>
      <c r="B132" t="n">
        <v>2</v>
      </c>
      <c r="C132" t="inlineStr">
        <is>
          <t>NO</t>
        </is>
      </c>
    </row>
    <row r="133">
      <c r="A133" t="inlineStr">
        <is>
          <t>ret_plotaccess</t>
        </is>
      </c>
      <c r="B133" t="n">
        <v>3</v>
      </c>
      <c r="C133" t="inlineStr">
        <is>
          <t>I never had land here</t>
        </is>
      </c>
    </row>
    <row r="134">
      <c r="A134" t="inlineStr">
        <is>
          <t>ret_plotaccess</t>
        </is>
      </c>
      <c r="B134" t="n">
        <v>4</v>
      </c>
      <c r="C134" t="inlineStr">
        <is>
          <t>DON'T KNOW</t>
        </is>
      </c>
    </row>
    <row r="135">
      <c r="A135" t="inlineStr">
        <is>
          <t>ret_plotaccess</t>
        </is>
      </c>
      <c r="B135" t="n">
        <v>5</v>
      </c>
      <c r="C135" t="inlineStr">
        <is>
          <t>REFUSED</t>
        </is>
      </c>
    </row>
    <row r="136"/>
    <row r="137">
      <c r="A137" t="inlineStr">
        <is>
          <t>accessorigplot</t>
        </is>
      </c>
      <c r="B137" t="inlineStr">
        <is>
          <t>occup_comm</t>
        </is>
      </c>
      <c r="C137" t="inlineStr">
        <is>
          <t>Occupied by someone else from my community</t>
        </is>
      </c>
    </row>
    <row r="138">
      <c r="A138" t="inlineStr">
        <is>
          <t>accessorigplot</t>
        </is>
      </c>
      <c r="B138" t="inlineStr">
        <is>
          <t>occup_displacedppl</t>
        </is>
      </c>
      <c r="C138" t="inlineStr">
        <is>
          <t>Land given away to / occupied by displaced persons</t>
        </is>
      </c>
    </row>
    <row r="139">
      <c r="A139" t="inlineStr">
        <is>
          <t>accessorigplot</t>
        </is>
      </c>
      <c r="B139" t="inlineStr">
        <is>
          <t>occup_armedgps</t>
        </is>
      </c>
      <c r="C139" t="inlineStr">
        <is>
          <t xml:space="preserve">Occupied by armed groups </t>
        </is>
      </c>
    </row>
    <row r="140">
      <c r="A140" t="inlineStr">
        <is>
          <t>accessorigplot</t>
        </is>
      </c>
      <c r="B140" t="inlineStr">
        <is>
          <t>unsafe_armedgps</t>
        </is>
      </c>
      <c r="C140" t="inlineStr">
        <is>
          <t xml:space="preserve">No safe access - presence of armed groups  </t>
        </is>
      </c>
    </row>
    <row r="141">
      <c r="A141" t="inlineStr">
        <is>
          <t>accessorigplot</t>
        </is>
      </c>
      <c r="B141" t="inlineStr">
        <is>
          <t>unsafe_armedps</t>
        </is>
      </c>
      <c r="C141" t="inlineStr">
        <is>
          <t>No safe access - there are explosive ordnance, IEDs, or landmines on the land</t>
        </is>
      </c>
    </row>
    <row r="142">
      <c r="A142" t="inlineStr">
        <is>
          <t>accessorigplot</t>
        </is>
      </c>
      <c r="B142" t="inlineStr">
        <is>
          <t>distance</t>
        </is>
      </c>
      <c r="C142" t="inlineStr">
        <is>
          <t>Land is too far from where I'm settled</t>
        </is>
      </c>
    </row>
    <row r="143">
      <c r="A143" t="inlineStr">
        <is>
          <t>accessorigplot</t>
        </is>
      </c>
      <c r="B143" t="inlineStr">
        <is>
          <t>other</t>
        </is>
      </c>
      <c r="C143" t="inlineStr">
        <is>
          <t>Other [specify]</t>
        </is>
      </c>
    </row>
    <row r="144">
      <c r="A144" t="inlineStr">
        <is>
          <t>accessorigplot</t>
        </is>
      </c>
      <c r="B144" t="inlineStr">
        <is>
          <t>dk</t>
        </is>
      </c>
      <c r="C144" t="inlineStr">
        <is>
          <t>DON'T KNOW</t>
        </is>
      </c>
    </row>
    <row r="145">
      <c r="A145" t="inlineStr">
        <is>
          <t>accessorigplot</t>
        </is>
      </c>
      <c r="B145" t="inlineStr">
        <is>
          <t>ref</t>
        </is>
      </c>
      <c r="C145" t="inlineStr">
        <is>
          <t>REFUSED</t>
        </is>
      </c>
    </row>
    <row r="146"/>
    <row r="147">
      <c r="A147" t="inlineStr">
        <is>
          <t>maritalstat</t>
        </is>
      </c>
      <c r="B147" t="n">
        <v>1</v>
      </c>
      <c r="C147" t="inlineStr">
        <is>
          <t xml:space="preserve">Single / never married </t>
        </is>
      </c>
    </row>
    <row r="148">
      <c r="A148" t="inlineStr">
        <is>
          <t>maritalstat</t>
        </is>
      </c>
      <c r="B148" t="n">
        <v>2</v>
      </c>
      <c r="C148" t="inlineStr">
        <is>
          <t>Married</t>
        </is>
      </c>
    </row>
    <row r="149">
      <c r="A149" t="inlineStr">
        <is>
          <t>maritalstat</t>
        </is>
      </c>
      <c r="B149" t="n">
        <v>3</v>
      </c>
      <c r="C149" t="inlineStr">
        <is>
          <t>Separated</t>
        </is>
      </c>
    </row>
    <row r="150">
      <c r="A150" t="inlineStr">
        <is>
          <t>maritalstat</t>
        </is>
      </c>
      <c r="B150" t="n">
        <v>4</v>
      </c>
      <c r="C150" t="inlineStr">
        <is>
          <t>Divorced</t>
        </is>
      </c>
    </row>
    <row r="151">
      <c r="A151" t="inlineStr">
        <is>
          <t>maritalstat</t>
        </is>
      </c>
      <c r="B151" t="n">
        <v>5</v>
      </c>
      <c r="C151" t="inlineStr">
        <is>
          <t>Widowed</t>
        </is>
      </c>
    </row>
    <row r="152">
      <c r="A152" t="inlineStr">
        <is>
          <t>maritalstat</t>
        </is>
      </c>
      <c r="B152" t="n">
        <v>6</v>
      </c>
      <c r="C152" t="inlineStr">
        <is>
          <t>DON’T KNOW</t>
        </is>
      </c>
    </row>
    <row r="153">
      <c r="A153" t="inlineStr">
        <is>
          <t>maritalstat</t>
        </is>
      </c>
      <c r="B153" t="n">
        <v>7</v>
      </c>
      <c r="C153" t="inlineStr">
        <is>
          <t xml:space="preserve">REFUSED </t>
        </is>
      </c>
    </row>
    <row r="154"/>
    <row r="155">
      <c r="A155" t="inlineStr">
        <is>
          <t>agegroup</t>
        </is>
      </c>
      <c r="B155" t="n">
        <v>1</v>
      </c>
      <c r="C155" t="inlineStr">
        <is>
          <t>Under 18</t>
        </is>
      </c>
    </row>
    <row r="156">
      <c r="A156" t="inlineStr">
        <is>
          <t>agegroup</t>
        </is>
      </c>
      <c r="B156" t="n">
        <v>2</v>
      </c>
      <c r="C156" t="inlineStr">
        <is>
          <t>18 to 40</t>
        </is>
      </c>
    </row>
    <row r="157">
      <c r="A157" t="inlineStr">
        <is>
          <t>agegroup</t>
        </is>
      </c>
      <c r="B157" t="n">
        <v>3</v>
      </c>
      <c r="C157" t="inlineStr">
        <is>
          <t>41 to 65</t>
        </is>
      </c>
    </row>
    <row r="158">
      <c r="A158" t="inlineStr">
        <is>
          <t>agegroup</t>
        </is>
      </c>
      <c r="B158" t="n">
        <v>4</v>
      </c>
      <c r="C158" t="inlineStr">
        <is>
          <t>Over 65</t>
        </is>
      </c>
    </row>
    <row r="159">
      <c r="A159" t="inlineStr">
        <is>
          <t>agegroup</t>
        </is>
      </c>
      <c r="B159" t="n">
        <v>5</v>
      </c>
      <c r="C159" t="inlineStr">
        <is>
          <t>DON'T KNOW</t>
        </is>
      </c>
    </row>
    <row r="160">
      <c r="A160" t="inlineStr">
        <is>
          <t>agegroup</t>
        </is>
      </c>
      <c r="B160" t="n">
        <v>6</v>
      </c>
      <c r="C160" t="inlineStr">
        <is>
          <t>REFUSED</t>
        </is>
      </c>
    </row>
    <row r="161"/>
    <row r="162">
      <c r="A162" t="inlineStr">
        <is>
          <t>incomesource1</t>
        </is>
      </c>
      <c r="B162" t="n">
        <v>1</v>
      </c>
      <c r="C162" t="inlineStr">
        <is>
          <t>Production and sale of staple crops</t>
        </is>
      </c>
    </row>
    <row r="163">
      <c r="A163" t="inlineStr">
        <is>
          <t>incomesource1</t>
        </is>
      </c>
      <c r="B163" t="n">
        <v>2</v>
      </c>
      <c r="C163" t="inlineStr">
        <is>
          <t xml:space="preserve">Production and sale of vegetables or fruit </t>
        </is>
      </c>
    </row>
    <row r="164">
      <c r="A164" t="inlineStr">
        <is>
          <t>incomesource1</t>
        </is>
      </c>
      <c r="B164" t="n">
        <v>3</v>
      </c>
      <c r="C164" t="inlineStr">
        <is>
          <t>Production and sale of cashcrops</t>
        </is>
      </c>
    </row>
    <row r="165">
      <c r="A165" t="inlineStr">
        <is>
          <t>incomesource1</t>
        </is>
      </c>
      <c r="B165" t="n">
        <v>4</v>
      </c>
      <c r="C165" t="inlineStr">
        <is>
          <t xml:space="preserve">Production and sale of livestock or livestock products </t>
        </is>
      </c>
    </row>
    <row r="166">
      <c r="A166" t="inlineStr">
        <is>
          <t>incomesource1</t>
        </is>
      </c>
      <c r="B166" t="n">
        <v>5</v>
      </c>
      <c r="C166" t="inlineStr">
        <is>
          <t>Production and sale of honey and bee products</t>
        </is>
      </c>
    </row>
    <row r="167">
      <c r="A167" t="inlineStr">
        <is>
          <t>incomesource1</t>
        </is>
      </c>
      <c r="B167" t="n">
        <v>6</v>
      </c>
      <c r="C167" t="inlineStr">
        <is>
          <t>Production and sale of fish or aquatic products</t>
        </is>
      </c>
    </row>
    <row r="168">
      <c r="A168" t="inlineStr">
        <is>
          <t>incomesource1</t>
        </is>
      </c>
      <c r="B168" t="n">
        <v>7</v>
      </c>
      <c r="C168" t="inlineStr">
        <is>
          <t>Collection and sale of natural resources (including forestry or bush products)</t>
        </is>
      </c>
    </row>
    <row r="169">
      <c r="A169" t="inlineStr">
        <is>
          <t>incomesource1</t>
        </is>
      </c>
      <c r="B169" t="n">
        <v>8</v>
      </c>
      <c r="C169" t="inlineStr">
        <is>
          <t>Agricultural trade EXCLUDING producers (formal or informal)</t>
        </is>
      </c>
    </row>
    <row r="170">
      <c r="A170" t="inlineStr">
        <is>
          <t>incomesource1</t>
        </is>
      </c>
      <c r="B170" t="n">
        <v>9</v>
      </c>
      <c r="C170" t="inlineStr">
        <is>
          <t xml:space="preserve">Daily wage on farms and other casual employment in agricultural sector </t>
        </is>
      </c>
    </row>
    <row r="171">
      <c r="A171" t="inlineStr">
        <is>
          <t>incomesource1</t>
        </is>
      </c>
      <c r="B171" t="n">
        <v>10</v>
      </c>
      <c r="C171" t="inlineStr">
        <is>
          <t xml:space="preserve">Stable employment in agricultural sector </t>
        </is>
      </c>
    </row>
    <row r="172">
      <c r="A172" t="inlineStr">
        <is>
          <t>incomesource1</t>
        </is>
      </c>
      <c r="B172" t="n">
        <v>11</v>
      </c>
      <c r="C172" t="inlineStr">
        <is>
          <t>Non-agricultural self-employed or liberal profession, doctor, architect, lawyer, including restaurant</t>
        </is>
      </c>
    </row>
    <row r="173">
      <c r="A173" t="inlineStr">
        <is>
          <t>incomesource1</t>
        </is>
      </c>
      <c r="B173" t="n">
        <v>12</v>
      </c>
      <c r="C173" t="inlineStr">
        <is>
          <t>Off-farm daily wages and other non-agricultural casual employment</t>
        </is>
      </c>
    </row>
    <row r="174">
      <c r="A174" t="inlineStr">
        <is>
          <t>incomesource1</t>
        </is>
      </c>
      <c r="B174" t="n">
        <v>13</v>
      </c>
      <c r="C174" t="inlineStr">
        <is>
          <t>Stable employment in non-agricultural sector</t>
        </is>
      </c>
    </row>
    <row r="175">
      <c r="A175" t="inlineStr">
        <is>
          <t>incomesource1</t>
        </is>
      </c>
      <c r="B175" t="n">
        <v>14</v>
      </c>
      <c r="C175" t="inlineStr">
        <is>
          <t xml:space="preserve">Public employment </t>
        </is>
      </c>
    </row>
    <row r="176">
      <c r="A176" t="inlineStr">
        <is>
          <t>incomesource1</t>
        </is>
      </c>
      <c r="B176" t="n">
        <v>15</v>
      </c>
      <c r="C176" t="inlineStr">
        <is>
          <t>Income not derived from work / Charity</t>
        </is>
      </c>
    </row>
    <row r="177">
      <c r="A177" t="inlineStr">
        <is>
          <t>incomesource1</t>
        </is>
      </c>
      <c r="B177" t="n">
        <v>16</v>
      </c>
      <c r="C177" t="inlineStr">
        <is>
          <t>Income not derived from work / Welfare transfer, pension, humanitarian aid</t>
        </is>
      </c>
    </row>
    <row r="178">
      <c r="A178" t="inlineStr">
        <is>
          <t>incomesource1</t>
        </is>
      </c>
      <c r="B178" t="n">
        <v>17</v>
      </c>
      <c r="C178" t="inlineStr">
        <is>
          <t>Income not derived from work / Remittances</t>
        </is>
      </c>
    </row>
    <row r="179">
      <c r="A179" t="inlineStr">
        <is>
          <t>incomesource1</t>
        </is>
      </c>
      <c r="B179" t="n">
        <v>18</v>
      </c>
      <c r="C179" t="inlineStr">
        <is>
          <t xml:space="preserve">Income not derived from work / Income from other rents                                                                                                                                              </t>
        </is>
      </c>
    </row>
    <row r="180">
      <c r="A180" t="inlineStr">
        <is>
          <t>incomesource1</t>
        </is>
      </c>
      <c r="B180" t="n">
        <v>19</v>
      </c>
      <c r="C180" t="inlineStr">
        <is>
          <t>No income source in the last 3 months and used exclusively savings / debts</t>
        </is>
      </c>
    </row>
    <row r="181">
      <c r="A181" t="inlineStr">
        <is>
          <t>incomesource1</t>
        </is>
      </c>
      <c r="B181" t="n">
        <v>20</v>
      </c>
      <c r="C181" t="inlineStr">
        <is>
          <t>REFUSED</t>
        </is>
      </c>
    </row>
    <row r="182"/>
    <row r="183">
      <c r="A183" t="inlineStr">
        <is>
          <t>gender_inc_1</t>
        </is>
      </c>
      <c r="B183" t="n">
        <v>1</v>
      </c>
      <c r="C183" t="inlineStr">
        <is>
          <t>Male</t>
        </is>
      </c>
    </row>
    <row r="184">
      <c r="A184" t="inlineStr">
        <is>
          <t>gender_inc_1</t>
        </is>
      </c>
      <c r="B184" t="n">
        <v>2</v>
      </c>
      <c r="C184" t="inlineStr">
        <is>
          <t>Female</t>
        </is>
      </c>
    </row>
    <row r="185">
      <c r="A185" t="inlineStr">
        <is>
          <t>gender_inc_1</t>
        </is>
      </c>
      <c r="B185" t="n">
        <v>3</v>
      </c>
      <c r="C185" t="inlineStr">
        <is>
          <t>Joint (both male &amp; female)</t>
        </is>
      </c>
    </row>
    <row r="186">
      <c r="A186" t="inlineStr">
        <is>
          <t>gender_inc_1</t>
        </is>
      </c>
      <c r="B186" t="n">
        <v>4</v>
      </c>
      <c r="C186" t="inlineStr">
        <is>
          <t>DON'T KNOW</t>
        </is>
      </c>
    </row>
    <row r="187">
      <c r="A187" t="inlineStr">
        <is>
          <t>gender_inc_1</t>
        </is>
      </c>
      <c r="B187" t="n">
        <v>5</v>
      </c>
      <c r="C187" t="inlineStr">
        <is>
          <t>REFUSED</t>
        </is>
      </c>
    </row>
    <row r="188"/>
    <row r="189">
      <c r="A189" t="inlineStr">
        <is>
          <t>gender_inc_2</t>
        </is>
      </c>
      <c r="B189" t="n">
        <v>1</v>
      </c>
      <c r="C189" t="inlineStr">
        <is>
          <t>Male household member(s)</t>
        </is>
      </c>
    </row>
    <row r="190">
      <c r="A190" t="inlineStr">
        <is>
          <t>gender_inc_2</t>
        </is>
      </c>
      <c r="B190" t="n">
        <v>2</v>
      </c>
      <c r="C190" t="inlineStr">
        <is>
          <t>Female household member(s)</t>
        </is>
      </c>
    </row>
    <row r="191">
      <c r="A191" t="inlineStr">
        <is>
          <t>gender_inc_2</t>
        </is>
      </c>
      <c r="B191" t="n">
        <v>3</v>
      </c>
      <c r="C191" t="inlineStr">
        <is>
          <t>Joint household members (both female &amp; male)</t>
        </is>
      </c>
    </row>
    <row r="192">
      <c r="A192" t="inlineStr">
        <is>
          <t>gender_inc_2</t>
        </is>
      </c>
      <c r="B192" t="n">
        <v>4</v>
      </c>
      <c r="C192" t="inlineStr">
        <is>
          <t>DON'T KNOW</t>
        </is>
      </c>
    </row>
    <row r="193">
      <c r="A193" t="inlineStr">
        <is>
          <t>gender_inc_2</t>
        </is>
      </c>
      <c r="B193" t="n">
        <v>5</v>
      </c>
      <c r="C193" t="inlineStr">
        <is>
          <t>REFUSED</t>
        </is>
      </c>
    </row>
    <row r="194"/>
    <row r="195">
      <c r="A195" t="inlineStr">
        <is>
          <t>change</t>
        </is>
      </c>
      <c r="B195" t="n">
        <v>1</v>
      </c>
      <c r="C195" t="inlineStr">
        <is>
          <t>A lot more [increased by more than 50%]</t>
        </is>
      </c>
    </row>
    <row r="196">
      <c r="A196" t="inlineStr">
        <is>
          <t>change</t>
        </is>
      </c>
      <c r="B196" t="n">
        <v>2</v>
      </c>
      <c r="C196" t="inlineStr">
        <is>
          <t>Slightly more</t>
        </is>
      </c>
    </row>
    <row r="197">
      <c r="A197" t="inlineStr">
        <is>
          <t>change</t>
        </is>
      </c>
      <c r="B197" t="n">
        <v>3</v>
      </c>
      <c r="C197" t="inlineStr">
        <is>
          <t>Same</t>
        </is>
      </c>
    </row>
    <row r="198">
      <c r="A198" t="inlineStr">
        <is>
          <t>change</t>
        </is>
      </c>
      <c r="B198" t="n">
        <v>4</v>
      </c>
      <c r="C198" t="inlineStr">
        <is>
          <t>Slightly less</t>
        </is>
      </c>
    </row>
    <row r="199">
      <c r="A199" t="inlineStr">
        <is>
          <t>change</t>
        </is>
      </c>
      <c r="B199" t="n">
        <v>5</v>
      </c>
      <c r="C199" t="inlineStr">
        <is>
          <t xml:space="preserve">A lot less [less than half as much] </t>
        </is>
      </c>
    </row>
    <row r="200">
      <c r="A200" t="inlineStr">
        <is>
          <t>change</t>
        </is>
      </c>
      <c r="B200" t="n">
        <v>6</v>
      </c>
      <c r="C200" t="inlineStr">
        <is>
          <t>DON'T KNOW</t>
        </is>
      </c>
    </row>
    <row r="201">
      <c r="A201" t="inlineStr">
        <is>
          <t>change</t>
        </is>
      </c>
      <c r="B201" t="n">
        <v>7</v>
      </c>
      <c r="C201" t="inlineStr">
        <is>
          <t>REFUSED</t>
        </is>
      </c>
    </row>
    <row r="202"/>
    <row r="203" customFormat="1" s="15">
      <c r="A203" t="inlineStr">
        <is>
          <t>incomesource2</t>
        </is>
      </c>
      <c r="B203" t="n">
        <v>1</v>
      </c>
      <c r="C203" t="inlineStr">
        <is>
          <t>Production and sale of staple crops</t>
        </is>
      </c>
    </row>
    <row r="204" customFormat="1" s="15">
      <c r="A204" t="inlineStr">
        <is>
          <t>incomesource2</t>
        </is>
      </c>
      <c r="B204" t="n">
        <v>2</v>
      </c>
      <c r="C204" t="inlineStr">
        <is>
          <t xml:space="preserve">Production and sale of vegetables or fruit </t>
        </is>
      </c>
    </row>
    <row r="205" customFormat="1" s="15">
      <c r="A205" t="inlineStr">
        <is>
          <t>incomesource2</t>
        </is>
      </c>
      <c r="B205" t="n">
        <v>3</v>
      </c>
      <c r="C205" t="inlineStr">
        <is>
          <t>Production and sale of cashcrops</t>
        </is>
      </c>
    </row>
    <row r="206" customFormat="1" s="15">
      <c r="A206" t="inlineStr">
        <is>
          <t>incomesource2</t>
        </is>
      </c>
      <c r="B206" t="n">
        <v>4</v>
      </c>
      <c r="C206" t="inlineStr">
        <is>
          <t xml:space="preserve">Production and sale of livestock or livestock products </t>
        </is>
      </c>
    </row>
    <row r="207" customFormat="1" s="15">
      <c r="A207" t="inlineStr">
        <is>
          <t>incomesource2</t>
        </is>
      </c>
      <c r="B207" t="n">
        <v>5</v>
      </c>
      <c r="C207" t="inlineStr">
        <is>
          <t>Production and sale of honey and bee products</t>
        </is>
      </c>
    </row>
    <row r="208" customFormat="1" s="15">
      <c r="A208" t="inlineStr">
        <is>
          <t>incomesource2</t>
        </is>
      </c>
      <c r="B208" t="n">
        <v>6</v>
      </c>
      <c r="C208" t="inlineStr">
        <is>
          <t>Production and sale of fish or aquatic products</t>
        </is>
      </c>
    </row>
    <row r="209" customFormat="1" s="15">
      <c r="A209" t="inlineStr">
        <is>
          <t>incomesource2</t>
        </is>
      </c>
      <c r="B209" t="n">
        <v>7</v>
      </c>
      <c r="C209" t="inlineStr">
        <is>
          <t>Collection and sale of natural resources (including forestry or bush products)</t>
        </is>
      </c>
    </row>
    <row r="210" customFormat="1" s="15">
      <c r="A210" t="inlineStr">
        <is>
          <t>incomesource2</t>
        </is>
      </c>
      <c r="B210" t="n">
        <v>8</v>
      </c>
      <c r="C210" t="inlineStr">
        <is>
          <t>Agricultural trade EXCLUDING producers (formal or informal)</t>
        </is>
      </c>
    </row>
    <row r="211" customFormat="1" s="15">
      <c r="A211" t="inlineStr">
        <is>
          <t>incomesource2</t>
        </is>
      </c>
      <c r="B211" t="n">
        <v>9</v>
      </c>
      <c r="C211" t="inlineStr">
        <is>
          <t xml:space="preserve">Daily wage on farms and other casual employment in agricultural sector </t>
        </is>
      </c>
    </row>
    <row r="212" customFormat="1" s="15">
      <c r="A212" t="inlineStr">
        <is>
          <t>incomesource2</t>
        </is>
      </c>
      <c r="B212" t="n">
        <v>10</v>
      </c>
      <c r="C212" t="inlineStr">
        <is>
          <t xml:space="preserve">Stable employment in agricultural sector </t>
        </is>
      </c>
    </row>
    <row r="213" customFormat="1" s="15">
      <c r="A213" t="inlineStr">
        <is>
          <t>incomesource2</t>
        </is>
      </c>
      <c r="B213" t="n">
        <v>11</v>
      </c>
      <c r="C213" t="inlineStr">
        <is>
          <t>Non-agricultural self-employed or liberal profession, doctor, architect, lawyer, including restaurant</t>
        </is>
      </c>
    </row>
    <row r="214" customFormat="1" s="15">
      <c r="A214" t="inlineStr">
        <is>
          <t>incomesource2</t>
        </is>
      </c>
      <c r="B214" t="n">
        <v>12</v>
      </c>
      <c r="C214" t="inlineStr">
        <is>
          <t>Off-farm daily wages and other non-agricultural casual employment</t>
        </is>
      </c>
    </row>
    <row r="215" customFormat="1" s="15">
      <c r="A215" t="inlineStr">
        <is>
          <t>incomesource2</t>
        </is>
      </c>
      <c r="B215" t="n">
        <v>13</v>
      </c>
      <c r="C215" t="inlineStr">
        <is>
          <t>Stable employment in non-agricultural sector</t>
        </is>
      </c>
    </row>
    <row r="216" customFormat="1" s="15">
      <c r="A216" t="inlineStr">
        <is>
          <t>incomesource2</t>
        </is>
      </c>
      <c r="B216" t="n">
        <v>14</v>
      </c>
      <c r="C216" t="inlineStr">
        <is>
          <t xml:space="preserve">Public employment </t>
        </is>
      </c>
    </row>
    <row r="217" customFormat="1" s="15">
      <c r="A217" t="inlineStr">
        <is>
          <t>incomesource2</t>
        </is>
      </c>
      <c r="B217" t="n">
        <v>15</v>
      </c>
      <c r="C217" t="inlineStr">
        <is>
          <t>Income not derived from work / Charity</t>
        </is>
      </c>
    </row>
    <row r="218" customFormat="1" s="15">
      <c r="A218" t="inlineStr">
        <is>
          <t>incomesource2</t>
        </is>
      </c>
      <c r="B218" t="n">
        <v>16</v>
      </c>
      <c r="C218" t="inlineStr">
        <is>
          <t>Income not derived from work / Welfare transfer, pension, humanitarian aid</t>
        </is>
      </c>
    </row>
    <row r="219" customFormat="1" s="15">
      <c r="A219" t="inlineStr">
        <is>
          <t>incomesource2</t>
        </is>
      </c>
      <c r="B219" t="n">
        <v>17</v>
      </c>
      <c r="C219" t="inlineStr">
        <is>
          <t>Income not derived from work / Remittances</t>
        </is>
      </c>
    </row>
    <row r="220" customFormat="1" s="15">
      <c r="A220" t="inlineStr">
        <is>
          <t>incomesource2</t>
        </is>
      </c>
      <c r="B220" t="n">
        <v>18</v>
      </c>
      <c r="C220" t="inlineStr">
        <is>
          <t>Income not derived from work / Income from other rents</t>
        </is>
      </c>
    </row>
    <row r="221" customFormat="1" s="15">
      <c r="A221" t="inlineStr">
        <is>
          <t>incomesource2</t>
        </is>
      </c>
      <c r="B221" t="n">
        <v>19</v>
      </c>
      <c r="C221" t="inlineStr">
        <is>
          <t>No second most important source of income</t>
        </is>
      </c>
    </row>
    <row r="222" customFormat="1" s="15">
      <c r="A222" t="inlineStr">
        <is>
          <t>incomesource2</t>
        </is>
      </c>
      <c r="B222" t="n">
        <v>20</v>
      </c>
      <c r="C222" t="inlineStr">
        <is>
          <t>DON'T KNOW</t>
        </is>
      </c>
    </row>
    <row r="223" customFormat="1" s="15">
      <c r="A223" t="inlineStr">
        <is>
          <t>incomesource2</t>
        </is>
      </c>
      <c r="B223" t="n">
        <v>21</v>
      </c>
      <c r="C223" t="inlineStr">
        <is>
          <t>REFUSED</t>
        </is>
      </c>
    </row>
    <row r="224" customFormat="1" s="15"/>
    <row r="225" customFormat="1" s="15">
      <c r="A225" t="inlineStr">
        <is>
          <t>incomesource3</t>
        </is>
      </c>
      <c r="B225" t="n">
        <v>1</v>
      </c>
      <c r="C225" t="inlineStr">
        <is>
          <t>Production and sale of staple crops</t>
        </is>
      </c>
    </row>
    <row r="226" customFormat="1" s="15">
      <c r="A226" t="inlineStr">
        <is>
          <t>incomesource3</t>
        </is>
      </c>
      <c r="B226" t="n">
        <v>2</v>
      </c>
      <c r="C226" t="inlineStr">
        <is>
          <t xml:space="preserve">Production and sale of vegetables or fruit </t>
        </is>
      </c>
    </row>
    <row r="227" customFormat="1" s="15">
      <c r="A227" t="inlineStr">
        <is>
          <t>incomesource3</t>
        </is>
      </c>
      <c r="B227" t="n">
        <v>3</v>
      </c>
      <c r="C227" t="inlineStr">
        <is>
          <t>Production and sale of cashcrops</t>
        </is>
      </c>
    </row>
    <row r="228" customFormat="1" s="15">
      <c r="A228" t="inlineStr">
        <is>
          <t>incomesource3</t>
        </is>
      </c>
      <c r="B228" t="n">
        <v>4</v>
      </c>
      <c r="C228" t="inlineStr">
        <is>
          <t xml:space="preserve">Production and sale of livestock or livestock products </t>
        </is>
      </c>
    </row>
    <row r="229" customFormat="1" s="15">
      <c r="A229" t="inlineStr">
        <is>
          <t>incomesource3</t>
        </is>
      </c>
      <c r="B229" t="n">
        <v>5</v>
      </c>
      <c r="C229" t="inlineStr">
        <is>
          <t>Production and sale of honey and bee products</t>
        </is>
      </c>
    </row>
    <row r="230" customFormat="1" s="15">
      <c r="A230" t="inlineStr">
        <is>
          <t>incomesource3</t>
        </is>
      </c>
      <c r="B230" t="n">
        <v>6</v>
      </c>
      <c r="C230" t="inlineStr">
        <is>
          <t>Production and sale of fish or aquatic products</t>
        </is>
      </c>
    </row>
    <row r="231" customFormat="1" s="15">
      <c r="A231" t="inlineStr">
        <is>
          <t>incomesource3</t>
        </is>
      </c>
      <c r="B231" t="n">
        <v>7</v>
      </c>
      <c r="C231" t="inlineStr">
        <is>
          <t>Collection and sale of natural resources (including forestry or bush products)</t>
        </is>
      </c>
    </row>
    <row r="232" customFormat="1" s="15">
      <c r="A232" t="inlineStr">
        <is>
          <t>incomesource3</t>
        </is>
      </c>
      <c r="B232" t="n">
        <v>8</v>
      </c>
      <c r="C232" t="inlineStr">
        <is>
          <t>Agricultural trade EXCLUDING producers (formal or informal)</t>
        </is>
      </c>
    </row>
    <row r="233" customFormat="1" s="15">
      <c r="A233" t="inlineStr">
        <is>
          <t>incomesource3</t>
        </is>
      </c>
      <c r="B233" t="n">
        <v>9</v>
      </c>
      <c r="C233" t="inlineStr">
        <is>
          <t xml:space="preserve">Daily wage on farms and other casual employment in agricultural sector </t>
        </is>
      </c>
    </row>
    <row r="234" customFormat="1" s="15">
      <c r="A234" t="inlineStr">
        <is>
          <t>incomesource3</t>
        </is>
      </c>
      <c r="B234" t="n">
        <v>10</v>
      </c>
      <c r="C234" t="inlineStr">
        <is>
          <t xml:space="preserve">Stable employment in agricultural sector </t>
        </is>
      </c>
    </row>
    <row r="235" customFormat="1" s="15">
      <c r="A235" t="inlineStr">
        <is>
          <t>incomesource3</t>
        </is>
      </c>
      <c r="B235" t="n">
        <v>11</v>
      </c>
      <c r="C235" t="inlineStr">
        <is>
          <t>Non-agricultural self-employed or liberal profession, doctor, architect, lawyer, including restaurant</t>
        </is>
      </c>
    </row>
    <row r="236" customFormat="1" s="15">
      <c r="A236" t="inlineStr">
        <is>
          <t>incomesource3</t>
        </is>
      </c>
      <c r="B236" t="n">
        <v>12</v>
      </c>
      <c r="C236" t="inlineStr">
        <is>
          <t>Off-farm daily wages and other non-agricultural casual employment</t>
        </is>
      </c>
    </row>
    <row r="237" customFormat="1" s="15">
      <c r="A237" t="inlineStr">
        <is>
          <t>incomesource3</t>
        </is>
      </c>
      <c r="B237" t="n">
        <v>13</v>
      </c>
      <c r="C237" t="inlineStr">
        <is>
          <t>Stable employment in non-agricultural sector</t>
        </is>
      </c>
    </row>
    <row r="238" customFormat="1" s="15">
      <c r="A238" t="inlineStr">
        <is>
          <t>incomesource3</t>
        </is>
      </c>
      <c r="B238" t="n">
        <v>14</v>
      </c>
      <c r="C238" t="inlineStr">
        <is>
          <t xml:space="preserve">Public employment </t>
        </is>
      </c>
    </row>
    <row r="239" customFormat="1" s="15">
      <c r="A239" t="inlineStr">
        <is>
          <t>incomesource3</t>
        </is>
      </c>
      <c r="B239" t="n">
        <v>15</v>
      </c>
      <c r="C239" t="inlineStr">
        <is>
          <t>Income not derived from work / Charity</t>
        </is>
      </c>
    </row>
    <row r="240" customFormat="1" s="15">
      <c r="A240" t="inlineStr">
        <is>
          <t>incomesource3</t>
        </is>
      </c>
      <c r="B240" t="n">
        <v>16</v>
      </c>
      <c r="C240" t="inlineStr">
        <is>
          <t>Income not derived from work / Welfare transfer, pension, humanitarian aid</t>
        </is>
      </c>
    </row>
    <row r="241" customFormat="1" s="15">
      <c r="A241" t="inlineStr">
        <is>
          <t>incomesource3</t>
        </is>
      </c>
      <c r="B241" t="n">
        <v>17</v>
      </c>
      <c r="C241" t="inlineStr">
        <is>
          <t>Income not derived from work / Remittances</t>
        </is>
      </c>
    </row>
    <row r="242" customFormat="1" s="15">
      <c r="A242" t="inlineStr">
        <is>
          <t>incomesource3</t>
        </is>
      </c>
      <c r="B242" t="n">
        <v>18</v>
      </c>
      <c r="C242" t="inlineStr">
        <is>
          <t xml:space="preserve">Income not derived from work / Income from other rents                                </t>
        </is>
      </c>
    </row>
    <row r="243" customFormat="1" s="15">
      <c r="A243" t="inlineStr">
        <is>
          <t>incomesource3</t>
        </is>
      </c>
      <c r="B243" t="n">
        <v>19</v>
      </c>
      <c r="C243" t="inlineStr">
        <is>
          <t>No third most important source of income</t>
        </is>
      </c>
    </row>
    <row r="244" customFormat="1" s="15">
      <c r="A244" t="inlineStr">
        <is>
          <t>incomesource3</t>
        </is>
      </c>
      <c r="B244" t="n">
        <v>20</v>
      </c>
      <c r="C244" t="inlineStr">
        <is>
          <t>DON'T KNOW</t>
        </is>
      </c>
    </row>
    <row r="245" customFormat="1" s="15">
      <c r="A245" t="inlineStr">
        <is>
          <t>incomesource3</t>
        </is>
      </c>
      <c r="B245" t="n">
        <v>21</v>
      </c>
      <c r="C245" t="inlineStr">
        <is>
          <t>REFUSED</t>
        </is>
      </c>
    </row>
    <row r="246" customFormat="1" s="12"/>
    <row r="247">
      <c r="A247" t="inlineStr">
        <is>
          <t>shock</t>
        </is>
      </c>
      <c r="B247" t="inlineStr">
        <is>
          <t>noshock</t>
        </is>
      </c>
      <c r="C247" t="inlineStr">
        <is>
          <t>No shock</t>
        </is>
      </c>
    </row>
    <row r="248">
      <c r="A248" t="inlineStr">
        <is>
          <t>shock</t>
        </is>
      </c>
      <c r="B248" t="inlineStr">
        <is>
          <t>sicknessordeathofhh</t>
        </is>
      </c>
      <c r="C248" t="inlineStr">
        <is>
          <t>Sickness or accident or death of household member[s] [sickness of breadwinner / unusually high medical expenditure / funeral expenses / death of breadwinner]</t>
        </is>
      </c>
    </row>
    <row r="249">
      <c r="A249" t="inlineStr">
        <is>
          <t>shock</t>
        </is>
      </c>
      <c r="B249" t="inlineStr">
        <is>
          <t>lostemplorwork</t>
        </is>
      </c>
      <c r="C249" t="inlineStr">
        <is>
          <t>Lost employment or working opportunities [not due to illness/accident]</t>
        </is>
      </c>
    </row>
    <row r="250">
      <c r="A250" t="inlineStr">
        <is>
          <t>shock</t>
        </is>
      </c>
      <c r="B250" t="inlineStr">
        <is>
          <t>otherintrahhshock</t>
        </is>
      </c>
      <c r="C250" t="inlineStr">
        <is>
          <t>Other intra-household shock</t>
        </is>
      </c>
    </row>
    <row r="251">
      <c r="A251" t="inlineStr">
        <is>
          <t>shock</t>
        </is>
      </c>
      <c r="B251" t="inlineStr">
        <is>
          <t>higherfoodprices</t>
        </is>
      </c>
      <c r="C251" t="inlineStr">
        <is>
          <t>Unusually high food prices</t>
        </is>
      </c>
    </row>
    <row r="252">
      <c r="A252" t="inlineStr">
        <is>
          <t>shock</t>
        </is>
      </c>
      <c r="B252" t="inlineStr">
        <is>
          <t>higherfuelprices</t>
        </is>
      </c>
      <c r="C252" t="inlineStr">
        <is>
          <t>Unusually high fuel prices or transport prices</t>
        </is>
      </c>
    </row>
    <row r="253">
      <c r="A253" t="inlineStr">
        <is>
          <t>shock</t>
        </is>
      </c>
      <c r="B253" t="inlineStr">
        <is>
          <t>mvtrestrict</t>
        </is>
      </c>
      <c r="C253" t="inlineStr">
        <is>
          <t>Population movement restrictions [e.g. due to epidemic or infrastructure damage]</t>
        </is>
      </c>
    </row>
    <row r="254">
      <c r="A254" t="inlineStr">
        <is>
          <t>shock</t>
        </is>
      </c>
      <c r="B254" t="inlineStr">
        <is>
          <t>othereconomicshock</t>
        </is>
      </c>
      <c r="C254" t="inlineStr">
        <is>
          <t xml:space="preserve">Other economic shock </t>
        </is>
      </c>
    </row>
    <row r="255">
      <c r="A255" t="inlineStr">
        <is>
          <t>shock</t>
        </is>
      </c>
      <c r="B255" t="inlineStr">
        <is>
          <t>pestoutbreak</t>
        </is>
      </c>
      <c r="C255" t="inlineStr">
        <is>
          <t>Pest outbreak</t>
        </is>
      </c>
    </row>
    <row r="256">
      <c r="A256" t="inlineStr">
        <is>
          <t>shock</t>
        </is>
      </c>
      <c r="B256" t="inlineStr">
        <is>
          <t>plantdisease</t>
        </is>
      </c>
      <c r="C256" t="inlineStr">
        <is>
          <t>Plant disease</t>
        </is>
      </c>
    </row>
    <row r="257">
      <c r="A257" t="inlineStr">
        <is>
          <t>shock</t>
        </is>
      </c>
      <c r="B257" t="inlineStr">
        <is>
          <t>animaldisease</t>
        </is>
      </c>
      <c r="C257" t="inlineStr">
        <is>
          <t>Animal disease [affecting many animals] or death</t>
        </is>
      </c>
    </row>
    <row r="258">
      <c r="A258" t="inlineStr">
        <is>
          <t>shock</t>
        </is>
      </c>
      <c r="B258" t="inlineStr">
        <is>
          <t>napasture</t>
        </is>
      </c>
      <c r="C258" t="inlineStr">
        <is>
          <t>Lack of physical access to pasture</t>
        </is>
      </c>
    </row>
    <row r="259">
      <c r="A259" t="inlineStr">
        <is>
          <t>shock</t>
        </is>
      </c>
      <c r="B259" t="inlineStr">
        <is>
          <t>othercropandlivests</t>
        </is>
      </c>
      <c r="C259" t="inlineStr">
        <is>
          <t>Other crop and livestock shock</t>
        </is>
      </c>
    </row>
    <row r="260">
      <c r="A260" t="inlineStr">
        <is>
          <t>shock</t>
        </is>
      </c>
      <c r="B260" t="inlineStr">
        <is>
          <t>coldtemporhail</t>
        </is>
      </c>
      <c r="C260" t="inlineStr">
        <is>
          <t>Cold temperatures or hail</t>
        </is>
      </c>
    </row>
    <row r="261">
      <c r="A261" t="inlineStr">
        <is>
          <t>shock</t>
        </is>
      </c>
      <c r="B261" t="inlineStr">
        <is>
          <t>flood</t>
        </is>
      </c>
      <c r="C261" t="inlineStr">
        <is>
          <t>Flood / riverbank erosion</t>
        </is>
      </c>
    </row>
    <row r="262">
      <c r="A262" t="inlineStr">
        <is>
          <t>shock</t>
        </is>
      </c>
      <c r="B262" t="inlineStr">
        <is>
          <t>hurricane</t>
        </is>
      </c>
      <c r="C262" t="inlineStr">
        <is>
          <t>Hurricane / cyclone / tornado</t>
        </is>
      </c>
    </row>
    <row r="263">
      <c r="A263" t="inlineStr">
        <is>
          <t>shock</t>
        </is>
      </c>
      <c r="B263" t="inlineStr">
        <is>
          <t>drought</t>
        </is>
      </c>
      <c r="C263" t="inlineStr">
        <is>
          <t>Drought / heat stress</t>
        </is>
      </c>
    </row>
    <row r="264">
      <c r="A264" t="inlineStr">
        <is>
          <t>shock</t>
        </is>
      </c>
      <c r="B264" t="inlineStr">
        <is>
          <t>earthquake</t>
        </is>
      </c>
      <c r="C264" t="inlineStr">
        <is>
          <t>Earthquake</t>
        </is>
      </c>
    </row>
    <row r="265">
      <c r="A265" t="inlineStr">
        <is>
          <t>shock</t>
        </is>
      </c>
      <c r="B265" t="inlineStr">
        <is>
          <t>landslides</t>
        </is>
      </c>
      <c r="C265" t="inlineStr">
        <is>
          <t>Landslides</t>
        </is>
      </c>
    </row>
    <row r="266">
      <c r="A266" t="inlineStr">
        <is>
          <t>shock</t>
        </is>
      </c>
      <c r="B266" t="inlineStr">
        <is>
          <t>firenatural</t>
        </is>
      </c>
      <c r="C266" t="inlineStr">
        <is>
          <t>Fire from natural disaster</t>
        </is>
      </c>
    </row>
    <row r="267">
      <c r="A267" t="inlineStr">
        <is>
          <t>shock</t>
        </is>
      </c>
      <c r="B267" t="inlineStr">
        <is>
          <t>othernathazard</t>
        </is>
      </c>
      <c r="C267" t="inlineStr">
        <is>
          <t>Other natural hazard</t>
        </is>
      </c>
    </row>
    <row r="268">
      <c r="A268" t="inlineStr">
        <is>
          <t>shock</t>
        </is>
      </c>
      <c r="B268" t="inlineStr">
        <is>
          <t>violenceinsecconf</t>
        </is>
      </c>
      <c r="C268" t="inlineStr">
        <is>
          <t>Violence and insecurity / conflict</t>
        </is>
      </c>
    </row>
    <row r="269">
      <c r="A269" t="inlineStr">
        <is>
          <t>shock</t>
        </is>
      </c>
      <c r="B269" t="inlineStr">
        <is>
          <t>theftofprodassets</t>
        </is>
      </c>
      <c r="C269" t="inlineStr">
        <is>
          <t>Theft of production assets [land / livestock / tools / etc]</t>
        </is>
      </c>
    </row>
    <row r="270">
      <c r="A270" t="inlineStr">
        <is>
          <t>shock</t>
        </is>
      </c>
      <c r="B270" t="inlineStr">
        <is>
          <t>firemanmade</t>
        </is>
      </c>
      <c r="C270" t="inlineStr">
        <is>
          <t>Fire from man-made disaster</t>
        </is>
      </c>
    </row>
    <row r="271">
      <c r="A271" t="inlineStr">
        <is>
          <t>shock</t>
        </is>
      </c>
      <c r="B271" t="inlineStr">
        <is>
          <t>othermanmadehazard</t>
        </is>
      </c>
      <c r="C271" t="inlineStr">
        <is>
          <t>Other human-induced hazard</t>
        </is>
      </c>
    </row>
    <row r="272">
      <c r="A272" t="inlineStr">
        <is>
          <t>shock</t>
        </is>
      </c>
      <c r="B272" t="inlineStr">
        <is>
          <t>dk</t>
        </is>
      </c>
      <c r="C272" t="inlineStr">
        <is>
          <t>DON'T KNOW</t>
        </is>
      </c>
    </row>
    <row r="273">
      <c r="A273" t="inlineStr">
        <is>
          <t>shock</t>
        </is>
      </c>
      <c r="B273" t="inlineStr">
        <is>
          <t>ref</t>
        </is>
      </c>
      <c r="C273" t="inlineStr">
        <is>
          <t>REFUSED</t>
        </is>
      </c>
    </row>
    <row r="274"/>
    <row r="275">
      <c r="A275" t="inlineStr">
        <is>
          <t>floodsaseverity</t>
        </is>
      </c>
      <c r="B275" t="inlineStr">
        <is>
          <t xml:space="preserve">houseseroded </t>
        </is>
      </c>
      <c r="C275" t="inlineStr">
        <is>
          <t xml:space="preserve">Houses Eroded by flood </t>
        </is>
      </c>
    </row>
    <row r="276">
      <c r="A276" t="inlineStr">
        <is>
          <t>floodsaseverity</t>
        </is>
      </c>
      <c r="B276" t="inlineStr">
        <is>
          <t>evacuatedfromhouse</t>
        </is>
      </c>
      <c r="C276" t="inlineStr">
        <is>
          <t>Evacuated from the house</t>
        </is>
      </c>
    </row>
    <row r="277">
      <c r="A277" t="inlineStr">
        <is>
          <t>floodsaseverity</t>
        </is>
      </c>
      <c r="B277" t="inlineStr">
        <is>
          <t>roadsdamagednoaccesstomarket</t>
        </is>
      </c>
      <c r="C277" t="inlineStr">
        <is>
          <t>roads damaged/No access to market</t>
        </is>
      </c>
    </row>
    <row r="278">
      <c r="A278" t="inlineStr">
        <is>
          <t>floodsaseverity</t>
        </is>
      </c>
      <c r="B278" t="inlineStr">
        <is>
          <t xml:space="preserve">Irrigation canals damaged/washed away </t>
        </is>
      </c>
      <c r="C278" t="inlineStr">
        <is>
          <t xml:space="preserve">Irrigation canals damaged/washed away </t>
        </is>
      </c>
    </row>
    <row r="279"/>
    <row r="280">
      <c r="A280" t="inlineStr">
        <is>
          <t>floodtime</t>
        </is>
      </c>
      <c r="B280" t="n">
        <v>1</v>
      </c>
      <c r="C280" t="inlineStr">
        <is>
          <t>April 2024</t>
        </is>
      </c>
    </row>
    <row r="281">
      <c r="A281" t="inlineStr">
        <is>
          <t>floodtime</t>
        </is>
      </c>
      <c r="B281" t="n">
        <v>2</v>
      </c>
      <c r="C281" t="inlineStr">
        <is>
          <t>beginning-mid May 2024</t>
        </is>
      </c>
    </row>
    <row r="282">
      <c r="A282" t="inlineStr">
        <is>
          <t>floodtime</t>
        </is>
      </c>
      <c r="B282" t="n">
        <v>3</v>
      </c>
      <c r="C282" t="inlineStr">
        <is>
          <t>mid- end May 2024</t>
        </is>
      </c>
    </row>
    <row r="283">
      <c r="A283" t="inlineStr">
        <is>
          <t>floodtime</t>
        </is>
      </c>
      <c r="B283" t="n">
        <v>4</v>
      </c>
      <c r="C283" t="inlineStr">
        <is>
          <t>beginning-mid June 2024</t>
        </is>
      </c>
    </row>
    <row r="284">
      <c r="A284" t="inlineStr">
        <is>
          <t>floodtime</t>
        </is>
      </c>
      <c r="B284" t="n">
        <v>5</v>
      </c>
      <c r="C284" t="inlineStr">
        <is>
          <t>mid- end June 2024</t>
        </is>
      </c>
    </row>
    <row r="285">
      <c r="A285" t="inlineStr">
        <is>
          <t>floodtime</t>
        </is>
      </c>
      <c r="B285" t="n">
        <v>6</v>
      </c>
      <c r="C285" t="inlineStr">
        <is>
          <t>beginning-mid July 2024</t>
        </is>
      </c>
    </row>
    <row r="286">
      <c r="A286" t="inlineStr">
        <is>
          <t>floodtime</t>
        </is>
      </c>
      <c r="B286" t="n">
        <v>7</v>
      </c>
      <c r="C286" t="inlineStr">
        <is>
          <t>mid- end July 2024</t>
        </is>
      </c>
    </row>
    <row r="287">
      <c r="A287" t="inlineStr">
        <is>
          <t>floodtime</t>
        </is>
      </c>
      <c r="B287" t="n">
        <v>8</v>
      </c>
      <c r="C287" t="inlineStr">
        <is>
          <t>beginning-mid August 2024</t>
        </is>
      </c>
    </row>
    <row r="288">
      <c r="A288" t="inlineStr">
        <is>
          <t>floodtime</t>
        </is>
      </c>
      <c r="B288" t="n">
        <v>9</v>
      </c>
      <c r="C288" t="inlineStr">
        <is>
          <t>mid- end August 2024</t>
        </is>
      </c>
    </row>
    <row r="289"/>
    <row r="290">
      <c r="A290" t="inlineStr">
        <is>
          <t>wellbeing</t>
        </is>
      </c>
      <c r="B290" t="inlineStr">
        <is>
          <t>none</t>
        </is>
      </c>
      <c r="C290" t="inlineStr">
        <is>
          <t>No issues or concerns</t>
        </is>
      </c>
    </row>
    <row r="291">
      <c r="A291" t="inlineStr">
        <is>
          <t>wellbeing</t>
        </is>
      </c>
      <c r="B291" t="inlineStr">
        <is>
          <t>livelihood</t>
        </is>
      </c>
      <c r="C291" t="inlineStr">
        <is>
          <t>Employment / Livelihoods [lack of or inadequate]</t>
        </is>
      </c>
    </row>
    <row r="292">
      <c r="A292" t="inlineStr">
        <is>
          <t>wellbeing</t>
        </is>
      </c>
      <c r="B292" t="inlineStr">
        <is>
          <t>health</t>
        </is>
      </c>
      <c r="C292" t="inlineStr">
        <is>
          <t>Health care [lack of or inadequate]</t>
        </is>
      </c>
    </row>
    <row r="293">
      <c r="A293" t="inlineStr">
        <is>
          <t>wellbeing</t>
        </is>
      </c>
      <c r="B293" t="inlineStr">
        <is>
          <t>transport</t>
        </is>
      </c>
      <c r="C293" t="inlineStr">
        <is>
          <t>Transportation [lack of or inadequate]</t>
        </is>
      </c>
    </row>
    <row r="294">
      <c r="A294" t="inlineStr">
        <is>
          <t>wellbeing</t>
        </is>
      </c>
      <c r="B294" t="inlineStr">
        <is>
          <t>edu</t>
        </is>
      </c>
      <c r="C294" t="inlineStr">
        <is>
          <t>Education [lack of or inadequate]</t>
        </is>
      </c>
    </row>
    <row r="295">
      <c r="A295" t="inlineStr">
        <is>
          <t>wellbeing</t>
        </is>
      </c>
      <c r="B295" t="inlineStr">
        <is>
          <t>food_water</t>
        </is>
      </c>
      <c r="C295" t="inlineStr">
        <is>
          <t>Access to food/water [lack of or inadequate]</t>
        </is>
      </c>
    </row>
    <row r="296">
      <c r="A296" t="inlineStr">
        <is>
          <t>wellbeing</t>
        </is>
      </c>
      <c r="B296" t="inlineStr">
        <is>
          <t>safety</t>
        </is>
      </c>
      <c r="C296" t="inlineStr">
        <is>
          <t>Security and safety of family members [lack of or inadequate]</t>
        </is>
      </c>
    </row>
    <row r="297">
      <c r="A297" t="inlineStr">
        <is>
          <t>wellbeing</t>
        </is>
      </c>
      <c r="B297" t="inlineStr">
        <is>
          <t>land_sec</t>
        </is>
      </c>
      <c r="C297" t="inlineStr">
        <is>
          <t>Security of land or property [lack of or inadequate]</t>
        </is>
      </c>
    </row>
    <row r="298">
      <c r="A298" t="inlineStr">
        <is>
          <t>wellbeing</t>
        </is>
      </c>
      <c r="B298" t="inlineStr">
        <is>
          <t>lack_justice</t>
        </is>
      </c>
      <c r="C298" t="inlineStr">
        <is>
          <t>Lack of justice</t>
        </is>
      </c>
    </row>
    <row r="299">
      <c r="A299" t="inlineStr">
        <is>
          <t>wellbeing</t>
        </is>
      </c>
      <c r="B299" t="inlineStr">
        <is>
          <t>corrupt</t>
        </is>
      </c>
      <c r="C299" t="inlineStr">
        <is>
          <t>Corruption</t>
        </is>
      </c>
    </row>
    <row r="300">
      <c r="A300" t="inlineStr">
        <is>
          <t>wellbeing</t>
        </is>
      </c>
      <c r="B300" t="inlineStr">
        <is>
          <t>lack_gov</t>
        </is>
      </c>
      <c r="C300" t="inlineStr">
        <is>
          <t>Lack of governance</t>
        </is>
      </c>
    </row>
    <row r="301">
      <c r="A301" t="inlineStr">
        <is>
          <t>wellbeing</t>
        </is>
      </c>
      <c r="B301" t="inlineStr">
        <is>
          <t>assistance</t>
        </is>
      </c>
      <c r="C301" t="inlineStr">
        <is>
          <t>Accessing or receiving assistance</t>
        </is>
      </c>
    </row>
    <row r="302">
      <c r="A302" t="inlineStr">
        <is>
          <t>wellbeing</t>
        </is>
      </c>
      <c r="B302" t="inlineStr">
        <is>
          <t>other</t>
        </is>
      </c>
      <c r="C302" t="inlineStr">
        <is>
          <t>Other [specify]</t>
        </is>
      </c>
    </row>
    <row r="303">
      <c r="A303" t="inlineStr">
        <is>
          <t>wellbeing</t>
        </is>
      </c>
      <c r="B303" t="inlineStr">
        <is>
          <t>dk</t>
        </is>
      </c>
      <c r="C303" t="inlineStr">
        <is>
          <t>DON'T KNOW</t>
        </is>
      </c>
    </row>
    <row r="304">
      <c r="A304" t="inlineStr">
        <is>
          <t>wellbeing</t>
        </is>
      </c>
      <c r="B304" t="inlineStr">
        <is>
          <t>ref</t>
        </is>
      </c>
      <c r="C304" t="inlineStr">
        <is>
          <t>REFUSED</t>
        </is>
      </c>
    </row>
    <row r="305"/>
    <row r="306">
      <c r="A306" t="inlineStr">
        <is>
          <t>agri_impact</t>
        </is>
      </c>
      <c r="B306" t="inlineStr">
        <is>
          <t>none</t>
        </is>
      </c>
      <c r="C306" t="inlineStr">
        <is>
          <t>No effect on my household's agricultural activities</t>
        </is>
      </c>
    </row>
    <row r="307">
      <c r="A307" t="inlineStr">
        <is>
          <t>agri_impact</t>
        </is>
      </c>
      <c r="B307" t="inlineStr">
        <is>
          <t>access_field</t>
        </is>
      </c>
      <c r="C307" t="inlineStr">
        <is>
          <t>Could not access or limited access to fields/fishing areas</t>
        </is>
      </c>
    </row>
    <row r="308">
      <c r="A308" t="inlineStr">
        <is>
          <t>agri_impact</t>
        </is>
      </c>
      <c r="B308" t="inlineStr">
        <is>
          <t>inputs</t>
        </is>
      </c>
      <c r="C308" t="inlineStr">
        <is>
          <t>Could not access [or poor quality] inputs [e.g. seeds, fertiliser]</t>
        </is>
      </c>
    </row>
    <row r="309">
      <c r="A309" t="inlineStr">
        <is>
          <t>agri_impact</t>
        </is>
      </c>
      <c r="B309" t="inlineStr">
        <is>
          <t>prod_asset</t>
        </is>
      </c>
      <c r="C309" t="inlineStr">
        <is>
          <t>Damage or destruction of productive assets [e.g. tools, machinery]</t>
        </is>
      </c>
    </row>
    <row r="310">
      <c r="A310" t="inlineStr">
        <is>
          <t>agri_impact</t>
        </is>
      </c>
      <c r="B310" t="inlineStr">
        <is>
          <t>water_infra</t>
        </is>
      </c>
      <c r="C310" t="inlineStr">
        <is>
          <t>Damage to water infrastructure and/or reduced access to water</t>
        </is>
      </c>
    </row>
    <row r="311">
      <c r="A311" t="inlineStr">
        <is>
          <t>agri_impact</t>
        </is>
      </c>
      <c r="B311" t="inlineStr">
        <is>
          <t>crp_damage</t>
        </is>
      </c>
      <c r="C311" t="inlineStr">
        <is>
          <t>Damage or destruction of crops</t>
        </is>
      </c>
    </row>
    <row r="312">
      <c r="A312" t="inlineStr">
        <is>
          <t>agri_impact</t>
        </is>
      </c>
      <c r="B312" t="inlineStr">
        <is>
          <t>crp_theft_occup</t>
        </is>
      </c>
      <c r="C312" t="inlineStr">
        <is>
          <t>Theft/occupation of agricultural land</t>
        </is>
      </c>
    </row>
    <row r="313">
      <c r="A313" t="inlineStr">
        <is>
          <t>agri_impact</t>
        </is>
      </c>
      <c r="B313" t="inlineStr">
        <is>
          <t>ls_reduce_mob</t>
        </is>
      </c>
      <c r="C313" t="inlineStr">
        <is>
          <t>Reduced livestock mobility due to insecurity</t>
        </is>
      </c>
    </row>
    <row r="314">
      <c r="A314" t="inlineStr">
        <is>
          <t>agri_impact</t>
        </is>
      </c>
      <c r="B314" t="inlineStr">
        <is>
          <t>ls_damage</t>
        </is>
      </c>
      <c r="C314" t="inlineStr">
        <is>
          <t>Death or injury of livestock</t>
        </is>
      </c>
    </row>
    <row r="315">
      <c r="A315" t="inlineStr">
        <is>
          <t>agri_impact</t>
        </is>
      </c>
      <c r="B315" t="inlineStr">
        <is>
          <t>ls_theft</t>
        </is>
      </c>
      <c r="C315" t="inlineStr">
        <is>
          <t>Theft of livestock</t>
        </is>
      </c>
    </row>
    <row r="316">
      <c r="A316" t="inlineStr">
        <is>
          <t>agri_impact</t>
        </is>
      </c>
      <c r="B316" t="inlineStr">
        <is>
          <t>land_contam</t>
        </is>
      </c>
      <c r="C316" t="inlineStr">
        <is>
          <t>Land contaminated by landmines and/or explosive remnants of war</t>
        </is>
      </c>
    </row>
    <row r="317">
      <c r="A317" t="inlineStr">
        <is>
          <t>agri_impact</t>
        </is>
      </c>
      <c r="B317" t="inlineStr">
        <is>
          <t>extortion</t>
        </is>
      </c>
      <c r="C317" t="inlineStr">
        <is>
          <t>Extortion [e.g. payments demanded by armed groups]</t>
        </is>
      </c>
    </row>
    <row r="318">
      <c r="A318" t="inlineStr">
        <is>
          <t>agri_impact</t>
        </is>
      </c>
      <c r="B318" t="inlineStr">
        <is>
          <t>other</t>
        </is>
      </c>
      <c r="C318" t="inlineStr">
        <is>
          <t>Other [specify]</t>
        </is>
      </c>
    </row>
    <row r="319">
      <c r="A319" t="inlineStr">
        <is>
          <t>agri_impact</t>
        </is>
      </c>
      <c r="B319" t="inlineStr">
        <is>
          <t>dk</t>
        </is>
      </c>
      <c r="C319" t="inlineStr">
        <is>
          <t>DON'T KNOW</t>
        </is>
      </c>
    </row>
    <row r="320">
      <c r="A320" t="inlineStr">
        <is>
          <t>agri_impact</t>
        </is>
      </c>
      <c r="B320" t="inlineStr">
        <is>
          <t>ref</t>
        </is>
      </c>
      <c r="C320" t="inlineStr">
        <is>
          <t>REFUSED</t>
        </is>
      </c>
    </row>
    <row r="321"/>
    <row r="322">
      <c r="A322" t="inlineStr">
        <is>
          <t>fs_impact</t>
        </is>
      </c>
      <c r="B322" t="inlineStr">
        <is>
          <t>none</t>
        </is>
      </c>
      <c r="C322" t="inlineStr">
        <is>
          <t>No effect on my access to food</t>
        </is>
      </c>
    </row>
    <row r="323">
      <c r="A323" t="inlineStr">
        <is>
          <t>fs_impact</t>
        </is>
      </c>
      <c r="B323" t="inlineStr">
        <is>
          <t>high_cost</t>
        </is>
      </c>
      <c r="C323" t="inlineStr">
        <is>
          <t>High food costs</t>
        </is>
      </c>
    </row>
    <row r="324">
      <c r="A324" t="inlineStr">
        <is>
          <t>fs_impact</t>
        </is>
      </c>
      <c r="B324" t="inlineStr">
        <is>
          <t>lack_food_mkt</t>
        </is>
      </c>
      <c r="C324" t="inlineStr">
        <is>
          <t>Lack of food in the markets</t>
        </is>
      </c>
    </row>
    <row r="325">
      <c r="A325" t="inlineStr">
        <is>
          <t>fs_impact</t>
        </is>
      </c>
      <c r="B325" t="inlineStr">
        <is>
          <t>access_mkt</t>
        </is>
      </c>
      <c r="C325" t="inlineStr">
        <is>
          <t>Difficult/dangerous to access markets</t>
        </is>
      </c>
    </row>
    <row r="326">
      <c r="A326" t="inlineStr">
        <is>
          <t>fs_impact</t>
        </is>
      </c>
      <c r="B326" t="inlineStr">
        <is>
          <t>reduced_income</t>
        </is>
      </c>
      <c r="C326" t="inlineStr">
        <is>
          <t>Reduced income to buy food</t>
        </is>
      </c>
    </row>
    <row r="327">
      <c r="A327" t="inlineStr">
        <is>
          <t>fs_impact</t>
        </is>
      </c>
      <c r="B327" t="inlineStr">
        <is>
          <t>access_assistance</t>
        </is>
      </c>
      <c r="C327" t="inlineStr">
        <is>
          <t>Difficult to access assistance [food, cash or vouchers]</t>
        </is>
      </c>
    </row>
    <row r="328">
      <c r="A328" t="inlineStr">
        <is>
          <t>fs_impact</t>
        </is>
      </c>
      <c r="B328" t="inlineStr">
        <is>
          <t>theft_damage</t>
        </is>
      </c>
      <c r="C328" t="inlineStr">
        <is>
          <t>Theft/damage to household food stores</t>
        </is>
      </c>
    </row>
    <row r="329">
      <c r="A329" t="inlineStr">
        <is>
          <t>fs_impact</t>
        </is>
      </c>
      <c r="B329" t="inlineStr">
        <is>
          <t>illicit_pay</t>
        </is>
      </c>
      <c r="C329" t="inlineStr">
        <is>
          <t>Demands for illicit payments or taxes</t>
        </is>
      </c>
    </row>
    <row r="330">
      <c r="A330" t="inlineStr">
        <is>
          <t>fs_impact</t>
        </is>
      </c>
      <c r="B330" t="inlineStr">
        <is>
          <t>other</t>
        </is>
      </c>
      <c r="C330" t="inlineStr">
        <is>
          <t>Other [specify]</t>
        </is>
      </c>
    </row>
    <row r="331">
      <c r="A331" t="inlineStr">
        <is>
          <t>fs_impact</t>
        </is>
      </c>
      <c r="B331" t="inlineStr">
        <is>
          <t>dk</t>
        </is>
      </c>
      <c r="C331" t="inlineStr">
        <is>
          <t>DON'T KNOW</t>
        </is>
      </c>
    </row>
    <row r="332">
      <c r="A332" t="inlineStr">
        <is>
          <t>fs_impact</t>
        </is>
      </c>
      <c r="B332" t="inlineStr">
        <is>
          <t>ref</t>
        </is>
      </c>
      <c r="C332" t="inlineStr">
        <is>
          <t>REFUSED</t>
        </is>
      </c>
    </row>
    <row r="333"/>
    <row r="334" customFormat="1" s="14">
      <c r="A334" t="inlineStr">
        <is>
          <t>landsize_unit</t>
        </is>
      </c>
      <c r="B334" t="n">
        <v>1</v>
      </c>
      <c r="C334" t="inlineStr">
        <is>
          <t>Acres</t>
        </is>
      </c>
    </row>
    <row r="335" customFormat="1" s="14">
      <c r="A335" t="inlineStr">
        <is>
          <t>landsize_unit</t>
        </is>
      </c>
      <c r="B335" t="n">
        <v>2</v>
      </c>
      <c r="C335" t="inlineStr">
        <is>
          <t>Hectares</t>
        </is>
      </c>
    </row>
    <row r="336" customFormat="1" s="14">
      <c r="A336" t="inlineStr">
        <is>
          <t>landsize_unit</t>
        </is>
      </c>
      <c r="B336" t="n">
        <v>3</v>
      </c>
      <c r="C336" t="inlineStr">
        <is>
          <t>Square meters</t>
        </is>
      </c>
    </row>
    <row r="337" customFormat="1" s="14">
      <c r="A337" t="inlineStr">
        <is>
          <t>landsize_unit</t>
        </is>
      </c>
      <c r="B337" t="n">
        <v>4</v>
      </c>
      <c r="C337" t="inlineStr">
        <is>
          <t>Square feet</t>
        </is>
      </c>
    </row>
    <row r="338" customFormat="1" s="14">
      <c r="A338" t="inlineStr">
        <is>
          <t>landsize_unit</t>
        </is>
      </c>
      <c r="B338" t="n">
        <v>5</v>
      </c>
      <c r="C338" t="inlineStr">
        <is>
          <t>Jerib</t>
        </is>
      </c>
    </row>
    <row r="339" customFormat="1" s="14"/>
    <row r="340" customFormat="1" s="15">
      <c r="A340" t="inlineStr">
        <is>
          <t>cropcheck</t>
        </is>
      </c>
      <c r="B340" t="n">
        <v>1</v>
      </c>
      <c r="C340" t="inlineStr">
        <is>
          <t xml:space="preserve">Don’t usually produce during this season </t>
        </is>
      </c>
    </row>
    <row r="341" customFormat="1" s="15">
      <c r="A341" t="inlineStr">
        <is>
          <t>cropcheck</t>
        </is>
      </c>
      <c r="B341" t="n">
        <v>2</v>
      </c>
      <c r="C341" t="inlineStr">
        <is>
          <t>Wasn't able to produce [e.g. due to difficulties]</t>
        </is>
      </c>
    </row>
    <row r="342" customFormat="1" s="14"/>
    <row r="343" customFormat="1" s="14">
      <c r="A343" t="inlineStr">
        <is>
          <t>irrigation</t>
        </is>
      </c>
      <c r="B343" t="n">
        <v>1</v>
      </c>
      <c r="C343" t="inlineStr">
        <is>
          <t>Rainfed</t>
        </is>
      </c>
    </row>
    <row r="344" customFormat="1" s="14">
      <c r="A344" t="inlineStr">
        <is>
          <t>irrigation</t>
        </is>
      </c>
      <c r="B344" t="n">
        <v>2</v>
      </c>
      <c r="C344" t="inlineStr">
        <is>
          <t>Groundwater</t>
        </is>
      </c>
    </row>
    <row r="345" customFormat="1" s="14">
      <c r="A345" t="inlineStr">
        <is>
          <t>irrigation</t>
        </is>
      </c>
      <c r="B345" t="n">
        <v>3</v>
      </c>
      <c r="C345" t="inlineStr">
        <is>
          <t>Natural surface water [river, lake, stream, pond, etc.]</t>
        </is>
      </c>
    </row>
    <row r="346" customFormat="1" s="14">
      <c r="A346" t="inlineStr">
        <is>
          <t>irrigation</t>
        </is>
      </c>
      <c r="B346" t="n">
        <v>4</v>
      </c>
      <c r="C346" t="inlineStr">
        <is>
          <t>Constructed water point [canal, dam, etc.]</t>
        </is>
      </c>
    </row>
    <row r="347" customFormat="1" s="14">
      <c r="A347" t="inlineStr">
        <is>
          <t>irrigation</t>
        </is>
      </c>
      <c r="B347" t="n">
        <v>5</v>
      </c>
      <c r="C347" t="inlineStr">
        <is>
          <t>Public water supply system [e.g. tap water]</t>
        </is>
      </c>
    </row>
    <row r="348" customFormat="1" s="14">
      <c r="A348" t="inlineStr">
        <is>
          <t>irrigation</t>
        </is>
      </c>
      <c r="B348" t="n">
        <v>6</v>
      </c>
      <c r="C348" t="inlineStr">
        <is>
          <t>Other [specify]</t>
        </is>
      </c>
    </row>
    <row r="349" customFormat="1" s="14">
      <c r="A349" t="inlineStr">
        <is>
          <t>irrigation</t>
        </is>
      </c>
      <c r="B349" t="n">
        <v>7</v>
      </c>
      <c r="C349" t="inlineStr">
        <is>
          <t>DON'T KNOW</t>
        </is>
      </c>
    </row>
    <row r="350" customFormat="1" s="14">
      <c r="A350" t="inlineStr">
        <is>
          <t>irrigation</t>
        </is>
      </c>
      <c r="B350" t="n">
        <v>8</v>
      </c>
      <c r="C350" t="inlineStr">
        <is>
          <t>REFUSED</t>
        </is>
      </c>
    </row>
    <row r="351"/>
    <row r="352" customFormat="1" s="14">
      <c r="A352" t="inlineStr">
        <is>
          <t>irrigpump</t>
        </is>
      </c>
      <c r="B352" t="n">
        <v>1</v>
      </c>
      <c r="C352" t="inlineStr">
        <is>
          <t>No, everything works on gravity</t>
        </is>
      </c>
    </row>
    <row r="353" customFormat="1" s="14">
      <c r="A353" t="inlineStr">
        <is>
          <t>irrigpump</t>
        </is>
      </c>
      <c r="B353" t="n">
        <v>2</v>
      </c>
      <c r="C353" t="inlineStr">
        <is>
          <t>Yes, there is a communal diesel/gas pump</t>
        </is>
      </c>
    </row>
    <row r="354" customFormat="1" s="14">
      <c r="A354" t="inlineStr">
        <is>
          <t>irrigpump</t>
        </is>
      </c>
      <c r="B354" t="n">
        <v>3</v>
      </c>
      <c r="C354" t="inlineStr">
        <is>
          <t>Yes, there is a communal manual pump</t>
        </is>
      </c>
    </row>
    <row r="355" customFormat="1" s="14">
      <c r="A355" t="inlineStr">
        <is>
          <t>irrigpump</t>
        </is>
      </c>
      <c r="B355" t="n">
        <v>4</v>
      </c>
      <c r="C355" t="inlineStr">
        <is>
          <t>Yes, there is a manual pump in my field</t>
        </is>
      </c>
    </row>
    <row r="356" customFormat="1" s="14">
      <c r="A356" t="inlineStr">
        <is>
          <t>irrigpump</t>
        </is>
      </c>
      <c r="B356" t="n">
        <v>5</v>
      </c>
      <c r="C356" t="inlineStr">
        <is>
          <t>Yes, there is a diesel pump in my field</t>
        </is>
      </c>
    </row>
    <row r="357" customFormat="1" s="14">
      <c r="A357" t="inlineStr">
        <is>
          <t>irrigpump</t>
        </is>
      </c>
      <c r="B357" t="n">
        <v>6</v>
      </c>
      <c r="C357" t="inlineStr">
        <is>
          <t>DON'T KNOW</t>
        </is>
      </c>
    </row>
    <row r="358" customFormat="1" s="14">
      <c r="A358" t="inlineStr">
        <is>
          <t>irrigpump</t>
        </is>
      </c>
      <c r="B358" t="n">
        <v>7</v>
      </c>
      <c r="C358" t="inlineStr">
        <is>
          <t>REFUSED</t>
        </is>
      </c>
    </row>
    <row r="359"/>
    <row r="360" customFormat="1" s="14">
      <c r="A360" t="inlineStr">
        <is>
          <t>seedsupply</t>
        </is>
      </c>
      <c r="B360" t="inlineStr">
        <is>
          <t>ownprod</t>
        </is>
      </c>
      <c r="C360" t="inlineStr">
        <is>
          <t>Own production</t>
        </is>
      </c>
    </row>
    <row r="361" customFormat="1" s="14">
      <c r="A361" t="inlineStr">
        <is>
          <t>seedsupply</t>
        </is>
      </c>
      <c r="B361" t="inlineStr">
        <is>
          <t>market</t>
        </is>
      </c>
      <c r="C361" t="inlineStr">
        <is>
          <t>Local market or agro-input shop / dealer</t>
        </is>
      </c>
    </row>
    <row r="362" customFormat="1" s="14">
      <c r="A362" t="inlineStr">
        <is>
          <t>seedsupply</t>
        </is>
      </c>
      <c r="B362" t="inlineStr">
        <is>
          <t>company</t>
        </is>
      </c>
      <c r="C362" t="inlineStr">
        <is>
          <t>Private seed company</t>
        </is>
      </c>
    </row>
    <row r="363" customFormat="1" s="14">
      <c r="A363" t="inlineStr">
        <is>
          <t>seedsupply</t>
        </is>
      </c>
      <c r="B363" t="inlineStr">
        <is>
          <t>ngo</t>
        </is>
      </c>
      <c r="C363" t="inlineStr">
        <is>
          <t>NGOs</t>
        </is>
      </c>
    </row>
    <row r="364" customFormat="1" s="14">
      <c r="A364" t="inlineStr">
        <is>
          <t>seedsupply</t>
        </is>
      </c>
      <c r="B364" t="inlineStr">
        <is>
          <t>organized_community</t>
        </is>
      </c>
      <c r="C364" t="inlineStr">
        <is>
          <t>Community seed banks / farmer networks / farmers' association / etc.</t>
        </is>
      </c>
    </row>
    <row r="365" customFormat="1" s="14">
      <c r="A365" t="inlineStr">
        <is>
          <t>seedsupply</t>
        </is>
      </c>
      <c r="B365" t="inlineStr">
        <is>
          <t>gov</t>
        </is>
      </c>
      <c r="C365" t="inlineStr">
        <is>
          <t>Government [e.g. MoA]</t>
        </is>
      </c>
    </row>
    <row r="366" customFormat="1" s="14">
      <c r="A366" t="inlineStr">
        <is>
          <t>seedsupply</t>
        </is>
      </c>
      <c r="B366" t="inlineStr">
        <is>
          <t>relatives_friends</t>
        </is>
      </c>
      <c r="C366" t="inlineStr">
        <is>
          <t>Relatives or friends</t>
        </is>
      </c>
    </row>
    <row r="367" customFormat="1" s="14">
      <c r="A367" t="inlineStr">
        <is>
          <t>seedsupply</t>
        </is>
      </c>
      <c r="B367" t="inlineStr">
        <is>
          <t>other</t>
        </is>
      </c>
      <c r="C367" t="inlineStr">
        <is>
          <t>Other</t>
        </is>
      </c>
    </row>
    <row r="368" customFormat="1" s="14">
      <c r="A368" t="inlineStr">
        <is>
          <t>seedsupply</t>
        </is>
      </c>
      <c r="B368" t="inlineStr">
        <is>
          <t>dk</t>
        </is>
      </c>
      <c r="C368" t="inlineStr">
        <is>
          <t>DON'T KNOW</t>
        </is>
      </c>
    </row>
    <row r="369" customFormat="1" s="14">
      <c r="A369" t="inlineStr">
        <is>
          <t>seedsupply</t>
        </is>
      </c>
      <c r="B369" t="inlineStr">
        <is>
          <t>ref</t>
        </is>
      </c>
      <c r="C369" t="inlineStr">
        <is>
          <t>REFUSED</t>
        </is>
      </c>
    </row>
    <row r="370"/>
    <row r="371">
      <c r="A371" t="inlineStr">
        <is>
          <t>o_difficulty_seed</t>
        </is>
      </c>
      <c r="B371" t="inlineStr">
        <is>
          <t>no_need_seeds</t>
        </is>
      </c>
      <c r="C371" t="inlineStr">
        <is>
          <t>No - not in planting season so no need for seeds</t>
        </is>
      </c>
    </row>
    <row r="372">
      <c r="A372" t="inlineStr">
        <is>
          <t>o_difficulty_seed</t>
        </is>
      </c>
      <c r="B372" t="inlineStr">
        <is>
          <t>yes_difficulties</t>
        </is>
      </c>
      <c r="C372" t="inlineStr">
        <is>
          <t>Yes - facing difficulties</t>
        </is>
      </c>
    </row>
    <row r="373"/>
    <row r="374" ht="27" customHeight="1">
      <c r="A374" t="inlineStr">
        <is>
          <t>o_difficulty_seed_type</t>
        </is>
      </c>
      <c r="B374" t="inlineStr">
        <is>
          <t>seeds_vendors</t>
        </is>
      </c>
      <c r="C374" t="inlineStr">
        <is>
          <t>Seeds are not available from vendors</t>
        </is>
      </c>
    </row>
    <row r="375" ht="27" customHeight="1">
      <c r="A375" t="inlineStr">
        <is>
          <t>o_difficulty_seed_type</t>
        </is>
      </c>
      <c r="B375" t="inlineStr">
        <is>
          <t>seeds_market</t>
        </is>
      </c>
      <c r="C375" t="inlineStr">
        <is>
          <t>Seeds are not available from local market</t>
        </is>
      </c>
    </row>
    <row r="376" ht="27" customHeight="1">
      <c r="A376" t="inlineStr">
        <is>
          <t>o_difficulty_seed_type</t>
        </is>
      </c>
      <c r="B376" t="inlineStr">
        <is>
          <t>seed_available</t>
        </is>
      </c>
      <c r="C376" t="inlineStr">
        <is>
          <t>Seed varieties usually used are not available</t>
        </is>
      </c>
    </row>
    <row r="377" ht="27" customHeight="1">
      <c r="A377" t="inlineStr">
        <is>
          <t>o_difficulty_seed_type</t>
        </is>
      </c>
      <c r="B377" t="inlineStr">
        <is>
          <t>prices_usual</t>
        </is>
      </c>
      <c r="C377" t="inlineStr">
        <is>
          <t>Prices of seeds are higher than usual</t>
        </is>
      </c>
    </row>
    <row r="378" ht="27" customHeight="1">
      <c r="A378" t="inlineStr">
        <is>
          <t>o_difficulty_seed_type</t>
        </is>
      </c>
      <c r="B378" t="inlineStr">
        <is>
          <t>insufficient_income</t>
        </is>
      </c>
      <c r="C378" t="inlineStr">
        <is>
          <t>Household’s income is insufficient to buy seeds</t>
        </is>
      </c>
    </row>
    <row r="379" ht="27" customHeight="1">
      <c r="A379" t="inlineStr">
        <is>
          <t>o_difficulty_seed_type</t>
        </is>
      </c>
      <c r="B379" t="inlineStr">
        <is>
          <t>not_seeds</t>
        </is>
      </c>
      <c r="C379" t="inlineStr">
        <is>
          <t>Not able or not allowed to go to the market to buy seeds</t>
        </is>
      </c>
    </row>
    <row r="380" ht="27" customHeight="1">
      <c r="A380" t="inlineStr">
        <is>
          <t>o_difficulty_seed_type</t>
        </is>
      </c>
      <c r="B380" t="inlineStr">
        <is>
          <t>seeds_quality</t>
        </is>
      </c>
      <c r="C380" t="inlineStr">
        <is>
          <t>Seeds are of poor quality</t>
        </is>
      </c>
    </row>
    <row r="381" ht="27" customHeight="1">
      <c r="A381" t="inlineStr">
        <is>
          <t>o_difficulty_seed_type</t>
        </is>
      </c>
      <c r="B381" t="inlineStr">
        <is>
          <t>other</t>
        </is>
      </c>
      <c r="C381" t="inlineStr">
        <is>
          <t>Other, please specify</t>
        </is>
      </c>
    </row>
    <row r="382"/>
    <row r="383"/>
    <row r="384">
      <c r="A384" t="inlineStr">
        <is>
          <t>reasons_less_planted</t>
        </is>
      </c>
      <c r="B384" t="n">
        <v>1</v>
      </c>
      <c r="C384" t="inlineStr">
        <is>
          <t>Less land available</t>
        </is>
      </c>
    </row>
    <row r="385">
      <c r="A385" t="inlineStr">
        <is>
          <t>reasons_less_planted</t>
        </is>
      </c>
      <c r="B385" t="n">
        <v>2</v>
      </c>
      <c r="C385" t="inlineStr">
        <is>
          <t>less water available</t>
        </is>
      </c>
    </row>
    <row r="386">
      <c r="A386" t="inlineStr">
        <is>
          <t>reasons_less_planted</t>
        </is>
      </c>
      <c r="B386" t="n">
        <v>3</v>
      </c>
      <c r="C386" t="inlineStr">
        <is>
          <t xml:space="preserve">less labour available/Migration of the family member </t>
        </is>
      </c>
    </row>
    <row r="387">
      <c r="A387" t="inlineStr">
        <is>
          <t>reasons_less_planted</t>
        </is>
      </c>
      <c r="B387" t="n">
        <v>4</v>
      </c>
      <c r="C387" t="inlineStr">
        <is>
          <t>Lack of inputs (seeds,fertilizer)</t>
        </is>
      </c>
    </row>
    <row r="388">
      <c r="A388" t="inlineStr">
        <is>
          <t>reasons_less_planted</t>
        </is>
      </c>
      <c r="B388" t="n">
        <v>5</v>
      </c>
      <c r="C388" t="inlineStr">
        <is>
          <t>less market opportunities for surplus production</t>
        </is>
      </c>
    </row>
    <row r="389">
      <c r="A389" t="inlineStr">
        <is>
          <t>reasons_less_planted</t>
        </is>
      </c>
      <c r="B389" t="n">
        <v>6</v>
      </c>
      <c r="C389" t="inlineStr">
        <is>
          <t xml:space="preserve">Security - lack of access to plot </t>
        </is>
      </c>
    </row>
    <row r="390">
      <c r="A390" t="inlineStr">
        <is>
          <t>reasons_less_planted</t>
        </is>
      </c>
      <c r="B390" t="n">
        <v>7</v>
      </c>
      <c r="C390" t="inlineStr">
        <is>
          <t xml:space="preserve">Land grabing </t>
        </is>
      </c>
    </row>
    <row r="391"/>
    <row r="392">
      <c r="A392" t="inlineStr">
        <is>
          <t>reasons_waterlack</t>
        </is>
      </c>
      <c r="B392" t="n">
        <v>1</v>
      </c>
      <c r="C392" t="inlineStr">
        <is>
          <t>irrigation is not available as before</t>
        </is>
      </c>
    </row>
    <row r="393" ht="16" customHeight="1">
      <c r="A393" t="inlineStr">
        <is>
          <t>reasons_waterlack</t>
        </is>
      </c>
      <c r="B393" t="n">
        <v>2</v>
      </c>
      <c r="C393" t="inlineStr">
        <is>
          <t>if there is another drought and crops fail, all my investment will be vain</t>
        </is>
      </c>
    </row>
    <row r="394"/>
    <row r="395" ht="16" customHeight="1">
      <c r="A395" t="inlineStr">
        <is>
          <t>reasons_accessinputs</t>
        </is>
      </c>
      <c r="B395" t="n">
        <v>1</v>
      </c>
      <c r="C395" t="inlineStr">
        <is>
          <t>I have less money available for fertlizer, seeds, etc.</t>
        </is>
      </c>
    </row>
    <row r="396" ht="16" customHeight="1">
      <c r="A396" t="inlineStr">
        <is>
          <t>reasons_accessinputs</t>
        </is>
      </c>
      <c r="B396" t="n">
        <v>2</v>
      </c>
      <c r="C396" t="inlineStr">
        <is>
          <t>inputs are not available in the market</t>
        </is>
      </c>
    </row>
    <row r="397" ht="32.15" customHeight="1">
      <c r="A397" t="inlineStr">
        <is>
          <t>reasons_accessinputs</t>
        </is>
      </c>
      <c r="B397" t="n">
        <v>3</v>
      </c>
      <c r="C397" t="inlineStr">
        <is>
          <t>inputs are much more expensive in the market, and I my usual allocation is not enough</t>
        </is>
      </c>
    </row>
    <row r="398"/>
    <row r="399"/>
    <row r="400">
      <c r="A400" t="inlineStr">
        <is>
          <t>cropproddiff</t>
        </is>
      </c>
      <c r="B400" t="inlineStr">
        <is>
          <t>plant_disease</t>
        </is>
      </c>
      <c r="C400" t="inlineStr">
        <is>
          <t xml:space="preserve">Plant disease </t>
        </is>
      </c>
    </row>
    <row r="401">
      <c r="A401" t="inlineStr">
        <is>
          <t>cropproddiff</t>
        </is>
      </c>
      <c r="B401" t="inlineStr">
        <is>
          <t>pest_outbreak</t>
        </is>
      </c>
      <c r="C401" t="inlineStr">
        <is>
          <t>Pest outbreak [including birds]</t>
        </is>
      </c>
    </row>
    <row r="402">
      <c r="A402" t="inlineStr">
        <is>
          <t>cropproddiff</t>
        </is>
      </c>
      <c r="B402" t="inlineStr">
        <is>
          <t>animal_grazing</t>
        </is>
      </c>
      <c r="C402" t="inlineStr">
        <is>
          <t>Uncontrolled animal grazing</t>
        </is>
      </c>
    </row>
    <row r="403">
      <c r="A403" t="inlineStr">
        <is>
          <t>cropproddiff</t>
        </is>
      </c>
      <c r="B403" t="inlineStr">
        <is>
          <t>access_plot</t>
        </is>
      </c>
      <c r="C403" t="inlineStr">
        <is>
          <t>Access to plot</t>
        </is>
      </c>
    </row>
    <row r="404">
      <c r="A404" t="inlineStr">
        <is>
          <t>cropproddiff</t>
        </is>
      </c>
      <c r="B404" t="inlineStr">
        <is>
          <t>access_fertilize</t>
        </is>
      </c>
      <c r="C404" t="inlineStr">
        <is>
          <t>Access to fertilizer [not available on markets or prices too high]</t>
        </is>
      </c>
    </row>
    <row r="405">
      <c r="A405" t="inlineStr">
        <is>
          <t>cropproddiff</t>
        </is>
      </c>
      <c r="B405" t="inlineStr">
        <is>
          <t>seed_quality</t>
        </is>
      </c>
      <c r="C405" t="inlineStr">
        <is>
          <t>Access to quality seeds</t>
        </is>
      </c>
    </row>
    <row r="406">
      <c r="A406" t="inlineStr">
        <is>
          <t>cropproddiff</t>
        </is>
      </c>
      <c r="B406" t="inlineStr">
        <is>
          <t>seed_quantity</t>
        </is>
      </c>
      <c r="C406" t="inlineStr">
        <is>
          <t>Access to enough seeds [not available on markets or prices too high]</t>
        </is>
      </c>
    </row>
    <row r="407">
      <c r="A407" t="inlineStr">
        <is>
          <t>cropproddiff</t>
        </is>
      </c>
      <c r="B407" t="inlineStr">
        <is>
          <t>access_pesticide</t>
        </is>
      </c>
      <c r="C407" t="inlineStr">
        <is>
          <t>Access to pesticides</t>
        </is>
      </c>
    </row>
    <row r="408">
      <c r="A408" t="inlineStr">
        <is>
          <t>cropproddiff</t>
        </is>
      </c>
      <c r="B408" t="inlineStr">
        <is>
          <t>access_labour</t>
        </is>
      </c>
      <c r="C408" t="inlineStr">
        <is>
          <t>Access to manpower labour</t>
        </is>
      </c>
    </row>
    <row r="409">
      <c r="A409" t="inlineStr">
        <is>
          <t>cropproddiff</t>
        </is>
      </c>
      <c r="B409" t="inlineStr">
        <is>
          <t>access_machinery</t>
        </is>
      </c>
      <c r="C409" t="inlineStr">
        <is>
          <t>Access to machinery, tools or animals for ploughing</t>
        </is>
      </c>
    </row>
    <row r="410">
      <c r="A410" t="inlineStr">
        <is>
          <t>cropproddiff</t>
        </is>
      </c>
      <c r="B410" t="inlineStr">
        <is>
          <t>access_fuel</t>
        </is>
      </c>
      <c r="C410" t="inlineStr">
        <is>
          <t>Access to fuel or electricity to power agricultural equipment</t>
        </is>
      </c>
    </row>
    <row r="411">
      <c r="A411" t="inlineStr">
        <is>
          <t>cropproddiff</t>
        </is>
      </c>
      <c r="B411" t="inlineStr">
        <is>
          <t>soil_erosion</t>
        </is>
      </c>
      <c r="C411" t="inlineStr">
        <is>
          <t>Soil erosion</t>
        </is>
      </c>
    </row>
    <row r="412">
      <c r="A412" t="inlineStr">
        <is>
          <t>cropproddiff</t>
        </is>
      </c>
      <c r="B412" t="inlineStr">
        <is>
          <t>lack_irrigation</t>
        </is>
      </c>
      <c r="C412" t="inlineStr">
        <is>
          <t xml:space="preserve">Not enough irrigation or rainfall water </t>
        </is>
      </c>
    </row>
    <row r="413">
      <c r="A413" t="inlineStr">
        <is>
          <t>cropproddiff</t>
        </is>
      </c>
      <c r="B413" t="inlineStr">
        <is>
          <t>excess_water</t>
        </is>
      </c>
      <c r="C413" t="inlineStr">
        <is>
          <t>Too much irrigation or water</t>
        </is>
      </c>
    </row>
    <row r="414">
      <c r="A414" t="inlineStr">
        <is>
          <t>cropproddiff</t>
        </is>
      </c>
      <c r="B414" t="inlineStr">
        <is>
          <t>access_credit</t>
        </is>
      </c>
      <c r="C414" t="inlineStr">
        <is>
          <t>Access to credit</t>
        </is>
      </c>
    </row>
    <row r="415">
      <c r="A415" t="inlineStr">
        <is>
          <t>cropproddiff</t>
        </is>
      </c>
      <c r="B415" t="inlineStr">
        <is>
          <t>other</t>
        </is>
      </c>
      <c r="C415" t="inlineStr">
        <is>
          <t>Other</t>
        </is>
      </c>
    </row>
    <row r="416">
      <c r="A416" t="inlineStr">
        <is>
          <t>cropproddiff</t>
        </is>
      </c>
      <c r="B416" t="inlineStr">
        <is>
          <t>dk</t>
        </is>
      </c>
      <c r="C416" t="inlineStr">
        <is>
          <t>DON'T KNOW</t>
        </is>
      </c>
    </row>
    <row r="417">
      <c r="A417" t="inlineStr">
        <is>
          <t>cropproddiff</t>
        </is>
      </c>
      <c r="B417" t="inlineStr">
        <is>
          <t>ref</t>
        </is>
      </c>
      <c r="C417" t="inlineStr">
        <is>
          <t>REFUSED</t>
        </is>
      </c>
    </row>
    <row r="418"/>
    <row r="419">
      <c r="A419" t="inlineStr">
        <is>
          <t>plotaccess</t>
        </is>
      </c>
      <c r="B419" t="inlineStr">
        <is>
          <t>costly</t>
        </is>
      </c>
      <c r="C419" t="inlineStr">
        <is>
          <t>Cannot afford to buy or rent it</t>
        </is>
      </c>
    </row>
    <row r="420">
      <c r="A420" t="inlineStr">
        <is>
          <t>plotaccess</t>
        </is>
      </c>
      <c r="B420" t="inlineStr">
        <is>
          <t>unsafe_armedgps</t>
        </is>
      </c>
      <c r="C420" t="inlineStr">
        <is>
          <t xml:space="preserve">Not safe - my plot has been taken by armed groups </t>
        </is>
      </c>
    </row>
    <row r="421">
      <c r="A421" t="inlineStr">
        <is>
          <t>plotaccess</t>
        </is>
      </c>
      <c r="B421" t="inlineStr">
        <is>
          <t>unsafe_explosives</t>
        </is>
      </c>
      <c r="C421" t="inlineStr">
        <is>
          <t>Not safe - there are explosive ordnance, IEDs, or landmines on the land</t>
        </is>
      </c>
    </row>
    <row r="422">
      <c r="A422" t="inlineStr">
        <is>
          <t>plotaccess</t>
        </is>
      </c>
      <c r="B422" t="inlineStr">
        <is>
          <t>unsafe_infrast</t>
        </is>
      </c>
      <c r="C422" t="inlineStr">
        <is>
          <t>Not safe - the access route to my land is insecure due to poor infrastructure</t>
        </is>
      </c>
    </row>
    <row r="423">
      <c r="A423" t="inlineStr">
        <is>
          <t>plotaccess</t>
        </is>
      </c>
      <c r="B423" t="inlineStr">
        <is>
          <t>distance</t>
        </is>
      </c>
      <c r="C423" t="inlineStr">
        <is>
          <t>Land is too far from where I'm settled</t>
        </is>
      </c>
    </row>
    <row r="424">
      <c r="A424" t="inlineStr">
        <is>
          <t>plotaccess</t>
        </is>
      </c>
      <c r="B424" t="inlineStr">
        <is>
          <t>occup_displacedppl</t>
        </is>
      </c>
      <c r="C424" t="inlineStr">
        <is>
          <t>Displaced people have taken all the land in the area</t>
        </is>
      </c>
    </row>
    <row r="425">
      <c r="A425" t="inlineStr">
        <is>
          <t>plotaccess</t>
        </is>
      </c>
      <c r="B425" t="inlineStr">
        <is>
          <t>govt_access</t>
        </is>
      </c>
      <c r="C425" t="inlineStr">
        <is>
          <t>Government authorities make it difficult to access land</t>
        </is>
      </c>
    </row>
    <row r="426">
      <c r="A426" t="inlineStr">
        <is>
          <t>plotaccess</t>
        </is>
      </c>
      <c r="B426" t="inlineStr">
        <is>
          <t>other_auth_access</t>
        </is>
      </c>
      <c r="C426" t="inlineStr">
        <is>
          <t>Local/customary authorities make it difficult to access land</t>
        </is>
      </c>
    </row>
    <row r="427">
      <c r="A427" t="inlineStr">
        <is>
          <t>plotaccess</t>
        </is>
      </c>
      <c r="B427" t="inlineStr">
        <is>
          <t>hostcomm_access</t>
        </is>
      </c>
      <c r="C427" t="inlineStr">
        <is>
          <t>Host communities make it difficult  to access land</t>
        </is>
      </c>
    </row>
    <row r="428">
      <c r="A428" t="inlineStr">
        <is>
          <t>plotaccess</t>
        </is>
      </c>
      <c r="B428" t="inlineStr">
        <is>
          <t>flood_degraded</t>
        </is>
      </c>
      <c r="C428" t="inlineStr">
        <is>
          <t>Flooded or severely degraded</t>
        </is>
      </c>
    </row>
    <row r="429">
      <c r="A429" t="inlineStr">
        <is>
          <t>plotaccess</t>
        </is>
      </c>
      <c r="B429" t="inlineStr">
        <is>
          <t>none_left</t>
        </is>
      </c>
      <c r="C429" t="inlineStr">
        <is>
          <t>There is no land left to cultivate</t>
        </is>
      </c>
    </row>
    <row r="430">
      <c r="A430" t="inlineStr">
        <is>
          <t>plotaccess</t>
        </is>
      </c>
      <c r="B430" t="inlineStr">
        <is>
          <t>other</t>
        </is>
      </c>
      <c r="C430" t="inlineStr">
        <is>
          <t>Other [specify]</t>
        </is>
      </c>
    </row>
    <row r="431">
      <c r="A431" t="inlineStr">
        <is>
          <t>plotaccess</t>
        </is>
      </c>
      <c r="B431" t="inlineStr">
        <is>
          <t>dk</t>
        </is>
      </c>
      <c r="C431" t="inlineStr">
        <is>
          <t>DON'T KNOW</t>
        </is>
      </c>
    </row>
    <row r="432">
      <c r="A432" t="inlineStr">
        <is>
          <t>plotaccess</t>
        </is>
      </c>
      <c r="B432" t="inlineStr">
        <is>
          <t>ref</t>
        </is>
      </c>
      <c r="C432" t="inlineStr">
        <is>
          <t>REFUSED</t>
        </is>
      </c>
    </row>
    <row r="433"/>
    <row r="434" customFormat="1" s="14">
      <c r="A434" t="inlineStr">
        <is>
          <t>storage</t>
        </is>
      </c>
      <c r="B434" t="n">
        <v>1</v>
      </c>
      <c r="C434" t="inlineStr">
        <is>
          <t>None</t>
        </is>
      </c>
    </row>
    <row r="435" customFormat="1" s="14">
      <c r="A435" t="inlineStr">
        <is>
          <t>storage</t>
        </is>
      </c>
      <c r="B435" t="n">
        <v>2</v>
      </c>
      <c r="C435" t="inlineStr">
        <is>
          <t>A little</t>
        </is>
      </c>
    </row>
    <row r="436" customFormat="1" s="14">
      <c r="A436" t="inlineStr">
        <is>
          <t>storage</t>
        </is>
      </c>
      <c r="B436" t="n">
        <v>3</v>
      </c>
      <c r="C436" t="inlineStr">
        <is>
          <t>An important part of it, but less than half</t>
        </is>
      </c>
    </row>
    <row r="437" customFormat="1" s="14">
      <c r="A437" t="inlineStr">
        <is>
          <t>storage</t>
        </is>
      </c>
      <c r="B437" t="n">
        <v>4</v>
      </c>
      <c r="C437" t="inlineStr">
        <is>
          <t>Most of it [half or more]</t>
        </is>
      </c>
    </row>
    <row r="438" customFormat="1" s="14">
      <c r="A438" t="inlineStr">
        <is>
          <t>storage</t>
        </is>
      </c>
      <c r="B438" t="n">
        <v>5</v>
      </c>
      <c r="C438" t="inlineStr">
        <is>
          <t>Almost everything</t>
        </is>
      </c>
    </row>
    <row r="439" customFormat="1" s="14">
      <c r="A439" t="inlineStr">
        <is>
          <t>storage</t>
        </is>
      </c>
      <c r="B439" t="n">
        <v>6</v>
      </c>
      <c r="C439" t="inlineStr">
        <is>
          <t>Everything</t>
        </is>
      </c>
    </row>
    <row r="440" customFormat="1" s="14">
      <c r="A440" t="inlineStr">
        <is>
          <t>storage</t>
        </is>
      </c>
      <c r="B440" t="n">
        <v>7</v>
      </c>
      <c r="C440" t="inlineStr">
        <is>
          <t>DON'T KNOW</t>
        </is>
      </c>
    </row>
    <row r="441">
      <c r="A441" t="inlineStr">
        <is>
          <t>storage</t>
        </is>
      </c>
      <c r="B441" t="n">
        <v>8</v>
      </c>
      <c r="C441" t="inlineStr">
        <is>
          <t>REFUSED</t>
        </is>
      </c>
    </row>
    <row r="442"/>
    <row r="443" customFormat="1" s="14">
      <c r="A443" t="inlineStr">
        <is>
          <t>storage_reason</t>
        </is>
      </c>
      <c r="B443" t="inlineStr">
        <is>
          <t>pests</t>
        </is>
      </c>
      <c r="C443" t="inlineStr">
        <is>
          <t>Pests</t>
        </is>
      </c>
    </row>
    <row r="444" customFormat="1" s="14">
      <c r="A444" t="inlineStr">
        <is>
          <t>storage_reason</t>
        </is>
      </c>
      <c r="B444" t="inlineStr">
        <is>
          <t>rot</t>
        </is>
      </c>
      <c r="C444" t="inlineStr">
        <is>
          <t>Rotting</t>
        </is>
      </c>
    </row>
    <row r="445" customFormat="1" s="14">
      <c r="A445" t="inlineStr">
        <is>
          <t>storage_reason</t>
        </is>
      </c>
      <c r="B445" t="inlineStr">
        <is>
          <t>mould</t>
        </is>
      </c>
      <c r="C445" t="inlineStr">
        <is>
          <t>Mould</t>
        </is>
      </c>
    </row>
    <row r="446" customFormat="1" s="14">
      <c r="A446" t="inlineStr">
        <is>
          <t>storage_reason</t>
        </is>
      </c>
      <c r="B446" t="inlineStr">
        <is>
          <t>theft</t>
        </is>
      </c>
      <c r="C446" t="inlineStr">
        <is>
          <t>Theft</t>
        </is>
      </c>
    </row>
    <row r="447" customFormat="1" s="14">
      <c r="A447" t="inlineStr">
        <is>
          <t>storage_reason</t>
        </is>
      </c>
      <c r="B447" t="inlineStr">
        <is>
          <t>natdisaster</t>
        </is>
      </c>
      <c r="C447" t="inlineStr">
        <is>
          <t>Destruction by disaster [e.g. flood]</t>
        </is>
      </c>
    </row>
    <row r="448" customFormat="1" s="14">
      <c r="A448" t="inlineStr">
        <is>
          <t>storage_reason</t>
        </is>
      </c>
      <c r="B448" t="inlineStr">
        <is>
          <t>animals</t>
        </is>
      </c>
      <c r="C448" t="inlineStr">
        <is>
          <t>Destruction by animals</t>
        </is>
      </c>
    </row>
    <row r="449" customFormat="1" s="14">
      <c r="A449" t="inlineStr">
        <is>
          <t>storage_reason</t>
        </is>
      </c>
      <c r="B449" t="inlineStr">
        <is>
          <t>intdestruction</t>
        </is>
      </c>
      <c r="C449" t="inlineStr">
        <is>
          <t>Intentional destruction of storage [e.g. burned]</t>
        </is>
      </c>
    </row>
    <row r="450" customFormat="1" s="14">
      <c r="A450" t="inlineStr">
        <is>
          <t>storage_reason</t>
        </is>
      </c>
      <c r="B450" t="inlineStr">
        <is>
          <t>other</t>
        </is>
      </c>
      <c r="C450" t="inlineStr">
        <is>
          <t>Other [specify]</t>
        </is>
      </c>
    </row>
    <row r="451" customFormat="1" s="14">
      <c r="A451" t="inlineStr">
        <is>
          <t>storage_reason</t>
        </is>
      </c>
      <c r="B451" t="inlineStr">
        <is>
          <t>dk</t>
        </is>
      </c>
      <c r="C451" t="inlineStr">
        <is>
          <t>DON'T KNOW</t>
        </is>
      </c>
    </row>
    <row r="452" customFormat="1" s="14">
      <c r="A452" t="inlineStr">
        <is>
          <t>storage_reason</t>
        </is>
      </c>
      <c r="B452" t="inlineStr">
        <is>
          <t>ref</t>
        </is>
      </c>
      <c r="C452" t="inlineStr">
        <is>
          <t>REFUSED</t>
        </is>
      </c>
    </row>
    <row r="453"/>
    <row r="454">
      <c r="A454" t="inlineStr">
        <is>
          <t>cropsalesdiff</t>
        </is>
      </c>
      <c r="B454" t="inlineStr">
        <is>
          <t>marketing_cost</t>
        </is>
      </c>
      <c r="C454" t="inlineStr">
        <is>
          <t>High transportation or other marketing costs</t>
        </is>
      </c>
    </row>
    <row r="455">
      <c r="A455" t="inlineStr">
        <is>
          <t>cropsalesdiff</t>
        </is>
      </c>
      <c r="B455" t="inlineStr">
        <is>
          <t>damage_losses</t>
        </is>
      </c>
      <c r="C455" t="inlineStr">
        <is>
          <t>Other difficulties accessing the market [e.g. insecurity, poor infrastructure, etc.]</t>
        </is>
      </c>
    </row>
    <row r="456">
      <c r="A456" t="inlineStr">
        <is>
          <t>cropsalesdiff</t>
        </is>
      </c>
      <c r="B456" t="inlineStr">
        <is>
          <t>low_demand</t>
        </is>
      </c>
      <c r="C456" t="inlineStr">
        <is>
          <t xml:space="preserve">Lack of demand from usual traders or buyers </t>
        </is>
      </c>
    </row>
    <row r="457">
      <c r="A457" t="inlineStr">
        <is>
          <t>cropsalesdiff</t>
        </is>
      </c>
      <c r="B457" t="inlineStr">
        <is>
          <t>pay_delay</t>
        </is>
      </c>
      <c r="C457" t="inlineStr">
        <is>
          <t>Payment delays from traders / buyers</t>
        </is>
      </c>
    </row>
    <row r="458">
      <c r="A458" t="inlineStr">
        <is>
          <t>cropsalesdiff</t>
        </is>
      </c>
      <c r="B458" t="inlineStr">
        <is>
          <t>low_price</t>
        </is>
      </c>
      <c r="C458" t="inlineStr">
        <is>
          <t>Low selling prices [e.g. compared to input prices / inflation]</t>
        </is>
      </c>
    </row>
    <row r="459">
      <c r="A459" t="inlineStr">
        <is>
          <t>cropsalesdiff</t>
        </is>
      </c>
      <c r="B459" t="inlineStr">
        <is>
          <t>processing</t>
        </is>
      </c>
      <c r="C459" t="inlineStr">
        <is>
          <t>Difficulty processing product [lack of processing inputs / equipment / etc]</t>
        </is>
      </c>
    </row>
    <row r="460">
      <c r="A460" t="inlineStr">
        <is>
          <t>cropsalesdiff</t>
        </is>
      </c>
      <c r="B460" t="inlineStr">
        <is>
          <t>competition</t>
        </is>
      </c>
      <c r="C460" t="inlineStr">
        <is>
          <t>Market flooded with products</t>
        </is>
      </c>
    </row>
    <row r="461">
      <c r="A461" t="inlineStr">
        <is>
          <t>cropsalesdiff</t>
        </is>
      </c>
      <c r="B461" t="inlineStr">
        <is>
          <t>other</t>
        </is>
      </c>
      <c r="C461" t="inlineStr">
        <is>
          <t>Other</t>
        </is>
      </c>
    </row>
    <row r="462">
      <c r="A462" t="inlineStr">
        <is>
          <t>cropsalesdiff</t>
        </is>
      </c>
      <c r="B462" t="inlineStr">
        <is>
          <t>dk</t>
        </is>
      </c>
      <c r="C462" t="inlineStr">
        <is>
          <t>DON'T KNOW</t>
        </is>
      </c>
    </row>
    <row r="463">
      <c r="A463" t="inlineStr">
        <is>
          <t>cropsalesdiff</t>
        </is>
      </c>
      <c r="B463" t="inlineStr">
        <is>
          <t>ref</t>
        </is>
      </c>
      <c r="C463" t="inlineStr">
        <is>
          <t>REFUSED</t>
        </is>
      </c>
    </row>
    <row r="464"/>
    <row r="465">
      <c r="A465" t="inlineStr">
        <is>
          <t>lsmain</t>
        </is>
      </c>
      <c r="B465" t="n">
        <v>1</v>
      </c>
      <c r="C465" t="inlineStr">
        <is>
          <t>Cattle [cow / beef / veal / yak / buffalo]</t>
        </is>
      </c>
    </row>
    <row r="466">
      <c r="A466" t="inlineStr">
        <is>
          <t>lsmain</t>
        </is>
      </c>
      <c r="B466" t="n">
        <v>2</v>
      </c>
      <c r="C466" t="inlineStr">
        <is>
          <t>Goat</t>
        </is>
      </c>
    </row>
    <row r="467">
      <c r="A467" t="inlineStr">
        <is>
          <t>lsmain</t>
        </is>
      </c>
      <c r="B467" t="n">
        <v>3</v>
      </c>
      <c r="C467" t="inlineStr">
        <is>
          <t>Sheep</t>
        </is>
      </c>
    </row>
    <row r="468">
      <c r="A468" t="inlineStr">
        <is>
          <t>lsmain</t>
        </is>
      </c>
      <c r="B468" t="n">
        <v>4</v>
      </c>
      <c r="C468" t="inlineStr">
        <is>
          <t>Swine [swine / boar / hog / etc]</t>
        </is>
      </c>
    </row>
    <row r="469">
      <c r="A469" t="inlineStr">
        <is>
          <t>lsmain</t>
        </is>
      </c>
      <c r="B469" t="n">
        <v>5</v>
      </c>
      <c r="C469" t="inlineStr">
        <is>
          <t>Equine [donkey / horse / etc]</t>
        </is>
      </c>
    </row>
    <row r="470">
      <c r="A470" t="inlineStr">
        <is>
          <t>lsmain</t>
        </is>
      </c>
      <c r="B470" t="n">
        <v>6</v>
      </c>
      <c r="C470" t="inlineStr">
        <is>
          <t>Small domesticated mammals [rabbits / minks / guinea pigs / etc]</t>
        </is>
      </c>
    </row>
    <row r="471">
      <c r="A471" t="inlineStr">
        <is>
          <t>lsmain</t>
        </is>
      </c>
      <c r="B471" t="n">
        <v>7</v>
      </c>
      <c r="C471" t="inlineStr">
        <is>
          <t>Poultry [chicken / guineafowl / duck / quail / turkey / etc]</t>
        </is>
      </c>
    </row>
    <row r="472">
      <c r="A472" t="inlineStr">
        <is>
          <t>lsmain</t>
        </is>
      </c>
      <c r="B472" t="n">
        <v>8</v>
      </c>
      <c r="C472" t="inlineStr">
        <is>
          <t>Camelids</t>
        </is>
      </c>
    </row>
    <row r="473">
      <c r="A473" t="inlineStr">
        <is>
          <t>lsmain</t>
        </is>
      </c>
      <c r="B473" t="n">
        <v>9</v>
      </c>
      <c r="C473" t="inlineStr">
        <is>
          <t>Other</t>
        </is>
      </c>
    </row>
    <row r="474">
      <c r="A474" t="inlineStr">
        <is>
          <t>lsmain</t>
        </is>
      </c>
      <c r="B474" t="n">
        <v>10</v>
      </c>
      <c r="C474" t="inlineStr">
        <is>
          <t>DON'T KNOW</t>
        </is>
      </c>
    </row>
    <row r="475">
      <c r="A475" t="inlineStr">
        <is>
          <t>lsmain</t>
        </is>
      </c>
      <c r="B475" t="n">
        <v>11</v>
      </c>
      <c r="C475" t="inlineStr">
        <is>
          <t>REFUSED</t>
        </is>
      </c>
    </row>
    <row r="476"/>
    <row r="477">
      <c r="A477" t="inlineStr">
        <is>
          <t>lsnum</t>
        </is>
      </c>
      <c r="B477" t="inlineStr">
        <is>
          <t>no_change</t>
        </is>
      </c>
      <c r="C477" t="inlineStr">
        <is>
          <t>No significant change in livestock number</t>
        </is>
      </c>
    </row>
    <row r="478">
      <c r="A478" t="inlineStr">
        <is>
          <t>lsnum</t>
        </is>
      </c>
      <c r="B478" t="inlineStr">
        <is>
          <t>inc_less_sales</t>
        </is>
      </c>
      <c r="C478" t="inlineStr">
        <is>
          <t>Did not sell as many</t>
        </is>
      </c>
    </row>
    <row r="479">
      <c r="A479" t="inlineStr">
        <is>
          <t>lsnum</t>
        </is>
      </c>
      <c r="B479" t="inlineStr">
        <is>
          <t>inc_more_birth</t>
        </is>
      </c>
      <c r="C479" t="inlineStr">
        <is>
          <t>Many more were born</t>
        </is>
      </c>
    </row>
    <row r="480">
      <c r="A480" t="inlineStr">
        <is>
          <t>lsnum</t>
        </is>
      </c>
      <c r="B480" t="inlineStr">
        <is>
          <t>inc_more_acquired</t>
        </is>
      </c>
      <c r="C480" t="inlineStr">
        <is>
          <t>Purchased or bartered more animals this year</t>
        </is>
      </c>
    </row>
    <row r="481">
      <c r="A481" t="inlineStr">
        <is>
          <t>lsnum</t>
        </is>
      </c>
      <c r="B481" t="inlineStr">
        <is>
          <t>inc_received_free</t>
        </is>
      </c>
      <c r="C481" t="inlineStr">
        <is>
          <t>Received animals for free [restocking, gift]</t>
        </is>
      </c>
    </row>
    <row r="482">
      <c r="A482" t="inlineStr">
        <is>
          <t>lsnum</t>
        </is>
      </c>
      <c r="B482" t="inlineStr">
        <is>
          <t>dec_poor_health</t>
        </is>
      </c>
      <c r="C482" t="inlineStr">
        <is>
          <t>Animal death due to malnutrition, drought, lack of feed</t>
        </is>
      </c>
    </row>
    <row r="483">
      <c r="A483" t="inlineStr">
        <is>
          <t>lsnum</t>
        </is>
      </c>
      <c r="B483" t="inlineStr">
        <is>
          <t>dec_death</t>
        </is>
      </c>
      <c r="C483" t="inlineStr">
        <is>
          <t>Animal death due to other factors [e.g. diseases, parasites, injury]</t>
        </is>
      </c>
    </row>
    <row r="484">
      <c r="A484" t="inlineStr">
        <is>
          <t>lsnum</t>
        </is>
      </c>
      <c r="B484" t="inlineStr">
        <is>
          <t>dec_sales_good_price</t>
        </is>
      </c>
      <c r="C484" t="inlineStr">
        <is>
          <t>Sold more than usual because of good prices</t>
        </is>
      </c>
    </row>
    <row r="485">
      <c r="A485" t="inlineStr">
        <is>
          <t>lsnum</t>
        </is>
      </c>
      <c r="B485" t="inlineStr">
        <is>
          <t>dec_sales_distress</t>
        </is>
      </c>
      <c r="C485" t="inlineStr">
        <is>
          <t>Sold more than usual because of distress sales [unable to feed animal, need money urgently for household basic needs even if sales were unsustainable]</t>
        </is>
      </c>
    </row>
    <row r="486">
      <c r="A486" t="inlineStr">
        <is>
          <t>lsnum</t>
        </is>
      </c>
      <c r="B486" t="inlineStr">
        <is>
          <t>dec_escape_stolen</t>
        </is>
      </c>
      <c r="C486" t="inlineStr">
        <is>
          <t>Animal escaped or was lost or stolen or killed</t>
        </is>
      </c>
    </row>
    <row r="487">
      <c r="A487" t="inlineStr">
        <is>
          <t>lsnum</t>
        </is>
      </c>
      <c r="B487" t="inlineStr">
        <is>
          <t>dec_consumed</t>
        </is>
      </c>
      <c r="C487" t="inlineStr">
        <is>
          <t>Killed or gave away more animals than usual for household consumption or celebrations [marriage, funerals, etc]</t>
        </is>
      </c>
    </row>
    <row r="488">
      <c r="A488" t="inlineStr">
        <is>
          <t>lsnum</t>
        </is>
      </c>
      <c r="B488" t="inlineStr">
        <is>
          <t>inc_dec_other</t>
        </is>
      </c>
      <c r="C488" t="inlineStr">
        <is>
          <t>Other</t>
        </is>
      </c>
    </row>
    <row r="489">
      <c r="A489" t="inlineStr">
        <is>
          <t>lsnum</t>
        </is>
      </c>
      <c r="B489" t="inlineStr">
        <is>
          <t>inc_dec_dk</t>
        </is>
      </c>
      <c r="C489" t="inlineStr">
        <is>
          <t>DON'T KNOW</t>
        </is>
      </c>
    </row>
    <row r="490" ht="14.25" customHeight="1">
      <c r="A490" t="inlineStr">
        <is>
          <t>lsnum</t>
        </is>
      </c>
      <c r="B490" t="inlineStr">
        <is>
          <t>inc_dec_ref</t>
        </is>
      </c>
      <c r="C490" t="inlineStr">
        <is>
          <t>REFUSED</t>
        </is>
      </c>
    </row>
    <row r="491" ht="14.25" customHeight="1"/>
    <row r="492" ht="14.25" customFormat="1" customHeight="1" s="14">
      <c r="A492" t="inlineStr">
        <is>
          <t>lsgone</t>
        </is>
      </c>
      <c r="B492" t="inlineStr">
        <is>
          <t>lost</t>
        </is>
      </c>
      <c r="C492" t="inlineStr">
        <is>
          <t>Lost during migration</t>
        </is>
      </c>
    </row>
    <row r="493" ht="14.25" customFormat="1" customHeight="1" s="14">
      <c r="A493" t="inlineStr">
        <is>
          <t>lsgone</t>
        </is>
      </c>
      <c r="B493" t="inlineStr">
        <is>
          <t>escape</t>
        </is>
      </c>
      <c r="C493" t="inlineStr">
        <is>
          <t>Escaped</t>
        </is>
      </c>
    </row>
    <row r="494" ht="14.25" customFormat="1" customHeight="1" s="14">
      <c r="A494" t="inlineStr">
        <is>
          <t>lsgone</t>
        </is>
      </c>
      <c r="B494" t="inlineStr">
        <is>
          <t>stolen</t>
        </is>
      </c>
      <c r="C494" t="inlineStr">
        <is>
          <t>Stolen</t>
        </is>
      </c>
    </row>
    <row r="495" ht="14.25" customFormat="1" customHeight="1" s="14">
      <c r="A495" t="inlineStr">
        <is>
          <t>lsgone</t>
        </is>
      </c>
      <c r="B495" t="inlineStr">
        <is>
          <t>killed</t>
        </is>
      </c>
      <c r="C495" t="inlineStr">
        <is>
          <t>Killed</t>
        </is>
      </c>
    </row>
    <row r="496" ht="14.25" customFormat="1" customHeight="1" s="14">
      <c r="A496" t="inlineStr">
        <is>
          <t>lsgone</t>
        </is>
      </c>
      <c r="B496" t="inlineStr">
        <is>
          <t>dk</t>
        </is>
      </c>
      <c r="C496" t="inlineStr">
        <is>
          <t>DON'T KNOW</t>
        </is>
      </c>
    </row>
    <row r="497" ht="14.25" customFormat="1" customHeight="1" s="14">
      <c r="A497" t="inlineStr">
        <is>
          <t>lsgone</t>
        </is>
      </c>
      <c r="B497" t="inlineStr">
        <is>
          <t>ref</t>
        </is>
      </c>
      <c r="C497" t="inlineStr">
        <is>
          <t>REFUSED</t>
        </is>
      </c>
    </row>
    <row r="498" ht="14.25" customHeight="1"/>
    <row r="499" ht="14.25" customFormat="1" customHeight="1" s="14">
      <c r="A499" t="inlineStr">
        <is>
          <t>lsfood</t>
        </is>
      </c>
      <c r="B499" t="inlineStr">
        <is>
          <t>open_pasture</t>
        </is>
      </c>
      <c r="C499" t="inlineStr">
        <is>
          <t>Open pasture</t>
        </is>
      </c>
    </row>
    <row r="500" ht="14.25" customFormat="1" customHeight="1" s="14">
      <c r="A500" t="inlineStr">
        <is>
          <t>lsfood</t>
        </is>
      </c>
      <c r="B500" t="inlineStr">
        <is>
          <t>common_pasture</t>
        </is>
      </c>
      <c r="C500" t="inlineStr">
        <is>
          <t>Community-managed pasture land</t>
        </is>
      </c>
    </row>
    <row r="501" ht="14.25" customFormat="1" customHeight="1" s="14">
      <c r="A501" t="inlineStr">
        <is>
          <t>lsfood</t>
        </is>
      </c>
      <c r="B501" t="inlineStr">
        <is>
          <t>self_produced</t>
        </is>
      </c>
      <c r="C501" t="inlineStr">
        <is>
          <t>Owned or rented field or self-produced fodder</t>
        </is>
      </c>
    </row>
    <row r="502" ht="14.25" customFormat="1" customHeight="1" s="14">
      <c r="A502" t="inlineStr">
        <is>
          <t>lsfood</t>
        </is>
      </c>
      <c r="B502" t="inlineStr">
        <is>
          <t>purchased</t>
        </is>
      </c>
      <c r="C502" t="inlineStr">
        <is>
          <t>Purchase feed or fodder at the market</t>
        </is>
      </c>
    </row>
    <row r="503" ht="14.25" customFormat="1" customHeight="1" s="14">
      <c r="A503" t="inlineStr">
        <is>
          <t>lsfood</t>
        </is>
      </c>
      <c r="B503" t="inlineStr">
        <is>
          <t>free_dist</t>
        </is>
      </c>
      <c r="C503" t="inlineStr">
        <is>
          <t>Free distribution [UN, government, NGOs, neighbors, friends, family, etc.]</t>
        </is>
      </c>
    </row>
    <row r="504" ht="14.25" customFormat="1" customHeight="1" s="14">
      <c r="A504" t="inlineStr">
        <is>
          <t>lsfood</t>
        </is>
      </c>
      <c r="B504" t="inlineStr">
        <is>
          <t>other</t>
        </is>
      </c>
      <c r="C504" t="inlineStr">
        <is>
          <t xml:space="preserve">Other </t>
        </is>
      </c>
    </row>
    <row r="505" ht="14.25" customFormat="1" customHeight="1" s="14">
      <c r="A505" t="inlineStr">
        <is>
          <t>lsfood</t>
        </is>
      </c>
      <c r="B505" t="inlineStr">
        <is>
          <t>dk</t>
        </is>
      </c>
      <c r="C505" t="inlineStr">
        <is>
          <t>DON'T KNOW</t>
        </is>
      </c>
    </row>
    <row r="506" ht="14.25" customFormat="1" customHeight="1" s="14">
      <c r="A506" t="inlineStr">
        <is>
          <t>lsfood</t>
        </is>
      </c>
      <c r="B506" t="inlineStr">
        <is>
          <t>ref</t>
        </is>
      </c>
      <c r="C506" t="inlineStr">
        <is>
          <t>REFUSED</t>
        </is>
      </c>
    </row>
    <row r="507" ht="14.25" customHeight="1"/>
    <row r="508" ht="14.25" customHeight="1">
      <c r="A508" t="inlineStr">
        <is>
          <t>lsfeeddist</t>
        </is>
      </c>
      <c r="B508" t="inlineStr">
        <is>
          <t>un_ngo</t>
        </is>
      </c>
      <c r="C508" t="inlineStr">
        <is>
          <t>UN agencies or NGOs</t>
        </is>
      </c>
    </row>
    <row r="509" ht="14.25" customHeight="1">
      <c r="A509" t="inlineStr">
        <is>
          <t>lsfeeddist</t>
        </is>
      </c>
      <c r="B509" t="inlineStr">
        <is>
          <t>gov</t>
        </is>
      </c>
      <c r="C509" t="inlineStr">
        <is>
          <t>Government</t>
        </is>
      </c>
    </row>
    <row r="510" ht="14.25" customHeight="1">
      <c r="A510" t="inlineStr">
        <is>
          <t>lsfeeddist</t>
        </is>
      </c>
      <c r="B510" t="inlineStr">
        <is>
          <t>comm</t>
        </is>
      </c>
      <c r="C510" t="inlineStr">
        <is>
          <t>Neighbors, family, or friends</t>
        </is>
      </c>
    </row>
    <row r="511" ht="14.25" customHeight="1">
      <c r="A511" t="inlineStr">
        <is>
          <t>lsfeeddist</t>
        </is>
      </c>
      <c r="B511" t="inlineStr">
        <is>
          <t>dk</t>
        </is>
      </c>
      <c r="C511" t="inlineStr">
        <is>
          <t>DON'T KNOW</t>
        </is>
      </c>
    </row>
    <row r="512" ht="14.25" customHeight="1">
      <c r="A512" t="inlineStr">
        <is>
          <t>lsfeeddist</t>
        </is>
      </c>
      <c r="B512" t="inlineStr">
        <is>
          <t>ref</t>
        </is>
      </c>
      <c r="C512" t="inlineStr">
        <is>
          <t>REFUSED</t>
        </is>
      </c>
    </row>
    <row r="513" ht="14.25" customHeight="1"/>
    <row r="514">
      <c r="A514" t="inlineStr">
        <is>
          <t>lsproddiff</t>
        </is>
      </c>
      <c r="B514" t="inlineStr">
        <is>
          <t>feed_purchase</t>
        </is>
      </c>
      <c r="C514" t="inlineStr">
        <is>
          <t>Difficulty to purchase feed [prices or access to market]</t>
        </is>
      </c>
    </row>
    <row r="515">
      <c r="A515" t="inlineStr">
        <is>
          <t>lsproddiff</t>
        </is>
      </c>
      <c r="B515" t="inlineStr">
        <is>
          <t>access_pasture</t>
        </is>
      </c>
      <c r="C515" t="inlineStr">
        <is>
          <t>Access to pasture</t>
        </is>
      </c>
    </row>
    <row r="516">
      <c r="A516" t="inlineStr">
        <is>
          <t>lsproddiff</t>
        </is>
      </c>
      <c r="B516" t="inlineStr">
        <is>
          <t>access_water</t>
        </is>
      </c>
      <c r="C516" t="inlineStr">
        <is>
          <t>Access to water</t>
        </is>
      </c>
    </row>
    <row r="517">
      <c r="A517" t="inlineStr">
        <is>
          <t>lsproddiff</t>
        </is>
      </c>
      <c r="B517" t="inlineStr">
        <is>
          <t>vet_serv</t>
        </is>
      </c>
      <c r="C517" t="inlineStr">
        <is>
          <t>Access to veterinary services [vaccinations, treatments, spraying, advisory etc]</t>
        </is>
      </c>
    </row>
    <row r="518">
      <c r="A518" t="inlineStr">
        <is>
          <t>lsproddiff</t>
        </is>
      </c>
      <c r="B518" t="inlineStr">
        <is>
          <t>vet_input</t>
        </is>
      </c>
      <c r="C518" t="inlineStr">
        <is>
          <t>Access to veterinary inputs [medicine for animals / tools for animal health / etc]</t>
        </is>
      </c>
    </row>
    <row r="519">
      <c r="A519" t="inlineStr">
        <is>
          <t>lsproddiff</t>
        </is>
      </c>
      <c r="B519" t="inlineStr">
        <is>
          <t>diseases</t>
        </is>
      </c>
      <c r="C519" t="inlineStr">
        <is>
          <t>Livestock diseases or injury</t>
        </is>
      </c>
    </row>
    <row r="520">
      <c r="A520" t="inlineStr">
        <is>
          <t>lsproddiff</t>
        </is>
      </c>
      <c r="B520" t="inlineStr">
        <is>
          <t>theft</t>
        </is>
      </c>
      <c r="C520" t="inlineStr">
        <is>
          <t>Livestock theft</t>
        </is>
      </c>
    </row>
    <row r="521">
      <c r="A521" t="inlineStr">
        <is>
          <t>lsproddiff</t>
        </is>
      </c>
      <c r="B521" t="inlineStr">
        <is>
          <t>access_market</t>
        </is>
      </c>
      <c r="C521" t="inlineStr">
        <is>
          <t>Access to livestock market to buy young animals</t>
        </is>
      </c>
    </row>
    <row r="522">
      <c r="A522" t="inlineStr">
        <is>
          <t>lsproddiff</t>
        </is>
      </c>
      <c r="B522" t="inlineStr">
        <is>
          <t>access_credit</t>
        </is>
      </c>
      <c r="C522" t="inlineStr">
        <is>
          <t>Access to credit</t>
        </is>
      </c>
    </row>
    <row r="523">
      <c r="A523" t="inlineStr">
        <is>
          <t>lsproddiff</t>
        </is>
      </c>
      <c r="B523" t="inlineStr">
        <is>
          <t>access_labour</t>
        </is>
      </c>
      <c r="C523" t="inlineStr">
        <is>
          <t>Access to manpower labour</t>
        </is>
      </c>
    </row>
    <row r="524">
      <c r="A524" t="inlineStr">
        <is>
          <t>lsproddiff</t>
        </is>
      </c>
      <c r="B524" t="inlineStr">
        <is>
          <t>other</t>
        </is>
      </c>
      <c r="C524" t="inlineStr">
        <is>
          <t>Other</t>
        </is>
      </c>
    </row>
    <row r="525">
      <c r="A525" t="inlineStr">
        <is>
          <t>lsproddiff</t>
        </is>
      </c>
      <c r="B525" t="inlineStr">
        <is>
          <t>dk</t>
        </is>
      </c>
      <c r="C525" t="inlineStr">
        <is>
          <t>DON'T KNOW</t>
        </is>
      </c>
    </row>
    <row r="526">
      <c r="A526" t="inlineStr">
        <is>
          <t>lsproddiff</t>
        </is>
      </c>
      <c r="B526" t="inlineStr">
        <is>
          <t>ref</t>
        </is>
      </c>
      <c r="C526" t="inlineStr">
        <is>
          <t>REFUSED</t>
        </is>
      </c>
    </row>
    <row r="527"/>
    <row r="528" ht="16" customHeight="1">
      <c r="A528" t="inlineStr">
        <is>
          <t>o_pastures</t>
        </is>
      </c>
      <c r="B528" t="n">
        <v>1</v>
      </c>
      <c r="C528" t="inlineStr">
        <is>
          <t>good</t>
        </is>
      </c>
    </row>
    <row r="529" ht="16" customHeight="1">
      <c r="A529" t="inlineStr">
        <is>
          <t>o_pastures</t>
        </is>
      </c>
      <c r="B529" t="n">
        <v>2</v>
      </c>
      <c r="C529" t="inlineStr">
        <is>
          <t>normal</t>
        </is>
      </c>
    </row>
    <row r="530" ht="16" customHeight="1">
      <c r="A530" t="inlineStr">
        <is>
          <t>o_pastures</t>
        </is>
      </c>
      <c r="B530" t="n">
        <v>3</v>
      </c>
      <c r="C530" t="inlineStr">
        <is>
          <t>poor</t>
        </is>
      </c>
    </row>
    <row r="531" ht="16" customHeight="1">
      <c r="A531" t="inlineStr">
        <is>
          <t>o_pastures</t>
        </is>
      </c>
      <c r="B531" t="n">
        <v>4</v>
      </c>
      <c r="C531" t="inlineStr">
        <is>
          <t>so poor that I had to migrate</t>
        </is>
      </c>
    </row>
    <row r="532"/>
    <row r="533">
      <c r="A533" t="inlineStr">
        <is>
          <t>lsmain2</t>
        </is>
      </c>
      <c r="B533" t="n">
        <v>1</v>
      </c>
      <c r="C533" t="inlineStr">
        <is>
          <t>Cattle [cow / beef / veal / yak / buffalo]</t>
        </is>
      </c>
    </row>
    <row r="534">
      <c r="A534" t="inlineStr">
        <is>
          <t>lsmain2</t>
        </is>
      </c>
      <c r="B534" t="n">
        <v>2</v>
      </c>
      <c r="C534" t="inlineStr">
        <is>
          <t>Goat</t>
        </is>
      </c>
    </row>
    <row r="535">
      <c r="A535" t="inlineStr">
        <is>
          <t>lsmain2</t>
        </is>
      </c>
      <c r="B535" t="n">
        <v>3</v>
      </c>
      <c r="C535" t="inlineStr">
        <is>
          <t>Sheep</t>
        </is>
      </c>
    </row>
    <row r="536">
      <c r="A536" t="inlineStr">
        <is>
          <t>lsmain2</t>
        </is>
      </c>
      <c r="B536" t="n">
        <v>4</v>
      </c>
      <c r="C536" t="inlineStr">
        <is>
          <t>Swine [swine / boar / hog / etc]</t>
        </is>
      </c>
    </row>
    <row r="537">
      <c r="A537" t="inlineStr">
        <is>
          <t>lsmain2</t>
        </is>
      </c>
      <c r="B537" t="n">
        <v>5</v>
      </c>
      <c r="C537" t="inlineStr">
        <is>
          <t>Equine [donkey / horse / etc]</t>
        </is>
      </c>
    </row>
    <row r="538">
      <c r="A538" t="inlineStr">
        <is>
          <t>lsmain2</t>
        </is>
      </c>
      <c r="B538" t="n">
        <v>6</v>
      </c>
      <c r="C538" t="inlineStr">
        <is>
          <t>Small domesticated mammals [rabbits / minks / guinea pigs / etc]</t>
        </is>
      </c>
    </row>
    <row r="539">
      <c r="A539" t="inlineStr">
        <is>
          <t>lsmain2</t>
        </is>
      </c>
      <c r="B539" t="n">
        <v>7</v>
      </c>
      <c r="C539" t="inlineStr">
        <is>
          <t>Poultry [chicken / guineafowl / duck / quail / turkey / etc]</t>
        </is>
      </c>
    </row>
    <row r="540">
      <c r="A540" t="inlineStr">
        <is>
          <t>lsmain2</t>
        </is>
      </c>
      <c r="B540" t="n">
        <v>8</v>
      </c>
      <c r="C540" t="inlineStr">
        <is>
          <t>Camelids</t>
        </is>
      </c>
    </row>
    <row r="541">
      <c r="A541" t="inlineStr">
        <is>
          <t>lsmain2</t>
        </is>
      </c>
      <c r="B541" t="n">
        <v>9</v>
      </c>
      <c r="C541" t="inlineStr">
        <is>
          <t>Other</t>
        </is>
      </c>
    </row>
    <row r="542">
      <c r="A542" t="inlineStr">
        <is>
          <t>lsmain2</t>
        </is>
      </c>
      <c r="B542" t="n">
        <v>666</v>
      </c>
      <c r="C542" t="inlineStr">
        <is>
          <t>No other livestock</t>
        </is>
      </c>
    </row>
    <row r="543">
      <c r="A543" t="inlineStr">
        <is>
          <t>lsmain2</t>
        </is>
      </c>
      <c r="B543" t="n">
        <v>10</v>
      </c>
      <c r="C543" t="inlineStr">
        <is>
          <t>DON'T KNOW</t>
        </is>
      </c>
    </row>
    <row r="544">
      <c r="A544" t="inlineStr">
        <is>
          <t>lsmain2</t>
        </is>
      </c>
      <c r="B544" t="n">
        <v>11</v>
      </c>
      <c r="C544" t="inlineStr">
        <is>
          <t>REFUSED</t>
        </is>
      </c>
    </row>
    <row r="545"/>
    <row r="546">
      <c r="A546" t="inlineStr">
        <is>
          <t>salesmain</t>
        </is>
      </c>
      <c r="B546" t="n">
        <v>1</v>
      </c>
      <c r="C546" t="inlineStr">
        <is>
          <t>Cattle [cow / beef / veal / yak / buffalo]</t>
        </is>
      </c>
    </row>
    <row r="547">
      <c r="A547" t="inlineStr">
        <is>
          <t>salesmain</t>
        </is>
      </c>
      <c r="B547" t="n">
        <v>2</v>
      </c>
      <c r="C547" t="inlineStr">
        <is>
          <t>Goat</t>
        </is>
      </c>
    </row>
    <row r="548">
      <c r="A548" t="inlineStr">
        <is>
          <t>salesmain</t>
        </is>
      </c>
      <c r="B548" t="n">
        <v>3</v>
      </c>
      <c r="C548" t="inlineStr">
        <is>
          <t>Sheep</t>
        </is>
      </c>
    </row>
    <row r="549">
      <c r="A549" t="inlineStr">
        <is>
          <t>salesmain</t>
        </is>
      </c>
      <c r="B549" t="n">
        <v>4</v>
      </c>
      <c r="C549" t="inlineStr">
        <is>
          <t>Swine [swine / boar / hog / etc]</t>
        </is>
      </c>
    </row>
    <row r="550">
      <c r="A550" t="inlineStr">
        <is>
          <t>salesmain</t>
        </is>
      </c>
      <c r="B550" t="n">
        <v>5</v>
      </c>
      <c r="C550" t="inlineStr">
        <is>
          <t>Equine [donkey / horse / etc.]</t>
        </is>
      </c>
    </row>
    <row r="551">
      <c r="A551" t="inlineStr">
        <is>
          <t>salesmain</t>
        </is>
      </c>
      <c r="B551" t="n">
        <v>6</v>
      </c>
      <c r="C551" t="inlineStr">
        <is>
          <t>Small domesticated mammals [rabbits / minks / guinea pigs / etc]</t>
        </is>
      </c>
    </row>
    <row r="552">
      <c r="A552" t="inlineStr">
        <is>
          <t>salesmain</t>
        </is>
      </c>
      <c r="B552" t="n">
        <v>7</v>
      </c>
      <c r="C552" t="inlineStr">
        <is>
          <t>Poultry [chicken / guineafowl / duck / quail / turkey / etc.]</t>
        </is>
      </c>
    </row>
    <row r="553">
      <c r="A553" t="inlineStr">
        <is>
          <t>salesmain</t>
        </is>
      </c>
      <c r="B553" t="n">
        <v>8</v>
      </c>
      <c r="C553" t="inlineStr">
        <is>
          <t>Camelids</t>
        </is>
      </c>
    </row>
    <row r="554">
      <c r="A554" t="inlineStr">
        <is>
          <t>salesmain</t>
        </is>
      </c>
      <c r="B554" t="n">
        <v>9</v>
      </c>
      <c r="C554" t="inlineStr">
        <is>
          <t>Eggs</t>
        </is>
      </c>
    </row>
    <row r="555">
      <c r="A555" t="inlineStr">
        <is>
          <t>salesmain</t>
        </is>
      </c>
      <c r="B555" t="n">
        <v>10</v>
      </c>
      <c r="C555" t="inlineStr">
        <is>
          <t>Milk or dairy products</t>
        </is>
      </c>
    </row>
    <row r="556">
      <c r="A556" t="inlineStr">
        <is>
          <t>salesmain</t>
        </is>
      </c>
      <c r="B556" t="n">
        <v>11</v>
      </c>
      <c r="C556" t="inlineStr">
        <is>
          <t>Skin or leather or wool</t>
        </is>
      </c>
    </row>
    <row r="557">
      <c r="A557" t="inlineStr">
        <is>
          <t>salesmain</t>
        </is>
      </c>
      <c r="B557" t="n">
        <v>12</v>
      </c>
      <c r="C557" t="inlineStr">
        <is>
          <t>DON'T KNOW</t>
        </is>
      </c>
    </row>
    <row r="558">
      <c r="A558" t="inlineStr">
        <is>
          <t>salesmain</t>
        </is>
      </c>
      <c r="B558" t="n">
        <v>13</v>
      </c>
      <c r="C558" t="inlineStr">
        <is>
          <t>REFUSED</t>
        </is>
      </c>
    </row>
    <row r="559"/>
    <row r="560" ht="16" customHeight="1">
      <c r="A560" t="inlineStr">
        <is>
          <t>lssalesdif</t>
        </is>
      </c>
      <c r="B560" t="inlineStr">
        <is>
          <t>marketing_cost</t>
        </is>
      </c>
      <c r="C560" t="inlineStr">
        <is>
          <t>High transportation or other marketing costs</t>
        </is>
      </c>
    </row>
    <row r="561" ht="16" customHeight="1">
      <c r="A561" t="inlineStr">
        <is>
          <t>lssalesdif</t>
        </is>
      </c>
      <c r="B561" t="inlineStr">
        <is>
          <t>damage_losses</t>
        </is>
      </c>
      <c r="C561" t="inlineStr">
        <is>
          <t>Other difficulties accessing the market [e.g. insecurity, poor infrastructure, etc.]</t>
        </is>
      </c>
    </row>
    <row r="562" ht="16" customHeight="1">
      <c r="A562" t="inlineStr">
        <is>
          <t>lssalesdif</t>
        </is>
      </c>
      <c r="B562" t="inlineStr">
        <is>
          <t>low_demand</t>
        </is>
      </c>
      <c r="C562" t="inlineStr">
        <is>
          <t>Lack of demand from usual traders or buyers</t>
        </is>
      </c>
    </row>
    <row r="563" ht="16" customHeight="1">
      <c r="A563" t="inlineStr">
        <is>
          <t>lssalesdif</t>
        </is>
      </c>
      <c r="B563" t="inlineStr">
        <is>
          <t>pay_delay</t>
        </is>
      </c>
      <c r="C563" t="inlineStr">
        <is>
          <t>Payment delays from traders / buyers</t>
        </is>
      </c>
    </row>
    <row r="564" ht="16" customHeight="1">
      <c r="A564" t="inlineStr">
        <is>
          <t>lssalesdif</t>
        </is>
      </c>
      <c r="B564" t="inlineStr">
        <is>
          <t>low_price</t>
        </is>
      </c>
      <c r="C564" t="inlineStr">
        <is>
          <t>Low selling prices [e.g. compared to input prices / inflation]</t>
        </is>
      </c>
    </row>
    <row r="565" ht="16" customHeight="1">
      <c r="A565" t="inlineStr">
        <is>
          <t>lssalesdif</t>
        </is>
      </c>
      <c r="B565" t="inlineStr">
        <is>
          <t>slaughterhouse</t>
        </is>
      </c>
      <c r="C565" t="inlineStr">
        <is>
          <t>Closure of slaughterhouses or difficulties accessing slaughterhouses</t>
        </is>
      </c>
    </row>
    <row r="566" ht="16" customHeight="1">
      <c r="A566" t="inlineStr">
        <is>
          <t>lssalesdif</t>
        </is>
      </c>
      <c r="B566" t="inlineStr">
        <is>
          <t>processing</t>
        </is>
      </c>
      <c r="C566" t="inlineStr">
        <is>
          <t>Difficulties processing product other than closure of slaughterhouse [lack of access to processing inputs / equipment / etc]</t>
        </is>
      </c>
    </row>
    <row r="567" ht="16" customHeight="1">
      <c r="A567" t="inlineStr">
        <is>
          <t>lssalesdif</t>
        </is>
      </c>
      <c r="B567" t="inlineStr">
        <is>
          <t>competition</t>
        </is>
      </c>
      <c r="C567" t="inlineStr">
        <is>
          <t>Market flooded with products</t>
        </is>
      </c>
    </row>
    <row r="568" ht="16" customHeight="1">
      <c r="A568" t="inlineStr">
        <is>
          <t>lssalesdif</t>
        </is>
      </c>
      <c r="B568" t="inlineStr">
        <is>
          <t>other</t>
        </is>
      </c>
      <c r="C568" t="inlineStr">
        <is>
          <t>Other</t>
        </is>
      </c>
    </row>
    <row r="569" ht="16" customHeight="1">
      <c r="A569" t="inlineStr">
        <is>
          <t>lssalesdif</t>
        </is>
      </c>
      <c r="B569" t="inlineStr">
        <is>
          <t>dk</t>
        </is>
      </c>
      <c r="C569" t="inlineStr">
        <is>
          <t>DON'T KNOW</t>
        </is>
      </c>
    </row>
    <row r="570" ht="16" customHeight="1">
      <c r="A570" t="inlineStr">
        <is>
          <t>lssalesdif</t>
        </is>
      </c>
      <c r="B570" t="inlineStr">
        <is>
          <t>ref</t>
        </is>
      </c>
      <c r="C570" t="inlineStr">
        <is>
          <t>REFUSED</t>
        </is>
      </c>
    </row>
    <row r="571" ht="16" customHeight="1"/>
    <row r="572">
      <c r="A572" t="inlineStr">
        <is>
          <t>fishactivity</t>
        </is>
      </c>
      <c r="B572" t="inlineStr">
        <is>
          <t>coastal</t>
        </is>
      </c>
      <c r="C572" t="inlineStr">
        <is>
          <t>Near coastal, delta, lagoon fishing</t>
        </is>
      </c>
    </row>
    <row r="573">
      <c r="A573" t="inlineStr">
        <is>
          <t>fishactivity</t>
        </is>
      </c>
      <c r="B573" t="inlineStr">
        <is>
          <t>offshore_sea</t>
        </is>
      </c>
      <c r="C573" t="inlineStr">
        <is>
          <t>Offshore sea fishing</t>
        </is>
      </c>
    </row>
    <row r="574">
      <c r="A574" t="inlineStr">
        <is>
          <t>fishactivity</t>
        </is>
      </c>
      <c r="B574" t="inlineStr">
        <is>
          <t>freshwater</t>
        </is>
      </c>
      <c r="C574" t="inlineStr">
        <is>
          <t>Freshwater fishing [in lakes, reservoirs, ponds, rivers, or wetlands]</t>
        </is>
      </c>
    </row>
    <row r="575">
      <c r="A575" t="inlineStr">
        <is>
          <t>fishactivity</t>
        </is>
      </c>
      <c r="B575" t="inlineStr">
        <is>
          <t>aquaculture</t>
        </is>
      </c>
      <c r="C575" t="inlineStr">
        <is>
          <t>Aquaculture</t>
        </is>
      </c>
    </row>
    <row r="576">
      <c r="A576" t="inlineStr">
        <is>
          <t>fishactivity</t>
        </is>
      </c>
      <c r="B576" t="inlineStr">
        <is>
          <t>dk</t>
        </is>
      </c>
      <c r="C576" t="inlineStr">
        <is>
          <t>DON'T KNOW</t>
        </is>
      </c>
    </row>
    <row r="577">
      <c r="A577" t="inlineStr">
        <is>
          <t>fishactivity</t>
        </is>
      </c>
      <c r="B577" t="inlineStr">
        <is>
          <t>ref</t>
        </is>
      </c>
      <c r="C577" t="inlineStr">
        <is>
          <t>REFUSED</t>
        </is>
      </c>
    </row>
    <row r="578"/>
    <row r="579">
      <c r="A579" t="inlineStr">
        <is>
          <t>fishproddiff</t>
        </is>
      </c>
      <c r="B579" t="inlineStr">
        <is>
          <t>find_fish</t>
        </is>
      </c>
      <c r="C579" t="inlineStr">
        <is>
          <t>Fish is more difficult to find than in previous years in the same season [fishing]</t>
        </is>
      </c>
    </row>
    <row r="580">
      <c r="A580" t="inlineStr">
        <is>
          <t>fishproddiff</t>
        </is>
      </c>
      <c r="B580" t="inlineStr">
        <is>
          <t>pests</t>
        </is>
      </c>
      <c r="C580" t="inlineStr">
        <is>
          <t>Fish pests and diseases [aquaculture]</t>
        </is>
      </c>
    </row>
    <row r="581">
      <c r="A581" t="inlineStr">
        <is>
          <t>fishproddiff</t>
        </is>
      </c>
      <c r="B581" t="inlineStr">
        <is>
          <t>access_area</t>
        </is>
      </c>
      <c r="C581" t="inlineStr">
        <is>
          <t>Access to fishing or aquaculture area [e.g. due to weather conditions]</t>
        </is>
      </c>
    </row>
    <row r="582">
      <c r="A582" t="inlineStr">
        <is>
          <t>fishproddiff</t>
        </is>
      </c>
      <c r="B582" t="inlineStr">
        <is>
          <t>fuel</t>
        </is>
      </c>
      <c r="C582" t="inlineStr">
        <is>
          <t>Access to fuel [prices higher or not available]</t>
        </is>
      </c>
    </row>
    <row r="583">
      <c r="A583" t="inlineStr">
        <is>
          <t>fishproddiff</t>
        </is>
      </c>
      <c r="B583" t="inlineStr">
        <is>
          <t>input_access</t>
        </is>
      </c>
      <c r="C583" t="inlineStr">
        <is>
          <t>Access to other fishing or culture inputs [prices higher or not available]</t>
        </is>
      </c>
    </row>
    <row r="584">
      <c r="A584" t="inlineStr">
        <is>
          <t>fishproddiff</t>
        </is>
      </c>
      <c r="B584" t="inlineStr">
        <is>
          <t>labour</t>
        </is>
      </c>
      <c r="C584" t="inlineStr">
        <is>
          <t>Access to labour or crew labour [prices higher or not available]</t>
        </is>
      </c>
    </row>
    <row r="585">
      <c r="A585" t="inlineStr">
        <is>
          <t>fishproddiff</t>
        </is>
      </c>
      <c r="B585" t="inlineStr">
        <is>
          <t>infrastructure</t>
        </is>
      </c>
      <c r="C585" t="inlineStr">
        <is>
          <t>Damage or destruction of infrastructure [ponds, cages, ports, landing sites]</t>
        </is>
      </c>
    </row>
    <row r="586">
      <c r="A586" t="inlineStr">
        <is>
          <t>fishproddiff</t>
        </is>
      </c>
      <c r="B586" t="inlineStr">
        <is>
          <t>damage_equip</t>
        </is>
      </c>
      <c r="C586" t="inlineStr">
        <is>
          <t>Damage or destruction of boats or gears</t>
        </is>
      </c>
    </row>
    <row r="587">
      <c r="A587" t="inlineStr">
        <is>
          <t>fishproddiff</t>
        </is>
      </c>
      <c r="B587" t="inlineStr">
        <is>
          <t>other</t>
        </is>
      </c>
      <c r="C587" t="inlineStr">
        <is>
          <t>Other [specify]</t>
        </is>
      </c>
    </row>
    <row r="588">
      <c r="A588" t="inlineStr">
        <is>
          <t>fishproddiff</t>
        </is>
      </c>
      <c r="B588" t="inlineStr">
        <is>
          <t>dk</t>
        </is>
      </c>
      <c r="C588" t="inlineStr">
        <is>
          <t>DON'T KNOW</t>
        </is>
      </c>
    </row>
    <row r="589">
      <c r="A589" t="inlineStr">
        <is>
          <t>fishproddiff</t>
        </is>
      </c>
      <c r="B589" t="inlineStr">
        <is>
          <t>ref</t>
        </is>
      </c>
      <c r="C589" t="inlineStr">
        <is>
          <t>REFUSED</t>
        </is>
      </c>
    </row>
    <row r="590"/>
    <row r="591" customFormat="1" s="14">
      <c r="A591" t="inlineStr">
        <is>
          <t>fishinput</t>
        </is>
      </c>
      <c r="B591" t="inlineStr">
        <is>
          <t>bait_feed</t>
        </is>
      </c>
      <c r="C591" t="inlineStr">
        <is>
          <t>Feed or bait</t>
        </is>
      </c>
    </row>
    <row r="592" customFormat="1" s="14">
      <c r="A592" t="inlineStr">
        <is>
          <t>fishinput</t>
        </is>
      </c>
      <c r="B592" t="inlineStr">
        <is>
          <t>fingerling</t>
        </is>
      </c>
      <c r="C592" t="inlineStr">
        <is>
          <t>Fingerling</t>
        </is>
      </c>
    </row>
    <row r="593" customFormat="1" s="14">
      <c r="A593" t="inlineStr">
        <is>
          <t>fishinput</t>
        </is>
      </c>
      <c r="B593" t="inlineStr">
        <is>
          <t>gear</t>
        </is>
      </c>
      <c r="C593" t="inlineStr">
        <is>
          <t>Fishing gear [e.g. rods, hooks, nets]</t>
        </is>
      </c>
    </row>
    <row r="594" customFormat="1" s="14">
      <c r="A594" t="inlineStr">
        <is>
          <t>fishinput</t>
        </is>
      </c>
      <c r="B594" t="inlineStr">
        <is>
          <t>ice</t>
        </is>
      </c>
      <c r="C594" t="inlineStr">
        <is>
          <t>Ice</t>
        </is>
      </c>
    </row>
    <row r="595" customFormat="1" s="14">
      <c r="A595" t="inlineStr">
        <is>
          <t>fishinput</t>
        </is>
      </c>
      <c r="B595" t="inlineStr">
        <is>
          <t>fuel</t>
        </is>
      </c>
      <c r="C595" t="inlineStr">
        <is>
          <t>Fuel</t>
        </is>
      </c>
    </row>
    <row r="596" customFormat="1" s="14">
      <c r="A596" t="inlineStr">
        <is>
          <t>fishinput</t>
        </is>
      </c>
      <c r="B596" t="inlineStr">
        <is>
          <t>boatrepairs</t>
        </is>
      </c>
      <c r="C596" t="inlineStr">
        <is>
          <t>Equipment repairs [including boats] or spare parts</t>
        </is>
      </c>
    </row>
    <row r="597" customFormat="1" s="14">
      <c r="A597" t="inlineStr">
        <is>
          <t>fishinput</t>
        </is>
      </c>
      <c r="B597" t="inlineStr">
        <is>
          <t>labour</t>
        </is>
      </c>
      <c r="C597" t="inlineStr">
        <is>
          <t>Labour</t>
        </is>
      </c>
    </row>
    <row r="598" customFormat="1" s="14">
      <c r="A598" t="inlineStr">
        <is>
          <t>fishinput</t>
        </is>
      </c>
      <c r="B598" t="inlineStr">
        <is>
          <t>other</t>
        </is>
      </c>
      <c r="C598" t="inlineStr">
        <is>
          <t>Other [specify]</t>
        </is>
      </c>
    </row>
    <row r="599" customFormat="1" s="14">
      <c r="A599" t="inlineStr">
        <is>
          <t>fishinput</t>
        </is>
      </c>
      <c r="B599" t="inlineStr">
        <is>
          <t>dk</t>
        </is>
      </c>
      <c r="C599" t="inlineStr">
        <is>
          <t>DON'T KNOW</t>
        </is>
      </c>
    </row>
    <row r="600" customFormat="1" s="14">
      <c r="A600" t="inlineStr">
        <is>
          <t>fishinput</t>
        </is>
      </c>
      <c r="B600" t="inlineStr">
        <is>
          <t>ref</t>
        </is>
      </c>
      <c r="C600" t="inlineStr">
        <is>
          <t>REFUSED</t>
        </is>
      </c>
    </row>
    <row r="601"/>
    <row r="602">
      <c r="A602" t="inlineStr">
        <is>
          <t>fishsales</t>
        </is>
      </c>
      <c r="B602" t="n">
        <v>1</v>
      </c>
      <c r="C602" t="inlineStr">
        <is>
          <t>Fresh product [any kind, including invertebrates]</t>
        </is>
      </c>
    </row>
    <row r="603">
      <c r="A603" t="inlineStr">
        <is>
          <t>fishsales</t>
        </is>
      </c>
      <c r="B603" t="n">
        <v>2</v>
      </c>
      <c r="C603" t="inlineStr">
        <is>
          <t>Preserved product [including dry, smoked, fermented, salted]</t>
        </is>
      </c>
    </row>
    <row r="604">
      <c r="A604" t="inlineStr">
        <is>
          <t>fishsales</t>
        </is>
      </c>
      <c r="B604" t="n">
        <v>3</v>
      </c>
      <c r="C604" t="inlineStr">
        <is>
          <t>Frozen product</t>
        </is>
      </c>
    </row>
    <row r="605">
      <c r="A605" t="inlineStr">
        <is>
          <t>fishsales</t>
        </is>
      </c>
      <c r="B605" t="n">
        <v>4</v>
      </c>
      <c r="C605" t="inlineStr">
        <is>
          <t>Canned product</t>
        </is>
      </c>
    </row>
    <row r="606">
      <c r="A606" t="inlineStr">
        <is>
          <t>fishsales</t>
        </is>
      </c>
      <c r="B606" t="n">
        <v>5</v>
      </c>
      <c r="C606" t="inlineStr">
        <is>
          <t>Other [specify]</t>
        </is>
      </c>
    </row>
    <row r="607">
      <c r="A607" t="inlineStr">
        <is>
          <t>fishsales</t>
        </is>
      </c>
      <c r="B607" t="n">
        <v>6</v>
      </c>
      <c r="C607" t="inlineStr">
        <is>
          <t>DON'T KNOW</t>
        </is>
      </c>
    </row>
    <row r="608">
      <c r="A608" t="inlineStr">
        <is>
          <t>fishsales</t>
        </is>
      </c>
      <c r="B608" t="n">
        <v>7</v>
      </c>
      <c r="C608" t="inlineStr">
        <is>
          <t>REFUSED</t>
        </is>
      </c>
    </row>
    <row r="609"/>
    <row r="610">
      <c r="A610" t="inlineStr">
        <is>
          <t>fishsalesdif</t>
        </is>
      </c>
      <c r="B610" t="inlineStr">
        <is>
          <t>marketing_cost</t>
        </is>
      </c>
      <c r="C610" t="inlineStr">
        <is>
          <t>High transportation or other marketing costs</t>
        </is>
      </c>
    </row>
    <row r="611">
      <c r="A611" t="inlineStr">
        <is>
          <t>fishsalesdif</t>
        </is>
      </c>
      <c r="B611" t="inlineStr">
        <is>
          <t>damage_losses</t>
        </is>
      </c>
      <c r="C611" t="inlineStr">
        <is>
          <t>Other difficulties accessing the market [e.g. insecurity, poor infrastructure, etc.]</t>
        </is>
      </c>
    </row>
    <row r="612">
      <c r="A612" t="inlineStr">
        <is>
          <t>fishsalesdif</t>
        </is>
      </c>
      <c r="B612" t="inlineStr">
        <is>
          <t>low_demand</t>
        </is>
      </c>
      <c r="C612" t="inlineStr">
        <is>
          <t>Lack of demand from usual buyers/traders</t>
        </is>
      </c>
    </row>
    <row r="613">
      <c r="A613" t="inlineStr">
        <is>
          <t>fishsalesdif</t>
        </is>
      </c>
      <c r="B613" t="inlineStr">
        <is>
          <t>pay_delay</t>
        </is>
      </c>
      <c r="C613" t="inlineStr">
        <is>
          <t xml:space="preserve">Payment delays from traders/buyers </t>
        </is>
      </c>
    </row>
    <row r="614">
      <c r="A614" t="inlineStr">
        <is>
          <t>fishsalesdif</t>
        </is>
      </c>
      <c r="B614" t="inlineStr">
        <is>
          <t>low_prices</t>
        </is>
      </c>
      <c r="C614" t="inlineStr">
        <is>
          <t>Low selling prices [e.g. compared to input prices / inflation]</t>
        </is>
      </c>
    </row>
    <row r="615">
      <c r="A615" t="inlineStr">
        <is>
          <t>fishsalesdif</t>
        </is>
      </c>
      <c r="B615" t="inlineStr">
        <is>
          <t>processing</t>
        </is>
      </c>
      <c r="C615" t="inlineStr">
        <is>
          <t>Difficulties processing product [lack of access to processing inputs / equipment / etc]</t>
        </is>
      </c>
    </row>
    <row r="616">
      <c r="A616" t="inlineStr">
        <is>
          <t>fishsalesdif</t>
        </is>
      </c>
      <c r="B616" t="inlineStr">
        <is>
          <t>competition</t>
        </is>
      </c>
      <c r="C616" t="inlineStr">
        <is>
          <t>Market flooded with product</t>
        </is>
      </c>
    </row>
    <row r="617">
      <c r="A617" t="inlineStr">
        <is>
          <t>fishsalesdif</t>
        </is>
      </c>
      <c r="B617" t="inlineStr">
        <is>
          <t>other</t>
        </is>
      </c>
      <c r="C617" t="inlineStr">
        <is>
          <t>Other</t>
        </is>
      </c>
    </row>
    <row r="618">
      <c r="A618" t="inlineStr">
        <is>
          <t>fishsalesdif</t>
        </is>
      </c>
      <c r="B618" t="inlineStr">
        <is>
          <t>dk</t>
        </is>
      </c>
      <c r="C618" t="inlineStr">
        <is>
          <t>DON'T KNOW</t>
        </is>
      </c>
    </row>
    <row r="619">
      <c r="A619" t="inlineStr">
        <is>
          <t>fishsalesdif</t>
        </is>
      </c>
      <c r="B619" t="inlineStr">
        <is>
          <t>ref</t>
        </is>
      </c>
      <c r="C619" t="inlineStr">
        <is>
          <t>REFUSED</t>
        </is>
      </c>
    </row>
    <row r="620"/>
    <row r="621">
      <c r="A621" t="inlineStr">
        <is>
          <t>frequency</t>
        </is>
      </c>
      <c r="B621" t="n">
        <v>1</v>
      </c>
      <c r="C621" t="inlineStr">
        <is>
          <t>Rarely (1-2 times in the past 30 days)</t>
        </is>
      </c>
    </row>
    <row r="622">
      <c r="A622" t="inlineStr">
        <is>
          <t>frequency</t>
        </is>
      </c>
      <c r="B622" t="n">
        <v>2</v>
      </c>
      <c r="C622" t="inlineStr">
        <is>
          <t>Sometimes (3-10 times in the past 30 days)</t>
        </is>
      </c>
    </row>
    <row r="623">
      <c r="A623" t="inlineStr">
        <is>
          <t>frequency</t>
        </is>
      </c>
      <c r="B623" t="n">
        <v>3</v>
      </c>
      <c r="C623" t="inlineStr">
        <is>
          <t>Often (more than 10 times in the last 30 days)</t>
        </is>
      </c>
    </row>
    <row r="624">
      <c r="A624" t="inlineStr">
        <is>
          <t>frequency</t>
        </is>
      </c>
      <c r="B624" t="n">
        <v>4</v>
      </c>
      <c r="C624" t="inlineStr">
        <is>
          <t xml:space="preserve">DON'T KNOW </t>
        </is>
      </c>
    </row>
    <row r="625">
      <c r="A625" t="inlineStr">
        <is>
          <t>frequency</t>
        </is>
      </c>
      <c r="B625" t="n">
        <v>5</v>
      </c>
      <c r="C625" t="inlineStr">
        <is>
          <t>REFUSED</t>
        </is>
      </c>
    </row>
    <row r="626"/>
    <row r="627">
      <c r="A627" t="inlineStr">
        <is>
          <t>coping</t>
        </is>
      </c>
      <c r="B627" t="n">
        <v>1</v>
      </c>
      <c r="C627" t="inlineStr">
        <is>
          <t>Yes</t>
        </is>
      </c>
    </row>
    <row r="628">
      <c r="A628" t="inlineStr">
        <is>
          <t>coping</t>
        </is>
      </c>
      <c r="B628" t="n">
        <v>2</v>
      </c>
      <c r="C628" t="inlineStr">
        <is>
          <t>No - because it wasn’t necessary</t>
        </is>
      </c>
    </row>
    <row r="629">
      <c r="A629" t="inlineStr">
        <is>
          <t>coping</t>
        </is>
      </c>
      <c r="B629" t="n">
        <v>3</v>
      </c>
      <c r="C629" t="inlineStr">
        <is>
          <t>No - because you already sold those assets or did this activity within the last 12 months and you cannot continue to do it</t>
        </is>
      </c>
    </row>
    <row r="630">
      <c r="A630" t="inlineStr">
        <is>
          <t>coping</t>
        </is>
      </c>
      <c r="B630" t="n">
        <v>4</v>
      </c>
      <c r="C630" t="inlineStr">
        <is>
          <t>Not applicable</t>
        </is>
      </c>
    </row>
    <row r="631">
      <c r="A631" t="inlineStr">
        <is>
          <t>coping</t>
        </is>
      </c>
      <c r="B631" t="n">
        <v>5</v>
      </c>
      <c r="C631" t="inlineStr">
        <is>
          <t>DON'T KNOW</t>
        </is>
      </c>
    </row>
    <row r="632">
      <c r="A632" t="inlineStr">
        <is>
          <t>coping</t>
        </is>
      </c>
      <c r="B632" t="n">
        <v>6</v>
      </c>
      <c r="C632" t="inlineStr">
        <is>
          <t>REFUSED</t>
        </is>
      </c>
    </row>
    <row r="633"/>
    <row r="634">
      <c r="A634" t="inlineStr">
        <is>
          <t>hdds</t>
        </is>
      </c>
      <c r="B634" t="inlineStr">
        <is>
          <t>cereals</t>
        </is>
      </c>
      <c r="C634" t="inlineStr">
        <is>
          <t>Cereals [sorghum / millet / corn / wheat / rice / spaghetti / bread or insert any other locally available grain]</t>
        </is>
      </c>
    </row>
    <row r="635">
      <c r="A635" t="inlineStr">
        <is>
          <t>hdds</t>
        </is>
      </c>
      <c r="B635" t="inlineStr">
        <is>
          <t>rootstubers</t>
        </is>
      </c>
      <c r="C635" t="inlineStr">
        <is>
          <t>Roots and tubers [white sweet potato / potato / yam / cassava or other tubers]</t>
        </is>
      </c>
    </row>
    <row r="636">
      <c r="A636" t="inlineStr">
        <is>
          <t>hdds</t>
        </is>
      </c>
      <c r="B636" t="inlineStr">
        <is>
          <t>vegetables</t>
        </is>
      </c>
      <c r="C636" t="inlineStr">
        <is>
          <t>Vegetables [all]</t>
        </is>
      </c>
    </row>
    <row r="637">
      <c r="A637" t="inlineStr">
        <is>
          <t>hdds</t>
        </is>
      </c>
      <c r="B637" t="inlineStr">
        <is>
          <t>fruits</t>
        </is>
      </c>
      <c r="C637" t="inlineStr">
        <is>
          <t>Fruit [all]</t>
        </is>
      </c>
    </row>
    <row r="638">
      <c r="A638" t="inlineStr">
        <is>
          <t>hdds</t>
        </is>
      </c>
      <c r="B638" t="inlineStr">
        <is>
          <t>meat</t>
        </is>
      </c>
      <c r="C638" t="inlineStr">
        <is>
          <t>Meat, poultry and offal [beef / pork / lamb /goat / rabbit / wild game / chicken / duck or other birds / liver / kidney / heart / or other organ meats]</t>
        </is>
      </c>
    </row>
    <row r="639">
      <c r="A639" t="inlineStr">
        <is>
          <t>hdds</t>
        </is>
      </c>
      <c r="B639" t="inlineStr">
        <is>
          <t>eggs</t>
        </is>
      </c>
      <c r="C639" t="inlineStr">
        <is>
          <t>Eggs</t>
        </is>
      </c>
    </row>
    <row r="640">
      <c r="A640" t="inlineStr">
        <is>
          <t>hdds</t>
        </is>
      </c>
      <c r="B640" t="inlineStr">
        <is>
          <t>fish</t>
        </is>
      </c>
      <c r="C640" t="inlineStr">
        <is>
          <t>Fish or shellfish [fresh or dried fish / other seafood]</t>
        </is>
      </c>
    </row>
    <row r="641">
      <c r="A641" t="inlineStr">
        <is>
          <t>hdds</t>
        </is>
      </c>
      <c r="B641" t="inlineStr">
        <is>
          <t>legumes</t>
        </is>
      </c>
      <c r="C641" t="inlineStr">
        <is>
          <t>Legumes, nuts and seeds [beans / peas / peanut / lentils / almond / and/or other nuts]</t>
        </is>
      </c>
    </row>
    <row r="642">
      <c r="A642" t="inlineStr">
        <is>
          <t>hdds</t>
        </is>
      </c>
      <c r="B642" t="inlineStr">
        <is>
          <t>milkdairy</t>
        </is>
      </c>
      <c r="C642" t="inlineStr">
        <is>
          <t>Milk and other dairy products [fresh milk / sour / yogurt / cheese / other dairy products]</t>
        </is>
      </c>
    </row>
    <row r="643">
      <c r="A643" t="inlineStr">
        <is>
          <t>hdds</t>
        </is>
      </c>
      <c r="B643" t="inlineStr">
        <is>
          <t>oils</t>
        </is>
      </c>
      <c r="C643" t="inlineStr">
        <is>
          <t>Oil/fat / butter [cooking / butter / margarine / fat/oil / other oil]</t>
        </is>
      </c>
    </row>
    <row r="644">
      <c r="A644" t="inlineStr">
        <is>
          <t>hdds</t>
        </is>
      </c>
      <c r="B644" t="inlineStr">
        <is>
          <t>sugar</t>
        </is>
      </c>
      <c r="C644" t="inlineStr">
        <is>
          <t>Sugar or sugary products [honey / jam / donuts / candy / biscuits / pastries / cakes and other sweet products]</t>
        </is>
      </c>
    </row>
    <row r="645">
      <c r="A645" t="inlineStr">
        <is>
          <t>hdds</t>
        </is>
      </c>
      <c r="B645" t="inlineStr">
        <is>
          <t>condiments</t>
        </is>
      </c>
      <c r="C645" t="inlineStr">
        <is>
          <t>Condiments [cocoa /salt / garlic / spices / yeast or baking powder / tomato or tomato sauce / meat or fish as a condiment] / coffee / tea</t>
        </is>
      </c>
    </row>
    <row r="646"/>
    <row r="647">
      <c r="A647" t="inlineStr">
        <is>
          <t>marketaccess</t>
        </is>
      </c>
      <c r="B647" t="inlineStr">
        <is>
          <t>no</t>
        </is>
      </c>
      <c r="C647" t="inlineStr">
        <is>
          <t>No</t>
        </is>
      </c>
    </row>
    <row r="648">
      <c r="A648" t="inlineStr">
        <is>
          <t>marketaccess</t>
        </is>
      </c>
      <c r="B648" t="inlineStr">
        <is>
          <t>yes_inputsmarket</t>
        </is>
      </c>
      <c r="C648" t="inlineStr">
        <is>
          <t>Yes, for inputs markets</t>
        </is>
      </c>
    </row>
    <row r="649">
      <c r="A649" t="inlineStr">
        <is>
          <t>marketaccess</t>
        </is>
      </c>
      <c r="B649" t="inlineStr">
        <is>
          <t>yes_outputmarket</t>
        </is>
      </c>
      <c r="C649" t="inlineStr">
        <is>
          <t>Yes, for output markets</t>
        </is>
      </c>
    </row>
    <row r="650">
      <c r="A650" t="inlineStr">
        <is>
          <t>marketaccess</t>
        </is>
      </c>
      <c r="B650" t="inlineStr">
        <is>
          <t>yes_foodmarket</t>
        </is>
      </c>
      <c r="C650" t="inlineStr">
        <is>
          <t>Yes, for food markets</t>
        </is>
      </c>
    </row>
    <row r="651"/>
    <row r="652"/>
    <row r="653">
      <c r="A653" t="inlineStr">
        <is>
          <t>needs</t>
        </is>
      </c>
      <c r="B653" t="inlineStr">
        <is>
          <t>food</t>
        </is>
      </c>
      <c r="C653" t="inlineStr">
        <is>
          <t>Food</t>
        </is>
      </c>
    </row>
    <row r="654">
      <c r="A654" t="inlineStr">
        <is>
          <t>needs</t>
        </is>
      </c>
      <c r="B654" t="inlineStr">
        <is>
          <t>cash</t>
        </is>
      </c>
      <c r="C654" t="inlineStr">
        <is>
          <t>Cash</t>
        </is>
      </c>
    </row>
    <row r="655">
      <c r="A655" t="inlineStr">
        <is>
          <t>needs</t>
        </is>
      </c>
      <c r="B655" t="inlineStr">
        <is>
          <t>vouchers_fair</t>
        </is>
      </c>
      <c r="C655" t="inlineStr">
        <is>
          <t>Vouchers or input trade fairs</t>
        </is>
      </c>
    </row>
    <row r="656">
      <c r="A656" t="inlineStr">
        <is>
          <t>needs</t>
        </is>
      </c>
      <c r="B656" t="inlineStr">
        <is>
          <t>crop_inputs</t>
        </is>
      </c>
      <c r="C656" t="inlineStr">
        <is>
          <t>Inputs for crop and/or vegetable production [e.g. seeds, fertilizer, tools]</t>
        </is>
      </c>
    </row>
    <row r="657">
      <c r="A657" t="inlineStr">
        <is>
          <t>needs</t>
        </is>
      </c>
      <c r="B657" t="inlineStr">
        <is>
          <t>crop_infrastructure</t>
        </is>
      </c>
      <c r="C657" t="inlineStr">
        <is>
          <t>Infrastructure for crop and/or vegetable production [e.g. irrigation, canal rehabilitation, pumps]</t>
        </is>
      </c>
    </row>
    <row r="658">
      <c r="A658" t="inlineStr">
        <is>
          <t>needs</t>
        </is>
      </c>
      <c r="B658" t="inlineStr">
        <is>
          <t>crop_knowledge</t>
        </is>
      </c>
      <c r="C658" t="inlineStr">
        <is>
          <t>Training &amp; technical knowledge/advice for crop production</t>
        </is>
      </c>
    </row>
    <row r="659">
      <c r="A659" t="inlineStr">
        <is>
          <t>needs</t>
        </is>
      </c>
      <c r="B659" t="inlineStr">
        <is>
          <t>ls_feed</t>
        </is>
      </c>
      <c r="C659" t="inlineStr">
        <is>
          <t>Livestock feed [fodder or supplementary feed]</t>
        </is>
      </c>
    </row>
    <row r="660">
      <c r="A660" t="inlineStr">
        <is>
          <t>needs</t>
        </is>
      </c>
      <c r="B660" t="inlineStr">
        <is>
          <t>ls_vet_service</t>
        </is>
      </c>
      <c r="C660" t="inlineStr">
        <is>
          <t>Veterinary services [e.g. vaccination, dips, deworming]</t>
        </is>
      </c>
    </row>
    <row r="661">
      <c r="A661" t="inlineStr">
        <is>
          <t>needs</t>
        </is>
      </c>
      <c r="B661" t="inlineStr">
        <is>
          <t>ls_infrastructure</t>
        </is>
      </c>
      <c r="C661" t="inlineStr">
        <is>
          <t>Infrastructure for livestock [e.g. water points, transhumance corridors, shelter, health points]</t>
        </is>
      </c>
    </row>
    <row r="662">
      <c r="A662" t="inlineStr">
        <is>
          <t>needs</t>
        </is>
      </c>
      <c r="B662" t="inlineStr">
        <is>
          <t>ls_knowledge</t>
        </is>
      </c>
      <c r="C662" t="inlineStr">
        <is>
          <t>Training &amp; technical knowledge/advice for livestock production</t>
        </is>
      </c>
    </row>
    <row r="663">
      <c r="A663" t="inlineStr">
        <is>
          <t>needs</t>
        </is>
      </c>
      <c r="B663" t="inlineStr">
        <is>
          <t>fish_inputs</t>
        </is>
      </c>
      <c r="C663" t="inlineStr">
        <is>
          <t>Inputs for fishing or aquaculture production</t>
        </is>
      </c>
    </row>
    <row r="664">
      <c r="A664" t="inlineStr">
        <is>
          <t>needs</t>
        </is>
      </c>
      <c r="B664" t="inlineStr">
        <is>
          <t>fish_infrastructure</t>
        </is>
      </c>
      <c r="C664" t="inlineStr">
        <is>
          <t>Infrastructure for fisheries or aquaculture production [e.g. rehabilitation of port; repair of ponds]</t>
        </is>
      </c>
    </row>
    <row r="665">
      <c r="A665" t="inlineStr">
        <is>
          <t>needs</t>
        </is>
      </c>
      <c r="B665" t="inlineStr">
        <is>
          <t>fish_knowledge</t>
        </is>
      </c>
      <c r="C665" t="inlineStr">
        <is>
          <t>Training &amp; technical knowledge/advice for fisheries or aquaculture production</t>
        </is>
      </c>
    </row>
    <row r="666">
      <c r="A666" t="inlineStr">
        <is>
          <t>needs</t>
        </is>
      </c>
      <c r="B666" t="inlineStr">
        <is>
          <t>env_infra_rehab</t>
        </is>
      </c>
      <c r="C666" t="inlineStr">
        <is>
          <t>Environmental or infrastructure rehabilitation [community-wide]</t>
        </is>
      </c>
    </row>
    <row r="667">
      <c r="A667" t="inlineStr">
        <is>
          <t>needs</t>
        </is>
      </c>
      <c r="B667" t="inlineStr">
        <is>
          <t>cold_storage</t>
        </is>
      </c>
      <c r="C667" t="inlineStr">
        <is>
          <t>Cold storage</t>
        </is>
      </c>
    </row>
    <row r="668">
      <c r="A668" t="inlineStr">
        <is>
          <t>needs</t>
        </is>
      </c>
      <c r="B668" t="inlineStr">
        <is>
          <t>marketing_supp</t>
        </is>
      </c>
      <c r="C668" t="inlineStr">
        <is>
          <t>Marketing or sales support [e.g. public procurement]</t>
        </is>
      </c>
    </row>
    <row r="669">
      <c r="A669" t="inlineStr">
        <is>
          <t>needs</t>
        </is>
      </c>
      <c r="B669" t="inlineStr">
        <is>
          <t>other</t>
        </is>
      </c>
      <c r="C669" t="inlineStr">
        <is>
          <t>Other [specify]</t>
        </is>
      </c>
    </row>
    <row r="670">
      <c r="A670" t="inlineStr">
        <is>
          <t>needs</t>
        </is>
      </c>
      <c r="B670" t="inlineStr">
        <is>
          <t>dk</t>
        </is>
      </c>
      <c r="C670" t="inlineStr">
        <is>
          <t>DON'T KNOW</t>
        </is>
      </c>
    </row>
    <row r="671">
      <c r="A671" t="inlineStr">
        <is>
          <t>needs</t>
        </is>
      </c>
      <c r="B671" t="inlineStr">
        <is>
          <t>ref</t>
        </is>
      </c>
      <c r="C671" t="inlineStr">
        <is>
          <t>REFUSED</t>
        </is>
      </c>
    </row>
    <row r="672"/>
    <row r="673">
      <c r="A673" t="inlineStr">
        <is>
          <t>needreceived</t>
        </is>
      </c>
      <c r="B673" t="inlineStr">
        <is>
          <t>food</t>
        </is>
      </c>
      <c r="C673" t="inlineStr">
        <is>
          <t>Food</t>
        </is>
      </c>
    </row>
    <row r="674">
      <c r="A674" t="inlineStr">
        <is>
          <t>needreceived</t>
        </is>
      </c>
      <c r="B674" t="inlineStr">
        <is>
          <t>cash</t>
        </is>
      </c>
      <c r="C674" t="inlineStr">
        <is>
          <t xml:space="preserve">Cash </t>
        </is>
      </c>
    </row>
    <row r="675">
      <c r="A675" t="inlineStr">
        <is>
          <t>needreceived</t>
        </is>
      </c>
      <c r="B675" t="inlineStr">
        <is>
          <t>vouchers_fair</t>
        </is>
      </c>
      <c r="C675" t="inlineStr">
        <is>
          <t>Vouchers/input trade fairs</t>
        </is>
      </c>
    </row>
    <row r="676">
      <c r="A676" t="inlineStr">
        <is>
          <t>needreceived</t>
        </is>
      </c>
      <c r="B676" t="inlineStr">
        <is>
          <t>crop_assist</t>
        </is>
      </c>
      <c r="C676" t="inlineStr">
        <is>
          <t>Crop and/or vegetable production assistance</t>
        </is>
      </c>
    </row>
    <row r="677">
      <c r="A677" t="inlineStr">
        <is>
          <t>needreceived</t>
        </is>
      </c>
      <c r="B677" t="inlineStr">
        <is>
          <t>ls_assist</t>
        </is>
      </c>
      <c r="C677" t="inlineStr">
        <is>
          <t>Livestock assistance</t>
        </is>
      </c>
    </row>
    <row r="678">
      <c r="A678" t="inlineStr">
        <is>
          <t>needreceived</t>
        </is>
      </c>
      <c r="B678" t="inlineStr">
        <is>
          <t>fish_assist</t>
        </is>
      </c>
      <c r="C678" t="inlineStr">
        <is>
          <t>Fisheries and/or aquaculture assistance</t>
        </is>
      </c>
    </row>
    <row r="679">
      <c r="A679" t="inlineStr">
        <is>
          <t>needreceived</t>
        </is>
      </c>
      <c r="B679" t="inlineStr">
        <is>
          <t>rehabilitation</t>
        </is>
      </c>
      <c r="C679" t="inlineStr">
        <is>
          <t>Environmental or infrastructure rehabilitation [community-wide]</t>
        </is>
      </c>
    </row>
    <row r="680">
      <c r="A680" t="inlineStr">
        <is>
          <t>needreceived</t>
        </is>
      </c>
      <c r="B680" t="inlineStr">
        <is>
          <t>sales_support</t>
        </is>
      </c>
      <c r="C680" t="inlineStr">
        <is>
          <t>Marketing or sales support [e.g. public procurement]</t>
        </is>
      </c>
    </row>
    <row r="681">
      <c r="A681" t="inlineStr">
        <is>
          <t>needreceived</t>
        </is>
      </c>
      <c r="B681" t="inlineStr">
        <is>
          <t>other</t>
        </is>
      </c>
      <c r="C681" t="inlineStr">
        <is>
          <t>Other [specify]</t>
        </is>
      </c>
    </row>
    <row r="682">
      <c r="A682" t="inlineStr">
        <is>
          <t>needreceived</t>
        </is>
      </c>
      <c r="B682" t="inlineStr">
        <is>
          <t>none</t>
        </is>
      </c>
      <c r="C682" t="inlineStr">
        <is>
          <t>No assistance received</t>
        </is>
      </c>
    </row>
    <row r="683">
      <c r="A683" t="inlineStr">
        <is>
          <t>needreceived</t>
        </is>
      </c>
      <c r="B683" t="inlineStr">
        <is>
          <t>dk</t>
        </is>
      </c>
      <c r="C683" t="inlineStr">
        <is>
          <t xml:space="preserve">DON'T KNOW </t>
        </is>
      </c>
    </row>
    <row r="684">
      <c r="A684" t="inlineStr">
        <is>
          <t>needreceived</t>
        </is>
      </c>
      <c r="B684" t="inlineStr">
        <is>
          <t>ref</t>
        </is>
      </c>
      <c r="C684" t="inlineStr">
        <is>
          <t>REFUSED</t>
        </is>
      </c>
    </row>
    <row r="685"/>
    <row r="686">
      <c r="A686" t="inlineStr">
        <is>
          <t>assist_quality</t>
        </is>
      </c>
      <c r="B686" t="n">
        <v>1</v>
      </c>
      <c r="C686" t="inlineStr">
        <is>
          <t>Yes</t>
        </is>
      </c>
    </row>
    <row r="687">
      <c r="A687" t="inlineStr">
        <is>
          <t>assist_quality</t>
        </is>
      </c>
      <c r="B687" t="n">
        <v>2</v>
      </c>
      <c r="C687" t="inlineStr">
        <is>
          <t>No - not received on time</t>
        </is>
      </c>
    </row>
    <row r="688">
      <c r="A688" t="inlineStr">
        <is>
          <t>assist_quality</t>
        </is>
      </c>
      <c r="B688" t="n">
        <v>3</v>
      </c>
      <c r="C688" t="inlineStr">
        <is>
          <t>No - assistance provided did not match my needs [e.g. wrong type of seed]</t>
        </is>
      </c>
    </row>
    <row r="689">
      <c r="A689" t="inlineStr">
        <is>
          <t>assist_quality</t>
        </is>
      </c>
      <c r="B689" t="n">
        <v>4</v>
      </c>
      <c r="C689" t="inlineStr">
        <is>
          <t>No - quantity was not sufficient</t>
        </is>
      </c>
    </row>
    <row r="690">
      <c r="A690" t="inlineStr">
        <is>
          <t>assist_quality</t>
        </is>
      </c>
      <c r="B690" t="n">
        <v>5</v>
      </c>
      <c r="C690" t="inlineStr">
        <is>
          <t>No - assistance was not distributed fairly</t>
        </is>
      </c>
    </row>
    <row r="691">
      <c r="A691" t="inlineStr">
        <is>
          <t>assist_quality</t>
        </is>
      </c>
      <c r="B691" t="n">
        <v>6</v>
      </c>
      <c r="C691" t="inlineStr">
        <is>
          <t>No - quality of assitance provided was poor</t>
        </is>
      </c>
    </row>
    <row r="692">
      <c r="A692" t="inlineStr">
        <is>
          <t>assist_quality</t>
        </is>
      </c>
      <c r="B692" t="n">
        <v>7</v>
      </c>
      <c r="C692" t="inlineStr">
        <is>
          <t>DON'T KNOW</t>
        </is>
      </c>
    </row>
    <row r="693">
      <c r="A693" t="inlineStr">
        <is>
          <t>assist_quality</t>
        </is>
      </c>
      <c r="B693" t="n">
        <v>8</v>
      </c>
      <c r="C693" t="inlineStr">
        <is>
          <t>REFUSED</t>
        </is>
      </c>
    </row>
    <row r="694"/>
    <row r="695">
      <c r="A695" t="inlineStr">
        <is>
          <t>provider</t>
        </is>
      </c>
      <c r="B695" t="inlineStr">
        <is>
          <t>fao</t>
        </is>
      </c>
      <c r="C695" t="inlineStr">
        <is>
          <t>FAO</t>
        </is>
      </c>
    </row>
    <row r="696">
      <c r="A696" t="inlineStr">
        <is>
          <t>provider</t>
        </is>
      </c>
      <c r="B696" t="inlineStr">
        <is>
          <t>wfp</t>
        </is>
      </c>
      <c r="C696" t="inlineStr">
        <is>
          <t>WFP</t>
        </is>
      </c>
    </row>
    <row r="697">
      <c r="A697" t="inlineStr">
        <is>
          <t>provider</t>
        </is>
      </c>
      <c r="B697" t="inlineStr">
        <is>
          <t>otherun</t>
        </is>
      </c>
      <c r="C697" t="inlineStr">
        <is>
          <t>Other UN agencies</t>
        </is>
      </c>
    </row>
    <row r="698">
      <c r="A698" t="inlineStr">
        <is>
          <t>provider</t>
        </is>
      </c>
      <c r="B698" t="inlineStr">
        <is>
          <t>gov</t>
        </is>
      </c>
      <c r="C698" t="inlineStr">
        <is>
          <t>Government</t>
        </is>
      </c>
    </row>
    <row r="699">
      <c r="A699" t="inlineStr">
        <is>
          <t>provider</t>
        </is>
      </c>
      <c r="B699" t="inlineStr">
        <is>
          <t>ngo</t>
        </is>
      </c>
      <c r="C699" t="inlineStr">
        <is>
          <t>Non-governmental/local organization</t>
        </is>
      </c>
    </row>
    <row r="700">
      <c r="A700" t="inlineStr">
        <is>
          <t>provider</t>
        </is>
      </c>
      <c r="B700" t="inlineStr">
        <is>
          <t>dk</t>
        </is>
      </c>
      <c r="C700" t="inlineStr">
        <is>
          <t>DON'T KNOW</t>
        </is>
      </c>
    </row>
    <row r="701">
      <c r="A701" t="inlineStr">
        <is>
          <t>provider</t>
        </is>
      </c>
      <c r="B701" t="inlineStr">
        <is>
          <t>ref</t>
        </is>
      </c>
      <c r="C701" t="inlineStr">
        <is>
          <t>REFUSED</t>
        </is>
      </c>
    </row>
    <row r="702"/>
    <row r="703">
      <c r="A703" t="inlineStr">
        <is>
          <t>week</t>
        </is>
      </c>
      <c r="B703" t="inlineStr">
        <is>
          <t>mon</t>
        </is>
      </c>
      <c r="C703" t="inlineStr">
        <is>
          <t>Monday</t>
        </is>
      </c>
    </row>
    <row r="704">
      <c r="A704" t="inlineStr">
        <is>
          <t>week</t>
        </is>
      </c>
      <c r="B704" t="inlineStr">
        <is>
          <t>tues</t>
        </is>
      </c>
      <c r="C704" t="inlineStr">
        <is>
          <t>Tuesday</t>
        </is>
      </c>
    </row>
    <row r="705">
      <c r="A705" t="inlineStr">
        <is>
          <t>week</t>
        </is>
      </c>
      <c r="B705" t="inlineStr">
        <is>
          <t>wed</t>
        </is>
      </c>
      <c r="C705" t="inlineStr">
        <is>
          <t>Wednesday</t>
        </is>
      </c>
    </row>
    <row r="706">
      <c r="A706" t="inlineStr">
        <is>
          <t>week</t>
        </is>
      </c>
      <c r="B706" t="inlineStr">
        <is>
          <t>thurs</t>
        </is>
      </c>
      <c r="C706" t="inlineStr">
        <is>
          <t>Thursday</t>
        </is>
      </c>
    </row>
    <row r="707">
      <c r="A707" t="inlineStr">
        <is>
          <t>week</t>
        </is>
      </c>
      <c r="B707" t="inlineStr">
        <is>
          <t>fri</t>
        </is>
      </c>
      <c r="C707" t="inlineStr">
        <is>
          <t>Friday</t>
        </is>
      </c>
    </row>
    <row r="708">
      <c r="A708" t="inlineStr">
        <is>
          <t>week</t>
        </is>
      </c>
      <c r="B708" t="inlineStr">
        <is>
          <t>sat</t>
        </is>
      </c>
      <c r="C708" t="inlineStr">
        <is>
          <t>Saturday</t>
        </is>
      </c>
    </row>
    <row r="709">
      <c r="A709" t="inlineStr">
        <is>
          <t>week</t>
        </is>
      </c>
      <c r="B709" t="inlineStr">
        <is>
          <t>sun</t>
        </is>
      </c>
      <c r="C709" t="inlineStr">
        <is>
          <t>Sunday</t>
        </is>
      </c>
    </row>
    <row r="710"/>
    <row r="711">
      <c r="A711" t="inlineStr">
        <is>
          <t>time</t>
        </is>
      </c>
      <c r="B711" t="inlineStr">
        <is>
          <t>morn</t>
        </is>
      </c>
      <c r="C711" t="inlineStr">
        <is>
          <t>Mornings</t>
        </is>
      </c>
    </row>
    <row r="712">
      <c r="A712" t="inlineStr">
        <is>
          <t>time</t>
        </is>
      </c>
      <c r="B712" t="inlineStr">
        <is>
          <t>aft</t>
        </is>
      </c>
      <c r="C712" t="inlineStr">
        <is>
          <t>Afternoons</t>
        </is>
      </c>
    </row>
    <row r="713">
      <c r="A713" t="inlineStr">
        <is>
          <t>time</t>
        </is>
      </c>
      <c r="B713" t="inlineStr">
        <is>
          <t>eve</t>
        </is>
      </c>
      <c r="C713" t="inlineStr">
        <is>
          <t>Evenings</t>
        </is>
      </c>
    </row>
    <row r="714"/>
    <row r="715"/>
    <row r="716"/>
    <row r="717"/>
    <row r="718"/>
    <row r="719"/>
    <row r="720"/>
    <row r="721"/>
    <row r="722"/>
    <row r="723"/>
    <row r="724"/>
    <row r="725"/>
    <row r="726">
      <c r="A726" t="inlineStr">
        <is>
          <t>admin1</t>
        </is>
      </c>
      <c r="B726" t="inlineStr">
        <is>
          <t>AF01</t>
        </is>
      </c>
      <c r="C726" t="inlineStr">
        <is>
          <t>Kabul</t>
        </is>
      </c>
    </row>
    <row r="727">
      <c r="A727" t="inlineStr">
        <is>
          <t>admin1</t>
        </is>
      </c>
      <c r="B727" t="inlineStr">
        <is>
          <t>AF02</t>
        </is>
      </c>
      <c r="C727" t="inlineStr">
        <is>
          <t>Kapisa</t>
        </is>
      </c>
    </row>
    <row r="728">
      <c r="A728" t="inlineStr">
        <is>
          <t>admin1</t>
        </is>
      </c>
      <c r="B728" t="inlineStr">
        <is>
          <t>AF03</t>
        </is>
      </c>
      <c r="C728" t="inlineStr">
        <is>
          <t>Parwan</t>
        </is>
      </c>
    </row>
    <row r="729">
      <c r="A729" t="inlineStr">
        <is>
          <t>admin1</t>
        </is>
      </c>
      <c r="B729" t="inlineStr">
        <is>
          <t>AF04</t>
        </is>
      </c>
      <c r="C729" t="inlineStr">
        <is>
          <t>Maidan Wardak</t>
        </is>
      </c>
    </row>
    <row r="730">
      <c r="A730" t="inlineStr">
        <is>
          <t>admin1</t>
        </is>
      </c>
      <c r="B730" t="inlineStr">
        <is>
          <t>AF05</t>
        </is>
      </c>
      <c r="C730" t="inlineStr">
        <is>
          <t>Logar</t>
        </is>
      </c>
    </row>
    <row r="731">
      <c r="A731" t="inlineStr">
        <is>
          <t>admin1</t>
        </is>
      </c>
      <c r="B731" t="inlineStr">
        <is>
          <t>AF06</t>
        </is>
      </c>
      <c r="C731" t="inlineStr">
        <is>
          <t>Nangarhar</t>
        </is>
      </c>
    </row>
    <row r="732">
      <c r="A732" t="inlineStr">
        <is>
          <t>admin1</t>
        </is>
      </c>
      <c r="B732" t="inlineStr">
        <is>
          <t>AF07</t>
        </is>
      </c>
      <c r="C732" t="inlineStr">
        <is>
          <t>Laghman</t>
        </is>
      </c>
    </row>
    <row r="733">
      <c r="A733" t="inlineStr">
        <is>
          <t>admin1</t>
        </is>
      </c>
      <c r="B733" t="inlineStr">
        <is>
          <t>AF08</t>
        </is>
      </c>
      <c r="C733" t="inlineStr">
        <is>
          <t>Panjsher</t>
        </is>
      </c>
    </row>
    <row r="734">
      <c r="A734" t="inlineStr">
        <is>
          <t>admin1</t>
        </is>
      </c>
      <c r="B734" t="inlineStr">
        <is>
          <t>AF09</t>
        </is>
      </c>
      <c r="C734" t="inlineStr">
        <is>
          <t>Baghlan</t>
        </is>
      </c>
    </row>
    <row r="735">
      <c r="A735" t="inlineStr">
        <is>
          <t>admin1</t>
        </is>
      </c>
      <c r="B735" t="inlineStr">
        <is>
          <t>AF10</t>
        </is>
      </c>
      <c r="C735" t="inlineStr">
        <is>
          <t>Bamyan</t>
        </is>
      </c>
    </row>
    <row r="736">
      <c r="A736" t="inlineStr">
        <is>
          <t>admin1</t>
        </is>
      </c>
      <c r="B736" t="inlineStr">
        <is>
          <t>AF11</t>
        </is>
      </c>
      <c r="C736" t="inlineStr">
        <is>
          <t>Ghazni</t>
        </is>
      </c>
    </row>
    <row r="737">
      <c r="A737" t="inlineStr">
        <is>
          <t>admin1</t>
        </is>
      </c>
      <c r="B737" t="inlineStr">
        <is>
          <t>AF12</t>
        </is>
      </c>
      <c r="C737" t="inlineStr">
        <is>
          <t>Paktika</t>
        </is>
      </c>
    </row>
    <row r="738">
      <c r="A738" t="inlineStr">
        <is>
          <t>admin1</t>
        </is>
      </c>
      <c r="B738" t="inlineStr">
        <is>
          <t>AF13</t>
        </is>
      </c>
      <c r="C738" t="inlineStr">
        <is>
          <t>Paktya</t>
        </is>
      </c>
    </row>
    <row r="739">
      <c r="A739" t="inlineStr">
        <is>
          <t>admin1</t>
        </is>
      </c>
      <c r="B739" t="inlineStr">
        <is>
          <t>AF14</t>
        </is>
      </c>
      <c r="C739" t="inlineStr">
        <is>
          <t>Khost</t>
        </is>
      </c>
    </row>
    <row r="740">
      <c r="A740" t="inlineStr">
        <is>
          <t>admin1</t>
        </is>
      </c>
      <c r="B740" t="inlineStr">
        <is>
          <t>AF15</t>
        </is>
      </c>
      <c r="C740" t="inlineStr">
        <is>
          <t>Kunar</t>
        </is>
      </c>
    </row>
    <row r="741">
      <c r="A741" t="inlineStr">
        <is>
          <t>admin1</t>
        </is>
      </c>
      <c r="B741" t="inlineStr">
        <is>
          <t>AF16</t>
        </is>
      </c>
      <c r="C741" t="inlineStr">
        <is>
          <t>Nuristan</t>
        </is>
      </c>
    </row>
    <row r="742">
      <c r="A742" t="inlineStr">
        <is>
          <t>admin1</t>
        </is>
      </c>
      <c r="B742" t="inlineStr">
        <is>
          <t>AF17</t>
        </is>
      </c>
      <c r="C742" t="inlineStr">
        <is>
          <t>Badakhshan</t>
        </is>
      </c>
    </row>
    <row r="743">
      <c r="A743" t="inlineStr">
        <is>
          <t>admin1</t>
        </is>
      </c>
      <c r="B743" t="inlineStr">
        <is>
          <t>AF18</t>
        </is>
      </c>
      <c r="C743" t="inlineStr">
        <is>
          <t>Takhar</t>
        </is>
      </c>
    </row>
    <row r="744">
      <c r="A744" t="inlineStr">
        <is>
          <t>admin1</t>
        </is>
      </c>
      <c r="B744" t="inlineStr">
        <is>
          <t>AF19</t>
        </is>
      </c>
      <c r="C744" t="inlineStr">
        <is>
          <t>Kunduz</t>
        </is>
      </c>
    </row>
    <row r="745">
      <c r="A745" t="inlineStr">
        <is>
          <t>admin1</t>
        </is>
      </c>
      <c r="B745" t="inlineStr">
        <is>
          <t>AF20</t>
        </is>
      </c>
      <c r="C745" t="inlineStr">
        <is>
          <t>Samangan</t>
        </is>
      </c>
    </row>
    <row r="746">
      <c r="A746" t="inlineStr">
        <is>
          <t>admin1</t>
        </is>
      </c>
      <c r="B746" t="inlineStr">
        <is>
          <t>AF21</t>
        </is>
      </c>
      <c r="C746" t="inlineStr">
        <is>
          <t>Balkh</t>
        </is>
      </c>
    </row>
    <row r="747">
      <c r="A747" t="inlineStr">
        <is>
          <t>admin1</t>
        </is>
      </c>
      <c r="B747" t="inlineStr">
        <is>
          <t>AF22</t>
        </is>
      </c>
      <c r="C747" t="inlineStr">
        <is>
          <t>Sar-e-Pul</t>
        </is>
      </c>
    </row>
    <row r="748">
      <c r="A748" t="inlineStr">
        <is>
          <t>admin1</t>
        </is>
      </c>
      <c r="B748" t="inlineStr">
        <is>
          <t>AF23</t>
        </is>
      </c>
      <c r="C748" t="inlineStr">
        <is>
          <t>Ghor</t>
        </is>
      </c>
    </row>
    <row r="749">
      <c r="A749" t="inlineStr">
        <is>
          <t>admin1</t>
        </is>
      </c>
      <c r="B749" t="inlineStr">
        <is>
          <t>AF24</t>
        </is>
      </c>
      <c r="C749" t="inlineStr">
        <is>
          <t>Daykundi</t>
        </is>
      </c>
    </row>
    <row r="750">
      <c r="A750" t="inlineStr">
        <is>
          <t>admin1</t>
        </is>
      </c>
      <c r="B750" t="inlineStr">
        <is>
          <t>AF25</t>
        </is>
      </c>
      <c r="C750" t="inlineStr">
        <is>
          <t>Uruzgan</t>
        </is>
      </c>
    </row>
    <row r="751">
      <c r="A751" t="inlineStr">
        <is>
          <t>admin1</t>
        </is>
      </c>
      <c r="B751" t="inlineStr">
        <is>
          <t>AF26</t>
        </is>
      </c>
      <c r="C751" t="inlineStr">
        <is>
          <t>Zabul</t>
        </is>
      </c>
    </row>
    <row r="752">
      <c r="A752" t="inlineStr">
        <is>
          <t>admin1</t>
        </is>
      </c>
      <c r="B752" t="inlineStr">
        <is>
          <t>AF27</t>
        </is>
      </c>
      <c r="C752" t="inlineStr">
        <is>
          <t>Kandahar</t>
        </is>
      </c>
    </row>
    <row r="753">
      <c r="A753" t="inlineStr">
        <is>
          <t>admin1</t>
        </is>
      </c>
      <c r="B753" t="inlineStr">
        <is>
          <t>AF28</t>
        </is>
      </c>
      <c r="C753" t="inlineStr">
        <is>
          <t>Jawzjan</t>
        </is>
      </c>
    </row>
    <row r="754">
      <c r="A754" t="inlineStr">
        <is>
          <t>admin1</t>
        </is>
      </c>
      <c r="B754" t="inlineStr">
        <is>
          <t>AF29</t>
        </is>
      </c>
      <c r="C754" t="inlineStr">
        <is>
          <t>Faryab</t>
        </is>
      </c>
    </row>
    <row r="755">
      <c r="A755" t="inlineStr">
        <is>
          <t>admin1</t>
        </is>
      </c>
      <c r="B755" t="inlineStr">
        <is>
          <t>AF30</t>
        </is>
      </c>
      <c r="C755" t="inlineStr">
        <is>
          <t>Hilmand</t>
        </is>
      </c>
    </row>
    <row r="756">
      <c r="A756" t="inlineStr">
        <is>
          <t>admin1</t>
        </is>
      </c>
      <c r="B756" t="inlineStr">
        <is>
          <t>AF31</t>
        </is>
      </c>
      <c r="C756" t="inlineStr">
        <is>
          <t>Badghis</t>
        </is>
      </c>
    </row>
    <row r="757">
      <c r="A757" t="inlineStr">
        <is>
          <t>admin1</t>
        </is>
      </c>
      <c r="B757" t="inlineStr">
        <is>
          <t>AF32</t>
        </is>
      </c>
      <c r="C757" t="inlineStr">
        <is>
          <t>Hirat</t>
        </is>
      </c>
    </row>
    <row r="758">
      <c r="A758" t="inlineStr">
        <is>
          <t>admin1</t>
        </is>
      </c>
      <c r="B758" t="inlineStr">
        <is>
          <t>AF33</t>
        </is>
      </c>
      <c r="C758" t="inlineStr">
        <is>
          <t>Farah</t>
        </is>
      </c>
    </row>
    <row r="759">
      <c r="A759" t="inlineStr">
        <is>
          <t>admin1</t>
        </is>
      </c>
      <c r="B759" t="inlineStr">
        <is>
          <t>AF34</t>
        </is>
      </c>
      <c r="C759" t="inlineStr">
        <is>
          <t>Nimroz</t>
        </is>
      </c>
    </row>
    <row r="760"/>
    <row r="761">
      <c r="A761" t="inlineStr">
        <is>
          <t>admin2</t>
        </is>
      </c>
      <c r="B761" t="inlineStr">
        <is>
          <t>AF0101</t>
        </is>
      </c>
      <c r="C761" t="inlineStr">
        <is>
          <t>Kabul</t>
        </is>
      </c>
      <c r="F761" t="inlineStr">
        <is>
          <t>AF01</t>
        </is>
      </c>
    </row>
    <row r="762">
      <c r="A762" t="inlineStr">
        <is>
          <t>admin2</t>
        </is>
      </c>
      <c r="B762" t="inlineStr">
        <is>
          <t>AF0102</t>
        </is>
      </c>
      <c r="C762" t="inlineStr">
        <is>
          <t>Paghman</t>
        </is>
      </c>
      <c r="F762" t="inlineStr">
        <is>
          <t>AF01</t>
        </is>
      </c>
    </row>
    <row r="763">
      <c r="A763" t="inlineStr">
        <is>
          <t>admin2</t>
        </is>
      </c>
      <c r="B763" t="inlineStr">
        <is>
          <t>AF0103</t>
        </is>
      </c>
      <c r="C763" t="inlineStr">
        <is>
          <t>Chahar Asyab</t>
        </is>
      </c>
      <c r="F763" t="inlineStr">
        <is>
          <t>AF01</t>
        </is>
      </c>
    </row>
    <row r="764">
      <c r="A764" t="inlineStr">
        <is>
          <t>admin2</t>
        </is>
      </c>
      <c r="B764" t="inlineStr">
        <is>
          <t>AF0104</t>
        </is>
      </c>
      <c r="C764" t="inlineStr">
        <is>
          <t>Bagrami</t>
        </is>
      </c>
      <c r="F764" t="inlineStr">
        <is>
          <t>AF01</t>
        </is>
      </c>
    </row>
    <row r="765">
      <c r="A765" t="inlineStr">
        <is>
          <t>admin2</t>
        </is>
      </c>
      <c r="B765" t="inlineStr">
        <is>
          <t>AF0105</t>
        </is>
      </c>
      <c r="C765" t="inlineStr">
        <is>
          <t>Deh Sabz</t>
        </is>
      </c>
      <c r="F765" t="inlineStr">
        <is>
          <t>AF01</t>
        </is>
      </c>
    </row>
    <row r="766">
      <c r="A766" t="inlineStr">
        <is>
          <t>admin2</t>
        </is>
      </c>
      <c r="B766" t="inlineStr">
        <is>
          <t>AF0106</t>
        </is>
      </c>
      <c r="C766" t="inlineStr">
        <is>
          <t>Shakar Dara</t>
        </is>
      </c>
      <c r="F766" t="inlineStr">
        <is>
          <t>AF01</t>
        </is>
      </c>
    </row>
    <row r="767">
      <c r="A767" t="inlineStr">
        <is>
          <t>admin2</t>
        </is>
      </c>
      <c r="B767" t="inlineStr">
        <is>
          <t>AF0107</t>
        </is>
      </c>
      <c r="C767" t="inlineStr">
        <is>
          <t>Musahi</t>
        </is>
      </c>
      <c r="F767" t="inlineStr">
        <is>
          <t>AF01</t>
        </is>
      </c>
    </row>
    <row r="768">
      <c r="A768" t="inlineStr">
        <is>
          <t>admin2</t>
        </is>
      </c>
      <c r="B768" t="inlineStr">
        <is>
          <t>AF0108</t>
        </is>
      </c>
      <c r="C768" t="inlineStr">
        <is>
          <t>Mir Bacha Kot</t>
        </is>
      </c>
      <c r="F768" t="inlineStr">
        <is>
          <t>AF01</t>
        </is>
      </c>
    </row>
    <row r="769">
      <c r="A769" t="inlineStr">
        <is>
          <t>admin2</t>
        </is>
      </c>
      <c r="B769" t="inlineStr">
        <is>
          <t>AF0109</t>
        </is>
      </c>
      <c r="C769" t="inlineStr">
        <is>
          <t>Khak-e-Jabbar</t>
        </is>
      </c>
      <c r="F769" t="inlineStr">
        <is>
          <t>AF01</t>
        </is>
      </c>
    </row>
    <row r="770">
      <c r="A770" t="inlineStr">
        <is>
          <t>admin2</t>
        </is>
      </c>
      <c r="B770" t="inlineStr">
        <is>
          <t>AF0110</t>
        </is>
      </c>
      <c r="C770" t="inlineStr">
        <is>
          <t>Kalakan</t>
        </is>
      </c>
      <c r="F770" t="inlineStr">
        <is>
          <t>AF01</t>
        </is>
      </c>
    </row>
    <row r="771">
      <c r="A771" t="inlineStr">
        <is>
          <t>admin2</t>
        </is>
      </c>
      <c r="B771" t="inlineStr">
        <is>
          <t>AF0111</t>
        </is>
      </c>
      <c r="C771" t="inlineStr">
        <is>
          <t>Guldara</t>
        </is>
      </c>
      <c r="F771" t="inlineStr">
        <is>
          <t>AF01</t>
        </is>
      </c>
    </row>
    <row r="772">
      <c r="A772" t="inlineStr">
        <is>
          <t>admin2</t>
        </is>
      </c>
      <c r="B772" t="inlineStr">
        <is>
          <t>AF0112</t>
        </is>
      </c>
      <c r="C772" t="inlineStr">
        <is>
          <t>Farza</t>
        </is>
      </c>
      <c r="F772" t="inlineStr">
        <is>
          <t>AF01</t>
        </is>
      </c>
    </row>
    <row r="773">
      <c r="A773" t="inlineStr">
        <is>
          <t>admin2</t>
        </is>
      </c>
      <c r="B773" t="inlineStr">
        <is>
          <t>AF0113</t>
        </is>
      </c>
      <c r="C773" t="inlineStr">
        <is>
          <t>Estalef</t>
        </is>
      </c>
      <c r="F773" t="inlineStr">
        <is>
          <t>AF01</t>
        </is>
      </c>
    </row>
    <row r="774">
      <c r="A774" t="inlineStr">
        <is>
          <t>admin2</t>
        </is>
      </c>
      <c r="B774" t="inlineStr">
        <is>
          <t>AF0114</t>
        </is>
      </c>
      <c r="C774" t="inlineStr">
        <is>
          <t>Qara Bagh</t>
        </is>
      </c>
      <c r="F774" t="inlineStr">
        <is>
          <t>AF01</t>
        </is>
      </c>
    </row>
    <row r="775">
      <c r="A775" t="inlineStr">
        <is>
          <t>admin2</t>
        </is>
      </c>
      <c r="B775" t="inlineStr">
        <is>
          <t>AF0115</t>
        </is>
      </c>
      <c r="C775" t="inlineStr">
        <is>
          <t>Surobi</t>
        </is>
      </c>
      <c r="F775" t="inlineStr">
        <is>
          <t>AF01</t>
        </is>
      </c>
    </row>
    <row r="776">
      <c r="A776" t="inlineStr">
        <is>
          <t>admin2</t>
        </is>
      </c>
      <c r="B776" t="inlineStr">
        <is>
          <t>AF0201</t>
        </is>
      </c>
      <c r="C776" t="inlineStr">
        <is>
          <t>Mahmood-e-Raqi</t>
        </is>
      </c>
      <c r="F776" t="inlineStr">
        <is>
          <t>AF02</t>
        </is>
      </c>
    </row>
    <row r="777">
      <c r="A777" t="inlineStr">
        <is>
          <t>admin2</t>
        </is>
      </c>
      <c r="B777" t="inlineStr">
        <is>
          <t>AF0202</t>
        </is>
      </c>
      <c r="C777" t="inlineStr">
        <is>
          <t>Hisa-e-Duwum-e-Kohistan</t>
        </is>
      </c>
      <c r="F777" t="inlineStr">
        <is>
          <t>AF02</t>
        </is>
      </c>
    </row>
    <row r="778">
      <c r="A778" t="inlineStr">
        <is>
          <t>admin2</t>
        </is>
      </c>
      <c r="B778" t="inlineStr">
        <is>
          <t>AF0203</t>
        </is>
      </c>
      <c r="C778" t="inlineStr">
        <is>
          <t>Koh Band</t>
        </is>
      </c>
      <c r="F778" t="inlineStr">
        <is>
          <t>AF02</t>
        </is>
      </c>
    </row>
    <row r="779">
      <c r="A779" t="inlineStr">
        <is>
          <t>admin2</t>
        </is>
      </c>
      <c r="B779" t="inlineStr">
        <is>
          <t>AF0204</t>
        </is>
      </c>
      <c r="C779" t="inlineStr">
        <is>
          <t>Hisa-e-Awal-e-Kohistan</t>
        </is>
      </c>
      <c r="F779" t="inlineStr">
        <is>
          <t>AF02</t>
        </is>
      </c>
    </row>
    <row r="780">
      <c r="A780" t="inlineStr">
        <is>
          <t>admin2</t>
        </is>
      </c>
      <c r="B780" t="inlineStr">
        <is>
          <t>AF0205</t>
        </is>
      </c>
      <c r="C780" t="inlineStr">
        <is>
          <t>Nijrab</t>
        </is>
      </c>
      <c r="F780" t="inlineStr">
        <is>
          <t>AF02</t>
        </is>
      </c>
    </row>
    <row r="781">
      <c r="A781" t="inlineStr">
        <is>
          <t>admin2</t>
        </is>
      </c>
      <c r="B781" t="inlineStr">
        <is>
          <t>AF0206</t>
        </is>
      </c>
      <c r="C781" t="inlineStr">
        <is>
          <t>Tagab</t>
        </is>
      </c>
      <c r="F781" t="inlineStr">
        <is>
          <t>AF02</t>
        </is>
      </c>
    </row>
    <row r="782">
      <c r="A782" t="inlineStr">
        <is>
          <t>admin2</t>
        </is>
      </c>
      <c r="B782" t="inlineStr">
        <is>
          <t>AF0207</t>
        </is>
      </c>
      <c r="C782" t="inlineStr">
        <is>
          <t>Alasay</t>
        </is>
      </c>
      <c r="F782" t="inlineStr">
        <is>
          <t>AF02</t>
        </is>
      </c>
    </row>
    <row r="783">
      <c r="A783" t="inlineStr">
        <is>
          <t>admin2</t>
        </is>
      </c>
      <c r="B783" t="inlineStr">
        <is>
          <t>AF0301</t>
        </is>
      </c>
      <c r="C783" t="inlineStr">
        <is>
          <t>Charikar</t>
        </is>
      </c>
      <c r="F783" t="inlineStr">
        <is>
          <t>AF03</t>
        </is>
      </c>
    </row>
    <row r="784">
      <c r="A784" t="inlineStr">
        <is>
          <t>admin2</t>
        </is>
      </c>
      <c r="B784" t="inlineStr">
        <is>
          <t>AF0302</t>
        </is>
      </c>
      <c r="C784" t="inlineStr">
        <is>
          <t>Bagram</t>
        </is>
      </c>
      <c r="F784" t="inlineStr">
        <is>
          <t>AF03</t>
        </is>
      </c>
    </row>
    <row r="785">
      <c r="A785" t="inlineStr">
        <is>
          <t>admin2</t>
        </is>
      </c>
      <c r="B785" t="inlineStr">
        <is>
          <t>AF0303</t>
        </is>
      </c>
      <c r="C785" t="inlineStr">
        <is>
          <t>Shinwari</t>
        </is>
      </c>
      <c r="F785" t="inlineStr">
        <is>
          <t>AF03</t>
        </is>
      </c>
    </row>
    <row r="786">
      <c r="A786" t="inlineStr">
        <is>
          <t>admin2</t>
        </is>
      </c>
      <c r="B786" t="inlineStr">
        <is>
          <t>AF0304</t>
        </is>
      </c>
      <c r="C786" t="inlineStr">
        <is>
          <t>Sayed Khel</t>
        </is>
      </c>
      <c r="F786" t="inlineStr">
        <is>
          <t>AF03</t>
        </is>
      </c>
    </row>
    <row r="787">
      <c r="A787" t="inlineStr">
        <is>
          <t>admin2</t>
        </is>
      </c>
      <c r="B787" t="inlineStr">
        <is>
          <t>AF0305</t>
        </is>
      </c>
      <c r="C787" t="inlineStr">
        <is>
          <t>Jabal Saraj</t>
        </is>
      </c>
      <c r="F787" t="inlineStr">
        <is>
          <t>AF03</t>
        </is>
      </c>
    </row>
    <row r="788">
      <c r="A788" t="inlineStr">
        <is>
          <t>admin2</t>
        </is>
      </c>
      <c r="B788" t="inlineStr">
        <is>
          <t>AF0306</t>
        </is>
      </c>
      <c r="C788" t="inlineStr">
        <is>
          <t>Salang</t>
        </is>
      </c>
      <c r="F788" t="inlineStr">
        <is>
          <t>AF03</t>
        </is>
      </c>
    </row>
    <row r="789">
      <c r="A789" t="inlineStr">
        <is>
          <t>admin2</t>
        </is>
      </c>
      <c r="B789" t="inlineStr">
        <is>
          <t>AF0307</t>
        </is>
      </c>
      <c r="C789" t="inlineStr">
        <is>
          <t>Ghorband</t>
        </is>
      </c>
      <c r="F789" t="inlineStr">
        <is>
          <t>AF03</t>
        </is>
      </c>
    </row>
    <row r="790">
      <c r="A790" t="inlineStr">
        <is>
          <t>admin2</t>
        </is>
      </c>
      <c r="B790" t="inlineStr">
        <is>
          <t>AF0308</t>
        </is>
      </c>
      <c r="C790" t="inlineStr">
        <is>
          <t>Koh-e-Safi</t>
        </is>
      </c>
      <c r="F790" t="inlineStr">
        <is>
          <t>AF03</t>
        </is>
      </c>
    </row>
    <row r="791">
      <c r="A791" t="inlineStr">
        <is>
          <t>admin2</t>
        </is>
      </c>
      <c r="B791" t="inlineStr">
        <is>
          <t>AF0309</t>
        </is>
      </c>
      <c r="C791" t="inlineStr">
        <is>
          <t>Surkh-e-Parsa</t>
        </is>
      </c>
      <c r="F791" t="inlineStr">
        <is>
          <t>AF03</t>
        </is>
      </c>
    </row>
    <row r="792">
      <c r="A792" t="inlineStr">
        <is>
          <t>admin2</t>
        </is>
      </c>
      <c r="B792" t="inlineStr">
        <is>
          <t>AF0310</t>
        </is>
      </c>
      <c r="C792" t="inlineStr">
        <is>
          <t>Shekh Ali</t>
        </is>
      </c>
      <c r="F792" t="inlineStr">
        <is>
          <t>AF03</t>
        </is>
      </c>
    </row>
    <row r="793">
      <c r="A793" t="inlineStr">
        <is>
          <t>admin2</t>
        </is>
      </c>
      <c r="B793" t="inlineStr">
        <is>
          <t>AF0401</t>
        </is>
      </c>
      <c r="C793" t="inlineStr">
        <is>
          <t>Maydan Shahr</t>
        </is>
      </c>
      <c r="F793" t="inlineStr">
        <is>
          <t>AF04</t>
        </is>
      </c>
    </row>
    <row r="794">
      <c r="A794" t="inlineStr">
        <is>
          <t>admin2</t>
        </is>
      </c>
      <c r="B794" t="inlineStr">
        <is>
          <t>AF0402</t>
        </is>
      </c>
      <c r="C794" t="inlineStr">
        <is>
          <t>Nerkh</t>
        </is>
      </c>
      <c r="F794" t="inlineStr">
        <is>
          <t>AF04</t>
        </is>
      </c>
    </row>
    <row r="795">
      <c r="A795" t="inlineStr">
        <is>
          <t>admin2</t>
        </is>
      </c>
      <c r="B795" t="inlineStr">
        <is>
          <t>AF0403</t>
        </is>
      </c>
      <c r="C795" t="inlineStr">
        <is>
          <t>Jalrez</t>
        </is>
      </c>
      <c r="F795" t="inlineStr">
        <is>
          <t>AF04</t>
        </is>
      </c>
    </row>
    <row r="796">
      <c r="A796" t="inlineStr">
        <is>
          <t>admin2</t>
        </is>
      </c>
      <c r="B796" t="inlineStr">
        <is>
          <t>AF0404</t>
        </is>
      </c>
      <c r="C796" t="inlineStr">
        <is>
          <t>Chak-e-Wardak</t>
        </is>
      </c>
      <c r="F796" t="inlineStr">
        <is>
          <t>AF04</t>
        </is>
      </c>
    </row>
    <row r="797">
      <c r="A797" t="inlineStr">
        <is>
          <t>admin2</t>
        </is>
      </c>
      <c r="B797" t="inlineStr">
        <is>
          <t>AF0405</t>
        </is>
      </c>
      <c r="C797" t="inlineStr">
        <is>
          <t>Saydabad</t>
        </is>
      </c>
      <c r="F797" t="inlineStr">
        <is>
          <t>AF04</t>
        </is>
      </c>
    </row>
    <row r="798">
      <c r="A798" t="inlineStr">
        <is>
          <t>admin2</t>
        </is>
      </c>
      <c r="B798" t="inlineStr">
        <is>
          <t>AF0406</t>
        </is>
      </c>
      <c r="C798" t="inlineStr">
        <is>
          <t>Daymirdad</t>
        </is>
      </c>
      <c r="F798" t="inlineStr">
        <is>
          <t>AF04</t>
        </is>
      </c>
    </row>
    <row r="799">
      <c r="A799" t="inlineStr">
        <is>
          <t>admin2</t>
        </is>
      </c>
      <c r="B799" t="inlineStr">
        <is>
          <t>AF0407</t>
        </is>
      </c>
      <c r="C799" t="inlineStr">
        <is>
          <t>Hesa-e-Awal-e-Behsud</t>
        </is>
      </c>
      <c r="F799" t="inlineStr">
        <is>
          <t>AF04</t>
        </is>
      </c>
    </row>
    <row r="800">
      <c r="A800" t="inlineStr">
        <is>
          <t>admin2</t>
        </is>
      </c>
      <c r="B800" t="inlineStr">
        <is>
          <t>AF0408</t>
        </is>
      </c>
      <c r="C800" t="inlineStr">
        <is>
          <t>Jaghatu</t>
        </is>
      </c>
      <c r="F800" t="inlineStr">
        <is>
          <t>AF04</t>
        </is>
      </c>
    </row>
    <row r="801">
      <c r="A801" t="inlineStr">
        <is>
          <t>admin2</t>
        </is>
      </c>
      <c r="B801" t="inlineStr">
        <is>
          <t>AF0409</t>
        </is>
      </c>
      <c r="C801" t="inlineStr">
        <is>
          <t>Markaz-e-Behsud</t>
        </is>
      </c>
      <c r="F801" t="inlineStr">
        <is>
          <t>AF04</t>
        </is>
      </c>
    </row>
    <row r="802">
      <c r="A802" t="inlineStr">
        <is>
          <t>admin2</t>
        </is>
      </c>
      <c r="B802" t="inlineStr">
        <is>
          <t>AF0501</t>
        </is>
      </c>
      <c r="C802" t="inlineStr">
        <is>
          <t>Pul-e-Alam</t>
        </is>
      </c>
      <c r="F802" t="inlineStr">
        <is>
          <t>AF05</t>
        </is>
      </c>
    </row>
    <row r="803">
      <c r="A803" t="inlineStr">
        <is>
          <t>admin2</t>
        </is>
      </c>
      <c r="B803" t="inlineStr">
        <is>
          <t>AF0502</t>
        </is>
      </c>
      <c r="C803" t="inlineStr">
        <is>
          <t>Baraki Barak</t>
        </is>
      </c>
      <c r="F803" t="inlineStr">
        <is>
          <t>AF05</t>
        </is>
      </c>
    </row>
    <row r="804">
      <c r="A804" t="inlineStr">
        <is>
          <t>admin2</t>
        </is>
      </c>
      <c r="B804" t="inlineStr">
        <is>
          <t>AF0503</t>
        </is>
      </c>
      <c r="C804" t="inlineStr">
        <is>
          <t>Charkh</t>
        </is>
      </c>
      <c r="F804" t="inlineStr">
        <is>
          <t>AF05</t>
        </is>
      </c>
    </row>
    <row r="805">
      <c r="A805" t="inlineStr">
        <is>
          <t>admin2</t>
        </is>
      </c>
      <c r="B805" t="inlineStr">
        <is>
          <t>AF0504</t>
        </is>
      </c>
      <c r="C805" t="inlineStr">
        <is>
          <t>Khoshi</t>
        </is>
      </c>
      <c r="F805" t="inlineStr">
        <is>
          <t>AF05</t>
        </is>
      </c>
    </row>
    <row r="806">
      <c r="A806" t="inlineStr">
        <is>
          <t>admin2</t>
        </is>
      </c>
      <c r="B806" t="inlineStr">
        <is>
          <t>AF0505</t>
        </is>
      </c>
      <c r="C806" t="inlineStr">
        <is>
          <t>Mohammad Agha</t>
        </is>
      </c>
      <c r="F806" t="inlineStr">
        <is>
          <t>AF05</t>
        </is>
      </c>
    </row>
    <row r="807">
      <c r="A807" t="inlineStr">
        <is>
          <t>admin2</t>
        </is>
      </c>
      <c r="B807" t="inlineStr">
        <is>
          <t>AF0506</t>
        </is>
      </c>
      <c r="C807" t="inlineStr">
        <is>
          <t>Kharwar</t>
        </is>
      </c>
      <c r="F807" t="inlineStr">
        <is>
          <t>AF05</t>
        </is>
      </c>
    </row>
    <row r="808">
      <c r="A808" t="inlineStr">
        <is>
          <t>admin2</t>
        </is>
      </c>
      <c r="B808" t="inlineStr">
        <is>
          <t>AF0507</t>
        </is>
      </c>
      <c r="C808" t="inlineStr">
        <is>
          <t>Azra</t>
        </is>
      </c>
      <c r="F808" t="inlineStr">
        <is>
          <t>AF05</t>
        </is>
      </c>
    </row>
    <row r="809">
      <c r="A809" t="inlineStr">
        <is>
          <t>admin2</t>
        </is>
      </c>
      <c r="B809" t="inlineStr">
        <is>
          <t>AF0601</t>
        </is>
      </c>
      <c r="C809" t="inlineStr">
        <is>
          <t>Jalalabad</t>
        </is>
      </c>
      <c r="F809" t="inlineStr">
        <is>
          <t>AF06</t>
        </is>
      </c>
    </row>
    <row r="810">
      <c r="A810" t="inlineStr">
        <is>
          <t>admin2</t>
        </is>
      </c>
      <c r="B810" t="inlineStr">
        <is>
          <t>AF0602</t>
        </is>
      </c>
      <c r="C810" t="inlineStr">
        <is>
          <t>Behsud</t>
        </is>
      </c>
      <c r="F810" t="inlineStr">
        <is>
          <t>AF06</t>
        </is>
      </c>
    </row>
    <row r="811">
      <c r="A811" t="inlineStr">
        <is>
          <t>admin2</t>
        </is>
      </c>
      <c r="B811" t="inlineStr">
        <is>
          <t>AF0603</t>
        </is>
      </c>
      <c r="C811" t="inlineStr">
        <is>
          <t>Surkh Rod</t>
        </is>
      </c>
      <c r="F811" t="inlineStr">
        <is>
          <t>AF06</t>
        </is>
      </c>
    </row>
    <row r="812">
      <c r="A812" t="inlineStr">
        <is>
          <t>admin2</t>
        </is>
      </c>
      <c r="B812" t="inlineStr">
        <is>
          <t>AF0604</t>
        </is>
      </c>
      <c r="C812" t="inlineStr">
        <is>
          <t>Chaparhar</t>
        </is>
      </c>
      <c r="F812" t="inlineStr">
        <is>
          <t>AF06</t>
        </is>
      </c>
    </row>
    <row r="813">
      <c r="A813" t="inlineStr">
        <is>
          <t>admin2</t>
        </is>
      </c>
      <c r="B813" t="inlineStr">
        <is>
          <t>AF0605</t>
        </is>
      </c>
      <c r="C813" t="inlineStr">
        <is>
          <t>Kama</t>
        </is>
      </c>
      <c r="F813" t="inlineStr">
        <is>
          <t>AF06</t>
        </is>
      </c>
    </row>
    <row r="814">
      <c r="A814" t="inlineStr">
        <is>
          <t>admin2</t>
        </is>
      </c>
      <c r="B814" t="inlineStr">
        <is>
          <t>AF0606</t>
        </is>
      </c>
      <c r="C814" t="inlineStr">
        <is>
          <t>Kuz Kunar</t>
        </is>
      </c>
      <c r="F814" t="inlineStr">
        <is>
          <t>AF06</t>
        </is>
      </c>
    </row>
    <row r="815">
      <c r="A815" t="inlineStr">
        <is>
          <t>admin2</t>
        </is>
      </c>
      <c r="B815" t="inlineStr">
        <is>
          <t>AF0607</t>
        </is>
      </c>
      <c r="C815" t="inlineStr">
        <is>
          <t>Rodat</t>
        </is>
      </c>
      <c r="F815" t="inlineStr">
        <is>
          <t>AF06</t>
        </is>
      </c>
    </row>
    <row r="816">
      <c r="A816" t="inlineStr">
        <is>
          <t>admin2</t>
        </is>
      </c>
      <c r="B816" t="inlineStr">
        <is>
          <t>AF0608</t>
        </is>
      </c>
      <c r="C816" t="inlineStr">
        <is>
          <t>Khogyani</t>
        </is>
      </c>
      <c r="F816" t="inlineStr">
        <is>
          <t>AF06</t>
        </is>
      </c>
    </row>
    <row r="817">
      <c r="A817" t="inlineStr">
        <is>
          <t>admin2</t>
        </is>
      </c>
      <c r="B817" t="inlineStr">
        <is>
          <t>AF0609</t>
        </is>
      </c>
      <c r="C817" t="inlineStr">
        <is>
          <t>Bati Kot</t>
        </is>
      </c>
      <c r="F817" t="inlineStr">
        <is>
          <t>AF06</t>
        </is>
      </c>
    </row>
    <row r="818">
      <c r="A818" t="inlineStr">
        <is>
          <t>admin2</t>
        </is>
      </c>
      <c r="B818" t="inlineStr">
        <is>
          <t>AF0610</t>
        </is>
      </c>
      <c r="C818" t="inlineStr">
        <is>
          <t>Deh Bala</t>
        </is>
      </c>
      <c r="F818" t="inlineStr">
        <is>
          <t>AF06</t>
        </is>
      </c>
    </row>
    <row r="819">
      <c r="A819" t="inlineStr">
        <is>
          <t>admin2</t>
        </is>
      </c>
      <c r="B819" t="inlineStr">
        <is>
          <t>AF0611</t>
        </is>
      </c>
      <c r="C819" t="inlineStr">
        <is>
          <t>Pachir Wa Agam</t>
        </is>
      </c>
      <c r="F819" t="inlineStr">
        <is>
          <t>AF06</t>
        </is>
      </c>
    </row>
    <row r="820">
      <c r="A820" t="inlineStr">
        <is>
          <t>admin2</t>
        </is>
      </c>
      <c r="B820" t="inlineStr">
        <is>
          <t>AF0612</t>
        </is>
      </c>
      <c r="C820" t="inlineStr">
        <is>
          <t>Dara-e-Nur</t>
        </is>
      </c>
      <c r="F820" t="inlineStr">
        <is>
          <t>AF06</t>
        </is>
      </c>
    </row>
    <row r="821">
      <c r="A821" t="inlineStr">
        <is>
          <t>admin2</t>
        </is>
      </c>
      <c r="B821" t="inlineStr">
        <is>
          <t>AF0613</t>
        </is>
      </c>
      <c r="C821" t="inlineStr">
        <is>
          <t>Kot</t>
        </is>
      </c>
      <c r="F821" t="inlineStr">
        <is>
          <t>AF06</t>
        </is>
      </c>
    </row>
    <row r="822">
      <c r="A822" t="inlineStr">
        <is>
          <t>admin2</t>
        </is>
      </c>
      <c r="B822" t="inlineStr">
        <is>
          <t>AF0614</t>
        </is>
      </c>
      <c r="C822" t="inlineStr">
        <is>
          <t>Goshta</t>
        </is>
      </c>
      <c r="F822" t="inlineStr">
        <is>
          <t>AF06</t>
        </is>
      </c>
    </row>
    <row r="823">
      <c r="A823" t="inlineStr">
        <is>
          <t>admin2</t>
        </is>
      </c>
      <c r="B823" t="inlineStr">
        <is>
          <t>AF0615</t>
        </is>
      </c>
      <c r="C823" t="inlineStr">
        <is>
          <t>Achin</t>
        </is>
      </c>
      <c r="F823" t="inlineStr">
        <is>
          <t>AF06</t>
        </is>
      </c>
    </row>
    <row r="824">
      <c r="A824" t="inlineStr">
        <is>
          <t>admin2</t>
        </is>
      </c>
      <c r="B824" t="inlineStr">
        <is>
          <t>AF0616</t>
        </is>
      </c>
      <c r="C824" t="inlineStr">
        <is>
          <t>Shinwar</t>
        </is>
      </c>
      <c r="F824" t="inlineStr">
        <is>
          <t>AF06</t>
        </is>
      </c>
    </row>
    <row r="825">
      <c r="A825" t="inlineStr">
        <is>
          <t>admin2</t>
        </is>
      </c>
      <c r="B825" t="inlineStr">
        <is>
          <t>AF0617</t>
        </is>
      </c>
      <c r="C825" t="inlineStr">
        <is>
          <t>Muhmand Dara</t>
        </is>
      </c>
      <c r="F825" t="inlineStr">
        <is>
          <t>AF06</t>
        </is>
      </c>
    </row>
    <row r="826">
      <c r="A826" t="inlineStr">
        <is>
          <t>admin2</t>
        </is>
      </c>
      <c r="B826" t="inlineStr">
        <is>
          <t>AF0618</t>
        </is>
      </c>
      <c r="C826" t="inlineStr">
        <is>
          <t>Lalpur</t>
        </is>
      </c>
      <c r="F826" t="inlineStr">
        <is>
          <t>AF06</t>
        </is>
      </c>
    </row>
    <row r="827">
      <c r="A827" t="inlineStr">
        <is>
          <t>admin2</t>
        </is>
      </c>
      <c r="B827" t="inlineStr">
        <is>
          <t>AF0619</t>
        </is>
      </c>
      <c r="C827" t="inlineStr">
        <is>
          <t>Sherzad</t>
        </is>
      </c>
      <c r="F827" t="inlineStr">
        <is>
          <t>AF06</t>
        </is>
      </c>
    </row>
    <row r="828">
      <c r="A828" t="inlineStr">
        <is>
          <t>admin2</t>
        </is>
      </c>
      <c r="B828" t="inlineStr">
        <is>
          <t>AF0620</t>
        </is>
      </c>
      <c r="C828" t="inlineStr">
        <is>
          <t>Nazyan</t>
        </is>
      </c>
      <c r="F828" t="inlineStr">
        <is>
          <t>AF06</t>
        </is>
      </c>
    </row>
    <row r="829">
      <c r="A829" t="inlineStr">
        <is>
          <t>admin2</t>
        </is>
      </c>
      <c r="B829" t="inlineStr">
        <is>
          <t>AF0621</t>
        </is>
      </c>
      <c r="C829" t="inlineStr">
        <is>
          <t>Hesarak</t>
        </is>
      </c>
      <c r="F829" t="inlineStr">
        <is>
          <t>AF06</t>
        </is>
      </c>
    </row>
    <row r="830">
      <c r="A830" t="inlineStr">
        <is>
          <t>admin2</t>
        </is>
      </c>
      <c r="B830" t="inlineStr">
        <is>
          <t>AF0622</t>
        </is>
      </c>
      <c r="C830" t="inlineStr">
        <is>
          <t>Dur Baba</t>
        </is>
      </c>
      <c r="F830" t="inlineStr">
        <is>
          <t>AF06</t>
        </is>
      </c>
    </row>
    <row r="831">
      <c r="A831" t="inlineStr">
        <is>
          <t>admin2</t>
        </is>
      </c>
      <c r="B831" t="inlineStr">
        <is>
          <t>AF0701</t>
        </is>
      </c>
      <c r="C831" t="inlineStr">
        <is>
          <t>Mehtarlam</t>
        </is>
      </c>
      <c r="F831" t="inlineStr">
        <is>
          <t>AF07</t>
        </is>
      </c>
    </row>
    <row r="832">
      <c r="A832" t="inlineStr">
        <is>
          <t>admin2</t>
        </is>
      </c>
      <c r="B832" t="inlineStr">
        <is>
          <t>AF0702</t>
        </is>
      </c>
      <c r="C832" t="inlineStr">
        <is>
          <t>Qarghayi</t>
        </is>
      </c>
      <c r="F832" t="inlineStr">
        <is>
          <t>AF07</t>
        </is>
      </c>
    </row>
    <row r="833">
      <c r="A833" t="inlineStr">
        <is>
          <t>admin2</t>
        </is>
      </c>
      <c r="B833" t="inlineStr">
        <is>
          <t>AF0703</t>
        </is>
      </c>
      <c r="C833" t="inlineStr">
        <is>
          <t>Alishang</t>
        </is>
      </c>
      <c r="F833" t="inlineStr">
        <is>
          <t>AF07</t>
        </is>
      </c>
    </row>
    <row r="834">
      <c r="A834" t="inlineStr">
        <is>
          <t>admin2</t>
        </is>
      </c>
      <c r="B834" t="inlineStr">
        <is>
          <t>AF0704</t>
        </is>
      </c>
      <c r="C834" t="inlineStr">
        <is>
          <t>Alingar</t>
        </is>
      </c>
      <c r="F834" t="inlineStr">
        <is>
          <t>AF07</t>
        </is>
      </c>
    </row>
    <row r="835">
      <c r="A835" t="inlineStr">
        <is>
          <t>admin2</t>
        </is>
      </c>
      <c r="B835" t="inlineStr">
        <is>
          <t>AF0705</t>
        </is>
      </c>
      <c r="C835" t="inlineStr">
        <is>
          <t>Dawlatshah</t>
        </is>
      </c>
      <c r="F835" t="inlineStr">
        <is>
          <t>AF07</t>
        </is>
      </c>
    </row>
    <row r="836">
      <c r="A836" t="inlineStr">
        <is>
          <t>admin2</t>
        </is>
      </c>
      <c r="B836" t="inlineStr">
        <is>
          <t>AF0801</t>
        </is>
      </c>
      <c r="C836" t="inlineStr">
        <is>
          <t>Bazarak</t>
        </is>
      </c>
      <c r="F836" t="inlineStr">
        <is>
          <t>AF08</t>
        </is>
      </c>
    </row>
    <row r="837">
      <c r="A837" t="inlineStr">
        <is>
          <t>admin2</t>
        </is>
      </c>
      <c r="B837" t="inlineStr">
        <is>
          <t>AF0802</t>
        </is>
      </c>
      <c r="C837" t="inlineStr">
        <is>
          <t>Rukha</t>
        </is>
      </c>
      <c r="F837" t="inlineStr">
        <is>
          <t>AF08</t>
        </is>
      </c>
    </row>
    <row r="838">
      <c r="A838" t="inlineStr">
        <is>
          <t>admin2</t>
        </is>
      </c>
      <c r="B838" t="inlineStr">
        <is>
          <t>AF0803</t>
        </is>
      </c>
      <c r="C838" t="inlineStr">
        <is>
          <t>Dara</t>
        </is>
      </c>
      <c r="F838" t="inlineStr">
        <is>
          <t>AF08</t>
        </is>
      </c>
    </row>
    <row r="839">
      <c r="A839" t="inlineStr">
        <is>
          <t>admin2</t>
        </is>
      </c>
      <c r="B839" t="inlineStr">
        <is>
          <t>AF0804</t>
        </is>
      </c>
      <c r="C839" t="inlineStr">
        <is>
          <t>Khenj</t>
        </is>
      </c>
      <c r="F839" t="inlineStr">
        <is>
          <t>AF08</t>
        </is>
      </c>
    </row>
    <row r="840">
      <c r="A840" t="inlineStr">
        <is>
          <t>admin2</t>
        </is>
      </c>
      <c r="B840" t="inlineStr">
        <is>
          <t>AF0805</t>
        </is>
      </c>
      <c r="C840" t="inlineStr">
        <is>
          <t>Anawa</t>
        </is>
      </c>
      <c r="F840" t="inlineStr">
        <is>
          <t>AF08</t>
        </is>
      </c>
    </row>
    <row r="841">
      <c r="A841" t="inlineStr">
        <is>
          <t>admin2</t>
        </is>
      </c>
      <c r="B841" t="inlineStr">
        <is>
          <t>AF0806</t>
        </is>
      </c>
      <c r="C841" t="inlineStr">
        <is>
          <t>Shutul</t>
        </is>
      </c>
      <c r="F841" t="inlineStr">
        <is>
          <t>AF08</t>
        </is>
      </c>
    </row>
    <row r="842">
      <c r="A842" t="inlineStr">
        <is>
          <t>admin2</t>
        </is>
      </c>
      <c r="B842" t="inlineStr">
        <is>
          <t>AF0807</t>
        </is>
      </c>
      <c r="C842" t="inlineStr">
        <is>
          <t>Paryan</t>
        </is>
      </c>
      <c r="F842" t="inlineStr">
        <is>
          <t>AF08</t>
        </is>
      </c>
    </row>
    <row r="843">
      <c r="A843" t="inlineStr">
        <is>
          <t>admin2</t>
        </is>
      </c>
      <c r="B843" t="inlineStr">
        <is>
          <t>AF0901</t>
        </is>
      </c>
      <c r="C843" t="inlineStr">
        <is>
          <t>Pul-e-Khumri</t>
        </is>
      </c>
      <c r="F843" t="inlineStr">
        <is>
          <t>AF09</t>
        </is>
      </c>
    </row>
    <row r="844">
      <c r="A844" t="inlineStr">
        <is>
          <t>admin2</t>
        </is>
      </c>
      <c r="B844" t="inlineStr">
        <is>
          <t>AF0902</t>
        </is>
      </c>
      <c r="C844" t="inlineStr">
        <is>
          <t>Dahana-e-Ghori</t>
        </is>
      </c>
      <c r="F844" t="inlineStr">
        <is>
          <t>AF09</t>
        </is>
      </c>
    </row>
    <row r="845">
      <c r="A845" t="inlineStr">
        <is>
          <t>admin2</t>
        </is>
      </c>
      <c r="B845" t="inlineStr">
        <is>
          <t>AF0903</t>
        </is>
      </c>
      <c r="C845" t="inlineStr">
        <is>
          <t>Doshi</t>
        </is>
      </c>
      <c r="F845" t="inlineStr">
        <is>
          <t>AF09</t>
        </is>
      </c>
    </row>
    <row r="846">
      <c r="A846" t="inlineStr">
        <is>
          <t>admin2</t>
        </is>
      </c>
      <c r="B846" t="inlineStr">
        <is>
          <t>AF0904</t>
        </is>
      </c>
      <c r="C846" t="inlineStr">
        <is>
          <t>Nahrin</t>
        </is>
      </c>
      <c r="F846" t="inlineStr">
        <is>
          <t>AF09</t>
        </is>
      </c>
    </row>
    <row r="847">
      <c r="A847" t="inlineStr">
        <is>
          <t>admin2</t>
        </is>
      </c>
      <c r="B847" t="inlineStr">
        <is>
          <t>AF0905</t>
        </is>
      </c>
      <c r="C847" t="inlineStr">
        <is>
          <t>Baghlan-e-Jadid</t>
        </is>
      </c>
      <c r="F847" t="inlineStr">
        <is>
          <t>AF09</t>
        </is>
      </c>
    </row>
    <row r="848">
      <c r="A848" t="inlineStr">
        <is>
          <t>admin2</t>
        </is>
      </c>
      <c r="B848" t="inlineStr">
        <is>
          <t>AF0906</t>
        </is>
      </c>
      <c r="C848" t="inlineStr">
        <is>
          <t>Khinjan</t>
        </is>
      </c>
      <c r="F848" t="inlineStr">
        <is>
          <t>AF09</t>
        </is>
      </c>
    </row>
    <row r="849">
      <c r="A849" t="inlineStr">
        <is>
          <t>admin2</t>
        </is>
      </c>
      <c r="B849" t="inlineStr">
        <is>
          <t>AF0907</t>
        </is>
      </c>
      <c r="C849" t="inlineStr">
        <is>
          <t>Andarab</t>
        </is>
      </c>
      <c r="F849" t="inlineStr">
        <is>
          <t>AF09</t>
        </is>
      </c>
    </row>
    <row r="850">
      <c r="A850" t="inlineStr">
        <is>
          <t>admin2</t>
        </is>
      </c>
      <c r="B850" t="inlineStr">
        <is>
          <t>AF0908</t>
        </is>
      </c>
      <c r="C850" t="inlineStr">
        <is>
          <t>Deh Salah</t>
        </is>
      </c>
      <c r="F850" t="inlineStr">
        <is>
          <t>AF09</t>
        </is>
      </c>
    </row>
    <row r="851">
      <c r="A851" t="inlineStr">
        <is>
          <t>admin2</t>
        </is>
      </c>
      <c r="B851" t="inlineStr">
        <is>
          <t>AF0909</t>
        </is>
      </c>
      <c r="C851" t="inlineStr">
        <is>
          <t>Khwaja Hejran</t>
        </is>
      </c>
      <c r="F851" t="inlineStr">
        <is>
          <t>AF09</t>
        </is>
      </c>
    </row>
    <row r="852">
      <c r="A852" t="inlineStr">
        <is>
          <t>admin2</t>
        </is>
      </c>
      <c r="B852" t="inlineStr">
        <is>
          <t>AF0910</t>
        </is>
      </c>
      <c r="C852" t="inlineStr">
        <is>
          <t>Burka</t>
        </is>
      </c>
      <c r="F852" t="inlineStr">
        <is>
          <t>AF09</t>
        </is>
      </c>
    </row>
    <row r="853">
      <c r="A853" t="inlineStr">
        <is>
          <t>admin2</t>
        </is>
      </c>
      <c r="B853" t="inlineStr">
        <is>
          <t>AF0911</t>
        </is>
      </c>
      <c r="C853" t="inlineStr">
        <is>
          <t>Tala Wa Barfak</t>
        </is>
      </c>
      <c r="F853" t="inlineStr">
        <is>
          <t>AF09</t>
        </is>
      </c>
    </row>
    <row r="854">
      <c r="A854" t="inlineStr">
        <is>
          <t>admin2</t>
        </is>
      </c>
      <c r="B854" t="inlineStr">
        <is>
          <t>AF0912</t>
        </is>
      </c>
      <c r="C854" t="inlineStr">
        <is>
          <t>Pul-e-Hisar</t>
        </is>
      </c>
      <c r="F854" t="inlineStr">
        <is>
          <t>AF09</t>
        </is>
      </c>
    </row>
    <row r="855">
      <c r="A855" t="inlineStr">
        <is>
          <t>admin2</t>
        </is>
      </c>
      <c r="B855" t="inlineStr">
        <is>
          <t>AF0913</t>
        </is>
      </c>
      <c r="C855" t="inlineStr">
        <is>
          <t>Khost Wa Fereng</t>
        </is>
      </c>
      <c r="F855" t="inlineStr">
        <is>
          <t>AF09</t>
        </is>
      </c>
    </row>
    <row r="856">
      <c r="A856" t="inlineStr">
        <is>
          <t>admin2</t>
        </is>
      </c>
      <c r="B856" t="inlineStr">
        <is>
          <t>AF0914</t>
        </is>
      </c>
      <c r="C856" t="inlineStr">
        <is>
          <t>Guzargah-e-Nur</t>
        </is>
      </c>
      <c r="F856" t="inlineStr">
        <is>
          <t>AF09</t>
        </is>
      </c>
    </row>
    <row r="857">
      <c r="A857" t="inlineStr">
        <is>
          <t>admin2</t>
        </is>
      </c>
      <c r="B857" t="inlineStr">
        <is>
          <t>AF0915</t>
        </is>
      </c>
      <c r="C857" t="inlineStr">
        <is>
          <t>Fereng Wa Gharu</t>
        </is>
      </c>
      <c r="F857" t="inlineStr">
        <is>
          <t>AF09</t>
        </is>
      </c>
    </row>
    <row r="858">
      <c r="A858" t="inlineStr">
        <is>
          <t>admin2</t>
        </is>
      </c>
      <c r="B858" t="inlineStr">
        <is>
          <t>AF1001</t>
        </is>
      </c>
      <c r="C858" t="inlineStr">
        <is>
          <t>Bamyan</t>
        </is>
      </c>
      <c r="F858" t="inlineStr">
        <is>
          <t>AF10</t>
        </is>
      </c>
    </row>
    <row r="859">
      <c r="A859" t="inlineStr">
        <is>
          <t>admin2</t>
        </is>
      </c>
      <c r="B859" t="inlineStr">
        <is>
          <t>AF1002</t>
        </is>
      </c>
      <c r="C859" t="inlineStr">
        <is>
          <t>Shibar</t>
        </is>
      </c>
      <c r="F859" t="inlineStr">
        <is>
          <t>AF10</t>
        </is>
      </c>
    </row>
    <row r="860">
      <c r="A860" t="inlineStr">
        <is>
          <t>admin2</t>
        </is>
      </c>
      <c r="B860" t="inlineStr">
        <is>
          <t>AF1003</t>
        </is>
      </c>
      <c r="C860" t="inlineStr">
        <is>
          <t>Sayghan</t>
        </is>
      </c>
      <c r="F860" t="inlineStr">
        <is>
          <t>AF10</t>
        </is>
      </c>
    </row>
    <row r="861">
      <c r="A861" t="inlineStr">
        <is>
          <t>admin2</t>
        </is>
      </c>
      <c r="B861" t="inlineStr">
        <is>
          <t>AF1004</t>
        </is>
      </c>
      <c r="C861" t="inlineStr">
        <is>
          <t>Kahmard</t>
        </is>
      </c>
      <c r="F861" t="inlineStr">
        <is>
          <t>AF10</t>
        </is>
      </c>
    </row>
    <row r="862">
      <c r="A862" t="inlineStr">
        <is>
          <t>admin2</t>
        </is>
      </c>
      <c r="B862" t="inlineStr">
        <is>
          <t>AF1005</t>
        </is>
      </c>
      <c r="C862" t="inlineStr">
        <is>
          <t>Yakawlang</t>
        </is>
      </c>
      <c r="F862" t="inlineStr">
        <is>
          <t>AF10</t>
        </is>
      </c>
    </row>
    <row r="863">
      <c r="A863" t="inlineStr">
        <is>
          <t>admin2</t>
        </is>
      </c>
      <c r="B863" t="inlineStr">
        <is>
          <t>AF1006</t>
        </is>
      </c>
      <c r="C863" t="inlineStr">
        <is>
          <t>Panjab</t>
        </is>
      </c>
      <c r="F863" t="inlineStr">
        <is>
          <t>AF10</t>
        </is>
      </c>
    </row>
    <row r="864">
      <c r="A864" t="inlineStr">
        <is>
          <t>admin2</t>
        </is>
      </c>
      <c r="B864" t="inlineStr">
        <is>
          <t>AF1007</t>
        </is>
      </c>
      <c r="C864" t="inlineStr">
        <is>
          <t>Waras</t>
        </is>
      </c>
      <c r="F864" t="inlineStr">
        <is>
          <t>AF10</t>
        </is>
      </c>
    </row>
    <row r="865">
      <c r="A865" t="inlineStr">
        <is>
          <t>admin2</t>
        </is>
      </c>
      <c r="B865" t="inlineStr">
        <is>
          <t>AF1101</t>
        </is>
      </c>
      <c r="C865" t="inlineStr">
        <is>
          <t>Ghazni</t>
        </is>
      </c>
      <c r="F865" t="inlineStr">
        <is>
          <t>AF11</t>
        </is>
      </c>
    </row>
    <row r="866">
      <c r="A866" t="inlineStr">
        <is>
          <t>admin2</t>
        </is>
      </c>
      <c r="B866" t="inlineStr">
        <is>
          <t>AF1102</t>
        </is>
      </c>
      <c r="C866" t="inlineStr">
        <is>
          <t>Wal-e-Muhammad-e-Shahid</t>
        </is>
      </c>
      <c r="F866" t="inlineStr">
        <is>
          <t>AF11</t>
        </is>
      </c>
    </row>
    <row r="867">
      <c r="A867" t="inlineStr">
        <is>
          <t>admin2</t>
        </is>
      </c>
      <c r="B867" t="inlineStr">
        <is>
          <t>AF1103</t>
        </is>
      </c>
      <c r="C867" t="inlineStr">
        <is>
          <t>Khwaja Umari</t>
        </is>
      </c>
      <c r="F867" t="inlineStr">
        <is>
          <t>AF11</t>
        </is>
      </c>
    </row>
    <row r="868">
      <c r="A868" t="inlineStr">
        <is>
          <t>admin2</t>
        </is>
      </c>
      <c r="B868" t="inlineStr">
        <is>
          <t>AF1104</t>
        </is>
      </c>
      <c r="C868" t="inlineStr">
        <is>
          <t>Waghaz</t>
        </is>
      </c>
      <c r="F868" t="inlineStr">
        <is>
          <t>AF11</t>
        </is>
      </c>
    </row>
    <row r="869">
      <c r="A869" t="inlineStr">
        <is>
          <t>admin2</t>
        </is>
      </c>
      <c r="B869" t="inlineStr">
        <is>
          <t>AF1105</t>
        </is>
      </c>
      <c r="C869" t="inlineStr">
        <is>
          <t>Deh Yak</t>
        </is>
      </c>
      <c r="F869" t="inlineStr">
        <is>
          <t>AF11</t>
        </is>
      </c>
    </row>
    <row r="870">
      <c r="A870" t="inlineStr">
        <is>
          <t>admin2</t>
        </is>
      </c>
      <c r="B870" t="inlineStr">
        <is>
          <t>AF1106</t>
        </is>
      </c>
      <c r="C870" t="inlineStr">
        <is>
          <t>Jaghatu</t>
        </is>
      </c>
      <c r="F870" t="inlineStr">
        <is>
          <t>AF11</t>
        </is>
      </c>
    </row>
    <row r="871">
      <c r="A871" t="inlineStr">
        <is>
          <t>admin2</t>
        </is>
      </c>
      <c r="B871" t="inlineStr">
        <is>
          <t>AF1107</t>
        </is>
      </c>
      <c r="C871" t="inlineStr">
        <is>
          <t>Andar</t>
        </is>
      </c>
      <c r="F871" t="inlineStr">
        <is>
          <t>AF11</t>
        </is>
      </c>
    </row>
    <row r="872">
      <c r="A872" t="inlineStr">
        <is>
          <t>admin2</t>
        </is>
      </c>
      <c r="B872" t="inlineStr">
        <is>
          <t>AF1108</t>
        </is>
      </c>
      <c r="C872" t="inlineStr">
        <is>
          <t>Zanakhan</t>
        </is>
      </c>
      <c r="F872" t="inlineStr">
        <is>
          <t>AF11</t>
        </is>
      </c>
    </row>
    <row r="873">
      <c r="A873" t="inlineStr">
        <is>
          <t>admin2</t>
        </is>
      </c>
      <c r="B873" t="inlineStr">
        <is>
          <t>AF1109</t>
        </is>
      </c>
      <c r="C873" t="inlineStr">
        <is>
          <t>Rashidan</t>
        </is>
      </c>
      <c r="F873" t="inlineStr">
        <is>
          <t>AF11</t>
        </is>
      </c>
    </row>
    <row r="874">
      <c r="A874" t="inlineStr">
        <is>
          <t>admin2</t>
        </is>
      </c>
      <c r="B874" t="inlineStr">
        <is>
          <t>AF1110</t>
        </is>
      </c>
      <c r="C874" t="inlineStr">
        <is>
          <t>Nawur</t>
        </is>
      </c>
      <c r="F874" t="inlineStr">
        <is>
          <t>AF11</t>
        </is>
      </c>
    </row>
    <row r="875">
      <c r="A875" t="inlineStr">
        <is>
          <t>admin2</t>
        </is>
      </c>
      <c r="B875" t="inlineStr">
        <is>
          <t>AF1111</t>
        </is>
      </c>
      <c r="C875" t="inlineStr">
        <is>
          <t>Qara Bagh</t>
        </is>
      </c>
      <c r="F875" t="inlineStr">
        <is>
          <t>AF11</t>
        </is>
      </c>
    </row>
    <row r="876">
      <c r="A876" t="inlineStr">
        <is>
          <t>admin2</t>
        </is>
      </c>
      <c r="B876" t="inlineStr">
        <is>
          <t>AF1112</t>
        </is>
      </c>
      <c r="C876" t="inlineStr">
        <is>
          <t>Giro</t>
        </is>
      </c>
      <c r="F876" t="inlineStr">
        <is>
          <t>AF11</t>
        </is>
      </c>
    </row>
    <row r="877">
      <c r="A877" t="inlineStr">
        <is>
          <t>admin2</t>
        </is>
      </c>
      <c r="B877" t="inlineStr">
        <is>
          <t>AF1113</t>
        </is>
      </c>
      <c r="C877" t="inlineStr">
        <is>
          <t>Ab Band</t>
        </is>
      </c>
      <c r="F877" t="inlineStr">
        <is>
          <t>AF11</t>
        </is>
      </c>
    </row>
    <row r="878">
      <c r="A878" t="inlineStr">
        <is>
          <t>admin2</t>
        </is>
      </c>
      <c r="B878" t="inlineStr">
        <is>
          <t>AF1114</t>
        </is>
      </c>
      <c r="C878" t="inlineStr">
        <is>
          <t>Jaghuri</t>
        </is>
      </c>
      <c r="F878" t="inlineStr">
        <is>
          <t>AF11</t>
        </is>
      </c>
    </row>
    <row r="879">
      <c r="A879" t="inlineStr">
        <is>
          <t>admin2</t>
        </is>
      </c>
      <c r="B879" t="inlineStr">
        <is>
          <t>AF1115</t>
        </is>
      </c>
      <c r="C879" t="inlineStr">
        <is>
          <t>Muqur</t>
        </is>
      </c>
      <c r="F879" t="inlineStr">
        <is>
          <t>AF11</t>
        </is>
      </c>
    </row>
    <row r="880">
      <c r="A880" t="inlineStr">
        <is>
          <t>admin2</t>
        </is>
      </c>
      <c r="B880" t="inlineStr">
        <is>
          <t>AF1116</t>
        </is>
      </c>
      <c r="C880" t="inlineStr">
        <is>
          <t>Malistan</t>
        </is>
      </c>
      <c r="F880" t="inlineStr">
        <is>
          <t>AF11</t>
        </is>
      </c>
    </row>
    <row r="881">
      <c r="A881" t="inlineStr">
        <is>
          <t>admin2</t>
        </is>
      </c>
      <c r="B881" t="inlineStr">
        <is>
          <t>AF1117</t>
        </is>
      </c>
      <c r="C881" t="inlineStr">
        <is>
          <t>Gelan</t>
        </is>
      </c>
      <c r="F881" t="inlineStr">
        <is>
          <t>AF11</t>
        </is>
      </c>
    </row>
    <row r="882">
      <c r="A882" t="inlineStr">
        <is>
          <t>admin2</t>
        </is>
      </c>
      <c r="B882" t="inlineStr">
        <is>
          <t>AF1118</t>
        </is>
      </c>
      <c r="C882" t="inlineStr">
        <is>
          <t>Ajristan</t>
        </is>
      </c>
      <c r="F882" t="inlineStr">
        <is>
          <t>AF11</t>
        </is>
      </c>
    </row>
    <row r="883">
      <c r="A883" t="inlineStr">
        <is>
          <t>admin2</t>
        </is>
      </c>
      <c r="B883" t="inlineStr">
        <is>
          <t>AF1119</t>
        </is>
      </c>
      <c r="C883" t="inlineStr">
        <is>
          <t>Nawa</t>
        </is>
      </c>
      <c r="F883" t="inlineStr">
        <is>
          <t>AF11</t>
        </is>
      </c>
    </row>
    <row r="884">
      <c r="A884" t="inlineStr">
        <is>
          <t>admin2</t>
        </is>
      </c>
      <c r="B884" t="inlineStr">
        <is>
          <t>AF1201</t>
        </is>
      </c>
      <c r="C884" t="inlineStr">
        <is>
          <t>Sharan</t>
        </is>
      </c>
      <c r="F884" t="inlineStr">
        <is>
          <t>AF12</t>
        </is>
      </c>
    </row>
    <row r="885">
      <c r="A885" t="inlineStr">
        <is>
          <t>admin2</t>
        </is>
      </c>
      <c r="B885" t="inlineStr">
        <is>
          <t>AF1202</t>
        </is>
      </c>
      <c r="C885" t="inlineStr">
        <is>
          <t>Mata Khan</t>
        </is>
      </c>
      <c r="F885" t="inlineStr">
        <is>
          <t>AF12</t>
        </is>
      </c>
    </row>
    <row r="886">
      <c r="A886" t="inlineStr">
        <is>
          <t>admin2</t>
        </is>
      </c>
      <c r="B886" t="inlineStr">
        <is>
          <t>AF1203</t>
        </is>
      </c>
      <c r="C886" t="inlineStr">
        <is>
          <t>Yosuf Khel</t>
        </is>
      </c>
      <c r="F886" t="inlineStr">
        <is>
          <t>AF12</t>
        </is>
      </c>
    </row>
    <row r="887">
      <c r="A887" t="inlineStr">
        <is>
          <t>admin2</t>
        </is>
      </c>
      <c r="B887" t="inlineStr">
        <is>
          <t>AF1204</t>
        </is>
      </c>
      <c r="C887" t="inlineStr">
        <is>
          <t>Yahya Khel</t>
        </is>
      </c>
      <c r="F887" t="inlineStr">
        <is>
          <t>AF12</t>
        </is>
      </c>
    </row>
    <row r="888">
      <c r="A888" t="inlineStr">
        <is>
          <t>admin2</t>
        </is>
      </c>
      <c r="B888" t="inlineStr">
        <is>
          <t>AF1205</t>
        </is>
      </c>
      <c r="C888" t="inlineStr">
        <is>
          <t>Sar Rawzah</t>
        </is>
      </c>
      <c r="F888" t="inlineStr">
        <is>
          <t>AF12</t>
        </is>
      </c>
    </row>
    <row r="889">
      <c r="A889" t="inlineStr">
        <is>
          <t>admin2</t>
        </is>
      </c>
      <c r="B889" t="inlineStr">
        <is>
          <t>AF1206</t>
        </is>
      </c>
      <c r="C889" t="inlineStr">
        <is>
          <t>Omna</t>
        </is>
      </c>
      <c r="F889" t="inlineStr">
        <is>
          <t>AF12</t>
        </is>
      </c>
    </row>
    <row r="890">
      <c r="A890" t="inlineStr">
        <is>
          <t>admin2</t>
        </is>
      </c>
      <c r="B890" t="inlineStr">
        <is>
          <t>AF1207</t>
        </is>
      </c>
      <c r="C890" t="inlineStr">
        <is>
          <t>Zarghun Shahr</t>
        </is>
      </c>
      <c r="F890" t="inlineStr">
        <is>
          <t>AF12</t>
        </is>
      </c>
    </row>
    <row r="891">
      <c r="A891" t="inlineStr">
        <is>
          <t>admin2</t>
        </is>
      </c>
      <c r="B891" t="inlineStr">
        <is>
          <t>AF1208</t>
        </is>
      </c>
      <c r="C891" t="inlineStr">
        <is>
          <t>Gomal</t>
        </is>
      </c>
      <c r="F891" t="inlineStr">
        <is>
          <t>AF12</t>
        </is>
      </c>
    </row>
    <row r="892">
      <c r="A892" t="inlineStr">
        <is>
          <t>admin2</t>
        </is>
      </c>
      <c r="B892" t="inlineStr">
        <is>
          <t>AF1209</t>
        </is>
      </c>
      <c r="C892" t="inlineStr">
        <is>
          <t>Jani Khel</t>
        </is>
      </c>
      <c r="F892" t="inlineStr">
        <is>
          <t>AF12</t>
        </is>
      </c>
    </row>
    <row r="893">
      <c r="A893" t="inlineStr">
        <is>
          <t>admin2</t>
        </is>
      </c>
      <c r="B893" t="inlineStr">
        <is>
          <t>AF1210</t>
        </is>
      </c>
      <c r="C893" t="inlineStr">
        <is>
          <t>Surobi</t>
        </is>
      </c>
      <c r="F893" t="inlineStr">
        <is>
          <t>AF12</t>
        </is>
      </c>
    </row>
    <row r="894">
      <c r="A894" t="inlineStr">
        <is>
          <t>admin2</t>
        </is>
      </c>
      <c r="B894" t="inlineStr">
        <is>
          <t>AF1211</t>
        </is>
      </c>
      <c r="C894" t="inlineStr">
        <is>
          <t>Urgun</t>
        </is>
      </c>
      <c r="F894" t="inlineStr">
        <is>
          <t>AF12</t>
        </is>
      </c>
    </row>
    <row r="895">
      <c r="A895" t="inlineStr">
        <is>
          <t>admin2</t>
        </is>
      </c>
      <c r="B895" t="inlineStr">
        <is>
          <t>AF1212</t>
        </is>
      </c>
      <c r="C895" t="inlineStr">
        <is>
          <t>Ziruk</t>
        </is>
      </c>
      <c r="F895" t="inlineStr">
        <is>
          <t>AF12</t>
        </is>
      </c>
    </row>
    <row r="896">
      <c r="A896" t="inlineStr">
        <is>
          <t>admin2</t>
        </is>
      </c>
      <c r="B896" t="inlineStr">
        <is>
          <t>AF1213</t>
        </is>
      </c>
      <c r="C896" t="inlineStr">
        <is>
          <t>Nika</t>
        </is>
      </c>
      <c r="F896" t="inlineStr">
        <is>
          <t>AF12</t>
        </is>
      </c>
    </row>
    <row r="897">
      <c r="A897" t="inlineStr">
        <is>
          <t>admin2</t>
        </is>
      </c>
      <c r="B897" t="inlineStr">
        <is>
          <t>AF1214</t>
        </is>
      </c>
      <c r="C897" t="inlineStr">
        <is>
          <t>Barmal</t>
        </is>
      </c>
      <c r="F897" t="inlineStr">
        <is>
          <t>AF12</t>
        </is>
      </c>
    </row>
    <row r="898">
      <c r="A898" t="inlineStr">
        <is>
          <t>admin2</t>
        </is>
      </c>
      <c r="B898" t="inlineStr">
        <is>
          <t>AF1215</t>
        </is>
      </c>
      <c r="C898" t="inlineStr">
        <is>
          <t>Giyan</t>
        </is>
      </c>
      <c r="F898" t="inlineStr">
        <is>
          <t>AF12</t>
        </is>
      </c>
    </row>
    <row r="899">
      <c r="A899" t="inlineStr">
        <is>
          <t>admin2</t>
        </is>
      </c>
      <c r="B899" t="inlineStr">
        <is>
          <t>AF1216</t>
        </is>
      </c>
      <c r="C899" t="inlineStr">
        <is>
          <t>Dila</t>
        </is>
      </c>
      <c r="F899" t="inlineStr">
        <is>
          <t>AF12</t>
        </is>
      </c>
    </row>
    <row r="900">
      <c r="A900" t="inlineStr">
        <is>
          <t>admin2</t>
        </is>
      </c>
      <c r="B900" t="inlineStr">
        <is>
          <t>AF1217</t>
        </is>
      </c>
      <c r="C900" t="inlineStr">
        <is>
          <t>Wazakhah</t>
        </is>
      </c>
      <c r="F900" t="inlineStr">
        <is>
          <t>AF12</t>
        </is>
      </c>
    </row>
    <row r="901">
      <c r="A901" t="inlineStr">
        <is>
          <t>admin2</t>
        </is>
      </c>
      <c r="B901" t="inlineStr">
        <is>
          <t>AF1218</t>
        </is>
      </c>
      <c r="C901" t="inlineStr">
        <is>
          <t>Wormamay</t>
        </is>
      </c>
      <c r="F901" t="inlineStr">
        <is>
          <t>AF12</t>
        </is>
      </c>
    </row>
    <row r="902">
      <c r="A902" t="inlineStr">
        <is>
          <t>admin2</t>
        </is>
      </c>
      <c r="B902" t="inlineStr">
        <is>
          <t>AF1219</t>
        </is>
      </c>
      <c r="C902" t="inlineStr">
        <is>
          <t>Turwo</t>
        </is>
      </c>
      <c r="F902" t="inlineStr">
        <is>
          <t>AF12</t>
        </is>
      </c>
    </row>
    <row r="903">
      <c r="A903" t="inlineStr">
        <is>
          <t>admin2</t>
        </is>
      </c>
      <c r="B903" t="inlineStr">
        <is>
          <t>AF1301</t>
        </is>
      </c>
      <c r="C903" t="inlineStr">
        <is>
          <t>Gardez</t>
        </is>
      </c>
      <c r="F903" t="inlineStr">
        <is>
          <t>AF13</t>
        </is>
      </c>
    </row>
    <row r="904">
      <c r="A904" t="inlineStr">
        <is>
          <t>admin2</t>
        </is>
      </c>
      <c r="B904" t="inlineStr">
        <is>
          <t>AF1302</t>
        </is>
      </c>
      <c r="C904" t="inlineStr">
        <is>
          <t>Ahmadaba</t>
        </is>
      </c>
      <c r="F904" t="inlineStr">
        <is>
          <t>AF13</t>
        </is>
      </c>
    </row>
    <row r="905">
      <c r="A905" t="inlineStr">
        <is>
          <t>admin2</t>
        </is>
      </c>
      <c r="B905" t="inlineStr">
        <is>
          <t>AF1303</t>
        </is>
      </c>
      <c r="C905" t="inlineStr">
        <is>
          <t>Zurmat</t>
        </is>
      </c>
      <c r="F905" t="inlineStr">
        <is>
          <t>AF13</t>
        </is>
      </c>
    </row>
    <row r="906">
      <c r="A906" t="inlineStr">
        <is>
          <t>admin2</t>
        </is>
      </c>
      <c r="B906" t="inlineStr">
        <is>
          <t>AF1304</t>
        </is>
      </c>
      <c r="C906" t="inlineStr">
        <is>
          <t>Shawak</t>
        </is>
      </c>
      <c r="F906" t="inlineStr">
        <is>
          <t>AF13</t>
        </is>
      </c>
    </row>
    <row r="907">
      <c r="A907" t="inlineStr">
        <is>
          <t>admin2</t>
        </is>
      </c>
      <c r="B907" t="inlineStr">
        <is>
          <t>AF1305</t>
        </is>
      </c>
      <c r="C907" t="inlineStr">
        <is>
          <t>Zadran</t>
        </is>
      </c>
      <c r="F907" t="inlineStr">
        <is>
          <t>AF13</t>
        </is>
      </c>
    </row>
    <row r="908">
      <c r="A908" t="inlineStr">
        <is>
          <t>admin2</t>
        </is>
      </c>
      <c r="B908" t="inlineStr">
        <is>
          <t>AF1306</t>
        </is>
      </c>
      <c r="C908" t="inlineStr">
        <is>
          <t>Sayed Karam</t>
        </is>
      </c>
      <c r="F908" t="inlineStr">
        <is>
          <t>AF13</t>
        </is>
      </c>
    </row>
    <row r="909">
      <c r="A909" t="inlineStr">
        <is>
          <t>admin2</t>
        </is>
      </c>
      <c r="B909" t="inlineStr">
        <is>
          <t>AF1307</t>
        </is>
      </c>
      <c r="C909" t="inlineStr">
        <is>
          <t>Jaji</t>
        </is>
      </c>
      <c r="F909" t="inlineStr">
        <is>
          <t>AF13</t>
        </is>
      </c>
    </row>
    <row r="910">
      <c r="A910" t="inlineStr">
        <is>
          <t>admin2</t>
        </is>
      </c>
      <c r="B910" t="inlineStr">
        <is>
          <t>AF1308</t>
        </is>
      </c>
      <c r="C910" t="inlineStr">
        <is>
          <t>Lija Ahmad Khel</t>
        </is>
      </c>
      <c r="F910" t="inlineStr">
        <is>
          <t>AF13</t>
        </is>
      </c>
    </row>
    <row r="911">
      <c r="A911" t="inlineStr">
        <is>
          <t>admin2</t>
        </is>
      </c>
      <c r="B911" t="inlineStr">
        <is>
          <t>AF1309</t>
        </is>
      </c>
      <c r="C911" t="inlineStr">
        <is>
          <t>Jani Khel</t>
        </is>
      </c>
      <c r="F911" t="inlineStr">
        <is>
          <t>AF13</t>
        </is>
      </c>
    </row>
    <row r="912">
      <c r="A912" t="inlineStr">
        <is>
          <t>admin2</t>
        </is>
      </c>
      <c r="B912" t="inlineStr">
        <is>
          <t>AF1310</t>
        </is>
      </c>
      <c r="C912" t="inlineStr">
        <is>
          <t>Chamkani</t>
        </is>
      </c>
      <c r="F912" t="inlineStr">
        <is>
          <t>AF13</t>
        </is>
      </c>
    </row>
    <row r="913">
      <c r="A913" t="inlineStr">
        <is>
          <t>admin2</t>
        </is>
      </c>
      <c r="B913" t="inlineStr">
        <is>
          <t>AF1311</t>
        </is>
      </c>
      <c r="C913" t="inlineStr">
        <is>
          <t>Dand Wa Patan</t>
        </is>
      </c>
      <c r="F913" t="inlineStr">
        <is>
          <t>AF13</t>
        </is>
      </c>
    </row>
    <row r="914">
      <c r="A914" t="inlineStr">
        <is>
          <t>admin2</t>
        </is>
      </c>
      <c r="B914" t="inlineStr">
        <is>
          <t>AF1401</t>
        </is>
      </c>
      <c r="C914" t="inlineStr">
        <is>
          <t>Matun</t>
        </is>
      </c>
      <c r="F914" t="inlineStr">
        <is>
          <t>AF14</t>
        </is>
      </c>
    </row>
    <row r="915">
      <c r="A915" t="inlineStr">
        <is>
          <t>admin2</t>
        </is>
      </c>
      <c r="B915" t="inlineStr">
        <is>
          <t>AF1402</t>
        </is>
      </c>
      <c r="C915" t="inlineStr">
        <is>
          <t>Mandozayi</t>
        </is>
      </c>
      <c r="F915" t="inlineStr">
        <is>
          <t>AF14</t>
        </is>
      </c>
    </row>
    <row r="916">
      <c r="A916" t="inlineStr">
        <is>
          <t>admin2</t>
        </is>
      </c>
      <c r="B916" t="inlineStr">
        <is>
          <t>AF1403</t>
        </is>
      </c>
      <c r="C916" t="inlineStr">
        <is>
          <t>Gurbuz</t>
        </is>
      </c>
      <c r="F916" t="inlineStr">
        <is>
          <t>AF14</t>
        </is>
      </c>
    </row>
    <row r="917">
      <c r="A917" t="inlineStr">
        <is>
          <t>admin2</t>
        </is>
      </c>
      <c r="B917" t="inlineStr">
        <is>
          <t>AF1404</t>
        </is>
      </c>
      <c r="C917" t="inlineStr">
        <is>
          <t>Tani</t>
        </is>
      </c>
      <c r="F917" t="inlineStr">
        <is>
          <t>AF14</t>
        </is>
      </c>
    </row>
    <row r="918">
      <c r="A918" t="inlineStr">
        <is>
          <t>admin2</t>
        </is>
      </c>
      <c r="B918" t="inlineStr">
        <is>
          <t>AF1405</t>
        </is>
      </c>
      <c r="C918" t="inlineStr">
        <is>
          <t>Musa Khel</t>
        </is>
      </c>
      <c r="F918" t="inlineStr">
        <is>
          <t>AF14</t>
        </is>
      </c>
    </row>
    <row r="919">
      <c r="A919" t="inlineStr">
        <is>
          <t>admin2</t>
        </is>
      </c>
      <c r="B919" t="inlineStr">
        <is>
          <t>AF1406</t>
        </is>
      </c>
      <c r="C919" t="inlineStr">
        <is>
          <t>Nadir Shah Kot</t>
        </is>
      </c>
      <c r="F919" t="inlineStr">
        <is>
          <t>AF14</t>
        </is>
      </c>
    </row>
    <row r="920">
      <c r="A920" t="inlineStr">
        <is>
          <t>admin2</t>
        </is>
      </c>
      <c r="B920" t="inlineStr">
        <is>
          <t>AF1407</t>
        </is>
      </c>
      <c r="C920" t="inlineStr">
        <is>
          <t>Sabari</t>
        </is>
      </c>
      <c r="F920" t="inlineStr">
        <is>
          <t>AF14</t>
        </is>
      </c>
    </row>
    <row r="921">
      <c r="A921" t="inlineStr">
        <is>
          <t>admin2</t>
        </is>
      </c>
      <c r="B921" t="inlineStr">
        <is>
          <t>AF1408</t>
        </is>
      </c>
      <c r="C921" t="inlineStr">
        <is>
          <t>Terezayi</t>
        </is>
      </c>
      <c r="F921" t="inlineStr">
        <is>
          <t>AF14</t>
        </is>
      </c>
    </row>
    <row r="922">
      <c r="A922" t="inlineStr">
        <is>
          <t>admin2</t>
        </is>
      </c>
      <c r="B922" t="inlineStr">
        <is>
          <t>AF1409</t>
        </is>
      </c>
      <c r="C922" t="inlineStr">
        <is>
          <t>Bak</t>
        </is>
      </c>
      <c r="F922" t="inlineStr">
        <is>
          <t>AF14</t>
        </is>
      </c>
    </row>
    <row r="923">
      <c r="A923" t="inlineStr">
        <is>
          <t>admin2</t>
        </is>
      </c>
      <c r="B923" t="inlineStr">
        <is>
          <t>AF1410</t>
        </is>
      </c>
      <c r="C923" t="inlineStr">
        <is>
          <t>Qalandar</t>
        </is>
      </c>
      <c r="F923" t="inlineStr">
        <is>
          <t>AF14</t>
        </is>
      </c>
    </row>
    <row r="924">
      <c r="A924" t="inlineStr">
        <is>
          <t>admin2</t>
        </is>
      </c>
      <c r="B924" t="inlineStr">
        <is>
          <t>AF1411</t>
        </is>
      </c>
      <c r="C924" t="inlineStr">
        <is>
          <t>Spera</t>
        </is>
      </c>
      <c r="F924" t="inlineStr">
        <is>
          <t>AF14</t>
        </is>
      </c>
    </row>
    <row r="925">
      <c r="A925" t="inlineStr">
        <is>
          <t>admin2</t>
        </is>
      </c>
      <c r="B925" t="inlineStr">
        <is>
          <t>AF1412</t>
        </is>
      </c>
      <c r="C925" t="inlineStr">
        <is>
          <t>Shamal</t>
        </is>
      </c>
      <c r="F925" t="inlineStr">
        <is>
          <t>AF14</t>
        </is>
      </c>
    </row>
    <row r="926">
      <c r="A926" t="inlineStr">
        <is>
          <t>admin2</t>
        </is>
      </c>
      <c r="B926" t="inlineStr">
        <is>
          <t>AF1413</t>
        </is>
      </c>
      <c r="C926" t="inlineStr">
        <is>
          <t>Jaji Maydan</t>
        </is>
      </c>
      <c r="F926" t="inlineStr">
        <is>
          <t>AF14</t>
        </is>
      </c>
    </row>
    <row r="927">
      <c r="A927" t="inlineStr">
        <is>
          <t>admin2</t>
        </is>
      </c>
      <c r="B927" t="inlineStr">
        <is>
          <t>AF1501</t>
        </is>
      </c>
      <c r="C927" t="inlineStr">
        <is>
          <t>Asad Abad</t>
        </is>
      </c>
      <c r="F927" t="inlineStr">
        <is>
          <t>AF15</t>
        </is>
      </c>
    </row>
    <row r="928">
      <c r="A928" t="inlineStr">
        <is>
          <t>admin2</t>
        </is>
      </c>
      <c r="B928" t="inlineStr">
        <is>
          <t>AF1502</t>
        </is>
      </c>
      <c r="C928" t="inlineStr">
        <is>
          <t>Marawara</t>
        </is>
      </c>
      <c r="F928" t="inlineStr">
        <is>
          <t>AF15</t>
        </is>
      </c>
    </row>
    <row r="929">
      <c r="A929" t="inlineStr">
        <is>
          <t>admin2</t>
        </is>
      </c>
      <c r="B929" t="inlineStr">
        <is>
          <t>AF1503</t>
        </is>
      </c>
      <c r="C929" t="inlineStr">
        <is>
          <t>Watapur</t>
        </is>
      </c>
      <c r="F929" t="inlineStr">
        <is>
          <t>AF15</t>
        </is>
      </c>
    </row>
    <row r="930">
      <c r="A930" t="inlineStr">
        <is>
          <t>admin2</t>
        </is>
      </c>
      <c r="B930" t="inlineStr">
        <is>
          <t>AF1504</t>
        </is>
      </c>
      <c r="C930" t="inlineStr">
        <is>
          <t>Narang</t>
        </is>
      </c>
      <c r="F930" t="inlineStr">
        <is>
          <t>AF15</t>
        </is>
      </c>
    </row>
    <row r="931">
      <c r="A931" t="inlineStr">
        <is>
          <t>admin2</t>
        </is>
      </c>
      <c r="B931" t="inlineStr">
        <is>
          <t>AF1505</t>
        </is>
      </c>
      <c r="C931" t="inlineStr">
        <is>
          <t>Sar Kani</t>
        </is>
      </c>
      <c r="F931" t="inlineStr">
        <is>
          <t>AF15</t>
        </is>
      </c>
    </row>
    <row r="932">
      <c r="A932" t="inlineStr">
        <is>
          <t>admin2</t>
        </is>
      </c>
      <c r="B932" t="inlineStr">
        <is>
          <t>AF1506</t>
        </is>
      </c>
      <c r="C932" t="inlineStr">
        <is>
          <t>Shigal</t>
        </is>
      </c>
      <c r="F932" t="inlineStr">
        <is>
          <t>AF15</t>
        </is>
      </c>
    </row>
    <row r="933">
      <c r="A933" t="inlineStr">
        <is>
          <t>admin2</t>
        </is>
      </c>
      <c r="B933" t="inlineStr">
        <is>
          <t>AF1507</t>
        </is>
      </c>
      <c r="C933" t="inlineStr">
        <is>
          <t>Dara-e-Pech</t>
        </is>
      </c>
      <c r="F933" t="inlineStr">
        <is>
          <t>AF15</t>
        </is>
      </c>
    </row>
    <row r="934">
      <c r="A934" t="inlineStr">
        <is>
          <t>admin2</t>
        </is>
      </c>
      <c r="B934" t="inlineStr">
        <is>
          <t>AF1508</t>
        </is>
      </c>
      <c r="C934" t="inlineStr">
        <is>
          <t>Bar Kunar</t>
        </is>
      </c>
      <c r="F934" t="inlineStr">
        <is>
          <t>AF15</t>
        </is>
      </c>
    </row>
    <row r="935">
      <c r="A935" t="inlineStr">
        <is>
          <t>admin2</t>
        </is>
      </c>
      <c r="B935" t="inlineStr">
        <is>
          <t>AF1509</t>
        </is>
      </c>
      <c r="C935" t="inlineStr">
        <is>
          <t>Chawkay</t>
        </is>
      </c>
      <c r="F935" t="inlineStr">
        <is>
          <t>AF15</t>
        </is>
      </c>
    </row>
    <row r="936">
      <c r="A936" t="inlineStr">
        <is>
          <t>admin2</t>
        </is>
      </c>
      <c r="B936" t="inlineStr">
        <is>
          <t>AF1510</t>
        </is>
      </c>
      <c r="C936" t="inlineStr">
        <is>
          <t>Khas Kunar</t>
        </is>
      </c>
      <c r="F936" t="inlineStr">
        <is>
          <t>AF15</t>
        </is>
      </c>
    </row>
    <row r="937">
      <c r="A937" t="inlineStr">
        <is>
          <t>admin2</t>
        </is>
      </c>
      <c r="B937" t="inlineStr">
        <is>
          <t>AF1511</t>
        </is>
      </c>
      <c r="C937" t="inlineStr">
        <is>
          <t>Ghazi Abad</t>
        </is>
      </c>
      <c r="F937" t="inlineStr">
        <is>
          <t>AF15</t>
        </is>
      </c>
    </row>
    <row r="938">
      <c r="A938" t="inlineStr">
        <is>
          <t>admin2</t>
        </is>
      </c>
      <c r="B938" t="inlineStr">
        <is>
          <t>AF1512</t>
        </is>
      </c>
      <c r="C938" t="inlineStr">
        <is>
          <t>Dangam</t>
        </is>
      </c>
      <c r="F938" t="inlineStr">
        <is>
          <t>AF15</t>
        </is>
      </c>
    </row>
    <row r="939">
      <c r="A939" t="inlineStr">
        <is>
          <t>admin2</t>
        </is>
      </c>
      <c r="B939" t="inlineStr">
        <is>
          <t>AF1513</t>
        </is>
      </c>
      <c r="C939" t="inlineStr">
        <is>
          <t>Chapa Dara</t>
        </is>
      </c>
      <c r="F939" t="inlineStr">
        <is>
          <t>AF15</t>
        </is>
      </c>
    </row>
    <row r="940">
      <c r="A940" t="inlineStr">
        <is>
          <t>admin2</t>
        </is>
      </c>
      <c r="B940" t="inlineStr">
        <is>
          <t>AF1514</t>
        </is>
      </c>
      <c r="C940" t="inlineStr">
        <is>
          <t>Nurgal</t>
        </is>
      </c>
      <c r="F940" t="inlineStr">
        <is>
          <t>AF15</t>
        </is>
      </c>
    </row>
    <row r="941">
      <c r="A941" t="inlineStr">
        <is>
          <t>admin2</t>
        </is>
      </c>
      <c r="B941" t="inlineStr">
        <is>
          <t>AF1515</t>
        </is>
      </c>
      <c r="C941" t="inlineStr">
        <is>
          <t>Nari</t>
        </is>
      </c>
      <c r="F941" t="inlineStr">
        <is>
          <t>AF15</t>
        </is>
      </c>
    </row>
    <row r="942">
      <c r="A942" t="inlineStr">
        <is>
          <t>admin2</t>
        </is>
      </c>
      <c r="B942" t="inlineStr">
        <is>
          <t>AF1601</t>
        </is>
      </c>
      <c r="C942" t="inlineStr">
        <is>
          <t>Parun</t>
        </is>
      </c>
      <c r="F942" t="inlineStr">
        <is>
          <t>AF16</t>
        </is>
      </c>
    </row>
    <row r="943">
      <c r="A943" t="inlineStr">
        <is>
          <t>admin2</t>
        </is>
      </c>
      <c r="B943" t="inlineStr">
        <is>
          <t>AF1602</t>
        </is>
      </c>
      <c r="C943" t="inlineStr">
        <is>
          <t>Waygal</t>
        </is>
      </c>
      <c r="F943" t="inlineStr">
        <is>
          <t>AF16</t>
        </is>
      </c>
    </row>
    <row r="944">
      <c r="A944" t="inlineStr">
        <is>
          <t>admin2</t>
        </is>
      </c>
      <c r="B944" t="inlineStr">
        <is>
          <t>AF1603</t>
        </is>
      </c>
      <c r="C944" t="inlineStr">
        <is>
          <t>Wama</t>
        </is>
      </c>
      <c r="F944" t="inlineStr">
        <is>
          <t>AF16</t>
        </is>
      </c>
    </row>
    <row r="945">
      <c r="A945" t="inlineStr">
        <is>
          <t>admin2</t>
        </is>
      </c>
      <c r="B945" t="inlineStr">
        <is>
          <t>AF1604</t>
        </is>
      </c>
      <c r="C945" t="inlineStr">
        <is>
          <t>Nurgaram</t>
        </is>
      </c>
      <c r="F945" t="inlineStr">
        <is>
          <t>AF16</t>
        </is>
      </c>
    </row>
    <row r="946">
      <c r="A946" t="inlineStr">
        <is>
          <t>admin2</t>
        </is>
      </c>
      <c r="B946" t="inlineStr">
        <is>
          <t>AF1605</t>
        </is>
      </c>
      <c r="C946" t="inlineStr">
        <is>
          <t>Duab</t>
        </is>
      </c>
      <c r="F946" t="inlineStr">
        <is>
          <t>AF16</t>
        </is>
      </c>
    </row>
    <row r="947">
      <c r="A947" t="inlineStr">
        <is>
          <t>admin2</t>
        </is>
      </c>
      <c r="B947" t="inlineStr">
        <is>
          <t>AF1606</t>
        </is>
      </c>
      <c r="C947" t="inlineStr">
        <is>
          <t>Kamdesh</t>
        </is>
      </c>
      <c r="F947" t="inlineStr">
        <is>
          <t>AF16</t>
        </is>
      </c>
    </row>
    <row r="948">
      <c r="A948" t="inlineStr">
        <is>
          <t>admin2</t>
        </is>
      </c>
      <c r="B948" t="inlineStr">
        <is>
          <t>AF1607</t>
        </is>
      </c>
      <c r="C948" t="inlineStr">
        <is>
          <t>Mandol</t>
        </is>
      </c>
      <c r="F948" t="inlineStr">
        <is>
          <t>AF16</t>
        </is>
      </c>
    </row>
    <row r="949">
      <c r="A949" t="inlineStr">
        <is>
          <t>admin2</t>
        </is>
      </c>
      <c r="B949" t="inlineStr">
        <is>
          <t>AF1608</t>
        </is>
      </c>
      <c r="C949" t="inlineStr">
        <is>
          <t>Barg-e-Matal</t>
        </is>
      </c>
      <c r="F949" t="inlineStr">
        <is>
          <t>AF16</t>
        </is>
      </c>
    </row>
    <row r="950">
      <c r="A950" t="inlineStr">
        <is>
          <t>admin2</t>
        </is>
      </c>
      <c r="B950" t="inlineStr">
        <is>
          <t>AF1701</t>
        </is>
      </c>
      <c r="C950" t="inlineStr">
        <is>
          <t>Fayzabad</t>
        </is>
      </c>
      <c r="F950" t="inlineStr">
        <is>
          <t>AF17</t>
        </is>
      </c>
    </row>
    <row r="951">
      <c r="A951" t="inlineStr">
        <is>
          <t>admin2</t>
        </is>
      </c>
      <c r="B951" t="inlineStr">
        <is>
          <t>AF1702</t>
        </is>
      </c>
      <c r="C951" t="inlineStr">
        <is>
          <t>Argo</t>
        </is>
      </c>
      <c r="F951" t="inlineStr">
        <is>
          <t>AF17</t>
        </is>
      </c>
    </row>
    <row r="952">
      <c r="A952" t="inlineStr">
        <is>
          <t>admin2</t>
        </is>
      </c>
      <c r="B952" t="inlineStr">
        <is>
          <t>AF1703</t>
        </is>
      </c>
      <c r="C952" t="inlineStr">
        <is>
          <t>Arghanj Khwah</t>
        </is>
      </c>
      <c r="F952" t="inlineStr">
        <is>
          <t>AF17</t>
        </is>
      </c>
    </row>
    <row r="953">
      <c r="A953" t="inlineStr">
        <is>
          <t>admin2</t>
        </is>
      </c>
      <c r="B953" t="inlineStr">
        <is>
          <t>AF1704</t>
        </is>
      </c>
      <c r="C953" t="inlineStr">
        <is>
          <t>Yaftal-e-Sufla</t>
        </is>
      </c>
      <c r="F953" t="inlineStr">
        <is>
          <t>AF17</t>
        </is>
      </c>
    </row>
    <row r="954">
      <c r="A954" t="inlineStr">
        <is>
          <t>admin2</t>
        </is>
      </c>
      <c r="B954" t="inlineStr">
        <is>
          <t>AF1705</t>
        </is>
      </c>
      <c r="C954" t="inlineStr">
        <is>
          <t>Khash</t>
        </is>
      </c>
      <c r="F954" t="inlineStr">
        <is>
          <t>AF17</t>
        </is>
      </c>
    </row>
    <row r="955">
      <c r="A955" t="inlineStr">
        <is>
          <t>admin2</t>
        </is>
      </c>
      <c r="B955" t="inlineStr">
        <is>
          <t>AF1706</t>
        </is>
      </c>
      <c r="C955" t="inlineStr">
        <is>
          <t>Baharak</t>
        </is>
      </c>
      <c r="F955" t="inlineStr">
        <is>
          <t>AF17</t>
        </is>
      </c>
    </row>
    <row r="956">
      <c r="A956" t="inlineStr">
        <is>
          <t>admin2</t>
        </is>
      </c>
      <c r="B956" t="inlineStr">
        <is>
          <t>AF1707</t>
        </is>
      </c>
      <c r="C956" t="inlineStr">
        <is>
          <t>Darayem</t>
        </is>
      </c>
      <c r="F956" t="inlineStr">
        <is>
          <t>AF17</t>
        </is>
      </c>
    </row>
    <row r="957">
      <c r="A957" t="inlineStr">
        <is>
          <t>admin2</t>
        </is>
      </c>
      <c r="B957" t="inlineStr">
        <is>
          <t>AF1708</t>
        </is>
      </c>
      <c r="C957" t="inlineStr">
        <is>
          <t>Kohistan</t>
        </is>
      </c>
      <c r="F957" t="inlineStr">
        <is>
          <t>AF17</t>
        </is>
      </c>
    </row>
    <row r="958">
      <c r="A958" t="inlineStr">
        <is>
          <t>admin2</t>
        </is>
      </c>
      <c r="B958" t="inlineStr">
        <is>
          <t>AF1709</t>
        </is>
      </c>
      <c r="C958" t="inlineStr">
        <is>
          <t>Yawan</t>
        </is>
      </c>
      <c r="F958" t="inlineStr">
        <is>
          <t>AF17</t>
        </is>
      </c>
    </row>
    <row r="959">
      <c r="A959" t="inlineStr">
        <is>
          <t>admin2</t>
        </is>
      </c>
      <c r="B959" t="inlineStr">
        <is>
          <t>AF1710</t>
        </is>
      </c>
      <c r="C959" t="inlineStr">
        <is>
          <t>Jorm</t>
        </is>
      </c>
      <c r="F959" t="inlineStr">
        <is>
          <t>AF17</t>
        </is>
      </c>
    </row>
    <row r="960">
      <c r="A960" t="inlineStr">
        <is>
          <t>admin2</t>
        </is>
      </c>
      <c r="B960" t="inlineStr">
        <is>
          <t>AF1711</t>
        </is>
      </c>
      <c r="C960" t="inlineStr">
        <is>
          <t>Teshkan</t>
        </is>
      </c>
      <c r="F960" t="inlineStr">
        <is>
          <t>AF17</t>
        </is>
      </c>
    </row>
    <row r="961">
      <c r="A961" t="inlineStr">
        <is>
          <t>admin2</t>
        </is>
      </c>
      <c r="B961" t="inlineStr">
        <is>
          <t>AF1712</t>
        </is>
      </c>
      <c r="C961" t="inlineStr">
        <is>
          <t>Shuhada</t>
        </is>
      </c>
      <c r="F961" t="inlineStr">
        <is>
          <t>AF17</t>
        </is>
      </c>
    </row>
    <row r="962">
      <c r="A962" t="inlineStr">
        <is>
          <t>admin2</t>
        </is>
      </c>
      <c r="B962" t="inlineStr">
        <is>
          <t>AF1713</t>
        </is>
      </c>
      <c r="C962" t="inlineStr">
        <is>
          <t>Shahr-e-Buzorg</t>
        </is>
      </c>
      <c r="F962" t="inlineStr">
        <is>
          <t>AF17</t>
        </is>
      </c>
    </row>
    <row r="963">
      <c r="A963" t="inlineStr">
        <is>
          <t>admin2</t>
        </is>
      </c>
      <c r="B963" t="inlineStr">
        <is>
          <t>AF1714</t>
        </is>
      </c>
      <c r="C963" t="inlineStr">
        <is>
          <t>Raghestan</t>
        </is>
      </c>
      <c r="F963" t="inlineStr">
        <is>
          <t>AF17</t>
        </is>
      </c>
    </row>
    <row r="964">
      <c r="A964" t="inlineStr">
        <is>
          <t>admin2</t>
        </is>
      </c>
      <c r="B964" t="inlineStr">
        <is>
          <t>AF1715</t>
        </is>
      </c>
      <c r="C964" t="inlineStr">
        <is>
          <t>Keshem</t>
        </is>
      </c>
      <c r="F964" t="inlineStr">
        <is>
          <t>AF17</t>
        </is>
      </c>
    </row>
    <row r="965">
      <c r="A965" t="inlineStr">
        <is>
          <t>admin2</t>
        </is>
      </c>
      <c r="B965" t="inlineStr">
        <is>
          <t>AF1716</t>
        </is>
      </c>
      <c r="C965" t="inlineStr">
        <is>
          <t>Warduj</t>
        </is>
      </c>
      <c r="F965" t="inlineStr">
        <is>
          <t>AF17</t>
        </is>
      </c>
    </row>
    <row r="966">
      <c r="A966" t="inlineStr">
        <is>
          <t>admin2</t>
        </is>
      </c>
      <c r="B966" t="inlineStr">
        <is>
          <t>AF1717</t>
        </is>
      </c>
      <c r="C966" t="inlineStr">
        <is>
          <t>Tagab</t>
        </is>
      </c>
      <c r="F966" t="inlineStr">
        <is>
          <t>AF17</t>
        </is>
      </c>
    </row>
    <row r="967">
      <c r="A967" t="inlineStr">
        <is>
          <t>admin2</t>
        </is>
      </c>
      <c r="B967" t="inlineStr">
        <is>
          <t>AF1718</t>
        </is>
      </c>
      <c r="C967" t="inlineStr">
        <is>
          <t>Yamgan</t>
        </is>
      </c>
      <c r="F967" t="inlineStr">
        <is>
          <t>AF17</t>
        </is>
      </c>
    </row>
    <row r="968">
      <c r="A968" t="inlineStr">
        <is>
          <t>admin2</t>
        </is>
      </c>
      <c r="B968" t="inlineStr">
        <is>
          <t>AF1719</t>
        </is>
      </c>
      <c r="C968" t="inlineStr">
        <is>
          <t>Shighnan</t>
        </is>
      </c>
      <c r="F968" t="inlineStr">
        <is>
          <t>AF17</t>
        </is>
      </c>
    </row>
    <row r="969">
      <c r="A969" t="inlineStr">
        <is>
          <t>admin2</t>
        </is>
      </c>
      <c r="B969" t="inlineStr">
        <is>
          <t>AF1720</t>
        </is>
      </c>
      <c r="C969" t="inlineStr">
        <is>
          <t>Khwahan</t>
        </is>
      </c>
      <c r="F969" t="inlineStr">
        <is>
          <t>AF17</t>
        </is>
      </c>
    </row>
    <row r="970">
      <c r="A970" t="inlineStr">
        <is>
          <t>admin2</t>
        </is>
      </c>
      <c r="B970" t="inlineStr">
        <is>
          <t>AF1721</t>
        </is>
      </c>
      <c r="C970" t="inlineStr">
        <is>
          <t>Kofab</t>
        </is>
      </c>
      <c r="F970" t="inlineStr">
        <is>
          <t>AF17</t>
        </is>
      </c>
    </row>
    <row r="971">
      <c r="A971" t="inlineStr">
        <is>
          <t>admin2</t>
        </is>
      </c>
      <c r="B971" t="inlineStr">
        <is>
          <t>AF1722</t>
        </is>
      </c>
      <c r="C971" t="inlineStr">
        <is>
          <t>Dawraz-e-Payin</t>
        </is>
      </c>
      <c r="F971" t="inlineStr">
        <is>
          <t>AF17</t>
        </is>
      </c>
    </row>
    <row r="972">
      <c r="A972" t="inlineStr">
        <is>
          <t>admin2</t>
        </is>
      </c>
      <c r="B972" t="inlineStr">
        <is>
          <t>AF1723</t>
        </is>
      </c>
      <c r="C972" t="inlineStr">
        <is>
          <t>Eshkashem</t>
        </is>
      </c>
      <c r="F972" t="inlineStr">
        <is>
          <t>AF17</t>
        </is>
      </c>
    </row>
    <row r="973">
      <c r="A973" t="inlineStr">
        <is>
          <t>admin2</t>
        </is>
      </c>
      <c r="B973" t="inlineStr">
        <is>
          <t>AF1724</t>
        </is>
      </c>
      <c r="C973" t="inlineStr">
        <is>
          <t>Shaki</t>
        </is>
      </c>
      <c r="F973" t="inlineStr">
        <is>
          <t>AF17</t>
        </is>
      </c>
    </row>
    <row r="974">
      <c r="A974" t="inlineStr">
        <is>
          <t>admin2</t>
        </is>
      </c>
      <c r="B974" t="inlineStr">
        <is>
          <t>AF1725</t>
        </is>
      </c>
      <c r="C974" t="inlineStr">
        <is>
          <t>Zebak</t>
        </is>
      </c>
      <c r="F974" t="inlineStr">
        <is>
          <t>AF17</t>
        </is>
      </c>
    </row>
    <row r="975">
      <c r="A975" t="inlineStr">
        <is>
          <t>admin2</t>
        </is>
      </c>
      <c r="B975" t="inlineStr">
        <is>
          <t>AF1726</t>
        </is>
      </c>
      <c r="C975" t="inlineStr">
        <is>
          <t>Koran Wa Monjan</t>
        </is>
      </c>
      <c r="F975" t="inlineStr">
        <is>
          <t>AF17</t>
        </is>
      </c>
    </row>
    <row r="976">
      <c r="A976" t="inlineStr">
        <is>
          <t>admin2</t>
        </is>
      </c>
      <c r="B976" t="inlineStr">
        <is>
          <t>AF1727</t>
        </is>
      </c>
      <c r="C976" t="inlineStr">
        <is>
          <t>Dawraz-e-Bala</t>
        </is>
      </c>
      <c r="F976" t="inlineStr">
        <is>
          <t>AF17</t>
        </is>
      </c>
    </row>
    <row r="977">
      <c r="A977" t="inlineStr">
        <is>
          <t>admin2</t>
        </is>
      </c>
      <c r="B977" t="inlineStr">
        <is>
          <t>AF1728</t>
        </is>
      </c>
      <c r="C977" t="inlineStr">
        <is>
          <t>Wakhan</t>
        </is>
      </c>
      <c r="F977" t="inlineStr">
        <is>
          <t>AF17</t>
        </is>
      </c>
    </row>
    <row r="978">
      <c r="A978" t="inlineStr">
        <is>
          <t>admin2</t>
        </is>
      </c>
      <c r="B978" t="inlineStr">
        <is>
          <t>AF1801</t>
        </is>
      </c>
      <c r="C978" t="inlineStr">
        <is>
          <t>Taloqan</t>
        </is>
      </c>
      <c r="F978" t="inlineStr">
        <is>
          <t>AF18</t>
        </is>
      </c>
    </row>
    <row r="979">
      <c r="A979" t="inlineStr">
        <is>
          <t>admin2</t>
        </is>
      </c>
      <c r="B979" t="inlineStr">
        <is>
          <t>AF1802</t>
        </is>
      </c>
      <c r="C979" t="inlineStr">
        <is>
          <t>Hazar Sumuch</t>
        </is>
      </c>
      <c r="F979" t="inlineStr">
        <is>
          <t>AF18</t>
        </is>
      </c>
    </row>
    <row r="980">
      <c r="A980" t="inlineStr">
        <is>
          <t>admin2</t>
        </is>
      </c>
      <c r="B980" t="inlineStr">
        <is>
          <t>AF1803</t>
        </is>
      </c>
      <c r="C980" t="inlineStr">
        <is>
          <t>Baharak</t>
        </is>
      </c>
      <c r="F980" t="inlineStr">
        <is>
          <t>AF18</t>
        </is>
      </c>
    </row>
    <row r="981">
      <c r="A981" t="inlineStr">
        <is>
          <t>admin2</t>
        </is>
      </c>
      <c r="B981" t="inlineStr">
        <is>
          <t>AF1804</t>
        </is>
      </c>
      <c r="C981" t="inlineStr">
        <is>
          <t>Bangi</t>
        </is>
      </c>
      <c r="F981" t="inlineStr">
        <is>
          <t>AF18</t>
        </is>
      </c>
    </row>
    <row r="982">
      <c r="A982" t="inlineStr">
        <is>
          <t>admin2</t>
        </is>
      </c>
      <c r="B982" t="inlineStr">
        <is>
          <t>AF1805</t>
        </is>
      </c>
      <c r="C982" t="inlineStr">
        <is>
          <t>Chal</t>
        </is>
      </c>
      <c r="F982" t="inlineStr">
        <is>
          <t>AF18</t>
        </is>
      </c>
    </row>
    <row r="983">
      <c r="A983" t="inlineStr">
        <is>
          <t>admin2</t>
        </is>
      </c>
      <c r="B983" t="inlineStr">
        <is>
          <t>AF1806</t>
        </is>
      </c>
      <c r="C983" t="inlineStr">
        <is>
          <t>Namak Ab</t>
        </is>
      </c>
      <c r="F983" t="inlineStr">
        <is>
          <t>AF18</t>
        </is>
      </c>
    </row>
    <row r="984">
      <c r="A984" t="inlineStr">
        <is>
          <t>admin2</t>
        </is>
      </c>
      <c r="B984" t="inlineStr">
        <is>
          <t>AF1807</t>
        </is>
      </c>
      <c r="C984" t="inlineStr">
        <is>
          <t>Kalafgan</t>
        </is>
      </c>
      <c r="F984" t="inlineStr">
        <is>
          <t>AF18</t>
        </is>
      </c>
    </row>
    <row r="985">
      <c r="A985" t="inlineStr">
        <is>
          <t>admin2</t>
        </is>
      </c>
      <c r="B985" t="inlineStr">
        <is>
          <t>AF1808</t>
        </is>
      </c>
      <c r="C985" t="inlineStr">
        <is>
          <t>Farkhar</t>
        </is>
      </c>
      <c r="F985" t="inlineStr">
        <is>
          <t>AF18</t>
        </is>
      </c>
    </row>
    <row r="986">
      <c r="A986" t="inlineStr">
        <is>
          <t>admin2</t>
        </is>
      </c>
      <c r="B986" t="inlineStr">
        <is>
          <t>AF1809</t>
        </is>
      </c>
      <c r="C986" t="inlineStr">
        <is>
          <t>Khwaja Ghar</t>
        </is>
      </c>
      <c r="F986" t="inlineStr">
        <is>
          <t>AF18</t>
        </is>
      </c>
    </row>
    <row r="987">
      <c r="A987" t="inlineStr">
        <is>
          <t>admin2</t>
        </is>
      </c>
      <c r="B987" t="inlineStr">
        <is>
          <t>AF1810</t>
        </is>
      </c>
      <c r="C987" t="inlineStr">
        <is>
          <t>Rostaq</t>
        </is>
      </c>
      <c r="F987" t="inlineStr">
        <is>
          <t>AF18</t>
        </is>
      </c>
    </row>
    <row r="988">
      <c r="A988" t="inlineStr">
        <is>
          <t>admin2</t>
        </is>
      </c>
      <c r="B988" t="inlineStr">
        <is>
          <t>AF1811</t>
        </is>
      </c>
      <c r="C988" t="inlineStr">
        <is>
          <t>Eshkmesh</t>
        </is>
      </c>
      <c r="F988" t="inlineStr">
        <is>
          <t>AF18</t>
        </is>
      </c>
    </row>
    <row r="989">
      <c r="A989" t="inlineStr">
        <is>
          <t>admin2</t>
        </is>
      </c>
      <c r="B989" t="inlineStr">
        <is>
          <t>AF1812</t>
        </is>
      </c>
      <c r="C989" t="inlineStr">
        <is>
          <t>Dasht-e-Qala</t>
        </is>
      </c>
      <c r="F989" t="inlineStr">
        <is>
          <t>AF18</t>
        </is>
      </c>
    </row>
    <row r="990">
      <c r="A990" t="inlineStr">
        <is>
          <t>admin2</t>
        </is>
      </c>
      <c r="B990" t="inlineStr">
        <is>
          <t>AF1813</t>
        </is>
      </c>
      <c r="C990" t="inlineStr">
        <is>
          <t>Warsaj</t>
        </is>
      </c>
      <c r="F990" t="inlineStr">
        <is>
          <t>AF18</t>
        </is>
      </c>
    </row>
    <row r="991">
      <c r="A991" t="inlineStr">
        <is>
          <t>admin2</t>
        </is>
      </c>
      <c r="B991" t="inlineStr">
        <is>
          <t>AF1814</t>
        </is>
      </c>
      <c r="C991" t="inlineStr">
        <is>
          <t>Khwaja Bahawuddin</t>
        </is>
      </c>
      <c r="F991" t="inlineStr">
        <is>
          <t>AF18</t>
        </is>
      </c>
    </row>
    <row r="992">
      <c r="A992" t="inlineStr">
        <is>
          <t>admin2</t>
        </is>
      </c>
      <c r="B992" t="inlineStr">
        <is>
          <t>AF1815</t>
        </is>
      </c>
      <c r="C992" t="inlineStr">
        <is>
          <t>Darqad</t>
        </is>
      </c>
      <c r="F992" t="inlineStr">
        <is>
          <t>AF18</t>
        </is>
      </c>
    </row>
    <row r="993">
      <c r="A993" t="inlineStr">
        <is>
          <t>admin2</t>
        </is>
      </c>
      <c r="B993" t="inlineStr">
        <is>
          <t>AF1816</t>
        </is>
      </c>
      <c r="C993" t="inlineStr">
        <is>
          <t>Chahab</t>
        </is>
      </c>
      <c r="F993" t="inlineStr">
        <is>
          <t>AF18</t>
        </is>
      </c>
    </row>
    <row r="994">
      <c r="A994" t="inlineStr">
        <is>
          <t>admin2</t>
        </is>
      </c>
      <c r="B994" t="inlineStr">
        <is>
          <t>AF1817</t>
        </is>
      </c>
      <c r="C994" t="inlineStr">
        <is>
          <t>Yangi Qala</t>
        </is>
      </c>
      <c r="F994" t="inlineStr">
        <is>
          <t>AF18</t>
        </is>
      </c>
    </row>
    <row r="995">
      <c r="A995" t="inlineStr">
        <is>
          <t>admin2</t>
        </is>
      </c>
      <c r="B995" t="inlineStr">
        <is>
          <t>AF1901</t>
        </is>
      </c>
      <c r="C995" t="inlineStr">
        <is>
          <t>Kunduz</t>
        </is>
      </c>
      <c r="F995" t="inlineStr">
        <is>
          <t>AF19</t>
        </is>
      </c>
    </row>
    <row r="996">
      <c r="A996" t="inlineStr">
        <is>
          <t>admin2</t>
        </is>
      </c>
      <c r="B996" t="inlineStr">
        <is>
          <t>AF1902</t>
        </is>
      </c>
      <c r="C996" t="inlineStr">
        <is>
          <t>Chahar Darah</t>
        </is>
      </c>
      <c r="F996" t="inlineStr">
        <is>
          <t>AF19</t>
        </is>
      </c>
    </row>
    <row r="997">
      <c r="A997" t="inlineStr">
        <is>
          <t>admin2</t>
        </is>
      </c>
      <c r="B997" t="inlineStr">
        <is>
          <t>AF1903</t>
        </is>
      </c>
      <c r="C997" t="inlineStr">
        <is>
          <t>Ali Abad</t>
        </is>
      </c>
      <c r="F997" t="inlineStr">
        <is>
          <t>AF19</t>
        </is>
      </c>
    </row>
    <row r="998">
      <c r="A998" t="inlineStr">
        <is>
          <t>admin2</t>
        </is>
      </c>
      <c r="B998" t="inlineStr">
        <is>
          <t>AF1904</t>
        </is>
      </c>
      <c r="C998" t="inlineStr">
        <is>
          <t>Khan Abad</t>
        </is>
      </c>
      <c r="F998" t="inlineStr">
        <is>
          <t>AF19</t>
        </is>
      </c>
    </row>
    <row r="999">
      <c r="A999" t="inlineStr">
        <is>
          <t>admin2</t>
        </is>
      </c>
      <c r="B999" t="inlineStr">
        <is>
          <t>AF1905</t>
        </is>
      </c>
      <c r="C999" t="inlineStr">
        <is>
          <t>Imam Sahib</t>
        </is>
      </c>
      <c r="F999" t="inlineStr">
        <is>
          <t>AF19</t>
        </is>
      </c>
    </row>
    <row r="1000">
      <c r="A1000" t="inlineStr">
        <is>
          <t>admin2</t>
        </is>
      </c>
      <c r="B1000" t="inlineStr">
        <is>
          <t>AF1906</t>
        </is>
      </c>
      <c r="C1000" t="inlineStr">
        <is>
          <t>Dasht-e-Archi</t>
        </is>
      </c>
      <c r="F1000" t="inlineStr">
        <is>
          <t>AF19</t>
        </is>
      </c>
    </row>
    <row r="1001">
      <c r="A1001" t="inlineStr">
        <is>
          <t>admin2</t>
        </is>
      </c>
      <c r="B1001" t="inlineStr">
        <is>
          <t>AF1907</t>
        </is>
      </c>
      <c r="C1001" t="inlineStr">
        <is>
          <t>Qala-e-Zal</t>
        </is>
      </c>
      <c r="F1001" t="inlineStr">
        <is>
          <t>AF19</t>
        </is>
      </c>
    </row>
    <row r="1002">
      <c r="A1002" t="inlineStr">
        <is>
          <t>admin2</t>
        </is>
      </c>
      <c r="B1002" t="inlineStr">
        <is>
          <t>AF2001</t>
        </is>
      </c>
      <c r="C1002" t="inlineStr">
        <is>
          <t>Aybak</t>
        </is>
      </c>
      <c r="F1002" t="inlineStr">
        <is>
          <t>AF20</t>
        </is>
      </c>
    </row>
    <row r="1003">
      <c r="A1003" t="inlineStr">
        <is>
          <t>admin2</t>
        </is>
      </c>
      <c r="B1003" t="inlineStr">
        <is>
          <t>AF2002</t>
        </is>
      </c>
      <c r="C1003" t="inlineStr">
        <is>
          <t>Hazrat-e-Sultan</t>
        </is>
      </c>
      <c r="F1003" t="inlineStr">
        <is>
          <t>AF20</t>
        </is>
      </c>
    </row>
    <row r="1004">
      <c r="A1004" t="inlineStr">
        <is>
          <t>admin2</t>
        </is>
      </c>
      <c r="B1004" t="inlineStr">
        <is>
          <t>AF2003</t>
        </is>
      </c>
      <c r="C1004" t="inlineStr">
        <is>
          <t>Khuram Wa Sarbagh</t>
        </is>
      </c>
      <c r="F1004" t="inlineStr">
        <is>
          <t>AF20</t>
        </is>
      </c>
    </row>
    <row r="1005">
      <c r="A1005" t="inlineStr">
        <is>
          <t>admin2</t>
        </is>
      </c>
      <c r="B1005" t="inlineStr">
        <is>
          <t>AF2004</t>
        </is>
      </c>
      <c r="C1005" t="inlineStr">
        <is>
          <t>Feroz Nakhchir</t>
        </is>
      </c>
      <c r="F1005" t="inlineStr">
        <is>
          <t>AF20</t>
        </is>
      </c>
    </row>
    <row r="1006">
      <c r="A1006" t="inlineStr">
        <is>
          <t>admin2</t>
        </is>
      </c>
      <c r="B1006" t="inlineStr">
        <is>
          <t>AF2005</t>
        </is>
      </c>
      <c r="C1006" t="inlineStr">
        <is>
          <t>Ruy-e-Duab</t>
        </is>
      </c>
      <c r="F1006" t="inlineStr">
        <is>
          <t>AF20</t>
        </is>
      </c>
    </row>
    <row r="1007">
      <c r="A1007" t="inlineStr">
        <is>
          <t>admin2</t>
        </is>
      </c>
      <c r="B1007" t="inlineStr">
        <is>
          <t>AF2006</t>
        </is>
      </c>
      <c r="C1007" t="inlineStr">
        <is>
          <t>Dara-e-Suf-e-Payin</t>
        </is>
      </c>
      <c r="F1007" t="inlineStr">
        <is>
          <t>AF20</t>
        </is>
      </c>
    </row>
    <row r="1008">
      <c r="A1008" t="inlineStr">
        <is>
          <t>admin2</t>
        </is>
      </c>
      <c r="B1008" t="inlineStr">
        <is>
          <t>AF2007</t>
        </is>
      </c>
      <c r="C1008" t="inlineStr">
        <is>
          <t>Dara-e-Suf-e-Bala</t>
        </is>
      </c>
      <c r="F1008" t="inlineStr">
        <is>
          <t>AF20</t>
        </is>
      </c>
    </row>
    <row r="1009">
      <c r="A1009" t="inlineStr">
        <is>
          <t>admin2</t>
        </is>
      </c>
      <c r="B1009" t="inlineStr">
        <is>
          <t>AF2101</t>
        </is>
      </c>
      <c r="C1009" t="inlineStr">
        <is>
          <t>Mazar-e-Sharif</t>
        </is>
      </c>
      <c r="F1009" t="inlineStr">
        <is>
          <t>AF21</t>
        </is>
      </c>
    </row>
    <row r="1010">
      <c r="A1010" t="inlineStr">
        <is>
          <t>admin2</t>
        </is>
      </c>
      <c r="B1010" t="inlineStr">
        <is>
          <t>AF2102</t>
        </is>
      </c>
      <c r="C1010" t="inlineStr">
        <is>
          <t>Nahr-e-Shahi</t>
        </is>
      </c>
      <c r="F1010" t="inlineStr">
        <is>
          <t>AF21</t>
        </is>
      </c>
    </row>
    <row r="1011">
      <c r="A1011" t="inlineStr">
        <is>
          <t>admin2</t>
        </is>
      </c>
      <c r="B1011" t="inlineStr">
        <is>
          <t>AF2103</t>
        </is>
      </c>
      <c r="C1011" t="inlineStr">
        <is>
          <t>Dehdadi</t>
        </is>
      </c>
      <c r="F1011" t="inlineStr">
        <is>
          <t>AF21</t>
        </is>
      </c>
    </row>
    <row r="1012">
      <c r="A1012" t="inlineStr">
        <is>
          <t>admin2</t>
        </is>
      </c>
      <c r="B1012" t="inlineStr">
        <is>
          <t>AF2104</t>
        </is>
      </c>
      <c r="C1012" t="inlineStr">
        <is>
          <t>Charkent</t>
        </is>
      </c>
      <c r="F1012" t="inlineStr">
        <is>
          <t>AF21</t>
        </is>
      </c>
    </row>
    <row r="1013">
      <c r="A1013" t="inlineStr">
        <is>
          <t>admin2</t>
        </is>
      </c>
      <c r="B1013" t="inlineStr">
        <is>
          <t>AF2105</t>
        </is>
      </c>
      <c r="C1013" t="inlineStr">
        <is>
          <t>Marmul</t>
        </is>
      </c>
      <c r="F1013" t="inlineStr">
        <is>
          <t>AF21</t>
        </is>
      </c>
    </row>
    <row r="1014">
      <c r="A1014" t="inlineStr">
        <is>
          <t>admin2</t>
        </is>
      </c>
      <c r="B1014" t="inlineStr">
        <is>
          <t>AF2106</t>
        </is>
      </c>
      <c r="C1014" t="inlineStr">
        <is>
          <t>Balkh</t>
        </is>
      </c>
      <c r="F1014" t="inlineStr">
        <is>
          <t>AF21</t>
        </is>
      </c>
    </row>
    <row r="1015">
      <c r="A1015" t="inlineStr">
        <is>
          <t>admin2</t>
        </is>
      </c>
      <c r="B1015" t="inlineStr">
        <is>
          <t>AF2107</t>
        </is>
      </c>
      <c r="C1015" t="inlineStr">
        <is>
          <t>Sholgareh</t>
        </is>
      </c>
      <c r="F1015" t="inlineStr">
        <is>
          <t>AF21</t>
        </is>
      </c>
    </row>
    <row r="1016">
      <c r="A1016" t="inlineStr">
        <is>
          <t>admin2</t>
        </is>
      </c>
      <c r="B1016" t="inlineStr">
        <is>
          <t>AF2108</t>
        </is>
      </c>
      <c r="C1016" t="inlineStr">
        <is>
          <t>Chemtal</t>
        </is>
      </c>
      <c r="F1016" t="inlineStr">
        <is>
          <t>AF21</t>
        </is>
      </c>
    </row>
    <row r="1017">
      <c r="A1017" t="inlineStr">
        <is>
          <t>admin2</t>
        </is>
      </c>
      <c r="B1017" t="inlineStr">
        <is>
          <t>AF2109</t>
        </is>
      </c>
      <c r="C1017" t="inlineStr">
        <is>
          <t>Dawlat Abad</t>
        </is>
      </c>
      <c r="F1017" t="inlineStr">
        <is>
          <t>AF21</t>
        </is>
      </c>
    </row>
    <row r="1018">
      <c r="A1018" t="inlineStr">
        <is>
          <t>admin2</t>
        </is>
      </c>
      <c r="B1018" t="inlineStr">
        <is>
          <t>AF2110</t>
        </is>
      </c>
      <c r="C1018" t="inlineStr">
        <is>
          <t>Khulm</t>
        </is>
      </c>
      <c r="F1018" t="inlineStr">
        <is>
          <t>AF21</t>
        </is>
      </c>
    </row>
    <row r="1019">
      <c r="A1019" t="inlineStr">
        <is>
          <t>admin2</t>
        </is>
      </c>
      <c r="B1019" t="inlineStr">
        <is>
          <t>AF2111</t>
        </is>
      </c>
      <c r="C1019" t="inlineStr">
        <is>
          <t>Char Bolak</t>
        </is>
      </c>
      <c r="F1019" t="inlineStr">
        <is>
          <t>AF21</t>
        </is>
      </c>
    </row>
    <row r="1020">
      <c r="A1020" t="inlineStr">
        <is>
          <t>admin2</t>
        </is>
      </c>
      <c r="B1020" t="inlineStr">
        <is>
          <t>AF2112</t>
        </is>
      </c>
      <c r="C1020" t="inlineStr">
        <is>
          <t>Shortepa</t>
        </is>
      </c>
      <c r="F1020" t="inlineStr">
        <is>
          <t>AF21</t>
        </is>
      </c>
    </row>
    <row r="1021">
      <c r="A1021" t="inlineStr">
        <is>
          <t>admin2</t>
        </is>
      </c>
      <c r="B1021" t="inlineStr">
        <is>
          <t>AF2113</t>
        </is>
      </c>
      <c r="C1021" t="inlineStr">
        <is>
          <t>Kaldar</t>
        </is>
      </c>
      <c r="F1021" t="inlineStr">
        <is>
          <t>AF21</t>
        </is>
      </c>
    </row>
    <row r="1022">
      <c r="A1022" t="inlineStr">
        <is>
          <t>admin2</t>
        </is>
      </c>
      <c r="B1022" t="inlineStr">
        <is>
          <t>AF2114</t>
        </is>
      </c>
      <c r="C1022" t="inlineStr">
        <is>
          <t>Keshendeh</t>
        </is>
      </c>
      <c r="F1022" t="inlineStr">
        <is>
          <t>AF21</t>
        </is>
      </c>
    </row>
    <row r="1023">
      <c r="A1023" t="inlineStr">
        <is>
          <t>admin2</t>
        </is>
      </c>
      <c r="B1023" t="inlineStr">
        <is>
          <t>AF2115</t>
        </is>
      </c>
      <c r="C1023" t="inlineStr">
        <is>
          <t>Zari</t>
        </is>
      </c>
      <c r="F1023" t="inlineStr">
        <is>
          <t>AF21</t>
        </is>
      </c>
    </row>
    <row r="1024">
      <c r="A1024" t="inlineStr">
        <is>
          <t>admin2</t>
        </is>
      </c>
      <c r="B1024" t="inlineStr">
        <is>
          <t>AF2116</t>
        </is>
      </c>
      <c r="C1024" t="inlineStr">
        <is>
          <t>Sharak-e-Hayratan</t>
        </is>
      </c>
      <c r="F1024" t="inlineStr">
        <is>
          <t>AF21</t>
        </is>
      </c>
    </row>
    <row r="1025">
      <c r="A1025" t="inlineStr">
        <is>
          <t>admin2</t>
        </is>
      </c>
      <c r="B1025" t="inlineStr">
        <is>
          <t>AF2201</t>
        </is>
      </c>
      <c r="C1025" t="inlineStr">
        <is>
          <t>Sar-e-Pul</t>
        </is>
      </c>
      <c r="F1025" t="inlineStr">
        <is>
          <t>AF22</t>
        </is>
      </c>
    </row>
    <row r="1026">
      <c r="A1026" t="inlineStr">
        <is>
          <t>admin2</t>
        </is>
      </c>
      <c r="B1026" t="inlineStr">
        <is>
          <t>AF2202</t>
        </is>
      </c>
      <c r="C1026" t="inlineStr">
        <is>
          <t>Sayad</t>
        </is>
      </c>
      <c r="F1026" t="inlineStr">
        <is>
          <t>AF22</t>
        </is>
      </c>
    </row>
    <row r="1027">
      <c r="A1027" t="inlineStr">
        <is>
          <t>admin2</t>
        </is>
      </c>
      <c r="B1027" t="inlineStr">
        <is>
          <t>AF2203</t>
        </is>
      </c>
      <c r="C1027" t="inlineStr">
        <is>
          <t>Kohestanat</t>
        </is>
      </c>
      <c r="F1027" t="inlineStr">
        <is>
          <t>AF22</t>
        </is>
      </c>
    </row>
    <row r="1028">
      <c r="A1028" t="inlineStr">
        <is>
          <t>admin2</t>
        </is>
      </c>
      <c r="B1028" t="inlineStr">
        <is>
          <t>AF2204</t>
        </is>
      </c>
      <c r="C1028" t="inlineStr">
        <is>
          <t>Sozmaqala</t>
        </is>
      </c>
      <c r="F1028" t="inlineStr">
        <is>
          <t>AF22</t>
        </is>
      </c>
    </row>
    <row r="1029">
      <c r="A1029" t="inlineStr">
        <is>
          <t>admin2</t>
        </is>
      </c>
      <c r="B1029" t="inlineStr">
        <is>
          <t>AF2205</t>
        </is>
      </c>
      <c r="C1029" t="inlineStr">
        <is>
          <t>Sancharak</t>
        </is>
      </c>
      <c r="F1029" t="inlineStr">
        <is>
          <t>AF22</t>
        </is>
      </c>
    </row>
    <row r="1030">
      <c r="A1030" t="inlineStr">
        <is>
          <t>admin2</t>
        </is>
      </c>
      <c r="B1030" t="inlineStr">
        <is>
          <t>AF2206</t>
        </is>
      </c>
      <c r="C1030" t="inlineStr">
        <is>
          <t>Gosfandi</t>
        </is>
      </c>
      <c r="F1030" t="inlineStr">
        <is>
          <t>AF22</t>
        </is>
      </c>
    </row>
    <row r="1031">
      <c r="A1031" t="inlineStr">
        <is>
          <t>admin2</t>
        </is>
      </c>
      <c r="B1031" t="inlineStr">
        <is>
          <t>AF2207</t>
        </is>
      </c>
      <c r="C1031" t="inlineStr">
        <is>
          <t>Balkhab</t>
        </is>
      </c>
      <c r="F1031" t="inlineStr">
        <is>
          <t>AF22</t>
        </is>
      </c>
    </row>
    <row r="1032">
      <c r="A1032" t="inlineStr">
        <is>
          <t>admin2</t>
        </is>
      </c>
      <c r="B1032" t="inlineStr">
        <is>
          <t>AF2301</t>
        </is>
      </c>
      <c r="C1032" t="inlineStr">
        <is>
          <t>Feroz Koh</t>
        </is>
      </c>
      <c r="F1032" t="inlineStr">
        <is>
          <t>AF23</t>
        </is>
      </c>
    </row>
    <row r="1033">
      <c r="A1033" t="inlineStr">
        <is>
          <t>admin2</t>
        </is>
      </c>
      <c r="B1033" t="inlineStr">
        <is>
          <t>AF2302</t>
        </is>
      </c>
      <c r="C1033" t="inlineStr">
        <is>
          <t>DoLayna</t>
        </is>
      </c>
      <c r="F1033" t="inlineStr">
        <is>
          <t>AF23</t>
        </is>
      </c>
    </row>
    <row r="1034">
      <c r="A1034" t="inlineStr">
        <is>
          <t>admin2</t>
        </is>
      </c>
      <c r="B1034" t="inlineStr">
        <is>
          <t>AF2303</t>
        </is>
      </c>
      <c r="C1034" t="inlineStr">
        <is>
          <t>Dawlatyar</t>
        </is>
      </c>
      <c r="F1034" t="inlineStr">
        <is>
          <t>AF23</t>
        </is>
      </c>
    </row>
    <row r="1035">
      <c r="A1035" t="inlineStr">
        <is>
          <t>admin2</t>
        </is>
      </c>
      <c r="B1035" t="inlineStr">
        <is>
          <t>AF2304</t>
        </is>
      </c>
      <c r="C1035" t="inlineStr">
        <is>
          <t>Charsadra</t>
        </is>
      </c>
      <c r="F1035" t="inlineStr">
        <is>
          <t>AF23</t>
        </is>
      </c>
    </row>
    <row r="1036">
      <c r="A1036" t="inlineStr">
        <is>
          <t>admin2</t>
        </is>
      </c>
      <c r="B1036" t="inlineStr">
        <is>
          <t>AF2305</t>
        </is>
      </c>
      <c r="C1036" t="inlineStr">
        <is>
          <t>Pasaband</t>
        </is>
      </c>
      <c r="F1036" t="inlineStr">
        <is>
          <t>AF23</t>
        </is>
      </c>
    </row>
    <row r="1037">
      <c r="A1037" t="inlineStr">
        <is>
          <t>admin2</t>
        </is>
      </c>
      <c r="B1037" t="inlineStr">
        <is>
          <t>AF2306</t>
        </is>
      </c>
      <c r="C1037" t="inlineStr">
        <is>
          <t>Shahrak</t>
        </is>
      </c>
      <c r="F1037" t="inlineStr">
        <is>
          <t>AF23</t>
        </is>
      </c>
    </row>
    <row r="1038">
      <c r="A1038" t="inlineStr">
        <is>
          <t>admin2</t>
        </is>
      </c>
      <c r="B1038" t="inlineStr">
        <is>
          <t>AF2307</t>
        </is>
      </c>
      <c r="C1038" t="inlineStr">
        <is>
          <t>Lal Wa Sarjangal</t>
        </is>
      </c>
      <c r="F1038" t="inlineStr">
        <is>
          <t>AF23</t>
        </is>
      </c>
    </row>
    <row r="1039">
      <c r="A1039" t="inlineStr">
        <is>
          <t>admin2</t>
        </is>
      </c>
      <c r="B1039" t="inlineStr">
        <is>
          <t>AF2308</t>
        </is>
      </c>
      <c r="C1039" t="inlineStr">
        <is>
          <t>Taywarah</t>
        </is>
      </c>
      <c r="F1039" t="inlineStr">
        <is>
          <t>AF23</t>
        </is>
      </c>
    </row>
    <row r="1040">
      <c r="A1040" t="inlineStr">
        <is>
          <t>admin2</t>
        </is>
      </c>
      <c r="B1040" t="inlineStr">
        <is>
          <t>AF2309</t>
        </is>
      </c>
      <c r="C1040" t="inlineStr">
        <is>
          <t>Tolak</t>
        </is>
      </c>
      <c r="F1040" t="inlineStr">
        <is>
          <t>AF23</t>
        </is>
      </c>
    </row>
    <row r="1041">
      <c r="A1041" t="inlineStr">
        <is>
          <t>admin2</t>
        </is>
      </c>
      <c r="B1041" t="inlineStr">
        <is>
          <t>AF2310</t>
        </is>
      </c>
      <c r="C1041" t="inlineStr">
        <is>
          <t>Saghar</t>
        </is>
      </c>
      <c r="F1041" t="inlineStr">
        <is>
          <t>AF23</t>
        </is>
      </c>
    </row>
    <row r="1042">
      <c r="A1042" t="inlineStr">
        <is>
          <t>admin2</t>
        </is>
      </c>
      <c r="B1042" t="inlineStr">
        <is>
          <t>AF2401</t>
        </is>
      </c>
      <c r="C1042" t="inlineStr">
        <is>
          <t>Nili</t>
        </is>
      </c>
      <c r="F1042" t="inlineStr">
        <is>
          <t>AF24</t>
        </is>
      </c>
    </row>
    <row r="1043">
      <c r="A1043" t="inlineStr">
        <is>
          <t>admin2</t>
        </is>
      </c>
      <c r="B1043" t="inlineStr">
        <is>
          <t>AF2402</t>
        </is>
      </c>
      <c r="C1043" t="inlineStr">
        <is>
          <t>Shahrestan</t>
        </is>
      </c>
      <c r="F1043" t="inlineStr">
        <is>
          <t>AF24</t>
        </is>
      </c>
    </row>
    <row r="1044">
      <c r="A1044" t="inlineStr">
        <is>
          <t>admin2</t>
        </is>
      </c>
      <c r="B1044" t="inlineStr">
        <is>
          <t>AF2403</t>
        </is>
      </c>
      <c r="C1044" t="inlineStr">
        <is>
          <t>Ashtarlay</t>
        </is>
      </c>
      <c r="F1044" t="inlineStr">
        <is>
          <t>AF24</t>
        </is>
      </c>
    </row>
    <row r="1045">
      <c r="A1045" t="inlineStr">
        <is>
          <t>admin2</t>
        </is>
      </c>
      <c r="B1045" t="inlineStr">
        <is>
          <t>AF2404</t>
        </is>
      </c>
      <c r="C1045" t="inlineStr">
        <is>
          <t>Khadir</t>
        </is>
      </c>
      <c r="F1045" t="inlineStr">
        <is>
          <t>AF24</t>
        </is>
      </c>
    </row>
    <row r="1046">
      <c r="A1046" t="inlineStr">
        <is>
          <t>admin2</t>
        </is>
      </c>
      <c r="B1046" t="inlineStr">
        <is>
          <t>AF2405</t>
        </is>
      </c>
      <c r="C1046" t="inlineStr">
        <is>
          <t>Kiti</t>
        </is>
      </c>
      <c r="F1046" t="inlineStr">
        <is>
          <t>AF24</t>
        </is>
      </c>
    </row>
    <row r="1047">
      <c r="A1047" t="inlineStr">
        <is>
          <t>admin2</t>
        </is>
      </c>
      <c r="B1047" t="inlineStr">
        <is>
          <t>AF2406</t>
        </is>
      </c>
      <c r="C1047" t="inlineStr">
        <is>
          <t>Miramor</t>
        </is>
      </c>
      <c r="F1047" t="inlineStr">
        <is>
          <t>AF24</t>
        </is>
      </c>
    </row>
    <row r="1048">
      <c r="A1048" t="inlineStr">
        <is>
          <t>admin2</t>
        </is>
      </c>
      <c r="B1048" t="inlineStr">
        <is>
          <t>AF2407</t>
        </is>
      </c>
      <c r="C1048" t="inlineStr">
        <is>
          <t>Sang-e-Takht</t>
        </is>
      </c>
      <c r="F1048" t="inlineStr">
        <is>
          <t>AF24</t>
        </is>
      </c>
    </row>
    <row r="1049">
      <c r="A1049" t="inlineStr">
        <is>
          <t>admin2</t>
        </is>
      </c>
      <c r="B1049" t="inlineStr">
        <is>
          <t>AF2408</t>
        </is>
      </c>
      <c r="C1049" t="inlineStr">
        <is>
          <t>Kajran</t>
        </is>
      </c>
      <c r="F1049" t="inlineStr">
        <is>
          <t>AF24</t>
        </is>
      </c>
    </row>
    <row r="1050">
      <c r="A1050" t="inlineStr">
        <is>
          <t>admin2</t>
        </is>
      </c>
      <c r="B1050" t="inlineStr">
        <is>
          <t>AF2409</t>
        </is>
      </c>
      <c r="C1050" t="inlineStr">
        <is>
          <t>Gizab</t>
        </is>
      </c>
      <c r="F1050" t="inlineStr">
        <is>
          <t>AF24</t>
        </is>
      </c>
    </row>
    <row r="1051">
      <c r="A1051" t="inlineStr">
        <is>
          <t>admin2</t>
        </is>
      </c>
      <c r="B1051" t="inlineStr">
        <is>
          <t>AF2501</t>
        </is>
      </c>
      <c r="C1051" t="inlineStr">
        <is>
          <t>Tirinkot</t>
        </is>
      </c>
      <c r="F1051" t="inlineStr">
        <is>
          <t>AF25</t>
        </is>
      </c>
    </row>
    <row r="1052">
      <c r="A1052" t="inlineStr">
        <is>
          <t>admin2</t>
        </is>
      </c>
      <c r="B1052" t="inlineStr">
        <is>
          <t>AF2502</t>
        </is>
      </c>
      <c r="C1052" t="inlineStr">
        <is>
          <t>Dehrawud</t>
        </is>
      </c>
      <c r="F1052" t="inlineStr">
        <is>
          <t>AF25</t>
        </is>
      </c>
    </row>
    <row r="1053">
      <c r="A1053" t="inlineStr">
        <is>
          <t>admin2</t>
        </is>
      </c>
      <c r="B1053" t="inlineStr">
        <is>
          <t>AF2503</t>
        </is>
      </c>
      <c r="C1053" t="inlineStr">
        <is>
          <t>Chora</t>
        </is>
      </c>
      <c r="F1053" t="inlineStr">
        <is>
          <t>AF25</t>
        </is>
      </c>
    </row>
    <row r="1054">
      <c r="A1054" t="inlineStr">
        <is>
          <t>admin2</t>
        </is>
      </c>
      <c r="B1054" t="inlineStr">
        <is>
          <t>AF2504</t>
        </is>
      </c>
      <c r="C1054" t="inlineStr">
        <is>
          <t>Shahid-e-Hassas</t>
        </is>
      </c>
      <c r="F1054" t="inlineStr">
        <is>
          <t>AF25</t>
        </is>
      </c>
    </row>
    <row r="1055">
      <c r="A1055" t="inlineStr">
        <is>
          <t>admin2</t>
        </is>
      </c>
      <c r="B1055" t="inlineStr">
        <is>
          <t>AF2505</t>
        </is>
      </c>
      <c r="C1055" t="inlineStr">
        <is>
          <t>Khas Uruzgan</t>
        </is>
      </c>
      <c r="F1055" t="inlineStr">
        <is>
          <t>AF25</t>
        </is>
      </c>
    </row>
    <row r="1056">
      <c r="A1056" t="inlineStr">
        <is>
          <t>admin2</t>
        </is>
      </c>
      <c r="B1056" t="inlineStr">
        <is>
          <t>AF2601</t>
        </is>
      </c>
      <c r="C1056" t="inlineStr">
        <is>
          <t>Qalat</t>
        </is>
      </c>
      <c r="F1056" t="inlineStr">
        <is>
          <t>AF26</t>
        </is>
      </c>
    </row>
    <row r="1057">
      <c r="A1057" t="inlineStr">
        <is>
          <t>admin2</t>
        </is>
      </c>
      <c r="B1057" t="inlineStr">
        <is>
          <t>AF2602</t>
        </is>
      </c>
      <c r="C1057" t="inlineStr">
        <is>
          <t>Tarnak Wa Jaldak</t>
        </is>
      </c>
      <c r="F1057" t="inlineStr">
        <is>
          <t>AF26</t>
        </is>
      </c>
    </row>
    <row r="1058">
      <c r="A1058" t="inlineStr">
        <is>
          <t>admin2</t>
        </is>
      </c>
      <c r="B1058" t="inlineStr">
        <is>
          <t>AF2603</t>
        </is>
      </c>
      <c r="C1058" t="inlineStr">
        <is>
          <t>Shinkay</t>
        </is>
      </c>
      <c r="F1058" t="inlineStr">
        <is>
          <t>AF26</t>
        </is>
      </c>
    </row>
    <row r="1059">
      <c r="A1059" t="inlineStr">
        <is>
          <t>admin2</t>
        </is>
      </c>
      <c r="B1059" t="inlineStr">
        <is>
          <t>AF2604</t>
        </is>
      </c>
      <c r="C1059" t="inlineStr">
        <is>
          <t>Mizan</t>
        </is>
      </c>
      <c r="F1059" t="inlineStr">
        <is>
          <t>AF26</t>
        </is>
      </c>
    </row>
    <row r="1060">
      <c r="A1060" t="inlineStr">
        <is>
          <t>admin2</t>
        </is>
      </c>
      <c r="B1060" t="inlineStr">
        <is>
          <t>AF2605</t>
        </is>
      </c>
      <c r="C1060" t="inlineStr">
        <is>
          <t>Arghandab</t>
        </is>
      </c>
      <c r="F1060" t="inlineStr">
        <is>
          <t>AF26</t>
        </is>
      </c>
    </row>
    <row r="1061">
      <c r="A1061" t="inlineStr">
        <is>
          <t>admin2</t>
        </is>
      </c>
      <c r="B1061" t="inlineStr">
        <is>
          <t>AF2606</t>
        </is>
      </c>
      <c r="C1061" t="inlineStr">
        <is>
          <t>Shah Joi</t>
        </is>
      </c>
      <c r="F1061" t="inlineStr">
        <is>
          <t>AF26</t>
        </is>
      </c>
    </row>
    <row r="1062">
      <c r="A1062" t="inlineStr">
        <is>
          <t>admin2</t>
        </is>
      </c>
      <c r="B1062" t="inlineStr">
        <is>
          <t>AF2607</t>
        </is>
      </c>
      <c r="C1062" t="inlineStr">
        <is>
          <t>Daychopan</t>
        </is>
      </c>
      <c r="F1062" t="inlineStr">
        <is>
          <t>AF26</t>
        </is>
      </c>
    </row>
    <row r="1063">
      <c r="A1063" t="inlineStr">
        <is>
          <t>admin2</t>
        </is>
      </c>
      <c r="B1063" t="inlineStr">
        <is>
          <t>AF2608</t>
        </is>
      </c>
      <c r="C1063" t="inlineStr">
        <is>
          <t>Atghar</t>
        </is>
      </c>
      <c r="F1063" t="inlineStr">
        <is>
          <t>AF26</t>
        </is>
      </c>
    </row>
    <row r="1064">
      <c r="A1064" t="inlineStr">
        <is>
          <t>admin2</t>
        </is>
      </c>
      <c r="B1064" t="inlineStr">
        <is>
          <t>AF2609</t>
        </is>
      </c>
      <c r="C1064" t="inlineStr">
        <is>
          <t>Nawbahar</t>
        </is>
      </c>
      <c r="F1064" t="inlineStr">
        <is>
          <t>AF26</t>
        </is>
      </c>
    </row>
    <row r="1065">
      <c r="A1065" t="inlineStr">
        <is>
          <t>admin2</t>
        </is>
      </c>
      <c r="B1065" t="inlineStr">
        <is>
          <t>AF2610</t>
        </is>
      </c>
      <c r="C1065" t="inlineStr">
        <is>
          <t>Shamul Zayi</t>
        </is>
      </c>
      <c r="F1065" t="inlineStr">
        <is>
          <t>AF26</t>
        </is>
      </c>
    </row>
    <row r="1066">
      <c r="A1066" t="inlineStr">
        <is>
          <t>admin2</t>
        </is>
      </c>
      <c r="B1066" t="inlineStr">
        <is>
          <t>AF2611</t>
        </is>
      </c>
      <c r="C1066" t="inlineStr">
        <is>
          <t>Kakar</t>
        </is>
      </c>
      <c r="F1066" t="inlineStr">
        <is>
          <t>AF26</t>
        </is>
      </c>
    </row>
    <row r="1067">
      <c r="A1067" t="inlineStr">
        <is>
          <t>admin2</t>
        </is>
      </c>
      <c r="B1067" t="inlineStr">
        <is>
          <t>AF2701</t>
        </is>
      </c>
      <c r="C1067" t="inlineStr">
        <is>
          <t>Kandahar</t>
        </is>
      </c>
      <c r="F1067" t="inlineStr">
        <is>
          <t>AF27</t>
        </is>
      </c>
    </row>
    <row r="1068">
      <c r="A1068" t="inlineStr">
        <is>
          <t>admin2</t>
        </is>
      </c>
      <c r="B1068" t="inlineStr">
        <is>
          <t>AF2702</t>
        </is>
      </c>
      <c r="C1068" t="inlineStr">
        <is>
          <t>Arghandab</t>
        </is>
      </c>
      <c r="F1068" t="inlineStr">
        <is>
          <t>AF27</t>
        </is>
      </c>
    </row>
    <row r="1069">
      <c r="A1069" t="inlineStr">
        <is>
          <t>admin2</t>
        </is>
      </c>
      <c r="B1069" t="inlineStr">
        <is>
          <t>AF2703</t>
        </is>
      </c>
      <c r="C1069" t="inlineStr">
        <is>
          <t>Daman</t>
        </is>
      </c>
      <c r="F1069" t="inlineStr">
        <is>
          <t>AF27</t>
        </is>
      </c>
    </row>
    <row r="1070">
      <c r="A1070" t="inlineStr">
        <is>
          <t>admin2</t>
        </is>
      </c>
      <c r="B1070" t="inlineStr">
        <is>
          <t>AF2704</t>
        </is>
      </c>
      <c r="C1070" t="inlineStr">
        <is>
          <t>Panjwayi</t>
        </is>
      </c>
      <c r="F1070" t="inlineStr">
        <is>
          <t>AF27</t>
        </is>
      </c>
    </row>
    <row r="1071">
      <c r="A1071" t="inlineStr">
        <is>
          <t>admin2</t>
        </is>
      </c>
      <c r="B1071" t="inlineStr">
        <is>
          <t>AF2705</t>
        </is>
      </c>
      <c r="C1071" t="inlineStr">
        <is>
          <t>Zheray</t>
        </is>
      </c>
      <c r="F1071" t="inlineStr">
        <is>
          <t>AF27</t>
        </is>
      </c>
    </row>
    <row r="1072">
      <c r="A1072" t="inlineStr">
        <is>
          <t>admin2</t>
        </is>
      </c>
      <c r="B1072" t="inlineStr">
        <is>
          <t>AF2706</t>
        </is>
      </c>
      <c r="C1072" t="inlineStr">
        <is>
          <t>Shah Wali Kot</t>
        </is>
      </c>
      <c r="F1072" t="inlineStr">
        <is>
          <t>AF27</t>
        </is>
      </c>
    </row>
    <row r="1073">
      <c r="A1073" t="inlineStr">
        <is>
          <t>admin2</t>
        </is>
      </c>
      <c r="B1073" t="inlineStr">
        <is>
          <t>AF2707</t>
        </is>
      </c>
      <c r="C1073" t="inlineStr">
        <is>
          <t>Khakrez</t>
        </is>
      </c>
      <c r="F1073" t="inlineStr">
        <is>
          <t>AF27</t>
        </is>
      </c>
    </row>
    <row r="1074">
      <c r="A1074" t="inlineStr">
        <is>
          <t>admin2</t>
        </is>
      </c>
      <c r="B1074" t="inlineStr">
        <is>
          <t>AF2708</t>
        </is>
      </c>
      <c r="C1074" t="inlineStr">
        <is>
          <t>Arghestan</t>
        </is>
      </c>
      <c r="F1074" t="inlineStr">
        <is>
          <t>AF27</t>
        </is>
      </c>
    </row>
    <row r="1075">
      <c r="A1075" t="inlineStr">
        <is>
          <t>admin2</t>
        </is>
      </c>
      <c r="B1075" t="inlineStr">
        <is>
          <t>AF2709</t>
        </is>
      </c>
      <c r="C1075" t="inlineStr">
        <is>
          <t>Ghorak</t>
        </is>
      </c>
      <c r="F1075" t="inlineStr">
        <is>
          <t>AF27</t>
        </is>
      </c>
    </row>
    <row r="1076">
      <c r="A1076" t="inlineStr">
        <is>
          <t>admin2</t>
        </is>
      </c>
      <c r="B1076" t="inlineStr">
        <is>
          <t>AF2710</t>
        </is>
      </c>
      <c r="C1076" t="inlineStr">
        <is>
          <t>Maywand</t>
        </is>
      </c>
      <c r="F1076" t="inlineStr">
        <is>
          <t>AF27</t>
        </is>
      </c>
    </row>
    <row r="1077">
      <c r="A1077" t="inlineStr">
        <is>
          <t>admin2</t>
        </is>
      </c>
      <c r="B1077" t="inlineStr">
        <is>
          <t>AF2711</t>
        </is>
      </c>
      <c r="C1077" t="inlineStr">
        <is>
          <t>Spin Boldak</t>
        </is>
      </c>
      <c r="F1077" t="inlineStr">
        <is>
          <t>AF27</t>
        </is>
      </c>
    </row>
    <row r="1078">
      <c r="A1078" t="inlineStr">
        <is>
          <t>admin2</t>
        </is>
      </c>
      <c r="B1078" t="inlineStr">
        <is>
          <t>AF2712</t>
        </is>
      </c>
      <c r="C1078" t="inlineStr">
        <is>
          <t>Nesh</t>
        </is>
      </c>
      <c r="F1078" t="inlineStr">
        <is>
          <t>AF27</t>
        </is>
      </c>
    </row>
    <row r="1079">
      <c r="A1079" t="inlineStr">
        <is>
          <t>admin2</t>
        </is>
      </c>
      <c r="B1079" t="inlineStr">
        <is>
          <t>AF2713</t>
        </is>
      </c>
      <c r="C1079" t="inlineStr">
        <is>
          <t>Miyanshin</t>
        </is>
      </c>
      <c r="F1079" t="inlineStr">
        <is>
          <t>AF27</t>
        </is>
      </c>
    </row>
    <row r="1080">
      <c r="A1080" t="inlineStr">
        <is>
          <t>admin2</t>
        </is>
      </c>
      <c r="B1080" t="inlineStr">
        <is>
          <t>AF2714</t>
        </is>
      </c>
      <c r="C1080" t="inlineStr">
        <is>
          <t>Shorabak</t>
        </is>
      </c>
      <c r="F1080" t="inlineStr">
        <is>
          <t>AF27</t>
        </is>
      </c>
    </row>
    <row r="1081">
      <c r="A1081" t="inlineStr">
        <is>
          <t>admin2</t>
        </is>
      </c>
      <c r="B1081" t="inlineStr">
        <is>
          <t>AF2715</t>
        </is>
      </c>
      <c r="C1081" t="inlineStr">
        <is>
          <t>Maruf</t>
        </is>
      </c>
      <c r="F1081" t="inlineStr">
        <is>
          <t>AF27</t>
        </is>
      </c>
    </row>
    <row r="1082">
      <c r="A1082" t="inlineStr">
        <is>
          <t>admin2</t>
        </is>
      </c>
      <c r="B1082" t="inlineStr">
        <is>
          <t>AF2716</t>
        </is>
      </c>
      <c r="C1082" t="inlineStr">
        <is>
          <t>Reg</t>
        </is>
      </c>
      <c r="F1082" t="inlineStr">
        <is>
          <t>AF27</t>
        </is>
      </c>
    </row>
    <row r="1083">
      <c r="A1083" t="inlineStr">
        <is>
          <t>admin2</t>
        </is>
      </c>
      <c r="B1083" t="inlineStr">
        <is>
          <t>AF2801</t>
        </is>
      </c>
      <c r="C1083" t="inlineStr">
        <is>
          <t>Shiberghan</t>
        </is>
      </c>
      <c r="F1083" t="inlineStr">
        <is>
          <t>AF28</t>
        </is>
      </c>
    </row>
    <row r="1084">
      <c r="A1084" t="inlineStr">
        <is>
          <t>admin2</t>
        </is>
      </c>
      <c r="B1084" t="inlineStr">
        <is>
          <t>AF2802</t>
        </is>
      </c>
      <c r="C1084" t="inlineStr">
        <is>
          <t>Khwaja Dukoh</t>
        </is>
      </c>
      <c r="F1084" t="inlineStr">
        <is>
          <t>AF28</t>
        </is>
      </c>
    </row>
    <row r="1085">
      <c r="A1085" t="inlineStr">
        <is>
          <t>admin2</t>
        </is>
      </c>
      <c r="B1085" t="inlineStr">
        <is>
          <t>AF2803</t>
        </is>
      </c>
      <c r="C1085" t="inlineStr">
        <is>
          <t>Khanaqa</t>
        </is>
      </c>
      <c r="F1085" t="inlineStr">
        <is>
          <t>AF28</t>
        </is>
      </c>
    </row>
    <row r="1086">
      <c r="A1086" t="inlineStr">
        <is>
          <t>admin2</t>
        </is>
      </c>
      <c r="B1086" t="inlineStr">
        <is>
          <t>AF2804</t>
        </is>
      </c>
      <c r="C1086" t="inlineStr">
        <is>
          <t>Mingajik</t>
        </is>
      </c>
      <c r="F1086" t="inlineStr">
        <is>
          <t>AF28</t>
        </is>
      </c>
    </row>
    <row r="1087">
      <c r="A1087" t="inlineStr">
        <is>
          <t>admin2</t>
        </is>
      </c>
      <c r="B1087" t="inlineStr">
        <is>
          <t>AF2805</t>
        </is>
      </c>
      <c r="C1087" t="inlineStr">
        <is>
          <t>Qush Tepa</t>
        </is>
      </c>
      <c r="F1087" t="inlineStr">
        <is>
          <t>AF28</t>
        </is>
      </c>
    </row>
    <row r="1088">
      <c r="A1088" t="inlineStr">
        <is>
          <t>admin2</t>
        </is>
      </c>
      <c r="B1088" t="inlineStr">
        <is>
          <t>AF2806</t>
        </is>
      </c>
      <c r="C1088" t="inlineStr">
        <is>
          <t>Khamyab</t>
        </is>
      </c>
      <c r="F1088" t="inlineStr">
        <is>
          <t>AF28</t>
        </is>
      </c>
    </row>
    <row r="1089">
      <c r="A1089" t="inlineStr">
        <is>
          <t>admin2</t>
        </is>
      </c>
      <c r="B1089" t="inlineStr">
        <is>
          <t>AF2807</t>
        </is>
      </c>
      <c r="C1089" t="inlineStr">
        <is>
          <t>Aqcha</t>
        </is>
      </c>
      <c r="F1089" t="inlineStr">
        <is>
          <t>AF28</t>
        </is>
      </c>
    </row>
    <row r="1090">
      <c r="A1090" t="inlineStr">
        <is>
          <t>admin2</t>
        </is>
      </c>
      <c r="B1090" t="inlineStr">
        <is>
          <t>AF2808</t>
        </is>
      </c>
      <c r="C1090" t="inlineStr">
        <is>
          <t>Fayzabad</t>
        </is>
      </c>
      <c r="F1090" t="inlineStr">
        <is>
          <t>AF28</t>
        </is>
      </c>
    </row>
    <row r="1091">
      <c r="A1091" t="inlineStr">
        <is>
          <t>admin2</t>
        </is>
      </c>
      <c r="B1091" t="inlineStr">
        <is>
          <t>AF2809</t>
        </is>
      </c>
      <c r="C1091" t="inlineStr">
        <is>
          <t>Mardyan</t>
        </is>
      </c>
      <c r="F1091" t="inlineStr">
        <is>
          <t>AF28</t>
        </is>
      </c>
    </row>
    <row r="1092">
      <c r="A1092" t="inlineStr">
        <is>
          <t>admin2</t>
        </is>
      </c>
      <c r="B1092" t="inlineStr">
        <is>
          <t>AF2810</t>
        </is>
      </c>
      <c r="C1092" t="inlineStr">
        <is>
          <t>Qarqin</t>
        </is>
      </c>
      <c r="F1092" t="inlineStr">
        <is>
          <t>AF28</t>
        </is>
      </c>
    </row>
    <row r="1093">
      <c r="A1093" t="inlineStr">
        <is>
          <t>admin2</t>
        </is>
      </c>
      <c r="B1093" t="inlineStr">
        <is>
          <t>AF2811</t>
        </is>
      </c>
      <c r="C1093" t="inlineStr">
        <is>
          <t>Darzab</t>
        </is>
      </c>
      <c r="F1093" t="inlineStr">
        <is>
          <t>AF28</t>
        </is>
      </c>
    </row>
    <row r="1094">
      <c r="A1094" t="inlineStr">
        <is>
          <t>admin2</t>
        </is>
      </c>
      <c r="B1094" t="inlineStr">
        <is>
          <t>AF2901</t>
        </is>
      </c>
      <c r="C1094" t="inlineStr">
        <is>
          <t>Maymana</t>
        </is>
      </c>
      <c r="F1094" t="inlineStr">
        <is>
          <t>AF29</t>
        </is>
      </c>
    </row>
    <row r="1095">
      <c r="A1095" t="inlineStr">
        <is>
          <t>admin2</t>
        </is>
      </c>
      <c r="B1095" t="inlineStr">
        <is>
          <t>AF2902</t>
        </is>
      </c>
      <c r="C1095" t="inlineStr">
        <is>
          <t>Pashtun Kot</t>
        </is>
      </c>
      <c r="F1095" t="inlineStr">
        <is>
          <t>AF29</t>
        </is>
      </c>
    </row>
    <row r="1096">
      <c r="A1096" t="inlineStr">
        <is>
          <t>admin2</t>
        </is>
      </c>
      <c r="B1096" t="inlineStr">
        <is>
          <t>AF2903</t>
        </is>
      </c>
      <c r="C1096" t="inlineStr">
        <is>
          <t>Khwaja Sabz Posh</t>
        </is>
      </c>
      <c r="F1096" t="inlineStr">
        <is>
          <t>AF29</t>
        </is>
      </c>
    </row>
    <row r="1097">
      <c r="A1097" t="inlineStr">
        <is>
          <t>admin2</t>
        </is>
      </c>
      <c r="B1097" t="inlineStr">
        <is>
          <t>AF2904</t>
        </is>
      </c>
      <c r="C1097" t="inlineStr">
        <is>
          <t>Almar</t>
        </is>
      </c>
      <c r="F1097" t="inlineStr">
        <is>
          <t>AF29</t>
        </is>
      </c>
    </row>
    <row r="1098">
      <c r="A1098" t="inlineStr">
        <is>
          <t>admin2</t>
        </is>
      </c>
      <c r="B1098" t="inlineStr">
        <is>
          <t>AF2905</t>
        </is>
      </c>
      <c r="C1098" t="inlineStr">
        <is>
          <t>Bilcheragh</t>
        </is>
      </c>
      <c r="F1098" t="inlineStr">
        <is>
          <t>AF29</t>
        </is>
      </c>
    </row>
    <row r="1099">
      <c r="A1099" t="inlineStr">
        <is>
          <t>admin2</t>
        </is>
      </c>
      <c r="B1099" t="inlineStr">
        <is>
          <t>AF2906</t>
        </is>
      </c>
      <c r="C1099" t="inlineStr">
        <is>
          <t>Shirin Tagab</t>
        </is>
      </c>
      <c r="F1099" t="inlineStr">
        <is>
          <t>AF29</t>
        </is>
      </c>
    </row>
    <row r="1100">
      <c r="A1100" t="inlineStr">
        <is>
          <t>admin2</t>
        </is>
      </c>
      <c r="B1100" t="inlineStr">
        <is>
          <t>AF2907</t>
        </is>
      </c>
      <c r="C1100" t="inlineStr">
        <is>
          <t>Qaysar</t>
        </is>
      </c>
      <c r="F1100" t="inlineStr">
        <is>
          <t>AF29</t>
        </is>
      </c>
    </row>
    <row r="1101">
      <c r="A1101" t="inlineStr">
        <is>
          <t>admin2</t>
        </is>
      </c>
      <c r="B1101" t="inlineStr">
        <is>
          <t>AF2908</t>
        </is>
      </c>
      <c r="C1101" t="inlineStr">
        <is>
          <t>Garzewan</t>
        </is>
      </c>
      <c r="F1101" t="inlineStr">
        <is>
          <t>AF29</t>
        </is>
      </c>
    </row>
    <row r="1102">
      <c r="A1102" t="inlineStr">
        <is>
          <t>admin2</t>
        </is>
      </c>
      <c r="B1102" t="inlineStr">
        <is>
          <t>AF2909</t>
        </is>
      </c>
      <c r="C1102" t="inlineStr">
        <is>
          <t>Dawlat Abad</t>
        </is>
      </c>
      <c r="F1102" t="inlineStr">
        <is>
          <t>AF29</t>
        </is>
      </c>
    </row>
    <row r="1103">
      <c r="A1103" t="inlineStr">
        <is>
          <t>admin2</t>
        </is>
      </c>
      <c r="B1103" t="inlineStr">
        <is>
          <t>AF2910</t>
        </is>
      </c>
      <c r="C1103" t="inlineStr">
        <is>
          <t>Kohistan</t>
        </is>
      </c>
      <c r="F1103" t="inlineStr">
        <is>
          <t>AF29</t>
        </is>
      </c>
    </row>
    <row r="1104">
      <c r="A1104" t="inlineStr">
        <is>
          <t>admin2</t>
        </is>
      </c>
      <c r="B1104" t="inlineStr">
        <is>
          <t>AF2911</t>
        </is>
      </c>
      <c r="C1104" t="inlineStr">
        <is>
          <t>Qaram Qul</t>
        </is>
      </c>
      <c r="F1104" t="inlineStr">
        <is>
          <t>AF29</t>
        </is>
      </c>
    </row>
    <row r="1105">
      <c r="A1105" t="inlineStr">
        <is>
          <t>admin2</t>
        </is>
      </c>
      <c r="B1105" t="inlineStr">
        <is>
          <t>AF2912</t>
        </is>
      </c>
      <c r="C1105" t="inlineStr">
        <is>
          <t>Qurghan</t>
        </is>
      </c>
      <c r="F1105" t="inlineStr">
        <is>
          <t>AF29</t>
        </is>
      </c>
    </row>
    <row r="1106">
      <c r="A1106" t="inlineStr">
        <is>
          <t>admin2</t>
        </is>
      </c>
      <c r="B1106" t="inlineStr">
        <is>
          <t>AF2913</t>
        </is>
      </c>
      <c r="C1106" t="inlineStr">
        <is>
          <t>Andkhoy</t>
        </is>
      </c>
      <c r="F1106" t="inlineStr">
        <is>
          <t>AF29</t>
        </is>
      </c>
    </row>
    <row r="1107">
      <c r="A1107" t="inlineStr">
        <is>
          <t>admin2</t>
        </is>
      </c>
      <c r="B1107" t="inlineStr">
        <is>
          <t>AF2914</t>
        </is>
      </c>
      <c r="C1107" t="inlineStr">
        <is>
          <t>Khan-e-Char Bagh</t>
        </is>
      </c>
      <c r="F1107" t="inlineStr">
        <is>
          <t>AF29</t>
        </is>
      </c>
    </row>
    <row r="1108">
      <c r="A1108" t="inlineStr">
        <is>
          <t>admin2</t>
        </is>
      </c>
      <c r="B1108" t="inlineStr">
        <is>
          <t>AF3001</t>
        </is>
      </c>
      <c r="C1108" t="inlineStr">
        <is>
          <t>Lashkargah</t>
        </is>
      </c>
      <c r="F1108" t="inlineStr">
        <is>
          <t>AF30</t>
        </is>
      </c>
    </row>
    <row r="1109">
      <c r="A1109" t="inlineStr">
        <is>
          <t>admin2</t>
        </is>
      </c>
      <c r="B1109" t="inlineStr">
        <is>
          <t>AF3002</t>
        </is>
      </c>
      <c r="C1109" t="inlineStr">
        <is>
          <t>Nad-e-Ali</t>
        </is>
      </c>
      <c r="F1109" t="inlineStr">
        <is>
          <t>AF30</t>
        </is>
      </c>
    </row>
    <row r="1110">
      <c r="A1110" t="inlineStr">
        <is>
          <t>admin2</t>
        </is>
      </c>
      <c r="B1110" t="inlineStr">
        <is>
          <t>AF3003</t>
        </is>
      </c>
      <c r="C1110" t="inlineStr">
        <is>
          <t>Nawa-e-Barakzaiy</t>
        </is>
      </c>
      <c r="F1110" t="inlineStr">
        <is>
          <t>AF30</t>
        </is>
      </c>
    </row>
    <row r="1111">
      <c r="A1111" t="inlineStr">
        <is>
          <t>admin2</t>
        </is>
      </c>
      <c r="B1111" t="inlineStr">
        <is>
          <t>AF3004</t>
        </is>
      </c>
      <c r="C1111" t="inlineStr">
        <is>
          <t>Nahr-e-Saraj</t>
        </is>
      </c>
      <c r="F1111" t="inlineStr">
        <is>
          <t>AF30</t>
        </is>
      </c>
    </row>
    <row r="1112">
      <c r="A1112" t="inlineStr">
        <is>
          <t>admin2</t>
        </is>
      </c>
      <c r="B1112" t="inlineStr">
        <is>
          <t>AF3005</t>
        </is>
      </c>
      <c r="C1112" t="inlineStr">
        <is>
          <t>Washer</t>
        </is>
      </c>
      <c r="F1112" t="inlineStr">
        <is>
          <t>AF30</t>
        </is>
      </c>
    </row>
    <row r="1113">
      <c r="A1113" t="inlineStr">
        <is>
          <t>admin2</t>
        </is>
      </c>
      <c r="B1113" t="inlineStr">
        <is>
          <t>AF3006</t>
        </is>
      </c>
      <c r="C1113" t="inlineStr">
        <is>
          <t>Garmser</t>
        </is>
      </c>
      <c r="F1113" t="inlineStr">
        <is>
          <t>AF30</t>
        </is>
      </c>
    </row>
    <row r="1114">
      <c r="A1114" t="inlineStr">
        <is>
          <t>admin2</t>
        </is>
      </c>
      <c r="B1114" t="inlineStr">
        <is>
          <t>AF3007</t>
        </is>
      </c>
      <c r="C1114" t="inlineStr">
        <is>
          <t>Nawzad</t>
        </is>
      </c>
      <c r="F1114" t="inlineStr">
        <is>
          <t>AF30</t>
        </is>
      </c>
    </row>
    <row r="1115">
      <c r="A1115" t="inlineStr">
        <is>
          <t>admin2</t>
        </is>
      </c>
      <c r="B1115" t="inlineStr">
        <is>
          <t>AF3008</t>
        </is>
      </c>
      <c r="C1115" t="inlineStr">
        <is>
          <t>Sangin</t>
        </is>
      </c>
      <c r="F1115" t="inlineStr">
        <is>
          <t>AF30</t>
        </is>
      </c>
    </row>
    <row r="1116">
      <c r="A1116" t="inlineStr">
        <is>
          <t>admin2</t>
        </is>
      </c>
      <c r="B1116" t="inlineStr">
        <is>
          <t>AF3009</t>
        </is>
      </c>
      <c r="C1116" t="inlineStr">
        <is>
          <t>Musa Qala</t>
        </is>
      </c>
      <c r="F1116" t="inlineStr">
        <is>
          <t>AF30</t>
        </is>
      </c>
    </row>
    <row r="1117">
      <c r="A1117" t="inlineStr">
        <is>
          <t>admin2</t>
        </is>
      </c>
      <c r="B1117" t="inlineStr">
        <is>
          <t>AF3010</t>
        </is>
      </c>
      <c r="C1117" t="inlineStr">
        <is>
          <t>Kajaki</t>
        </is>
      </c>
      <c r="F1117" t="inlineStr">
        <is>
          <t>AF30</t>
        </is>
      </c>
    </row>
    <row r="1118">
      <c r="A1118" t="inlineStr">
        <is>
          <t>admin2</t>
        </is>
      </c>
      <c r="B1118" t="inlineStr">
        <is>
          <t>AF3011</t>
        </is>
      </c>
      <c r="C1118" t="inlineStr">
        <is>
          <t>Reg-i-Khan Nishin</t>
        </is>
      </c>
      <c r="F1118" t="inlineStr">
        <is>
          <t>AF30</t>
        </is>
      </c>
    </row>
    <row r="1119">
      <c r="A1119" t="inlineStr">
        <is>
          <t>admin2</t>
        </is>
      </c>
      <c r="B1119" t="inlineStr">
        <is>
          <t>AF3012</t>
        </is>
      </c>
      <c r="C1119" t="inlineStr">
        <is>
          <t>Baghran</t>
        </is>
      </c>
      <c r="F1119" t="inlineStr">
        <is>
          <t>AF30</t>
        </is>
      </c>
    </row>
    <row r="1120">
      <c r="A1120" t="inlineStr">
        <is>
          <t>admin2</t>
        </is>
      </c>
      <c r="B1120" t="inlineStr">
        <is>
          <t>AF3013</t>
        </is>
      </c>
      <c r="C1120" t="inlineStr">
        <is>
          <t>Deh-e-Shu</t>
        </is>
      </c>
      <c r="F1120" t="inlineStr">
        <is>
          <t>AF30</t>
        </is>
      </c>
    </row>
    <row r="1121">
      <c r="A1121" t="inlineStr">
        <is>
          <t>admin2</t>
        </is>
      </c>
      <c r="B1121" t="inlineStr">
        <is>
          <t>AF3101</t>
        </is>
      </c>
      <c r="C1121" t="inlineStr">
        <is>
          <t>Qala-e-Naw</t>
        </is>
      </c>
      <c r="F1121" t="inlineStr">
        <is>
          <t>AF31</t>
        </is>
      </c>
    </row>
    <row r="1122">
      <c r="A1122" t="inlineStr">
        <is>
          <t>admin2</t>
        </is>
      </c>
      <c r="B1122" t="inlineStr">
        <is>
          <t>AF3102</t>
        </is>
      </c>
      <c r="C1122" t="inlineStr">
        <is>
          <t>Ab Kamari</t>
        </is>
      </c>
      <c r="F1122" t="inlineStr">
        <is>
          <t>AF31</t>
        </is>
      </c>
    </row>
    <row r="1123">
      <c r="A1123" t="inlineStr">
        <is>
          <t>admin2</t>
        </is>
      </c>
      <c r="B1123" t="inlineStr">
        <is>
          <t>AF3103</t>
        </is>
      </c>
      <c r="C1123" t="inlineStr">
        <is>
          <t>Muqur</t>
        </is>
      </c>
      <c r="F1123" t="inlineStr">
        <is>
          <t>AF31</t>
        </is>
      </c>
    </row>
    <row r="1124">
      <c r="A1124" t="inlineStr">
        <is>
          <t>admin2</t>
        </is>
      </c>
      <c r="B1124" t="inlineStr">
        <is>
          <t>AF3104</t>
        </is>
      </c>
      <c r="C1124" t="inlineStr">
        <is>
          <t>Qadis</t>
        </is>
      </c>
      <c r="F1124" t="inlineStr">
        <is>
          <t>AF31</t>
        </is>
      </c>
    </row>
    <row r="1125">
      <c r="A1125" t="inlineStr">
        <is>
          <t>admin2</t>
        </is>
      </c>
      <c r="B1125" t="inlineStr">
        <is>
          <t>AF3105</t>
        </is>
      </c>
      <c r="C1125" t="inlineStr">
        <is>
          <t>Bala Murghab</t>
        </is>
      </c>
      <c r="F1125" t="inlineStr">
        <is>
          <t>AF31</t>
        </is>
      </c>
    </row>
    <row r="1126">
      <c r="A1126" t="inlineStr">
        <is>
          <t>admin2</t>
        </is>
      </c>
      <c r="B1126" t="inlineStr">
        <is>
          <t>AF3106</t>
        </is>
      </c>
      <c r="C1126" t="inlineStr">
        <is>
          <t>Jawand</t>
        </is>
      </c>
      <c r="F1126" t="inlineStr">
        <is>
          <t>AF31</t>
        </is>
      </c>
    </row>
    <row r="1127">
      <c r="A1127" t="inlineStr">
        <is>
          <t>admin2</t>
        </is>
      </c>
      <c r="B1127" t="inlineStr">
        <is>
          <t>AF3107</t>
        </is>
      </c>
      <c r="C1127" t="inlineStr">
        <is>
          <t>Ghormach</t>
        </is>
      </c>
      <c r="F1127" t="inlineStr">
        <is>
          <t>AF31</t>
        </is>
      </c>
    </row>
    <row r="1128">
      <c r="A1128" t="inlineStr">
        <is>
          <t>admin2</t>
        </is>
      </c>
      <c r="B1128" t="inlineStr">
        <is>
          <t>AF3201</t>
        </is>
      </c>
      <c r="C1128" t="inlineStr">
        <is>
          <t>Hirat</t>
        </is>
      </c>
      <c r="F1128" t="inlineStr">
        <is>
          <t>AF32</t>
        </is>
      </c>
    </row>
    <row r="1129">
      <c r="A1129" t="inlineStr">
        <is>
          <t>admin2</t>
        </is>
      </c>
      <c r="B1129" t="inlineStr">
        <is>
          <t>AF3202</t>
        </is>
      </c>
      <c r="C1129" t="inlineStr">
        <is>
          <t>Injil</t>
        </is>
      </c>
      <c r="F1129" t="inlineStr">
        <is>
          <t>AF32</t>
        </is>
      </c>
    </row>
    <row r="1130">
      <c r="A1130" t="inlineStr">
        <is>
          <t>admin2</t>
        </is>
      </c>
      <c r="B1130" t="inlineStr">
        <is>
          <t>AF3203</t>
        </is>
      </c>
      <c r="C1130" t="inlineStr">
        <is>
          <t>Guzara</t>
        </is>
      </c>
      <c r="F1130" t="inlineStr">
        <is>
          <t>AF32</t>
        </is>
      </c>
    </row>
    <row r="1131">
      <c r="A1131" t="inlineStr">
        <is>
          <t>admin2</t>
        </is>
      </c>
      <c r="B1131" t="inlineStr">
        <is>
          <t>AF3204</t>
        </is>
      </c>
      <c r="C1131" t="inlineStr">
        <is>
          <t>Karukh</t>
        </is>
      </c>
      <c r="F1131" t="inlineStr">
        <is>
          <t>AF32</t>
        </is>
      </c>
    </row>
    <row r="1132">
      <c r="A1132" t="inlineStr">
        <is>
          <t>admin2</t>
        </is>
      </c>
      <c r="B1132" t="inlineStr">
        <is>
          <t>AF3205</t>
        </is>
      </c>
      <c r="C1132" t="inlineStr">
        <is>
          <t>Zindajan</t>
        </is>
      </c>
      <c r="F1132" t="inlineStr">
        <is>
          <t>AF32</t>
        </is>
      </c>
    </row>
    <row r="1133">
      <c r="A1133" t="inlineStr">
        <is>
          <t>admin2</t>
        </is>
      </c>
      <c r="B1133" t="inlineStr">
        <is>
          <t>AF3206</t>
        </is>
      </c>
      <c r="C1133" t="inlineStr">
        <is>
          <t>Pashtun Zarghun</t>
        </is>
      </c>
      <c r="F1133" t="inlineStr">
        <is>
          <t>AF32</t>
        </is>
      </c>
    </row>
    <row r="1134">
      <c r="A1134" t="inlineStr">
        <is>
          <t>admin2</t>
        </is>
      </c>
      <c r="B1134" t="inlineStr">
        <is>
          <t>AF3207</t>
        </is>
      </c>
      <c r="C1134" t="inlineStr">
        <is>
          <t>Kushk</t>
        </is>
      </c>
      <c r="F1134" t="inlineStr">
        <is>
          <t>AF32</t>
        </is>
      </c>
    </row>
    <row r="1135">
      <c r="A1135" t="inlineStr">
        <is>
          <t>admin2</t>
        </is>
      </c>
      <c r="B1135" t="inlineStr">
        <is>
          <t>AF3208</t>
        </is>
      </c>
      <c r="C1135" t="inlineStr">
        <is>
          <t>Gulran</t>
        </is>
      </c>
      <c r="F1135" t="inlineStr">
        <is>
          <t>AF32</t>
        </is>
      </c>
    </row>
    <row r="1136">
      <c r="A1136" t="inlineStr">
        <is>
          <t>admin2</t>
        </is>
      </c>
      <c r="B1136" t="inlineStr">
        <is>
          <t>AF3209</t>
        </is>
      </c>
      <c r="C1136" t="inlineStr">
        <is>
          <t>Adraskan</t>
        </is>
      </c>
      <c r="F1136" t="inlineStr">
        <is>
          <t>AF32</t>
        </is>
      </c>
    </row>
    <row r="1137">
      <c r="A1137" t="inlineStr">
        <is>
          <t>admin2</t>
        </is>
      </c>
      <c r="B1137" t="inlineStr">
        <is>
          <t>AF3210</t>
        </is>
      </c>
      <c r="C1137" t="inlineStr">
        <is>
          <t>Kushk-e-Kuhna</t>
        </is>
      </c>
      <c r="F1137" t="inlineStr">
        <is>
          <t>AF32</t>
        </is>
      </c>
    </row>
    <row r="1138">
      <c r="A1138" t="inlineStr">
        <is>
          <t>admin2</t>
        </is>
      </c>
      <c r="B1138" t="inlineStr">
        <is>
          <t>AF3211</t>
        </is>
      </c>
      <c r="C1138" t="inlineStr">
        <is>
          <t>Ghoryan</t>
        </is>
      </c>
      <c r="F1138" t="inlineStr">
        <is>
          <t>AF32</t>
        </is>
      </c>
    </row>
    <row r="1139">
      <c r="A1139" t="inlineStr">
        <is>
          <t>admin2</t>
        </is>
      </c>
      <c r="B1139" t="inlineStr">
        <is>
          <t>AF3212</t>
        </is>
      </c>
      <c r="C1139" t="inlineStr">
        <is>
          <t>Obe</t>
        </is>
      </c>
      <c r="F1139" t="inlineStr">
        <is>
          <t>AF32</t>
        </is>
      </c>
    </row>
    <row r="1140">
      <c r="A1140" t="inlineStr">
        <is>
          <t>admin2</t>
        </is>
      </c>
      <c r="B1140" t="inlineStr">
        <is>
          <t>AF3213</t>
        </is>
      </c>
      <c r="C1140" t="inlineStr">
        <is>
          <t>Kohsan</t>
        </is>
      </c>
      <c r="F1140" t="inlineStr">
        <is>
          <t>AF32</t>
        </is>
      </c>
    </row>
    <row r="1141">
      <c r="A1141" t="inlineStr">
        <is>
          <t>admin2</t>
        </is>
      </c>
      <c r="B1141" t="inlineStr">
        <is>
          <t>AF3214</t>
        </is>
      </c>
      <c r="C1141" t="inlineStr">
        <is>
          <t>Shindand</t>
        </is>
      </c>
      <c r="F1141" t="inlineStr">
        <is>
          <t>AF32</t>
        </is>
      </c>
    </row>
    <row r="1142">
      <c r="A1142" t="inlineStr">
        <is>
          <t>admin2</t>
        </is>
      </c>
      <c r="B1142" t="inlineStr">
        <is>
          <t>AF3215</t>
        </is>
      </c>
      <c r="C1142" t="inlineStr">
        <is>
          <t>Farsi</t>
        </is>
      </c>
      <c r="F1142" t="inlineStr">
        <is>
          <t>AF32</t>
        </is>
      </c>
    </row>
    <row r="1143">
      <c r="A1143" t="inlineStr">
        <is>
          <t>admin2</t>
        </is>
      </c>
      <c r="B1143" t="inlineStr">
        <is>
          <t>AF3216</t>
        </is>
      </c>
      <c r="C1143" t="inlineStr">
        <is>
          <t>Chisht-e-Sharif</t>
        </is>
      </c>
      <c r="F1143" t="inlineStr">
        <is>
          <t>AF32</t>
        </is>
      </c>
    </row>
    <row r="1144">
      <c r="A1144" t="inlineStr">
        <is>
          <t>admin2</t>
        </is>
      </c>
      <c r="B1144" t="inlineStr">
        <is>
          <t>AF3301</t>
        </is>
      </c>
      <c r="C1144" t="inlineStr">
        <is>
          <t>Farah</t>
        </is>
      </c>
      <c r="F1144" t="inlineStr">
        <is>
          <t>AF33</t>
        </is>
      </c>
    </row>
    <row r="1145">
      <c r="A1145" t="inlineStr">
        <is>
          <t>admin2</t>
        </is>
      </c>
      <c r="B1145" t="inlineStr">
        <is>
          <t>AF3302</t>
        </is>
      </c>
      <c r="C1145" t="inlineStr">
        <is>
          <t>Pushtrod</t>
        </is>
      </c>
      <c r="F1145" t="inlineStr">
        <is>
          <t>AF33</t>
        </is>
      </c>
    </row>
    <row r="1146">
      <c r="A1146" t="inlineStr">
        <is>
          <t>admin2</t>
        </is>
      </c>
      <c r="B1146" t="inlineStr">
        <is>
          <t>AF3303</t>
        </is>
      </c>
      <c r="C1146" t="inlineStr">
        <is>
          <t>Khak-e-Safed</t>
        </is>
      </c>
      <c r="F1146" t="inlineStr">
        <is>
          <t>AF33</t>
        </is>
      </c>
    </row>
    <row r="1147">
      <c r="A1147" t="inlineStr">
        <is>
          <t>admin2</t>
        </is>
      </c>
      <c r="B1147" t="inlineStr">
        <is>
          <t>AF3304</t>
        </is>
      </c>
      <c r="C1147" t="inlineStr">
        <is>
          <t>Qala-e-Kah</t>
        </is>
      </c>
      <c r="F1147" t="inlineStr">
        <is>
          <t>AF33</t>
        </is>
      </c>
    </row>
    <row r="1148">
      <c r="A1148" t="inlineStr">
        <is>
          <t>admin2</t>
        </is>
      </c>
      <c r="B1148" t="inlineStr">
        <is>
          <t>AF3305</t>
        </is>
      </c>
      <c r="C1148" t="inlineStr">
        <is>
          <t>Shibkoh</t>
        </is>
      </c>
      <c r="F1148" t="inlineStr">
        <is>
          <t>AF33</t>
        </is>
      </c>
    </row>
    <row r="1149">
      <c r="A1149" t="inlineStr">
        <is>
          <t>admin2</t>
        </is>
      </c>
      <c r="B1149" t="inlineStr">
        <is>
          <t>AF3306</t>
        </is>
      </c>
      <c r="C1149" t="inlineStr">
        <is>
          <t>Bala Buluk</t>
        </is>
      </c>
      <c r="F1149" t="inlineStr">
        <is>
          <t>AF33</t>
        </is>
      </c>
    </row>
    <row r="1150">
      <c r="A1150" t="inlineStr">
        <is>
          <t>admin2</t>
        </is>
      </c>
      <c r="B1150" t="inlineStr">
        <is>
          <t>AF3307</t>
        </is>
      </c>
      <c r="C1150" t="inlineStr">
        <is>
          <t>Anar Dara</t>
        </is>
      </c>
      <c r="F1150" t="inlineStr">
        <is>
          <t>AF33</t>
        </is>
      </c>
    </row>
    <row r="1151">
      <c r="A1151" t="inlineStr">
        <is>
          <t>admin2</t>
        </is>
      </c>
      <c r="B1151" t="inlineStr">
        <is>
          <t>AF3308</t>
        </is>
      </c>
      <c r="C1151" t="inlineStr">
        <is>
          <t>Bakwa</t>
        </is>
      </c>
      <c r="F1151" t="inlineStr">
        <is>
          <t>AF33</t>
        </is>
      </c>
    </row>
    <row r="1152">
      <c r="A1152" t="inlineStr">
        <is>
          <t>admin2</t>
        </is>
      </c>
      <c r="B1152" t="inlineStr">
        <is>
          <t>AF3309</t>
        </is>
      </c>
      <c r="C1152" t="inlineStr">
        <is>
          <t>Lash-e-Juwayn</t>
        </is>
      </c>
      <c r="F1152" t="inlineStr">
        <is>
          <t>AF33</t>
        </is>
      </c>
    </row>
    <row r="1153">
      <c r="A1153" t="inlineStr">
        <is>
          <t>admin2</t>
        </is>
      </c>
      <c r="B1153" t="inlineStr">
        <is>
          <t>AF3310</t>
        </is>
      </c>
      <c r="C1153" t="inlineStr">
        <is>
          <t>Gulistan</t>
        </is>
      </c>
      <c r="F1153" t="inlineStr">
        <is>
          <t>AF33</t>
        </is>
      </c>
    </row>
    <row r="1154">
      <c r="A1154" t="inlineStr">
        <is>
          <t>admin2</t>
        </is>
      </c>
      <c r="B1154" t="inlineStr">
        <is>
          <t>AF3311</t>
        </is>
      </c>
      <c r="C1154" t="inlineStr">
        <is>
          <t>Pur Chaman</t>
        </is>
      </c>
      <c r="F1154" t="inlineStr">
        <is>
          <t>AF33</t>
        </is>
      </c>
    </row>
    <row r="1155">
      <c r="A1155" t="inlineStr">
        <is>
          <t>admin2</t>
        </is>
      </c>
      <c r="B1155" t="inlineStr">
        <is>
          <t>AF3401</t>
        </is>
      </c>
      <c r="C1155" t="inlineStr">
        <is>
          <t>Zaranj</t>
        </is>
      </c>
      <c r="F1155" t="inlineStr">
        <is>
          <t>AF34</t>
        </is>
      </c>
    </row>
    <row r="1156">
      <c r="A1156" t="inlineStr">
        <is>
          <t>admin2</t>
        </is>
      </c>
      <c r="B1156" t="inlineStr">
        <is>
          <t>AF3402</t>
        </is>
      </c>
      <c r="C1156" t="inlineStr">
        <is>
          <t>Kang</t>
        </is>
      </c>
      <c r="F1156" t="inlineStr">
        <is>
          <t>AF34</t>
        </is>
      </c>
    </row>
    <row r="1157">
      <c r="A1157" t="inlineStr">
        <is>
          <t>admin2</t>
        </is>
      </c>
      <c r="B1157" t="inlineStr">
        <is>
          <t>AF3403</t>
        </is>
      </c>
      <c r="C1157" t="inlineStr">
        <is>
          <t>Chakhansur</t>
        </is>
      </c>
      <c r="F1157" t="inlineStr">
        <is>
          <t>AF34</t>
        </is>
      </c>
    </row>
    <row r="1158">
      <c r="A1158" t="inlineStr">
        <is>
          <t>admin2</t>
        </is>
      </c>
      <c r="B1158" t="inlineStr">
        <is>
          <t>AF3404</t>
        </is>
      </c>
      <c r="C1158" t="inlineStr">
        <is>
          <t>Char Burjak</t>
        </is>
      </c>
      <c r="F1158" t="inlineStr">
        <is>
          <t>AF34</t>
        </is>
      </c>
    </row>
    <row r="1159">
      <c r="A1159" t="inlineStr">
        <is>
          <t>admin2</t>
        </is>
      </c>
      <c r="B1159" t="inlineStr">
        <is>
          <t>AF3405</t>
        </is>
      </c>
      <c r="C1159" t="inlineStr">
        <is>
          <t>Khashrod</t>
        </is>
      </c>
      <c r="F1159" t="inlineStr">
        <is>
          <t>AF34</t>
        </is>
      </c>
    </row>
    <row r="1160"/>
    <row r="1161">
      <c r="A1161" t="inlineStr">
        <is>
          <t>crop</t>
        </is>
      </c>
      <c r="B1161" t="inlineStr">
        <is>
          <t>1.2</t>
        </is>
      </c>
      <c r="C1161" t="inlineStr">
        <is>
          <t>Wheat</t>
        </is>
      </c>
    </row>
    <row r="1162">
      <c r="A1162" t="inlineStr">
        <is>
          <t>crop</t>
        </is>
      </c>
      <c r="B1162" t="inlineStr">
        <is>
          <t>1.5</t>
        </is>
      </c>
      <c r="C1162" t="inlineStr">
        <is>
          <t>Maize</t>
        </is>
      </c>
    </row>
    <row r="1163">
      <c r="A1163" t="inlineStr">
        <is>
          <t>crop</t>
        </is>
      </c>
      <c r="B1163" t="inlineStr">
        <is>
          <t>1.6</t>
        </is>
      </c>
      <c r="C1163" t="inlineStr">
        <is>
          <t>Barley</t>
        </is>
      </c>
    </row>
    <row r="1164">
      <c r="A1164" t="inlineStr">
        <is>
          <t>crop</t>
        </is>
      </c>
      <c r="B1164" t="inlineStr">
        <is>
          <t>3.1</t>
        </is>
      </c>
      <c r="C1164" t="inlineStr">
        <is>
          <t>Beans</t>
        </is>
      </c>
    </row>
    <row r="1165">
      <c r="A1165" t="inlineStr">
        <is>
          <t>crop</t>
        </is>
      </c>
      <c r="B1165" t="inlineStr">
        <is>
          <t>5.1</t>
        </is>
      </c>
      <c r="C1165" t="inlineStr">
        <is>
          <t>Tomatoes</t>
        </is>
      </c>
    </row>
    <row r="1166">
      <c r="A1166" t="inlineStr">
        <is>
          <t>crop</t>
        </is>
      </c>
      <c r="B1166" t="inlineStr">
        <is>
          <t>5.4</t>
        </is>
      </c>
      <c r="C1166" t="inlineStr">
        <is>
          <t>Eggplant/aubergine</t>
        </is>
      </c>
    </row>
    <row r="1167">
      <c r="A1167" t="inlineStr">
        <is>
          <t>crop</t>
        </is>
      </c>
      <c r="B1167" t="inlineStr">
        <is>
          <t>5.6</t>
        </is>
      </c>
      <c r="C1167" t="inlineStr">
        <is>
          <t>Okra</t>
        </is>
      </c>
    </row>
    <row r="1168">
      <c r="A1168" t="inlineStr">
        <is>
          <t>crop</t>
        </is>
      </c>
      <c r="B1168" t="inlineStr">
        <is>
          <t>5.8</t>
        </is>
      </c>
      <c r="C1168" t="inlineStr">
        <is>
          <t>Onions</t>
        </is>
      </c>
    </row>
    <row r="1169">
      <c r="A1169" t="inlineStr">
        <is>
          <t>crop</t>
        </is>
      </c>
      <c r="B1169" t="inlineStr">
        <is>
          <t>7.18</t>
        </is>
      </c>
      <c r="C1169" t="inlineStr">
        <is>
          <t>Melon (Cantaloupe)</t>
        </is>
      </c>
    </row>
    <row r="1170">
      <c r="A1170" t="inlineStr">
        <is>
          <t>crop</t>
        </is>
      </c>
      <c r="B1170" t="inlineStr">
        <is>
          <t>7.8</t>
        </is>
      </c>
      <c r="C1170" t="inlineStr">
        <is>
          <t>Water Melon</t>
        </is>
      </c>
    </row>
    <row r="1171">
      <c r="A1171" t="inlineStr">
        <is>
          <t>crop</t>
        </is>
      </c>
      <c r="B1171" t="inlineStr">
        <is>
          <t>1.1</t>
        </is>
      </c>
      <c r="C1171" t="inlineStr">
        <is>
          <t>Rice</t>
        </is>
      </c>
    </row>
    <row r="1172">
      <c r="A1172" t="inlineStr">
        <is>
          <t>crop</t>
        </is>
      </c>
      <c r="B1172" t="inlineStr">
        <is>
          <t>1.3</t>
        </is>
      </c>
      <c r="C1172" t="inlineStr">
        <is>
          <t>Millet</t>
        </is>
      </c>
    </row>
    <row r="1173">
      <c r="A1173" t="inlineStr">
        <is>
          <t>crop</t>
        </is>
      </c>
      <c r="B1173" t="inlineStr">
        <is>
          <t>1.4</t>
        </is>
      </c>
      <c r="C1173" t="inlineStr">
        <is>
          <t>Sorghum</t>
        </is>
      </c>
    </row>
    <row r="1174">
      <c r="A1174" t="inlineStr">
        <is>
          <t>crop</t>
        </is>
      </c>
      <c r="B1174" t="inlineStr">
        <is>
          <t>1.99</t>
        </is>
      </c>
      <c r="C1174" t="inlineStr">
        <is>
          <t>Other Cereal</t>
        </is>
      </c>
    </row>
    <row r="1175">
      <c r="A1175" t="inlineStr">
        <is>
          <t>crop</t>
        </is>
      </c>
      <c r="B1175" t="inlineStr">
        <is>
          <t>10.1</t>
        </is>
      </c>
      <c r="C1175" t="inlineStr">
        <is>
          <t>Cotton</t>
        </is>
      </c>
    </row>
    <row r="1176">
      <c r="A1176" t="inlineStr">
        <is>
          <t>crop</t>
        </is>
      </c>
      <c r="B1176" t="inlineStr">
        <is>
          <t>10.2</t>
        </is>
      </c>
      <c r="C1176" t="inlineStr">
        <is>
          <t>Rubber</t>
        </is>
      </c>
    </row>
    <row r="1177">
      <c r="A1177" t="inlineStr">
        <is>
          <t>crop</t>
        </is>
      </c>
      <c r="B1177" t="inlineStr">
        <is>
          <t>10.3</t>
        </is>
      </c>
      <c r="C1177" t="inlineStr">
        <is>
          <t>Jute</t>
        </is>
      </c>
    </row>
    <row r="1178">
      <c r="A1178" t="inlineStr">
        <is>
          <t>crop</t>
        </is>
      </c>
      <c r="B1178" t="inlineStr">
        <is>
          <t>10.4</t>
        </is>
      </c>
      <c r="C1178" t="inlineStr">
        <is>
          <t>Fodder</t>
        </is>
      </c>
    </row>
    <row r="1179">
      <c r="A1179" t="inlineStr">
        <is>
          <t>crop</t>
        </is>
      </c>
      <c r="B1179" t="inlineStr">
        <is>
          <t>10.5</t>
        </is>
      </c>
      <c r="C1179" t="inlineStr">
        <is>
          <t>Tobacco</t>
        </is>
      </c>
    </row>
    <row r="1180">
      <c r="A1180" t="inlineStr">
        <is>
          <t>crop</t>
        </is>
      </c>
      <c r="B1180" t="inlineStr">
        <is>
          <t>10.6</t>
        </is>
      </c>
      <c r="C1180" t="inlineStr">
        <is>
          <t>Qat</t>
        </is>
      </c>
    </row>
    <row r="1181">
      <c r="A1181" t="inlineStr">
        <is>
          <t>crop</t>
        </is>
      </c>
      <c r="B1181" t="inlineStr">
        <is>
          <t>10.99</t>
        </is>
      </c>
      <c r="C1181" t="inlineStr">
        <is>
          <t>Other non-food cash crop</t>
        </is>
      </c>
    </row>
    <row r="1182">
      <c r="A1182" t="inlineStr">
        <is>
          <t>crop</t>
        </is>
      </c>
      <c r="B1182" t="inlineStr">
        <is>
          <t>2.1</t>
        </is>
      </c>
      <c r="C1182" t="inlineStr">
        <is>
          <t>Cassava</t>
        </is>
      </c>
    </row>
    <row r="1183">
      <c r="A1183" t="inlineStr">
        <is>
          <t>crop</t>
        </is>
      </c>
      <c r="B1183" t="inlineStr">
        <is>
          <t>2.2</t>
        </is>
      </c>
      <c r="C1183" t="inlineStr">
        <is>
          <t>Potatoe</t>
        </is>
      </c>
    </row>
    <row r="1184">
      <c r="A1184" t="inlineStr">
        <is>
          <t>crop</t>
        </is>
      </c>
      <c r="B1184" t="inlineStr">
        <is>
          <t>2.3</t>
        </is>
      </c>
      <c r="C1184" t="inlineStr">
        <is>
          <t>Sweet Potatoes</t>
        </is>
      </c>
    </row>
    <row r="1185">
      <c r="A1185" t="inlineStr">
        <is>
          <t>crop</t>
        </is>
      </c>
      <c r="B1185" t="inlineStr">
        <is>
          <t>2.4</t>
        </is>
      </c>
      <c r="C1185" t="inlineStr">
        <is>
          <t>Yams</t>
        </is>
      </c>
    </row>
    <row r="1186">
      <c r="A1186" t="inlineStr">
        <is>
          <t>crop</t>
        </is>
      </c>
      <c r="B1186" t="inlineStr">
        <is>
          <t>2.5</t>
        </is>
      </c>
      <c r="C1186" t="inlineStr">
        <is>
          <t>Carrots</t>
        </is>
      </c>
    </row>
    <row r="1187">
      <c r="A1187" t="inlineStr">
        <is>
          <t>crop</t>
        </is>
      </c>
      <c r="B1187" t="inlineStr">
        <is>
          <t>2.6</t>
        </is>
      </c>
      <c r="C1187" t="inlineStr">
        <is>
          <t>Cocoyam</t>
        </is>
      </c>
    </row>
    <row r="1188">
      <c r="A1188" t="inlineStr">
        <is>
          <t>crop</t>
        </is>
      </c>
      <c r="B1188" t="inlineStr">
        <is>
          <t>2.99</t>
        </is>
      </c>
      <c r="C1188" t="inlineStr">
        <is>
          <t>Other tubers</t>
        </is>
      </c>
    </row>
    <row r="1189">
      <c r="A1189" t="inlineStr">
        <is>
          <t>crop</t>
        </is>
      </c>
      <c r="B1189" t="inlineStr">
        <is>
          <t>3.2</t>
        </is>
      </c>
      <c r="C1189" t="inlineStr">
        <is>
          <t>Lentils</t>
        </is>
      </c>
    </row>
    <row r="1190">
      <c r="A1190" t="inlineStr">
        <is>
          <t>crop</t>
        </is>
      </c>
      <c r="B1190" t="inlineStr">
        <is>
          <t>3.3</t>
        </is>
      </c>
      <c r="C1190" t="inlineStr">
        <is>
          <t>Peas</t>
        </is>
      </c>
    </row>
    <row r="1191">
      <c r="A1191" t="inlineStr">
        <is>
          <t>crop</t>
        </is>
      </c>
      <c r="B1191" t="inlineStr">
        <is>
          <t>3.4</t>
        </is>
      </c>
      <c r="C1191" t="inlineStr">
        <is>
          <t>Soybeans</t>
        </is>
      </c>
    </row>
    <row r="1192">
      <c r="A1192" t="inlineStr">
        <is>
          <t>crop</t>
        </is>
      </c>
      <c r="B1192" t="inlineStr">
        <is>
          <t>3.5</t>
        </is>
      </c>
      <c r="C1192" t="inlineStr">
        <is>
          <t>Chickpeas</t>
        </is>
      </c>
    </row>
    <row r="1193">
      <c r="A1193" t="inlineStr">
        <is>
          <t>crop</t>
        </is>
      </c>
      <c r="B1193" t="inlineStr">
        <is>
          <t>3.6</t>
        </is>
      </c>
      <c r="C1193" t="inlineStr">
        <is>
          <t>Fava beans</t>
        </is>
      </c>
    </row>
    <row r="1194">
      <c r="A1194" t="inlineStr">
        <is>
          <t>crop</t>
        </is>
      </c>
      <c r="B1194" t="inlineStr">
        <is>
          <t>3.7</t>
        </is>
      </c>
      <c r="C1194" t="inlineStr">
        <is>
          <t>Broad beans</t>
        </is>
      </c>
    </row>
    <row r="1195">
      <c r="A1195" t="inlineStr">
        <is>
          <t>crop</t>
        </is>
      </c>
      <c r="B1195" t="inlineStr">
        <is>
          <t>3.99</t>
        </is>
      </c>
      <c r="C1195" t="inlineStr">
        <is>
          <t>Other pulses</t>
        </is>
      </c>
    </row>
    <row r="1196">
      <c r="A1196" t="inlineStr">
        <is>
          <t>crop</t>
        </is>
      </c>
      <c r="B1196" t="inlineStr">
        <is>
          <t>4.1</t>
        </is>
      </c>
      <c r="C1196" t="inlineStr">
        <is>
          <t>Cabbage</t>
        </is>
      </c>
    </row>
    <row r="1197">
      <c r="A1197" t="inlineStr">
        <is>
          <t>crop</t>
        </is>
      </c>
      <c r="B1197" t="inlineStr">
        <is>
          <t>4.101</t>
        </is>
      </c>
      <c r="C1197" t="inlineStr">
        <is>
          <t>Cauliflower</t>
        </is>
      </c>
    </row>
    <row r="1198">
      <c r="A1198" t="inlineStr">
        <is>
          <t>crop</t>
        </is>
      </c>
      <c r="B1198" t="inlineStr">
        <is>
          <t>4.2</t>
        </is>
      </c>
      <c r="C1198" t="inlineStr">
        <is>
          <t>Lettuce</t>
        </is>
      </c>
    </row>
    <row r="1199">
      <c r="A1199" t="inlineStr">
        <is>
          <t>crop</t>
        </is>
      </c>
      <c r="B1199" t="inlineStr">
        <is>
          <t>4.3</t>
        </is>
      </c>
      <c r="C1199" t="inlineStr">
        <is>
          <t>Spinach-Amaranth</t>
        </is>
      </c>
    </row>
    <row r="1200">
      <c r="A1200" t="inlineStr">
        <is>
          <t>crop</t>
        </is>
      </c>
      <c r="B1200" t="inlineStr">
        <is>
          <t>4.4</t>
        </is>
      </c>
      <c r="C1200" t="inlineStr">
        <is>
          <t>Cassava leaves</t>
        </is>
      </c>
    </row>
    <row r="1201">
      <c r="A1201" t="inlineStr">
        <is>
          <t>crop</t>
        </is>
      </c>
      <c r="B1201" t="inlineStr">
        <is>
          <t>4.5</t>
        </is>
      </c>
      <c r="C1201" t="inlineStr">
        <is>
          <t>Potatoe leaves</t>
        </is>
      </c>
    </row>
    <row r="1202">
      <c r="A1202" t="inlineStr">
        <is>
          <t>crop</t>
        </is>
      </c>
      <c r="B1202" t="inlineStr">
        <is>
          <t>4.6</t>
        </is>
      </c>
      <c r="C1202" t="inlineStr">
        <is>
          <t>Moringa</t>
        </is>
      </c>
    </row>
    <row r="1203">
      <c r="A1203" t="inlineStr">
        <is>
          <t>crop</t>
        </is>
      </c>
      <c r="B1203" t="inlineStr">
        <is>
          <t>4.7</t>
        </is>
      </c>
      <c r="C1203" t="inlineStr">
        <is>
          <t>Sorrel Hibiscus / Rosselle</t>
        </is>
      </c>
    </row>
    <row r="1204">
      <c r="A1204" t="inlineStr">
        <is>
          <t>crop</t>
        </is>
      </c>
      <c r="B1204" t="inlineStr">
        <is>
          <t>4.9</t>
        </is>
      </c>
      <c r="C1204" t="inlineStr">
        <is>
          <t>Green salad herbs (thyme, parsley, mint, rocca, other)</t>
        </is>
      </c>
    </row>
    <row r="1205">
      <c r="A1205" t="inlineStr">
        <is>
          <t>crop</t>
        </is>
      </c>
      <c r="B1205" t="inlineStr">
        <is>
          <t>4.99</t>
        </is>
      </c>
      <c r="C1205" t="inlineStr">
        <is>
          <t>Other leafy vegetables</t>
        </is>
      </c>
    </row>
    <row r="1206">
      <c r="A1206" t="inlineStr">
        <is>
          <t>crop</t>
        </is>
      </c>
      <c r="B1206" t="inlineStr">
        <is>
          <t>5.101</t>
        </is>
      </c>
      <c r="C1206" t="inlineStr">
        <is>
          <t>Green peas</t>
        </is>
      </c>
    </row>
    <row r="1207">
      <c r="A1207" t="inlineStr">
        <is>
          <t>crop</t>
        </is>
      </c>
      <c r="B1207" t="inlineStr">
        <is>
          <t>5.11</t>
        </is>
      </c>
      <c r="C1207" t="inlineStr">
        <is>
          <t>Fava beans green</t>
        </is>
      </c>
    </row>
    <row r="1208">
      <c r="A1208" t="inlineStr">
        <is>
          <t>crop</t>
        </is>
      </c>
      <c r="B1208" t="inlineStr">
        <is>
          <t>5.2</t>
        </is>
      </c>
      <c r="C1208" t="inlineStr">
        <is>
          <t>Cucumber</t>
        </is>
      </c>
    </row>
    <row r="1209">
      <c r="A1209" t="inlineStr">
        <is>
          <t>crop</t>
        </is>
      </c>
      <c r="B1209" t="inlineStr">
        <is>
          <t>5.3</t>
        </is>
      </c>
      <c r="C1209" t="inlineStr">
        <is>
          <t>Pumpkin</t>
        </is>
      </c>
    </row>
    <row r="1210">
      <c r="A1210" t="inlineStr">
        <is>
          <t>crop</t>
        </is>
      </c>
      <c r="B1210" t="inlineStr">
        <is>
          <t>5.5</t>
        </is>
      </c>
      <c r="C1210" t="inlineStr">
        <is>
          <t>Zucchini</t>
        </is>
      </c>
    </row>
    <row r="1211">
      <c r="A1211" t="inlineStr">
        <is>
          <t>crop</t>
        </is>
      </c>
      <c r="B1211" t="inlineStr">
        <is>
          <t>5.7</t>
        </is>
      </c>
      <c r="C1211" t="inlineStr">
        <is>
          <t>Bell pepper</t>
        </is>
      </c>
    </row>
    <row r="1212">
      <c r="A1212" t="inlineStr">
        <is>
          <t>crop</t>
        </is>
      </c>
      <c r="B1212" t="inlineStr">
        <is>
          <t>5.9</t>
        </is>
      </c>
      <c r="C1212" t="inlineStr">
        <is>
          <t>Haricot</t>
        </is>
      </c>
    </row>
    <row r="1213">
      <c r="A1213" t="inlineStr">
        <is>
          <t>crop</t>
        </is>
      </c>
      <c r="B1213" t="inlineStr">
        <is>
          <t>5.99</t>
        </is>
      </c>
      <c r="C1213" t="inlineStr">
        <is>
          <t>Other non leafy vegs</t>
        </is>
      </c>
    </row>
    <row r="1214">
      <c r="A1214" t="inlineStr">
        <is>
          <t>crop</t>
        </is>
      </c>
      <c r="B1214" t="inlineStr">
        <is>
          <t>6.1</t>
        </is>
      </c>
      <c r="C1214" t="inlineStr">
        <is>
          <t>Orange</t>
        </is>
      </c>
    </row>
    <row r="1215">
      <c r="A1215" t="inlineStr">
        <is>
          <t>crop</t>
        </is>
      </c>
      <c r="B1215" t="inlineStr">
        <is>
          <t>6.2</t>
        </is>
      </c>
      <c r="C1215" t="inlineStr">
        <is>
          <t>Lemon</t>
        </is>
      </c>
    </row>
    <row r="1216">
      <c r="A1216" t="inlineStr">
        <is>
          <t>crop</t>
        </is>
      </c>
      <c r="B1216" t="inlineStr">
        <is>
          <t>6.3</t>
        </is>
      </c>
      <c r="C1216" t="inlineStr">
        <is>
          <t>Grapefruit</t>
        </is>
      </c>
    </row>
    <row r="1217">
      <c r="A1217" t="inlineStr">
        <is>
          <t>crop</t>
        </is>
      </c>
      <c r="B1217" t="inlineStr">
        <is>
          <t>6.4</t>
        </is>
      </c>
      <c r="C1217" t="inlineStr">
        <is>
          <t>Mandarins/clementines</t>
        </is>
      </c>
    </row>
    <row r="1218">
      <c r="A1218" t="inlineStr">
        <is>
          <t>crop</t>
        </is>
      </c>
      <c r="B1218" t="inlineStr">
        <is>
          <t>6.99</t>
        </is>
      </c>
      <c r="C1218" t="inlineStr">
        <is>
          <t>Other citrus fruit</t>
        </is>
      </c>
    </row>
    <row r="1219">
      <c r="A1219" t="inlineStr">
        <is>
          <t>crop</t>
        </is>
      </c>
      <c r="B1219" t="inlineStr">
        <is>
          <t>7.1</t>
        </is>
      </c>
      <c r="C1219" t="inlineStr">
        <is>
          <t>Sweet Banana</t>
        </is>
      </c>
    </row>
    <row r="1220">
      <c r="A1220" t="inlineStr">
        <is>
          <t>crop</t>
        </is>
      </c>
      <c r="B1220" t="inlineStr">
        <is>
          <t>7.101</t>
        </is>
      </c>
      <c r="C1220" t="inlineStr">
        <is>
          <t>Figs</t>
        </is>
      </c>
    </row>
    <row r="1221">
      <c r="A1221" t="inlineStr">
        <is>
          <t>crop</t>
        </is>
      </c>
      <c r="B1221" t="inlineStr">
        <is>
          <t>7.11</t>
        </is>
      </c>
      <c r="C1221" t="inlineStr">
        <is>
          <t>Grapes</t>
        </is>
      </c>
    </row>
    <row r="1222">
      <c r="A1222" t="inlineStr">
        <is>
          <t>crop</t>
        </is>
      </c>
      <c r="B1222" t="inlineStr">
        <is>
          <t>7.12</t>
        </is>
      </c>
      <c r="C1222" t="inlineStr">
        <is>
          <t>Olives</t>
        </is>
      </c>
    </row>
    <row r="1223">
      <c r="A1223" t="inlineStr">
        <is>
          <t>crop</t>
        </is>
      </c>
      <c r="B1223" t="inlineStr">
        <is>
          <t>7.13</t>
        </is>
      </c>
      <c r="C1223" t="inlineStr">
        <is>
          <t>Apple</t>
        </is>
      </c>
    </row>
    <row r="1224">
      <c r="A1224" t="inlineStr">
        <is>
          <t>crop</t>
        </is>
      </c>
      <c r="B1224" t="inlineStr">
        <is>
          <t>7.14</t>
        </is>
      </c>
      <c r="C1224" t="inlineStr">
        <is>
          <t>Apricot</t>
        </is>
      </c>
    </row>
    <row r="1225">
      <c r="A1225" t="inlineStr">
        <is>
          <t>crop</t>
        </is>
      </c>
      <c r="B1225" t="inlineStr">
        <is>
          <t>7.15</t>
        </is>
      </c>
      <c r="C1225" t="inlineStr">
        <is>
          <t>Cherries</t>
        </is>
      </c>
    </row>
    <row r="1226">
      <c r="A1226" t="inlineStr">
        <is>
          <t>crop</t>
        </is>
      </c>
      <c r="B1226" t="inlineStr">
        <is>
          <t>7.16</t>
        </is>
      </c>
      <c r="C1226" t="inlineStr">
        <is>
          <t>Peach/nectarine</t>
        </is>
      </c>
    </row>
    <row r="1227">
      <c r="A1227" t="inlineStr">
        <is>
          <t>crop</t>
        </is>
      </c>
      <c r="B1227" t="inlineStr">
        <is>
          <t>7.17</t>
        </is>
      </c>
      <c r="C1227" t="inlineStr">
        <is>
          <t>Strawberries</t>
        </is>
      </c>
    </row>
    <row r="1228">
      <c r="A1228" t="inlineStr">
        <is>
          <t>crop</t>
        </is>
      </c>
      <c r="B1228" t="inlineStr">
        <is>
          <t>7.2</t>
        </is>
      </c>
      <c r="C1228" t="inlineStr">
        <is>
          <t>Plantains</t>
        </is>
      </c>
    </row>
    <row r="1229">
      <c r="A1229" t="inlineStr">
        <is>
          <t>crop</t>
        </is>
      </c>
      <c r="B1229" t="inlineStr">
        <is>
          <t>7.3</t>
        </is>
      </c>
      <c r="C1229" t="inlineStr">
        <is>
          <t>Papaya</t>
        </is>
      </c>
    </row>
    <row r="1230">
      <c r="A1230" t="inlineStr">
        <is>
          <t>crop</t>
        </is>
      </c>
      <c r="B1230" t="inlineStr">
        <is>
          <t>7.4</t>
        </is>
      </c>
      <c r="C1230" t="inlineStr">
        <is>
          <t>Mango</t>
        </is>
      </c>
    </row>
    <row r="1231">
      <c r="A1231" t="inlineStr">
        <is>
          <t>crop</t>
        </is>
      </c>
      <c r="B1231" t="inlineStr">
        <is>
          <t>7.5</t>
        </is>
      </c>
      <c r="C1231" t="inlineStr">
        <is>
          <t>Guava</t>
        </is>
      </c>
    </row>
    <row r="1232">
      <c r="A1232" t="inlineStr">
        <is>
          <t>crop</t>
        </is>
      </c>
      <c r="B1232" t="inlineStr">
        <is>
          <t>7.6</t>
        </is>
      </c>
      <c r="C1232" t="inlineStr">
        <is>
          <t>Pineapple</t>
        </is>
      </c>
    </row>
    <row r="1233">
      <c r="A1233" t="inlineStr">
        <is>
          <t>crop</t>
        </is>
      </c>
      <c r="B1233" t="inlineStr">
        <is>
          <t>7.7</t>
        </is>
      </c>
      <c r="C1233" t="inlineStr">
        <is>
          <t>Avocado</t>
        </is>
      </c>
    </row>
    <row r="1234">
      <c r="A1234" t="inlineStr">
        <is>
          <t>crop</t>
        </is>
      </c>
      <c r="B1234" t="inlineStr">
        <is>
          <t>7.9</t>
        </is>
      </c>
      <c r="C1234" t="inlineStr">
        <is>
          <t>Dates</t>
        </is>
      </c>
    </row>
    <row r="1235">
      <c r="A1235" t="inlineStr">
        <is>
          <t>crop</t>
        </is>
      </c>
      <c r="B1235" t="inlineStr">
        <is>
          <t>7.99</t>
        </is>
      </c>
      <c r="C1235" t="inlineStr">
        <is>
          <t>Other fruit</t>
        </is>
      </c>
    </row>
    <row r="1236">
      <c r="A1236" t="inlineStr">
        <is>
          <t>crop</t>
        </is>
      </c>
      <c r="B1236" t="inlineStr">
        <is>
          <t>8.1</t>
        </is>
      </c>
      <c r="C1236" t="inlineStr">
        <is>
          <t>Coconuts</t>
        </is>
      </c>
    </row>
    <row r="1237">
      <c r="A1237" t="inlineStr">
        <is>
          <t>crop</t>
        </is>
      </c>
      <c r="B1237" t="inlineStr">
        <is>
          <t>8.2</t>
        </is>
      </c>
      <c r="C1237" t="inlineStr">
        <is>
          <t>Groundnut/peanut</t>
        </is>
      </c>
    </row>
    <row r="1238">
      <c r="A1238" t="inlineStr">
        <is>
          <t>crop</t>
        </is>
      </c>
      <c r="B1238" t="inlineStr">
        <is>
          <t>8.3</t>
        </is>
      </c>
      <c r="C1238" t="inlineStr">
        <is>
          <t>Cashew Nut</t>
        </is>
      </c>
    </row>
    <row r="1239">
      <c r="A1239" t="inlineStr">
        <is>
          <t>crop</t>
        </is>
      </c>
      <c r="B1239" t="inlineStr">
        <is>
          <t>8.4</t>
        </is>
      </c>
      <c r="C1239" t="inlineStr">
        <is>
          <t>Kola Nut</t>
        </is>
      </c>
    </row>
    <row r="1240">
      <c r="A1240" t="inlineStr">
        <is>
          <t>crop</t>
        </is>
      </c>
      <c r="B1240" t="inlineStr">
        <is>
          <t>8.5</t>
        </is>
      </c>
      <c r="C1240" t="inlineStr">
        <is>
          <t>Sesame</t>
        </is>
      </c>
    </row>
    <row r="1241">
      <c r="A1241" t="inlineStr">
        <is>
          <t>crop</t>
        </is>
      </c>
      <c r="B1241" t="inlineStr">
        <is>
          <t>8.6</t>
        </is>
      </c>
      <c r="C1241" t="inlineStr">
        <is>
          <t>Bambara nut</t>
        </is>
      </c>
    </row>
    <row r="1242">
      <c r="A1242" t="inlineStr">
        <is>
          <t>crop</t>
        </is>
      </c>
      <c r="B1242" t="inlineStr">
        <is>
          <t>8.7</t>
        </is>
      </c>
      <c r="C1242" t="inlineStr">
        <is>
          <t>Almond</t>
        </is>
      </c>
    </row>
    <row r="1243">
      <c r="A1243" t="inlineStr">
        <is>
          <t>crop</t>
        </is>
      </c>
      <c r="B1243" t="inlineStr">
        <is>
          <t>8.8</t>
        </is>
      </c>
      <c r="C1243" t="inlineStr">
        <is>
          <t>Walnut</t>
        </is>
      </c>
    </row>
    <row r="1244">
      <c r="A1244" t="inlineStr">
        <is>
          <t>crop</t>
        </is>
      </c>
      <c r="B1244" t="inlineStr">
        <is>
          <t>8.99</t>
        </is>
      </c>
      <c r="C1244" t="inlineStr">
        <is>
          <t>Other nuts</t>
        </is>
      </c>
    </row>
    <row r="1245">
      <c r="A1245" t="inlineStr">
        <is>
          <t>crop</t>
        </is>
      </c>
      <c r="B1245" t="inlineStr">
        <is>
          <t>9.1</t>
        </is>
      </c>
      <c r="C1245" t="inlineStr">
        <is>
          <t>Cocoa</t>
        </is>
      </c>
    </row>
    <row r="1246">
      <c r="A1246" t="inlineStr">
        <is>
          <t>crop</t>
        </is>
      </c>
      <c r="B1246" t="inlineStr">
        <is>
          <t>9.2</t>
        </is>
      </c>
      <c r="C1246" t="inlineStr">
        <is>
          <t>Coffee</t>
        </is>
      </c>
    </row>
    <row r="1247">
      <c r="A1247" t="inlineStr">
        <is>
          <t>crop</t>
        </is>
      </c>
      <c r="B1247" t="inlineStr">
        <is>
          <t>9.3</t>
        </is>
      </c>
      <c r="C1247" t="inlineStr">
        <is>
          <t>Tea</t>
        </is>
      </c>
    </row>
    <row r="1248">
      <c r="A1248" t="inlineStr">
        <is>
          <t>crop</t>
        </is>
      </c>
      <c r="B1248" t="inlineStr">
        <is>
          <t>9.4</t>
        </is>
      </c>
      <c r="C1248" t="inlineStr">
        <is>
          <t>Sugarcane</t>
        </is>
      </c>
    </row>
    <row r="1249">
      <c r="A1249" t="inlineStr">
        <is>
          <t>crop</t>
        </is>
      </c>
      <c r="B1249" t="inlineStr">
        <is>
          <t>9.5</t>
        </is>
      </c>
      <c r="C1249" t="inlineStr">
        <is>
          <t>Sunflower</t>
        </is>
      </c>
    </row>
    <row r="1250">
      <c r="A1250" t="inlineStr">
        <is>
          <t>crop</t>
        </is>
      </c>
      <c r="B1250" t="inlineStr">
        <is>
          <t>9.99</t>
        </is>
      </c>
      <c r="C1250" t="inlineStr">
        <is>
          <t>Other food cash crop</t>
        </is>
      </c>
    </row>
    <row r="1251">
      <c r="A1251" t="inlineStr">
        <is>
          <t>crop</t>
        </is>
      </c>
      <c r="B1251" t="inlineStr">
        <is>
          <t>777</t>
        </is>
      </c>
      <c r="C1251" t="inlineStr">
        <is>
          <t>No crop production</t>
        </is>
      </c>
    </row>
    <row r="1252">
      <c r="A1252" t="inlineStr">
        <is>
          <t>crop</t>
        </is>
      </c>
      <c r="B1252" t="inlineStr">
        <is>
          <t>888</t>
        </is>
      </c>
      <c r="C1252" t="inlineStr">
        <is>
          <t>Don't know</t>
        </is>
      </c>
    </row>
    <row r="1253">
      <c r="A1253" t="inlineStr">
        <is>
          <t>crop</t>
        </is>
      </c>
      <c r="B1253" t="inlineStr">
        <is>
          <t>999</t>
        </is>
      </c>
      <c r="C1253" t="inlineStr">
        <is>
          <t>Refused</t>
        </is>
      </c>
    </row>
    <row r="1254"/>
    <row r="1255">
      <c r="A1255" t="inlineStr">
        <is>
          <t>crop2</t>
        </is>
      </c>
      <c r="B1255" t="inlineStr">
        <is>
          <t>1.2</t>
        </is>
      </c>
      <c r="C1255" t="inlineStr">
        <is>
          <t>Wheat</t>
        </is>
      </c>
    </row>
    <row r="1256">
      <c r="A1256" t="inlineStr">
        <is>
          <t>crop2</t>
        </is>
      </c>
      <c r="B1256" t="inlineStr">
        <is>
          <t>1.5</t>
        </is>
      </c>
      <c r="C1256" t="inlineStr">
        <is>
          <t>Maize</t>
        </is>
      </c>
    </row>
    <row r="1257">
      <c r="A1257" t="inlineStr">
        <is>
          <t>crop2</t>
        </is>
      </c>
      <c r="B1257" t="inlineStr">
        <is>
          <t>1.6</t>
        </is>
      </c>
      <c r="C1257" t="inlineStr">
        <is>
          <t>Barley</t>
        </is>
      </c>
    </row>
    <row r="1258">
      <c r="A1258" t="inlineStr">
        <is>
          <t>crop2</t>
        </is>
      </c>
      <c r="B1258" t="inlineStr">
        <is>
          <t>3.1</t>
        </is>
      </c>
      <c r="C1258" t="inlineStr">
        <is>
          <t>Beans</t>
        </is>
      </c>
    </row>
    <row r="1259">
      <c r="A1259" t="inlineStr">
        <is>
          <t>crop2</t>
        </is>
      </c>
      <c r="B1259" t="inlineStr">
        <is>
          <t>5.1</t>
        </is>
      </c>
      <c r="C1259" t="inlineStr">
        <is>
          <t>Tomatoes</t>
        </is>
      </c>
    </row>
    <row r="1260">
      <c r="A1260" t="inlineStr">
        <is>
          <t>crop2</t>
        </is>
      </c>
      <c r="B1260" t="inlineStr">
        <is>
          <t>5.4</t>
        </is>
      </c>
      <c r="C1260" t="inlineStr">
        <is>
          <t>Eggplant/aubergine</t>
        </is>
      </c>
    </row>
    <row r="1261">
      <c r="A1261" t="inlineStr">
        <is>
          <t>crop2</t>
        </is>
      </c>
      <c r="B1261" t="inlineStr">
        <is>
          <t>5.6</t>
        </is>
      </c>
      <c r="C1261" t="inlineStr">
        <is>
          <t>Okra</t>
        </is>
      </c>
    </row>
    <row r="1262">
      <c r="A1262" t="inlineStr">
        <is>
          <t>crop2</t>
        </is>
      </c>
      <c r="B1262" t="inlineStr">
        <is>
          <t>5.8</t>
        </is>
      </c>
      <c r="C1262" t="inlineStr">
        <is>
          <t>Onions</t>
        </is>
      </c>
    </row>
    <row r="1263">
      <c r="A1263" t="inlineStr">
        <is>
          <t>crop2</t>
        </is>
      </c>
      <c r="B1263" t="inlineStr">
        <is>
          <t>7.18</t>
        </is>
      </c>
      <c r="C1263" t="inlineStr">
        <is>
          <t>Melon (Cantaloupe)</t>
        </is>
      </c>
    </row>
    <row r="1264">
      <c r="A1264" t="inlineStr">
        <is>
          <t>crop2</t>
        </is>
      </c>
      <c r="B1264" t="inlineStr">
        <is>
          <t>7.8</t>
        </is>
      </c>
      <c r="C1264" t="inlineStr">
        <is>
          <t>Water Melon</t>
        </is>
      </c>
    </row>
    <row r="1265">
      <c r="A1265" t="inlineStr">
        <is>
          <t>crop2</t>
        </is>
      </c>
      <c r="B1265" t="inlineStr">
        <is>
          <t>1.1</t>
        </is>
      </c>
      <c r="C1265" t="inlineStr">
        <is>
          <t>Rice</t>
        </is>
      </c>
    </row>
    <row r="1266">
      <c r="A1266" t="inlineStr">
        <is>
          <t>crop2</t>
        </is>
      </c>
      <c r="B1266" t="inlineStr">
        <is>
          <t>1.3</t>
        </is>
      </c>
      <c r="C1266" t="inlineStr">
        <is>
          <t>Millet</t>
        </is>
      </c>
    </row>
    <row r="1267">
      <c r="A1267" t="inlineStr">
        <is>
          <t>crop2</t>
        </is>
      </c>
      <c r="B1267" t="inlineStr">
        <is>
          <t>1.4</t>
        </is>
      </c>
      <c r="C1267" t="inlineStr">
        <is>
          <t>Sorghum</t>
        </is>
      </c>
    </row>
    <row r="1268">
      <c r="A1268" t="inlineStr">
        <is>
          <t>crop2</t>
        </is>
      </c>
      <c r="B1268" t="inlineStr">
        <is>
          <t>1.99</t>
        </is>
      </c>
      <c r="C1268" t="inlineStr">
        <is>
          <t>Other Cereal</t>
        </is>
      </c>
    </row>
    <row r="1269">
      <c r="A1269" t="inlineStr">
        <is>
          <t>crop2</t>
        </is>
      </c>
      <c r="B1269" t="inlineStr">
        <is>
          <t>10.1</t>
        </is>
      </c>
      <c r="C1269" t="inlineStr">
        <is>
          <t>Cotton</t>
        </is>
      </c>
    </row>
    <row r="1270">
      <c r="A1270" t="inlineStr">
        <is>
          <t>crop2</t>
        </is>
      </c>
      <c r="B1270" t="inlineStr">
        <is>
          <t>10.2</t>
        </is>
      </c>
      <c r="C1270" t="inlineStr">
        <is>
          <t>Rubber</t>
        </is>
      </c>
    </row>
    <row r="1271">
      <c r="A1271" t="inlineStr">
        <is>
          <t>crop2</t>
        </is>
      </c>
      <c r="B1271" t="inlineStr">
        <is>
          <t>10.3</t>
        </is>
      </c>
      <c r="C1271" t="inlineStr">
        <is>
          <t>Jute</t>
        </is>
      </c>
    </row>
    <row r="1272">
      <c r="A1272" t="inlineStr">
        <is>
          <t>crop2</t>
        </is>
      </c>
      <c r="B1272" t="inlineStr">
        <is>
          <t>10.4</t>
        </is>
      </c>
      <c r="C1272" t="inlineStr">
        <is>
          <t>Fodder</t>
        </is>
      </c>
    </row>
    <row r="1273">
      <c r="A1273" t="inlineStr">
        <is>
          <t>crop2</t>
        </is>
      </c>
      <c r="B1273" t="inlineStr">
        <is>
          <t>10.5</t>
        </is>
      </c>
      <c r="C1273" t="inlineStr">
        <is>
          <t>Tobacco</t>
        </is>
      </c>
    </row>
    <row r="1274">
      <c r="A1274" t="inlineStr">
        <is>
          <t>crop2</t>
        </is>
      </c>
      <c r="B1274" t="inlineStr">
        <is>
          <t>10.6</t>
        </is>
      </c>
      <c r="C1274" t="inlineStr">
        <is>
          <t>Qat</t>
        </is>
      </c>
    </row>
    <row r="1275">
      <c r="A1275" t="inlineStr">
        <is>
          <t>crop2</t>
        </is>
      </c>
      <c r="B1275" t="inlineStr">
        <is>
          <t>10.99</t>
        </is>
      </c>
      <c r="C1275" t="inlineStr">
        <is>
          <t>Other non-food cash crop</t>
        </is>
      </c>
    </row>
    <row r="1276">
      <c r="A1276" t="inlineStr">
        <is>
          <t>crop2</t>
        </is>
      </c>
      <c r="B1276" t="inlineStr">
        <is>
          <t>2.1</t>
        </is>
      </c>
      <c r="C1276" t="inlineStr">
        <is>
          <t>Cassava</t>
        </is>
      </c>
    </row>
    <row r="1277">
      <c r="A1277" t="inlineStr">
        <is>
          <t>crop2</t>
        </is>
      </c>
      <c r="B1277" t="inlineStr">
        <is>
          <t>2.2</t>
        </is>
      </c>
      <c r="C1277" t="inlineStr">
        <is>
          <t>Potatoe</t>
        </is>
      </c>
    </row>
    <row r="1278">
      <c r="A1278" t="inlineStr">
        <is>
          <t>crop2</t>
        </is>
      </c>
      <c r="B1278" t="inlineStr">
        <is>
          <t>2.3</t>
        </is>
      </c>
      <c r="C1278" t="inlineStr">
        <is>
          <t>Sweet Potatoes</t>
        </is>
      </c>
    </row>
    <row r="1279">
      <c r="A1279" t="inlineStr">
        <is>
          <t>crop2</t>
        </is>
      </c>
      <c r="B1279" t="inlineStr">
        <is>
          <t>2.4</t>
        </is>
      </c>
      <c r="C1279" t="inlineStr">
        <is>
          <t>Yams</t>
        </is>
      </c>
    </row>
    <row r="1280">
      <c r="A1280" t="inlineStr">
        <is>
          <t>crop2</t>
        </is>
      </c>
      <c r="B1280" t="inlineStr">
        <is>
          <t>2.5</t>
        </is>
      </c>
      <c r="C1280" t="inlineStr">
        <is>
          <t>Carrots</t>
        </is>
      </c>
    </row>
    <row r="1281">
      <c r="A1281" t="inlineStr">
        <is>
          <t>crop2</t>
        </is>
      </c>
      <c r="B1281" t="inlineStr">
        <is>
          <t>2.6</t>
        </is>
      </c>
      <c r="C1281" t="inlineStr">
        <is>
          <t>Cocoyam</t>
        </is>
      </c>
    </row>
    <row r="1282">
      <c r="A1282" t="inlineStr">
        <is>
          <t>crop2</t>
        </is>
      </c>
      <c r="B1282" t="inlineStr">
        <is>
          <t>2.99</t>
        </is>
      </c>
      <c r="C1282" t="inlineStr">
        <is>
          <t>Other tubers</t>
        </is>
      </c>
    </row>
    <row r="1283">
      <c r="A1283" t="inlineStr">
        <is>
          <t>crop2</t>
        </is>
      </c>
      <c r="B1283" t="inlineStr">
        <is>
          <t>3.2</t>
        </is>
      </c>
      <c r="C1283" t="inlineStr">
        <is>
          <t>Lentils</t>
        </is>
      </c>
    </row>
    <row r="1284">
      <c r="A1284" t="inlineStr">
        <is>
          <t>crop2</t>
        </is>
      </c>
      <c r="B1284" t="inlineStr">
        <is>
          <t>3.3</t>
        </is>
      </c>
      <c r="C1284" t="inlineStr">
        <is>
          <t>Peas</t>
        </is>
      </c>
    </row>
    <row r="1285">
      <c r="A1285" t="inlineStr">
        <is>
          <t>crop2</t>
        </is>
      </c>
      <c r="B1285" t="inlineStr">
        <is>
          <t>3.4</t>
        </is>
      </c>
      <c r="C1285" t="inlineStr">
        <is>
          <t>Soybeans</t>
        </is>
      </c>
    </row>
    <row r="1286">
      <c r="A1286" t="inlineStr">
        <is>
          <t>crop2</t>
        </is>
      </c>
      <c r="B1286" t="inlineStr">
        <is>
          <t>3.5</t>
        </is>
      </c>
      <c r="C1286" t="inlineStr">
        <is>
          <t>Chickpeas</t>
        </is>
      </c>
    </row>
    <row r="1287">
      <c r="A1287" t="inlineStr">
        <is>
          <t>crop2</t>
        </is>
      </c>
      <c r="B1287" t="inlineStr">
        <is>
          <t>3.6</t>
        </is>
      </c>
      <c r="C1287" t="inlineStr">
        <is>
          <t>Fava beans</t>
        </is>
      </c>
    </row>
    <row r="1288">
      <c r="A1288" t="inlineStr">
        <is>
          <t>crop2</t>
        </is>
      </c>
      <c r="B1288" t="inlineStr">
        <is>
          <t>3.7</t>
        </is>
      </c>
      <c r="C1288" t="inlineStr">
        <is>
          <t>Broad beans</t>
        </is>
      </c>
    </row>
    <row r="1289">
      <c r="A1289" t="inlineStr">
        <is>
          <t>crop2</t>
        </is>
      </c>
      <c r="B1289" t="inlineStr">
        <is>
          <t>3.99</t>
        </is>
      </c>
      <c r="C1289" t="inlineStr">
        <is>
          <t>Other pulses</t>
        </is>
      </c>
    </row>
    <row r="1290">
      <c r="A1290" t="inlineStr">
        <is>
          <t>crop2</t>
        </is>
      </c>
      <c r="B1290" t="inlineStr">
        <is>
          <t>4.1</t>
        </is>
      </c>
      <c r="C1290" t="inlineStr">
        <is>
          <t>Cabbage</t>
        </is>
      </c>
    </row>
    <row r="1291">
      <c r="A1291" t="inlineStr">
        <is>
          <t>crop2</t>
        </is>
      </c>
      <c r="B1291" t="inlineStr">
        <is>
          <t>4.101</t>
        </is>
      </c>
      <c r="C1291" t="inlineStr">
        <is>
          <t>Cauliflower</t>
        </is>
      </c>
    </row>
    <row r="1292">
      <c r="A1292" t="inlineStr">
        <is>
          <t>crop2</t>
        </is>
      </c>
      <c r="B1292" t="inlineStr">
        <is>
          <t>4.2</t>
        </is>
      </c>
      <c r="C1292" t="inlineStr">
        <is>
          <t>Lettuce</t>
        </is>
      </c>
    </row>
    <row r="1293">
      <c r="A1293" t="inlineStr">
        <is>
          <t>crop2</t>
        </is>
      </c>
      <c r="B1293" t="inlineStr">
        <is>
          <t>4.3</t>
        </is>
      </c>
      <c r="C1293" t="inlineStr">
        <is>
          <t>Spinach-Amaranth</t>
        </is>
      </c>
    </row>
    <row r="1294">
      <c r="A1294" t="inlineStr">
        <is>
          <t>crop2</t>
        </is>
      </c>
      <c r="B1294" t="inlineStr">
        <is>
          <t>4.4</t>
        </is>
      </c>
      <c r="C1294" t="inlineStr">
        <is>
          <t>Cassava leaves</t>
        </is>
      </c>
    </row>
    <row r="1295">
      <c r="A1295" t="inlineStr">
        <is>
          <t>crop2</t>
        </is>
      </c>
      <c r="B1295" t="inlineStr">
        <is>
          <t>4.5</t>
        </is>
      </c>
      <c r="C1295" t="inlineStr">
        <is>
          <t>Potatoe leaves</t>
        </is>
      </c>
    </row>
    <row r="1296">
      <c r="A1296" t="inlineStr">
        <is>
          <t>crop2</t>
        </is>
      </c>
      <c r="B1296" t="inlineStr">
        <is>
          <t>4.6</t>
        </is>
      </c>
      <c r="C1296" t="inlineStr">
        <is>
          <t>Moringa</t>
        </is>
      </c>
    </row>
    <row r="1297">
      <c r="A1297" t="inlineStr">
        <is>
          <t>crop2</t>
        </is>
      </c>
      <c r="B1297" t="inlineStr">
        <is>
          <t>4.7</t>
        </is>
      </c>
      <c r="C1297" t="inlineStr">
        <is>
          <t>Sorrel Hibiscus / Rosselle</t>
        </is>
      </c>
    </row>
    <row r="1298">
      <c r="A1298" t="inlineStr">
        <is>
          <t>crop2</t>
        </is>
      </c>
      <c r="B1298" t="inlineStr">
        <is>
          <t>4.9</t>
        </is>
      </c>
      <c r="C1298" t="inlineStr">
        <is>
          <t>Green salad herbs (thyme, parsley, mint, rocca, other)</t>
        </is>
      </c>
    </row>
    <row r="1299">
      <c r="A1299" t="inlineStr">
        <is>
          <t>crop2</t>
        </is>
      </c>
      <c r="B1299" t="inlineStr">
        <is>
          <t>4.99</t>
        </is>
      </c>
      <c r="C1299" t="inlineStr">
        <is>
          <t>Other leafy vegetables</t>
        </is>
      </c>
    </row>
    <row r="1300">
      <c r="A1300" t="inlineStr">
        <is>
          <t>crop2</t>
        </is>
      </c>
      <c r="B1300" t="inlineStr">
        <is>
          <t>5.101</t>
        </is>
      </c>
      <c r="C1300" t="inlineStr">
        <is>
          <t>Green peas</t>
        </is>
      </c>
    </row>
    <row r="1301">
      <c r="A1301" t="inlineStr">
        <is>
          <t>crop2</t>
        </is>
      </c>
      <c r="B1301" t="inlineStr">
        <is>
          <t>5.11</t>
        </is>
      </c>
      <c r="C1301" t="inlineStr">
        <is>
          <t>Fava beans green</t>
        </is>
      </c>
    </row>
    <row r="1302">
      <c r="A1302" t="inlineStr">
        <is>
          <t>crop2</t>
        </is>
      </c>
      <c r="B1302" t="inlineStr">
        <is>
          <t>5.2</t>
        </is>
      </c>
      <c r="C1302" t="inlineStr">
        <is>
          <t>Cucumber</t>
        </is>
      </c>
    </row>
    <row r="1303">
      <c r="A1303" t="inlineStr">
        <is>
          <t>crop2</t>
        </is>
      </c>
      <c r="B1303" t="inlineStr">
        <is>
          <t>5.3</t>
        </is>
      </c>
      <c r="C1303" t="inlineStr">
        <is>
          <t>Pumpkin</t>
        </is>
      </c>
    </row>
    <row r="1304">
      <c r="A1304" t="inlineStr">
        <is>
          <t>crop2</t>
        </is>
      </c>
      <c r="B1304" t="inlineStr">
        <is>
          <t>5.5</t>
        </is>
      </c>
      <c r="C1304" t="inlineStr">
        <is>
          <t>Zucchini</t>
        </is>
      </c>
    </row>
    <row r="1305">
      <c r="A1305" t="inlineStr">
        <is>
          <t>crop2</t>
        </is>
      </c>
      <c r="B1305" t="inlineStr">
        <is>
          <t>5.7</t>
        </is>
      </c>
      <c r="C1305" t="inlineStr">
        <is>
          <t>Bell pepper</t>
        </is>
      </c>
    </row>
    <row r="1306">
      <c r="A1306" t="inlineStr">
        <is>
          <t>crop2</t>
        </is>
      </c>
      <c r="B1306" t="inlineStr">
        <is>
          <t>5.9</t>
        </is>
      </c>
      <c r="C1306" t="inlineStr">
        <is>
          <t>Haricot</t>
        </is>
      </c>
    </row>
    <row r="1307">
      <c r="A1307" t="inlineStr">
        <is>
          <t>crop2</t>
        </is>
      </c>
      <c r="B1307" t="inlineStr">
        <is>
          <t>5.99</t>
        </is>
      </c>
      <c r="C1307" t="inlineStr">
        <is>
          <t>Other non leafy vegs</t>
        </is>
      </c>
    </row>
    <row r="1308">
      <c r="A1308" t="inlineStr">
        <is>
          <t>crop2</t>
        </is>
      </c>
      <c r="B1308" t="inlineStr">
        <is>
          <t>6.1</t>
        </is>
      </c>
      <c r="C1308" t="inlineStr">
        <is>
          <t>Orange</t>
        </is>
      </c>
    </row>
    <row r="1309">
      <c r="A1309" t="inlineStr">
        <is>
          <t>crop2</t>
        </is>
      </c>
      <c r="B1309" t="inlineStr">
        <is>
          <t>6.2</t>
        </is>
      </c>
      <c r="C1309" t="inlineStr">
        <is>
          <t>Lemon</t>
        </is>
      </c>
    </row>
    <row r="1310">
      <c r="A1310" t="inlineStr">
        <is>
          <t>crop2</t>
        </is>
      </c>
      <c r="B1310" t="inlineStr">
        <is>
          <t>6.3</t>
        </is>
      </c>
      <c r="C1310" t="inlineStr">
        <is>
          <t>Grapefruit</t>
        </is>
      </c>
    </row>
    <row r="1311">
      <c r="A1311" t="inlineStr">
        <is>
          <t>crop2</t>
        </is>
      </c>
      <c r="B1311" t="inlineStr">
        <is>
          <t>6.4</t>
        </is>
      </c>
      <c r="C1311" t="inlineStr">
        <is>
          <t>Mandarins/clementines</t>
        </is>
      </c>
    </row>
    <row r="1312">
      <c r="A1312" t="inlineStr">
        <is>
          <t>crop2</t>
        </is>
      </c>
      <c r="B1312" t="inlineStr">
        <is>
          <t>6.99</t>
        </is>
      </c>
      <c r="C1312" t="inlineStr">
        <is>
          <t>Other citrus fruit</t>
        </is>
      </c>
    </row>
    <row r="1313">
      <c r="A1313" t="inlineStr">
        <is>
          <t>crop2</t>
        </is>
      </c>
      <c r="B1313" t="inlineStr">
        <is>
          <t>7.1</t>
        </is>
      </c>
      <c r="C1313" t="inlineStr">
        <is>
          <t>Sweet Banana</t>
        </is>
      </c>
    </row>
    <row r="1314">
      <c r="A1314" t="inlineStr">
        <is>
          <t>crop2</t>
        </is>
      </c>
      <c r="B1314" t="inlineStr">
        <is>
          <t>7.101</t>
        </is>
      </c>
      <c r="C1314" t="inlineStr">
        <is>
          <t>Figs</t>
        </is>
      </c>
    </row>
    <row r="1315">
      <c r="A1315" t="inlineStr">
        <is>
          <t>crop2</t>
        </is>
      </c>
      <c r="B1315" t="inlineStr">
        <is>
          <t>7.11</t>
        </is>
      </c>
      <c r="C1315" t="inlineStr">
        <is>
          <t>Grapes</t>
        </is>
      </c>
    </row>
    <row r="1316">
      <c r="A1316" t="inlineStr">
        <is>
          <t>crop2</t>
        </is>
      </c>
      <c r="B1316" t="inlineStr">
        <is>
          <t>7.12</t>
        </is>
      </c>
      <c r="C1316" t="inlineStr">
        <is>
          <t>Olives</t>
        </is>
      </c>
    </row>
    <row r="1317">
      <c r="A1317" t="inlineStr">
        <is>
          <t>crop2</t>
        </is>
      </c>
      <c r="B1317" t="inlineStr">
        <is>
          <t>7.13</t>
        </is>
      </c>
      <c r="C1317" t="inlineStr">
        <is>
          <t>Apple</t>
        </is>
      </c>
    </row>
    <row r="1318">
      <c r="A1318" t="inlineStr">
        <is>
          <t>crop2</t>
        </is>
      </c>
      <c r="B1318" t="inlineStr">
        <is>
          <t>7.14</t>
        </is>
      </c>
      <c r="C1318" t="inlineStr">
        <is>
          <t>Apricot</t>
        </is>
      </c>
    </row>
    <row r="1319">
      <c r="A1319" t="inlineStr">
        <is>
          <t>crop2</t>
        </is>
      </c>
      <c r="B1319" t="inlineStr">
        <is>
          <t>7.15</t>
        </is>
      </c>
      <c r="C1319" t="inlineStr">
        <is>
          <t>Cherries</t>
        </is>
      </c>
    </row>
    <row r="1320">
      <c r="A1320" t="inlineStr">
        <is>
          <t>crop2</t>
        </is>
      </c>
      <c r="B1320" t="inlineStr">
        <is>
          <t>7.16</t>
        </is>
      </c>
      <c r="C1320" t="inlineStr">
        <is>
          <t>Peach/nectarine</t>
        </is>
      </c>
    </row>
    <row r="1321">
      <c r="A1321" t="inlineStr">
        <is>
          <t>crop2</t>
        </is>
      </c>
      <c r="B1321" t="inlineStr">
        <is>
          <t>7.17</t>
        </is>
      </c>
      <c r="C1321" t="inlineStr">
        <is>
          <t>Strawberries</t>
        </is>
      </c>
    </row>
    <row r="1322">
      <c r="A1322" t="inlineStr">
        <is>
          <t>crop2</t>
        </is>
      </c>
      <c r="B1322" t="inlineStr">
        <is>
          <t>7.2</t>
        </is>
      </c>
      <c r="C1322" t="inlineStr">
        <is>
          <t>Plantains</t>
        </is>
      </c>
    </row>
    <row r="1323">
      <c r="A1323" t="inlineStr">
        <is>
          <t>crop2</t>
        </is>
      </c>
      <c r="B1323" t="inlineStr">
        <is>
          <t>7.3</t>
        </is>
      </c>
      <c r="C1323" t="inlineStr">
        <is>
          <t>Papaya</t>
        </is>
      </c>
    </row>
    <row r="1324">
      <c r="A1324" t="inlineStr">
        <is>
          <t>crop2</t>
        </is>
      </c>
      <c r="B1324" t="inlineStr">
        <is>
          <t>7.4</t>
        </is>
      </c>
      <c r="C1324" t="inlineStr">
        <is>
          <t>Mango</t>
        </is>
      </c>
    </row>
    <row r="1325">
      <c r="A1325" t="inlineStr">
        <is>
          <t>crop2</t>
        </is>
      </c>
      <c r="B1325" t="inlineStr">
        <is>
          <t>7.5</t>
        </is>
      </c>
      <c r="C1325" t="inlineStr">
        <is>
          <t>Guava</t>
        </is>
      </c>
    </row>
    <row r="1326">
      <c r="A1326" t="inlineStr">
        <is>
          <t>crop2</t>
        </is>
      </c>
      <c r="B1326" t="inlineStr">
        <is>
          <t>7.6</t>
        </is>
      </c>
      <c r="C1326" t="inlineStr">
        <is>
          <t>Pineapple</t>
        </is>
      </c>
    </row>
    <row r="1327">
      <c r="A1327" t="inlineStr">
        <is>
          <t>crop2</t>
        </is>
      </c>
      <c r="B1327" t="inlineStr">
        <is>
          <t>7.7</t>
        </is>
      </c>
      <c r="C1327" t="inlineStr">
        <is>
          <t>Avocado</t>
        </is>
      </c>
    </row>
    <row r="1328">
      <c r="A1328" t="inlineStr">
        <is>
          <t>crop2</t>
        </is>
      </c>
      <c r="B1328" t="inlineStr">
        <is>
          <t>7.9</t>
        </is>
      </c>
      <c r="C1328" t="inlineStr">
        <is>
          <t>Dates</t>
        </is>
      </c>
    </row>
    <row r="1329">
      <c r="A1329" t="inlineStr">
        <is>
          <t>crop2</t>
        </is>
      </c>
      <c r="B1329" t="inlineStr">
        <is>
          <t>7.99</t>
        </is>
      </c>
      <c r="C1329" t="inlineStr">
        <is>
          <t>Other fruit</t>
        </is>
      </c>
    </row>
    <row r="1330">
      <c r="A1330" t="inlineStr">
        <is>
          <t>crop2</t>
        </is>
      </c>
      <c r="B1330" t="inlineStr">
        <is>
          <t>8.1</t>
        </is>
      </c>
      <c r="C1330" t="inlineStr">
        <is>
          <t>Coconuts</t>
        </is>
      </c>
    </row>
    <row r="1331">
      <c r="A1331" t="inlineStr">
        <is>
          <t>crop2</t>
        </is>
      </c>
      <c r="B1331" t="inlineStr">
        <is>
          <t>8.2</t>
        </is>
      </c>
      <c r="C1331" t="inlineStr">
        <is>
          <t>Groundnut/peanut</t>
        </is>
      </c>
    </row>
    <row r="1332">
      <c r="A1332" t="inlineStr">
        <is>
          <t>crop2</t>
        </is>
      </c>
      <c r="B1332" t="inlineStr">
        <is>
          <t>8.3</t>
        </is>
      </c>
      <c r="C1332" t="inlineStr">
        <is>
          <t>Cashew Nut</t>
        </is>
      </c>
    </row>
    <row r="1333">
      <c r="A1333" t="inlineStr">
        <is>
          <t>crop2</t>
        </is>
      </c>
      <c r="B1333" t="inlineStr">
        <is>
          <t>8.4</t>
        </is>
      </c>
      <c r="C1333" t="inlineStr">
        <is>
          <t>Kola Nut</t>
        </is>
      </c>
    </row>
    <row r="1334">
      <c r="A1334" t="inlineStr">
        <is>
          <t>crop2</t>
        </is>
      </c>
      <c r="B1334" t="inlineStr">
        <is>
          <t>8.5</t>
        </is>
      </c>
      <c r="C1334" t="inlineStr">
        <is>
          <t>Sesame</t>
        </is>
      </c>
    </row>
    <row r="1335">
      <c r="A1335" t="inlineStr">
        <is>
          <t>crop2</t>
        </is>
      </c>
      <c r="B1335" t="inlineStr">
        <is>
          <t>8.6</t>
        </is>
      </c>
      <c r="C1335" t="inlineStr">
        <is>
          <t>Bambara nut</t>
        </is>
      </c>
    </row>
    <row r="1336">
      <c r="A1336" t="inlineStr">
        <is>
          <t>crop2</t>
        </is>
      </c>
      <c r="B1336" t="inlineStr">
        <is>
          <t>8.7</t>
        </is>
      </c>
      <c r="C1336" t="inlineStr">
        <is>
          <t>Almond</t>
        </is>
      </c>
    </row>
    <row r="1337">
      <c r="A1337" t="inlineStr">
        <is>
          <t>crop2</t>
        </is>
      </c>
      <c r="B1337" t="inlineStr">
        <is>
          <t>8.8</t>
        </is>
      </c>
      <c r="C1337" t="inlineStr">
        <is>
          <t>Walnut</t>
        </is>
      </c>
    </row>
    <row r="1338">
      <c r="A1338" t="inlineStr">
        <is>
          <t>crop2</t>
        </is>
      </c>
      <c r="B1338" t="inlineStr">
        <is>
          <t>8.99</t>
        </is>
      </c>
      <c r="C1338" t="inlineStr">
        <is>
          <t>Other nuts</t>
        </is>
      </c>
    </row>
    <row r="1339">
      <c r="A1339" t="inlineStr">
        <is>
          <t>crop2</t>
        </is>
      </c>
      <c r="B1339" t="inlineStr">
        <is>
          <t>9.1</t>
        </is>
      </c>
      <c r="C1339" t="inlineStr">
        <is>
          <t>Cocoa</t>
        </is>
      </c>
    </row>
    <row r="1340">
      <c r="A1340" t="inlineStr">
        <is>
          <t>crop2</t>
        </is>
      </c>
      <c r="B1340" t="inlineStr">
        <is>
          <t>9.2</t>
        </is>
      </c>
      <c r="C1340" t="inlineStr">
        <is>
          <t>Coffee</t>
        </is>
      </c>
    </row>
    <row r="1341">
      <c r="A1341" t="inlineStr">
        <is>
          <t>crop2</t>
        </is>
      </c>
      <c r="B1341" t="inlineStr">
        <is>
          <t>9.3</t>
        </is>
      </c>
      <c r="C1341" t="inlineStr">
        <is>
          <t>Tea</t>
        </is>
      </c>
    </row>
    <row r="1342">
      <c r="A1342" t="inlineStr">
        <is>
          <t>crop2</t>
        </is>
      </c>
      <c r="B1342" t="inlineStr">
        <is>
          <t>9.4</t>
        </is>
      </c>
      <c r="C1342" t="inlineStr">
        <is>
          <t>Sugarcane</t>
        </is>
      </c>
    </row>
    <row r="1343">
      <c r="A1343" t="inlineStr">
        <is>
          <t>crop2</t>
        </is>
      </c>
      <c r="B1343" t="inlineStr">
        <is>
          <t>9.5</t>
        </is>
      </c>
      <c r="C1343" t="inlineStr">
        <is>
          <t>Sunflower</t>
        </is>
      </c>
    </row>
    <row r="1344">
      <c r="A1344" t="inlineStr">
        <is>
          <t>crop2</t>
        </is>
      </c>
      <c r="B1344" t="inlineStr">
        <is>
          <t>9.99</t>
        </is>
      </c>
      <c r="C1344" t="inlineStr">
        <is>
          <t>Other food cash crop</t>
        </is>
      </c>
    </row>
    <row r="1345">
      <c r="A1345" t="inlineStr">
        <is>
          <t>crop2</t>
        </is>
      </c>
      <c r="B1345" t="inlineStr">
        <is>
          <t>666</t>
        </is>
      </c>
      <c r="C1345" t="inlineStr">
        <is>
          <t>No other crop</t>
        </is>
      </c>
    </row>
    <row r="1346">
      <c r="A1346" t="inlineStr">
        <is>
          <t>crop2</t>
        </is>
      </c>
      <c r="B1346" t="inlineStr">
        <is>
          <t>888</t>
        </is>
      </c>
      <c r="C1346" t="inlineStr">
        <is>
          <t>Don't know</t>
        </is>
      </c>
    </row>
    <row r="1347">
      <c r="A1347" t="inlineStr">
        <is>
          <t>crop2</t>
        </is>
      </c>
      <c r="B1347" t="inlineStr">
        <is>
          <t>999</t>
        </is>
      </c>
      <c r="C1347" t="inlineStr">
        <is>
          <t>Refused</t>
        </is>
      </c>
    </row>
    <row r="1348"/>
    <row r="1349">
      <c r="A1349" t="inlineStr">
        <is>
          <t>crop3</t>
        </is>
      </c>
      <c r="B1349" t="inlineStr">
        <is>
          <t>1.2</t>
        </is>
      </c>
      <c r="C1349" t="inlineStr">
        <is>
          <t>Wheat</t>
        </is>
      </c>
    </row>
    <row r="1350">
      <c r="A1350" t="inlineStr">
        <is>
          <t>crop3</t>
        </is>
      </c>
      <c r="B1350" t="inlineStr">
        <is>
          <t>1.5</t>
        </is>
      </c>
      <c r="C1350" t="inlineStr">
        <is>
          <t>Maize</t>
        </is>
      </c>
    </row>
    <row r="1351">
      <c r="A1351" t="inlineStr">
        <is>
          <t>crop3</t>
        </is>
      </c>
      <c r="B1351" t="inlineStr">
        <is>
          <t>1.6</t>
        </is>
      </c>
      <c r="C1351" t="inlineStr">
        <is>
          <t>Barley</t>
        </is>
      </c>
    </row>
    <row r="1352">
      <c r="A1352" t="inlineStr">
        <is>
          <t>crop3</t>
        </is>
      </c>
      <c r="B1352" t="inlineStr">
        <is>
          <t>3.1</t>
        </is>
      </c>
      <c r="C1352" t="inlineStr">
        <is>
          <t>Beans</t>
        </is>
      </c>
    </row>
    <row r="1353">
      <c r="A1353" t="inlineStr">
        <is>
          <t>crop3</t>
        </is>
      </c>
      <c r="B1353" t="inlineStr">
        <is>
          <t>5.1</t>
        </is>
      </c>
      <c r="C1353" t="inlineStr">
        <is>
          <t>Tomatoes</t>
        </is>
      </c>
    </row>
    <row r="1354">
      <c r="A1354" t="inlineStr">
        <is>
          <t>crop3</t>
        </is>
      </c>
      <c r="B1354" t="inlineStr">
        <is>
          <t>5.4</t>
        </is>
      </c>
      <c r="C1354" t="inlineStr">
        <is>
          <t>Eggplant/aubergine</t>
        </is>
      </c>
    </row>
    <row r="1355">
      <c r="A1355" t="inlineStr">
        <is>
          <t>crop3</t>
        </is>
      </c>
      <c r="B1355" t="inlineStr">
        <is>
          <t>5.6</t>
        </is>
      </c>
      <c r="C1355" t="inlineStr">
        <is>
          <t>Okra</t>
        </is>
      </c>
    </row>
    <row r="1356">
      <c r="A1356" t="inlineStr">
        <is>
          <t>crop3</t>
        </is>
      </c>
      <c r="B1356" t="inlineStr">
        <is>
          <t>5.8</t>
        </is>
      </c>
      <c r="C1356" t="inlineStr">
        <is>
          <t>Onions</t>
        </is>
      </c>
    </row>
    <row r="1357">
      <c r="A1357" t="inlineStr">
        <is>
          <t>crop3</t>
        </is>
      </c>
      <c r="B1357" t="inlineStr">
        <is>
          <t>7.18</t>
        </is>
      </c>
      <c r="C1357" t="inlineStr">
        <is>
          <t>Melon (Cantaloupe)</t>
        </is>
      </c>
    </row>
    <row r="1358">
      <c r="A1358" t="inlineStr">
        <is>
          <t>crop3</t>
        </is>
      </c>
      <c r="B1358" t="inlineStr">
        <is>
          <t>7.8</t>
        </is>
      </c>
      <c r="C1358" t="inlineStr">
        <is>
          <t>Water Melon</t>
        </is>
      </c>
    </row>
    <row r="1359">
      <c r="A1359" t="inlineStr">
        <is>
          <t>crop3</t>
        </is>
      </c>
      <c r="B1359" t="inlineStr">
        <is>
          <t>1.1</t>
        </is>
      </c>
      <c r="C1359" t="inlineStr">
        <is>
          <t>Rice</t>
        </is>
      </c>
    </row>
    <row r="1360">
      <c r="A1360" t="inlineStr">
        <is>
          <t>crop3</t>
        </is>
      </c>
      <c r="B1360" t="inlineStr">
        <is>
          <t>1.3</t>
        </is>
      </c>
      <c r="C1360" t="inlineStr">
        <is>
          <t>Millet</t>
        </is>
      </c>
    </row>
    <row r="1361">
      <c r="A1361" t="inlineStr">
        <is>
          <t>crop3</t>
        </is>
      </c>
      <c r="B1361" t="inlineStr">
        <is>
          <t>1.4</t>
        </is>
      </c>
      <c r="C1361" t="inlineStr">
        <is>
          <t>Sorghum</t>
        </is>
      </c>
    </row>
    <row r="1362">
      <c r="A1362" t="inlineStr">
        <is>
          <t>crop3</t>
        </is>
      </c>
      <c r="B1362" t="inlineStr">
        <is>
          <t>1.99</t>
        </is>
      </c>
      <c r="C1362" t="inlineStr">
        <is>
          <t>Other Cereal</t>
        </is>
      </c>
    </row>
    <row r="1363">
      <c r="A1363" t="inlineStr">
        <is>
          <t>crop3</t>
        </is>
      </c>
      <c r="B1363" t="inlineStr">
        <is>
          <t>10.1</t>
        </is>
      </c>
      <c r="C1363" t="inlineStr">
        <is>
          <t>Cotton</t>
        </is>
      </c>
    </row>
    <row r="1364">
      <c r="A1364" t="inlineStr">
        <is>
          <t>crop3</t>
        </is>
      </c>
      <c r="B1364" t="inlineStr">
        <is>
          <t>10.2</t>
        </is>
      </c>
      <c r="C1364" t="inlineStr">
        <is>
          <t>Rubber</t>
        </is>
      </c>
    </row>
    <row r="1365">
      <c r="A1365" t="inlineStr">
        <is>
          <t>crop3</t>
        </is>
      </c>
      <c r="B1365" t="inlineStr">
        <is>
          <t>10.3</t>
        </is>
      </c>
      <c r="C1365" t="inlineStr">
        <is>
          <t>Jute</t>
        </is>
      </c>
    </row>
    <row r="1366">
      <c r="A1366" t="inlineStr">
        <is>
          <t>crop3</t>
        </is>
      </c>
      <c r="B1366" t="inlineStr">
        <is>
          <t>10.4</t>
        </is>
      </c>
      <c r="C1366" t="inlineStr">
        <is>
          <t>Fodder</t>
        </is>
      </c>
    </row>
    <row r="1367">
      <c r="A1367" t="inlineStr">
        <is>
          <t>crop3</t>
        </is>
      </c>
      <c r="B1367" t="inlineStr">
        <is>
          <t>10.5</t>
        </is>
      </c>
      <c r="C1367" t="inlineStr">
        <is>
          <t>Tobacco</t>
        </is>
      </c>
    </row>
    <row r="1368">
      <c r="A1368" t="inlineStr">
        <is>
          <t>crop3</t>
        </is>
      </c>
      <c r="B1368" t="inlineStr">
        <is>
          <t>10.6</t>
        </is>
      </c>
      <c r="C1368" t="inlineStr">
        <is>
          <t>Qat</t>
        </is>
      </c>
    </row>
    <row r="1369">
      <c r="A1369" t="inlineStr">
        <is>
          <t>crop3</t>
        </is>
      </c>
      <c r="B1369" t="inlineStr">
        <is>
          <t>10.99</t>
        </is>
      </c>
      <c r="C1369" t="inlineStr">
        <is>
          <t>Other non-food cash crop</t>
        </is>
      </c>
    </row>
    <row r="1370">
      <c r="A1370" t="inlineStr">
        <is>
          <t>crop3</t>
        </is>
      </c>
      <c r="B1370" t="inlineStr">
        <is>
          <t>2.1</t>
        </is>
      </c>
      <c r="C1370" t="inlineStr">
        <is>
          <t>Cassava</t>
        </is>
      </c>
    </row>
    <row r="1371">
      <c r="A1371" t="inlineStr">
        <is>
          <t>crop3</t>
        </is>
      </c>
      <c r="B1371" t="inlineStr">
        <is>
          <t>2.2</t>
        </is>
      </c>
      <c r="C1371" t="inlineStr">
        <is>
          <t>Potatoe</t>
        </is>
      </c>
    </row>
    <row r="1372">
      <c r="A1372" t="inlineStr">
        <is>
          <t>crop3</t>
        </is>
      </c>
      <c r="B1372" t="inlineStr">
        <is>
          <t>2.3</t>
        </is>
      </c>
      <c r="C1372" t="inlineStr">
        <is>
          <t>Sweet Potatoes</t>
        </is>
      </c>
    </row>
    <row r="1373">
      <c r="A1373" t="inlineStr">
        <is>
          <t>crop3</t>
        </is>
      </c>
      <c r="B1373" t="inlineStr">
        <is>
          <t>2.4</t>
        </is>
      </c>
      <c r="C1373" t="inlineStr">
        <is>
          <t>Yams</t>
        </is>
      </c>
    </row>
    <row r="1374">
      <c r="A1374" t="inlineStr">
        <is>
          <t>crop3</t>
        </is>
      </c>
      <c r="B1374" t="inlineStr">
        <is>
          <t>2.5</t>
        </is>
      </c>
      <c r="C1374" t="inlineStr">
        <is>
          <t>Carrots</t>
        </is>
      </c>
    </row>
    <row r="1375">
      <c r="A1375" t="inlineStr">
        <is>
          <t>crop3</t>
        </is>
      </c>
      <c r="B1375" t="inlineStr">
        <is>
          <t>2.6</t>
        </is>
      </c>
      <c r="C1375" t="inlineStr">
        <is>
          <t>Cocoyam</t>
        </is>
      </c>
    </row>
    <row r="1376">
      <c r="A1376" t="inlineStr">
        <is>
          <t>crop3</t>
        </is>
      </c>
      <c r="B1376" t="inlineStr">
        <is>
          <t>2.99</t>
        </is>
      </c>
      <c r="C1376" t="inlineStr">
        <is>
          <t>Other tubers</t>
        </is>
      </c>
    </row>
    <row r="1377">
      <c r="A1377" t="inlineStr">
        <is>
          <t>crop3</t>
        </is>
      </c>
      <c r="B1377" t="inlineStr">
        <is>
          <t>3.2</t>
        </is>
      </c>
      <c r="C1377" t="inlineStr">
        <is>
          <t>Lentils</t>
        </is>
      </c>
    </row>
    <row r="1378">
      <c r="A1378" t="inlineStr">
        <is>
          <t>crop3</t>
        </is>
      </c>
      <c r="B1378" t="inlineStr">
        <is>
          <t>3.3</t>
        </is>
      </c>
      <c r="C1378" t="inlineStr">
        <is>
          <t>Peas</t>
        </is>
      </c>
    </row>
    <row r="1379">
      <c r="A1379" t="inlineStr">
        <is>
          <t>crop3</t>
        </is>
      </c>
      <c r="B1379" t="inlineStr">
        <is>
          <t>3.4</t>
        </is>
      </c>
      <c r="C1379" t="inlineStr">
        <is>
          <t>Soybeans</t>
        </is>
      </c>
    </row>
    <row r="1380">
      <c r="A1380" t="inlineStr">
        <is>
          <t>crop3</t>
        </is>
      </c>
      <c r="B1380" t="inlineStr">
        <is>
          <t>3.5</t>
        </is>
      </c>
      <c r="C1380" t="inlineStr">
        <is>
          <t>Chickpeas</t>
        </is>
      </c>
    </row>
    <row r="1381">
      <c r="A1381" t="inlineStr">
        <is>
          <t>crop3</t>
        </is>
      </c>
      <c r="B1381" t="inlineStr">
        <is>
          <t>3.6</t>
        </is>
      </c>
      <c r="C1381" t="inlineStr">
        <is>
          <t>Fava beans</t>
        </is>
      </c>
    </row>
    <row r="1382">
      <c r="A1382" t="inlineStr">
        <is>
          <t>crop3</t>
        </is>
      </c>
      <c r="B1382" t="inlineStr">
        <is>
          <t>3.7</t>
        </is>
      </c>
      <c r="C1382" t="inlineStr">
        <is>
          <t>Broad beans</t>
        </is>
      </c>
    </row>
    <row r="1383">
      <c r="A1383" t="inlineStr">
        <is>
          <t>crop3</t>
        </is>
      </c>
      <c r="B1383" t="inlineStr">
        <is>
          <t>3.99</t>
        </is>
      </c>
      <c r="C1383" t="inlineStr">
        <is>
          <t>Other pulses</t>
        </is>
      </c>
    </row>
    <row r="1384">
      <c r="A1384" t="inlineStr">
        <is>
          <t>crop3</t>
        </is>
      </c>
      <c r="B1384" t="inlineStr">
        <is>
          <t>4.1</t>
        </is>
      </c>
      <c r="C1384" t="inlineStr">
        <is>
          <t>Cabbage</t>
        </is>
      </c>
    </row>
    <row r="1385">
      <c r="A1385" t="inlineStr">
        <is>
          <t>crop3</t>
        </is>
      </c>
      <c r="B1385" t="inlineStr">
        <is>
          <t>4.101</t>
        </is>
      </c>
      <c r="C1385" t="inlineStr">
        <is>
          <t>Cauliflower</t>
        </is>
      </c>
    </row>
    <row r="1386">
      <c r="A1386" t="inlineStr">
        <is>
          <t>crop3</t>
        </is>
      </c>
      <c r="B1386" t="inlineStr">
        <is>
          <t>4.2</t>
        </is>
      </c>
      <c r="C1386" t="inlineStr">
        <is>
          <t>Lettuce</t>
        </is>
      </c>
    </row>
    <row r="1387">
      <c r="A1387" t="inlineStr">
        <is>
          <t>crop3</t>
        </is>
      </c>
      <c r="B1387" t="inlineStr">
        <is>
          <t>4.3</t>
        </is>
      </c>
      <c r="C1387" t="inlineStr">
        <is>
          <t>Spinach-Amaranth</t>
        </is>
      </c>
    </row>
    <row r="1388">
      <c r="A1388" t="inlineStr">
        <is>
          <t>crop3</t>
        </is>
      </c>
      <c r="B1388" t="inlineStr">
        <is>
          <t>4.4</t>
        </is>
      </c>
      <c r="C1388" t="inlineStr">
        <is>
          <t>Cassava leaves</t>
        </is>
      </c>
    </row>
    <row r="1389">
      <c r="A1389" t="inlineStr">
        <is>
          <t>crop3</t>
        </is>
      </c>
      <c r="B1389" t="inlineStr">
        <is>
          <t>4.5</t>
        </is>
      </c>
      <c r="C1389" t="inlineStr">
        <is>
          <t>Potatoe leaves</t>
        </is>
      </c>
    </row>
    <row r="1390">
      <c r="A1390" t="inlineStr">
        <is>
          <t>crop3</t>
        </is>
      </c>
      <c r="B1390" t="inlineStr">
        <is>
          <t>4.6</t>
        </is>
      </c>
      <c r="C1390" t="inlineStr">
        <is>
          <t>Moringa</t>
        </is>
      </c>
    </row>
    <row r="1391">
      <c r="A1391" t="inlineStr">
        <is>
          <t>crop3</t>
        </is>
      </c>
      <c r="B1391" t="inlineStr">
        <is>
          <t>4.7</t>
        </is>
      </c>
      <c r="C1391" t="inlineStr">
        <is>
          <t>Sorrel Hibiscus / Rosselle</t>
        </is>
      </c>
    </row>
    <row r="1392">
      <c r="A1392" t="inlineStr">
        <is>
          <t>crop3</t>
        </is>
      </c>
      <c r="B1392" t="inlineStr">
        <is>
          <t>4.9</t>
        </is>
      </c>
      <c r="C1392" t="inlineStr">
        <is>
          <t>Green salad herbs (thyme, parsley, mint, rocca, other)</t>
        </is>
      </c>
    </row>
    <row r="1393">
      <c r="A1393" t="inlineStr">
        <is>
          <t>crop3</t>
        </is>
      </c>
      <c r="B1393" t="inlineStr">
        <is>
          <t>4.99</t>
        </is>
      </c>
      <c r="C1393" t="inlineStr">
        <is>
          <t>Other leafy vegetables</t>
        </is>
      </c>
    </row>
    <row r="1394">
      <c r="A1394" t="inlineStr">
        <is>
          <t>crop3</t>
        </is>
      </c>
      <c r="B1394" t="inlineStr">
        <is>
          <t>5.101</t>
        </is>
      </c>
      <c r="C1394" t="inlineStr">
        <is>
          <t>Green peas</t>
        </is>
      </c>
    </row>
    <row r="1395">
      <c r="A1395" t="inlineStr">
        <is>
          <t>crop3</t>
        </is>
      </c>
      <c r="B1395" t="inlineStr">
        <is>
          <t>5.11</t>
        </is>
      </c>
      <c r="C1395" t="inlineStr">
        <is>
          <t>Fava beans green</t>
        </is>
      </c>
    </row>
    <row r="1396">
      <c r="A1396" t="inlineStr">
        <is>
          <t>crop3</t>
        </is>
      </c>
      <c r="B1396" t="inlineStr">
        <is>
          <t>5.2</t>
        </is>
      </c>
      <c r="C1396" t="inlineStr">
        <is>
          <t>Cucumber</t>
        </is>
      </c>
    </row>
    <row r="1397">
      <c r="A1397" t="inlineStr">
        <is>
          <t>crop3</t>
        </is>
      </c>
      <c r="B1397" t="inlineStr">
        <is>
          <t>5.3</t>
        </is>
      </c>
      <c r="C1397" t="inlineStr">
        <is>
          <t>Pumpkin</t>
        </is>
      </c>
    </row>
    <row r="1398">
      <c r="A1398" t="inlineStr">
        <is>
          <t>crop3</t>
        </is>
      </c>
      <c r="B1398" t="inlineStr">
        <is>
          <t>5.5</t>
        </is>
      </c>
      <c r="C1398" t="inlineStr">
        <is>
          <t>Zucchini</t>
        </is>
      </c>
    </row>
    <row r="1399">
      <c r="A1399" t="inlineStr">
        <is>
          <t>crop3</t>
        </is>
      </c>
      <c r="B1399" t="inlineStr">
        <is>
          <t>5.7</t>
        </is>
      </c>
      <c r="C1399" t="inlineStr">
        <is>
          <t>Bell pepper</t>
        </is>
      </c>
    </row>
    <row r="1400">
      <c r="A1400" t="inlineStr">
        <is>
          <t>crop3</t>
        </is>
      </c>
      <c r="B1400" t="inlineStr">
        <is>
          <t>5.9</t>
        </is>
      </c>
      <c r="C1400" t="inlineStr">
        <is>
          <t>Haricot</t>
        </is>
      </c>
    </row>
    <row r="1401">
      <c r="A1401" t="inlineStr">
        <is>
          <t>crop3</t>
        </is>
      </c>
      <c r="B1401" t="inlineStr">
        <is>
          <t>5.99</t>
        </is>
      </c>
      <c r="C1401" t="inlineStr">
        <is>
          <t>Other non leafy vegs</t>
        </is>
      </c>
    </row>
    <row r="1402">
      <c r="A1402" t="inlineStr">
        <is>
          <t>crop3</t>
        </is>
      </c>
      <c r="B1402" t="inlineStr">
        <is>
          <t>6.1</t>
        </is>
      </c>
      <c r="C1402" t="inlineStr">
        <is>
          <t>Orange</t>
        </is>
      </c>
    </row>
    <row r="1403">
      <c r="A1403" t="inlineStr">
        <is>
          <t>crop3</t>
        </is>
      </c>
      <c r="B1403" t="inlineStr">
        <is>
          <t>6.2</t>
        </is>
      </c>
      <c r="C1403" t="inlineStr">
        <is>
          <t>Lemon</t>
        </is>
      </c>
    </row>
    <row r="1404">
      <c r="A1404" t="inlineStr">
        <is>
          <t>crop3</t>
        </is>
      </c>
      <c r="B1404" t="inlineStr">
        <is>
          <t>6.3</t>
        </is>
      </c>
      <c r="C1404" t="inlineStr">
        <is>
          <t>Grapefruit</t>
        </is>
      </c>
    </row>
    <row r="1405">
      <c r="A1405" t="inlineStr">
        <is>
          <t>crop3</t>
        </is>
      </c>
      <c r="B1405" t="inlineStr">
        <is>
          <t>6.4</t>
        </is>
      </c>
      <c r="C1405" t="inlineStr">
        <is>
          <t>Mandarins/clementines</t>
        </is>
      </c>
    </row>
    <row r="1406">
      <c r="A1406" t="inlineStr">
        <is>
          <t>crop3</t>
        </is>
      </c>
      <c r="B1406" t="inlineStr">
        <is>
          <t>6.99</t>
        </is>
      </c>
      <c r="C1406" t="inlineStr">
        <is>
          <t>Other citrus fruit</t>
        </is>
      </c>
    </row>
    <row r="1407">
      <c r="A1407" t="inlineStr">
        <is>
          <t>crop3</t>
        </is>
      </c>
      <c r="B1407" t="inlineStr">
        <is>
          <t>7.1</t>
        </is>
      </c>
      <c r="C1407" t="inlineStr">
        <is>
          <t>Sweet Banana</t>
        </is>
      </c>
    </row>
    <row r="1408">
      <c r="A1408" t="inlineStr">
        <is>
          <t>crop3</t>
        </is>
      </c>
      <c r="B1408" t="inlineStr">
        <is>
          <t>7.101</t>
        </is>
      </c>
      <c r="C1408" t="inlineStr">
        <is>
          <t>Figs</t>
        </is>
      </c>
    </row>
    <row r="1409">
      <c r="A1409" t="inlineStr">
        <is>
          <t>crop3</t>
        </is>
      </c>
      <c r="B1409" t="inlineStr">
        <is>
          <t>7.11</t>
        </is>
      </c>
      <c r="C1409" t="inlineStr">
        <is>
          <t>Grapes</t>
        </is>
      </c>
    </row>
    <row r="1410">
      <c r="A1410" t="inlineStr">
        <is>
          <t>crop3</t>
        </is>
      </c>
      <c r="B1410" t="inlineStr">
        <is>
          <t>7.12</t>
        </is>
      </c>
      <c r="C1410" t="inlineStr">
        <is>
          <t>Olives</t>
        </is>
      </c>
    </row>
    <row r="1411">
      <c r="A1411" t="inlineStr">
        <is>
          <t>crop3</t>
        </is>
      </c>
      <c r="B1411" t="inlineStr">
        <is>
          <t>7.13</t>
        </is>
      </c>
      <c r="C1411" t="inlineStr">
        <is>
          <t>Apple</t>
        </is>
      </c>
    </row>
    <row r="1412">
      <c r="A1412" t="inlineStr">
        <is>
          <t>crop3</t>
        </is>
      </c>
      <c r="B1412" t="inlineStr">
        <is>
          <t>7.14</t>
        </is>
      </c>
      <c r="C1412" t="inlineStr">
        <is>
          <t>Apricot</t>
        </is>
      </c>
    </row>
    <row r="1413">
      <c r="A1413" t="inlineStr">
        <is>
          <t>crop3</t>
        </is>
      </c>
      <c r="B1413" t="inlineStr">
        <is>
          <t>7.15</t>
        </is>
      </c>
      <c r="C1413" t="inlineStr">
        <is>
          <t>Cherries</t>
        </is>
      </c>
    </row>
    <row r="1414">
      <c r="A1414" t="inlineStr">
        <is>
          <t>crop3</t>
        </is>
      </c>
      <c r="B1414" t="inlineStr">
        <is>
          <t>7.16</t>
        </is>
      </c>
      <c r="C1414" t="inlineStr">
        <is>
          <t>Peach/nectarine</t>
        </is>
      </c>
    </row>
    <row r="1415">
      <c r="A1415" t="inlineStr">
        <is>
          <t>crop3</t>
        </is>
      </c>
      <c r="B1415" t="inlineStr">
        <is>
          <t>7.17</t>
        </is>
      </c>
      <c r="C1415" t="inlineStr">
        <is>
          <t>Strawberries</t>
        </is>
      </c>
    </row>
    <row r="1416">
      <c r="A1416" t="inlineStr">
        <is>
          <t>crop3</t>
        </is>
      </c>
      <c r="B1416" t="inlineStr">
        <is>
          <t>7.2</t>
        </is>
      </c>
      <c r="C1416" t="inlineStr">
        <is>
          <t>Plantains</t>
        </is>
      </c>
    </row>
    <row r="1417">
      <c r="A1417" t="inlineStr">
        <is>
          <t>crop3</t>
        </is>
      </c>
      <c r="B1417" t="inlineStr">
        <is>
          <t>7.3</t>
        </is>
      </c>
      <c r="C1417" t="inlineStr">
        <is>
          <t>Papaya</t>
        </is>
      </c>
    </row>
    <row r="1418">
      <c r="A1418" t="inlineStr">
        <is>
          <t>crop3</t>
        </is>
      </c>
      <c r="B1418" t="inlineStr">
        <is>
          <t>7.4</t>
        </is>
      </c>
      <c r="C1418" t="inlineStr">
        <is>
          <t>Mango</t>
        </is>
      </c>
    </row>
    <row r="1419">
      <c r="A1419" t="inlineStr">
        <is>
          <t>crop3</t>
        </is>
      </c>
      <c r="B1419" t="inlineStr">
        <is>
          <t>7.5</t>
        </is>
      </c>
      <c r="C1419" t="inlineStr">
        <is>
          <t>Guava</t>
        </is>
      </c>
    </row>
    <row r="1420">
      <c r="A1420" t="inlineStr">
        <is>
          <t>crop3</t>
        </is>
      </c>
      <c r="B1420" t="inlineStr">
        <is>
          <t>7.6</t>
        </is>
      </c>
      <c r="C1420" t="inlineStr">
        <is>
          <t>Pineapple</t>
        </is>
      </c>
    </row>
    <row r="1421">
      <c r="A1421" t="inlineStr">
        <is>
          <t>crop3</t>
        </is>
      </c>
      <c r="B1421" t="inlineStr">
        <is>
          <t>7.7</t>
        </is>
      </c>
      <c r="C1421" t="inlineStr">
        <is>
          <t>Avocado</t>
        </is>
      </c>
    </row>
    <row r="1422">
      <c r="A1422" t="inlineStr">
        <is>
          <t>crop3</t>
        </is>
      </c>
      <c r="B1422" t="inlineStr">
        <is>
          <t>7.9</t>
        </is>
      </c>
      <c r="C1422" t="inlineStr">
        <is>
          <t>Dates</t>
        </is>
      </c>
    </row>
    <row r="1423">
      <c r="A1423" t="inlineStr">
        <is>
          <t>crop3</t>
        </is>
      </c>
      <c r="B1423" t="inlineStr">
        <is>
          <t>7.99</t>
        </is>
      </c>
      <c r="C1423" t="inlineStr">
        <is>
          <t>Other fruit</t>
        </is>
      </c>
    </row>
    <row r="1424">
      <c r="A1424" t="inlineStr">
        <is>
          <t>crop3</t>
        </is>
      </c>
      <c r="B1424" t="inlineStr">
        <is>
          <t>8.1</t>
        </is>
      </c>
      <c r="C1424" t="inlineStr">
        <is>
          <t>Coconuts</t>
        </is>
      </c>
    </row>
    <row r="1425">
      <c r="A1425" t="inlineStr">
        <is>
          <t>crop3</t>
        </is>
      </c>
      <c r="B1425" t="inlineStr">
        <is>
          <t>8.2</t>
        </is>
      </c>
      <c r="C1425" t="inlineStr">
        <is>
          <t>Groundnut/peanut</t>
        </is>
      </c>
    </row>
    <row r="1426">
      <c r="A1426" t="inlineStr">
        <is>
          <t>crop3</t>
        </is>
      </c>
      <c r="B1426" t="inlineStr">
        <is>
          <t>8.3</t>
        </is>
      </c>
      <c r="C1426" t="inlineStr">
        <is>
          <t>Cashew Nut</t>
        </is>
      </c>
    </row>
    <row r="1427">
      <c r="A1427" t="inlineStr">
        <is>
          <t>crop3</t>
        </is>
      </c>
      <c r="B1427" t="inlineStr">
        <is>
          <t>8.4</t>
        </is>
      </c>
      <c r="C1427" t="inlineStr">
        <is>
          <t>Kola Nut</t>
        </is>
      </c>
    </row>
    <row r="1428">
      <c r="A1428" t="inlineStr">
        <is>
          <t>crop3</t>
        </is>
      </c>
      <c r="B1428" t="inlineStr">
        <is>
          <t>8.5</t>
        </is>
      </c>
      <c r="C1428" t="inlineStr">
        <is>
          <t>Sesame</t>
        </is>
      </c>
    </row>
    <row r="1429">
      <c r="A1429" t="inlineStr">
        <is>
          <t>crop3</t>
        </is>
      </c>
      <c r="B1429" t="inlineStr">
        <is>
          <t>8.6</t>
        </is>
      </c>
      <c r="C1429" t="inlineStr">
        <is>
          <t>Bambara nut</t>
        </is>
      </c>
    </row>
    <row r="1430">
      <c r="A1430" t="inlineStr">
        <is>
          <t>crop3</t>
        </is>
      </c>
      <c r="B1430" t="inlineStr">
        <is>
          <t>8.7</t>
        </is>
      </c>
      <c r="C1430" t="inlineStr">
        <is>
          <t>Almond</t>
        </is>
      </c>
    </row>
    <row r="1431">
      <c r="A1431" t="inlineStr">
        <is>
          <t>crop3</t>
        </is>
      </c>
      <c r="B1431" t="inlineStr">
        <is>
          <t>8.8</t>
        </is>
      </c>
      <c r="C1431" t="inlineStr">
        <is>
          <t>Walnut</t>
        </is>
      </c>
    </row>
    <row r="1432">
      <c r="A1432" t="inlineStr">
        <is>
          <t>crop3</t>
        </is>
      </c>
      <c r="B1432" t="inlineStr">
        <is>
          <t>8.99</t>
        </is>
      </c>
      <c r="C1432" t="inlineStr">
        <is>
          <t>Other nuts</t>
        </is>
      </c>
    </row>
    <row r="1433">
      <c r="A1433" t="inlineStr">
        <is>
          <t>crop3</t>
        </is>
      </c>
      <c r="B1433" t="inlineStr">
        <is>
          <t>9.1</t>
        </is>
      </c>
      <c r="C1433" t="inlineStr">
        <is>
          <t>Cocoa</t>
        </is>
      </c>
    </row>
    <row r="1434">
      <c r="A1434" t="inlineStr">
        <is>
          <t>crop3</t>
        </is>
      </c>
      <c r="B1434" t="inlineStr">
        <is>
          <t>9.2</t>
        </is>
      </c>
      <c r="C1434" t="inlineStr">
        <is>
          <t>Coffee</t>
        </is>
      </c>
    </row>
    <row r="1435">
      <c r="A1435" t="inlineStr">
        <is>
          <t>crop3</t>
        </is>
      </c>
      <c r="B1435" t="inlineStr">
        <is>
          <t>9.3</t>
        </is>
      </c>
      <c r="C1435" t="inlineStr">
        <is>
          <t>Tea</t>
        </is>
      </c>
    </row>
    <row r="1436">
      <c r="A1436" t="inlineStr">
        <is>
          <t>crop3</t>
        </is>
      </c>
      <c r="B1436" t="inlineStr">
        <is>
          <t>9.4</t>
        </is>
      </c>
      <c r="C1436" t="inlineStr">
        <is>
          <t>Sugarcane</t>
        </is>
      </c>
    </row>
    <row r="1437">
      <c r="A1437" t="inlineStr">
        <is>
          <t>crop3</t>
        </is>
      </c>
      <c r="B1437" t="inlineStr">
        <is>
          <t>9.5</t>
        </is>
      </c>
      <c r="C1437" t="inlineStr">
        <is>
          <t>Sunflower</t>
        </is>
      </c>
    </row>
    <row r="1438">
      <c r="A1438" t="inlineStr">
        <is>
          <t>crop3</t>
        </is>
      </c>
      <c r="B1438" t="inlineStr">
        <is>
          <t>9.99</t>
        </is>
      </c>
      <c r="C1438" t="inlineStr">
        <is>
          <t>Other food cash crop</t>
        </is>
      </c>
    </row>
    <row r="1439">
      <c r="A1439" t="inlineStr">
        <is>
          <t>crop3</t>
        </is>
      </c>
      <c r="B1439" t="inlineStr">
        <is>
          <t>666</t>
        </is>
      </c>
      <c r="C1439" t="inlineStr">
        <is>
          <t>No other crop</t>
        </is>
      </c>
    </row>
    <row r="1440">
      <c r="A1440" t="inlineStr">
        <is>
          <t>crop3</t>
        </is>
      </c>
      <c r="B1440" t="inlineStr">
        <is>
          <t>888</t>
        </is>
      </c>
      <c r="C1440" t="inlineStr">
        <is>
          <t>Don't know</t>
        </is>
      </c>
    </row>
    <row r="1441">
      <c r="A1441" t="inlineStr">
        <is>
          <t>crop3</t>
        </is>
      </c>
      <c r="B1441" t="inlineStr">
        <is>
          <t>999</t>
        </is>
      </c>
      <c r="C1441" t="inlineStr">
        <is>
          <t>Refused</t>
        </is>
      </c>
    </row>
  </sheetData>
  <conditionalFormatting sqref="A371">
    <cfRule type="duplicateValues" priority="1" dxfId="0"/>
    <cfRule type="duplicateValues" priority="2" dxfId="0"/>
    <cfRule type="duplicateValues" priority="3" dxfId="0"/>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81640625" defaultRowHeight="14.5"/>
  <cols>
    <col width="28.1796875" customWidth="1" style="3" min="1" max="4"/>
    <col width="8.81640625" customWidth="1" style="3" min="5" max="5"/>
    <col width="8.8164062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C20" sqref="C20"/>
    </sheetView>
  </sheetViews>
  <sheetFormatPr baseColWidth="8" defaultColWidth="10.81640625" defaultRowHeight="14.5"/>
  <cols>
    <col width="10.81640625" customWidth="1" style="120" min="1" max="2"/>
    <col width="15.1796875" customWidth="1" style="134" min="3" max="3"/>
    <col width="10.81640625" customWidth="1" style="135" min="4" max="4"/>
    <col width="28.7265625" customWidth="1" style="136" min="5" max="5"/>
    <col width="32" customWidth="1" style="136" min="6" max="6"/>
    <col width="10.81640625" customWidth="1" style="120" min="7" max="7"/>
    <col width="10.81640625" customWidth="1" style="120" min="8" max="16384"/>
  </cols>
  <sheetData>
    <row r="2">
      <c r="C2" s="121" t="n"/>
      <c r="D2" s="122" t="n"/>
      <c r="E2" s="123" t="n"/>
      <c r="F2" s="123" t="n"/>
    </row>
    <row r="3" ht="32.15" customHeight="1">
      <c r="B3" s="124" t="n"/>
      <c r="C3" s="125" t="inlineStr">
        <is>
          <t xml:space="preserve">Select top 10 crops </t>
        </is>
      </c>
      <c r="D3" s="126" t="inlineStr">
        <is>
          <t>Dataset code</t>
        </is>
      </c>
      <c r="E3" s="127" t="inlineStr">
        <is>
          <t>Label (EN)</t>
        </is>
      </c>
      <c r="F3" s="127" t="inlineStr">
        <is>
          <t>Label (FR)</t>
        </is>
      </c>
    </row>
    <row r="4" ht="16" customHeight="1">
      <c r="B4" s="124" t="n"/>
      <c r="C4" s="9" t="n"/>
      <c r="D4" s="128" t="inlineStr">
        <is>
          <t>1.1</t>
        </is>
      </c>
      <c r="E4" s="129" t="inlineStr">
        <is>
          <t>Rice</t>
        </is>
      </c>
      <c r="F4" s="129" t="inlineStr">
        <is>
          <t>Riz</t>
        </is>
      </c>
    </row>
    <row r="5" ht="16" customHeight="1">
      <c r="B5" s="124" t="n"/>
      <c r="C5" s="9" t="inlineStr">
        <is>
          <t>x</t>
        </is>
      </c>
      <c r="D5" s="128" t="inlineStr">
        <is>
          <t>1.2</t>
        </is>
      </c>
      <c r="E5" s="129" t="inlineStr">
        <is>
          <t>Wheat</t>
        </is>
      </c>
      <c r="F5" s="129" t="inlineStr">
        <is>
          <t>Blé</t>
        </is>
      </c>
    </row>
    <row r="6" ht="16" customHeight="1">
      <c r="B6" s="124" t="n"/>
      <c r="C6" s="9" t="n"/>
      <c r="D6" s="128" t="inlineStr">
        <is>
          <t>1.3</t>
        </is>
      </c>
      <c r="E6" s="129" t="inlineStr">
        <is>
          <t>Millet</t>
        </is>
      </c>
      <c r="F6" s="129" t="inlineStr">
        <is>
          <t>Mil</t>
        </is>
      </c>
    </row>
    <row r="7" ht="16" customHeight="1">
      <c r="B7" s="124" t="n"/>
      <c r="C7" s="9" t="n"/>
      <c r="D7" s="128" t="inlineStr">
        <is>
          <t>1.4</t>
        </is>
      </c>
      <c r="E7" s="129" t="inlineStr">
        <is>
          <t>Sorghum</t>
        </is>
      </c>
      <c r="F7" s="129" t="inlineStr">
        <is>
          <t>Sorgho</t>
        </is>
      </c>
    </row>
    <row r="8" ht="16" customHeight="1">
      <c r="B8" s="124" t="n"/>
      <c r="C8" s="9" t="inlineStr">
        <is>
          <t>x</t>
        </is>
      </c>
      <c r="D8" s="128" t="inlineStr">
        <is>
          <t>1.5</t>
        </is>
      </c>
      <c r="E8" s="129" t="inlineStr">
        <is>
          <t>Maize</t>
        </is>
      </c>
      <c r="F8" s="129" t="inlineStr">
        <is>
          <t>Maïs</t>
        </is>
      </c>
    </row>
    <row r="9" ht="16" customHeight="1">
      <c r="B9" s="124" t="n"/>
      <c r="C9" s="9" t="inlineStr">
        <is>
          <t>x</t>
        </is>
      </c>
      <c r="D9" s="128" t="inlineStr">
        <is>
          <t>1.6</t>
        </is>
      </c>
      <c r="E9" s="129" t="inlineStr">
        <is>
          <t>Barley</t>
        </is>
      </c>
      <c r="F9" s="129" t="inlineStr">
        <is>
          <t>Orge</t>
        </is>
      </c>
    </row>
    <row r="10" ht="16" customHeight="1">
      <c r="B10" s="124" t="n"/>
      <c r="C10" s="165" t="n"/>
      <c r="D10" s="128" t="inlineStr">
        <is>
          <t>1.99</t>
        </is>
      </c>
      <c r="E10" s="130" t="inlineStr">
        <is>
          <t>Other Cereal</t>
        </is>
      </c>
      <c r="F10" s="130" t="inlineStr">
        <is>
          <t>Autres céréales</t>
        </is>
      </c>
    </row>
    <row r="11" ht="16" customHeight="1">
      <c r="B11" s="124" t="n"/>
      <c r="C11" s="9" t="n"/>
      <c r="D11" s="128" t="inlineStr">
        <is>
          <t>2.1</t>
        </is>
      </c>
      <c r="E11" s="129" t="inlineStr">
        <is>
          <t>Cassava</t>
        </is>
      </c>
      <c r="F11" s="129" t="inlineStr">
        <is>
          <t>Manioc</t>
        </is>
      </c>
    </row>
    <row r="12" ht="16" customHeight="1">
      <c r="B12" s="124" t="n"/>
      <c r="C12" s="9" t="n"/>
      <c r="D12" s="128" t="inlineStr">
        <is>
          <t>2.2</t>
        </is>
      </c>
      <c r="E12" s="129" t="inlineStr">
        <is>
          <t>Potatoe</t>
        </is>
      </c>
      <c r="F12" s="129" t="inlineStr">
        <is>
          <t>Pommes de terre</t>
        </is>
      </c>
    </row>
    <row r="13" ht="16" customHeight="1">
      <c r="B13" s="124" t="n"/>
      <c r="C13" s="9" t="n"/>
      <c r="D13" s="128" t="inlineStr">
        <is>
          <t>2.3</t>
        </is>
      </c>
      <c r="E13" s="129" t="inlineStr">
        <is>
          <t>Sweet Potatoes</t>
        </is>
      </c>
      <c r="F13" s="129" t="inlineStr">
        <is>
          <t>Patates douces</t>
        </is>
      </c>
    </row>
    <row r="14" ht="16" customHeight="1">
      <c r="B14" s="124" t="n"/>
      <c r="C14" s="9" t="n"/>
      <c r="D14" s="128" t="inlineStr">
        <is>
          <t>2.4</t>
        </is>
      </c>
      <c r="E14" s="129" t="inlineStr">
        <is>
          <t>Yams</t>
        </is>
      </c>
      <c r="F14" s="129" t="inlineStr">
        <is>
          <t>Ignames</t>
        </is>
      </c>
    </row>
    <row r="15" ht="16" customHeight="1">
      <c r="B15" s="124" t="n"/>
      <c r="C15" s="9" t="n"/>
      <c r="D15" s="128" t="inlineStr">
        <is>
          <t>2.5</t>
        </is>
      </c>
      <c r="E15" s="129" t="inlineStr">
        <is>
          <t>Carrots</t>
        </is>
      </c>
      <c r="F15" s="129" t="inlineStr">
        <is>
          <t>Carottes</t>
        </is>
      </c>
    </row>
    <row r="16" ht="16" customHeight="1">
      <c r="B16" s="124" t="n"/>
      <c r="C16" s="9" t="n"/>
      <c r="D16" s="128" t="inlineStr">
        <is>
          <t>2.6</t>
        </is>
      </c>
      <c r="E16" s="129" t="inlineStr">
        <is>
          <t>Cocoyam</t>
        </is>
      </c>
      <c r="F16" s="129" t="inlineStr">
        <is>
          <t>Chou caraïbe</t>
        </is>
      </c>
    </row>
    <row r="17" ht="16" customHeight="1">
      <c r="B17" s="124" t="n"/>
      <c r="C17" s="165" t="n"/>
      <c r="D17" s="128" t="inlineStr">
        <is>
          <t>2.99</t>
        </is>
      </c>
      <c r="E17" s="130" t="inlineStr">
        <is>
          <t>Other tubers</t>
        </is>
      </c>
      <c r="F17" s="130" t="inlineStr">
        <is>
          <t>Autres tubercules</t>
        </is>
      </c>
    </row>
    <row r="18" ht="16" customHeight="1">
      <c r="B18" s="124" t="n"/>
      <c r="C18" s="9" t="inlineStr">
        <is>
          <t>x</t>
        </is>
      </c>
      <c r="D18" s="128" t="inlineStr">
        <is>
          <t>3.1</t>
        </is>
      </c>
      <c r="E18" s="129" t="inlineStr">
        <is>
          <t>Beans</t>
        </is>
      </c>
      <c r="F18" s="129" t="inlineStr">
        <is>
          <t>Haricots</t>
        </is>
      </c>
    </row>
    <row r="19" ht="16" customHeight="1">
      <c r="B19" s="124" t="n"/>
      <c r="C19" s="9" t="n"/>
      <c r="D19" s="128" t="inlineStr">
        <is>
          <t>3.2</t>
        </is>
      </c>
      <c r="E19" s="129" t="inlineStr">
        <is>
          <t>Lentils</t>
        </is>
      </c>
      <c r="F19" s="129" t="inlineStr">
        <is>
          <t>Lentilles</t>
        </is>
      </c>
    </row>
    <row r="20" ht="16" customHeight="1">
      <c r="B20" s="124" t="n"/>
      <c r="C20" s="9" t="n"/>
      <c r="D20" s="128" t="inlineStr">
        <is>
          <t>3.3</t>
        </is>
      </c>
      <c r="E20" s="129" t="inlineStr">
        <is>
          <t>Peas</t>
        </is>
      </c>
      <c r="F20" s="129" t="inlineStr">
        <is>
          <t>Pois</t>
        </is>
      </c>
    </row>
    <row r="21" ht="16" customHeight="1">
      <c r="B21" s="124" t="n"/>
      <c r="C21" s="9" t="n"/>
      <c r="D21" s="128" t="inlineStr">
        <is>
          <t>3.4</t>
        </is>
      </c>
      <c r="E21" s="129" t="inlineStr">
        <is>
          <t>Soybeans</t>
        </is>
      </c>
      <c r="F21" s="129" t="inlineStr">
        <is>
          <t>Soja</t>
        </is>
      </c>
    </row>
    <row r="22" ht="16" customHeight="1">
      <c r="B22" s="124" t="n"/>
      <c r="C22" s="9" t="n"/>
      <c r="D22" s="128" t="inlineStr">
        <is>
          <t>3.5</t>
        </is>
      </c>
      <c r="E22" s="129" t="inlineStr">
        <is>
          <t>Chickpeas</t>
        </is>
      </c>
      <c r="F22" s="129" t="inlineStr">
        <is>
          <t>Pois chiches</t>
        </is>
      </c>
    </row>
    <row r="23" ht="16" customHeight="1">
      <c r="B23" s="124" t="n"/>
      <c r="C23" s="9" t="n"/>
      <c r="D23" s="128" t="inlineStr">
        <is>
          <t>3.6</t>
        </is>
      </c>
      <c r="E23" s="129" t="inlineStr">
        <is>
          <t>Fava beans</t>
        </is>
      </c>
      <c r="F23" s="129" t="inlineStr">
        <is>
          <t>Fève</t>
        </is>
      </c>
    </row>
    <row r="24" ht="16" customHeight="1">
      <c r="B24" s="124" t="n"/>
      <c r="C24" s="9" t="n"/>
      <c r="D24" s="128" t="inlineStr">
        <is>
          <t>3.7</t>
        </is>
      </c>
      <c r="E24" s="129" t="inlineStr">
        <is>
          <t>Broad beans</t>
        </is>
      </c>
      <c r="F24" s="129" t="inlineStr">
        <is>
          <t>Fève large</t>
        </is>
      </c>
    </row>
    <row r="25" ht="16" customHeight="1">
      <c r="B25" s="124" t="n"/>
      <c r="C25" s="165" t="n"/>
      <c r="D25" s="128" t="inlineStr">
        <is>
          <t>3.99</t>
        </is>
      </c>
      <c r="E25" s="130" t="inlineStr">
        <is>
          <t>Other pulses</t>
        </is>
      </c>
      <c r="F25" s="130" t="inlineStr">
        <is>
          <t>Autres légumineuses</t>
        </is>
      </c>
    </row>
    <row r="26" ht="16" customHeight="1">
      <c r="B26" s="124" t="n"/>
      <c r="C26" s="9" t="n"/>
      <c r="D26" s="128" t="inlineStr">
        <is>
          <t>4.1</t>
        </is>
      </c>
      <c r="E26" s="129" t="inlineStr">
        <is>
          <t>Cabbage</t>
        </is>
      </c>
      <c r="F26" s="129" t="inlineStr">
        <is>
          <t>Choux</t>
        </is>
      </c>
    </row>
    <row r="27" ht="16" customHeight="1">
      <c r="B27" s="124" t="n"/>
      <c r="C27" s="9" t="n"/>
      <c r="D27" s="128" t="inlineStr">
        <is>
          <t>4.2</t>
        </is>
      </c>
      <c r="E27" s="129" t="inlineStr">
        <is>
          <t>Lettuce</t>
        </is>
      </c>
      <c r="F27" s="129" t="inlineStr">
        <is>
          <t>Laitue</t>
        </is>
      </c>
    </row>
    <row r="28" ht="16" customHeight="1">
      <c r="B28" s="124" t="n"/>
      <c r="C28" s="9" t="n"/>
      <c r="D28" s="128" t="inlineStr">
        <is>
          <t>4.3</t>
        </is>
      </c>
      <c r="E28" s="129" t="inlineStr">
        <is>
          <t>Spinach-Amaranth</t>
        </is>
      </c>
      <c r="F28" s="129" t="inlineStr">
        <is>
          <t>Epinards-Amaranthe</t>
        </is>
      </c>
    </row>
    <row r="29" ht="16" customHeight="1">
      <c r="B29" s="124" t="n"/>
      <c r="C29" s="9" t="n"/>
      <c r="D29" s="128" t="inlineStr">
        <is>
          <t>4.4</t>
        </is>
      </c>
      <c r="E29" s="129" t="inlineStr">
        <is>
          <t>Cassava leaves</t>
        </is>
      </c>
      <c r="F29" s="129" t="inlineStr">
        <is>
          <t>Feuilles de manioc</t>
        </is>
      </c>
    </row>
    <row r="30" ht="16" customHeight="1">
      <c r="B30" s="124" t="n"/>
      <c r="C30" s="9" t="n"/>
      <c r="D30" s="128" t="inlineStr">
        <is>
          <t>4.5</t>
        </is>
      </c>
      <c r="E30" s="129" t="inlineStr">
        <is>
          <t>Potatoe leaves</t>
        </is>
      </c>
      <c r="F30" s="129" t="inlineStr">
        <is>
          <t>Feuilles de pomme de terre</t>
        </is>
      </c>
    </row>
    <row r="31" ht="16" customHeight="1">
      <c r="B31" s="124" t="n"/>
      <c r="C31" s="9" t="n"/>
      <c r="D31" s="128" t="inlineStr">
        <is>
          <t>4.6</t>
        </is>
      </c>
      <c r="E31" s="129" t="inlineStr">
        <is>
          <t>Moringa</t>
        </is>
      </c>
      <c r="F31" s="129" t="inlineStr">
        <is>
          <t>Moringa</t>
        </is>
      </c>
    </row>
    <row r="32" ht="16" customHeight="1">
      <c r="B32" s="124" t="n"/>
      <c r="C32" s="9" t="n"/>
      <c r="D32" s="128" t="inlineStr">
        <is>
          <t>4.7</t>
        </is>
      </c>
      <c r="E32" s="129" t="inlineStr">
        <is>
          <t>Sorrel Hibiscus / Rosselle</t>
        </is>
      </c>
      <c r="F32" s="129" t="inlineStr">
        <is>
          <t>Oseille Hibiscus / Rosselle</t>
        </is>
      </c>
    </row>
    <row r="33" ht="32.15" customHeight="1">
      <c r="B33" s="124" t="n"/>
      <c r="C33" s="9" t="n"/>
      <c r="D33" s="128" t="inlineStr">
        <is>
          <t>4.9</t>
        </is>
      </c>
      <c r="E33" s="129" t="inlineStr">
        <is>
          <t>Green salad herbs (thyme, parsley, mint, rocca, other)</t>
        </is>
      </c>
      <c r="F33" s="129" t="inlineStr">
        <is>
          <t>Herbes aromatiques (thym, persil, menthe, rocca, autres)</t>
        </is>
      </c>
    </row>
    <row r="34" ht="16" customHeight="1">
      <c r="B34" s="124" t="n"/>
      <c r="C34" s="9" t="n"/>
      <c r="D34" s="128" t="inlineStr">
        <is>
          <t>4.101</t>
        </is>
      </c>
      <c r="E34" s="129" t="inlineStr">
        <is>
          <t>Cauliflower</t>
        </is>
      </c>
      <c r="F34" s="129" t="inlineStr">
        <is>
          <t>Choux-fleur</t>
        </is>
      </c>
    </row>
    <row r="35" ht="16" customHeight="1">
      <c r="B35" s="124" t="n"/>
      <c r="C35" s="165" t="n"/>
      <c r="D35" s="128" t="inlineStr">
        <is>
          <t>4.99</t>
        </is>
      </c>
      <c r="E35" s="130" t="inlineStr">
        <is>
          <t>Other leafy vegetables</t>
        </is>
      </c>
      <c r="F35" s="130" t="inlineStr">
        <is>
          <t>Autres légumes à feuilles</t>
        </is>
      </c>
    </row>
    <row r="36" ht="16" customHeight="1">
      <c r="B36" s="124" t="n"/>
      <c r="C36" s="9" t="inlineStr">
        <is>
          <t>x</t>
        </is>
      </c>
      <c r="D36" s="128" t="inlineStr">
        <is>
          <t>5.1</t>
        </is>
      </c>
      <c r="E36" s="129" t="inlineStr">
        <is>
          <t>Tomatoes</t>
        </is>
      </c>
      <c r="F36" s="129" t="inlineStr">
        <is>
          <t>Tomates</t>
        </is>
      </c>
    </row>
    <row r="37" ht="16" customHeight="1">
      <c r="B37" s="124" t="n"/>
      <c r="C37" s="9" t="n"/>
      <c r="D37" s="128" t="inlineStr">
        <is>
          <t>5.2</t>
        </is>
      </c>
      <c r="E37" s="129" t="inlineStr">
        <is>
          <t>Cucumber</t>
        </is>
      </c>
      <c r="F37" s="129" t="inlineStr">
        <is>
          <t>Concombre</t>
        </is>
      </c>
    </row>
    <row r="38" ht="16" customHeight="1">
      <c r="B38" s="124" t="n"/>
      <c r="C38" s="9" t="n"/>
      <c r="D38" s="128" t="inlineStr">
        <is>
          <t>5.3</t>
        </is>
      </c>
      <c r="E38" s="129" t="inlineStr">
        <is>
          <t>Pumpkin</t>
        </is>
      </c>
      <c r="F38" s="129" t="inlineStr">
        <is>
          <t>Citrouille</t>
        </is>
      </c>
    </row>
    <row r="39" ht="16" customHeight="1">
      <c r="B39" s="124" t="n"/>
      <c r="C39" s="9" t="inlineStr">
        <is>
          <t>x</t>
        </is>
      </c>
      <c r="D39" s="128" t="inlineStr">
        <is>
          <t>5.4</t>
        </is>
      </c>
      <c r="E39" s="129" t="inlineStr">
        <is>
          <t>Eggplant/aubergine</t>
        </is>
      </c>
      <c r="F39" s="129" t="inlineStr">
        <is>
          <t>Aubergines/aubergines</t>
        </is>
      </c>
    </row>
    <row r="40" ht="16" customHeight="1">
      <c r="B40" s="124" t="n"/>
      <c r="C40" s="9" t="n"/>
      <c r="D40" s="128" t="inlineStr">
        <is>
          <t>5.5</t>
        </is>
      </c>
      <c r="E40" s="129" t="inlineStr">
        <is>
          <t>Zucchini</t>
        </is>
      </c>
      <c r="F40" s="129" t="inlineStr">
        <is>
          <t>Courgettes</t>
        </is>
      </c>
    </row>
    <row r="41" ht="16" customHeight="1">
      <c r="B41" s="124" t="n"/>
      <c r="C41" s="9" t="inlineStr">
        <is>
          <t>x</t>
        </is>
      </c>
      <c r="D41" s="128" t="inlineStr">
        <is>
          <t>5.6</t>
        </is>
      </c>
      <c r="E41" s="129" t="inlineStr">
        <is>
          <t>Okra</t>
        </is>
      </c>
      <c r="F41" s="129" t="inlineStr">
        <is>
          <t>Okra</t>
        </is>
      </c>
    </row>
    <row r="42" ht="16" customHeight="1">
      <c r="B42" s="124" t="n"/>
      <c r="C42" s="9" t="n"/>
      <c r="D42" s="128" t="inlineStr">
        <is>
          <t>5.7</t>
        </is>
      </c>
      <c r="E42" s="129" t="inlineStr">
        <is>
          <t>Bell pepper</t>
        </is>
      </c>
      <c r="F42" s="129" t="inlineStr">
        <is>
          <t>Poivron</t>
        </is>
      </c>
    </row>
    <row r="43" ht="16" customHeight="1">
      <c r="B43" s="124" t="n"/>
      <c r="C43" s="9" t="inlineStr">
        <is>
          <t>x</t>
        </is>
      </c>
      <c r="D43" s="128" t="inlineStr">
        <is>
          <t>5.8</t>
        </is>
      </c>
      <c r="E43" s="129" t="inlineStr">
        <is>
          <t>Onions</t>
        </is>
      </c>
      <c r="F43" s="129" t="inlineStr">
        <is>
          <t>Oignons</t>
        </is>
      </c>
    </row>
    <row r="44" ht="16" customHeight="1">
      <c r="B44" s="124" t="n"/>
      <c r="C44" s="9" t="n"/>
      <c r="D44" s="128" t="inlineStr">
        <is>
          <t>5.9</t>
        </is>
      </c>
      <c r="E44" s="129" t="inlineStr">
        <is>
          <t>Haricot</t>
        </is>
      </c>
      <c r="F44" s="129" t="inlineStr">
        <is>
          <t xml:space="preserve">Haricot </t>
        </is>
      </c>
    </row>
    <row r="45" ht="16" customHeight="1">
      <c r="B45" s="124" t="n"/>
      <c r="C45" s="9" t="n"/>
      <c r="D45" s="128" t="inlineStr">
        <is>
          <t>5.101</t>
        </is>
      </c>
      <c r="E45" s="129" t="inlineStr">
        <is>
          <t>Green peas</t>
        </is>
      </c>
      <c r="F45" s="129" t="inlineStr">
        <is>
          <t>Petit pois</t>
        </is>
      </c>
    </row>
    <row r="46" ht="16" customHeight="1">
      <c r="B46" s="124" t="n"/>
      <c r="C46" s="9" t="n"/>
      <c r="D46" s="128" t="inlineStr">
        <is>
          <t>5.11</t>
        </is>
      </c>
      <c r="E46" s="129" t="inlineStr">
        <is>
          <t>Fava beans green</t>
        </is>
      </c>
      <c r="F46" s="129" t="inlineStr">
        <is>
          <t>Pois fève</t>
        </is>
      </c>
    </row>
    <row r="47" ht="16" customHeight="1">
      <c r="B47" s="124" t="n"/>
      <c r="C47" s="165" t="n"/>
      <c r="D47" s="128" t="inlineStr">
        <is>
          <t>5.99</t>
        </is>
      </c>
      <c r="E47" s="130" t="inlineStr">
        <is>
          <t>Other non leafy vegs</t>
        </is>
      </c>
      <c r="F47" s="130" t="inlineStr">
        <is>
          <t>Autres légumes non feuillus</t>
        </is>
      </c>
    </row>
    <row r="48" ht="16" customHeight="1">
      <c r="B48" s="124" t="n"/>
      <c r="C48" s="9" t="n"/>
      <c r="D48" s="128" t="inlineStr">
        <is>
          <t>6.1</t>
        </is>
      </c>
      <c r="E48" s="129" t="inlineStr">
        <is>
          <t>Orange</t>
        </is>
      </c>
      <c r="F48" s="129" t="inlineStr">
        <is>
          <t>Orange</t>
        </is>
      </c>
    </row>
    <row r="49" ht="16" customHeight="1">
      <c r="B49" s="124" t="n"/>
      <c r="C49" s="9" t="n"/>
      <c r="D49" s="128" t="inlineStr">
        <is>
          <t>6.2</t>
        </is>
      </c>
      <c r="E49" s="129" t="inlineStr">
        <is>
          <t>Lemon</t>
        </is>
      </c>
      <c r="F49" s="129" t="inlineStr">
        <is>
          <t>Citron</t>
        </is>
      </c>
    </row>
    <row r="50" ht="16" customHeight="1">
      <c r="B50" s="124" t="n"/>
      <c r="C50" s="9" t="n"/>
      <c r="D50" s="128" t="inlineStr">
        <is>
          <t>6.3</t>
        </is>
      </c>
      <c r="E50" s="129" t="inlineStr">
        <is>
          <t>Grapefruit</t>
        </is>
      </c>
      <c r="F50" s="129" t="inlineStr">
        <is>
          <t>Pamplemousse</t>
        </is>
      </c>
    </row>
    <row r="51" ht="16" customHeight="1">
      <c r="B51" s="124" t="n"/>
      <c r="C51" s="9" t="n"/>
      <c r="D51" s="128" t="inlineStr">
        <is>
          <t>6.4</t>
        </is>
      </c>
      <c r="E51" s="129" t="inlineStr">
        <is>
          <t>Mandarins/clementines</t>
        </is>
      </c>
      <c r="F51" s="129" t="inlineStr">
        <is>
          <t>Tangerine/clémentine</t>
        </is>
      </c>
    </row>
    <row r="52" ht="16" customHeight="1">
      <c r="B52" s="124" t="n"/>
      <c r="C52" s="165" t="n"/>
      <c r="D52" s="128" t="inlineStr">
        <is>
          <t>6.99</t>
        </is>
      </c>
      <c r="E52" s="130" t="inlineStr">
        <is>
          <t>Other citrus fruit</t>
        </is>
      </c>
      <c r="F52" s="130" t="inlineStr">
        <is>
          <t>Autres agrumes</t>
        </is>
      </c>
    </row>
    <row r="53" ht="16" customHeight="1">
      <c r="B53" s="124" t="n"/>
      <c r="C53" s="9" t="n"/>
      <c r="D53" s="128" t="inlineStr">
        <is>
          <t>7.1</t>
        </is>
      </c>
      <c r="E53" s="129" t="inlineStr">
        <is>
          <t>Sweet Banana</t>
        </is>
      </c>
      <c r="F53" s="129" t="inlineStr">
        <is>
          <t>Banane douce</t>
        </is>
      </c>
    </row>
    <row r="54" ht="16" customHeight="1">
      <c r="B54" s="124" t="n"/>
      <c r="C54" s="9" t="n"/>
      <c r="D54" s="128" t="inlineStr">
        <is>
          <t>7.2</t>
        </is>
      </c>
      <c r="E54" s="129" t="inlineStr">
        <is>
          <t>Plantains</t>
        </is>
      </c>
      <c r="F54" s="129" t="inlineStr">
        <is>
          <t>Banane plantain</t>
        </is>
      </c>
    </row>
    <row r="55" ht="16" customHeight="1">
      <c r="B55" s="124" t="n"/>
      <c r="C55" s="9" t="n"/>
      <c r="D55" s="128" t="inlineStr">
        <is>
          <t>7.3</t>
        </is>
      </c>
      <c r="E55" s="129" t="inlineStr">
        <is>
          <t>Papaya</t>
        </is>
      </c>
      <c r="F55" s="129" t="inlineStr">
        <is>
          <t>Papaye</t>
        </is>
      </c>
    </row>
    <row r="56" ht="16" customHeight="1">
      <c r="B56" s="124" t="n"/>
      <c r="C56" s="9" t="n"/>
      <c r="D56" s="128" t="inlineStr">
        <is>
          <t>7.4</t>
        </is>
      </c>
      <c r="E56" s="129" t="inlineStr">
        <is>
          <t>Mango</t>
        </is>
      </c>
      <c r="F56" s="129" t="inlineStr">
        <is>
          <t>Mangue</t>
        </is>
      </c>
    </row>
    <row r="57" ht="16" customHeight="1">
      <c r="B57" s="124" t="n"/>
      <c r="C57" s="9" t="n"/>
      <c r="D57" s="128" t="inlineStr">
        <is>
          <t>7.5</t>
        </is>
      </c>
      <c r="E57" s="129" t="inlineStr">
        <is>
          <t>Guava</t>
        </is>
      </c>
      <c r="F57" s="129" t="inlineStr">
        <is>
          <t>Goyave</t>
        </is>
      </c>
    </row>
    <row r="58" ht="16" customHeight="1">
      <c r="B58" s="124" t="n"/>
      <c r="C58" s="9" t="n"/>
      <c r="D58" s="128" t="inlineStr">
        <is>
          <t>7.6</t>
        </is>
      </c>
      <c r="E58" s="129" t="inlineStr">
        <is>
          <t>Pineapple</t>
        </is>
      </c>
      <c r="F58" s="129" t="inlineStr">
        <is>
          <t>Ananas</t>
        </is>
      </c>
    </row>
    <row r="59" ht="16" customHeight="1">
      <c r="B59" s="124" t="n"/>
      <c r="C59" s="9" t="n"/>
      <c r="D59" s="128" t="inlineStr">
        <is>
          <t>7.7</t>
        </is>
      </c>
      <c r="E59" s="129" t="inlineStr">
        <is>
          <t>Avocado</t>
        </is>
      </c>
      <c r="F59" s="129" t="inlineStr">
        <is>
          <t>Avocat</t>
        </is>
      </c>
    </row>
    <row r="60" ht="16" customHeight="1">
      <c r="B60" s="124" t="n"/>
      <c r="C60" s="9" t="inlineStr">
        <is>
          <t>x</t>
        </is>
      </c>
      <c r="D60" s="128" t="inlineStr">
        <is>
          <t>7.8</t>
        </is>
      </c>
      <c r="E60" s="129" t="inlineStr">
        <is>
          <t>Water Melon</t>
        </is>
      </c>
      <c r="F60" s="129" t="inlineStr">
        <is>
          <t>Pastèques</t>
        </is>
      </c>
    </row>
    <row r="61" ht="16" customHeight="1">
      <c r="B61" s="124" t="n"/>
      <c r="C61" s="9" t="n"/>
      <c r="D61" s="128" t="inlineStr">
        <is>
          <t>7.9</t>
        </is>
      </c>
      <c r="E61" s="129" t="inlineStr">
        <is>
          <t>Dates</t>
        </is>
      </c>
      <c r="F61" s="129" t="inlineStr">
        <is>
          <t>Dattes</t>
        </is>
      </c>
    </row>
    <row r="62" ht="16" customHeight="1">
      <c r="B62" s="124" t="n"/>
      <c r="C62" s="9" t="n"/>
      <c r="D62" s="128" t="inlineStr">
        <is>
          <t>7.101</t>
        </is>
      </c>
      <c r="E62" s="129" t="inlineStr">
        <is>
          <t>Figs</t>
        </is>
      </c>
      <c r="F62" s="129" t="inlineStr">
        <is>
          <t>Figues</t>
        </is>
      </c>
    </row>
    <row r="63" ht="16" customHeight="1">
      <c r="B63" s="124" t="n"/>
      <c r="C63" s="9" t="n"/>
      <c r="D63" s="128" t="inlineStr">
        <is>
          <t>7.11</t>
        </is>
      </c>
      <c r="E63" s="129" t="inlineStr">
        <is>
          <t>Grapes</t>
        </is>
      </c>
      <c r="F63" s="129" t="inlineStr">
        <is>
          <t>Raisins</t>
        </is>
      </c>
    </row>
    <row r="64" ht="16" customHeight="1">
      <c r="B64" s="124" t="n"/>
      <c r="C64" s="9" t="n"/>
      <c r="D64" s="128" t="inlineStr">
        <is>
          <t>7.12</t>
        </is>
      </c>
      <c r="E64" s="129" t="inlineStr">
        <is>
          <t>Olives</t>
        </is>
      </c>
      <c r="F64" s="129" t="inlineStr">
        <is>
          <t>Olives</t>
        </is>
      </c>
    </row>
    <row r="65" ht="16" customHeight="1">
      <c r="B65" s="124" t="n"/>
      <c r="C65" s="9" t="n"/>
      <c r="D65" s="128" t="inlineStr">
        <is>
          <t>7.13</t>
        </is>
      </c>
      <c r="E65" s="129" t="inlineStr">
        <is>
          <t>Apple</t>
        </is>
      </c>
      <c r="F65" s="129" t="inlineStr">
        <is>
          <t>Pomme</t>
        </is>
      </c>
    </row>
    <row r="66" ht="16" customHeight="1">
      <c r="B66" s="124" t="n"/>
      <c r="C66" s="9" t="n"/>
      <c r="D66" s="128" t="inlineStr">
        <is>
          <t>7.14</t>
        </is>
      </c>
      <c r="E66" s="129" t="inlineStr">
        <is>
          <t>Apricot</t>
        </is>
      </c>
      <c r="F66" s="129" t="inlineStr">
        <is>
          <t>Abricot</t>
        </is>
      </c>
    </row>
    <row r="67" ht="16" customHeight="1">
      <c r="B67" s="124" t="n"/>
      <c r="C67" s="9" t="n"/>
      <c r="D67" s="128" t="inlineStr">
        <is>
          <t>7.15</t>
        </is>
      </c>
      <c r="E67" s="129" t="inlineStr">
        <is>
          <t>Cherries</t>
        </is>
      </c>
      <c r="F67" s="129" t="inlineStr">
        <is>
          <t>Cerises</t>
        </is>
      </c>
    </row>
    <row r="68" ht="16" customHeight="1">
      <c r="B68" s="124" t="n"/>
      <c r="C68" s="9" t="n"/>
      <c r="D68" s="128" t="inlineStr">
        <is>
          <t>7.16</t>
        </is>
      </c>
      <c r="E68" s="129" t="inlineStr">
        <is>
          <t>Peach/nectarine</t>
        </is>
      </c>
      <c r="F68" s="129" t="inlineStr">
        <is>
          <t>Pêche/nectarine</t>
        </is>
      </c>
    </row>
    <row r="69" ht="16" customHeight="1">
      <c r="B69" s="124" t="n"/>
      <c r="C69" s="9" t="n"/>
      <c r="D69" s="128" t="inlineStr">
        <is>
          <t>7.17</t>
        </is>
      </c>
      <c r="E69" s="129" t="inlineStr">
        <is>
          <t>Strawberries</t>
        </is>
      </c>
      <c r="F69" s="129" t="inlineStr">
        <is>
          <t>Fraises</t>
        </is>
      </c>
    </row>
    <row r="70" ht="16" customHeight="1">
      <c r="B70" s="124" t="n"/>
      <c r="C70" s="9" t="inlineStr">
        <is>
          <t>x</t>
        </is>
      </c>
      <c r="D70" s="128" t="inlineStr">
        <is>
          <t>7.18</t>
        </is>
      </c>
      <c r="E70" s="129" t="inlineStr">
        <is>
          <t>Melon (Cantaloupe)</t>
        </is>
      </c>
      <c r="F70" s="129" t="inlineStr">
        <is>
          <t>Melon</t>
        </is>
      </c>
    </row>
    <row r="71" ht="16" customHeight="1">
      <c r="B71" s="124" t="n"/>
      <c r="C71" s="165" t="n"/>
      <c r="D71" s="128" t="inlineStr">
        <is>
          <t>7.99</t>
        </is>
      </c>
      <c r="E71" s="130" t="inlineStr">
        <is>
          <t>Other fruit</t>
        </is>
      </c>
      <c r="F71" s="130" t="inlineStr">
        <is>
          <t>Autres fruits</t>
        </is>
      </c>
    </row>
    <row r="72" ht="16" customHeight="1">
      <c r="B72" s="124" t="n"/>
      <c r="C72" s="9" t="n"/>
      <c r="D72" s="128" t="inlineStr">
        <is>
          <t>8.1</t>
        </is>
      </c>
      <c r="E72" s="129" t="inlineStr">
        <is>
          <t>Coconuts</t>
        </is>
      </c>
      <c r="F72" s="129" t="inlineStr">
        <is>
          <t>Noix de coco</t>
        </is>
      </c>
    </row>
    <row r="73" ht="16" customHeight="1">
      <c r="B73" s="124" t="n"/>
      <c r="C73" s="9" t="n"/>
      <c r="D73" s="128" t="inlineStr">
        <is>
          <t>8.2</t>
        </is>
      </c>
      <c r="E73" s="129" t="inlineStr">
        <is>
          <t>Groundnut/peanut</t>
        </is>
      </c>
      <c r="F73" s="129" t="inlineStr">
        <is>
          <t>Arachide / cacahuète</t>
        </is>
      </c>
    </row>
    <row r="74" ht="16" customHeight="1">
      <c r="B74" s="124" t="n"/>
      <c r="C74" s="9" t="n"/>
      <c r="D74" s="128" t="inlineStr">
        <is>
          <t>8.3</t>
        </is>
      </c>
      <c r="E74" s="129" t="inlineStr">
        <is>
          <t>Cashew Nut</t>
        </is>
      </c>
      <c r="F74" s="129" t="inlineStr">
        <is>
          <t>Noix de cajou</t>
        </is>
      </c>
    </row>
    <row r="75" ht="16" customHeight="1">
      <c r="B75" s="124" t="n"/>
      <c r="C75" s="9" t="n"/>
      <c r="D75" s="128" t="inlineStr">
        <is>
          <t>8.4</t>
        </is>
      </c>
      <c r="E75" s="129" t="inlineStr">
        <is>
          <t>Kola Nut</t>
        </is>
      </c>
      <c r="F75" s="129" t="inlineStr">
        <is>
          <t>Noix de kola</t>
        </is>
      </c>
    </row>
    <row r="76" ht="16" customHeight="1">
      <c r="B76" s="124" t="n"/>
      <c r="C76" s="9" t="n"/>
      <c r="D76" s="128" t="inlineStr">
        <is>
          <t>8.5</t>
        </is>
      </c>
      <c r="E76" s="129" t="inlineStr">
        <is>
          <t>Sesame</t>
        </is>
      </c>
      <c r="F76" s="129" t="inlineStr">
        <is>
          <t>Sésame</t>
        </is>
      </c>
    </row>
    <row r="77" ht="16" customHeight="1">
      <c r="B77" s="124" t="n"/>
      <c r="C77" s="9" t="n"/>
      <c r="D77" s="128" t="inlineStr">
        <is>
          <t>8.6</t>
        </is>
      </c>
      <c r="E77" s="129" t="inlineStr">
        <is>
          <t>Bambara nut</t>
        </is>
      </c>
      <c r="F77" s="129" t="inlineStr">
        <is>
          <t>Noix de bambara</t>
        </is>
      </c>
    </row>
    <row r="78" ht="16" customHeight="1">
      <c r="B78" s="124" t="n"/>
      <c r="C78" s="9" t="n"/>
      <c r="D78" s="128" t="inlineStr">
        <is>
          <t>8.7</t>
        </is>
      </c>
      <c r="E78" s="129" t="inlineStr">
        <is>
          <t>Almond</t>
        </is>
      </c>
      <c r="F78" s="129" t="inlineStr">
        <is>
          <t>Amande</t>
        </is>
      </c>
    </row>
    <row r="79" ht="16" customHeight="1">
      <c r="B79" s="124" t="n"/>
      <c r="C79" s="9" t="n"/>
      <c r="D79" s="128" t="inlineStr">
        <is>
          <t>8.8</t>
        </is>
      </c>
      <c r="E79" s="129" t="inlineStr">
        <is>
          <t>Walnut</t>
        </is>
      </c>
      <c r="F79" s="129" t="inlineStr">
        <is>
          <t>Noix</t>
        </is>
      </c>
    </row>
    <row r="80" ht="16" customHeight="1">
      <c r="B80" s="124" t="n"/>
      <c r="C80" s="165" t="n"/>
      <c r="D80" s="128" t="inlineStr">
        <is>
          <t>8.99</t>
        </is>
      </c>
      <c r="E80" s="130" t="inlineStr">
        <is>
          <t>Other nuts</t>
        </is>
      </c>
      <c r="F80" s="130" t="inlineStr">
        <is>
          <t>Autres fruits à coque</t>
        </is>
      </c>
    </row>
    <row r="81" ht="16" customHeight="1">
      <c r="B81" s="124" t="n"/>
      <c r="C81" s="9" t="n"/>
      <c r="D81" s="128" t="inlineStr">
        <is>
          <t>9.1</t>
        </is>
      </c>
      <c r="E81" s="129" t="inlineStr">
        <is>
          <t>Cocoa</t>
        </is>
      </c>
      <c r="F81" s="129" t="inlineStr">
        <is>
          <t>Cacao</t>
        </is>
      </c>
    </row>
    <row r="82" ht="16" customHeight="1">
      <c r="B82" s="124" t="n"/>
      <c r="C82" s="9" t="n"/>
      <c r="D82" s="128" t="inlineStr">
        <is>
          <t>9.2</t>
        </is>
      </c>
      <c r="E82" s="129" t="inlineStr">
        <is>
          <t>Coffee</t>
        </is>
      </c>
      <c r="F82" s="129" t="inlineStr">
        <is>
          <t>Café</t>
        </is>
      </c>
    </row>
    <row r="83" ht="16" customHeight="1">
      <c r="B83" s="124" t="n"/>
      <c r="C83" s="9" t="n"/>
      <c r="D83" s="128" t="inlineStr">
        <is>
          <t>9.3</t>
        </is>
      </c>
      <c r="E83" s="129" t="inlineStr">
        <is>
          <t>Tea</t>
        </is>
      </c>
      <c r="F83" s="129" t="inlineStr">
        <is>
          <t>Thé</t>
        </is>
      </c>
    </row>
    <row r="84" ht="16" customHeight="1">
      <c r="B84" s="124" t="n"/>
      <c r="C84" s="9" t="n"/>
      <c r="D84" s="128" t="inlineStr">
        <is>
          <t>9.4</t>
        </is>
      </c>
      <c r="E84" s="129" t="inlineStr">
        <is>
          <t>Sugarcane</t>
        </is>
      </c>
      <c r="F84" s="129" t="inlineStr">
        <is>
          <t>Canne à sucre</t>
        </is>
      </c>
    </row>
    <row r="85" ht="16" customHeight="1">
      <c r="B85" s="124" t="n"/>
      <c r="C85" s="9" t="n"/>
      <c r="D85" s="128" t="inlineStr">
        <is>
          <t>9.5</t>
        </is>
      </c>
      <c r="E85" s="129" t="inlineStr">
        <is>
          <t>Sunflower</t>
        </is>
      </c>
      <c r="F85" s="129" t="inlineStr">
        <is>
          <t>Tournesol</t>
        </is>
      </c>
    </row>
    <row r="86" ht="16" customHeight="1">
      <c r="B86" s="124" t="n"/>
      <c r="C86" s="165" t="n"/>
      <c r="D86" s="128" t="inlineStr">
        <is>
          <t>9.99</t>
        </is>
      </c>
      <c r="E86" s="130" t="inlineStr">
        <is>
          <t>Other food cash crop</t>
        </is>
      </c>
      <c r="F86" s="130" t="inlineStr">
        <is>
          <t>Autres cultures vivrières de rente</t>
        </is>
      </c>
    </row>
    <row r="87" ht="16" customHeight="1">
      <c r="B87" s="124" t="n"/>
      <c r="C87" s="9" t="n"/>
      <c r="D87" s="128" t="inlineStr">
        <is>
          <t>10.1</t>
        </is>
      </c>
      <c r="E87" s="129" t="inlineStr">
        <is>
          <t>Cotton</t>
        </is>
      </c>
      <c r="F87" s="129" t="inlineStr">
        <is>
          <t>Coton</t>
        </is>
      </c>
    </row>
    <row r="88" ht="16" customHeight="1">
      <c r="B88" s="124" t="n"/>
      <c r="C88" s="9" t="n"/>
      <c r="D88" s="128" t="inlineStr">
        <is>
          <t>10.2</t>
        </is>
      </c>
      <c r="E88" s="129" t="inlineStr">
        <is>
          <t>Rubber</t>
        </is>
      </c>
      <c r="F88" s="129" t="inlineStr">
        <is>
          <t>Caoutchouc</t>
        </is>
      </c>
    </row>
    <row r="89" ht="16" customHeight="1">
      <c r="B89" s="124" t="n"/>
      <c r="C89" s="9" t="n"/>
      <c r="D89" s="128" t="inlineStr">
        <is>
          <t>10.3</t>
        </is>
      </c>
      <c r="E89" s="129" t="inlineStr">
        <is>
          <t>Jute</t>
        </is>
      </c>
      <c r="F89" s="129" t="inlineStr">
        <is>
          <t>Jute</t>
        </is>
      </c>
    </row>
    <row r="90" ht="16" customHeight="1">
      <c r="B90" s="124" t="n"/>
      <c r="C90" s="9" t="n"/>
      <c r="D90" s="128" t="inlineStr">
        <is>
          <t>10.4</t>
        </is>
      </c>
      <c r="E90" s="129" t="inlineStr">
        <is>
          <t>Fodder</t>
        </is>
      </c>
      <c r="F90" s="129" t="inlineStr">
        <is>
          <t>Fourrage</t>
        </is>
      </c>
    </row>
    <row r="91" ht="16" customHeight="1">
      <c r="B91" s="124" t="n"/>
      <c r="C91" s="9" t="n"/>
      <c r="D91" s="128" t="inlineStr">
        <is>
          <t>10.5</t>
        </is>
      </c>
      <c r="E91" s="129" t="inlineStr">
        <is>
          <t>Tobacco</t>
        </is>
      </c>
      <c r="F91" s="129" t="inlineStr">
        <is>
          <t>Tabac</t>
        </is>
      </c>
    </row>
    <row r="92" ht="16" customHeight="1">
      <c r="B92" s="124" t="n"/>
      <c r="C92" s="9" t="n"/>
      <c r="D92" s="128" t="inlineStr">
        <is>
          <t>10.6</t>
        </is>
      </c>
      <c r="E92" s="129" t="inlineStr">
        <is>
          <t>Qat</t>
        </is>
      </c>
      <c r="F92" s="129" t="inlineStr">
        <is>
          <t>Qat</t>
        </is>
      </c>
    </row>
    <row r="93" ht="16" customHeight="1">
      <c r="B93" s="124" t="n"/>
      <c r="C93" s="165" t="n"/>
      <c r="D93" s="128" t="inlineStr">
        <is>
          <t>10.99</t>
        </is>
      </c>
      <c r="E93" s="130" t="inlineStr">
        <is>
          <t>Other non-food cash crop</t>
        </is>
      </c>
      <c r="F93" s="130" t="inlineStr">
        <is>
          <t>Autre culture de rente non alimentaire</t>
        </is>
      </c>
    </row>
    <row r="94">
      <c r="C94" s="131" t="n"/>
      <c r="D94" s="132" t="n"/>
      <c r="E94" s="133" t="n"/>
      <c r="F94" s="133" t="n"/>
    </row>
  </sheetData>
  <sheetProtection selectLockedCells="1" selectUnlockedCells="0" algorithmName="SHA-512" sheet="1" objects="0" insertRows="1" insertHyperlinks="1" autoFilter="1" scenarios="0" formatColumns="1" deleteColumns="1" insertColumns="1" pivotTables="1" deleteRows="1" formatCells="1" saltValue="zIa1DbncfoK4kglAJbaz6w==" formatRows="1" sort="1" spinCount="100000" hashValue="9CxwLElGZtKAlxSXy+JOoxltvRE575WKEaFicYwiSoIrTAI8hCc6tc6KMq/UKZoyI2fB63JmbCY0jzrzRG3PvA=="/>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zoomScale="80" zoomScaleNormal="80" workbookViewId="0">
      <selection activeCell="E5" sqref="E5"/>
    </sheetView>
  </sheetViews>
  <sheetFormatPr baseColWidth="8" defaultColWidth="10.81640625" defaultRowHeight="15.5"/>
  <cols>
    <col width="10.81640625" customWidth="1" style="19" min="1" max="1"/>
    <col width="8.81640625" customWidth="1" style="19" min="2" max="2"/>
    <col width="27.7265625" customWidth="1" style="19" min="3" max="3"/>
    <col width="20.81640625" customWidth="1" style="19" min="4" max="4"/>
    <col width="46.453125" customWidth="1" style="33" min="5" max="5"/>
    <col width="20.81640625" customWidth="1" style="19" min="6" max="6"/>
    <col width="10.81640625" customWidth="1" style="19" min="7" max="7"/>
    <col width="10.81640625" customWidth="1" style="19" min="8" max="16384"/>
  </cols>
  <sheetData>
    <row r="1" ht="17.15" customHeight="1" thickBot="1">
      <c r="A1" s="287" t="n"/>
      <c r="B1" s="287" t="n"/>
      <c r="C1" s="288" t="n"/>
      <c r="D1" s="288" t="n"/>
      <c r="E1" s="289" t="n"/>
      <c r="F1" s="288" t="n"/>
      <c r="G1" s="287" t="n"/>
      <c r="H1" s="287" t="n"/>
    </row>
    <row r="2" ht="17.15" customFormat="1" customHeight="1" s="33" thickBot="1">
      <c r="A2" s="290" t="n"/>
      <c r="B2" s="291" t="n"/>
      <c r="C2" s="49" t="inlineStr">
        <is>
          <t xml:space="preserve">Original </t>
        </is>
      </c>
      <c r="D2" s="194" t="inlineStr">
        <is>
          <t>Replacement</t>
        </is>
      </c>
      <c r="E2" s="31" t="inlineStr">
        <is>
          <t>Comment (EN)</t>
        </is>
      </c>
      <c r="F2" s="50" t="inlineStr">
        <is>
          <t>Example(EN)</t>
        </is>
      </c>
      <c r="G2" s="292" t="n"/>
      <c r="H2" s="293" t="n"/>
    </row>
    <row r="3" ht="62.5" customHeight="1">
      <c r="A3" s="294" t="n"/>
      <c r="B3" s="317" t="inlineStr">
        <is>
          <t>FOR CORE QUESTIONS    .
(Mandatory to fill out)    .</t>
        </is>
      </c>
      <c r="C3" s="39" t="inlineStr">
        <is>
          <t>phone number</t>
        </is>
      </c>
      <c r="D3" s="295" t="inlineStr">
        <is>
          <t>0700704549</t>
        </is>
      </c>
      <c r="E3" s="159" t="inlineStr">
        <is>
          <t>Type a phone number from your country in typical format, e.g. 77******* [please use exactly the number of characters that are found in a phone number].</t>
        </is>
      </c>
      <c r="F3" s="203" t="inlineStr">
        <is>
          <t>070******</t>
        </is>
      </c>
      <c r="G3" s="296" t="n"/>
      <c r="H3" s="287" t="n"/>
    </row>
    <row r="4" ht="31.75" customHeight="1">
      <c r="A4" s="294" t="n"/>
      <c r="B4" s="314" t="n"/>
      <c r="C4" s="24" t="inlineStr">
        <is>
          <t>age</t>
        </is>
      </c>
      <c r="D4" s="297" t="n">
        <v>18</v>
      </c>
      <c r="E4" s="160" t="inlineStr">
        <is>
          <t>Minimum age of respondent (recommend 18 years old)</t>
        </is>
      </c>
      <c r="F4" s="204" t="n">
        <v>18</v>
      </c>
      <c r="G4" s="296" t="n"/>
      <c r="H4" s="287" t="n"/>
    </row>
    <row r="5" ht="43.5" customHeight="1">
      <c r="A5" s="294" t="n"/>
      <c r="B5" s="314" t="n"/>
      <c r="C5" s="25" t="inlineStr">
        <is>
          <t>ADMIN1</t>
        </is>
      </c>
      <c r="D5" s="297" t="inlineStr">
        <is>
          <t>Province</t>
        </is>
      </c>
      <c r="E5" s="160" t="inlineStr">
        <is>
          <t>The first subdivision of the country, after national level; region; province; governorate; etc. Only one word should be inputted - Do not include spaces.</t>
        </is>
      </c>
      <c r="F5" s="205" t="inlineStr">
        <is>
          <t>region</t>
        </is>
      </c>
      <c r="G5" s="296" t="n"/>
      <c r="H5" s="287" t="n"/>
    </row>
    <row r="6" ht="48" customHeight="1">
      <c r="A6" s="294" t="n"/>
      <c r="B6" s="314" t="n"/>
      <c r="C6" s="26" t="inlineStr">
        <is>
          <t>ADMIN2</t>
        </is>
      </c>
      <c r="D6" s="297" t="inlineStr">
        <is>
          <t>District</t>
        </is>
      </c>
      <c r="E6" s="161" t="inlineStr">
        <is>
          <t>The second subdivision of the country; district; municipality; LGA; etc. Only one word should be inputted - Do not include spaces.</t>
        </is>
      </c>
      <c r="F6" s="201" t="inlineStr">
        <is>
          <t>district</t>
        </is>
      </c>
      <c r="G6" s="296" t="n"/>
      <c r="H6" s="287" t="n"/>
    </row>
    <row r="7" ht="80.15000000000001" customFormat="1" customHeight="1" s="180">
      <c r="A7" s="298" t="n"/>
      <c r="B7" s="314" t="n"/>
      <c r="C7" s="178" t="inlineStr">
        <is>
          <t>reference year</t>
        </is>
      </c>
      <c r="D7" s="299" t="inlineStr">
        <is>
          <t>last year</t>
        </is>
      </c>
      <c r="E7" s="179"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2" t="inlineStr">
        <is>
          <t>a normal year</t>
        </is>
      </c>
      <c r="G7" s="300" t="n"/>
      <c r="H7" s="301" t="n"/>
    </row>
    <row r="8" ht="80.15000000000001" customHeight="1">
      <c r="A8" s="294" t="n"/>
      <c r="B8" s="314" t="n"/>
      <c r="C8" s="26" t="inlineStr">
        <is>
          <t>season</t>
        </is>
      </c>
      <c r="D8" s="302" t="n"/>
      <c r="E8" s="162" t="inlineStr">
        <is>
          <t>Name the crop season(s) of interest if there are several cropping seasons in the country (e.g. Meher and Belg in Ethiopia, rainy season / flood-recession cropping / irrigated dry season in the Sahel). You can refer to the “last season” or “ongoing season".</t>
        </is>
      </c>
      <c r="F8" s="20" t="inlineStr">
        <is>
          <t>wet season</t>
        </is>
      </c>
      <c r="G8" s="296" t="n"/>
      <c r="H8" s="287" t="n"/>
    </row>
    <row r="9" ht="96" customHeight="1">
      <c r="A9" s="294" t="n"/>
      <c r="B9" s="314" t="n"/>
      <c r="C9" s="26" t="inlineStr">
        <is>
          <t>season phase</t>
        </is>
      </c>
      <c r="D9" s="299" t="inlineStr">
        <is>
          <t>Recently finished</t>
        </is>
      </c>
      <c r="E9" s="16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01" t="inlineStr">
        <is>
          <t>Harvesting</t>
        </is>
      </c>
      <c r="G9" s="296" t="n"/>
      <c r="H9" s="287" t="n"/>
    </row>
    <row r="10" ht="58" customFormat="1" customHeight="1" s="180">
      <c r="A10" s="298" t="n"/>
      <c r="B10" s="314" t="n"/>
      <c r="C10" s="186" t="inlineStr">
        <is>
          <t>local measurement unit</t>
        </is>
      </c>
      <c r="D10" s="274" t="inlineStr">
        <is>
          <t>Jerib</t>
        </is>
      </c>
      <c r="E10" s="22" t="inlineStr">
        <is>
          <t xml:space="preserve">Specify the local measurement unit for land size, other than acres, hectares, square meters and square feet. If no other unit of measurement is needed, keep this cell blank. </t>
        </is>
      </c>
      <c r="F10" s="185" t="inlineStr">
        <is>
          <t>Jeribs</t>
        </is>
      </c>
      <c r="G10" s="300" t="n"/>
      <c r="H10" s="301" t="n"/>
    </row>
    <row r="11" ht="50.25" customFormat="1" customHeight="1" s="180" thickBot="1">
      <c r="A11" s="298" t="n"/>
      <c r="B11" s="315" t="n"/>
      <c r="C11" s="187" t="inlineStr">
        <is>
          <t>local measurement unit conversion</t>
        </is>
      </c>
      <c r="D11" s="303" t="n">
        <v>5</v>
      </c>
      <c r="E11" s="21" t="inlineStr">
        <is>
          <t xml:space="preserve">Include the conversion of the local measurement unit to hectares. In other words, how many local measurement units are in 1 ha. </t>
        </is>
      </c>
      <c r="F11" s="200" t="n">
        <v>0.2</v>
      </c>
      <c r="G11" s="300" t="n"/>
      <c r="H11" s="301" t="n"/>
    </row>
    <row r="12" ht="32.15" customHeight="1">
      <c r="A12" s="294" t="n"/>
      <c r="B12" s="313" t="inlineStr">
        <is>
          <t>FOR OPTIONAL QUESTIONS    .
(Fill out if applicable)    .</t>
        </is>
      </c>
      <c r="C12" s="27" t="inlineStr">
        <is>
          <t>currency</t>
        </is>
      </c>
      <c r="D12" s="297" t="inlineStr">
        <is>
          <t>Afghani</t>
        </is>
      </c>
      <c r="E12" s="32" t="inlineStr">
        <is>
          <t xml:space="preserve">The name of the main currency used nationally; USD; Naira; Rial; Pesos; etc. </t>
        </is>
      </c>
      <c r="F12" s="198" t="inlineStr">
        <is>
          <t>Naira</t>
        </is>
      </c>
      <c r="G12" s="296" t="n"/>
      <c r="H12" s="287" t="n"/>
    </row>
    <row r="13" ht="96" customHeight="1">
      <c r="A13" s="294" t="n"/>
      <c r="B13" s="314" t="n"/>
      <c r="C13" s="117" t="inlineStr">
        <is>
          <t>MIN AMOUNT</t>
        </is>
      </c>
      <c r="D13" s="297" t="n">
        <v>500</v>
      </c>
      <c r="E13" s="118"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199" t="n">
        <v>5</v>
      </c>
      <c r="G13" s="304" t="n"/>
      <c r="H13" s="305" t="n"/>
    </row>
    <row r="14" ht="149.5" customHeight="1">
      <c r="A14" s="294" t="n"/>
      <c r="B14" s="314" t="n"/>
      <c r="C14" s="117" t="inlineStr">
        <is>
          <t>THRESHOLD</t>
        </is>
      </c>
      <c r="D14" s="297" t="n">
        <v>150000</v>
      </c>
      <c r="E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199" t="n">
        <v>1200000</v>
      </c>
      <c r="G14" s="296" t="n"/>
      <c r="H14" s="287" t="n"/>
    </row>
    <row r="15" ht="32.15" customHeight="1">
      <c r="A15" s="294" t="n"/>
      <c r="B15" s="314" t="n"/>
      <c r="C15" s="48" t="inlineStr">
        <is>
          <t>local vegetables</t>
        </is>
      </c>
      <c r="D15" s="302" t="inlineStr">
        <is>
          <t>Okra, eggplant, lettuce,beans, potatoes, spinach, tomatoes, onions</t>
        </is>
      </c>
      <c r="E15" s="22" t="inlineStr">
        <is>
          <t>Input some common local vegetables [to be used as examples in the food consumption score indicator].</t>
        </is>
      </c>
      <c r="F15" s="20" t="inlineStr">
        <is>
          <t>eggplants, zucchini, cauliflower</t>
        </is>
      </c>
      <c r="G15" s="296" t="n"/>
      <c r="H15" s="287" t="n"/>
    </row>
    <row r="16" ht="33" customHeight="1" thickBot="1">
      <c r="A16" s="294" t="n"/>
      <c r="B16" s="315" t="n"/>
      <c r="C16" s="116" t="inlineStr">
        <is>
          <t>local fruits</t>
        </is>
      </c>
      <c r="D16" s="306" t="inlineStr">
        <is>
          <t>Apple, grapes, pomegranate, watermelon, melon, almond</t>
        </is>
      </c>
      <c r="E16" s="23" t="inlineStr">
        <is>
          <t>Input some common local fruits [to be used as examples in the food consumption score indicator].</t>
        </is>
      </c>
      <c r="F16" s="119" t="inlineStr">
        <is>
          <t>apples, bananas, oranges</t>
        </is>
      </c>
      <c r="G16" s="296" t="n"/>
      <c r="H16" s="287" t="n"/>
    </row>
    <row r="17" ht="5.5" customFormat="1" customHeight="1" s="47" thickBot="1">
      <c r="A17" s="307" t="n"/>
      <c r="B17" s="308" t="n"/>
      <c r="C17" s="44" t="n"/>
      <c r="D17" s="309" t="n"/>
      <c r="E17" s="45" t="n"/>
      <c r="F17" s="46" t="n"/>
      <c r="G17" s="305" t="n"/>
    </row>
    <row r="18" ht="160" customHeight="1">
      <c r="A18" s="294" t="n"/>
      <c r="B18" s="316" t="inlineStr">
        <is>
          <t>FILL OUT FOR QUESTIONNAIRE DURATION ESTIMATION    .</t>
        </is>
      </c>
      <c r="C18" s="40" t="inlineStr">
        <is>
          <t>Expected percentage of respondents cultivating crops</t>
        </is>
      </c>
      <c r="D18" s="310" t="n">
        <v>0.6</v>
      </c>
      <c r="E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195" t="n">
        <v>0.91</v>
      </c>
      <c r="G18" s="296" t="n"/>
    </row>
    <row r="19" ht="160" customHeight="1">
      <c r="A19" s="294" t="n"/>
      <c r="B19" s="314" t="n"/>
      <c r="C19" s="28" t="inlineStr">
        <is>
          <t>Expected percentage of respondents raising livestock</t>
        </is>
      </c>
      <c r="D19" s="310" t="n">
        <v>0.14</v>
      </c>
      <c r="E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196" t="n">
        <v>0.91</v>
      </c>
      <c r="G19" s="296" t="n"/>
    </row>
    <row r="20" ht="141" customHeight="1" thickBot="1">
      <c r="A20" s="294" t="n"/>
      <c r="B20" s="315" t="n"/>
      <c r="C20" s="29" t="inlineStr">
        <is>
          <t>Expected percentage of respondents involved in fishery</t>
        </is>
      </c>
      <c r="D20" s="310" t="n">
        <v>0</v>
      </c>
      <c r="E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197" t="n">
        <v>0.05</v>
      </c>
      <c r="G20" s="296" t="n"/>
    </row>
    <row r="21">
      <c r="A21" s="287" t="n"/>
      <c r="B21" s="311" t="n"/>
      <c r="C21" s="311" t="n"/>
      <c r="D21" s="311" t="n"/>
      <c r="E21" s="312" t="n"/>
      <c r="F21" s="311" t="n"/>
      <c r="G21" s="287" t="n"/>
    </row>
  </sheetData>
  <sheetProtection selectLockedCells="0" selectUnlockedCells="0" algorithmName="SHA-512" sheet="1" objects="1" insertRows="1" insertHyperlinks="1" autoFilter="1" scenarios="1" formatColumns="1" deleteColumns="1" insertColumns="1" pivotTables="1" deleteRows="1" formatCells="1" saltValue="ZgiddWcUJf7RZq2dPq4NqA==" formatRows="1" sort="1" spinCount="100000" hashValue="EZu6+7FDvmGRv2vwFprFO+gddmrtHc4p7716UY/036jZWAnFTBP70uRkF7fqXOx/yU4Zf8Mnyhc3ILaup3bo9A=="/>
  <mergeCells count="3">
    <mergeCell ref="B3:B11"/>
    <mergeCell ref="B12:B16"/>
    <mergeCell ref="B18:B20"/>
  </mergeCells>
  <dataValidations count="1">
    <dataValidation sqref="D7" showDropDown="0" showInputMessage="1" showErrorMessage="1" allowBlank="1" type="list">
      <formula1>"last year,a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2026-05-08T08:39:32Z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MSIP_Label_46ec50b2-b191-4ad7-ba82-7deb0436e358_Enabled" fmtid="{D5CDD505-2E9C-101B-9397-08002B2CF9AE}" pid="2">
    <vt:lpwstr>true</vt:lpwstr>
  </property>
  <property name="MSIP_Label_46ec50b2-b191-4ad7-ba82-7deb0436e358_SetDate" fmtid="{D5CDD505-2E9C-101B-9397-08002B2CF9AE}" pid="3">
    <vt:lpwstr>2024-08-12T09:11:36Z</vt:lpwstr>
  </property>
  <property name="MSIP_Label_46ec50b2-b191-4ad7-ba82-7deb0436e358_Method" fmtid="{D5CDD505-2E9C-101B-9397-08002B2CF9AE}" pid="4">
    <vt:lpwstr>Privileged</vt:lpwstr>
  </property>
  <property name="MSIP_Label_46ec50b2-b191-4ad7-ba82-7deb0436e358_Name" fmtid="{D5CDD505-2E9C-101B-9397-08002B2CF9AE}" pid="5">
    <vt:lpwstr>Public - 1</vt:lpwstr>
  </property>
  <property name="MSIP_Label_46ec50b2-b191-4ad7-ba82-7deb0436e358_SiteId" fmtid="{D5CDD505-2E9C-101B-9397-08002B2CF9AE}" pid="6">
    <vt:lpwstr>de3cd3a3-3b37-48aa-974f-a35e5efb5851</vt:lpwstr>
  </property>
  <property name="MSIP_Label_46ec50b2-b191-4ad7-ba82-7deb0436e358_ActionId" fmtid="{D5CDD505-2E9C-101B-9397-08002B2CF9AE}" pid="7">
    <vt:lpwstr>5dc2d2bf-6349-4869-96cb-721bf3b03937</vt:lpwstr>
  </property>
  <property name="MSIP_Label_46ec50b2-b191-4ad7-ba82-7deb0436e358_ContentBits" fmtid="{D5CDD505-2E9C-101B-9397-08002B2CF9AE}" pid="8">
    <vt:lpwstr>0</vt:lpwstr>
  </property>
  <property name="ContentTypeId" fmtid="{D5CDD505-2E9C-101B-9397-08002B2CF9AE}" pid="9">
    <vt:lpwstr>0x010100AA0901C00BE8754680E1F02E394963D6</vt:lpwstr>
  </property>
  <property name="MediaServiceImageTags" fmtid="{D5CDD505-2E9C-101B-9397-08002B2CF9AE}" pid="10">
    <vt:lpwstr/>
  </property>
</Properties>
</file>