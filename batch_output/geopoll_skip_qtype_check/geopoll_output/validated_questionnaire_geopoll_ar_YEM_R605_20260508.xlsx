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 name="_xlnm._FilterDatabase" localSheetId="3" hidden="1">'Admin 2 info'!$A$1:$G$334</definedName>
  </definedNames>
  <calcPr calcId="191028" fullCalcOnLoad="1"/>
</workbook>
</file>

<file path=xl/styles.xml><?xml version="1.0" encoding="utf-8"?>
<styleSheet xmlns="http://schemas.openxmlformats.org/spreadsheetml/2006/main">
  <numFmts count="3">
    <numFmt numFmtId="164" formatCode="[$-1170000]B2dd/mm/yyyy;@"/>
    <numFmt numFmtId="165" formatCode="0.0"/>
    <numFmt numFmtId="166" formatCode="0.0%"/>
  </numFmts>
  <fonts count="22">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i val="1"/>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b val="1"/>
      <sz val="11"/>
      <scheme val="minor"/>
    </font>
    <font>
      <name val="Calibri"/>
      <family val="2"/>
      <i val="1"/>
      <sz val="10.5"/>
    </font>
    <font>
      <name val="Calibri"/>
      <family val="2"/>
      <color rgb="FF0070C0"/>
      <sz val="12"/>
      <scheme val="minor"/>
    </font>
    <font>
      <name val="Calibri"/>
      <family val="2"/>
      <b val="1"/>
      <color rgb="FF0070C0"/>
      <sz val="12"/>
      <scheme val="minor"/>
    </font>
    <font>
      <name val="Calibri"/>
      <family val="2"/>
      <color rgb="FFFF0000"/>
      <sz val="12"/>
      <scheme val="minor"/>
    </font>
    <font>
      <name val="Calibri"/>
      <family val="2"/>
      <b val="1"/>
      <sz val="11"/>
    </font>
    <font>
      <name val="Calibri"/>
      <family val="2"/>
      <sz val="12"/>
    </font>
  </fonts>
  <fills count="13">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rgb="FFFF0000"/>
        <bgColor indexed="64"/>
      </patternFill>
    </fill>
    <fill>
      <patternFill patternType="solid">
        <fgColor theme="0"/>
        <bgColor rgb="FF000000"/>
      </patternFill>
    </fill>
    <fill>
      <patternFill patternType="solid">
        <fgColor rgb="FFFFFF00"/>
        <bgColor indexed="64"/>
      </patternFill>
    </fill>
  </fills>
  <borders count="8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right/>
      <top style="medium">
        <color indexed="64"/>
      </top>
      <bottom/>
      <diagonal/>
    </border>
    <border>
      <left/>
      <right/>
      <top style="thin">
        <color auto="1"/>
      </top>
      <bottom/>
      <diagonal/>
    </border>
    <border>
      <left/>
      <right style="medium">
        <color indexed="64"/>
      </right>
      <top/>
      <bottom/>
      <diagonal/>
    </border>
    <border>
      <left style="thin">
        <color auto="1"/>
      </left>
      <right style="thin">
        <color auto="1"/>
      </right>
      <top/>
      <bottom/>
      <diagonal/>
    </border>
  </borders>
  <cellStyleXfs count="22">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19"/>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cellStyleXfs>
  <cellXfs count="653">
    <xf numFmtId="0" fontId="0" fillId="0" borderId="0" pivotButton="0" quotePrefix="0" xfId="0"/>
    <xf numFmtId="0" fontId="0" fillId="0" borderId="20" pivotButton="0" quotePrefix="0" xfId="0"/>
    <xf numFmtId="0" fontId="5" fillId="0" borderId="20" applyAlignment="1" pivotButton="0" quotePrefix="0" xfId="0">
      <alignment horizontal="center" vertical="center"/>
    </xf>
    <xf numFmtId="0" fontId="0" fillId="0" borderId="21" pivotButton="0" quotePrefix="0" xfId="0"/>
    <xf numFmtId="0" fontId="5" fillId="0" borderId="23" applyAlignment="1" pivotButton="0" quotePrefix="0" xfId="0">
      <alignment horizontal="center" vertical="center"/>
    </xf>
    <xf numFmtId="0" fontId="0" fillId="0" borderId="23" pivotButton="0" quotePrefix="0" xfId="0"/>
    <xf numFmtId="0" fontId="5" fillId="0" borderId="24" applyAlignment="1" pivotButton="0" quotePrefix="0" xfId="0">
      <alignment horizontal="center" vertical="center"/>
    </xf>
    <xf numFmtId="0" fontId="0" fillId="0" borderId="24" pivotButton="0" quotePrefix="0" xfId="0"/>
    <xf numFmtId="0" fontId="6" fillId="0" borderId="33"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34" applyAlignment="1" applyProtection="1" pivotButton="0" quotePrefix="0" xfId="5">
      <alignment horizontal="left" vertical="center" wrapText="1"/>
      <protection locked="0" hidden="0"/>
    </xf>
    <xf numFmtId="0" fontId="9" fillId="7" borderId="34" applyAlignment="1" applyProtection="1" pivotButton="0" quotePrefix="0" xfId="3">
      <alignment horizontal="left" vertical="center" wrapText="1"/>
      <protection locked="0" hidden="0"/>
    </xf>
    <xf numFmtId="0" fontId="6" fillId="0" borderId="35" applyAlignment="1" applyProtection="1" pivotButton="0" quotePrefix="0" xfId="3">
      <alignment horizontal="left" vertical="center" wrapText="1"/>
      <protection locked="0" hidden="0"/>
    </xf>
    <xf numFmtId="0" fontId="6" fillId="0" borderId="32" applyAlignment="1" applyProtection="1" pivotButton="0" quotePrefix="0" xfId="3">
      <alignment horizontal="left" vertical="center" wrapText="1"/>
      <protection locked="0" hidden="0"/>
    </xf>
    <xf numFmtId="0" fontId="6" fillId="8" borderId="16" applyAlignment="1" applyProtection="1" pivotButton="0" quotePrefix="0" xfId="0">
      <alignment horizontal="left" vertical="center" wrapText="1"/>
      <protection locked="0" hidden="0"/>
    </xf>
    <xf numFmtId="0" fontId="6" fillId="7" borderId="13" applyAlignment="1" applyProtection="1" pivotButton="0" quotePrefix="0" xfId="0">
      <alignment horizontal="left" vertical="center" wrapText="1"/>
      <protection locked="0" hidden="0"/>
    </xf>
    <xf numFmtId="0" fontId="6" fillId="7" borderId="16" applyAlignment="1" applyProtection="1" pivotButton="0" quotePrefix="0" xfId="3">
      <alignment horizontal="left" vertical="center" wrapText="1"/>
      <protection locked="0" hidden="0"/>
    </xf>
    <xf numFmtId="0" fontId="6" fillId="7" borderId="1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0" fontId="6" fillId="0" borderId="47" applyAlignment="1" applyProtection="1" pivotButton="0" quotePrefix="0" xfId="3">
      <alignment horizontal="left" vertical="center" wrapText="1"/>
      <protection locked="0" hidden="0"/>
    </xf>
    <xf numFmtId="0" fontId="6" fillId="0" borderId="13" applyAlignment="1" applyProtection="1" pivotButton="0" quotePrefix="0" xfId="2">
      <alignment horizontal="left" vertical="center" wrapText="1"/>
      <protection locked="0" hidden="0"/>
    </xf>
    <xf numFmtId="0" fontId="6" fillId="7" borderId="13" applyAlignment="1" applyProtection="1" pivotButton="0" quotePrefix="0" xfId="3">
      <alignment horizontal="left" vertical="center" wrapText="1"/>
      <protection locked="0" hidden="0"/>
    </xf>
    <xf numFmtId="0" fontId="6" fillId="7" borderId="13" applyAlignment="1" applyProtection="1" pivotButton="0" quotePrefix="0" xfId="3">
      <alignment vertical="center" wrapText="1"/>
      <protection locked="0" hidden="0"/>
    </xf>
    <xf numFmtId="0" fontId="6" fillId="0" borderId="47" applyAlignment="1" applyProtection="1" pivotButton="0" quotePrefix="0" xfId="3">
      <alignment horizontal="left" vertical="center"/>
      <protection locked="0" hidden="0"/>
    </xf>
    <xf numFmtId="0" fontId="6" fillId="0" borderId="16" applyAlignment="1" applyProtection="1" pivotButton="0" quotePrefix="0" xfId="3">
      <alignment horizontal="center" vertical="center" wrapText="1"/>
      <protection locked="0" hidden="0"/>
    </xf>
    <xf numFmtId="0" fontId="6" fillId="0" borderId="13" applyAlignment="1" applyProtection="1" pivotButton="0" quotePrefix="0" xfId="3">
      <alignment horizontal="center" vertical="center" wrapText="1"/>
      <protection locked="0" hidden="0"/>
    </xf>
    <xf numFmtId="0" fontId="6" fillId="0" borderId="13" applyAlignment="1" applyProtection="1" pivotButton="0" quotePrefix="0" xfId="5">
      <alignment horizontal="center" vertical="center" wrapText="1"/>
      <protection locked="0" hidden="0"/>
    </xf>
    <xf numFmtId="0" fontId="9" fillId="0" borderId="13"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6" applyAlignment="1" applyProtection="1" pivotButton="0" quotePrefix="0" xfId="3">
      <alignment horizontal="left" vertical="center" wrapText="1"/>
      <protection locked="0" hidden="0"/>
    </xf>
    <xf numFmtId="0" fontId="6" fillId="0" borderId="16" applyAlignment="1" applyProtection="1" pivotButton="0" quotePrefix="0" xfId="0">
      <alignment vertical="center"/>
      <protection locked="0" hidden="0"/>
    </xf>
    <xf numFmtId="0" fontId="6" fillId="0" borderId="42"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3" applyAlignment="1" applyProtection="1" pivotButton="0" quotePrefix="0" xfId="0">
      <alignment horizontal="left" vertical="center" wrapText="1"/>
      <protection locked="0" hidden="0"/>
    </xf>
    <xf numFmtId="0" fontId="6" fillId="0" borderId="15" applyAlignment="1" applyProtection="1" pivotButton="0" quotePrefix="0" xfId="2">
      <alignment horizontal="center" vertical="center" wrapText="1"/>
      <protection locked="0" hidden="0"/>
    </xf>
    <xf numFmtId="0" fontId="6" fillId="0" borderId="26" applyAlignment="1" applyProtection="1" pivotButton="0" quotePrefix="0" xfId="3">
      <alignment horizontal="left" vertical="center" wrapText="1"/>
      <protection locked="0" hidden="0"/>
    </xf>
    <xf numFmtId="0" fontId="6" fillId="0" borderId="6" applyAlignment="1" applyProtection="1" pivotButton="0" quotePrefix="0" xfId="2">
      <alignment horizontal="center" vertical="center"/>
      <protection locked="0" hidden="0"/>
    </xf>
    <xf numFmtId="0" fontId="6" fillId="0" borderId="2" applyAlignment="1" applyProtection="1" pivotButton="0" quotePrefix="0" xfId="0">
      <alignment horizontal="center" vertical="center" wrapText="1"/>
      <protection locked="0" hidden="0"/>
    </xf>
    <xf numFmtId="0" fontId="6" fillId="0" borderId="2" applyAlignment="1" applyProtection="1" pivotButton="0" quotePrefix="0" xfId="2">
      <alignment horizontal="center" vertical="center" wrapText="1"/>
      <protection locked="0" hidden="0"/>
    </xf>
    <xf numFmtId="0" fontId="6" fillId="0" borderId="5" applyAlignment="1" applyProtection="1" pivotButton="0" quotePrefix="0" xfId="2">
      <alignment horizontal="center" vertical="center"/>
      <protection locked="0" hidden="0"/>
    </xf>
    <xf numFmtId="9" fontId="13" fillId="0" borderId="40" applyAlignment="1" pivotButton="0" quotePrefix="0" xfId="11">
      <alignment horizontal="center" vertical="center" wrapText="1"/>
    </xf>
    <xf numFmtId="9" fontId="13" fillId="0" borderId="45" applyAlignment="1" pivotButton="0" quotePrefix="0" xfId="11">
      <alignment horizontal="center" vertical="center" wrapText="1"/>
    </xf>
    <xf numFmtId="0" fontId="6" fillId="0" borderId="34" applyAlignment="1" applyProtection="1" pivotButton="0" quotePrefix="0" xfId="3">
      <alignment horizontal="center" vertical="center" wrapText="1"/>
      <protection locked="0" hidden="0"/>
    </xf>
    <xf numFmtId="0" fontId="6" fillId="0" borderId="15" applyAlignment="1" pivotButton="0" quotePrefix="0" xfId="2">
      <alignment horizontal="center" vertical="center" wrapText="1"/>
    </xf>
    <xf numFmtId="0" fontId="6" fillId="0" borderId="15" applyAlignment="1" pivotButton="0" quotePrefix="0" xfId="2">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2" applyAlignment="1" pivotButton="0" quotePrefix="0" xfId="2">
      <alignment horizontal="center" vertical="center" wrapText="1"/>
    </xf>
    <xf numFmtId="0" fontId="6" fillId="0" borderId="12"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wrapText="1"/>
      <protection locked="0" hidden="0"/>
    </xf>
    <xf numFmtId="0" fontId="6" fillId="0" borderId="16" applyAlignment="1" pivotButton="0" quotePrefix="0" xfId="3">
      <alignment horizontal="left" vertical="center" wrapText="1"/>
    </xf>
    <xf numFmtId="0" fontId="6" fillId="0" borderId="2" applyAlignment="1" pivotButton="0" quotePrefix="0" xfId="2">
      <alignment horizontal="center" vertical="center" wrapText="1"/>
    </xf>
    <xf numFmtId="0" fontId="6" fillId="0" borderId="2" applyAlignment="1" pivotButton="0" quotePrefix="0" xfId="3">
      <alignment horizontal="left" vertical="center" wrapText="1"/>
    </xf>
    <xf numFmtId="0" fontId="6" fillId="0" borderId="2"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6" applyAlignment="1" pivotButton="0" quotePrefix="0" xfId="0">
      <alignment horizontal="left" vertical="center" wrapText="1"/>
    </xf>
    <xf numFmtId="0" fontId="6" fillId="0" borderId="13" applyAlignment="1" pivotButton="0" quotePrefix="0" xfId="3">
      <alignment horizontal="left" vertical="center" wrapText="1"/>
    </xf>
    <xf numFmtId="0" fontId="6" fillId="0" borderId="2" applyAlignment="1" pivotButton="0" quotePrefix="0" xfId="3">
      <alignment horizontal="center" vertical="center" wrapText="1"/>
    </xf>
    <xf numFmtId="0" fontId="6" fillId="0" borderId="47" applyAlignment="1" applyProtection="1" pivotButton="0" quotePrefix="0" xfId="3">
      <alignment vertical="center" wrapText="1"/>
      <protection locked="0" hidden="0"/>
    </xf>
    <xf numFmtId="0" fontId="6" fillId="0" borderId="18" applyAlignment="1" pivotButton="0" quotePrefix="0" xfId="3">
      <alignment horizontal="left" vertical="center" wrapText="1"/>
    </xf>
    <xf numFmtId="0" fontId="6" fillId="0" borderId="12"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34" applyAlignment="1" applyProtection="1" pivotButton="0" quotePrefix="0" xfId="3">
      <alignment vertical="center" wrapText="1"/>
      <protection locked="0" hidden="0"/>
    </xf>
    <xf numFmtId="0" fontId="6" fillId="0" borderId="13" applyAlignment="1" pivotButton="0" quotePrefix="0" xfId="0">
      <alignment horizontal="left" vertical="center" wrapText="1"/>
    </xf>
    <xf numFmtId="0" fontId="6" fillId="0" borderId="16" applyAlignment="1" pivotButton="0" quotePrefix="0" xfId="2">
      <alignment horizontal="left" vertical="center" wrapText="1"/>
    </xf>
    <xf numFmtId="0" fontId="6" fillId="0" borderId="2" applyAlignment="1" pivotButton="0" quotePrefix="0" xfId="3">
      <alignment vertical="center" wrapText="1"/>
    </xf>
    <xf numFmtId="0" fontId="6" fillId="0" borderId="16" applyAlignment="1" applyProtection="1" pivotButton="0" quotePrefix="0" xfId="0">
      <alignment horizontal="left" vertical="center" wrapText="1"/>
      <protection locked="0" hidden="0"/>
    </xf>
    <xf numFmtId="0" fontId="6" fillId="0" borderId="13" applyAlignment="1" pivotButton="0" quotePrefix="0" xfId="2">
      <alignment horizontal="left" vertical="center" wrapText="1"/>
    </xf>
    <xf numFmtId="0" fontId="9" fillId="0" borderId="47" applyAlignment="1" applyProtection="1" pivotButton="0" quotePrefix="0" xfId="3">
      <alignment vertical="center" wrapText="1"/>
      <protection locked="0" hidden="0"/>
    </xf>
    <xf numFmtId="0" fontId="9" fillId="0" borderId="34" applyAlignment="1" applyProtection="1" pivotButton="0" quotePrefix="0" xfId="3">
      <alignment vertical="center" wrapText="1"/>
      <protection locked="0" hidden="0"/>
    </xf>
    <xf numFmtId="0" fontId="10" fillId="0" borderId="16" applyAlignment="1" applyProtection="1" pivotButton="0" quotePrefix="0" xfId="0">
      <alignment horizontal="center" vertical="center" wrapText="1"/>
      <protection locked="0" hidden="0"/>
    </xf>
    <xf numFmtId="0" fontId="8" fillId="0" borderId="34" applyAlignment="1" applyProtection="1" pivotButton="0" quotePrefix="0" xfId="3">
      <alignment horizontal="center" vertical="center" wrapText="1"/>
      <protection locked="0" hidden="0"/>
    </xf>
    <xf numFmtId="0" fontId="8"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9" fillId="0" borderId="16" applyAlignment="1" applyProtection="1" pivotButton="0" quotePrefix="0" xfId="3">
      <alignment horizontal="left" vertical="center"/>
      <protection locked="0" hidden="0"/>
    </xf>
    <xf numFmtId="0" fontId="9" fillId="0" borderId="16" applyAlignment="1" pivotButton="0" quotePrefix="0" xfId="3">
      <alignment horizontal="left" vertical="center" wrapText="1"/>
    </xf>
    <xf numFmtId="0" fontId="6" fillId="0" borderId="2" applyAlignment="1" pivotButton="0" quotePrefix="0" xfId="2">
      <alignment horizontal="center" vertical="center"/>
    </xf>
    <xf numFmtId="0" fontId="6" fillId="0" borderId="2" applyAlignment="1" pivotButton="0" quotePrefix="0" xfId="0">
      <alignment horizontal="center" vertical="center"/>
    </xf>
    <xf numFmtId="0" fontId="6" fillId="0" borderId="16" applyAlignment="1" applyProtection="1" pivotButton="0" quotePrefix="0" xfId="2">
      <alignment horizontal="left" vertical="center"/>
      <protection locked="0" hidden="0"/>
    </xf>
    <xf numFmtId="0" fontId="6" fillId="0" borderId="16" applyAlignment="1" pivotButton="0" quotePrefix="0" xfId="2">
      <alignment horizontal="left" vertical="center"/>
    </xf>
    <xf numFmtId="0" fontId="6" fillId="0" borderId="2" applyAlignment="1" pivotButton="0" quotePrefix="0" xfId="2">
      <alignment horizontal="left" vertical="center" wrapText="1"/>
    </xf>
    <xf numFmtId="0" fontId="8" fillId="0" borderId="2" applyAlignment="1" pivotButton="0" quotePrefix="0" xfId="2">
      <alignment horizontal="center" vertical="center"/>
    </xf>
    <xf numFmtId="0" fontId="6" fillId="0" borderId="13" applyAlignment="1" pivotButton="0" quotePrefix="0" xfId="3">
      <alignment horizontal="center" vertical="center" wrapText="1"/>
    </xf>
    <xf numFmtId="0" fontId="6" fillId="0" borderId="17" applyAlignment="1" pivotButton="0" quotePrefix="0" xfId="3">
      <alignment horizontal="left" vertical="center" wrapText="1"/>
    </xf>
    <xf numFmtId="0" fontId="6" fillId="0" borderId="9" applyAlignment="1" pivotButton="0" quotePrefix="0" xfId="2">
      <alignment horizontal="center" vertical="center" wrapText="1"/>
    </xf>
    <xf numFmtId="0" fontId="6" fillId="0" borderId="9" applyAlignment="1" pivotButton="0" quotePrefix="0" xfId="3">
      <alignment horizontal="center" vertical="center" wrapText="1"/>
    </xf>
    <xf numFmtId="0" fontId="6" fillId="0" borderId="9" applyAlignment="1" pivotButton="0" quotePrefix="0" xfId="3">
      <alignment horizontal="left" vertical="center" wrapText="1"/>
    </xf>
    <xf numFmtId="0" fontId="6" fillId="0" borderId="11" applyAlignment="1" pivotButton="0" quotePrefix="0" xfId="0">
      <alignment horizontal="center" vertical="center" wrapText="1"/>
    </xf>
    <xf numFmtId="0" fontId="8" fillId="0" borderId="9" applyAlignment="1" pivotButton="0" quotePrefix="0" xfId="14">
      <alignment horizontal="center" vertical="center" wrapText="1"/>
    </xf>
    <xf numFmtId="0" fontId="9" fillId="0" borderId="13" applyAlignment="1" pivotButton="0" quotePrefix="0" xfId="3">
      <alignment horizontal="left" vertical="center" wrapText="1"/>
    </xf>
    <xf numFmtId="0" fontId="6" fillId="0" borderId="13" applyAlignment="1" pivotButton="0" quotePrefix="0" xfId="5">
      <alignment horizontal="center" vertical="center" wrapText="1"/>
    </xf>
    <xf numFmtId="0" fontId="6" fillId="0" borderId="13" applyAlignment="1" pivotButton="0" quotePrefix="0" xfId="5">
      <alignment horizontal="left" vertical="center" wrapText="1"/>
    </xf>
    <xf numFmtId="0" fontId="6" fillId="0" borderId="16" applyAlignment="1" pivotButton="0" quotePrefix="0" xfId="3">
      <alignment horizontal="center" vertical="center" wrapText="1"/>
    </xf>
    <xf numFmtId="0" fontId="8" fillId="3" borderId="14" applyAlignment="1" pivotButton="0" quotePrefix="0" xfId="2">
      <alignment horizontal="center" vertical="center" wrapText="1"/>
    </xf>
    <xf numFmtId="0" fontId="8" fillId="0" borderId="14" applyAlignment="1" pivotButton="0" quotePrefix="0" xfId="2">
      <alignment horizontal="center" vertical="center" wrapText="1"/>
    </xf>
    <xf numFmtId="0" fontId="8" fillId="0" borderId="1" applyAlignment="1" pivotButton="0" quotePrefix="0" xfId="2">
      <alignment horizontal="center" vertical="center" wrapText="1"/>
    </xf>
    <xf numFmtId="0" fontId="8" fillId="4" borderId="1" applyAlignment="1" pivotButton="0" quotePrefix="0" xfId="2">
      <alignment horizontal="center" vertical="center" wrapText="1"/>
    </xf>
    <xf numFmtId="0" fontId="8" fillId="3" borderId="1" applyAlignment="1" pivotButton="0" quotePrefix="0" xfId="2">
      <alignment horizontal="center" vertical="center" wrapText="1"/>
    </xf>
    <xf numFmtId="0" fontId="8" fillId="0" borderId="5" applyAlignment="1" pivotButton="0" quotePrefix="0" xfId="2">
      <alignment horizontal="center" vertical="center"/>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0" applyProtection="1" pivotButton="0" quotePrefix="0" xfId="0">
      <protection locked="0" hidden="0"/>
    </xf>
    <xf numFmtId="0" fontId="8" fillId="0" borderId="29" applyAlignment="1" applyProtection="1" pivotButton="0" quotePrefix="0" xfId="0">
      <alignment wrapText="1"/>
      <protection locked="0" hidden="0"/>
    </xf>
    <xf numFmtId="0" fontId="8" fillId="0" borderId="3" applyAlignment="1" pivotButton="0" quotePrefix="0" xfId="14">
      <alignment horizontal="center" vertical="center" wrapText="1"/>
    </xf>
    <xf numFmtId="0" fontId="6" fillId="0" borderId="0" applyAlignment="1" applyProtection="1" pivotButton="0" quotePrefix="0" xfId="3">
      <alignment wrapText="1"/>
      <protection locked="0" hidden="0"/>
    </xf>
    <xf numFmtId="0" fontId="8" fillId="0" borderId="2" applyAlignment="1" pivotButton="0" quotePrefix="0" xfId="14">
      <alignment horizontal="center" vertical="center" wrapText="1"/>
    </xf>
    <xf numFmtId="0" fontId="8" fillId="0" borderId="1" applyAlignment="1" pivotButton="0" quotePrefix="0" xfId="14">
      <alignment horizontal="center" vertical="center" wrapText="1"/>
    </xf>
    <xf numFmtId="0" fontId="6" fillId="0" borderId="2" applyAlignment="1" pivotButton="0" quotePrefix="0" xfId="14">
      <alignment horizontal="center" vertical="center" wrapText="1"/>
    </xf>
    <xf numFmtId="0" fontId="8" fillId="0" borderId="2" applyAlignment="1" pivotButton="0" quotePrefix="0" xfId="14">
      <alignment horizontal="center" vertical="center"/>
    </xf>
    <xf numFmtId="0" fontId="8" fillId="0" borderId="0" applyAlignment="1" applyProtection="1" pivotButton="0" quotePrefix="0" xfId="0">
      <alignment horizontal="center" vertical="center" wrapText="1"/>
      <protection locked="0" hidden="0"/>
    </xf>
    <xf numFmtId="0" fontId="6" fillId="0" borderId="2" applyAlignment="1" applyProtection="1" pivotButton="0" quotePrefix="0" xfId="14">
      <alignment horizontal="center" vertical="center" wrapText="1"/>
      <protection locked="0" hidden="0"/>
    </xf>
    <xf numFmtId="0" fontId="6" fillId="0" borderId="16" applyAlignment="1" applyProtection="1" pivotButton="0" quotePrefix="0" xfId="3">
      <alignment vertical="center" wrapText="1"/>
      <protection locked="0" hidden="0"/>
    </xf>
    <xf numFmtId="0" fontId="6" fillId="0" borderId="59" applyAlignment="1" applyProtection="1" pivotButton="0" quotePrefix="0" xfId="3">
      <alignment horizontal="left" vertical="center" wrapText="1"/>
      <protection locked="0" hidden="0"/>
    </xf>
    <xf numFmtId="0" fontId="5" fillId="0" borderId="23" pivotButton="0" quotePrefix="0" xfId="0"/>
    <xf numFmtId="0" fontId="5" fillId="0" borderId="24" pivotButton="0" quotePrefix="0" xfId="0"/>
    <xf numFmtId="0" fontId="5" fillId="0" borderId="20" pivotButton="0" quotePrefix="0" xfId="0"/>
    <xf numFmtId="0" fontId="6" fillId="4" borderId="7" applyAlignment="1" applyProtection="1" pivotButton="0" quotePrefix="0" xfId="2">
      <alignment horizontal="center" vertical="center"/>
      <protection locked="0" hidden="0"/>
    </xf>
    <xf numFmtId="0" fontId="8" fillId="0" borderId="61" applyProtection="1" pivotButton="0" quotePrefix="0" xfId="0">
      <protection locked="0" hidden="0"/>
    </xf>
    <xf numFmtId="0" fontId="8" fillId="0" borderId="62" applyAlignment="1" applyProtection="1" pivotButton="0" quotePrefix="0" xfId="0">
      <alignment wrapText="1"/>
      <protection locked="0" hidden="0"/>
    </xf>
    <xf numFmtId="0" fontId="6" fillId="0" borderId="4" applyAlignment="1" applyProtection="1" pivotButton="0" quotePrefix="0" xfId="2">
      <alignment horizontal="center" vertical="center"/>
      <protection locked="0" hidden="0"/>
    </xf>
    <xf numFmtId="0" fontId="8" fillId="0" borderId="0" applyProtection="1" pivotButton="0" quotePrefix="0" xfId="3">
      <protection locked="0" hidden="0"/>
    </xf>
    <xf numFmtId="0" fontId="10" fillId="0" borderId="47" applyAlignment="1" applyProtection="1" pivotButton="0" quotePrefix="0" xfId="3">
      <alignment horizontal="center" vertical="center" wrapText="1"/>
      <protection locked="0" hidden="0"/>
    </xf>
    <xf numFmtId="0" fontId="6" fillId="0" borderId="41" applyAlignment="1" applyProtection="1" pivotButton="0" quotePrefix="0" xfId="2">
      <alignment horizontal="center" vertical="center"/>
      <protection locked="0" hidden="0"/>
    </xf>
    <xf numFmtId="0" fontId="6" fillId="0" borderId="8" applyAlignment="1" applyProtection="1" pivotButton="0" quotePrefix="0" xfId="2">
      <alignment horizontal="center" vertical="center"/>
      <protection locked="0" hidden="0"/>
    </xf>
    <xf numFmtId="0" fontId="8" fillId="3" borderId="26" applyAlignment="1" applyProtection="1" pivotButton="0" quotePrefix="0" xfId="0">
      <alignment horizontal="center" vertical="center" wrapText="1"/>
      <protection locked="0" hidden="0"/>
    </xf>
    <xf numFmtId="0" fontId="10" fillId="7" borderId="33" applyAlignment="1" applyProtection="1" pivotButton="0" quotePrefix="0" xfId="3">
      <alignment horizontal="left" vertical="center" wrapText="1"/>
      <protection locked="0" hidden="0"/>
    </xf>
    <xf numFmtId="0" fontId="6" fillId="0" borderId="1" applyAlignment="1" pivotButton="0" quotePrefix="0" xfId="0">
      <alignment horizontal="left" vertical="center" wrapText="1"/>
    </xf>
    <xf numFmtId="0" fontId="6" fillId="0" borderId="1" applyAlignment="1" pivotButton="0" quotePrefix="0" xfId="3">
      <alignment horizontal="center" vertical="center" wrapText="1"/>
    </xf>
    <xf numFmtId="0" fontId="6" fillId="0" borderId="14" applyAlignment="1" pivotButton="0" quotePrefix="0" xfId="3">
      <alignment horizontal="left" vertical="center" wrapText="1"/>
    </xf>
    <xf numFmtId="0" fontId="6" fillId="0" borderId="46" applyAlignment="1" pivotButton="0" quotePrefix="0" xfId="3">
      <alignment horizontal="left" vertical="center" wrapText="1"/>
    </xf>
    <xf numFmtId="0" fontId="8" fillId="0" borderId="2" applyAlignment="1" pivotButton="0" quotePrefix="0" xfId="2">
      <alignment horizontal="center" vertical="center" wrapText="1"/>
    </xf>
    <xf numFmtId="0" fontId="6" fillId="0" borderId="46" applyAlignment="1" pivotButton="0" quotePrefix="0" xfId="0">
      <alignment vertical="center" wrapText="1"/>
    </xf>
    <xf numFmtId="0" fontId="6" fillId="0" borderId="46" applyAlignment="1" pivotButton="0" quotePrefix="0" xfId="0">
      <alignment horizontal="center" vertical="center" wrapText="1"/>
    </xf>
    <xf numFmtId="0" fontId="6" fillId="0" borderId="13" applyAlignment="1" pivotButton="0" quotePrefix="0" xfId="0">
      <alignment vertical="center"/>
    </xf>
    <xf numFmtId="0" fontId="6" fillId="0" borderId="46" applyAlignment="1" pivotButton="0" quotePrefix="0" xfId="3">
      <alignment vertical="center" wrapText="1"/>
    </xf>
    <xf numFmtId="0" fontId="6" fillId="0" borderId="57" applyAlignment="1" pivotButton="0" quotePrefix="0" xfId="3">
      <alignment horizontal="left" vertical="center" wrapText="1"/>
    </xf>
    <xf numFmtId="0" fontId="6" fillId="0" borderId="14" applyAlignment="1" pivotButton="0" quotePrefix="0" xfId="0">
      <alignment horizontal="left" vertical="center" wrapText="1"/>
    </xf>
    <xf numFmtId="0" fontId="6" fillId="0" borderId="1" applyAlignment="1" pivotButton="0" quotePrefix="0" xfId="0">
      <alignment horizontal="center" vertical="center" wrapText="1"/>
    </xf>
    <xf numFmtId="0" fontId="8" fillId="0" borderId="46" applyAlignment="1" pivotButton="0" quotePrefix="0" xfId="0">
      <alignment horizontal="center" vertical="center"/>
    </xf>
    <xf numFmtId="0" fontId="6" fillId="0" borderId="46" applyAlignment="1" pivotButton="0" quotePrefix="0" xfId="0">
      <alignment horizontal="center" vertical="center"/>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3">
      <alignment horizontal="center" vertical="center" wrapText="1"/>
    </xf>
    <xf numFmtId="0" fontId="8" fillId="0" borderId="0" applyAlignment="1" pivotButton="0" quotePrefix="0" xfId="0">
      <alignment horizontal="center" vertical="center"/>
    </xf>
    <xf numFmtId="2" fontId="6" fillId="0" borderId="0" applyProtection="1" pivotButton="0" quotePrefix="0" xfId="0">
      <protection locked="0" hidden="0"/>
    </xf>
    <xf numFmtId="9" fontId="13" fillId="0" borderId="1" applyAlignment="1" pivotButton="0" quotePrefix="0" xfId="11">
      <alignment horizontal="center" vertical="center" wrapText="1"/>
    </xf>
    <xf numFmtId="9" fontId="13" fillId="0" borderId="9" applyAlignment="1" pivotButton="0" quotePrefix="0" xfId="11">
      <alignment horizontal="center" vertical="center" wrapText="1"/>
    </xf>
    <xf numFmtId="9" fontId="13" fillId="0" borderId="70" applyAlignment="1" pivotButton="0" quotePrefix="0" xfId="11">
      <alignment horizontal="center" vertical="center" wrapText="1"/>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5" fillId="0" borderId="2" applyAlignment="1" pivotButton="0" quotePrefix="0" xfId="0">
      <alignment readingOrder="2"/>
    </xf>
    <xf numFmtId="0" fontId="15" fillId="0" borderId="2" applyAlignment="1" pivotButton="0" quotePrefix="0" xfId="0">
      <alignment readingOrder="2"/>
    </xf>
    <xf numFmtId="0" fontId="6" fillId="0" borderId="9" applyAlignment="1" pivotButton="0" quotePrefix="0" xfId="3">
      <alignment horizontal="right" vertical="center" wrapText="1"/>
    </xf>
    <xf numFmtId="0" fontId="6" fillId="0" borderId="2" applyAlignment="1" pivotButton="0" quotePrefix="0" xfId="2">
      <alignment horizontal="right" vertical="center" wrapText="1"/>
    </xf>
    <xf numFmtId="0" fontId="6" fillId="0" borderId="2" applyAlignment="1" pivotButton="0" quotePrefix="0" xfId="3">
      <alignment horizontal="right" vertical="center" wrapText="1"/>
    </xf>
    <xf numFmtId="164" fontId="6" fillId="0" borderId="1" applyAlignment="1" pivotButton="0" quotePrefix="0" xfId="0">
      <alignment horizontal="right" vertical="center" wrapText="1"/>
    </xf>
    <xf numFmtId="0" fontId="6" fillId="0" borderId="2" applyAlignment="1" pivotButton="0" quotePrefix="0" xfId="0">
      <alignment horizontal="right" vertical="center" wrapText="1"/>
    </xf>
    <xf numFmtId="0" fontId="6" fillId="0" borderId="1" applyAlignment="1" pivotButton="0" quotePrefix="0" xfId="3">
      <alignment horizontal="right" vertical="center" wrapText="1"/>
    </xf>
    <xf numFmtId="0" fontId="6" fillId="0" borderId="2" applyAlignment="1" applyProtection="1" pivotButton="0" quotePrefix="0" xfId="3">
      <alignment horizontal="right" vertical="center" wrapText="1"/>
      <protection locked="0" hidden="0"/>
    </xf>
    <xf numFmtId="0" fontId="6" fillId="0" borderId="3" applyAlignment="1" pivotButton="0" quotePrefix="0" xfId="3">
      <alignment horizontal="right" vertical="center" wrapText="1"/>
    </xf>
    <xf numFmtId="0" fontId="6" fillId="0" borderId="46" applyAlignment="1" pivotButton="0" quotePrefix="0" xfId="3">
      <alignment horizontal="right" vertical="center" wrapText="1"/>
    </xf>
    <xf numFmtId="9" fontId="13" fillId="0" borderId="75" applyAlignment="1" pivotButton="0" quotePrefix="0" xfId="11">
      <alignment horizontal="center" vertical="center" wrapText="1"/>
    </xf>
    <xf numFmtId="0" fontId="6" fillId="7" borderId="16" applyAlignment="1" applyProtection="1" pivotButton="0" quotePrefix="0" xfId="0">
      <alignment horizontal="left" vertical="center" wrapText="1"/>
      <protection locked="0" hidden="0"/>
    </xf>
    <xf numFmtId="0" fontId="10" fillId="0" borderId="32" applyAlignment="1" applyProtection="1" pivotButton="0" quotePrefix="0" xfId="3">
      <alignment horizontal="center" vertical="center" wrapText="1"/>
      <protection locked="0" hidden="0"/>
    </xf>
    <xf numFmtId="0" fontId="6" fillId="0" borderId="16" applyAlignment="1" applyProtection="1" pivotButton="0" quotePrefix="0" xfId="2">
      <alignment horizontal="center" vertical="center"/>
      <protection locked="0" hidden="0"/>
    </xf>
    <xf numFmtId="0" fontId="6" fillId="0" borderId="13" applyAlignment="1" pivotButton="0" quotePrefix="0" xfId="2">
      <alignment horizontal="center" vertical="center" wrapText="1"/>
    </xf>
    <xf numFmtId="0" fontId="6" fillId="0" borderId="16" applyAlignment="1" pivotButton="0" quotePrefix="0" xfId="2">
      <alignment horizontal="center" vertical="center" wrapText="1"/>
    </xf>
    <xf numFmtId="0" fontId="6" fillId="0" borderId="78" applyAlignment="1" pivotButton="0" quotePrefix="0" xfId="2">
      <alignment horizontal="center" vertical="center" wrapText="1"/>
    </xf>
    <xf numFmtId="0" fontId="6" fillId="0" borderId="38" applyAlignment="1" applyProtection="1" pivotButton="0" quotePrefix="0" xfId="3">
      <alignment horizontal="center" vertical="center" wrapText="1"/>
      <protection locked="0" hidden="0"/>
    </xf>
    <xf numFmtId="0" fontId="6" fillId="7" borderId="56" applyAlignment="1" applyProtection="1" pivotButton="0" quotePrefix="0" xfId="3">
      <alignment horizontal="left" vertical="center" wrapText="1"/>
      <protection locked="0" hidden="0"/>
    </xf>
    <xf numFmtId="0" fontId="8" fillId="0" borderId="78" applyAlignment="1" pivotButton="0" quotePrefix="0" xfId="14">
      <alignment horizontal="center" vertical="center" wrapText="1"/>
    </xf>
    <xf numFmtId="0" fontId="6" fillId="0" borderId="78" applyAlignment="1" pivotButton="0" quotePrefix="0" xfId="14">
      <alignment horizontal="center" vertical="center" wrapText="1"/>
    </xf>
    <xf numFmtId="0" fontId="6" fillId="0" borderId="78" applyAlignment="1" pivotButton="0" quotePrefix="0" xfId="3">
      <alignment horizontal="left" vertical="center" wrapText="1"/>
    </xf>
    <xf numFmtId="164" fontId="6" fillId="0" borderId="78" applyAlignment="1" pivotButton="0" quotePrefix="0" xfId="0">
      <alignment horizontal="right" vertical="center" wrapText="1"/>
    </xf>
    <xf numFmtId="0" fontId="6" fillId="0" borderId="78" applyAlignment="1" pivotButton="0" quotePrefix="0" xfId="3">
      <alignment horizontal="center" vertical="center" wrapText="1"/>
    </xf>
    <xf numFmtId="0" fontId="6" fillId="0" borderId="78" applyAlignment="1" pivotButton="0" quotePrefix="0" xfId="0">
      <alignment horizontal="left" vertical="center" wrapText="1"/>
    </xf>
    <xf numFmtId="0" fontId="6" fillId="10" borderId="0" applyAlignment="1" pivotButton="0" quotePrefix="0" xfId="0">
      <alignment horizontal="left" vertical="center"/>
    </xf>
    <xf numFmtId="0" fontId="6" fillId="10" borderId="0" applyAlignment="1" pivotButton="0" quotePrefix="0" xfId="3">
      <alignment horizontal="left"/>
    </xf>
    <xf numFmtId="0" fontId="8" fillId="10" borderId="0" applyAlignment="1" pivotButton="0" quotePrefix="0" xfId="3">
      <alignment horizontal="left" vertical="center"/>
    </xf>
    <xf numFmtId="0" fontId="6" fillId="10" borderId="0" applyAlignment="1" pivotButton="0" quotePrefix="0" xfId="0">
      <alignment horizontal="left"/>
    </xf>
    <xf numFmtId="0" fontId="6" fillId="0" borderId="46" applyAlignment="1" pivotButton="0" quotePrefix="0" xfId="6">
      <alignment vertical="center" wrapText="1"/>
    </xf>
    <xf numFmtId="0" fontId="6" fillId="0" borderId="79" applyAlignment="1" pivotButton="0" quotePrefix="0" xfId="2">
      <alignment horizontal="left" vertical="center" wrapText="1"/>
    </xf>
    <xf numFmtId="0" fontId="6" fillId="0" borderId="78" applyAlignment="1" pivotButton="0" quotePrefix="0" xfId="2">
      <alignment horizontal="left" vertical="center" wrapText="1"/>
    </xf>
    <xf numFmtId="0" fontId="17" fillId="0" borderId="16" applyAlignment="1" pivotButton="0" quotePrefix="0" xfId="3">
      <alignment horizontal="left" vertical="center" wrapText="1"/>
    </xf>
    <xf numFmtId="0" fontId="18" fillId="0" borderId="16" applyAlignment="1" pivotButton="0" quotePrefix="0" xfId="3">
      <alignment horizontal="left" vertical="center" wrapText="1"/>
    </xf>
    <xf numFmtId="0" fontId="6" fillId="0" borderId="78" applyAlignment="1" pivotButton="0" quotePrefix="0" xfId="0">
      <alignment vertical="center" wrapText="1"/>
    </xf>
    <xf numFmtId="49" fontId="6" fillId="0" borderId="36" applyAlignment="1" pivotButton="0" quotePrefix="0" xfId="0">
      <alignment vertical="center" wrapText="1"/>
    </xf>
    <xf numFmtId="49" fontId="6" fillId="4" borderId="36" applyAlignment="1" pivotButton="0" quotePrefix="0" xfId="0">
      <alignment vertical="center" wrapText="1"/>
    </xf>
    <xf numFmtId="0" fontId="8" fillId="0" borderId="78" applyAlignment="1" applyProtection="1" pivotButton="0" quotePrefix="0" xfId="3">
      <alignment vertical="center" wrapText="1"/>
      <protection locked="0" hidden="0"/>
    </xf>
    <xf numFmtId="0" fontId="8" fillId="0" borderId="2" applyAlignment="1" applyProtection="1" pivotButton="0" quotePrefix="0" xfId="3">
      <alignment vertical="center" wrapText="1"/>
      <protection locked="0" hidden="0"/>
    </xf>
    <xf numFmtId="0" fontId="6" fillId="0" borderId="50" applyAlignment="1" applyProtection="1" pivotButton="0" quotePrefix="0" xfId="2">
      <alignment horizontal="left" vertical="center" wrapText="1"/>
      <protection locked="0" hidden="0"/>
    </xf>
    <xf numFmtId="0" fontId="6" fillId="7" borderId="50" applyAlignment="1" applyProtection="1" pivotButton="0" quotePrefix="0" xfId="2">
      <alignment horizontal="left" vertical="center" wrapText="1"/>
      <protection locked="0" hidden="0"/>
    </xf>
    <xf numFmtId="0" fontId="6" fillId="0" borderId="48" applyAlignment="1" pivotButton="0" quotePrefix="0" xfId="0">
      <alignment horizontal="left" vertical="center" wrapText="1"/>
    </xf>
    <xf numFmtId="0" fontId="6" fillId="7" borderId="0" applyAlignment="1" applyProtection="1" pivotButton="0" quotePrefix="0" xfId="0">
      <alignment horizontal="left" vertical="center" wrapText="1"/>
      <protection locked="0" hidden="0"/>
    </xf>
    <xf numFmtId="49" fontId="6" fillId="0" borderId="36" applyAlignment="1" pivotButton="0" quotePrefix="0" xfId="0">
      <alignment horizontal="left" vertical="center" wrapText="1"/>
    </xf>
    <xf numFmtId="49" fontId="6" fillId="4" borderId="36" applyAlignment="1" applyProtection="1" pivotButton="0" quotePrefix="0" xfId="0">
      <alignment horizontal="right" vertical="center" wrapText="1"/>
      <protection locked="0" hidden="0"/>
    </xf>
    <xf numFmtId="0" fontId="6" fillId="4" borderId="2" applyAlignment="1" pivotButton="0" quotePrefix="0" xfId="0">
      <alignment horizontal="center" vertical="center" wrapText="1"/>
    </xf>
    <xf numFmtId="0" fontId="6" fillId="4" borderId="12" applyAlignment="1" pivotButton="0" quotePrefix="0" xfId="2">
      <alignment horizontal="center" vertical="center" wrapText="1"/>
    </xf>
    <xf numFmtId="0" fontId="6" fillId="4" borderId="12" applyAlignment="1" pivotButton="0" quotePrefix="0" xfId="0">
      <alignment horizontal="right" vertical="center" wrapText="1"/>
    </xf>
    <xf numFmtId="0" fontId="6" fillId="4" borderId="12" applyAlignment="1" pivotButton="0" quotePrefix="0" xfId="0">
      <alignment horizontal="center" vertical="center" wrapText="1"/>
    </xf>
    <xf numFmtId="0" fontId="6" fillId="4" borderId="18" applyAlignment="1" pivotButton="0" quotePrefix="0" xfId="3">
      <alignment horizontal="center" vertical="center" wrapText="1"/>
    </xf>
    <xf numFmtId="0" fontId="6" fillId="4" borderId="12" applyAlignment="1" pivotButton="0" quotePrefix="0" xfId="3">
      <alignment horizontal="left" vertical="center" wrapText="1"/>
    </xf>
    <xf numFmtId="0" fontId="6" fillId="4" borderId="1" applyAlignment="1" pivotButton="0" quotePrefix="0" xfId="3">
      <alignment vertical="center" wrapText="1"/>
    </xf>
    <xf numFmtId="0" fontId="6" fillId="4" borderId="16" applyAlignment="1" applyProtection="1" pivotButton="0" quotePrefix="0" xfId="3">
      <alignment horizontal="center" vertical="center" wrapText="1"/>
      <protection locked="0" hidden="0"/>
    </xf>
    <xf numFmtId="0" fontId="6" fillId="4" borderId="47" applyAlignment="1" applyProtection="1" pivotButton="0" quotePrefix="0" xfId="3">
      <alignment horizontal="left" vertical="center" wrapText="1"/>
      <protection locked="0" hidden="0"/>
    </xf>
    <xf numFmtId="0" fontId="6" fillId="4" borderId="0" applyAlignment="1" applyProtection="1" pivotButton="0" quotePrefix="0" xfId="0">
      <alignment horizontal="center" vertical="center"/>
      <protection locked="0" hidden="0"/>
    </xf>
    <xf numFmtId="0" fontId="6" fillId="4" borderId="0" applyProtection="1" pivotButton="0" quotePrefix="0" xfId="3">
      <protection locked="0" hidden="0"/>
    </xf>
    <xf numFmtId="0" fontId="8" fillId="4" borderId="0" applyAlignment="1" applyProtection="1" pivotButton="0" quotePrefix="0" xfId="3">
      <alignment horizontal="center" vertical="center"/>
      <protection locked="0" hidden="0"/>
    </xf>
    <xf numFmtId="0" fontId="6" fillId="4" borderId="0" applyProtection="1" pivotButton="0" quotePrefix="0" xfId="0">
      <protection locked="0" hidden="0"/>
    </xf>
    <xf numFmtId="0" fontId="6" fillId="4" borderId="0" applyAlignment="1" applyProtection="1" pivotButton="0" quotePrefix="0" xfId="3">
      <alignment horizontal="center" vertical="center" wrapText="1"/>
      <protection locked="0" hidden="0"/>
    </xf>
    <xf numFmtId="0" fontId="6" fillId="4" borderId="0" applyAlignment="1" applyProtection="1" pivotButton="0" quotePrefix="0" xfId="3">
      <alignment horizontal="left" vertical="center" wrapText="1"/>
      <protection locked="0" hidden="0"/>
    </xf>
    <xf numFmtId="0" fontId="6" fillId="4" borderId="0" applyAlignment="1" applyProtection="1" pivotButton="0" quotePrefix="0" xfId="3">
      <alignment horizontal="left" vertical="center"/>
      <protection locked="0" hidden="0"/>
    </xf>
    <xf numFmtId="0" fontId="6" fillId="4" borderId="0" applyAlignment="1" applyProtection="1" pivotButton="0" quotePrefix="0" xfId="3">
      <alignment vertical="top" wrapText="1"/>
      <protection locked="0" hidden="0"/>
    </xf>
    <xf numFmtId="0" fontId="6" fillId="4" borderId="0" applyAlignment="1" applyProtection="1" pivotButton="0" quotePrefix="0" xfId="0">
      <alignment horizontal="center" vertical="center" wrapText="1"/>
      <protection locked="0" hidden="0"/>
    </xf>
    <xf numFmtId="0" fontId="6" fillId="4" borderId="0" applyAlignment="1" applyProtection="1" pivotButton="0" quotePrefix="0" xfId="3">
      <alignment wrapText="1"/>
      <protection locked="0" hidden="0"/>
    </xf>
    <xf numFmtId="0" fontId="8" fillId="4" borderId="0" applyAlignment="1" applyProtection="1" pivotButton="0" quotePrefix="0" xfId="3">
      <alignment horizontal="center" vertical="center" wrapText="1"/>
      <protection locked="0" hidden="0"/>
    </xf>
    <xf numFmtId="0" fontId="6" fillId="4" borderId="0" applyAlignment="1" applyProtection="1" pivotButton="0" quotePrefix="0" xfId="0">
      <alignment wrapText="1"/>
      <protection locked="0" hidden="0"/>
    </xf>
    <xf numFmtId="0" fontId="6" fillId="4" borderId="13" applyAlignment="1" applyProtection="1" pivotButton="0" quotePrefix="0" xfId="3">
      <alignment horizontal="left" vertical="center" wrapText="1"/>
      <protection locked="0" hidden="0"/>
    </xf>
    <xf numFmtId="0" fontId="6" fillId="4" borderId="78" applyAlignment="1" applyProtection="1" pivotButton="0" quotePrefix="0" xfId="3">
      <alignment horizontal="left" vertical="center" wrapText="1"/>
      <protection locked="0" hidden="0"/>
    </xf>
    <xf numFmtId="0" fontId="8" fillId="4" borderId="1" applyAlignment="1" applyProtection="1" pivotButton="0" quotePrefix="0" xfId="14">
      <alignment horizontal="center" vertical="center" wrapText="1"/>
      <protection locked="0" hidden="0"/>
    </xf>
    <xf numFmtId="0" fontId="6" fillId="4" borderId="1" applyAlignment="1" pivotButton="0" quotePrefix="0" xfId="2">
      <alignment horizontal="center" vertical="center" wrapText="1"/>
    </xf>
    <xf numFmtId="0" fontId="6" fillId="4" borderId="1" applyAlignment="1" applyProtection="1" pivotButton="0" quotePrefix="0" xfId="14">
      <alignment horizontal="center" vertical="center" wrapText="1"/>
      <protection locked="0" hidden="0"/>
    </xf>
    <xf numFmtId="0" fontId="8" fillId="4" borderId="1" applyAlignment="1" pivotButton="0" quotePrefix="0" xfId="14">
      <alignment horizontal="center" vertical="center" wrapText="1"/>
    </xf>
    <xf numFmtId="0" fontId="6" fillId="4" borderId="13" applyAlignment="1" pivotButton="0" quotePrefix="0" xfId="14">
      <alignment horizontal="center" vertical="center" wrapText="1"/>
    </xf>
    <xf numFmtId="0" fontId="6" fillId="4" borderId="16" applyAlignment="1" pivotButton="0" quotePrefix="0" xfId="3">
      <alignment horizontal="center" vertical="center" wrapText="1"/>
    </xf>
    <xf numFmtId="0" fontId="6" fillId="4" borderId="14" applyAlignment="1" pivotButton="0" quotePrefix="0" xfId="3">
      <alignment horizontal="left" vertical="center" wrapText="1"/>
    </xf>
    <xf numFmtId="0" fontId="6" fillId="4" borderId="34" applyAlignment="1" applyProtection="1" pivotButton="0" quotePrefix="0" xfId="3">
      <alignment horizontal="left" vertical="center" wrapText="1"/>
      <protection locked="0" hidden="0"/>
    </xf>
    <xf numFmtId="0" fontId="8" fillId="4" borderId="0" applyAlignment="1" pivotButton="0" quotePrefix="0" xfId="3">
      <alignment horizontal="center" vertical="center"/>
    </xf>
    <xf numFmtId="0" fontId="6" fillId="4" borderId="13" applyAlignment="1" applyProtection="1" pivotButton="0" quotePrefix="0" xfId="3">
      <alignment vertical="center" wrapText="1"/>
      <protection locked="0" hidden="0"/>
    </xf>
    <xf numFmtId="0" fontId="9" fillId="4" borderId="34" applyAlignment="1" applyProtection="1" pivotButton="0" quotePrefix="0" xfId="3">
      <alignment horizontal="left" vertical="center" wrapText="1"/>
      <protection locked="0" hidden="0"/>
    </xf>
    <xf numFmtId="0" fontId="8" fillId="4" borderId="12" applyAlignment="1" applyProtection="1" pivotButton="0" quotePrefix="0" xfId="14">
      <alignment horizontal="center" vertical="center" wrapText="1"/>
      <protection locked="0" hidden="0"/>
    </xf>
    <xf numFmtId="0" fontId="6" fillId="4" borderId="12" applyAlignment="1" applyProtection="1" pivotButton="0" quotePrefix="0" xfId="14">
      <alignment horizontal="center" vertical="center" wrapText="1"/>
      <protection locked="0" hidden="0"/>
    </xf>
    <xf numFmtId="0" fontId="6" fillId="4" borderId="12" applyAlignment="1" applyProtection="1" pivotButton="0" quotePrefix="0" xfId="0">
      <alignment horizontal="left" vertical="center" wrapText="1"/>
      <protection locked="0" hidden="0"/>
    </xf>
    <xf numFmtId="0" fontId="6" fillId="4" borderId="1" applyAlignment="1" applyProtection="1" pivotButton="0" quotePrefix="0" xfId="2">
      <alignment horizontal="center" vertical="center" wrapText="1"/>
      <protection locked="0" hidden="0"/>
    </xf>
    <xf numFmtId="0" fontId="6" fillId="4" borderId="12" applyAlignment="1" applyProtection="1" pivotButton="0" quotePrefix="0" xfId="0">
      <alignment horizontal="right" vertical="center" wrapText="1"/>
      <protection locked="0" hidden="0"/>
    </xf>
    <xf numFmtId="0" fontId="6" fillId="4" borderId="12" applyAlignment="1" applyProtection="1" pivotButton="0" quotePrefix="0" xfId="2">
      <alignment horizontal="center" vertical="center" wrapText="1"/>
      <protection locked="0" hidden="0"/>
    </xf>
    <xf numFmtId="0" fontId="6" fillId="4" borderId="32" applyAlignment="1" applyProtection="1" pivotButton="0" quotePrefix="0" xfId="3">
      <alignment horizontal="left" vertical="center" wrapText="1"/>
      <protection locked="0" hidden="0"/>
    </xf>
    <xf numFmtId="0" fontId="6" fillId="4" borderId="1" applyAlignment="1" applyProtection="1" pivotButton="0" quotePrefix="0" xfId="0">
      <alignment horizontal="left" vertical="center" wrapText="1"/>
      <protection locked="0" hidden="0"/>
    </xf>
    <xf numFmtId="0" fontId="6" fillId="4" borderId="1" applyAlignment="1" applyProtection="1" pivotButton="0" quotePrefix="0" xfId="0">
      <alignment horizontal="right" vertical="center" wrapText="1"/>
      <protection locked="0" hidden="0"/>
    </xf>
    <xf numFmtId="0" fontId="8" fillId="4" borderId="2" applyAlignment="1" applyProtection="1" pivotButton="0" quotePrefix="0" xfId="14">
      <alignment horizontal="center" vertical="center" wrapText="1"/>
      <protection locked="0" hidden="0"/>
    </xf>
    <xf numFmtId="0" fontId="6" fillId="4" borderId="2" applyAlignment="1" applyProtection="1" pivotButton="0" quotePrefix="0" xfId="14">
      <alignment horizontal="center" vertical="center" wrapText="1"/>
      <protection locked="0" hidden="0"/>
    </xf>
    <xf numFmtId="0" fontId="6" fillId="4" borderId="46" applyAlignment="1" applyProtection="1" pivotButton="0" quotePrefix="0" xfId="3">
      <alignment vertical="center" wrapText="1"/>
      <protection locked="0" hidden="0"/>
    </xf>
    <xf numFmtId="0" fontId="6" fillId="4" borderId="2" applyAlignment="1" applyProtection="1" pivotButton="0" quotePrefix="0" xfId="2">
      <alignment horizontal="center" vertical="center" wrapText="1"/>
      <protection locked="0" hidden="0"/>
    </xf>
    <xf numFmtId="0" fontId="6" fillId="4" borderId="2" applyAlignment="1" applyProtection="1" pivotButton="0" quotePrefix="0" xfId="0">
      <alignment horizontal="center" vertical="center" wrapText="1"/>
      <protection locked="0" hidden="0"/>
    </xf>
    <xf numFmtId="0" fontId="6" fillId="4" borderId="16" applyAlignment="1" applyProtection="1" pivotButton="0" quotePrefix="0" xfId="3">
      <alignment horizontal="left" vertical="center" wrapText="1"/>
      <protection locked="0" hidden="0"/>
    </xf>
    <xf numFmtId="0" fontId="6" fillId="11" borderId="16" applyAlignment="1" applyProtection="1" pivotButton="0" quotePrefix="0" xfId="0">
      <alignment horizontal="left" vertical="center" wrapText="1"/>
      <protection locked="0" hidden="0"/>
    </xf>
    <xf numFmtId="0" fontId="6" fillId="4" borderId="13" applyAlignment="1" applyProtection="1" pivotButton="0" quotePrefix="0" xfId="2">
      <alignment horizontal="left" vertical="center" wrapText="1"/>
      <protection locked="0" hidden="0"/>
    </xf>
    <xf numFmtId="0" fontId="9" fillId="4" borderId="32" applyAlignment="1" applyProtection="1" pivotButton="0" quotePrefix="0" xfId="3">
      <alignment horizontal="left" vertical="center" wrapText="1"/>
      <protection locked="0" hidden="0"/>
    </xf>
    <xf numFmtId="0" fontId="6" fillId="4" borderId="16" applyAlignment="1" applyProtection="1" pivotButton="0" quotePrefix="0" xfId="14">
      <alignment horizontal="center" vertical="center" wrapText="1"/>
      <protection locked="0" hidden="0"/>
    </xf>
    <xf numFmtId="0" fontId="6" fillId="4" borderId="76" applyAlignment="1" applyProtection="1" pivotButton="0" quotePrefix="0" xfId="3">
      <alignment horizontal="left" vertical="center" wrapText="1"/>
      <protection locked="0" hidden="0"/>
    </xf>
    <xf numFmtId="0" fontId="6" fillId="4" borderId="77" applyAlignment="1" applyProtection="1" pivotButton="0" quotePrefix="0" xfId="2">
      <alignment horizontal="center" vertical="center" wrapText="1"/>
      <protection locked="0" hidden="0"/>
    </xf>
    <xf numFmtId="0" fontId="6" fillId="4" borderId="42" applyAlignment="1" applyProtection="1" pivotButton="0" quotePrefix="0" xfId="2">
      <alignment horizontal="center" vertical="center" wrapText="1"/>
      <protection locked="0" hidden="0"/>
    </xf>
    <xf numFmtId="0" fontId="6" fillId="4" borderId="18" applyAlignment="1" applyProtection="1" pivotButton="0" quotePrefix="0" xfId="3">
      <alignment horizontal="left" vertical="center" wrapText="1"/>
      <protection locked="0" hidden="0"/>
    </xf>
    <xf numFmtId="0" fontId="6" fillId="4" borderId="75" applyAlignment="1" applyProtection="1" pivotButton="0" quotePrefix="0" xfId="3">
      <alignment horizontal="left" vertical="center" wrapText="1"/>
      <protection locked="0" hidden="0"/>
    </xf>
    <xf numFmtId="0" fontId="6" fillId="4" borderId="16" applyAlignment="1" pivotButton="0" quotePrefix="0" xfId="0">
      <alignment vertical="center" wrapText="1"/>
    </xf>
    <xf numFmtId="0" fontId="6" fillId="4" borderId="13" applyAlignment="1" pivotButton="0" quotePrefix="0" xfId="2">
      <alignment horizontal="center" vertical="center" wrapText="1"/>
    </xf>
    <xf numFmtId="0" fontId="6" fillId="4" borderId="13" applyAlignment="1" pivotButton="0" quotePrefix="0" xfId="2">
      <alignment horizontal="left" vertical="center" wrapText="1"/>
    </xf>
    <xf numFmtId="0" fontId="6" fillId="4" borderId="16" applyAlignment="1" applyProtection="1" pivotButton="0" quotePrefix="0" xfId="0">
      <alignment vertical="center" wrapText="1"/>
      <protection locked="0" hidden="0"/>
    </xf>
    <xf numFmtId="0" fontId="6" fillId="4" borderId="13" applyAlignment="1" applyProtection="1" pivotButton="0" quotePrefix="0" xfId="2">
      <alignment horizontal="center" vertical="center" wrapText="1"/>
      <protection locked="0" hidden="0"/>
    </xf>
    <xf numFmtId="0" fontId="6" fillId="4" borderId="13" applyAlignment="1" pivotButton="0" quotePrefix="0" xfId="0">
      <alignment vertical="center" wrapText="1"/>
    </xf>
    <xf numFmtId="0" fontId="6" fillId="4" borderId="16" applyAlignment="1" applyProtection="1" pivotButton="0" quotePrefix="0" xfId="2">
      <alignment horizontal="left" vertical="center" wrapText="1"/>
      <protection locked="0" hidden="0"/>
    </xf>
    <xf numFmtId="0" fontId="9" fillId="11" borderId="16" applyAlignment="1" applyProtection="1" pivotButton="0" quotePrefix="0" xfId="0">
      <alignment horizontal="left" vertical="center" wrapText="1"/>
      <protection locked="0" hidden="0"/>
    </xf>
    <xf numFmtId="0" fontId="10" fillId="11" borderId="16" applyAlignment="1" applyProtection="1" pivotButton="0" quotePrefix="0" xfId="0">
      <alignment horizontal="center" vertical="center" wrapText="1"/>
      <protection locked="0" hidden="0"/>
    </xf>
    <xf numFmtId="0" fontId="6" fillId="11" borderId="2" applyAlignment="1" applyProtection="1" pivotButton="0" quotePrefix="0" xfId="0">
      <alignment horizontal="center" vertical="center" wrapText="1"/>
      <protection locked="0" hidden="0"/>
    </xf>
    <xf numFmtId="0" fontId="6" fillId="4" borderId="46" applyAlignment="1" applyProtection="1" pivotButton="0" quotePrefix="0" xfId="3">
      <alignment horizontal="left" vertical="center" wrapText="1"/>
      <protection locked="0" hidden="0"/>
    </xf>
    <xf numFmtId="0" fontId="6" fillId="4" borderId="46" applyAlignment="1" applyProtection="1" pivotButton="0" quotePrefix="0" xfId="3">
      <alignment horizontal="right" vertical="center" wrapText="1"/>
      <protection locked="0" hidden="0"/>
    </xf>
    <xf numFmtId="0" fontId="10" fillId="4" borderId="34" applyAlignment="1" applyProtection="1" pivotButton="0" quotePrefix="0" xfId="3">
      <alignment horizontal="left" vertical="center" wrapText="1"/>
      <protection locked="0" hidden="0"/>
    </xf>
    <xf numFmtId="0" fontId="6" fillId="4" borderId="14" applyAlignment="1" applyProtection="1" pivotButton="0" quotePrefix="0" xfId="3">
      <alignment horizontal="left" vertical="center" wrapText="1"/>
      <protection locked="0" hidden="0"/>
    </xf>
    <xf numFmtId="0" fontId="10" fillId="4" borderId="1" applyAlignment="1" applyProtection="1" pivotButton="0" quotePrefix="0" xfId="3">
      <alignment vertical="center" wrapText="1"/>
      <protection locked="0" hidden="0"/>
    </xf>
    <xf numFmtId="0" fontId="6" fillId="4" borderId="13" applyAlignment="1" applyProtection="1" pivotButton="0" quotePrefix="0" xfId="0">
      <alignment horizontal="left" vertical="center" wrapText="1"/>
      <protection locked="0" hidden="0"/>
    </xf>
    <xf numFmtId="0" fontId="8" fillId="4" borderId="2" applyAlignment="1" applyProtection="1" pivotButton="0" quotePrefix="0" xfId="0">
      <alignment horizontal="center" vertical="center" wrapText="1"/>
      <protection locked="0" hidden="0"/>
    </xf>
    <xf numFmtId="0" fontId="6" fillId="4" borderId="47" applyAlignment="1" applyProtection="1" pivotButton="0" quotePrefix="0" xfId="3">
      <alignment horizontal="center" vertical="center" wrapText="1"/>
      <protection locked="0" hidden="0"/>
    </xf>
    <xf numFmtId="0" fontId="6" fillId="4" borderId="34" applyAlignment="1" applyProtection="1" pivotButton="0" quotePrefix="0" xfId="3">
      <alignment horizontal="center" vertical="center" wrapText="1"/>
      <protection locked="0" hidden="0"/>
    </xf>
    <xf numFmtId="0" fontId="6" fillId="4" borderId="1" applyAlignment="1" applyProtection="1" pivotButton="0" quotePrefix="0" xfId="3">
      <alignment horizontal="left" vertical="center" wrapText="1"/>
      <protection locked="0" hidden="0"/>
    </xf>
    <xf numFmtId="0" fontId="6" fillId="4" borderId="1" applyAlignment="1" applyProtection="1" pivotButton="0" quotePrefix="0" xfId="3">
      <alignment horizontal="right" vertical="center" wrapText="1"/>
      <protection locked="0" hidden="0"/>
    </xf>
    <xf numFmtId="0" fontId="6" fillId="11" borderId="1" applyAlignment="1" applyProtection="1" pivotButton="0" quotePrefix="0" xfId="0">
      <alignment horizontal="center" vertical="center" wrapText="1"/>
      <protection locked="0" hidden="0"/>
    </xf>
    <xf numFmtId="0" fontId="6" fillId="4" borderId="18" applyAlignment="1" applyProtection="1" pivotButton="0" quotePrefix="0" xfId="3">
      <alignment horizontal="center" vertical="center" wrapText="1"/>
      <protection locked="0" hidden="0"/>
    </xf>
    <xf numFmtId="0" fontId="6" fillId="4" borderId="78" applyAlignment="1" applyProtection="1" pivotButton="0" quotePrefix="0" xfId="3">
      <alignment horizontal="center" vertical="center" wrapText="1"/>
      <protection locked="0" hidden="0"/>
    </xf>
    <xf numFmtId="0" fontId="8" fillId="4" borderId="78" applyAlignment="1" applyProtection="1" pivotButton="0" quotePrefix="0" xfId="14">
      <alignment horizontal="center" vertical="center" wrapText="1"/>
      <protection locked="0" hidden="0"/>
    </xf>
    <xf numFmtId="0" fontId="6" fillId="4" borderId="78" applyAlignment="1" applyProtection="1" pivotButton="0" quotePrefix="0" xfId="14">
      <alignment horizontal="center" vertical="center" wrapText="1"/>
      <protection locked="0" hidden="0"/>
    </xf>
    <xf numFmtId="0" fontId="6" fillId="4" borderId="78" applyAlignment="1" applyProtection="1" pivotButton="0" quotePrefix="0" xfId="2">
      <alignment horizontal="center" vertical="center" wrapText="1"/>
      <protection locked="0" hidden="0"/>
    </xf>
    <xf numFmtId="0" fontId="6" fillId="4" borderId="78" applyAlignment="1" applyProtection="1" pivotButton="0" quotePrefix="0" xfId="3">
      <alignment horizontal="right" vertical="center" wrapText="1"/>
      <protection locked="0" hidden="0"/>
    </xf>
    <xf numFmtId="0" fontId="6" fillId="11" borderId="78" applyAlignment="1" applyProtection="1" pivotButton="0" quotePrefix="0" xfId="0">
      <alignment horizontal="center" vertical="center" wrapText="1"/>
      <protection locked="0" hidden="0"/>
    </xf>
    <xf numFmtId="0" fontId="6" fillId="4" borderId="1" applyAlignment="1" applyProtection="1" pivotButton="0" quotePrefix="0" xfId="3">
      <alignment horizontal="center" vertical="center" wrapText="1"/>
      <protection locked="0" hidden="0"/>
    </xf>
    <xf numFmtId="0" fontId="6" fillId="4" borderId="46" applyAlignment="1" applyProtection="1" pivotButton="0" quotePrefix="0" xfId="0">
      <alignment horizontal="center" vertical="center" wrapText="1"/>
      <protection locked="0" hidden="0"/>
    </xf>
    <xf numFmtId="0" fontId="6" fillId="4" borderId="1" applyAlignment="1" applyProtection="1" pivotButton="0" quotePrefix="0" xfId="0">
      <alignment horizontal="center" vertical="center" wrapText="1"/>
      <protection locked="0" hidden="0"/>
    </xf>
    <xf numFmtId="0" fontId="6" fillId="4" borderId="63" applyAlignment="1" applyProtection="1" pivotButton="0" quotePrefix="0" xfId="3">
      <alignment horizontal="left" vertical="center" wrapText="1"/>
      <protection locked="0" hidden="0"/>
    </xf>
    <xf numFmtId="0" fontId="6" fillId="4" borderId="27"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protection locked="0" hidden="0"/>
    </xf>
    <xf numFmtId="0" fontId="8" fillId="3" borderId="3" applyAlignment="1" pivotButton="0" quotePrefix="0" xfId="2">
      <alignment horizontal="center" vertical="center" wrapText="1"/>
    </xf>
    <xf numFmtId="0" fontId="8" fillId="3" borderId="31" applyAlignment="1" pivotButton="0" quotePrefix="0" xfId="2">
      <alignment horizontal="center" vertical="center" wrapText="1"/>
    </xf>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0" fontId="6" fillId="0" borderId="78" applyAlignment="1" pivotButton="0" quotePrefix="0" xfId="3">
      <alignment horizontal="right" vertical="center" wrapText="1"/>
    </xf>
    <xf numFmtId="9" fontId="6" fillId="0" borderId="0" applyAlignment="1" pivotButton="0" quotePrefix="0" xfId="11">
      <alignment horizontal="center" vertical="center"/>
    </xf>
    <xf numFmtId="0" fontId="6" fillId="0" borderId="0" applyAlignment="1" pivotButton="0" quotePrefix="0" xfId="0">
      <alignment horizontal="right" vertical="center" wrapText="1"/>
    </xf>
    <xf numFmtId="0" fontId="8" fillId="4" borderId="2" applyAlignment="1" pivotButton="0" quotePrefix="0" xfId="14">
      <alignment horizontal="center" vertical="center" wrapText="1"/>
    </xf>
    <xf numFmtId="0" fontId="6" fillId="4" borderId="2" applyAlignment="1" pivotButton="0" quotePrefix="0" xfId="14">
      <alignment horizontal="center" vertical="center" wrapText="1"/>
    </xf>
    <xf numFmtId="0" fontId="6" fillId="4" borderId="16" applyAlignment="1" pivotButton="0" quotePrefix="0" xfId="3">
      <alignment horizontal="left" vertical="center" wrapText="1"/>
    </xf>
    <xf numFmtId="0" fontId="6" fillId="4" borderId="16" applyAlignment="1" pivotButton="0" quotePrefix="0" xfId="0">
      <alignment horizontal="left" vertical="center" wrapText="1"/>
    </xf>
    <xf numFmtId="0" fontId="6" fillId="4" borderId="16" applyAlignment="1" applyProtection="1" pivotButton="0" quotePrefix="0" xfId="0">
      <alignment horizontal="left" vertical="center" wrapText="1"/>
      <protection locked="0" hidden="0"/>
    </xf>
    <xf numFmtId="0" fontId="6" fillId="4" borderId="78" applyAlignment="1" pivotButton="0" quotePrefix="0" xfId="2">
      <alignment horizontal="center" vertical="center" wrapText="1"/>
    </xf>
    <xf numFmtId="0" fontId="6" fillId="0" borderId="1" applyAlignment="1" pivotButton="0" quotePrefix="0" xfId="0">
      <alignment horizontal="right" vertical="center" wrapText="1"/>
    </xf>
    <xf numFmtId="0" fontId="6" fillId="0" borderId="46" applyAlignment="1" pivotButton="0" quotePrefix="0" xfId="0">
      <alignment wrapText="1"/>
    </xf>
    <xf numFmtId="0" fontId="6" fillId="4" borderId="48" applyAlignment="1" pivotButton="0" quotePrefix="0" xfId="0">
      <alignment horizontal="left" vertical="center" wrapText="1"/>
    </xf>
    <xf numFmtId="9" fontId="6" fillId="4" borderId="0" applyAlignment="1" applyProtection="1" pivotButton="0" quotePrefix="0" xfId="11">
      <alignment horizontal="center" vertical="center"/>
      <protection locked="0" hidden="0"/>
    </xf>
    <xf numFmtId="165" fontId="6" fillId="4" borderId="0" applyAlignment="1" applyProtection="1" pivotButton="0" quotePrefix="0" xfId="0">
      <alignment horizontal="center" vertical="center"/>
      <protection locked="0" hidden="0"/>
    </xf>
    <xf numFmtId="9" fontId="6" fillId="4" borderId="0" applyAlignment="1" applyProtection="1" pivotButton="0" quotePrefix="0" xfId="11">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9" fontId="6" fillId="0" borderId="0" applyAlignment="1" pivotButton="0" quotePrefix="0" xfId="11">
      <alignment horizontal="center" vertical="center" wrapText="1"/>
    </xf>
    <xf numFmtId="165" fontId="6" fillId="0" borderId="0" applyAlignment="1" pivotButton="0" quotePrefix="0" xfId="0">
      <alignment horizontal="center" vertical="center" wrapText="1"/>
    </xf>
    <xf numFmtId="9" fontId="6" fillId="10" borderId="0" applyAlignment="1" pivotButton="0" quotePrefix="0" xfId="11">
      <alignment horizontal="left" vertical="center"/>
    </xf>
    <xf numFmtId="165" fontId="6" fillId="10" borderId="0" applyAlignment="1" pivotButton="0" quotePrefix="0" xfId="0">
      <alignment horizontal="left" vertical="center"/>
    </xf>
    <xf numFmtId="0" fontId="6" fillId="4" borderId="0" applyAlignment="1" pivotButton="0" quotePrefix="0" xfId="0">
      <alignment vertical="center" wrapText="1"/>
    </xf>
    <xf numFmtId="0" fontId="6" fillId="4" borderId="2" applyAlignment="1" pivotButton="0" quotePrefix="0" xfId="2">
      <alignment horizontal="center" vertical="center" wrapText="1"/>
    </xf>
    <xf numFmtId="0" fontId="6" fillId="4" borderId="13" applyAlignment="1" pivotButton="0" quotePrefix="0" xfId="3">
      <alignment horizontal="left" vertical="center" wrapText="1"/>
    </xf>
    <xf numFmtId="49" fontId="6" fillId="4" borderId="36" applyAlignment="1" pivotButton="0" quotePrefix="0" xfId="0">
      <alignment horizontal="left" vertical="center" wrapText="1"/>
    </xf>
    <xf numFmtId="165"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165"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0" applyAlignment="1" applyProtection="1" pivotButton="0" quotePrefix="0" xfId="11">
      <alignment horizontal="right" vertical="center"/>
      <protection locked="0" hidden="0"/>
    </xf>
    <xf numFmtId="0" fontId="8" fillId="0" borderId="30" applyAlignment="1" applyProtection="1" pivotButton="0" quotePrefix="0" xfId="0">
      <alignment horizontal="right" vertical="center"/>
      <protection locked="0" hidden="0"/>
    </xf>
    <xf numFmtId="2" fontId="8" fillId="0" borderId="31" applyAlignment="1" applyProtection="1" pivotButton="0" quotePrefix="0" xfId="0">
      <alignment horizontal="right" vertical="center"/>
      <protection locked="0" hidden="0"/>
    </xf>
    <xf numFmtId="9" fontId="8" fillId="0" borderId="61" applyAlignment="1" applyProtection="1" pivotButton="0" quotePrefix="0" xfId="11">
      <alignment horizontal="right" vertical="center"/>
      <protection locked="0" hidden="0"/>
    </xf>
    <xf numFmtId="0" fontId="8" fillId="0" borderId="61" applyAlignment="1" applyProtection="1" pivotButton="0" quotePrefix="0" xfId="0">
      <alignment horizontal="right" vertical="center"/>
      <protection locked="0" hidden="0"/>
    </xf>
    <xf numFmtId="2" fontId="8" fillId="0" borderId="60" applyAlignment="1" applyProtection="1" pivotButton="0" quotePrefix="0" xfId="0">
      <alignment horizontal="right" vertical="center"/>
      <protection locked="0" hidden="0"/>
    </xf>
    <xf numFmtId="2" fontId="8" fillId="0" borderId="10" applyAlignment="1" applyProtection="1" pivotButton="0" quotePrefix="0" xfId="0">
      <alignment horizontal="right" vertical="center"/>
      <protection locked="0" hidden="0"/>
    </xf>
    <xf numFmtId="0" fontId="17" fillId="0" borderId="13" applyAlignment="1" pivotButton="0" quotePrefix="0" xfId="5">
      <alignment horizontal="left" vertical="center" wrapText="1"/>
    </xf>
    <xf numFmtId="0" fontId="17" fillId="0" borderId="13" applyAlignment="1" pivotButton="0" quotePrefix="0" xfId="3">
      <alignment horizontal="left" vertical="center" wrapText="1"/>
    </xf>
    <xf numFmtId="0" fontId="17" fillId="0" borderId="14" applyAlignment="1" pivotButton="0" quotePrefix="0" xfId="3">
      <alignment horizontal="left" vertical="center" wrapText="1"/>
    </xf>
    <xf numFmtId="0" fontId="17" fillId="0" borderId="16" applyAlignment="1" pivotButton="0" quotePrefix="0" xfId="2">
      <alignment horizontal="left" vertical="center"/>
    </xf>
    <xf numFmtId="0" fontId="17" fillId="4" borderId="16" applyAlignment="1" pivotButton="0" quotePrefix="0" xfId="3">
      <alignment horizontal="left" vertical="center" wrapText="1"/>
    </xf>
    <xf numFmtId="0" fontId="17" fillId="0" borderId="78" applyProtection="1" pivotButton="0" quotePrefix="0" xfId="3">
      <protection locked="0" hidden="0"/>
    </xf>
    <xf numFmtId="0" fontId="17" fillId="0" borderId="78" applyAlignment="1" pivotButton="0" quotePrefix="0" xfId="3">
      <alignment horizontal="left" vertical="center" wrapText="1"/>
    </xf>
    <xf numFmtId="0" fontId="17" fillId="0" borderId="16" applyAlignment="1" pivotButton="0" quotePrefix="0" xfId="2">
      <alignment horizontal="left" vertical="center" wrapText="1"/>
    </xf>
    <xf numFmtId="0" fontId="18" fillId="0" borderId="78" applyAlignment="1" applyProtection="1" pivotButton="0" quotePrefix="0" xfId="3">
      <alignment vertical="center" wrapText="1"/>
      <protection locked="0" hidden="0"/>
    </xf>
    <xf numFmtId="0" fontId="18" fillId="0" borderId="16" applyAlignment="1" applyProtection="1" pivotButton="0" quotePrefix="0" xfId="3">
      <alignment vertical="center" wrapText="1"/>
      <protection locked="0" hidden="0"/>
    </xf>
    <xf numFmtId="0" fontId="17" fillId="4" borderId="12" applyAlignment="1" pivotButton="0" quotePrefix="0" xfId="3">
      <alignment horizontal="left" vertical="center" wrapText="1"/>
    </xf>
    <xf numFmtId="0" fontId="17" fillId="4" borderId="78" applyAlignment="1" pivotButton="0" quotePrefix="0" xfId="3">
      <alignment horizontal="left" vertical="center" wrapText="1"/>
    </xf>
    <xf numFmtId="0" fontId="17" fillId="4" borderId="78" applyAlignment="1" applyProtection="1" pivotButton="0" quotePrefix="0" xfId="3">
      <alignment horizontal="left" vertical="center" wrapText="1"/>
      <protection locked="0" hidden="0"/>
    </xf>
    <xf numFmtId="0" fontId="17" fillId="4" borderId="14" applyAlignment="1" pivotButton="0" quotePrefix="0" xfId="3">
      <alignment horizontal="left" vertical="center" wrapText="1"/>
    </xf>
    <xf numFmtId="0" fontId="17" fillId="4" borderId="16" applyAlignment="1" applyProtection="1" pivotButton="0" quotePrefix="0" xfId="3">
      <alignment horizontal="left" vertical="center" wrapText="1"/>
      <protection locked="0" hidden="0"/>
    </xf>
    <xf numFmtId="0" fontId="17" fillId="0" borderId="13" applyAlignment="1" pivotButton="0" quotePrefix="0" xfId="2">
      <alignment horizontal="left" vertical="center" wrapText="1"/>
    </xf>
    <xf numFmtId="0" fontId="17" fillId="4" borderId="13" applyAlignment="1" applyProtection="1" pivotButton="0" quotePrefix="0" xfId="2">
      <alignment horizontal="left" vertical="center" wrapText="1"/>
      <protection locked="0" hidden="0"/>
    </xf>
    <xf numFmtId="0" fontId="17" fillId="4" borderId="18" applyAlignment="1" applyProtection="1" pivotButton="0" quotePrefix="0" xfId="3">
      <alignment horizontal="left" vertical="center" wrapText="1"/>
      <protection locked="0" hidden="0"/>
    </xf>
    <xf numFmtId="0" fontId="17" fillId="4" borderId="13" applyAlignment="1" pivotButton="0" quotePrefix="0" xfId="2">
      <alignment horizontal="left" vertical="center" wrapText="1"/>
    </xf>
    <xf numFmtId="0" fontId="17" fillId="0" borderId="78" applyAlignment="1" pivotButton="0" quotePrefix="0" xfId="2">
      <alignment horizontal="left" vertical="center" wrapText="1"/>
    </xf>
    <xf numFmtId="0" fontId="17" fillId="4" borderId="16" applyAlignment="1" applyProtection="1" pivotButton="0" quotePrefix="0" xfId="2">
      <alignment horizontal="left" vertical="center" wrapText="1"/>
      <protection locked="0" hidden="0"/>
    </xf>
    <xf numFmtId="0" fontId="17" fillId="0" borderId="0" applyAlignment="1" pivotButton="0" quotePrefix="0" xfId="3">
      <alignment horizontal="left" vertical="center" wrapText="1"/>
    </xf>
    <xf numFmtId="0" fontId="17" fillId="0" borderId="13" applyAlignment="1" pivotButton="0" quotePrefix="0" xfId="0">
      <alignment vertical="center"/>
    </xf>
    <xf numFmtId="0" fontId="17" fillId="4" borderId="13" applyAlignment="1" applyProtection="1" pivotButton="0" quotePrefix="0" xfId="3">
      <alignment horizontal="left" vertical="center" wrapText="1"/>
      <protection locked="0" hidden="0"/>
    </xf>
    <xf numFmtId="0" fontId="17" fillId="4" borderId="14" applyAlignment="1" applyProtection="1" pivotButton="0" quotePrefix="0" xfId="3">
      <alignment horizontal="left" vertical="center" wrapText="1"/>
      <protection locked="0" hidden="0"/>
    </xf>
    <xf numFmtId="0" fontId="17" fillId="0" borderId="18" applyAlignment="1" pivotButton="0" quotePrefix="0" xfId="3">
      <alignment horizontal="left" vertical="center" wrapText="1"/>
    </xf>
    <xf numFmtId="0" fontId="17" fillId="4" borderId="1" applyAlignment="1" applyProtection="1" pivotButton="0" quotePrefix="0" xfId="3">
      <alignment horizontal="left" vertical="center" wrapText="1"/>
      <protection locked="0" hidden="0"/>
    </xf>
    <xf numFmtId="0" fontId="17" fillId="0" borderId="0" applyProtection="1" pivotButton="0" quotePrefix="0" xfId="0">
      <protection locked="0" hidden="0"/>
    </xf>
    <xf numFmtId="0" fontId="18" fillId="0" borderId="30" applyProtection="1" pivotButton="0" quotePrefix="0" xfId="0">
      <protection locked="0" hidden="0"/>
    </xf>
    <xf numFmtId="0" fontId="18" fillId="0" borderId="61" applyProtection="1" pivotButton="0" quotePrefix="0" xfId="0">
      <protection locked="0" hidden="0"/>
    </xf>
    <xf numFmtId="0" fontId="8" fillId="4" borderId="0" applyAlignment="1" applyProtection="1" pivotButton="0" quotePrefix="0" xfId="0">
      <alignment horizontal="center" vertical="center"/>
      <protection locked="0" hidden="0"/>
    </xf>
    <xf numFmtId="0" fontId="18" fillId="4" borderId="16" applyAlignment="1" pivotButton="0" quotePrefix="0" xfId="3">
      <alignment horizontal="left" vertical="center" wrapText="1"/>
    </xf>
    <xf numFmtId="0" fontId="18" fillId="0" borderId="15" applyAlignment="1" pivotButton="0" quotePrefix="0" xfId="2">
      <alignment horizontal="left" vertical="center" wrapText="1"/>
    </xf>
    <xf numFmtId="0" fontId="6" fillId="4" borderId="78" applyAlignment="1" applyProtection="1" pivotButton="0" quotePrefix="0" xfId="3">
      <alignment horizontal="center" vertical="center"/>
      <protection locked="0" hidden="0"/>
    </xf>
    <xf numFmtId="0" fontId="1" fillId="0" borderId="20" pivotButton="0" quotePrefix="0" xfId="20"/>
    <xf numFmtId="0" fontId="1" fillId="0" borderId="23" pivotButton="0" quotePrefix="0" xfId="20"/>
    <xf numFmtId="0" fontId="1" fillId="0" borderId="23" applyAlignment="1" pivotButton="0" quotePrefix="0" xfId="20">
      <alignment horizontal="left" vertical="center"/>
    </xf>
    <xf numFmtId="0" fontId="1" fillId="0" borderId="21" pivotButton="0" quotePrefix="0" xfId="20"/>
    <xf numFmtId="0" fontId="1" fillId="0" borderId="52" pivotButton="0" quotePrefix="0" xfId="20"/>
    <xf numFmtId="0" fontId="11" fillId="0" borderId="4" applyAlignment="1" pivotButton="0" quotePrefix="0" xfId="20">
      <alignment horizontal="center"/>
    </xf>
    <xf numFmtId="0" fontId="11" fillId="0" borderId="3" applyAlignment="1" pivotButton="0" quotePrefix="0" xfId="20">
      <alignment horizontal="center"/>
    </xf>
    <xf numFmtId="0" fontId="11" fillId="0" borderId="15" applyAlignment="1" pivotButton="0" quotePrefix="0" xfId="20">
      <alignment horizontal="center"/>
    </xf>
    <xf numFmtId="0" fontId="11" fillId="0" borderId="37" applyAlignment="1" pivotButton="0" quotePrefix="0" xfId="20">
      <alignment horizontal="center" vertical="center"/>
    </xf>
    <xf numFmtId="0" fontId="11" fillId="0" borderId="65" applyAlignment="1" pivotButton="0" quotePrefix="0" xfId="21">
      <alignment horizontal="center" vertical="center"/>
    </xf>
    <xf numFmtId="0" fontId="11" fillId="0" borderId="31" applyAlignment="1" pivotButton="0" quotePrefix="0" xfId="20">
      <alignment horizontal="center"/>
    </xf>
    <xf numFmtId="0" fontId="1" fillId="0" borderId="22" pivotButton="0" quotePrefix="0" xfId="20"/>
    <xf numFmtId="0" fontId="12" fillId="0" borderId="41" applyAlignment="1" pivotButton="0" quotePrefix="0" xfId="20">
      <alignment vertical="center"/>
    </xf>
    <xf numFmtId="1" fontId="1" fillId="7" borderId="78" applyAlignment="1" pivotButton="0" quotePrefix="0" xfId="21">
      <alignment horizontal="center" vertical="center"/>
    </xf>
    <xf numFmtId="0" fontId="1" fillId="7" borderId="57" applyAlignment="1" applyProtection="1" pivotButton="0" quotePrefix="0" xfId="20">
      <alignment horizontal="center" vertical="center"/>
      <protection locked="0" hidden="0"/>
    </xf>
    <xf numFmtId="0" fontId="12" fillId="0" borderId="43" applyAlignment="1" pivotButton="0" quotePrefix="0" xfId="20">
      <alignment horizontal="left" vertical="center" wrapText="1"/>
    </xf>
    <xf numFmtId="0" fontId="12" fillId="0" borderId="78" applyAlignment="1" pivotButton="0" quotePrefix="0" xfId="21">
      <alignment vertical="center" wrapText="1"/>
    </xf>
    <xf numFmtId="0" fontId="12" fillId="0" borderId="42" applyAlignment="1" pivotButton="0" quotePrefix="0" xfId="20">
      <alignment horizontal="center" vertical="center" wrapText="1"/>
    </xf>
    <xf numFmtId="0" fontId="12" fillId="0" borderId="44" applyAlignment="1" pivotButton="0" quotePrefix="0" xfId="20">
      <alignment horizontal="center" vertical="center" wrapText="1"/>
    </xf>
    <xf numFmtId="0" fontId="12" fillId="0" borderId="7" applyAlignment="1" pivotButton="0" quotePrefix="0" xfId="20">
      <alignment vertical="center"/>
    </xf>
    <xf numFmtId="0" fontId="1" fillId="7" borderId="13" applyAlignment="1" applyProtection="1" pivotButton="0" quotePrefix="0" xfId="20">
      <alignment horizontal="center" vertical="center"/>
      <protection locked="0" hidden="0"/>
    </xf>
    <xf numFmtId="0" fontId="12" fillId="0" borderId="39" applyAlignment="1" pivotButton="0" quotePrefix="0" xfId="20">
      <alignment horizontal="left" vertical="center" wrapText="1"/>
    </xf>
    <xf numFmtId="0" fontId="12" fillId="0" borderId="78" applyAlignment="1" pivotButton="0" quotePrefix="0" xfId="20">
      <alignment horizontal="center" vertical="center" wrapText="1"/>
    </xf>
    <xf numFmtId="0" fontId="12" fillId="0" borderId="38" applyAlignment="1" pivotButton="0" quotePrefix="0" xfId="20">
      <alignment horizontal="center" vertical="center" wrapText="1"/>
    </xf>
    <xf numFmtId="0" fontId="1" fillId="0" borderId="78" applyAlignment="1" pivotButton="0" quotePrefix="0" xfId="20">
      <alignment horizontal="center" vertical="center"/>
    </xf>
    <xf numFmtId="0" fontId="1" fillId="7" borderId="78" applyAlignment="1" applyProtection="1" pivotButton="0" quotePrefix="0" xfId="21">
      <alignment horizontal="center" vertical="center"/>
      <protection locked="0" hidden="0"/>
    </xf>
    <xf numFmtId="0" fontId="1" fillId="7" borderId="78" applyAlignment="1" applyProtection="1" pivotButton="0" quotePrefix="0" xfId="20">
      <alignment horizontal="center" vertical="center"/>
      <protection locked="0" hidden="0"/>
    </xf>
    <xf numFmtId="0" fontId="13" fillId="0" borderId="39" applyAlignment="1" pivotButton="0" quotePrefix="0" xfId="20">
      <alignment horizontal="left" vertical="center" wrapText="1"/>
    </xf>
    <xf numFmtId="0" fontId="13" fillId="0" borderId="78" applyAlignment="1" pivotButton="0" quotePrefix="0" xfId="21">
      <alignment vertical="center" wrapText="1"/>
    </xf>
    <xf numFmtId="0" fontId="13" fillId="0" borderId="78" applyAlignment="1" pivotButton="0" quotePrefix="0" xfId="20">
      <alignment horizontal="center" vertical="center" wrapText="1"/>
    </xf>
    <xf numFmtId="0" fontId="13" fillId="0" borderId="38" applyAlignment="1" pivotButton="0" quotePrefix="0" xfId="20">
      <alignment horizontal="center" vertical="center" wrapText="1"/>
    </xf>
    <xf numFmtId="0" fontId="13" fillId="0" borderId="66" applyAlignment="1" pivotButton="0" quotePrefix="0" xfId="21">
      <alignment vertical="center" wrapText="1"/>
    </xf>
    <xf numFmtId="0" fontId="13" fillId="0" borderId="40" applyAlignment="1" pivotButton="0" quotePrefix="0" xfId="20">
      <alignment horizontal="center" vertical="center" wrapText="1"/>
    </xf>
    <xf numFmtId="0" fontId="14" fillId="0" borderId="7" applyAlignment="1" pivotButton="0" quotePrefix="0" xfId="20">
      <alignment vertical="center"/>
    </xf>
    <xf numFmtId="0" fontId="1" fillId="7" borderId="78" applyAlignment="1" applyProtection="1" pivotButton="0" quotePrefix="0" xfId="21">
      <alignment horizontal="center" vertical="center" wrapText="1"/>
      <protection locked="0" hidden="0"/>
    </xf>
    <xf numFmtId="0" fontId="1" fillId="7" borderId="13" applyAlignment="1" applyProtection="1" pivotButton="0" quotePrefix="1" xfId="21">
      <alignment horizontal="center" vertical="center" wrapText="1"/>
      <protection locked="0" hidden="0"/>
    </xf>
    <xf numFmtId="0" fontId="13" fillId="0" borderId="39" applyAlignment="1" pivotButton="0" quotePrefix="0" xfId="21">
      <alignment vertical="center" wrapText="1"/>
    </xf>
    <xf numFmtId="0" fontId="13" fillId="0" borderId="63" applyAlignment="1" pivotButton="0" quotePrefix="0" xfId="20">
      <alignment horizontal="center" vertical="center" wrapText="1"/>
    </xf>
    <xf numFmtId="0" fontId="14" fillId="0" borderId="53" applyAlignment="1" pivotButton="0" quotePrefix="0" xfId="20">
      <alignment vertical="center"/>
    </xf>
    <xf numFmtId="2" fontId="1" fillId="4" borderId="9" applyAlignment="1" pivotButton="0" quotePrefix="0" xfId="21">
      <alignment horizontal="center" vertical="center"/>
    </xf>
    <xf numFmtId="2" fontId="1" fillId="7" borderId="64" applyAlignment="1" applyProtection="1" pivotButton="0" quotePrefix="0" xfId="21">
      <alignment horizontal="center" vertical="center" wrapText="1"/>
      <protection locked="0" hidden="0"/>
    </xf>
    <xf numFmtId="0" fontId="13" fillId="0" borderId="54" applyAlignment="1" pivotButton="0" quotePrefix="0" xfId="21">
      <alignment vertical="center" wrapText="1"/>
    </xf>
    <xf numFmtId="0" fontId="13" fillId="0" borderId="72" applyAlignment="1" pivotButton="0" quotePrefix="0" xfId="20">
      <alignment vertical="center" wrapText="1"/>
    </xf>
    <xf numFmtId="2" fontId="13" fillId="0" borderId="11" applyAlignment="1" pivotButton="0" quotePrefix="0" xfId="20">
      <alignment horizontal="center" vertical="center" wrapText="1"/>
    </xf>
    <xf numFmtId="2" fontId="13" fillId="0" borderId="49" applyAlignment="1" pivotButton="0" quotePrefix="0" xfId="21">
      <alignment horizontal="center" vertical="center" wrapText="1"/>
    </xf>
    <xf numFmtId="0" fontId="12" fillId="0" borderId="6" applyAlignment="1" pivotButton="0" quotePrefix="0" xfId="20">
      <alignment vertical="center"/>
    </xf>
    <xf numFmtId="0" fontId="1" fillId="7" borderId="16" applyAlignment="1" applyProtection="1" pivotButton="0" quotePrefix="0" xfId="20">
      <alignment horizontal="center" vertical="center"/>
      <protection locked="0" hidden="0"/>
    </xf>
    <xf numFmtId="0" fontId="12" fillId="0" borderId="55" applyAlignment="1" pivotButton="0" quotePrefix="0" xfId="20">
      <alignment horizontal="left" vertical="center" wrapText="1"/>
    </xf>
    <xf numFmtId="0" fontId="12" fillId="0" borderId="73" applyAlignment="1" pivotButton="0" quotePrefix="0" xfId="20">
      <alignment wrapText="1"/>
    </xf>
    <xf numFmtId="0" fontId="12" fillId="0" borderId="2" applyAlignment="1" pivotButton="0" quotePrefix="0" xfId="20">
      <alignment horizontal="center" vertical="center" wrapText="1"/>
    </xf>
    <xf numFmtId="0" fontId="12" fillId="0" borderId="56" applyAlignment="1" pivotButton="0" quotePrefix="0" xfId="20">
      <alignment horizontal="center" vertical="center" wrapText="1"/>
    </xf>
    <xf numFmtId="0" fontId="12" fillId="0" borderId="7" applyAlignment="1" pivotButton="0" quotePrefix="0" xfId="21">
      <alignment horizontal="left" vertical="center"/>
    </xf>
    <xf numFmtId="1" fontId="1" fillId="0" borderId="78" applyAlignment="1" pivotButton="0" quotePrefix="0" xfId="21">
      <alignment horizontal="center" vertical="center"/>
    </xf>
    <xf numFmtId="1" fontId="1" fillId="7" borderId="13" applyAlignment="1" applyProtection="1" pivotButton="0" quotePrefix="0" xfId="21">
      <alignment horizontal="center" vertical="center"/>
      <protection locked="0" hidden="0"/>
    </xf>
    <xf numFmtId="0" fontId="13" fillId="0" borderId="39" applyAlignment="1" pivotButton="0" quotePrefix="0" xfId="20">
      <alignment vertical="center" wrapText="1"/>
    </xf>
    <xf numFmtId="0" fontId="13" fillId="0" borderId="66" applyAlignment="1" pivotButton="0" quotePrefix="0" xfId="20">
      <alignment vertical="center" wrapText="1"/>
    </xf>
    <xf numFmtId="3" fontId="13" fillId="0" borderId="78" applyAlignment="1" pivotButton="0" quotePrefix="0" xfId="21">
      <alignment horizontal="center" vertical="center" wrapText="1"/>
    </xf>
    <xf numFmtId="3" fontId="1" fillId="4" borderId="63" applyAlignment="1" pivotButton="0" quotePrefix="0" xfId="21">
      <alignment horizontal="center" vertical="center"/>
    </xf>
    <xf numFmtId="3" fontId="13" fillId="0" borderId="78" applyAlignment="1" pivotButton="0" quotePrefix="0" xfId="20">
      <alignment horizontal="center" vertical="center" wrapText="1"/>
    </xf>
    <xf numFmtId="0" fontId="13" fillId="4" borderId="0" applyAlignment="1" pivotButton="0" quotePrefix="0" xfId="20">
      <alignment wrapText="1"/>
    </xf>
    <xf numFmtId="0" fontId="13" fillId="0" borderId="71" applyAlignment="1" pivotButton="0" quotePrefix="0" xfId="20">
      <alignment vertical="center" wrapText="1"/>
    </xf>
    <xf numFmtId="0" fontId="1" fillId="0" borderId="24" pivotButton="0" quotePrefix="0" xfId="20"/>
    <xf numFmtId="0" fontId="14" fillId="0" borderId="8" applyAlignment="1" pivotButton="0" quotePrefix="0" xfId="20">
      <alignment vertical="center"/>
    </xf>
    <xf numFmtId="0" fontId="1" fillId="7" borderId="9" applyAlignment="1" applyProtection="1" pivotButton="0" quotePrefix="0" xfId="20">
      <alignment horizontal="center" vertical="center"/>
      <protection locked="0" hidden="0"/>
    </xf>
    <xf numFmtId="0" fontId="1" fillId="7" borderId="17" applyAlignment="1" applyProtection="1" pivotButton="0" quotePrefix="0" xfId="20">
      <alignment horizontal="center" vertical="center"/>
      <protection locked="0" hidden="0"/>
    </xf>
    <xf numFmtId="0" fontId="13" fillId="0" borderId="51" applyAlignment="1" pivotButton="0" quotePrefix="0" xfId="20">
      <alignment horizontal="left" vertical="center" wrapText="1"/>
    </xf>
    <xf numFmtId="0" fontId="13" fillId="0" borderId="68" applyAlignment="1" pivotButton="0" quotePrefix="0" xfId="20">
      <alignment vertical="center" wrapText="1"/>
    </xf>
    <xf numFmtId="0" fontId="13" fillId="0" borderId="9" applyAlignment="1" pivotButton="0" quotePrefix="0" xfId="20">
      <alignment horizontal="center" vertical="center" wrapText="1"/>
    </xf>
    <xf numFmtId="0" fontId="13" fillId="0" borderId="45" applyAlignment="1" pivotButton="0" quotePrefix="0" xfId="20">
      <alignment horizontal="center" vertical="center" wrapText="1"/>
    </xf>
    <xf numFmtId="0" fontId="1" fillId="0" borderId="26" applyAlignment="1" pivotButton="0" quotePrefix="0" xfId="20">
      <alignment wrapText="1"/>
    </xf>
    <xf numFmtId="0" fontId="12" fillId="0" borderId="53" applyAlignment="1" pivotButton="0" quotePrefix="0" xfId="20">
      <alignment vertical="center"/>
    </xf>
    <xf numFmtId="0" fontId="1" fillId="0" borderId="11" applyAlignment="1" pivotButton="0" quotePrefix="0" xfId="20">
      <alignment horizontal="center" vertical="center"/>
    </xf>
    <xf numFmtId="0" fontId="1" fillId="0" borderId="64" applyAlignment="1" pivotButton="0" quotePrefix="0" xfId="20">
      <alignment horizontal="center" vertical="center"/>
    </xf>
    <xf numFmtId="0" fontId="13" fillId="0" borderId="54" applyAlignment="1" pivotButton="0" quotePrefix="0" xfId="20">
      <alignment horizontal="left" vertical="center" wrapText="1"/>
    </xf>
    <xf numFmtId="0" fontId="13" fillId="4" borderId="67" applyAlignment="1" pivotButton="0" quotePrefix="0" xfId="21">
      <alignment vertical="center" wrapText="1"/>
    </xf>
    <xf numFmtId="0" fontId="13" fillId="0" borderId="11" applyAlignment="1" pivotButton="0" quotePrefix="0" xfId="20">
      <alignment horizontal="center" vertical="center" wrapText="1"/>
    </xf>
    <xf numFmtId="0" fontId="13" fillId="4" borderId="49" applyAlignment="1" pivotButton="0" quotePrefix="0" xfId="21">
      <alignment horizontal="center" vertical="center" wrapText="1"/>
    </xf>
    <xf numFmtId="0" fontId="14" fillId="0" borderId="41" applyAlignment="1" pivotButton="0" quotePrefix="0" xfId="20">
      <alignment horizontal="left" vertical="center" wrapText="1"/>
    </xf>
    <xf numFmtId="166" fontId="1" fillId="0" borderId="42" applyAlignment="1" applyProtection="1" pivotButton="0" quotePrefix="0" xfId="21">
      <alignment horizontal="center" vertical="center"/>
      <protection locked="0" hidden="0"/>
    </xf>
    <xf numFmtId="166" fontId="1" fillId="7" borderId="42" applyAlignment="1" applyProtection="1" pivotButton="0" quotePrefix="0" xfId="20">
      <alignment horizontal="center" vertical="center"/>
      <protection locked="0" hidden="0"/>
    </xf>
    <xf numFmtId="0" fontId="16" fillId="0" borderId="42" applyAlignment="1" pivotButton="0" quotePrefix="0" xfId="21">
      <alignment vertical="center" wrapText="1"/>
    </xf>
    <xf numFmtId="0" fontId="13" fillId="0" borderId="74" applyAlignment="1" pivotButton="0" quotePrefix="0" xfId="20">
      <alignment vertical="center" wrapText="1"/>
    </xf>
    <xf numFmtId="0" fontId="14" fillId="0" borderId="7" applyAlignment="1" pivotButton="0" quotePrefix="0" xfId="20">
      <alignment horizontal="left" vertical="center" wrapText="1"/>
    </xf>
    <xf numFmtId="166" fontId="1" fillId="0" borderId="12" applyAlignment="1" applyProtection="1" pivotButton="0" quotePrefix="0" xfId="21">
      <alignment horizontal="center" vertical="center"/>
      <protection locked="0" hidden="0"/>
    </xf>
    <xf numFmtId="166" fontId="1" fillId="7" borderId="78" applyAlignment="1" applyProtection="1" pivotButton="0" quotePrefix="0" xfId="20">
      <alignment horizontal="center" vertical="center"/>
      <protection locked="0" hidden="0"/>
    </xf>
    <xf numFmtId="0" fontId="16" fillId="0" borderId="78" applyAlignment="1" pivotButton="0" quotePrefix="0" xfId="21">
      <alignment vertical="center" wrapText="1"/>
    </xf>
    <xf numFmtId="0" fontId="13" fillId="0" borderId="69" applyAlignment="1" pivotButton="0" quotePrefix="0" xfId="20">
      <alignment vertical="center" wrapText="1"/>
    </xf>
    <xf numFmtId="0" fontId="14" fillId="0" borderId="8" applyAlignment="1" pivotButton="0" quotePrefix="0" xfId="20">
      <alignment horizontal="left" vertical="center" wrapText="1"/>
    </xf>
    <xf numFmtId="166" fontId="1" fillId="0" borderId="9" applyAlignment="1" applyProtection="1" pivotButton="0" quotePrefix="0" xfId="21">
      <alignment horizontal="center" vertical="center"/>
      <protection locked="0" hidden="0"/>
    </xf>
    <xf numFmtId="166" fontId="1" fillId="7" borderId="9" applyAlignment="1" applyProtection="1" pivotButton="0" quotePrefix="0" xfId="20">
      <alignment horizontal="center" vertical="center"/>
      <protection locked="0" hidden="0"/>
    </xf>
    <xf numFmtId="0" fontId="16" fillId="0" borderId="9" applyAlignment="1" pivotButton="0" quotePrefix="0" xfId="21">
      <alignment vertical="center" wrapText="1"/>
    </xf>
    <xf numFmtId="0" fontId="1" fillId="0" borderId="24" applyAlignment="1" pivotButton="0" quotePrefix="0" xfId="20">
      <alignment horizontal="left" vertical="center"/>
    </xf>
    <xf numFmtId="0" fontId="1" fillId="0" borderId="20" applyAlignment="1" pivotButton="0" quotePrefix="0" xfId="20">
      <alignment horizontal="left" vertical="center"/>
    </xf>
    <xf numFmtId="0" fontId="15" fillId="0" borderId="78" applyAlignment="1" pivotButton="0" quotePrefix="0" xfId="0">
      <alignment horizontal="center" vertical="center" wrapText="1"/>
    </xf>
    <xf numFmtId="0" fontId="15" fillId="0" borderId="78" applyAlignment="1" pivotButton="0" quotePrefix="0" xfId="0">
      <alignment horizontal="center" vertical="center"/>
    </xf>
    <xf numFmtId="0" fontId="8" fillId="7" borderId="78" applyAlignment="1" applyProtection="1" pivotButton="0" quotePrefix="0" xfId="7">
      <alignment horizontal="center" vertical="center"/>
      <protection locked="0" hidden="0"/>
    </xf>
    <xf numFmtId="0" fontId="5" fillId="0" borderId="78" pivotButton="0" quotePrefix="0" xfId="0"/>
    <xf numFmtId="0" fontId="5" fillId="0" borderId="78" applyAlignment="1" pivotButton="0" quotePrefix="0" xfId="0">
      <alignment horizontal="center"/>
    </xf>
    <xf numFmtId="0" fontId="5" fillId="0" borderId="78" applyAlignment="1" pivotButton="0" quotePrefix="0" xfId="0">
      <alignment readingOrder="2"/>
    </xf>
    <xf numFmtId="0" fontId="8" fillId="0" borderId="78" applyAlignment="1" pivotButton="0" quotePrefix="0" xfId="7">
      <alignment horizontal="center" vertical="center"/>
    </xf>
    <xf numFmtId="0" fontId="15" fillId="0" borderId="78" pivotButton="0" quotePrefix="0" xfId="0"/>
    <xf numFmtId="0" fontId="20" fillId="0" borderId="78" applyAlignment="1" pivotButton="0" quotePrefix="0" xfId="0">
      <alignment horizontal="center" vertical="top"/>
    </xf>
    <xf numFmtId="0" fontId="17" fillId="0" borderId="78" applyAlignment="1" applyProtection="1" pivotButton="0" quotePrefix="0" xfId="3">
      <alignment horizontal="left" vertical="center" wrapText="1"/>
      <protection locked="0" hidden="0"/>
    </xf>
    <xf numFmtId="0" fontId="9" fillId="0" borderId="34" applyAlignment="1" applyProtection="1" pivotButton="0" quotePrefix="0" xfId="3">
      <alignment horizontal="left" vertical="center" wrapText="1"/>
      <protection locked="0" hidden="0"/>
    </xf>
    <xf numFmtId="0" fontId="6" fillId="0" borderId="16" applyAlignment="1" applyProtection="1" pivotButton="0" quotePrefix="0" xfId="0">
      <alignment horizontal="center" vertical="center" wrapText="1"/>
      <protection locked="0" hidden="0"/>
    </xf>
    <xf numFmtId="0" fontId="8" fillId="0" borderId="1" applyAlignment="1" applyProtection="1" pivotButton="0" quotePrefix="0" xfId="14">
      <alignment horizontal="center" vertical="center" wrapText="1"/>
      <protection locked="0" hidden="0"/>
    </xf>
    <xf numFmtId="0" fontId="6" fillId="0" borderId="1" applyAlignment="1" applyProtection="1" pivotButton="0" quotePrefix="0" xfId="14">
      <alignment horizontal="center" vertical="center" wrapText="1"/>
      <protection locked="0" hidden="0"/>
    </xf>
    <xf numFmtId="0" fontId="18" fillId="0" borderId="78"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5" fontId="6" fillId="0" borderId="0" applyAlignment="1" applyProtection="1" pivotButton="0" quotePrefix="0" xfId="0">
      <alignment horizontal="center" vertical="center" wrapText="1"/>
      <protection locked="0" hidden="0"/>
    </xf>
    <xf numFmtId="0" fontId="6" fillId="0" borderId="0" applyAlignment="1" applyProtection="1" pivotButton="0" quotePrefix="0" xfId="3">
      <alignment horizontal="center" vertical="center" wrapText="1"/>
      <protection locked="0" hidden="0"/>
    </xf>
    <xf numFmtId="0" fontId="6" fillId="0" borderId="13" applyAlignment="1" applyProtection="1" pivotButton="0" quotePrefix="0" xfId="0">
      <alignment horizontal="center" vertical="center" wrapText="1"/>
      <protection locked="0" hidden="0"/>
    </xf>
    <xf numFmtId="0" fontId="6" fillId="0" borderId="46" applyAlignment="1" applyProtection="1" pivotButton="0" quotePrefix="0" xfId="3">
      <alignment horizontal="left" vertical="center" wrapText="1"/>
      <protection locked="0" hidden="0"/>
    </xf>
    <xf numFmtId="0" fontId="6" fillId="0" borderId="46" applyAlignment="1" applyProtection="1" pivotButton="0" quotePrefix="0" xfId="3">
      <alignment horizontal="right" vertical="center" wrapText="1"/>
      <protection locked="0" hidden="0"/>
    </xf>
    <xf numFmtId="0" fontId="10" fillId="0" borderId="34" applyAlignment="1" applyProtection="1" pivotButton="0" quotePrefix="0" xfId="3">
      <alignment horizontal="left" vertical="center" wrapText="1"/>
      <protection locked="0" hidden="0"/>
    </xf>
    <xf numFmtId="0" fontId="6" fillId="12" borderId="7" applyAlignment="1" applyProtection="1" pivotButton="0" quotePrefix="0" xfId="2">
      <alignment horizontal="center" vertical="center"/>
      <protection locked="0" hidden="0"/>
    </xf>
    <xf numFmtId="0" fontId="8" fillId="12" borderId="2" applyAlignment="1" applyProtection="1" pivotButton="0" quotePrefix="0" xfId="14">
      <alignment horizontal="center" vertical="center" wrapText="1"/>
      <protection locked="0" hidden="0"/>
    </xf>
    <xf numFmtId="0" fontId="6" fillId="12" borderId="2" applyAlignment="1" applyProtection="1" pivotButton="0" quotePrefix="0" xfId="2">
      <alignment horizontal="center" vertical="center"/>
      <protection locked="0" hidden="0"/>
    </xf>
    <xf numFmtId="0" fontId="6" fillId="12" borderId="2" applyAlignment="1" applyProtection="1" pivotButton="0" quotePrefix="0" xfId="2">
      <alignment horizontal="left" vertical="center" wrapText="1"/>
      <protection locked="0" hidden="0"/>
    </xf>
    <xf numFmtId="0" fontId="6" fillId="12" borderId="0" applyAlignment="1" applyProtection="1" pivotButton="0" quotePrefix="0" xfId="2">
      <alignment horizontal="right" vertical="center" wrapText="1"/>
      <protection locked="0" hidden="0"/>
    </xf>
    <xf numFmtId="0" fontId="6" fillId="12" borderId="16" applyAlignment="1" applyProtection="1" pivotButton="0" quotePrefix="0" xfId="3">
      <alignment horizontal="left" vertical="center" wrapText="1"/>
      <protection locked="0" hidden="0"/>
    </xf>
    <xf numFmtId="0" fontId="6" fillId="12" borderId="16" applyAlignment="1" applyProtection="1" pivotButton="0" quotePrefix="0" xfId="2">
      <alignment horizontal="left" vertical="center" wrapText="1"/>
      <protection locked="0" hidden="0"/>
    </xf>
    <xf numFmtId="0" fontId="17" fillId="12" borderId="16" applyAlignment="1" applyProtection="1" pivotButton="0" quotePrefix="0" xfId="2">
      <alignment horizontal="center" vertical="center" wrapText="1"/>
      <protection locked="0" hidden="0"/>
    </xf>
    <xf numFmtId="0" fontId="6" fillId="12" borderId="16" applyAlignment="1" applyProtection="1" pivotButton="0" quotePrefix="0" xfId="2">
      <alignment horizontal="center" vertical="center"/>
      <protection locked="0" hidden="0"/>
    </xf>
    <xf numFmtId="0" fontId="6" fillId="12" borderId="47" applyAlignment="1" applyProtection="1" pivotButton="0" quotePrefix="0" xfId="3">
      <alignment horizontal="left" vertical="center" wrapText="1"/>
      <protection locked="0" hidden="0"/>
    </xf>
    <xf numFmtId="9" fontId="6" fillId="12" borderId="0" applyAlignment="1" applyProtection="1" pivotButton="0" quotePrefix="0" xfId="11">
      <alignment horizontal="center" vertical="center"/>
      <protection locked="0" hidden="0"/>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applyProtection="1" pivotButton="0" quotePrefix="0" xfId="3">
      <alignment horizontal="center" vertical="center"/>
      <protection locked="0" hidden="0"/>
    </xf>
    <xf numFmtId="0" fontId="6" fillId="12" borderId="0" applyProtection="1" pivotButton="0" quotePrefix="0" xfId="0">
      <protection locked="0" hidden="0"/>
    </xf>
    <xf numFmtId="165" fontId="6" fillId="12" borderId="0" applyAlignment="1" applyProtection="1" pivotButton="0" quotePrefix="0" xfId="0">
      <alignment horizontal="center" vertical="center"/>
      <protection locked="0" hidden="0"/>
    </xf>
    <xf numFmtId="0" fontId="6" fillId="12" borderId="16" applyAlignment="1" applyProtection="1" pivotButton="0" quotePrefix="0" xfId="3">
      <alignment horizontal="center" vertical="center" wrapText="1"/>
      <protection locked="0" hidden="0"/>
    </xf>
    <xf numFmtId="0" fontId="19" fillId="0" borderId="78" applyAlignment="1" applyProtection="1" pivotButton="0" quotePrefix="0" xfId="3">
      <alignment horizontal="left" vertical="center" wrapText="1"/>
      <protection locked="0" hidden="0"/>
    </xf>
    <xf numFmtId="0" fontId="6" fillId="12" borderId="78" applyAlignment="1" applyProtection="1" pivotButton="0" quotePrefix="0" xfId="14">
      <alignment horizontal="center" vertical="center" wrapText="1"/>
      <protection locked="0" hidden="0"/>
    </xf>
    <xf numFmtId="0" fontId="6" fillId="12" borderId="78" applyAlignment="1" applyProtection="1" pivotButton="0" quotePrefix="0" xfId="3">
      <alignment horizontal="left" vertical="center" wrapText="1"/>
      <protection locked="0" hidden="0"/>
    </xf>
    <xf numFmtId="0" fontId="6" fillId="12" borderId="78" applyAlignment="1" applyProtection="1" pivotButton="0" quotePrefix="0" xfId="2">
      <alignment horizontal="center" vertical="center" wrapText="1"/>
      <protection locked="0" hidden="0"/>
    </xf>
    <xf numFmtId="0" fontId="6" fillId="12" borderId="78" applyAlignment="1" applyProtection="1" pivotButton="0" quotePrefix="0" xfId="3">
      <alignment horizontal="right" vertical="center" wrapText="1"/>
      <protection locked="0" hidden="0"/>
    </xf>
    <xf numFmtId="0" fontId="6" fillId="12" borderId="78" applyAlignment="1" applyProtection="1" pivotButton="0" quotePrefix="0" xfId="3">
      <alignment horizontal="center" vertical="center" wrapText="1"/>
      <protection locked="0" hidden="0"/>
    </xf>
    <xf numFmtId="9" fontId="13" fillId="12" borderId="78" applyAlignment="1" applyProtection="1" pivotButton="0" quotePrefix="0" xfId="11">
      <alignment horizontal="center" vertical="center"/>
      <protection locked="0" hidden="0"/>
    </xf>
    <xf numFmtId="0" fontId="6" fillId="12" borderId="78" applyAlignment="1" applyProtection="1" pivotButton="0" quotePrefix="0" xfId="0">
      <alignment horizontal="center" vertical="center"/>
      <protection locked="0" hidden="0"/>
    </xf>
    <xf numFmtId="165" fontId="13" fillId="12" borderId="0" applyAlignment="1" applyProtection="1" pivotButton="0" quotePrefix="0" xfId="0">
      <alignment horizontal="center" vertical="center"/>
      <protection locked="0" hidden="0"/>
    </xf>
    <xf numFmtId="0" fontId="6" fillId="12" borderId="6" applyAlignment="1" applyProtection="1" pivotButton="0" quotePrefix="0" xfId="2">
      <alignment horizontal="center" vertical="center"/>
      <protection locked="0" hidden="0"/>
    </xf>
    <xf numFmtId="0" fontId="6" fillId="12" borderId="2" applyAlignment="1" pivotButton="0" quotePrefix="0" xfId="0">
      <alignment horizontal="center" vertical="center" wrapText="1"/>
    </xf>
    <xf numFmtId="0" fontId="6" fillId="12" borderId="16" applyAlignment="1" pivotButton="0" quotePrefix="0" xfId="3">
      <alignment horizontal="center" vertical="center" wrapText="1"/>
    </xf>
    <xf numFmtId="0" fontId="6" fillId="12" borderId="13" applyAlignment="1" pivotButton="0" quotePrefix="0" xfId="2">
      <alignment horizontal="left" vertical="center" wrapText="1"/>
    </xf>
    <xf numFmtId="0" fontId="17" fillId="12" borderId="13" applyAlignment="1" pivotButton="0" quotePrefix="0" xfId="2">
      <alignment horizontal="left" vertical="center" wrapText="1"/>
    </xf>
    <xf numFmtId="0" fontId="6" fillId="12" borderId="13" applyAlignment="1" applyProtection="1" pivotButton="0" quotePrefix="0" xfId="2">
      <alignment horizontal="left" vertical="center" wrapText="1"/>
      <protection locked="0" hidden="0"/>
    </xf>
    <xf numFmtId="0" fontId="6" fillId="12" borderId="34"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8" fillId="12" borderId="0" applyAlignment="1" pivotButton="0" quotePrefix="0" xfId="3">
      <alignment horizontal="center" vertical="center"/>
    </xf>
    <xf numFmtId="165" fontId="6" fillId="12" borderId="0" applyAlignment="1" pivotButton="0" quotePrefix="0" xfId="0">
      <alignment horizontal="center" vertical="center"/>
    </xf>
    <xf numFmtId="0" fontId="19" fillId="12" borderId="13" applyAlignment="1" pivotButton="0" quotePrefix="0" xfId="2">
      <alignment horizontal="left" vertical="center" wrapText="1"/>
    </xf>
    <xf numFmtId="0" fontId="6" fillId="12" borderId="6" applyAlignment="1" applyProtection="1" pivotButton="0" quotePrefix="0" xfId="2">
      <alignment horizontal="center" vertical="center" wrapText="1"/>
      <protection locked="0" hidden="0"/>
    </xf>
    <xf numFmtId="0" fontId="8" fillId="12" borderId="2" applyAlignment="1" pivotButton="0" quotePrefix="0" xfId="14">
      <alignment horizontal="center" vertical="center" wrapText="1"/>
    </xf>
    <xf numFmtId="0" fontId="21" fillId="12" borderId="2" applyAlignment="1" pivotButton="0" quotePrefix="0" xfId="3">
      <alignment horizontal="left" vertical="center" wrapText="1"/>
    </xf>
    <xf numFmtId="0" fontId="6" fillId="12" borderId="2" applyAlignment="1" pivotButton="0" quotePrefix="0" xfId="2">
      <alignment horizontal="center" vertical="center" wrapText="1"/>
    </xf>
    <xf numFmtId="0" fontId="6" fillId="12" borderId="2" applyAlignment="1" pivotButton="0" quotePrefix="0" xfId="3">
      <alignment horizontal="right" vertical="center" wrapText="1"/>
    </xf>
    <xf numFmtId="0" fontId="6" fillId="12" borderId="2" applyAlignment="1" pivotButton="0" quotePrefix="0" xfId="3">
      <alignment horizontal="center" vertical="center" wrapText="1"/>
    </xf>
    <xf numFmtId="0" fontId="6" fillId="12" borderId="78" applyAlignment="1" pivotButton="0" quotePrefix="0" xfId="2">
      <alignment horizontal="center" vertical="center" wrapText="1"/>
    </xf>
    <xf numFmtId="0" fontId="6" fillId="12" borderId="16" applyAlignment="1" pivotButton="0" quotePrefix="0" xfId="3">
      <alignment horizontal="left" vertical="center" wrapText="1"/>
    </xf>
    <xf numFmtId="0" fontId="6" fillId="12" borderId="33" applyAlignment="1" applyProtection="1" pivotButton="0" quotePrefix="0" xfId="3">
      <alignment horizontal="left" vertical="center" wrapText="1"/>
      <protection locked="0" hidden="0"/>
    </xf>
    <xf numFmtId="9" fontId="13" fillId="12" borderId="0" applyAlignment="1" pivotButton="0" quotePrefix="0" xfId="11">
      <alignment horizontal="center" vertical="center"/>
    </xf>
    <xf numFmtId="0" fontId="6" fillId="12" borderId="0" applyAlignment="1" applyProtection="1" pivotButton="0" quotePrefix="0" xfId="0">
      <alignment horizontal="center" vertical="center" wrapText="1"/>
      <protection locked="0" hidden="0"/>
    </xf>
    <xf numFmtId="0" fontId="6" fillId="12" borderId="0" applyAlignment="1" applyProtection="1" pivotButton="0" quotePrefix="0" xfId="3">
      <alignment wrapText="1"/>
      <protection locked="0" hidden="0"/>
    </xf>
    <xf numFmtId="0" fontId="8" fillId="12" borderId="0" applyAlignment="1" pivotButton="0" quotePrefix="0" xfId="3">
      <alignment horizontal="center" vertical="center" wrapText="1"/>
    </xf>
    <xf numFmtId="0" fontId="6" fillId="12" borderId="0" applyAlignment="1" applyProtection="1" pivotButton="0" quotePrefix="0" xfId="0">
      <alignment wrapText="1"/>
      <protection locked="0" hidden="0"/>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0" fontId="6" fillId="4" borderId="46" applyAlignment="1" applyProtection="1" pivotButton="0" quotePrefix="0" xfId="0">
      <alignment horizontal="center" vertical="center"/>
      <protection locked="0" hidden="0"/>
    </xf>
    <xf numFmtId="0" fontId="6" fillId="12" borderId="2" applyAlignment="1" pivotButton="0" quotePrefix="0" xfId="14">
      <alignment horizontal="center" vertical="center" wrapText="1"/>
    </xf>
    <xf numFmtId="0" fontId="6" fillId="12" borderId="78" applyAlignment="1" pivotButton="0" quotePrefix="0" xfId="3">
      <alignment horizontal="left" vertical="center" wrapText="1"/>
    </xf>
    <xf numFmtId="0" fontId="6" fillId="12" borderId="78" applyAlignment="1" pivotButton="0" quotePrefix="0" xfId="0">
      <alignment horizontal="center" vertical="center" wrapText="1"/>
    </xf>
    <xf numFmtId="0" fontId="6" fillId="12" borderId="0" applyAlignment="1" pivotButton="0" quotePrefix="0" xfId="3">
      <alignment horizontal="left" vertical="center" wrapText="1"/>
    </xf>
    <xf numFmtId="0" fontId="6" fillId="12" borderId="46" applyAlignment="1" pivotButton="0" quotePrefix="0" xfId="3">
      <alignment horizontal="left" vertical="center" wrapText="1"/>
    </xf>
    <xf numFmtId="0" fontId="6" fillId="12" borderId="13" applyAlignment="1" pivotButton="0" quotePrefix="0" xfId="3">
      <alignment horizontal="left" vertical="center" wrapText="1"/>
    </xf>
    <xf numFmtId="0" fontId="17" fillId="12" borderId="16" applyAlignment="1" pivotButton="0" quotePrefix="0" xfId="3">
      <alignment horizontal="left" vertical="center" wrapText="1"/>
    </xf>
    <xf numFmtId="0" fontId="6" fillId="12" borderId="16" applyAlignment="1" pivotButton="0" quotePrefix="0" xfId="0">
      <alignment horizontal="left" vertical="center" wrapText="1"/>
    </xf>
    <xf numFmtId="0" fontId="6" fillId="12" borderId="16" applyAlignment="1" applyProtection="1" pivotButton="0" quotePrefix="0" xfId="0">
      <alignment horizontal="left" vertical="center" wrapText="1"/>
      <protection locked="0" hidden="0"/>
    </xf>
    <xf numFmtId="0" fontId="6" fillId="0" borderId="78" applyAlignment="1" pivotButton="0" quotePrefix="0" xfId="5">
      <alignment horizontal="left" vertical="center" wrapText="1"/>
    </xf>
    <xf numFmtId="0" fontId="6" fillId="0" borderId="78" applyAlignment="1" pivotButton="0" quotePrefix="0" xfId="5">
      <alignment horizontal="right" vertical="center" wrapText="1"/>
    </xf>
    <xf numFmtId="0" fontId="6" fillId="0" borderId="78" applyAlignment="1" applyProtection="1" pivotButton="0" quotePrefix="0" xfId="0">
      <alignment horizontal="left" vertical="center" wrapText="1"/>
      <protection locked="0" hidden="0"/>
    </xf>
    <xf numFmtId="0" fontId="6" fillId="4" borderId="78" applyAlignment="1" applyProtection="1" pivotButton="0" quotePrefix="0" xfId="0">
      <alignment horizontal="right" vertical="center" wrapText="1"/>
      <protection locked="0" hidden="0"/>
    </xf>
    <xf numFmtId="0" fontId="6" fillId="0" borderId="78" applyAlignment="1" pivotButton="0" quotePrefix="0" xfId="0">
      <alignment horizontal="right" vertical="center" wrapText="1"/>
    </xf>
    <xf numFmtId="0" fontId="6" fillId="0" borderId="78" applyAlignment="1" pivotButton="0" quotePrefix="0" xfId="3">
      <alignment vertical="center" wrapText="1"/>
    </xf>
    <xf numFmtId="0" fontId="6" fillId="0" borderId="78" applyAlignment="1" pivotButton="0" quotePrefix="0" xfId="2">
      <alignment horizontal="center" vertical="center"/>
    </xf>
    <xf numFmtId="0" fontId="6" fillId="0" borderId="78" applyAlignment="1" pivotButton="0" quotePrefix="0" xfId="3">
      <alignment horizontal="center" vertical="center"/>
    </xf>
    <xf numFmtId="0" fontId="6" fillId="4" borderId="78" applyAlignment="1" pivotButton="0" quotePrefix="0" xfId="3">
      <alignment horizontal="center" vertical="center" wrapText="1"/>
    </xf>
    <xf numFmtId="0" fontId="6" fillId="4" borderId="78" applyAlignment="1" pivotButton="0" quotePrefix="0" xfId="3">
      <alignment horizontal="left" vertical="center" wrapText="1"/>
    </xf>
    <xf numFmtId="0" fontId="6" fillId="4" borderId="78" applyAlignment="1" pivotButton="0" quotePrefix="0" xfId="0">
      <alignment horizontal="left" vertical="center" wrapText="1"/>
    </xf>
    <xf numFmtId="0" fontId="6" fillId="4" borderId="78" applyAlignment="1" pivotButton="0" quotePrefix="0" xfId="0">
      <alignment horizontal="right" vertical="center" wrapText="1"/>
    </xf>
    <xf numFmtId="0" fontId="6" fillId="0" borderId="78" applyAlignment="1" pivotButton="0" quotePrefix="0" xfId="0">
      <alignment horizontal="center" vertical="center" wrapText="1"/>
    </xf>
    <xf numFmtId="0" fontId="8" fillId="0" borderId="78" applyAlignment="1" applyProtection="1" pivotButton="0" quotePrefix="0" xfId="14">
      <alignment horizontal="center" vertical="center" wrapText="1"/>
      <protection locked="0" hidden="0"/>
    </xf>
    <xf numFmtId="0" fontId="6" fillId="0" borderId="78" applyAlignment="1" applyProtection="1" pivotButton="0" quotePrefix="0" xfId="14">
      <alignment horizontal="center" vertical="center" wrapText="1"/>
      <protection locked="0" hidden="0"/>
    </xf>
    <xf numFmtId="0" fontId="6" fillId="0" borderId="78" applyAlignment="1" applyProtection="1" pivotButton="0" quotePrefix="0" xfId="2">
      <alignment horizontal="center" vertical="center" wrapText="1"/>
      <protection locked="0" hidden="0"/>
    </xf>
    <xf numFmtId="0" fontId="6" fillId="0" borderId="78" applyAlignment="1" applyProtection="1" pivotButton="0" quotePrefix="0" xfId="0">
      <alignment horizontal="right" vertical="center" wrapText="1"/>
      <protection locked="0" hidden="0"/>
    </xf>
    <xf numFmtId="0" fontId="6" fillId="0" borderId="78" applyAlignment="1" applyProtection="1" pivotButton="0" quotePrefix="0" xfId="0">
      <alignment horizontal="center" vertical="center" wrapText="1"/>
      <protection locked="0" hidden="0"/>
    </xf>
    <xf numFmtId="0" fontId="6" fillId="0" borderId="78" applyAlignment="1" applyProtection="1" pivotButton="0" quotePrefix="0" xfId="3">
      <alignment vertical="center" wrapText="1"/>
      <protection locked="0" hidden="0"/>
    </xf>
    <xf numFmtId="0" fontId="8" fillId="4" borderId="78" applyAlignment="1" pivotButton="0" quotePrefix="0" xfId="14">
      <alignment horizontal="center" vertical="center" wrapText="1"/>
    </xf>
    <xf numFmtId="0" fontId="6" fillId="0" borderId="78" applyAlignment="1" applyProtection="1" pivotButton="0" quotePrefix="0" xfId="3">
      <alignment horizontal="center" vertical="center" wrapText="1"/>
      <protection locked="0" hidden="0"/>
    </xf>
    <xf numFmtId="0" fontId="9" fillId="0" borderId="78" applyAlignment="1" applyProtection="1" pivotButton="0" quotePrefix="0" xfId="3">
      <alignment vertical="center" wrapText="1"/>
      <protection locked="0" hidden="0"/>
    </xf>
    <xf numFmtId="0" fontId="6" fillId="4" borderId="78" applyAlignment="1" pivotButton="0" quotePrefix="0" xfId="0">
      <alignment horizontal="center" vertical="center" wrapText="1"/>
    </xf>
    <xf numFmtId="0" fontId="9" fillId="4" borderId="78" applyAlignment="1" applyProtection="1" pivotButton="0" quotePrefix="0" xfId="3">
      <alignment vertical="center" wrapText="1"/>
      <protection locked="0" hidden="0"/>
    </xf>
    <xf numFmtId="0" fontId="6" fillId="4" borderId="78" applyAlignment="1" applyProtection="1" pivotButton="0" quotePrefix="0" xfId="3">
      <alignment vertical="center" wrapText="1"/>
      <protection locked="0" hidden="0"/>
    </xf>
    <xf numFmtId="0" fontId="6" fillId="4" borderId="78" applyAlignment="1" applyProtection="1" pivotButton="0" quotePrefix="0" xfId="0">
      <alignment horizontal="center" vertical="center" wrapText="1"/>
      <protection locked="0" hidden="0"/>
    </xf>
    <xf numFmtId="0" fontId="6" fillId="4" borderId="78" applyAlignment="1" applyProtection="1" pivotButton="0" quotePrefix="0" xfId="0">
      <alignment horizontal="left" vertical="center" wrapText="1"/>
      <protection locked="0" hidden="0"/>
    </xf>
    <xf numFmtId="0" fontId="6" fillId="0" borderId="78" applyAlignment="1" applyProtection="1" pivotButton="0" quotePrefix="0" xfId="3">
      <alignment horizontal="left" vertical="center" wrapText="1"/>
      <protection locked="0" hidden="0"/>
    </xf>
    <xf numFmtId="0" fontId="6" fillId="4" borderId="78" applyAlignment="1" pivotButton="0" quotePrefix="0" xfId="0">
      <alignment wrapText="1"/>
    </xf>
    <xf numFmtId="0" fontId="6" fillId="4" borderId="78" applyAlignment="1" applyProtection="1" pivotButton="0" quotePrefix="0" xfId="2">
      <alignment horizontal="right" vertical="center" wrapText="1"/>
      <protection locked="0" hidden="0"/>
    </xf>
    <xf numFmtId="0" fontId="8" fillId="0" borderId="78" applyAlignment="1" applyProtection="1" pivotButton="0" quotePrefix="0" xfId="2">
      <alignment horizontal="center" vertical="center" wrapText="1"/>
      <protection locked="0" hidden="0"/>
    </xf>
    <xf numFmtId="0" fontId="6" fillId="0" borderId="78" applyAlignment="1" pivotButton="0" quotePrefix="0" xfId="0">
      <alignment wrapText="1"/>
    </xf>
    <xf numFmtId="0" fontId="6" fillId="0" borderId="78" applyAlignment="1" applyProtection="1" pivotButton="0" quotePrefix="0" xfId="2">
      <alignment horizontal="right" vertical="center" wrapText="1"/>
      <protection locked="0" hidden="0"/>
    </xf>
    <xf numFmtId="0" fontId="6" fillId="4" borderId="78" applyAlignment="1" applyProtection="1" pivotButton="0" quotePrefix="0" xfId="0">
      <alignment vertical="center" wrapText="1"/>
      <protection locked="0" hidden="0"/>
    </xf>
    <xf numFmtId="0" fontId="6" fillId="4" borderId="78" applyAlignment="1" applyProtection="1" pivotButton="0" quotePrefix="0" xfId="0">
      <alignment vertical="top" wrapText="1"/>
      <protection locked="0" hidden="0"/>
    </xf>
    <xf numFmtId="0" fontId="8" fillId="12" borderId="78" applyAlignment="1" pivotButton="0" quotePrefix="0" xfId="14">
      <alignment horizontal="center" vertical="center" wrapText="1"/>
    </xf>
    <xf numFmtId="0" fontId="6" fillId="12" borderId="78" applyAlignment="1" pivotButton="0" quotePrefix="0" xfId="3">
      <alignment vertical="top" wrapText="1"/>
    </xf>
    <xf numFmtId="0" fontId="6" fillId="12" borderId="78" applyAlignment="1" pivotButton="0" quotePrefix="0" xfId="0">
      <alignment vertical="center" wrapText="1"/>
    </xf>
    <xf numFmtId="0" fontId="6" fillId="12" borderId="78" applyAlignment="1" pivotButton="0" quotePrefix="0" xfId="3">
      <alignment horizontal="center" vertical="center" wrapText="1"/>
    </xf>
    <xf numFmtId="0" fontId="6" fillId="4" borderId="78" applyAlignment="1" pivotButton="0" quotePrefix="0" xfId="2">
      <alignment horizontal="right" vertical="center" wrapText="1"/>
    </xf>
    <xf numFmtId="0" fontId="6" fillId="4" borderId="78" applyAlignment="1" pivotButton="0" quotePrefix="0" xfId="2">
      <alignment horizontal="left" vertical="center" wrapText="1"/>
    </xf>
    <xf numFmtId="0" fontId="6" fillId="4" borderId="78" applyAlignment="1" applyProtection="1" pivotButton="0" quotePrefix="0" xfId="2">
      <alignment horizontal="left" vertical="center" wrapText="1"/>
      <protection locked="0" hidden="0"/>
    </xf>
    <xf numFmtId="0" fontId="6" fillId="11" borderId="78" applyAlignment="1" applyProtection="1" pivotButton="0" quotePrefix="0" xfId="0">
      <alignment horizontal="left" vertical="center" wrapText="1"/>
      <protection locked="0" hidden="0"/>
    </xf>
    <xf numFmtId="0" fontId="8" fillId="0" borderId="78" applyAlignment="1" pivotButton="0" quotePrefix="0" xfId="2">
      <alignment horizontal="center" vertical="center" wrapText="1"/>
    </xf>
    <xf numFmtId="0" fontId="8" fillId="4" borderId="78" applyAlignment="1" applyProtection="1" pivotButton="0" quotePrefix="0" xfId="2">
      <alignment horizontal="center" vertical="center" wrapText="1"/>
      <protection locked="0" hidden="0"/>
    </xf>
    <xf numFmtId="0" fontId="8" fillId="0" borderId="78" applyAlignment="1" pivotButton="0" quotePrefix="0" xfId="0">
      <alignment horizontal="center" vertical="center"/>
    </xf>
    <xf numFmtId="0" fontId="6" fillId="0" borderId="78" applyAlignment="1" pivotButton="0" quotePrefix="0" xfId="0">
      <alignment horizontal="center" vertical="center"/>
    </xf>
    <xf numFmtId="0" fontId="6" fillId="4" borderId="78" applyProtection="1" pivotButton="0" quotePrefix="0" xfId="3">
      <protection locked="0" hidden="0"/>
    </xf>
    <xf numFmtId="0" fontId="10" fillId="4" borderId="78" applyAlignment="1" applyProtection="1" pivotButton="0" quotePrefix="0" xfId="3">
      <alignment vertical="center" wrapText="1"/>
      <protection locked="0" hidden="0"/>
    </xf>
    <xf numFmtId="0" fontId="8" fillId="4" borderId="78" applyAlignment="1" pivotButton="0" quotePrefix="0" xfId="0">
      <alignment horizontal="center" vertical="center" wrapText="1"/>
    </xf>
    <xf numFmtId="0" fontId="6" fillId="5" borderId="26" applyAlignment="1" pivotButton="0" quotePrefix="0" xfId="2">
      <alignment horizontal="center" vertical="center"/>
    </xf>
    <xf numFmtId="0" fontId="6" fillId="0" borderId="30" pivotButton="0" quotePrefix="0" xfId="0"/>
    <xf numFmtId="0" fontId="6" fillId="0" borderId="31" pivotButton="0" quotePrefix="0" xfId="0"/>
    <xf numFmtId="0" fontId="6" fillId="3" borderId="58" applyAlignment="1" pivotButton="0" quotePrefix="0" xfId="14">
      <alignment horizontal="center" vertical="center" wrapText="1"/>
    </xf>
    <xf numFmtId="0" fontId="6" fillId="0" borderId="59" pivotButton="0" quotePrefix="0" xfId="0"/>
    <xf numFmtId="0" fontId="6" fillId="2" borderId="25"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6" fillId="5" borderId="27" applyAlignment="1" pivotButton="0" quotePrefix="0" xfId="2">
      <alignment horizontal="center" vertical="center"/>
    </xf>
    <xf numFmtId="0" fontId="6" fillId="0" borderId="61" pivotButton="0" quotePrefix="0" xfId="0"/>
    <xf numFmtId="0" fontId="6" fillId="0" borderId="49" pivotButton="0" quotePrefix="0" xfId="0"/>
    <xf numFmtId="0" fontId="8" fillId="3" borderId="26" applyAlignment="1" pivotButton="0" quotePrefix="0" xfId="2">
      <alignment horizontal="center" vertical="center" wrapText="1"/>
    </xf>
    <xf numFmtId="0" fontId="6" fillId="0" borderId="28" pivotButton="0" quotePrefix="0" xfId="0"/>
    <xf numFmtId="0" fontId="9" fillId="9" borderId="78" applyAlignment="1" pivotButton="0" quotePrefix="0" xfId="3">
      <alignment horizontal="center" vertical="center" wrapText="1"/>
    </xf>
    <xf numFmtId="0" fontId="6" fillId="5" borderId="29" applyAlignment="1" pivotButton="0" quotePrefix="0" xfId="2">
      <alignment horizontal="center" vertical="center"/>
    </xf>
    <xf numFmtId="0" fontId="6" fillId="5" borderId="30" applyAlignment="1" pivotButton="0" quotePrefix="0" xfId="2">
      <alignment horizontal="center" vertical="center"/>
    </xf>
    <xf numFmtId="0" fontId="6" fillId="5" borderId="31" applyAlignment="1" pivotButton="0" quotePrefix="0" xfId="2">
      <alignment horizontal="center" vertical="center"/>
    </xf>
    <xf numFmtId="0" fontId="6" fillId="0" borderId="0" pivotButton="0" quotePrefix="0" xfId="0"/>
    <xf numFmtId="0" fontId="1" fillId="0" borderId="26" applyAlignment="1" pivotButton="0" quotePrefix="0" xfId="20">
      <alignment horizontal="center" vertical="top" textRotation="90" wrapText="1"/>
    </xf>
    <xf numFmtId="0" fontId="0" fillId="0" borderId="27" pivotButton="0" quotePrefix="0" xfId="0"/>
    <xf numFmtId="0" fontId="0" fillId="0" borderId="28" pivotButton="0" quotePrefix="0" xfId="0"/>
    <xf numFmtId="0" fontId="1" fillId="0" borderId="26" applyAlignment="1" pivotButton="0" quotePrefix="0" xfId="20">
      <alignment horizontal="center" vertical="top" textRotation="90"/>
    </xf>
    <xf numFmtId="0" fontId="0" fillId="0" borderId="59" pivotButton="0" quotePrefix="0" xfId="0"/>
    <xf numFmtId="0" fontId="0" fillId="0" borderId="30" pivotButton="0" quotePrefix="0" xfId="0"/>
    <xf numFmtId="0" fontId="0" fillId="0" borderId="31" pivotButton="0" quotePrefix="0" xfId="0"/>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165" fontId="6" fillId="4" borderId="0" applyAlignment="1" applyProtection="1" pivotButton="0" quotePrefix="0" xfId="0">
      <alignment horizontal="center" vertical="center"/>
      <protection locked="0" hidden="0"/>
    </xf>
    <xf numFmtId="0" fontId="0" fillId="0" borderId="83" pivotButton="0" quotePrefix="0" xfId="0"/>
    <xf numFmtId="0" fontId="0" fillId="0" borderId="2" pivotButton="0" quotePrefix="0" xfId="0"/>
    <xf numFmtId="164" fontId="6" fillId="0" borderId="1" applyAlignment="1" pivotButton="0" quotePrefix="0" xfId="0">
      <alignment horizontal="right" vertical="center" wrapText="1"/>
    </xf>
    <xf numFmtId="164" fontId="6" fillId="0" borderId="78" applyAlignment="1" pivotButton="0" quotePrefix="0" xfId="0">
      <alignment horizontal="right" vertical="center" wrapText="1"/>
    </xf>
    <xf numFmtId="165" fontId="6" fillId="12" borderId="0" applyAlignment="1" applyProtection="1" pivotButton="0" quotePrefix="0" xfId="0">
      <alignment horizontal="center" vertical="center"/>
      <protection locked="0" hidden="0"/>
    </xf>
    <xf numFmtId="165" fontId="6" fillId="0" borderId="0" applyAlignment="1" applyProtection="1" pivotButton="0" quotePrefix="0" xfId="0">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165" fontId="6" fillId="0" borderId="0" applyAlignment="1" pivotButton="0" quotePrefix="0" xfId="0">
      <alignment horizontal="center" vertical="center" wrapText="1"/>
    </xf>
    <xf numFmtId="165" fontId="6" fillId="12" borderId="0" applyAlignment="1" pivotButton="0" quotePrefix="0" xfId="0">
      <alignment horizontal="center" vertical="center"/>
    </xf>
    <xf numFmtId="165" fontId="13" fillId="12" borderId="0" applyAlignment="1" applyProtection="1" pivotButton="0" quotePrefix="0" xfId="0">
      <alignment horizontal="center" vertical="center"/>
      <protection locked="0" hidden="0"/>
    </xf>
    <xf numFmtId="0" fontId="6" fillId="5" borderId="28" applyAlignment="1" pivotButton="0" quotePrefix="0" xfId="2">
      <alignment horizontal="center" vertical="center"/>
    </xf>
    <xf numFmtId="0" fontId="0" fillId="0" borderId="61" pivotButton="0" quotePrefix="0" xfId="0"/>
    <xf numFmtId="0" fontId="0" fillId="0" borderId="49" pivotButton="0" quotePrefix="0" xfId="0"/>
    <xf numFmtId="165" fontId="6" fillId="10" borderId="0" applyAlignment="1" pivotButton="0" quotePrefix="0" xfId="0">
      <alignment horizontal="left" vertical="center"/>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165" fontId="6" fillId="0" borderId="0" applyAlignment="1" pivotButton="0" quotePrefix="0" xfId="0">
      <alignment horizontal="right" vertical="center"/>
    </xf>
    <xf numFmtId="165" fontId="6" fillId="0" borderId="0" applyAlignment="1" applyProtection="1" pivotButton="0" quotePrefix="0" xfId="0">
      <alignment horizontal="right" vertical="center"/>
      <protection locked="0" hidden="0"/>
    </xf>
  </cellXfs>
  <cellStyles count="22">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 name="Normal 4 2 3" xfId="20"/>
    <cellStyle name="Normal 4 2 2 2 2" xfId="21"/>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D44B"/>
        </patternFill>
      </fill>
    </dxf>
    <dxf>
      <fill>
        <patternFill>
          <bgColor rgb="FFEEB400"/>
        </patternFill>
      </fill>
    </dxf>
    <dxf>
      <fill>
        <patternFill patternType="solid">
          <fgColor indexed="64"/>
          <bgColor rgb="FFE4E300"/>
        </patternFill>
      </fill>
    </dxf>
    <dxf>
      <fill>
        <patternFill>
          <bgColor rgb="FFF2DBDA"/>
        </patternFill>
      </fill>
    </dxf>
    <dxf>
      <fill>
        <patternFill>
          <bgColor rgb="FFEEB400"/>
        </patternFill>
      </fill>
    </dxf>
    <dxf>
      <fill>
        <patternFill>
          <bgColor rgb="FF4685D2"/>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theme="2" tint="-0.249946592608417"/>
        </patternFill>
      </fill>
    </dxf>
    <dxf>
      <fill>
        <patternFill>
          <bgColor rgb="FFEEB400"/>
        </patternFill>
      </fill>
    </dxf>
    <dxf>
      <fill>
        <patternFill>
          <bgColor rgb="FFFFD44B"/>
        </patternFill>
      </fill>
    </dxf>
    <dxf>
      <fill>
        <patternFill>
          <bgColor rgb="FFFF0000"/>
        </patternFill>
      </fill>
    </dxf>
    <dxf>
      <fill>
        <patternFill patternType="solid">
          <fgColor indexed="64"/>
          <bgColor theme="6" tint="0.7999816888943144"/>
        </patternFill>
      </fill>
    </dxf>
    <dxf>
      <fill>
        <patternFill>
          <bgColor theme="6" tint="0.3999450666829432"/>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bgColor rgb="FFFF9900"/>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patternType="solid">
          <fgColor indexed="64"/>
          <bgColor theme="0" tint="-0.0499893185216834"/>
        </patternFill>
      </fill>
    </dxf>
    <dxf>
      <fill>
        <patternFill>
          <bgColor rgb="FFFF9900"/>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3999450666829432"/>
        </patternFill>
      </fill>
    </dxf>
    <dxf>
      <fill>
        <patternFill>
          <bgColor rgb="FFFFBB57"/>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patternType="solid">
          <fgColor indexed="64"/>
          <bgColor rgb="FFDCC97A"/>
        </patternFill>
      </fill>
    </dxf>
    <dxf>
      <fill>
        <patternFill>
          <bgColor rgb="FFDDE8C6"/>
        </patternFill>
      </fill>
    </dxf>
    <dxf>
      <fill>
        <patternFill>
          <bgColor theme="7" tint="0.5999633777886288"/>
        </patternFill>
      </fill>
    </dxf>
    <dxf>
      <fill>
        <patternFill>
          <bgColor rgb="FFE3E0CF"/>
        </patternFill>
      </fill>
    </dxf>
    <dxf>
      <fill>
        <patternFill>
          <bgColor theme="6" tint="0.3999450666829432"/>
        </patternFill>
      </fill>
    </dxf>
    <dxf>
      <fill>
        <patternFill>
          <bgColor theme="9"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BA005D"/>
        </patternFill>
      </fill>
    </dxf>
    <dxf>
      <fill>
        <patternFill patternType="solid">
          <fgColor indexed="64"/>
          <bgColor rgb="FF9E004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3E0CF"/>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ont>
        <color rgb="FF9C0006"/>
      </font>
      <fill>
        <patternFill>
          <bgColor rgb="FFFFC7CE"/>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1AAA9"/>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28916</rowOff>
    </from>
    <ext cx="935182" cy="411480"/>
    <pic>
      <nvPicPr>
        <cNvPr id="2" name="Picture 4"/>
        <cNvPicPr>
          <a:picLocks noChangeAspect="1"/>
        </cNvPicPr>
      </nvPicPr>
      <blipFill>
        <a:blip cstate="print" r:embed="rId1"/>
        <a:srcRect t="26785" b="35417"/>
        <a:stretch>
          <a:fillRect/>
        </a:stretch>
      </blipFill>
      <spPr bwMode="auto">
        <a:xfrm>
          <a:off x="0" y="28916"/>
          <a:ext cx="935182" cy="411480"/>
        </a:xfrm>
        <a:prstGeom prst="rect">
          <avLst/>
        </a:prstGeom>
        <a:noFill/>
        <a:ln>
          <a:noFill/>
          <a:prstDash val="solid"/>
        </a:ln>
      </spPr>
    </pic>
    <clientData/>
  </oneCellAnchor>
</wsDr>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theme="9" tint="-0.499984740745262"/>
    <outlinePr summaryBelow="1" summaryRight="1"/>
    <pageSetUpPr/>
  </sheetPr>
  <dimension ref="A1:AI211"/>
  <sheetViews>
    <sheetView tabSelected="1" zoomScale="70" zoomScaleNormal="70" workbookViewId="0">
      <pane xSplit="4" ySplit="3" topLeftCell="E4" activePane="bottomRight" state="frozen"/>
      <selection pane="topRight" activeCell="B3" sqref="B3"/>
      <selection pane="bottomLeft" activeCell="B3" sqref="B3"/>
      <selection pane="bottomRight" activeCell="C204" sqref="C204"/>
    </sheetView>
  </sheetViews>
  <sheetFormatPr baseColWidth="8" defaultColWidth="8.453125" defaultRowHeight="15.5"/>
  <cols>
    <col width="13.1796875" customWidth="1" style="613" min="1" max="1"/>
    <col width="19.453125" customWidth="1" style="610" min="2" max="2"/>
    <col width="28.81640625" bestFit="1" customWidth="1" style="611" min="3" max="3"/>
    <col width="58.453125" customWidth="1" style="612" min="4" max="4"/>
    <col hidden="1" width="9.453125" customWidth="1" style="613" min="5" max="5"/>
    <col width="55.453125" customWidth="1" style="612" min="6" max="6"/>
    <col hidden="1" width="9.453125" customWidth="1" style="613" min="7" max="7"/>
    <col width="15.453125" customWidth="1" style="613" min="8" max="8"/>
    <col hidden="1" width="12.453125" customWidth="1" style="613" min="9" max="9"/>
    <col width="35.81640625" customWidth="1" style="613" min="10" max="10"/>
    <col width="26" customWidth="1" style="613" min="11" max="11"/>
    <col width="27.54296875" customWidth="1" style="613" min="12" max="12"/>
    <col width="38.1796875" customWidth="1" style="613" min="13" max="13"/>
    <col width="29.81640625" customWidth="1" style="368" min="14" max="14"/>
    <col width="35.81640625" customWidth="1" style="613" min="15" max="15"/>
    <col width="22.453125" customWidth="1" style="613" min="16" max="16"/>
    <col width="40.453125" customWidth="1" style="613" min="17" max="17"/>
    <col hidden="1" width="15" customWidth="1" style="331" min="18" max="18"/>
    <col hidden="1" width="8.453125" customWidth="1" style="613" min="19" max="20"/>
    <col hidden="1" width="20.453125" customWidth="1" style="81" min="21" max="21"/>
    <col hidden="1" outlineLevel="1" width="8.453125" customWidth="1" style="613" min="22" max="22"/>
    <col hidden="1" collapsed="1" width="8.453125" customWidth="1" style="613" min="23" max="23"/>
    <col hidden="1" width="8.453125" customWidth="1" style="613" min="24" max="24"/>
    <col hidden="1" width="15.453125" customWidth="1" style="333" min="25" max="25"/>
    <col width="11.453125" customWidth="1" style="333" min="26" max="26"/>
    <col hidden="1" outlineLevel="1" width="10.453125" customWidth="1" style="613" min="27" max="27"/>
    <col collapsed="1" width="8.453125" customWidth="1" style="613" min="28" max="28"/>
    <col width="8.453125" customWidth="1" style="613" min="29" max="32"/>
    <col width="8.453125" customWidth="1" style="613" min="33" max="16384"/>
  </cols>
  <sheetData>
    <row r="1" ht="18.75" customHeight="1" thickBot="1">
      <c r="A1" s="609" t="inlineStr">
        <is>
          <t>GeoPoll Submission Form</t>
        </is>
      </c>
      <c r="R1" s="300" t="n"/>
      <c r="S1" s="53" t="n"/>
      <c r="U1" s="53" t="n"/>
      <c r="Y1" s="53" t="n"/>
      <c r="Z1" s="53" t="n"/>
    </row>
    <row r="2" ht="15" customHeight="1" thickBot="1">
      <c r="A2" s="607" t="inlineStr">
        <is>
          <t>FAO - Household Questionnaire</t>
        </is>
      </c>
      <c r="B2" s="628" t="n"/>
      <c r="C2" s="628" t="n"/>
      <c r="D2" s="628" t="n"/>
      <c r="E2" s="628" t="n"/>
      <c r="F2" s="628" t="n"/>
      <c r="G2" s="628" t="n"/>
      <c r="H2" s="628" t="n"/>
      <c r="I2" s="628" t="n"/>
      <c r="J2" s="628" t="n"/>
      <c r="K2" s="628" t="n"/>
      <c r="L2" s="628" t="n"/>
      <c r="M2" s="628" t="n"/>
      <c r="N2" s="628" t="n"/>
      <c r="O2" s="628" t="n"/>
      <c r="P2" s="628" t="n"/>
      <c r="Q2" s="617" t="inlineStr">
        <is>
          <t>Additional notes</t>
        </is>
      </c>
      <c r="R2" s="300" t="n"/>
      <c r="S2" s="53" t="n"/>
      <c r="Y2" s="53" t="n"/>
      <c r="Z2" s="53" t="n"/>
    </row>
    <row r="3" ht="61.5" customFormat="1" customHeight="1" s="610" thickBot="1">
      <c r="A3" s="106" t="inlineStr">
        <is>
          <t>Q #</t>
        </is>
      </c>
      <c r="B3" s="105" t="inlineStr">
        <is>
          <t>Q Name</t>
        </is>
      </c>
      <c r="C3" s="103" t="inlineStr">
        <is>
          <t>Suggested Qname</t>
        </is>
      </c>
      <c r="D3" s="105" t="inlineStr">
        <is>
          <t>English</t>
        </is>
      </c>
      <c r="E3" s="104" t="inlineStr">
        <is>
          <t>Length</t>
        </is>
      </c>
      <c r="F3" s="105" t="inlineStr">
        <is>
          <t>ar-JO_Arabic</t>
        </is>
      </c>
      <c r="G3" s="104" t="inlineStr">
        <is>
          <t>Length</t>
        </is>
      </c>
      <c r="H3" s="105" t="inlineStr">
        <is>
          <t>Q Type</t>
        </is>
      </c>
      <c r="I3" s="104" t="inlineStr">
        <is>
          <t>Randomize</t>
        </is>
      </c>
      <c r="J3" s="103" t="inlineStr">
        <is>
          <t>Conditional</t>
        </is>
      </c>
      <c r="K3" s="103" t="inlineStr">
        <is>
          <t>Programming Instructions</t>
        </is>
      </c>
      <c r="L3" s="102" t="inlineStr">
        <is>
          <t>Codes</t>
        </is>
      </c>
      <c r="M3" s="102" t="inlineStr">
        <is>
          <t>Skip Pattern</t>
        </is>
      </c>
      <c r="N3" s="102" t="inlineStr">
        <is>
          <t>GeoPoll Comments</t>
        </is>
      </c>
      <c r="O3" s="101" t="inlineStr">
        <is>
          <t xml:space="preserve">Default skip patterns &amp; conditional </t>
        </is>
      </c>
      <c r="P3" s="101" t="inlineStr">
        <is>
          <t>Specify skip pattern variable (from blue text)</t>
        </is>
      </c>
      <c r="Q3" s="626" t="n"/>
      <c r="R3" s="301" t="inlineStr">
        <is>
          <t>Estimated percentage of repondents</t>
        </is>
      </c>
      <c r="S3" s="118" t="n"/>
      <c r="U3" s="133" t="inlineStr">
        <is>
          <t>Mandatory</t>
        </is>
      </c>
      <c r="Y3" s="301" t="inlineStr">
        <is>
          <t>Duration (sec)</t>
        </is>
      </c>
      <c r="Z3" s="302" t="inlineStr">
        <is>
          <t>Weighted duration</t>
        </is>
      </c>
      <c r="AA3" s="302" t="inlineStr">
        <is>
          <t>Core questions only</t>
        </is>
      </c>
    </row>
    <row r="4" ht="18" customHeight="1" thickBot="1">
      <c r="A4" s="604" t="inlineStr">
        <is>
          <t>A. PRESENTATION OF THE SURVEY AND ELIGIBILITY CRITERIA SELECTION</t>
        </is>
      </c>
      <c r="B4" s="629" t="n"/>
      <c r="C4" s="629" t="n"/>
      <c r="D4" s="629" t="n"/>
      <c r="E4" s="629" t="n"/>
      <c r="F4" s="629" t="n"/>
      <c r="G4" s="629" t="n"/>
      <c r="H4" s="629" t="n"/>
      <c r="I4" s="629" t="n"/>
      <c r="J4" s="629" t="n"/>
      <c r="K4" s="629" t="n"/>
      <c r="L4" s="629" t="n"/>
      <c r="M4" s="629" t="n"/>
      <c r="N4" s="629" t="n"/>
      <c r="O4" s="629" t="n"/>
      <c r="P4" s="629" t="n"/>
      <c r="Q4" s="630" t="n"/>
      <c r="R4" s="300" t="n"/>
      <c r="S4" s="53" t="n"/>
      <c r="U4" s="81" t="inlineStr">
        <is>
          <t>no</t>
        </is>
      </c>
      <c r="Y4" s="53" t="n"/>
      <c r="Z4" s="631">
        <f>IF(Y4="","",Y4*W4)</f>
        <v/>
      </c>
      <c r="AA4" s="53">
        <f>IF(U4="yes",Z4,"")</f>
        <v/>
      </c>
    </row>
    <row r="5" ht="26.25" customHeight="1">
      <c r="A5" s="38" t="inlineStr">
        <is>
          <t>NA</t>
        </is>
      </c>
      <c r="B5" s="114" t="inlineStr">
        <is>
          <t>Optin</t>
        </is>
      </c>
      <c r="C5" s="116" t="inlineStr"/>
      <c r="D5" s="57" t="inlineStr">
        <is>
          <t>Optin</t>
        </is>
      </c>
      <c r="E5" s="56">
        <f>LEN(D5)</f>
        <v/>
      </c>
      <c r="F5" s="57" t="inlineStr">
        <is>
          <t>Optin</t>
        </is>
      </c>
      <c r="G5" s="56">
        <f>LEN(F5)</f>
        <v/>
      </c>
      <c r="H5" s="56" t="inlineStr">
        <is>
          <t>Open Ended</t>
        </is>
      </c>
      <c r="I5" s="56" t="inlineStr">
        <is>
          <t>NA</t>
        </is>
      </c>
      <c r="J5" s="56" t="inlineStr">
        <is>
          <t>NA</t>
        </is>
      </c>
      <c r="K5" s="56" t="inlineStr">
        <is>
          <t>Form Type - TextBox</t>
        </is>
      </c>
      <c r="L5" s="100" t="inlineStr">
        <is>
          <t>NA</t>
        </is>
      </c>
      <c r="M5" s="55" t="inlineStr">
        <is>
          <t>Any Response = calldispo</t>
        </is>
      </c>
      <c r="N5" s="195" t="n"/>
      <c r="O5" s="100" t="inlineStr">
        <is>
          <t>NA</t>
        </is>
      </c>
      <c r="P5" s="24" t="inlineStr"/>
      <c r="Q5" s="8" t="n"/>
      <c r="R5" s="300" t="n"/>
      <c r="S5" s="53" t="n"/>
      <c r="U5" s="81" t="inlineStr">
        <is>
          <t>no</t>
        </is>
      </c>
      <c r="Y5" s="632" t="n">
        <v>0</v>
      </c>
      <c r="Z5" s="631">
        <f>IF(Y5="","",Y5*R5)</f>
        <v/>
      </c>
      <c r="AA5" s="53" t="inlineStr"/>
    </row>
    <row r="6" ht="124.75" customHeight="1">
      <c r="A6" s="18" t="inlineStr">
        <is>
          <t>NA</t>
        </is>
      </c>
      <c r="B6" s="182" t="inlineStr">
        <is>
          <t>calldispo</t>
        </is>
      </c>
      <c r="C6" s="58" t="inlineStr">
        <is>
          <t>calldispo</t>
        </is>
      </c>
      <c r="D6" s="184" t="inlineStr">
        <is>
          <t>Phone number: #CATI_MOBILENUMBER#
1)Someone answers
2)No answer
3)Refusal
4)Call back
5)Non-Working Number</t>
        </is>
      </c>
      <c r="E6" s="179">
        <f>LEN(D6)</f>
        <v/>
      </c>
      <c r="F6" s="305" t="inlineStr">
        <is>
          <t>رقم الهاتف: #CATI_MOBILENUMBER#
1) يجيب شخص ما 
2) لا جواب
3) الرفض
4) معاودة الاتصال
5)رقم غير صالح للعمل</t>
        </is>
      </c>
      <c r="G6" s="179">
        <f>LEN(F6)</f>
        <v/>
      </c>
      <c r="H6" s="186" t="inlineStr">
        <is>
          <t>Single Choice</t>
        </is>
      </c>
      <c r="I6" s="179" t="inlineStr">
        <is>
          <t>NA</t>
        </is>
      </c>
      <c r="J6" s="179" t="inlineStr">
        <is>
          <t>NA</t>
        </is>
      </c>
      <c r="K6" s="179" t="inlineStr">
        <is>
          <t>Form Type - Buttons</t>
        </is>
      </c>
      <c r="L6" s="100" t="inlineStr">
        <is>
          <t>NA</t>
        </is>
      </c>
      <c r="M6" s="63" t="inlineStr">
        <is>
          <t>1 = resp_language
2 = NoAnswer
3 = Refusal
4 = WhenCallBack
5 = NonWorkingNumber</t>
        </is>
      </c>
      <c r="N6" s="196" t="n"/>
      <c r="O6" s="90" t="inlineStr">
        <is>
          <t>NA</t>
        </is>
      </c>
      <c r="P6" s="25" t="inlineStr"/>
      <c r="Q6" s="9" t="n"/>
      <c r="R6" s="300" t="n"/>
      <c r="S6" s="53" t="n"/>
      <c r="U6" s="81" t="inlineStr">
        <is>
          <t>no</t>
        </is>
      </c>
      <c r="Y6" s="632" t="n">
        <v>14.69530773162842</v>
      </c>
      <c r="Z6" s="631">
        <f>IF(Y6="","",Y6*R6)</f>
        <v/>
      </c>
      <c r="AA6" s="53" t="inlineStr"/>
    </row>
    <row r="7" ht="37.5" customHeight="1">
      <c r="A7" s="18" t="inlineStr">
        <is>
          <t>NA</t>
        </is>
      </c>
      <c r="B7" s="182" t="inlineStr">
        <is>
          <t>NoAnswer</t>
        </is>
      </c>
      <c r="C7" s="58" t="inlineStr">
        <is>
          <t>calldispo_noanswer</t>
        </is>
      </c>
      <c r="D7" s="554" t="inlineStr">
        <is>
          <t>Phone rang and no one answered.</t>
        </is>
      </c>
      <c r="E7" s="179">
        <f>LEN(D7)</f>
        <v/>
      </c>
      <c r="F7" s="555" t="inlineStr">
        <is>
          <t>رن الهاتف ولم يرد أحد</t>
        </is>
      </c>
      <c r="G7" s="179">
        <f>LEN(F7)</f>
        <v/>
      </c>
      <c r="H7" s="186" t="inlineStr">
        <is>
          <t>NA</t>
        </is>
      </c>
      <c r="I7" s="186" t="inlineStr">
        <is>
          <t>NA</t>
        </is>
      </c>
      <c r="J7" s="186" t="inlineStr">
        <is>
          <t>NA</t>
        </is>
      </c>
      <c r="K7" s="186" t="inlineStr">
        <is>
          <t>NA</t>
        </is>
      </c>
      <c r="L7" s="100" t="inlineStr">
        <is>
          <t>NA</t>
        </is>
      </c>
      <c r="M7" s="99" t="inlineStr">
        <is>
          <t>End Poll NoAnswer</t>
        </is>
      </c>
      <c r="N7" s="341" t="n"/>
      <c r="O7" s="98" t="inlineStr">
        <is>
          <t>NA</t>
        </is>
      </c>
      <c r="P7" s="26" t="inlineStr"/>
      <c r="Q7" s="10" t="n"/>
      <c r="R7" s="300" t="n"/>
      <c r="S7" s="53" t="n"/>
      <c r="U7" s="81" t="inlineStr">
        <is>
          <t>no</t>
        </is>
      </c>
      <c r="Y7" s="632" t="n">
        <v>0</v>
      </c>
      <c r="Z7" s="631">
        <f>IF(Y7="","",Y7*R7)</f>
        <v/>
      </c>
      <c r="AA7" s="53" t="inlineStr"/>
    </row>
    <row r="8" ht="37.5" customHeight="1">
      <c r="A8" s="18" t="inlineStr">
        <is>
          <t>NA</t>
        </is>
      </c>
      <c r="B8" s="182" t="inlineStr">
        <is>
          <t>NonWorkingNumber</t>
        </is>
      </c>
      <c r="C8" s="58" t="inlineStr">
        <is>
          <t>calldispo_disconnected</t>
        </is>
      </c>
      <c r="D8" s="554" t="inlineStr">
        <is>
          <t>Phone was disconnected or out of service.</t>
        </is>
      </c>
      <c r="E8" s="179">
        <f>LEN(D8)</f>
        <v/>
      </c>
      <c r="F8" s="555" t="inlineStr">
        <is>
          <t>تم فصل الهاتف أو الهاتف خارج الخدمة</t>
        </is>
      </c>
      <c r="G8" s="179">
        <f>LEN(F8)</f>
        <v/>
      </c>
      <c r="H8" s="186" t="inlineStr">
        <is>
          <t>NA</t>
        </is>
      </c>
      <c r="I8" s="186" t="inlineStr">
        <is>
          <t>NA</t>
        </is>
      </c>
      <c r="J8" s="186" t="inlineStr">
        <is>
          <t>NA</t>
        </is>
      </c>
      <c r="K8" s="186" t="inlineStr">
        <is>
          <t>NA</t>
        </is>
      </c>
      <c r="L8" s="100" t="inlineStr">
        <is>
          <t>NA</t>
        </is>
      </c>
      <c r="M8" s="99" t="inlineStr">
        <is>
          <t>End Poll NonWorkingNumber</t>
        </is>
      </c>
      <c r="N8" s="341" t="n"/>
      <c r="O8" s="98" t="inlineStr">
        <is>
          <t>NA</t>
        </is>
      </c>
      <c r="P8" s="26" t="inlineStr"/>
      <c r="Q8" s="10" t="n"/>
      <c r="R8" s="300" t="n"/>
      <c r="S8" s="53" t="n"/>
      <c r="U8" s="81" t="inlineStr">
        <is>
          <t>no</t>
        </is>
      </c>
      <c r="Y8" s="632" t="n">
        <v>0</v>
      </c>
      <c r="Z8" s="631">
        <f>IF(Y8="","",Y8*R8)</f>
        <v/>
      </c>
      <c r="AA8" s="53" t="inlineStr"/>
    </row>
    <row r="9" ht="111.75" customHeight="1">
      <c r="A9" s="18" t="inlineStr">
        <is>
          <t>NA</t>
        </is>
      </c>
      <c r="B9" s="182" t="inlineStr">
        <is>
          <t>resp_language</t>
        </is>
      </c>
      <c r="C9" s="58" t="inlineStr">
        <is>
          <t>resp_language</t>
        </is>
      </c>
      <c r="D9" s="138" t="inlineStr">
        <is>
          <t>Which language do you wish to proceed with?
[OPERATOR: READ ANSWER CHOICES. SINGLE RESPONSE.]
1)Arabic
2)English -TESTING</t>
        </is>
      </c>
      <c r="E9" s="179">
        <f>LEN(D9)</f>
        <v/>
      </c>
      <c r="F9" s="172" t="inlineStr">
        <is>
          <t>ما هي اللغة التي ترغب في المتابعة بها؟
[المُشغل: اقرأ خيارات الإجابة. استجابة واحدة.]
1) عربي
2) اختبار اللغة الإنجليزية</t>
        </is>
      </c>
      <c r="G9" s="179">
        <f>LEN(F9)</f>
        <v/>
      </c>
      <c r="H9" s="186" t="inlineStr">
        <is>
          <t>Single Choice</t>
        </is>
      </c>
      <c r="I9" s="179" t="inlineStr">
        <is>
          <t>NA</t>
        </is>
      </c>
      <c r="J9" s="179" t="inlineStr">
        <is>
          <t>NA</t>
        </is>
      </c>
      <c r="K9" s="179" t="inlineStr">
        <is>
          <t>Form Type - Buttons</t>
        </is>
      </c>
      <c r="L9" s="100" t="inlineStr">
        <is>
          <t>NA</t>
        </is>
      </c>
      <c r="M9" s="63" t="inlineStr">
        <is>
          <t>1 = introduction [Arabic]
2 = introduction [English]</t>
        </is>
      </c>
      <c r="N9" s="342" t="n"/>
      <c r="O9" s="97" t="inlineStr">
        <is>
          <t>For any response, go to introduction</t>
        </is>
      </c>
      <c r="P9" s="27" t="inlineStr"/>
      <c r="Q9" s="11" t="inlineStr">
        <is>
          <t>Arabic</t>
        </is>
      </c>
      <c r="R9" s="300" t="n"/>
      <c r="S9" s="53" t="n"/>
      <c r="U9" s="81" t="inlineStr">
        <is>
          <t>no</t>
        </is>
      </c>
      <c r="Y9" s="632" t="n">
        <v>3.103272438049316</v>
      </c>
      <c r="Z9" s="631">
        <f>IF(Y9="","",Y9*R9)</f>
        <v/>
      </c>
      <c r="AA9" s="53" t="inlineStr"/>
    </row>
    <row r="10" ht="408.65" customHeight="1">
      <c r="A10" s="18" t="inlineStr">
        <is>
          <t>NA</t>
        </is>
      </c>
      <c r="B10" s="182" t="inlineStr">
        <is>
          <t>introduction</t>
        </is>
      </c>
      <c r="C10" s="58" t="inlineStr">
        <is>
          <t>introduction</t>
        </is>
      </c>
      <c r="D10" s="556"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0" s="179">
        <f>LEN(D10)</f>
        <v/>
      </c>
      <c r="F10" s="172"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0" s="179">
        <f>LEN(F10)</f>
        <v/>
      </c>
      <c r="H10" s="186" t="inlineStr">
        <is>
          <t>Single Choice</t>
        </is>
      </c>
      <c r="I10" s="179" t="inlineStr">
        <is>
          <t>NA</t>
        </is>
      </c>
      <c r="J10" s="179" t="inlineStr">
        <is>
          <t>NA</t>
        </is>
      </c>
      <c r="K10" s="179" t="inlineStr">
        <is>
          <t>Form Type - Buttons</t>
        </is>
      </c>
      <c r="L10" s="100" t="inlineStr">
        <is>
          <t>NA</t>
        </is>
      </c>
      <c r="M10" s="63" t="inlineStr">
        <is>
          <t>1 = Agree</t>
        </is>
      </c>
      <c r="N10" s="342" t="n"/>
      <c r="O10" s="97" t="inlineStr">
        <is>
          <t>For any response, go to Agree</t>
        </is>
      </c>
      <c r="P10" s="27" t="inlineStr"/>
      <c r="Q10" s="11" t="n">
        <v>0</v>
      </c>
      <c r="R10" s="300" t="n"/>
      <c r="S10" s="53" t="n"/>
      <c r="U10" s="81" t="inlineStr">
        <is>
          <t>no</t>
        </is>
      </c>
      <c r="Y10" s="632" t="n">
        <v>37.41844940185547</v>
      </c>
      <c r="Z10" s="631">
        <f>IF(Y10="","",Y10*R10)</f>
        <v/>
      </c>
      <c r="AA10" s="53" t="inlineStr"/>
    </row>
    <row r="11" ht="109.4" customFormat="1" customHeight="1" s="59">
      <c r="A11" s="18" t="inlineStr">
        <is>
          <t>NA</t>
        </is>
      </c>
      <c r="B11" s="182" t="inlineStr">
        <is>
          <t>Agree</t>
        </is>
      </c>
      <c r="C11" s="58" t="inlineStr">
        <is>
          <t>resp_agree</t>
        </is>
      </c>
      <c r="D11" s="184" t="inlineStr">
        <is>
          <t>Are you interested in participating in this survey?
[OPERATOR: SINGLE RESPONSE]
1)Yes 
2)Not now but another time in the week 
3)No</t>
        </is>
      </c>
      <c r="E11" s="179">
        <f>LEN(D11)</f>
        <v/>
      </c>
      <c r="F11" s="172" t="inlineStr">
        <is>
          <t>هل لديك رغبة في بالمشاركة في هذه الدراسة؟
[المشغل: استجابة واحدة]
1) نعم
2) ليس الآن ولكن في وقت آخر في الأسبوع
3) لا</t>
        </is>
      </c>
      <c r="G11" s="179">
        <f>LEN(F11)</f>
        <v/>
      </c>
      <c r="H11" s="186" t="inlineStr">
        <is>
          <t>StartRecording</t>
        </is>
      </c>
      <c r="I11" s="179" t="inlineStr">
        <is>
          <t>NA</t>
        </is>
      </c>
      <c r="J11" s="179" t="inlineStr">
        <is>
          <t>NA</t>
        </is>
      </c>
      <c r="K11" s="179" t="inlineStr">
        <is>
          <t>Form Type - Buttons</t>
        </is>
      </c>
      <c r="L11" s="100" t="inlineStr">
        <is>
          <t>NA</t>
        </is>
      </c>
      <c r="M11" s="63" t="inlineStr">
        <is>
          <t>1 = id_panel
2 = WhenCallBack
3 = resp_refusalwhy</t>
        </is>
      </c>
      <c r="N11" s="342" t="n"/>
      <c r="O11" s="63" t="inlineStr">
        <is>
          <t>if Agree = 1, go to id_panel OR resp_firstname
if Agree = 2, go to WhenCallBack
if Agree = 3, go to resp_refusalwhy</t>
        </is>
      </c>
      <c r="P11" s="21" t="inlineStr">
        <is>
          <t>id_panel</t>
        </is>
      </c>
      <c r="Q11" s="9" t="n"/>
      <c r="R11" s="300" t="n">
        <v>1</v>
      </c>
      <c r="S11" s="53" t="n"/>
      <c r="U11" s="81" t="inlineStr">
        <is>
          <t>no</t>
        </is>
      </c>
      <c r="V11" s="613" t="n"/>
      <c r="Y11" s="632" t="n">
        <v>3.805951595306396</v>
      </c>
      <c r="Z11" s="631">
        <f>IF(Y11="","",Y11*R11)</f>
        <v/>
      </c>
      <c r="AA11" s="53" t="inlineStr"/>
    </row>
    <row r="12" ht="124.75" customFormat="1" customHeight="1" s="218">
      <c r="A12" s="125" t="inlineStr">
        <is>
          <t>NA</t>
        </is>
      </c>
      <c r="B12" s="290" t="inlineStr">
        <is>
          <t>id_panel</t>
        </is>
      </c>
      <c r="C12" s="255" t="inlineStr">
        <is>
          <t>id_panel</t>
        </is>
      </c>
      <c r="D12" s="230" t="inlineStr">
        <is>
          <t>Have you or any member of your household received a call on behalf of FAO regarding this topic in the past two years?
[OPERATOR: SINGLE RESPONSE.]
1)YES
2)NO
3)DON'T KNOW</t>
        </is>
      </c>
      <c r="E12" s="292">
        <f>LEN(D12)</f>
        <v/>
      </c>
      <c r="F12" s="557"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2" s="254">
        <f>LEN(F12)</f>
        <v/>
      </c>
      <c r="H12" s="289" t="inlineStr">
        <is>
          <t>Single Choice</t>
        </is>
      </c>
      <c r="I12" s="292" t="inlineStr">
        <is>
          <t>NA</t>
        </is>
      </c>
      <c r="J12" s="292" t="inlineStr">
        <is>
          <t>NA</t>
        </is>
      </c>
      <c r="K12" s="292" t="inlineStr">
        <is>
          <t>Form Type - Buttons</t>
        </is>
      </c>
      <c r="L12" s="215" t="inlineStr">
        <is>
          <t>NA</t>
        </is>
      </c>
      <c r="M12" s="229" t="inlineStr">
        <is>
          <t>1-3 = resp_firstname</t>
        </is>
      </c>
      <c r="N12" s="364" t="n"/>
      <c r="O12" s="229" t="inlineStr">
        <is>
          <t>For any response, go to resp_firstname</t>
        </is>
      </c>
      <c r="P12" s="229" t="inlineStr"/>
      <c r="Q12" s="241" t="inlineStr">
        <is>
          <t xml:space="preserve">It is highly recommended to include the question id_panel if a panelist approach is used. </t>
        </is>
      </c>
      <c r="R12" s="317" t="n">
        <v>1</v>
      </c>
      <c r="S12" s="217" t="n"/>
      <c r="U12" s="371" t="inlineStr">
        <is>
          <t>no</t>
        </is>
      </c>
      <c r="V12" s="220" t="n"/>
      <c r="Y12" s="633" t="n"/>
      <c r="Z12" s="633" t="n"/>
      <c r="AA12" s="217" t="inlineStr"/>
    </row>
    <row r="13" ht="139.5" customFormat="1" customHeight="1" s="59">
      <c r="A13" s="18" t="inlineStr">
        <is>
          <t>NA</t>
        </is>
      </c>
      <c r="B13" s="182" t="inlineStr">
        <is>
          <t>resp_refusalwhy</t>
        </is>
      </c>
      <c r="C13" s="58" t="inlineStr">
        <is>
          <t>resp_refusalwhy</t>
        </is>
      </c>
      <c r="D13" s="187" t="inlineStr">
        <is>
          <t>Please let us know why you have REFUSED to take the survey.
[OPERATOR: SINGLE RESPONSE]
1)Not interested
2)Do not want to be recorded
3)Other [specify]</t>
        </is>
      </c>
      <c r="E13" s="179">
        <f>LEN(D13)</f>
        <v/>
      </c>
      <c r="F13" s="558" t="inlineStr">
        <is>
          <t>يرجى إخبارنا سبب رفضك للمشاركة في هذه الدراسة.
[المشغل: استجابة واحدة]
1) غير مهتم
2) لا أريد أن يتم تسجيلي
3) آخر [حدد]</t>
        </is>
      </c>
      <c r="G13" s="179">
        <f>LEN(F13)</f>
        <v/>
      </c>
      <c r="H13" s="186" t="inlineStr">
        <is>
          <t>Open Ended-Single Choice</t>
        </is>
      </c>
      <c r="I13" s="179" t="inlineStr">
        <is>
          <t>NA</t>
        </is>
      </c>
      <c r="J13" s="179" t="inlineStr">
        <is>
          <t>NA</t>
        </is>
      </c>
      <c r="K13" s="179" t="inlineStr">
        <is>
          <t>Form Type - RadioList</t>
        </is>
      </c>
      <c r="L13" s="100" t="inlineStr">
        <is>
          <t>NA</t>
        </is>
      </c>
      <c r="M13" s="63" t="inlineStr">
        <is>
          <t>1-3 = Refusal</t>
        </is>
      </c>
      <c r="N13" s="342" t="n"/>
      <c r="O13" s="63" t="inlineStr">
        <is>
          <t>For any response, go to Refusal</t>
        </is>
      </c>
      <c r="P13" s="28" t="inlineStr"/>
      <c r="Q13" s="9" t="n"/>
      <c r="R13" s="300" t="n">
        <v>1</v>
      </c>
      <c r="S13" s="53" t="n"/>
      <c r="U13" s="61" t="inlineStr">
        <is>
          <t>no</t>
        </is>
      </c>
      <c r="V13" s="613" t="n"/>
      <c r="Y13" s="632" t="n">
        <v>0</v>
      </c>
      <c r="Z13" s="631">
        <f>IF(Y13="","",Y13*R13)</f>
        <v/>
      </c>
      <c r="AA13" s="53" t="inlineStr"/>
    </row>
    <row r="14" ht="46.75" customFormat="1" customHeight="1" s="59">
      <c r="A14" s="18" t="inlineStr">
        <is>
          <t>NA</t>
        </is>
      </c>
      <c r="B14" s="182" t="inlineStr">
        <is>
          <t>WhenCallBack</t>
        </is>
      </c>
      <c r="C14" s="58" t="inlineStr">
        <is>
          <t>resp_whencallback</t>
        </is>
      </c>
      <c r="D14" s="184" t="inlineStr">
        <is>
          <t>When would it be a good time to call you back?
[RECORD HH/MM/DD/MM OF CALLBACK]</t>
        </is>
      </c>
      <c r="E14" s="179">
        <f>LEN(D14)</f>
        <v/>
      </c>
      <c r="F14" s="559" t="inlineStr">
        <is>
          <t>ما هو التاريخ / الوقت المناسب لمعاودة الاتصال بك؟
[RECORD HH / MM / DD / MM of CALLBACK]</t>
        </is>
      </c>
      <c r="G14" s="179">
        <f>LEN(F14)</f>
        <v/>
      </c>
      <c r="H14" s="186" t="inlineStr">
        <is>
          <t>Open Ended</t>
        </is>
      </c>
      <c r="I14" s="179" t="inlineStr">
        <is>
          <t>NA</t>
        </is>
      </c>
      <c r="J14" s="179" t="inlineStr">
        <is>
          <t>NA</t>
        </is>
      </c>
      <c r="K14" s="179" t="inlineStr">
        <is>
          <t>Form Type - TextBox
IsCallBackDemographic</t>
        </is>
      </c>
      <c r="L14" s="100" t="inlineStr">
        <is>
          <t>NA</t>
        </is>
      </c>
      <c r="M14" s="63" t="inlineStr">
        <is>
          <t>Any Response = CallbackMessageEN</t>
        </is>
      </c>
      <c r="N14" s="342" t="n"/>
      <c r="O14" s="63" t="inlineStr">
        <is>
          <t>For any response, go to CallbackMessageEN</t>
        </is>
      </c>
      <c r="P14" s="28" t="inlineStr"/>
      <c r="Q14" s="9" t="n"/>
      <c r="R14" s="300" t="n">
        <v>1</v>
      </c>
      <c r="S14" s="53" t="n"/>
      <c r="U14" s="61" t="inlineStr">
        <is>
          <t>no</t>
        </is>
      </c>
      <c r="V14" s="613" t="n"/>
      <c r="Y14" s="632" t="n">
        <v>0</v>
      </c>
      <c r="Z14" s="631">
        <f>IF(Y14="","",Y14*R14)</f>
        <v/>
      </c>
      <c r="AA14" s="53" t="inlineStr"/>
    </row>
    <row r="15" ht="78" customFormat="1" customHeight="1" s="59">
      <c r="A15" s="18" t="inlineStr">
        <is>
          <t>NA</t>
        </is>
      </c>
      <c r="B15" s="182" t="inlineStr">
        <is>
          <t>CallbackMessageEN</t>
        </is>
      </c>
      <c r="C15" s="58" t="inlineStr">
        <is>
          <t>callbackmessage_en</t>
        </is>
      </c>
      <c r="D15" s="184" t="inlineStr">
        <is>
          <t>Thank you, we will call you back at {WhenCallBack} you requested. Thank you again and have a great day!
[OPERATOR: ENTER CALL NOTES BELOW, WHO YOU SPOKE TO AND WHAT THEY SAID]</t>
        </is>
      </c>
      <c r="E15" s="179">
        <f>LEN(D15)</f>
        <v/>
      </c>
      <c r="F15" s="305"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5" s="179">
        <f>LEN(F15)</f>
        <v/>
      </c>
      <c r="H15" s="186" t="inlineStr">
        <is>
          <t>Open Ended</t>
        </is>
      </c>
      <c r="I15" s="179" t="inlineStr">
        <is>
          <t>NA</t>
        </is>
      </c>
      <c r="J15" s="179" t="inlineStr">
        <is>
          <t>NA</t>
        </is>
      </c>
      <c r="K15" s="179" t="inlineStr">
        <is>
          <t>Form Type - TextBox</t>
        </is>
      </c>
      <c r="L15" s="100" t="inlineStr">
        <is>
          <t>NA</t>
        </is>
      </c>
      <c r="M15" s="63" t="inlineStr">
        <is>
          <t>Any Response = End poll callback</t>
        </is>
      </c>
      <c r="N15" s="342" t="n"/>
      <c r="O15" s="90" t="inlineStr">
        <is>
          <t>NA</t>
        </is>
      </c>
      <c r="P15" s="25" t="inlineStr"/>
      <c r="Q15" s="9" t="n"/>
      <c r="R15" s="300" t="n">
        <v>1</v>
      </c>
      <c r="S15" s="53" t="n"/>
      <c r="U15" s="61" t="inlineStr">
        <is>
          <t>no</t>
        </is>
      </c>
      <c r="V15" s="613" t="n"/>
      <c r="Y15" s="632" t="n">
        <v>0</v>
      </c>
      <c r="Z15" s="631">
        <f>IF(Y15="","",Y15*R15)</f>
        <v/>
      </c>
      <c r="AA15" s="53" t="inlineStr"/>
    </row>
    <row r="16" ht="50.25" customFormat="1" customHeight="1" s="59">
      <c r="A16" s="18" t="inlineStr">
        <is>
          <t>NA</t>
        </is>
      </c>
      <c r="B16" s="182" t="inlineStr">
        <is>
          <t>Ineligible</t>
        </is>
      </c>
      <c r="C16" s="58" t="inlineStr">
        <is>
          <t>NA</t>
        </is>
      </c>
      <c r="D16" s="184" t="inlineStr">
        <is>
          <t>You are ineligible for this survey. Thank you for your time and please look out for future surveys!</t>
        </is>
      </c>
      <c r="E16" s="179">
        <f>LEN(D16)</f>
        <v/>
      </c>
      <c r="F16" s="305" t="inlineStr">
        <is>
          <t xml:space="preserve">أنت غير مؤهل للمشاركة في هذه الدراسة، شكرًا لك على وقتك. ترقب دراسات GeoPoll المستقبلية! </t>
        </is>
      </c>
      <c r="G16" s="179">
        <f>LEN(F16)</f>
        <v/>
      </c>
      <c r="H16" s="186" t="inlineStr">
        <is>
          <t>NA</t>
        </is>
      </c>
      <c r="I16" s="179" t="inlineStr">
        <is>
          <t>NA</t>
        </is>
      </c>
      <c r="J16" s="179" t="inlineStr">
        <is>
          <t>NA</t>
        </is>
      </c>
      <c r="K16" s="179" t="inlineStr">
        <is>
          <t>NA</t>
        </is>
      </c>
      <c r="L16" s="100" t="inlineStr">
        <is>
          <t>NA</t>
        </is>
      </c>
      <c r="M16" s="63" t="inlineStr">
        <is>
          <t>End Poll Ineligible</t>
        </is>
      </c>
      <c r="N16" s="342" t="n"/>
      <c r="O16" s="90" t="inlineStr">
        <is>
          <t>NA</t>
        </is>
      </c>
      <c r="P16" s="25" t="inlineStr"/>
      <c r="Q16" s="9" t="n"/>
      <c r="R16" s="300" t="n">
        <v>1</v>
      </c>
      <c r="S16" s="53" t="n"/>
      <c r="U16" s="61" t="inlineStr">
        <is>
          <t>no</t>
        </is>
      </c>
      <c r="V16" s="613" t="n"/>
      <c r="Y16" s="632" t="n">
        <v>0</v>
      </c>
      <c r="Z16" s="631">
        <f>IF(Y16="","",Y16*R16)</f>
        <v/>
      </c>
      <c r="AA16" s="53" t="inlineStr"/>
    </row>
    <row r="17" ht="50.25" customFormat="1" customHeight="1" s="59" thickBot="1">
      <c r="A17" s="132" t="inlineStr">
        <is>
          <t>NA</t>
        </is>
      </c>
      <c r="B17" s="96" t="inlineStr">
        <is>
          <t>Refusal</t>
        </is>
      </c>
      <c r="C17" s="95" t="inlineStr">
        <is>
          <t>NA</t>
        </is>
      </c>
      <c r="D17" s="94" t="inlineStr">
        <is>
          <t>Thank you for your time, you will be removed from today's survey.</t>
        </is>
      </c>
      <c r="E17" s="92">
        <f>LEN(D17)</f>
        <v/>
      </c>
      <c r="F17" s="164" t="inlineStr">
        <is>
          <t>شكراً جزيلاً على وقتك، سنقوم بحذف إسمك من دراسة اليوم.</t>
        </is>
      </c>
      <c r="G17" s="92">
        <f>LEN(F17)</f>
        <v/>
      </c>
      <c r="H17" s="93" t="inlineStr">
        <is>
          <t>NA</t>
        </is>
      </c>
      <c r="I17" s="92" t="inlineStr">
        <is>
          <t>NA</t>
        </is>
      </c>
      <c r="J17" s="92" t="inlineStr">
        <is>
          <t>NA</t>
        </is>
      </c>
      <c r="K17" s="92" t="inlineStr">
        <is>
          <t>NA</t>
        </is>
      </c>
      <c r="L17" s="100" t="inlineStr">
        <is>
          <t>NA</t>
        </is>
      </c>
      <c r="M17" s="91" t="inlineStr">
        <is>
          <t>End Poll Refusal</t>
        </is>
      </c>
      <c r="N17" s="343" t="n"/>
      <c r="O17" s="90" t="inlineStr">
        <is>
          <t>NA</t>
        </is>
      </c>
      <c r="P17" s="29" t="inlineStr"/>
      <c r="Q17" s="12" t="n"/>
      <c r="R17" s="300" t="n">
        <v>1</v>
      </c>
      <c r="S17" s="53" t="n"/>
      <c r="U17" s="61" t="inlineStr">
        <is>
          <t>no</t>
        </is>
      </c>
      <c r="V17" s="613" t="n"/>
      <c r="Y17" s="632" t="n">
        <v>0</v>
      </c>
      <c r="Z17" s="631">
        <f>IF(Y17="","",Y17*R17)</f>
        <v/>
      </c>
      <c r="AA17" s="53" t="inlineStr"/>
    </row>
    <row r="18" ht="16.4" customFormat="1" customHeight="1" s="149" thickBot="1">
      <c r="A18" s="604" t="inlineStr">
        <is>
          <t>B. GENERAL INFORMATION &amp; ELIGIBILITY CRITERIA</t>
        </is>
      </c>
      <c r="B18" s="629" t="n"/>
      <c r="C18" s="629" t="n"/>
      <c r="D18" s="629" t="n"/>
      <c r="E18" s="629" t="n"/>
      <c r="F18" s="629" t="n"/>
      <c r="G18" s="629" t="n"/>
      <c r="H18" s="629" t="n"/>
      <c r="I18" s="629" t="n"/>
      <c r="J18" s="629" t="n"/>
      <c r="K18" s="629" t="n"/>
      <c r="L18" s="629" t="n"/>
      <c r="M18" s="629" t="n"/>
      <c r="N18" s="629" t="n"/>
      <c r="O18" s="629" t="n"/>
      <c r="P18" s="629" t="n"/>
      <c r="Q18" s="630" t="n"/>
      <c r="R18" s="306" t="n"/>
      <c r="S18" s="151" t="n"/>
      <c r="U18" s="150" t="n"/>
      <c r="V18" s="623" t="n"/>
      <c r="Y18" s="631" t="n"/>
      <c r="Z18" s="631">
        <f>IF(Y18="","",Y18*R18)</f>
        <v/>
      </c>
      <c r="AA18" s="151">
        <f>IF(U18="yes",Z18,"")</f>
        <v/>
      </c>
    </row>
    <row r="19" ht="68.25" customFormat="1" customHeight="1" s="59">
      <c r="A19" s="131" t="n">
        <v>1</v>
      </c>
      <c r="B19" s="89" t="inlineStr">
        <is>
          <t>resp_firstname</t>
        </is>
      </c>
      <c r="C19" s="84" t="inlineStr">
        <is>
          <t>resp_firstname</t>
        </is>
      </c>
      <c r="D19" s="88" t="inlineStr">
        <is>
          <t>What is your first name?
[OPERATOR: RECORD THE RESPONDENT'S FIRST NAME. ENTER 999 FOR REFUSED.]</t>
        </is>
      </c>
      <c r="E19" s="560">
        <f>LEN(D19)</f>
        <v/>
      </c>
      <c r="F19" s="165" t="inlineStr">
        <is>
          <t>ما اسمك؟
[المُشغل: سجل اسم المجيب. أدخل 999 في حالة الرفض.]</t>
        </is>
      </c>
      <c r="G19" s="560">
        <f>LEN(F19)</f>
        <v/>
      </c>
      <c r="H19" s="561" t="inlineStr">
        <is>
          <t>Open Ended</t>
        </is>
      </c>
      <c r="I19" s="560" t="inlineStr">
        <is>
          <t>NA</t>
        </is>
      </c>
      <c r="J19" s="560" t="inlineStr">
        <is>
          <t>NA</t>
        </is>
      </c>
      <c r="K19" s="560" t="inlineStr">
        <is>
          <t>Form Type - TextBox</t>
        </is>
      </c>
      <c r="L19" s="100" t="inlineStr">
        <is>
          <t>NA</t>
        </is>
      </c>
      <c r="M19" s="87" t="inlineStr">
        <is>
          <t>Any Response = resp_lastname</t>
        </is>
      </c>
      <c r="N19" s="344" t="n"/>
      <c r="O19" s="88" t="inlineStr">
        <is>
          <t>For any response, go to resp_lastname</t>
        </is>
      </c>
      <c r="P19" s="86" t="inlineStr"/>
      <c r="Q19" s="23" t="n"/>
      <c r="R19" s="306">
        <f>1</f>
        <v/>
      </c>
      <c r="S19" s="53" t="n"/>
      <c r="U19" s="150" t="inlineStr">
        <is>
          <t>yes</t>
        </is>
      </c>
      <c r="V19" s="613" t="n"/>
      <c r="Y19" s="631" t="n">
        <v>25.87402725219727</v>
      </c>
      <c r="Z19" s="631">
        <f>IF(Y19="","",Y19*R19)</f>
        <v/>
      </c>
      <c r="AA19" s="53" t="inlineStr">
        <is>
          <t>25.87402725219727</t>
        </is>
      </c>
    </row>
    <row r="20" ht="62.5" customFormat="1" customHeight="1" s="59">
      <c r="A20" s="18" t="n">
        <v>2</v>
      </c>
      <c r="B20" s="89" t="inlineStr">
        <is>
          <t>resp_lastname</t>
        </is>
      </c>
      <c r="C20" s="84" t="inlineStr">
        <is>
          <t>resp_lastname</t>
        </is>
      </c>
      <c r="D20" s="88" t="inlineStr">
        <is>
          <t>What is your last name? 
[OPERATOR: RECORD THE RESPONDENT'S LAST NAME. ENTER 999 FOR REFUSED.]</t>
        </is>
      </c>
      <c r="E20" s="560">
        <f>LEN(D20)</f>
        <v/>
      </c>
      <c r="F20" s="165" t="inlineStr">
        <is>
          <t>ما هو اسم عائلتك؟
[المُشغل: سجل اسم عائلة المجيب. أدخل 999 في حالة الرفض.]</t>
        </is>
      </c>
      <c r="G20" s="560">
        <f>LEN(F20)</f>
        <v/>
      </c>
      <c r="H20" s="561" t="inlineStr">
        <is>
          <t>Open Ended</t>
        </is>
      </c>
      <c r="I20" s="560" t="inlineStr">
        <is>
          <t>NA</t>
        </is>
      </c>
      <c r="J20" s="560" t="inlineStr">
        <is>
          <t>NA</t>
        </is>
      </c>
      <c r="K20" s="560" t="inlineStr">
        <is>
          <t>Form Type - TextBox</t>
        </is>
      </c>
      <c r="L20" s="100" t="inlineStr">
        <is>
          <t>NA</t>
        </is>
      </c>
      <c r="M20" s="87" t="inlineStr">
        <is>
          <t>Any Response = resp_age</t>
        </is>
      </c>
      <c r="N20" s="344" t="n"/>
      <c r="O20" s="71" t="inlineStr">
        <is>
          <t>For any response, go to resp_age</t>
        </is>
      </c>
      <c r="P20" s="86" t="inlineStr"/>
      <c r="Q20" s="23" t="n"/>
      <c r="R20" s="306">
        <f>1</f>
        <v/>
      </c>
      <c r="S20" s="53" t="n"/>
      <c r="U20" s="150" t="inlineStr">
        <is>
          <t>yes</t>
        </is>
      </c>
      <c r="V20" s="613" t="n"/>
      <c r="Y20" s="631" t="n">
        <v>8.599481582641602</v>
      </c>
      <c r="Z20" s="631">
        <f>IF(Y20="","",Y20*R20)</f>
        <v/>
      </c>
      <c r="AA20" s="53" t="inlineStr">
        <is>
          <t>8.599481582641602</t>
        </is>
      </c>
    </row>
    <row r="21" ht="78" customFormat="1" customHeight="1" s="59">
      <c r="A21" s="18" t="n">
        <v>3</v>
      </c>
      <c r="B21" s="117" t="inlineStr">
        <is>
          <t>resp_age</t>
        </is>
      </c>
      <c r="C21" s="85" t="inlineStr">
        <is>
          <t>resp_age</t>
        </is>
      </c>
      <c r="D21" s="57" t="inlineStr">
        <is>
          <t>How old are you? 
[OPERATOR: RECORD AGE IN NUMBER OF YEARS. ROUND UP TO NEAREST WHOLE NUMBER. IF THE RESPONDENT GIVES BIRTH YEAR, REPEAT THE QUESTION. ENTER 00 FOR DON'T KNOW.]</t>
        </is>
      </c>
      <c r="E21" s="84">
        <f>LEN(D21)</f>
        <v/>
      </c>
      <c r="F21" s="166" t="inlineStr">
        <is>
          <t>كم عمرك؟
[المُشغل: سجل العمر في عدد السنوات. قم بالتقريب لأقرب رقم كامل. إذا أعطى المجيب سنة الميلاد ، فكرر السؤال. أدخل 00 للا أعرف.]</t>
        </is>
      </c>
      <c r="G21" s="84">
        <f>LEN(F21)</f>
        <v/>
      </c>
      <c r="H21" s="84" t="inlineStr">
        <is>
          <t>Range</t>
        </is>
      </c>
      <c r="I21" s="84" t="inlineStr">
        <is>
          <t>NA</t>
        </is>
      </c>
      <c r="J21" s="84" t="inlineStr">
        <is>
          <t>NA</t>
        </is>
      </c>
      <c r="K21" s="84" t="inlineStr">
        <is>
          <t>Form Type - TextBox</t>
        </is>
      </c>
      <c r="L21" s="100" t="inlineStr">
        <is>
          <t>NA</t>
        </is>
      </c>
      <c r="M21" s="55" t="inlineStr">
        <is>
          <t>0-17 = Ineligible
18-100 = resp_gender
00 = Ineligible</t>
        </is>
      </c>
      <c r="N21" s="195" t="n"/>
      <c r="O21" s="83" t="inlineStr">
        <is>
          <t>Only respondents from 18-100 will be eligible for the survey.</t>
        </is>
      </c>
      <c r="P21" s="82" t="inlineStr"/>
      <c r="Q21" s="23" t="n"/>
      <c r="R21" s="306">
        <f>1</f>
        <v/>
      </c>
      <c r="S21" s="53" t="n"/>
      <c r="U21" s="154" t="inlineStr">
        <is>
          <t>yes</t>
        </is>
      </c>
      <c r="V21" s="613" t="n"/>
      <c r="Y21" s="631" t="n">
        <v>9.890718460083008</v>
      </c>
      <c r="Z21" s="631">
        <f>IF(Y21="","",Y21*R21)</f>
        <v/>
      </c>
      <c r="AA21" s="53" t="inlineStr">
        <is>
          <t>9.890718460083008</t>
        </is>
      </c>
    </row>
    <row r="22" ht="140.5" customFormat="1" customHeight="1" s="59">
      <c r="A22" s="18" t="n">
        <v>4</v>
      </c>
      <c r="B22" s="182" t="inlineStr">
        <is>
          <t>resp_gender</t>
        </is>
      </c>
      <c r="C22" s="58" t="inlineStr">
        <is>
          <t>resp_gender</t>
        </is>
      </c>
      <c r="D22" s="184" t="inlineStr">
        <is>
          <t>What is the gender of the respondent?
[OPERATOR: DO NOT ASK THIS QUESTION OUT LOUD. LISTEN TO THE VOICE AND SELECT THE GENDER.]
1)Male
2)Female
3)DON'T KNOW
4)REFUSED</t>
        </is>
      </c>
      <c r="E22" s="179">
        <f>LEN(D22)</f>
        <v/>
      </c>
      <c r="F22" s="305" t="inlineStr">
        <is>
          <t>ما هو جنس المجيب؟
[المُشغل: لا تطرح هذا السؤال. استمع إلى الصوت وحدد المربع الصحيح.]
1) ذكر
2) أنثى
3) لا أعرف
4) رفض الإجابة</t>
        </is>
      </c>
      <c r="G22" s="179">
        <f>LEN(F22)</f>
        <v/>
      </c>
      <c r="H22" s="186" t="inlineStr">
        <is>
          <t>Single Choice</t>
        </is>
      </c>
      <c r="I22" s="179" t="inlineStr">
        <is>
          <t>NA</t>
        </is>
      </c>
      <c r="J22" s="179" t="inlineStr">
        <is>
          <t>NA</t>
        </is>
      </c>
      <c r="K22" s="179" t="inlineStr">
        <is>
          <t>Form Type - Buttons</t>
        </is>
      </c>
      <c r="L22" s="100" t="inlineStr">
        <is>
          <t>NA</t>
        </is>
      </c>
      <c r="M22" s="63" t="inlineStr">
        <is>
          <t>1-4 = phone_number_conf</t>
        </is>
      </c>
      <c r="N22" s="195" t="n"/>
      <c r="O22" s="55" t="inlineStr">
        <is>
          <t>For any response, go to phone_number_conf</t>
        </is>
      </c>
      <c r="P22" s="30" t="inlineStr"/>
      <c r="Q22" s="9" t="n"/>
      <c r="R22" s="306">
        <f>1</f>
        <v/>
      </c>
      <c r="S22" s="53" t="n"/>
      <c r="U22" s="154" t="inlineStr">
        <is>
          <t>yes</t>
        </is>
      </c>
      <c r="V22" s="613" t="n"/>
      <c r="Y22" s="631" t="n">
        <v>1.715648174285889</v>
      </c>
      <c r="Z22" s="631">
        <f>IF(Y22="","",Y22*R22)</f>
        <v/>
      </c>
      <c r="AA22" s="53" t="inlineStr">
        <is>
          <t>1.715648174285889</t>
        </is>
      </c>
    </row>
    <row r="23" ht="135.65" customFormat="1" customHeight="1" s="59">
      <c r="A23" s="18" t="n">
        <v>5</v>
      </c>
      <c r="B23" s="114" t="inlineStr">
        <is>
          <t>phone_number_conf</t>
        </is>
      </c>
      <c r="C23" s="116" t="inlineStr">
        <is>
          <t>phone_number_conf</t>
        </is>
      </c>
      <c r="D23" s="198" t="inlineStr">
        <is>
          <t>Is the phone number I am calling you on yours or a household members?
[OPERATOR: SINGLE RESPONSE.]
1)YES
2)NO
3)DON'T KNOW
4)REFUSED</t>
        </is>
      </c>
      <c r="E23" s="179">
        <f>LEN(D23)</f>
        <v/>
      </c>
      <c r="F23" s="198" t="inlineStr">
        <is>
          <t>هل رقم الهاتف الذي أتصل به هو رقمك أو رقم أحد أفراد أسرتك؟
[المشغل: استجابة واحدة.]
1) نعم
2) لا
3) لا أعرف
4) رفض الإجابة</t>
        </is>
      </c>
      <c r="G23" s="179">
        <f>LEN(F23)</f>
        <v/>
      </c>
      <c r="H23" s="186" t="inlineStr">
        <is>
          <t>Single Choice</t>
        </is>
      </c>
      <c r="I23" s="179" t="inlineStr">
        <is>
          <t>NA</t>
        </is>
      </c>
      <c r="J23" s="179" t="inlineStr">
        <is>
          <t>NA</t>
        </is>
      </c>
      <c r="K23" s="179" t="inlineStr">
        <is>
          <t>Form Type - Buttons</t>
        </is>
      </c>
      <c r="L23" s="100" t="inlineStr">
        <is>
          <t>NA</t>
        </is>
      </c>
      <c r="M23" s="55" t="inlineStr">
        <is>
          <t>1 = contact_2
2 = phone_number_personal
3-4 = contact_2</t>
        </is>
      </c>
      <c r="N23" s="195" t="n"/>
      <c r="O23" s="55" t="inlineStr">
        <is>
          <t>if phone_number_conf = 1, go to contact_2
if phone_number_conf = 2, go to phone_number_personal
if phone_number_conf = 3-4, go to contact_2</t>
        </is>
      </c>
      <c r="P23" s="30" t="inlineStr"/>
      <c r="Q23" s="9" t="n"/>
      <c r="R23" s="306">
        <f>1</f>
        <v/>
      </c>
      <c r="S23" s="53" t="n"/>
      <c r="U23" s="153" t="inlineStr">
        <is>
          <t>yes - panel</t>
        </is>
      </c>
      <c r="V23" s="613" t="n"/>
      <c r="Y23" s="631" t="n">
        <v>6.375236988067627</v>
      </c>
      <c r="Z23" s="631">
        <f>IF(Y23="","",Y23*R23)</f>
        <v/>
      </c>
      <c r="AA23" s="53" t="inlineStr"/>
    </row>
    <row r="24" ht="57" customFormat="1" customHeight="1" s="59">
      <c r="A24" s="18" t="n">
        <v>6</v>
      </c>
      <c r="B24" s="114" t="inlineStr">
        <is>
          <t>phone_number_personal</t>
        </is>
      </c>
      <c r="C24" s="116" t="inlineStr">
        <is>
          <t>phone_number_pers</t>
        </is>
      </c>
      <c r="D24" s="198" t="inlineStr">
        <is>
          <t>What is your phone number?
[OPERATOR: RECORD THE NUMBER GIVEN]</t>
        </is>
      </c>
      <c r="E24" s="179">
        <f>LEN(D24)</f>
        <v/>
      </c>
      <c r="F24" s="307" t="inlineStr">
        <is>
          <t>ما هو رقم هاتفك؟
[ المشغل: قم بتسجيل الرقم المعطى لك]</t>
        </is>
      </c>
      <c r="G24" s="179">
        <f>LEN(F24)</f>
        <v/>
      </c>
      <c r="H24" s="186" t="inlineStr">
        <is>
          <t>MobileNumberReferral</t>
        </is>
      </c>
      <c r="I24" s="179" t="inlineStr">
        <is>
          <t>NA</t>
        </is>
      </c>
      <c r="J24" s="179" t="inlineStr">
        <is>
          <t>NA</t>
        </is>
      </c>
      <c r="K24" s="179" t="inlineStr">
        <is>
          <t>Form Type - TextBox</t>
        </is>
      </c>
      <c r="L24" s="100" t="inlineStr">
        <is>
          <t>NA</t>
        </is>
      </c>
      <c r="M24" s="55" t="inlineStr">
        <is>
          <t>1000000-999999999999 = contact_2</t>
        </is>
      </c>
      <c r="N24" s="195" t="n"/>
      <c r="O24" s="184" t="inlineStr">
        <is>
          <t>For any response, go to contact_2</t>
        </is>
      </c>
      <c r="P24" s="28" t="inlineStr"/>
      <c r="Q24" s="9" t="n"/>
      <c r="R24" s="306">
        <f>1</f>
        <v/>
      </c>
      <c r="S24" s="53" t="n"/>
      <c r="U24" s="153" t="inlineStr">
        <is>
          <t>yes - panel</t>
        </is>
      </c>
      <c r="V24" s="613" t="n"/>
      <c r="Y24" s="631" t="n">
        <v>28.70000076293945</v>
      </c>
      <c r="Z24" s="631">
        <f>IF(Y24="","",Y24*R24)</f>
        <v/>
      </c>
      <c r="AA24" s="53" t="inlineStr"/>
    </row>
    <row r="25" ht="187.4" customFormat="1" customHeight="1" s="59">
      <c r="A25" s="18" t="n">
        <v>7</v>
      </c>
      <c r="B25" s="308" t="inlineStr">
        <is>
          <t>contact_2</t>
        </is>
      </c>
      <c r="C25" s="309" t="inlineStr">
        <is>
          <t>contact_2</t>
        </is>
      </c>
      <c r="D25"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313">
        <f>LEN(D25)</f>
        <v/>
      </c>
      <c r="F25"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5" s="313">
        <f>LEN(F25)</f>
        <v/>
      </c>
      <c r="H25" s="562" t="inlineStr">
        <is>
          <t>Single Choice</t>
        </is>
      </c>
      <c r="I25" s="313" t="inlineStr">
        <is>
          <t>NA</t>
        </is>
      </c>
      <c r="J25" s="313" t="inlineStr">
        <is>
          <t>NA</t>
        </is>
      </c>
      <c r="K25" s="313" t="inlineStr">
        <is>
          <t>Form Type - Buttons</t>
        </is>
      </c>
      <c r="L25" s="100" t="inlineStr">
        <is>
          <t>NA</t>
        </is>
      </c>
      <c r="M25" s="310" t="inlineStr">
        <is>
          <t>1-3 = phone_number_2
4-6 = hh_admin1</t>
        </is>
      </c>
      <c r="N25" s="345" t="n"/>
      <c r="O25" s="311" t="inlineStr">
        <is>
          <t>if contact_2 = 1-3, go to phone_number_2
if contact_2 = 4-6, go to contact_3</t>
        </is>
      </c>
      <c r="P25" s="312" t="inlineStr"/>
      <c r="Q25" s="238" t="n"/>
      <c r="R25" s="306">
        <f>1</f>
        <v/>
      </c>
      <c r="S25" s="53" t="n"/>
      <c r="U25" s="153" t="inlineStr">
        <is>
          <t>yes - panel</t>
        </is>
      </c>
      <c r="V25" s="613" t="n"/>
      <c r="Y25" s="631" t="n">
        <v>10.14181709289551</v>
      </c>
      <c r="Z25" s="631">
        <f>IF(Y25="","",Y25*R25)</f>
        <v/>
      </c>
      <c r="AA25" s="53" t="inlineStr"/>
    </row>
    <row r="26" ht="46.75" customFormat="1" customHeight="1" s="59">
      <c r="A26" s="18" t="n">
        <v>8</v>
      </c>
      <c r="B26" s="308" t="inlineStr">
        <is>
          <t>phone_number_2</t>
        </is>
      </c>
      <c r="C26" s="309" t="inlineStr">
        <is>
          <t>phone_number_2</t>
        </is>
      </c>
      <c r="D26" s="198" t="inlineStr">
        <is>
          <t>What is the additional phone number?
[OPERATOR: RECORD THE NUMBER GIVEN]</t>
        </is>
      </c>
      <c r="E26" s="313">
        <f>LEN(D26)</f>
        <v/>
      </c>
      <c r="F26" s="307" t="inlineStr">
        <is>
          <t>ما هو رقم الهاتف الإضافي؟
[ المشغل: قم بتسجيل الرقم المعطى لك]</t>
        </is>
      </c>
      <c r="G26" s="313">
        <f>LEN(F26)</f>
        <v/>
      </c>
      <c r="H26" s="186" t="inlineStr">
        <is>
          <t>MobileNumberReferral</t>
        </is>
      </c>
      <c r="I26" s="313" t="inlineStr">
        <is>
          <t>NA</t>
        </is>
      </c>
      <c r="J26" s="313" t="inlineStr">
        <is>
          <t>NA</t>
        </is>
      </c>
      <c r="K26" s="313" t="inlineStr">
        <is>
          <t>Form Type - TextBox</t>
        </is>
      </c>
      <c r="L26" s="100" t="inlineStr">
        <is>
          <t>NA</t>
        </is>
      </c>
      <c r="M26" s="310" t="inlineStr">
        <is>
          <t>1000000-999999999999 = contact_2_name</t>
        </is>
      </c>
      <c r="N26" s="345" t="n"/>
      <c r="O26" s="563" t="inlineStr">
        <is>
          <t>For any response, go to contact_2_name</t>
        </is>
      </c>
      <c r="P26" s="229" t="inlineStr"/>
      <c r="Q26" s="238" t="n"/>
      <c r="R26" s="306">
        <f>1</f>
        <v/>
      </c>
      <c r="S26" s="53" t="n"/>
      <c r="U26" s="153" t="inlineStr">
        <is>
          <t>yes - panel</t>
        </is>
      </c>
      <c r="V26" s="613" t="n"/>
      <c r="Y26" s="631" t="n">
        <v>21.65998268127441</v>
      </c>
      <c r="Z26" s="631">
        <f>IF(Y26="","",Y26*R26)</f>
        <v/>
      </c>
      <c r="AA26" s="53" t="inlineStr"/>
    </row>
    <row r="27" ht="90" customFormat="1" customHeight="1" s="59">
      <c r="A27" s="18" t="n">
        <v>9</v>
      </c>
      <c r="B27" s="308" t="inlineStr">
        <is>
          <t>contact_2_name</t>
        </is>
      </c>
      <c r="C27" s="309" t="inlineStr">
        <is>
          <t>contact_2_name</t>
        </is>
      </c>
      <c r="D27" s="198" t="inlineStr">
        <is>
          <t>What is the name of the contact?
[OPERATOR: RECORD THE NAME OF THE CONTACT FOR THE PHONE NUMBER.]</t>
        </is>
      </c>
      <c r="E27" s="313">
        <f>LEN(D27)</f>
        <v/>
      </c>
      <c r="F27" s="199" t="inlineStr">
        <is>
          <t>ما هو اسم صاحب رقم الهاتف الإضافي الذي قمت بمشاركته؟
[ المشغل: قم بتسجيل اسم صاحب رقم الهاتف ]</t>
        </is>
      </c>
      <c r="G27" s="313">
        <f>LEN(F27)</f>
        <v/>
      </c>
      <c r="H27" s="562" t="inlineStr">
        <is>
          <t>Open Ended</t>
        </is>
      </c>
      <c r="I27" s="313" t="inlineStr">
        <is>
          <t>NA</t>
        </is>
      </c>
      <c r="J27" s="179" t="inlineStr">
        <is>
          <t>Send if "contact_2" "Equals" "YES - other household member" Or "contact_2" "Equals" "YES - friend or relative [non-household member]" if not satisfied go to "contact_3"</t>
        </is>
      </c>
      <c r="K27" s="313" t="inlineStr">
        <is>
          <t>Form Type - TextBox</t>
        </is>
      </c>
      <c r="L27" s="100" t="inlineStr">
        <is>
          <t>NA</t>
        </is>
      </c>
      <c r="M27" s="310" t="inlineStr">
        <is>
          <t>Any Response = contact_3</t>
        </is>
      </c>
      <c r="N27" s="345" t="n"/>
      <c r="O27" s="563" t="inlineStr">
        <is>
          <t>Asked if response to contact_2 was "YES - other household member" or "YES - friend or relative [non-household member]". Otherwise, it skips to "contact_3".
For any response, go to contact_3</t>
        </is>
      </c>
      <c r="P27" s="256" t="inlineStr"/>
      <c r="Q27" s="238" t="n"/>
      <c r="R27" s="306">
        <f>1</f>
        <v/>
      </c>
      <c r="S27" s="53" t="n"/>
      <c r="U27" s="153" t="inlineStr">
        <is>
          <t>yes - panel</t>
        </is>
      </c>
      <c r="V27" s="613" t="n"/>
      <c r="Y27" s="631" t="n">
        <v>11.82179641723633</v>
      </c>
      <c r="Z27" s="631">
        <f>IF(Y27="","",Y27*R27)</f>
        <v/>
      </c>
      <c r="AA27" s="53" t="inlineStr"/>
    </row>
    <row r="28" ht="187.4" customFormat="1" customHeight="1" s="59">
      <c r="A28" s="18" t="n">
        <v>10</v>
      </c>
      <c r="B28" s="308" t="inlineStr">
        <is>
          <t>contact_3</t>
        </is>
      </c>
      <c r="C28" s="309" t="inlineStr">
        <is>
          <t>contact_3</t>
        </is>
      </c>
      <c r="D28"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313">
        <f>LEN(D28)</f>
        <v/>
      </c>
      <c r="F28"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8" s="313">
        <f>LEN(F28)</f>
        <v/>
      </c>
      <c r="H28" s="562" t="inlineStr">
        <is>
          <t>Single Choice</t>
        </is>
      </c>
      <c r="I28" s="313" t="inlineStr">
        <is>
          <t>NA</t>
        </is>
      </c>
      <c r="J28" s="313" t="inlineStr">
        <is>
          <t>NA</t>
        </is>
      </c>
      <c r="K28" s="313" t="inlineStr">
        <is>
          <t>Form Type - Buttons</t>
        </is>
      </c>
      <c r="L28" s="100" t="inlineStr">
        <is>
          <t>NA</t>
        </is>
      </c>
      <c r="M28" s="310" t="inlineStr">
        <is>
          <t>1-3= phone_number_3
4-6 = hh_admin1</t>
        </is>
      </c>
      <c r="N28" s="345" t="n"/>
      <c r="O28" s="311" t="inlineStr">
        <is>
          <t>if contact_3 = 1-3, go to phone_number_3
if contact_3 = 4-6, go to hh_admin1</t>
        </is>
      </c>
      <c r="P28" s="312" t="inlineStr"/>
      <c r="Q28" s="238" t="n"/>
      <c r="R28" s="306">
        <f>1</f>
        <v/>
      </c>
      <c r="S28" s="53" t="n"/>
      <c r="U28" s="153" t="inlineStr">
        <is>
          <t>yes - panel</t>
        </is>
      </c>
      <c r="V28" s="613" t="n"/>
      <c r="Y28" s="631" t="n">
        <v>3.163594007492065</v>
      </c>
      <c r="Z28" s="631">
        <f>IF(Y28="","",Y28*R28)</f>
        <v/>
      </c>
      <c r="AA28" s="53" t="inlineStr"/>
    </row>
    <row r="29" ht="46.75" customFormat="1" customHeight="1" s="59">
      <c r="A29" s="18" t="n">
        <v>11</v>
      </c>
      <c r="B29" s="308" t="inlineStr">
        <is>
          <t>phone_number_3</t>
        </is>
      </c>
      <c r="C29" s="309" t="inlineStr">
        <is>
          <t>phone_number_3</t>
        </is>
      </c>
      <c r="D29" s="198" t="inlineStr">
        <is>
          <t>What is the additional phone number?
[OPERATOR: RECORD THE NUMBER GIVEN]</t>
        </is>
      </c>
      <c r="E29" s="313">
        <f>LEN(D29)</f>
        <v/>
      </c>
      <c r="F29" s="307" t="inlineStr">
        <is>
          <t>ما هو رقم الهاتف الإضافي؟
[ المشغل: قم بتسجيل الرقم المعطى لك]</t>
        </is>
      </c>
      <c r="G29" s="313">
        <f>LEN(F29)</f>
        <v/>
      </c>
      <c r="H29" s="186" t="inlineStr">
        <is>
          <t>MobileNumberReferral</t>
        </is>
      </c>
      <c r="I29" s="313" t="inlineStr">
        <is>
          <t>NA</t>
        </is>
      </c>
      <c r="J29" s="313" t="inlineStr">
        <is>
          <t>NA</t>
        </is>
      </c>
      <c r="K29" s="313" t="inlineStr">
        <is>
          <t>Form Type - TextBox</t>
        </is>
      </c>
      <c r="L29" s="100" t="inlineStr">
        <is>
          <t>NA</t>
        </is>
      </c>
      <c r="M29" s="310" t="inlineStr">
        <is>
          <t>1000000-999999999999 = contact_3_name</t>
        </is>
      </c>
      <c r="N29" s="345" t="n"/>
      <c r="O29" s="563" t="inlineStr">
        <is>
          <t>For any response, go to contact_3_name</t>
        </is>
      </c>
      <c r="P29" s="229" t="inlineStr"/>
      <c r="Q29" s="238" t="n"/>
      <c r="R29" s="306">
        <f>1</f>
        <v/>
      </c>
      <c r="S29" s="53" t="n"/>
      <c r="U29" s="153" t="inlineStr">
        <is>
          <t>yes - panel</t>
        </is>
      </c>
      <c r="V29" s="613" t="n"/>
      <c r="Y29" s="631" t="n">
        <v>10.83014392852783</v>
      </c>
      <c r="Z29" s="631">
        <f>IF(Y29="","",Y29*R29)</f>
        <v/>
      </c>
      <c r="AA29" s="53" t="inlineStr"/>
    </row>
    <row r="30" ht="90" customFormat="1" customHeight="1" s="59">
      <c r="A30" s="18" t="n">
        <v>12</v>
      </c>
      <c r="B30" s="308" t="inlineStr">
        <is>
          <t>contact_3_name</t>
        </is>
      </c>
      <c r="C30" s="308" t="inlineStr">
        <is>
          <t>phone_number_3_name</t>
        </is>
      </c>
      <c r="D30" s="198" t="inlineStr">
        <is>
          <t>What is the name of the contact?
[OPERATOR: RECORD THE NAME OF THE CONTACT FOR THE PHONE NUMBER.]</t>
        </is>
      </c>
      <c r="E30" s="313">
        <f>LEN(D30)</f>
        <v/>
      </c>
      <c r="F30" s="199" t="inlineStr">
        <is>
          <t>ما هو اسم صاحب رقم الهاتف الإضافي الذي قمت بمشاركته؟
[المشغل: قم بتسجيل اسم صاحب رقم الهاتف]</t>
        </is>
      </c>
      <c r="G30" s="313">
        <f>LEN(F30)</f>
        <v/>
      </c>
      <c r="H30" s="562" t="inlineStr">
        <is>
          <t>Open Ended</t>
        </is>
      </c>
      <c r="I30" s="313" t="inlineStr">
        <is>
          <t>NA</t>
        </is>
      </c>
      <c r="J30" s="179" t="inlineStr">
        <is>
          <t>Send if "contact_3" "Equals" "YES - other household member" Or "contact_3" "Equals" "YES - friend or relative [non-household member]" if not satisfied go to "hh_admin1"</t>
        </is>
      </c>
      <c r="K30" s="313" t="inlineStr">
        <is>
          <t>Form Type - TextBox</t>
        </is>
      </c>
      <c r="L30" s="100" t="inlineStr">
        <is>
          <t>NA</t>
        </is>
      </c>
      <c r="M30" s="310" t="inlineStr">
        <is>
          <t>Any Response = hh_admin1</t>
        </is>
      </c>
      <c r="N30" s="345" t="n"/>
      <c r="O30" s="563" t="inlineStr">
        <is>
          <t>Asked if response to contact_3 was "YES - other household member" or "YES - friend or relative [non-household member]". Otherwise, it skips to "hh_admin1".
For any response, go to hh_admin1</t>
        </is>
      </c>
      <c r="P30" s="256" t="inlineStr"/>
      <c r="Q30" s="238" t="n"/>
      <c r="R30" s="306">
        <f>1</f>
        <v/>
      </c>
      <c r="S30" s="53" t="n"/>
      <c r="U30" s="153" t="inlineStr">
        <is>
          <t>yes - panel</t>
        </is>
      </c>
      <c r="V30" s="613" t="n"/>
      <c r="Y30" s="631" t="n">
        <v>11.26041698455811</v>
      </c>
      <c r="Z30" s="631">
        <f>IF(Y30="","",Y30*R30)</f>
        <v/>
      </c>
      <c r="AA30" s="53" t="inlineStr"/>
    </row>
    <row r="31" ht="409.5" customFormat="1" customHeight="1" s="59">
      <c r="A31" s="18" t="n">
        <v>13</v>
      </c>
      <c r="B31" s="114" t="inlineStr">
        <is>
          <t>hh_admin1</t>
        </is>
      </c>
      <c r="C31" s="58" t="inlineStr">
        <is>
          <t>hh_admin1</t>
        </is>
      </c>
      <c r="D31" s="184" t="inlineStr">
        <is>
          <t>Currently, in which Governorate does your household reside?
[OPERATOR: SINGLE SELECTION.]
[HINT: HOUSEHOLD CONSISTS OF ALL MEMBERS LIVING TOGETHER, SHARING RESOURCES &amp; EATING FROM THE SAME POT.]
1)ABYAN
2)AL DHALE'E 
3)ADEN
4)AL BAYDA
5)AL HUDAYDAH
6)AL JAWF
7)AL MAHARAH
8)AL MAHWIT
9)AMRAN
10)DHAMAR
11)HADRAMAWT
12)HAJJAH
13)IBB
14)LAHJ
15)MARIB
16)RAYMAH
17)SA'ADA
18)SANA'A
19)AMANAT AL ASIMAH
20)SHABWAH
21)SOCOTRA
22)TAIZZ
23)DON'T KNOW
24)REFUSED</t>
        </is>
      </c>
      <c r="E31" s="179">
        <f>LEN(D31)</f>
        <v/>
      </c>
      <c r="F31" s="305"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1" s="179">
        <f>LEN(F31)</f>
        <v/>
      </c>
      <c r="H31" s="186" t="inlineStr">
        <is>
          <t>Single Choice</t>
        </is>
      </c>
      <c r="I31" s="56" t="inlineStr">
        <is>
          <t>NA</t>
        </is>
      </c>
      <c r="J31" s="56" t="inlineStr">
        <is>
          <t>NA</t>
        </is>
      </c>
      <c r="K31" s="56" t="inlineStr">
        <is>
          <t>Form Type - Dropdown
IsDemographic - ADM1</t>
        </is>
      </c>
      <c r="L31" s="178" t="inlineStr"/>
      <c r="M31" s="55"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N31" s="196" t="n"/>
      <c r="O31" s="619" t="inlineStr">
        <is>
          <t>The administrative information will be updated by GeoPoll based on the sample design document and the administrative boundaries provided by the dashboard team after the questionnaire validation.</t>
        </is>
      </c>
      <c r="P31" s="121" t="inlineStr"/>
      <c r="Q31" s="9" t="n"/>
      <c r="R31" s="306">
        <f>1</f>
        <v/>
      </c>
      <c r="S31" s="53" t="n"/>
      <c r="U31" s="154" t="inlineStr">
        <is>
          <t>yes</t>
        </is>
      </c>
      <c r="V31" s="613" t="n"/>
      <c r="Y31" s="631" t="n">
        <v>13.95725891910985</v>
      </c>
      <c r="Z31" s="631">
        <f>IF(Y31="","",Y31*R31)</f>
        <v/>
      </c>
      <c r="AA31" s="53" t="inlineStr">
        <is>
          <t>13.95725891910985</t>
        </is>
      </c>
    </row>
    <row r="32" ht="313.5" customFormat="1" customHeight="1" s="59">
      <c r="A32" s="18" t="n">
        <v>14</v>
      </c>
      <c r="B32" s="182" t="inlineStr">
        <is>
          <t>hh_admin2_1</t>
        </is>
      </c>
      <c r="C32" s="58" t="inlineStr">
        <is>
          <t>hh_admin2_1</t>
        </is>
      </c>
      <c r="D32" s="135" t="inlineStr">
        <is>
          <t>Currently, in which district does your household reside?
[OPERATOR: SINGLE RESPONSE.]
1)AL MAHFAD
2)MUDIYAH
3)JAYSHAN
4)LAWDAR
5)SIBAH
6)RASAD
7)SARAR
8)AL WADE'A
9)AHWAR
10)ZINGIBAR
11)KHANFIR
12)DON'T KNOW
13)REFUSED</t>
        </is>
      </c>
      <c r="E32" s="179">
        <f>LEN(D32)</f>
        <v/>
      </c>
      <c r="F3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9)احوار
10)زنجبار
11)خنفر
12) لا أعرف
13) رفض الإجابة </t>
        </is>
      </c>
      <c r="G32" s="179">
        <f>LEN(F32)</f>
        <v/>
      </c>
      <c r="H32" s="186" t="inlineStr">
        <is>
          <t>Single Choice</t>
        </is>
      </c>
      <c r="I32" s="179" t="inlineStr">
        <is>
          <t>NA</t>
        </is>
      </c>
      <c r="J32" s="179" t="inlineStr">
        <is>
          <t>NA</t>
        </is>
      </c>
      <c r="K32" s="179" t="inlineStr">
        <is>
          <t>Form Type - Dropdown
IsDemographic - ADM2</t>
        </is>
      </c>
      <c r="L32" s="177" t="inlineStr"/>
      <c r="M32" s="63" t="inlineStr">
        <is>
          <t>1-11 = quotareached
12-13 = Ineligible</t>
        </is>
      </c>
      <c r="N32" s="196" t="n"/>
      <c r="O32" s="634" t="n"/>
      <c r="P32" s="180" t="inlineStr"/>
      <c r="Q32" s="44" t="n"/>
      <c r="R32" s="306">
        <f>1</f>
        <v/>
      </c>
      <c r="S32" s="53" t="n"/>
      <c r="U32" s="154" t="inlineStr">
        <is>
          <t>yes</t>
        </is>
      </c>
      <c r="V32" s="613" t="n"/>
      <c r="Y32" s="631" t="n">
        <v>7.954998970031738</v>
      </c>
      <c r="Z32" s="631">
        <f>IF(Y32="","",Y32*R32)</f>
        <v/>
      </c>
      <c r="AA32" s="53" t="inlineStr">
        <is>
          <t>7.954998970031738</t>
        </is>
      </c>
    </row>
    <row r="33" ht="263.5" customFormat="1" customHeight="1" s="59">
      <c r="A33" s="18" t="n">
        <v>15</v>
      </c>
      <c r="B33" s="182" t="inlineStr">
        <is>
          <t>hh_admin2_2</t>
        </is>
      </c>
      <c r="C33" s="58" t="inlineStr">
        <is>
          <t>hh_admin2_2</t>
        </is>
      </c>
      <c r="D33" s="135" t="inlineStr">
        <is>
          <t>Currently, in which district does your household reside?
[OPERATOR: SINGLE RESPONSE.]
1)JUBAN
2)DAMT
3)QA'ATABAH
4)ASH SHU'AYB
5)AL HUSSEIN
6)AD DHALE'E
7)JAHAF
8)AL AZARIQ
9)AL HUSHA
10)DON'T KNOW
11)REFUSED</t>
        </is>
      </c>
      <c r="E33" s="179">
        <f>LEN(D33)</f>
        <v/>
      </c>
      <c r="F33"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3)قعطبة
4)الشعيب
5)الحصين
6)الضالع
7)جحاف
8)الازارق
9)الحشاء
10) لا أعرف
11) رفض الإجابة</t>
        </is>
      </c>
      <c r="G33" s="179">
        <f>LEN(F33)</f>
        <v/>
      </c>
      <c r="H33" s="186" t="inlineStr">
        <is>
          <t>Single Choice</t>
        </is>
      </c>
      <c r="I33" s="179" t="inlineStr">
        <is>
          <t>NA</t>
        </is>
      </c>
      <c r="J33" s="179" t="inlineStr">
        <is>
          <t>NA</t>
        </is>
      </c>
      <c r="K33" s="179" t="inlineStr">
        <is>
          <t>Form Type - Dropdown
IsDemographic - ADM2</t>
        </is>
      </c>
      <c r="L33" s="177" t="inlineStr"/>
      <c r="M33" s="63" t="inlineStr">
        <is>
          <t>1-9 = quotareached
10-11 = Ineligible</t>
        </is>
      </c>
      <c r="N33" s="346" t="n"/>
      <c r="O33" s="634" t="n"/>
      <c r="P33" s="180" t="inlineStr"/>
      <c r="Q33" s="44" t="n"/>
      <c r="R33" s="306">
        <f>1</f>
        <v/>
      </c>
      <c r="S33" s="53" t="n"/>
      <c r="U33" s="154" t="inlineStr">
        <is>
          <t>yes</t>
        </is>
      </c>
      <c r="V33" s="613" t="n"/>
      <c r="Y33" s="631" t="n">
        <v>7.954998970031738</v>
      </c>
      <c r="Z33" s="631">
        <f>IF(Y33="","",Y33*R33)</f>
        <v/>
      </c>
      <c r="AA33" t="inlineStr"/>
    </row>
    <row r="34" ht="248" customFormat="1" customHeight="1" s="59">
      <c r="A34" s="18" t="n">
        <v>16</v>
      </c>
      <c r="B34" s="182" t="inlineStr">
        <is>
          <t>hh_admin2_3</t>
        </is>
      </c>
      <c r="C34" s="58" t="inlineStr">
        <is>
          <t>hh_admin2_3</t>
        </is>
      </c>
      <c r="D34" s="135" t="inlineStr">
        <is>
          <t>Currently, in which district does your household reside?
[OPERATOR: SINGLE RESPONSE.]
1)DAR SAD
2)ASH SHAIKH OUTHMAN
3)AL MANSURA
4)AL BURAIQEH
5)ATTAWAHI
6)AL MUALLA
7)CRAITER
8)KHUR MAKSAR
9)DON'T KNOW
10)REFUSED</t>
        </is>
      </c>
      <c r="E34" s="179">
        <f>LEN(D34)</f>
        <v/>
      </c>
      <c r="F34"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3)المنصورة
4)البريقه
5)التواهي
6)المعلا
7)كريتر
8)خور مكسر
9) لا أعرف
10) رفض الإجابة</t>
        </is>
      </c>
      <c r="G34" s="179">
        <f>LEN(F34)</f>
        <v/>
      </c>
      <c r="H34" s="186" t="inlineStr">
        <is>
          <t>Single Choice</t>
        </is>
      </c>
      <c r="I34" s="179" t="inlineStr">
        <is>
          <t>NA</t>
        </is>
      </c>
      <c r="J34" s="179" t="inlineStr">
        <is>
          <t>NA</t>
        </is>
      </c>
      <c r="K34" s="179" t="inlineStr">
        <is>
          <t>Form Type - Dropdown
IsDemographic - ADM2</t>
        </is>
      </c>
      <c r="L34" s="177" t="inlineStr"/>
      <c r="M34" s="63" t="inlineStr">
        <is>
          <t>1-8 = quotareached
9-10 = Ineligible</t>
        </is>
      </c>
      <c r="N34" s="346" t="n"/>
      <c r="O34" s="634" t="n"/>
      <c r="P34" s="180" t="inlineStr"/>
      <c r="Q34" s="44" t="n"/>
      <c r="R34" s="306">
        <f>1</f>
        <v/>
      </c>
      <c r="S34" s="53" t="n"/>
      <c r="U34" s="154" t="inlineStr">
        <is>
          <t>yes</t>
        </is>
      </c>
      <c r="V34" s="613" t="n"/>
      <c r="Y34" s="631" t="n">
        <v>7.954998970031738</v>
      </c>
      <c r="Z34" s="631">
        <f>IF(Y34="","",Y34*R34)</f>
        <v/>
      </c>
      <c r="AA34" t="inlineStr"/>
    </row>
    <row r="35" ht="409.5" customFormat="1" customHeight="1" s="59">
      <c r="A35" s="18" t="n">
        <v>17</v>
      </c>
      <c r="B35" s="182" t="inlineStr">
        <is>
          <t>hh_admin2_4</t>
        </is>
      </c>
      <c r="C35" s="58" t="inlineStr">
        <is>
          <t>hh_admin2_4</t>
        </is>
      </c>
      <c r="D35" s="135" t="inlineStr">
        <is>
          <t>Currently, in which district does your household reside?
[OPERATOR: SINGLE RESPONSE.]
1)NA'MAN
2)NATI'
3)MASWARAH
4)AS SAWMA'AH
5)AZ ZAHIR
6)DHI NA'IM
7)AT TAFFAH
8)MUKAYRAS
9)AL BAYDA CITY
10)AL BAYDA
11)AS SAWADIYAH
12)RADMAN AL AWAD
13)RADA'
14)AL QURAISHYAH
15)WALD RABI'
16)AL A'RSH
17)SABAH
18)AR RYASHYYAH
19)ASH SHARYAH
20)AL MALAGIM
21) DON'T KNOW
22) REFUSED</t>
        </is>
      </c>
      <c r="E35" s="179">
        <f>LEN(D35)</f>
        <v/>
      </c>
      <c r="F3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3)مسورة
4)الصومعة
5)الزاهر
6)ذي ناعم
7)الطفة
8)مكيراس
9)مدينة البيضاء
10)البيضاء
11)السوادية
12)ردمان
13)رداع
14)القريشية
15)ولد ربيع
16)العرش
17)صباح
18)الرياشية
19)الشرية
20)الملاجم
21) لا أعرف
22) رفض الإجابة  </t>
        </is>
      </c>
      <c r="G35" s="179">
        <f>LEN(F35)</f>
        <v/>
      </c>
      <c r="H35" s="186" t="inlineStr">
        <is>
          <t>Single Choice</t>
        </is>
      </c>
      <c r="I35" s="179" t="inlineStr">
        <is>
          <t>NA</t>
        </is>
      </c>
      <c r="J35" s="179" t="inlineStr">
        <is>
          <t>NA</t>
        </is>
      </c>
      <c r="K35" s="179" t="inlineStr">
        <is>
          <t>Form Type - Dropdown
IsDemographic - ADM2</t>
        </is>
      </c>
      <c r="L35" s="177" t="inlineStr"/>
      <c r="M35" s="63" t="inlineStr">
        <is>
          <t>1-20 = quotareached
21-22 = Ineligible</t>
        </is>
      </c>
      <c r="N35" s="346" t="n"/>
      <c r="O35" s="634" t="n"/>
      <c r="P35" s="180" t="inlineStr"/>
      <c r="Q35" s="44" t="n"/>
      <c r="R35" s="306">
        <f>1</f>
        <v/>
      </c>
      <c r="S35" s="53" t="n"/>
      <c r="U35" s="154" t="inlineStr">
        <is>
          <t>yes</t>
        </is>
      </c>
      <c r="V35" s="613" t="n"/>
      <c r="Y35" s="631" t="n">
        <v>7.954998970031738</v>
      </c>
      <c r="Z35" s="631">
        <f>IF(Y35="","",Y35*R35)</f>
        <v/>
      </c>
      <c r="AA35" t="inlineStr"/>
    </row>
    <row r="36" ht="409.5" customFormat="1" customHeight="1" s="59">
      <c r="A36" s="18" t="n">
        <v>18</v>
      </c>
      <c r="B36" s="182" t="inlineStr">
        <is>
          <t>hh_admin2_5</t>
        </is>
      </c>
      <c r="C36" s="58" t="inlineStr">
        <is>
          <t>hh_admin2_5</t>
        </is>
      </c>
      <c r="D36" s="135" t="inlineStr">
        <is>
          <t>Currently, in which district does your household reside?
[OPERATOR: SINGLE RESPONSE.]
1)AZ ZUHRAH
2)ALLUHEYAH
3)KAMARAN
4)AS SALIF
5)AL MUNIRAH
6)AL QANAWIS
7)AZ ZAYDIYAH
8)AL MIGHLAF
9)AD DAHI
10)BAJIL
11)AL HAJJAYLAH
12)BURA
13)AL MARAWI'AH
14)AD DURAYHIMI
15)AS SUKHNAH
16)AL MANSURIYAH
17)BAYT AL FAQIAH
18)JABAL RA'S
19)HAYS
20)AL KHAWKHAH
21)AL HAWAK
22)AL MINA
23)AL HALI
24)ZABID
25)AL GARRAHI
26)AT TUHAYAT
27)DON'T KNOW
28)REFUSED</t>
        </is>
      </c>
      <c r="E36" s="179">
        <f>LEN(D36)</f>
        <v/>
      </c>
      <c r="F3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1)الزهرة
2)اللحية
3)كمران
4)الصليف
5)المنيرة
6)القناوص
7)الزيدية
8)المغلاف
9)الضحي
10)باجل
11)الحجيلة
12)براع
13)المراوعة
14)الدريهمي
15)السخنة
16)المنصورية
17)بيت الفقيه
18)جبل راس
19)حيس
20)الخوخه
21)الحوك
22)الميناء
23)الحالي
24)زبيد
25)الجراحي
26)التحيتا
27) لا أعرف
28) رفض الإجابة </t>
        </is>
      </c>
      <c r="G36" s="179">
        <f>LEN(F36)</f>
        <v/>
      </c>
      <c r="H36" s="186" t="inlineStr">
        <is>
          <t>Single Choice</t>
        </is>
      </c>
      <c r="I36" s="179" t="inlineStr">
        <is>
          <t>NA</t>
        </is>
      </c>
      <c r="J36" s="179" t="inlineStr">
        <is>
          <t>NA</t>
        </is>
      </c>
      <c r="K36" s="179" t="inlineStr">
        <is>
          <t>Form Type - Dropdown
IsDemographic - ADM2</t>
        </is>
      </c>
      <c r="L36" s="177" t="inlineStr"/>
      <c r="M36" s="63" t="inlineStr">
        <is>
          <t>1-26 = quotareached
27-28 = Ineligible</t>
        </is>
      </c>
      <c r="N36" s="346" t="n"/>
      <c r="O36" s="634" t="n"/>
      <c r="P36" s="180" t="inlineStr"/>
      <c r="Q36" s="44" t="n"/>
      <c r="R36" s="306">
        <f>1</f>
        <v/>
      </c>
      <c r="S36" s="53" t="n"/>
      <c r="U36" s="154" t="inlineStr">
        <is>
          <t>yes</t>
        </is>
      </c>
      <c r="V36" s="613" t="n"/>
      <c r="Y36" s="631" t="n">
        <v>7.954998970031738</v>
      </c>
      <c r="Z36" s="631">
        <f>IF(Y36="","",Y36*R36)</f>
        <v/>
      </c>
      <c r="AA36" t="inlineStr"/>
    </row>
    <row r="37" ht="310" customFormat="1" customHeight="1" s="59">
      <c r="A37" s="18" t="n">
        <v>19</v>
      </c>
      <c r="B37" s="182" t="inlineStr">
        <is>
          <t>hh_admin2_6</t>
        </is>
      </c>
      <c r="C37" s="58" t="inlineStr">
        <is>
          <t>hh_admin2_6</t>
        </is>
      </c>
      <c r="D37" s="135" t="inlineStr">
        <is>
          <t>Currently, in which district does your household reside?
[OPERATOR: SINGLE RESPONSE.]
1)KHABB WA ASH SHA'AF
2)AL HUMAYDAT
3)AL MATAMMAH
4)AZ ZAHIR
5)AL HAZM
6)AL MATON
7)AL MASLUB
8)AL GHAYL
9)AL KHALQ
10)BART AL ANAN
11)RAJUZAH
12)KHARAB AL MARASHI
13)DON'T KNOW
14) REFUSED</t>
        </is>
      </c>
      <c r="E37" s="179">
        <f>LEN(D37)</f>
        <v/>
      </c>
      <c r="F3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is>
      </c>
      <c r="G37" s="179">
        <f>LEN(F37)</f>
        <v/>
      </c>
      <c r="H37" s="186" t="inlineStr">
        <is>
          <t>Single Choice</t>
        </is>
      </c>
      <c r="I37" s="179" t="inlineStr">
        <is>
          <t>NA</t>
        </is>
      </c>
      <c r="J37" s="179" t="inlineStr">
        <is>
          <t>NA</t>
        </is>
      </c>
      <c r="K37" s="179" t="inlineStr">
        <is>
          <t>Form Type - Dropdown
IsDemographic - ADM2</t>
        </is>
      </c>
      <c r="L37" s="177" t="inlineStr"/>
      <c r="M37" s="63" t="inlineStr">
        <is>
          <t>1-12 = quotareached
13-14 = Ineligible</t>
        </is>
      </c>
      <c r="N37" s="346" t="n"/>
      <c r="O37" s="634" t="n"/>
      <c r="P37" s="180" t="inlineStr"/>
      <c r="Q37" s="44" t="n"/>
      <c r="R37" s="306">
        <f>1</f>
        <v/>
      </c>
      <c r="S37" s="53" t="n"/>
      <c r="U37" s="154" t="inlineStr">
        <is>
          <t>yes</t>
        </is>
      </c>
      <c r="V37" s="613" t="n"/>
      <c r="Y37" s="631" t="n">
        <v>7.954998970031738</v>
      </c>
      <c r="Z37" s="631">
        <f>IF(Y37="","",Y37*R37)</f>
        <v/>
      </c>
      <c r="AA37" t="inlineStr"/>
    </row>
    <row r="38" ht="263.5" customFormat="1" customHeight="1" s="59">
      <c r="A38" s="18" t="n">
        <v>20</v>
      </c>
      <c r="B38" s="182" t="inlineStr">
        <is>
          <t>hh_admin2_7</t>
        </is>
      </c>
      <c r="C38" s="58" t="inlineStr">
        <is>
          <t>hh_admin2_7</t>
        </is>
      </c>
      <c r="D38" s="135" t="inlineStr">
        <is>
          <t>Currently, in which district does your household reside?
[OPERATOR: SINGLE RESPONSE.]
1)SHAHAN
2)HAT
3)HAWF
4)AL GHAYDAH
5)MAN'AR
6)AL MASILAH
7)SAYHUT
8)QISHN
9)HUSWAIN
10)DON'T KNOW
11)REFUSED</t>
        </is>
      </c>
      <c r="E38" s="179">
        <f>LEN(D38)</f>
        <v/>
      </c>
      <c r="F38"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6)المسيلة
7)سيحوت
8)قشن
9)حصوين
10) لا أعرف
11) رفض الإجابة</t>
        </is>
      </c>
      <c r="G38" s="179">
        <f>LEN(F38)</f>
        <v/>
      </c>
      <c r="H38" s="186" t="inlineStr">
        <is>
          <t>Single Choice</t>
        </is>
      </c>
      <c r="I38" s="179" t="inlineStr">
        <is>
          <t>NA</t>
        </is>
      </c>
      <c r="J38" s="179" t="inlineStr">
        <is>
          <t>NA</t>
        </is>
      </c>
      <c r="K38" s="179" t="inlineStr">
        <is>
          <t>Form Type - Dropdown
IsDemographic - ADM2</t>
        </is>
      </c>
      <c r="L38" s="177" t="inlineStr"/>
      <c r="M38" s="63" t="inlineStr">
        <is>
          <t>1-9 = quotareached
10-11 = Ineligible</t>
        </is>
      </c>
      <c r="N38" s="346" t="n"/>
      <c r="O38" s="634" t="n"/>
      <c r="P38" s="180" t="inlineStr"/>
      <c r="Q38" s="44" t="n"/>
      <c r="R38" s="306">
        <f>1</f>
        <v/>
      </c>
      <c r="S38" s="53" t="n"/>
      <c r="U38" s="154" t="inlineStr">
        <is>
          <t>yes</t>
        </is>
      </c>
      <c r="V38" s="613" t="n"/>
      <c r="Y38" s="631" t="n">
        <v>7.954998970031738</v>
      </c>
      <c r="Z38" s="631">
        <f>IF(Y38="","",Y38*R38)</f>
        <v/>
      </c>
      <c r="AA38" t="inlineStr"/>
    </row>
    <row r="39" ht="263.5" customFormat="1" customHeight="1" s="59">
      <c r="A39" s="18" t="n">
        <v>21</v>
      </c>
      <c r="B39" s="182" t="inlineStr">
        <is>
          <t>hh_admin2_8</t>
        </is>
      </c>
      <c r="C39" s="58" t="inlineStr">
        <is>
          <t>hh_admin2_8</t>
        </is>
      </c>
      <c r="D39" s="135" t="inlineStr">
        <is>
          <t>Currently, in which district does your household reside?
[OPERATOR: SINGLE RESPONSE.]
1)SHIBAM KAWKABAN
2)AT TAWILAH
3)AR RUJUM
4)AL KHABT
5)MILHAN
6)HUFASH
7)BANI SA'D
8)AL MAHWAIT CITY
9)AL MAHWAIT
10)DON'T KNOW
11)REFUSED</t>
        </is>
      </c>
      <c r="E39" s="179">
        <f>LEN(D39)</f>
        <v/>
      </c>
      <c r="F3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2)الطويلة
3)الرجم
4)الخبت
5)ملحان
6)حفاش
7)بني سعد
8)مدينة المحويت
9)المحويت
10) لا أعرف
11) رفض الإجابة </t>
        </is>
      </c>
      <c r="G39" s="179">
        <f>LEN(F39)</f>
        <v/>
      </c>
      <c r="H39" s="186" t="inlineStr">
        <is>
          <t>Single Choice</t>
        </is>
      </c>
      <c r="I39" s="179" t="inlineStr">
        <is>
          <t>NA</t>
        </is>
      </c>
      <c r="J39" s="179" t="inlineStr">
        <is>
          <t>NA</t>
        </is>
      </c>
      <c r="K39" s="179" t="inlineStr">
        <is>
          <t>Form Type - Dropdown
IsDemographic - ADM2</t>
        </is>
      </c>
      <c r="L39" s="177" t="inlineStr"/>
      <c r="M39" s="63" t="inlineStr">
        <is>
          <t>1-9 = quotareached
10-11 = Ineligible</t>
        </is>
      </c>
      <c r="N39" s="346" t="n"/>
      <c r="O39" s="634" t="n"/>
      <c r="P39" s="180" t="inlineStr"/>
      <c r="Q39" s="44" t="n"/>
      <c r="R39" s="306">
        <f>1</f>
        <v/>
      </c>
      <c r="S39" s="53" t="n"/>
      <c r="U39" s="154" t="inlineStr">
        <is>
          <t>yes</t>
        </is>
      </c>
      <c r="V39" s="613" t="n"/>
      <c r="Y39" s="631" t="n">
        <v>7.954998970031738</v>
      </c>
      <c r="Z39" s="631">
        <f>IF(Y39="","",Y39*R39)</f>
        <v/>
      </c>
      <c r="AA39" t="inlineStr"/>
    </row>
    <row r="40" ht="409.5" customFormat="1" customHeight="1" s="59">
      <c r="A40" s="18" t="n">
        <v>22</v>
      </c>
      <c r="B40" s="182" t="inlineStr">
        <is>
          <t>hh_admin2_9</t>
        </is>
      </c>
      <c r="C40" s="58" t="inlineStr">
        <is>
          <t>hh_admin2_9</t>
        </is>
      </c>
      <c r="D40" s="135" t="inlineStr">
        <is>
          <t>Currently, in which district does your household reside?
[OPERATOR: SINGLE RESPONSE.]
1)HARF SUFYAN
2)HUTH
3)AL ASHAH
4)AL QAFLAH
5)SHAHARAH
6)AL MADAN
7)SUWAYR
8)HABUR ZULAYMAH
9)DHI BIN
10)KHARIF
11)RAYDAH
12)JABAL IYAL YAZID
13)AS SUDAH
14)AS SAWD
15)AMRAN
16)MASWAR
17)THULA
18)IYAL SURAYH
19)KHAMIR
20)BANI SURAIM
21)DON'T KNOW
22)REFUSED</t>
        </is>
      </c>
      <c r="E40" s="179">
        <f>LEN(D40)</f>
        <v/>
      </c>
      <c r="F4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3)العشـــــه
4)القفلة
5)شهاره
6)المــدان
7)صـويــــر
8)حبور ظليمة
9)ذيبين
10)خارف
11)ريده
12)جبل عيال يزيد
13)السوده
14)السود
15)عمران
16)مسور
17)ثلاء
18)عيال سريح
19)خمر
20)بني صريم
21) لا أعرف
22) رفض الإجابة </t>
        </is>
      </c>
      <c r="G40" s="179">
        <f>LEN(F40)</f>
        <v/>
      </c>
      <c r="H40" s="186" t="inlineStr">
        <is>
          <t>Single Choice</t>
        </is>
      </c>
      <c r="I40" s="179" t="inlineStr">
        <is>
          <t>NA</t>
        </is>
      </c>
      <c r="J40" s="179" t="inlineStr">
        <is>
          <t>NA</t>
        </is>
      </c>
      <c r="K40" s="179" t="inlineStr">
        <is>
          <t>Form Type - Dropdown
IsDemographic - ADM2</t>
        </is>
      </c>
      <c r="L40" s="177" t="inlineStr"/>
      <c r="M40" s="63" t="inlineStr">
        <is>
          <t>1-20 = quotareached
21-22 = Ineligible</t>
        </is>
      </c>
      <c r="N40" s="346" t="n"/>
      <c r="O40" s="634" t="n"/>
      <c r="P40" s="180" t="inlineStr"/>
      <c r="Q40" s="44" t="n"/>
      <c r="R40" s="306">
        <f>1</f>
        <v/>
      </c>
      <c r="S40" s="53" t="n"/>
      <c r="U40" s="154" t="inlineStr">
        <is>
          <t>yes</t>
        </is>
      </c>
      <c r="V40" s="613" t="n"/>
      <c r="Y40" s="631" t="n">
        <v>7.954998970031738</v>
      </c>
      <c r="Z40" s="631">
        <f>IF(Y40="","",Y40*R40)</f>
        <v/>
      </c>
      <c r="AA40" t="inlineStr"/>
    </row>
    <row r="41" ht="310" customFormat="1" customHeight="1" s="59">
      <c r="A41" s="18" t="n">
        <v>23</v>
      </c>
      <c r="B41" s="182" t="inlineStr">
        <is>
          <t>hh_admin2_10</t>
        </is>
      </c>
      <c r="C41" s="58" t="inlineStr">
        <is>
          <t>hh_admin2_10</t>
        </is>
      </c>
      <c r="D41" s="135" t="inlineStr">
        <is>
          <t>Currently, in which district does your household reside?
[OPERATOR: SINGLE RESPONSE.]
1)AL HADA
2)JAHRAN
3)JABAL ASH SHARQ
4)MAGHIRIB ANS
5)UTMAH
6)WUSAB AL ALI
7)WUSAB AS SAFIL
8)DHAMAR CITY
9)MAYFA'AT ANSS
10)ANSS
11)DAWRAN ANESS
12)AL MANAR
13)DON'T KNOW
14)REFUSED</t>
        </is>
      </c>
      <c r="E41" s="179">
        <f>LEN(D41)</f>
        <v/>
      </c>
      <c r="F4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5)عتمة
6)وصاب العالي
7)وصاب السافل
8)مدينة ذمار
9)ميفعة عنس
10)عنس
11)ضوران اًنس
12)المنار
13) لا أعرف
14) رفض الإجابة </t>
        </is>
      </c>
      <c r="G41" s="179">
        <f>LEN(F41)</f>
        <v/>
      </c>
      <c r="H41" s="186" t="inlineStr">
        <is>
          <t>Single Choice</t>
        </is>
      </c>
      <c r="I41" s="179" t="inlineStr">
        <is>
          <t>NA</t>
        </is>
      </c>
      <c r="J41" s="179" t="inlineStr">
        <is>
          <t>NA</t>
        </is>
      </c>
      <c r="K41" s="179" t="inlineStr">
        <is>
          <t>Form Type - Dropdown
IsDemographic - ADM2</t>
        </is>
      </c>
      <c r="L41" s="177" t="inlineStr"/>
      <c r="M41" s="63" t="inlineStr">
        <is>
          <t>1-12 = quotareached
13-14 = Ineligible</t>
        </is>
      </c>
      <c r="N41" s="346" t="n"/>
      <c r="O41" s="634" t="n"/>
      <c r="P41" s="180" t="inlineStr"/>
      <c r="Q41" s="44" t="n"/>
      <c r="R41" s="306">
        <f>1</f>
        <v/>
      </c>
      <c r="S41" s="53" t="n"/>
      <c r="U41" s="154" t="inlineStr">
        <is>
          <t>yes</t>
        </is>
      </c>
      <c r="V41" s="613" t="n"/>
      <c r="Y41" s="631" t="n">
        <v>7.954998970031738</v>
      </c>
      <c r="Z41" s="631">
        <f>IF(Y41="","",Y41*R41)</f>
        <v/>
      </c>
      <c r="AA41" t="inlineStr"/>
    </row>
    <row r="42" ht="409.5" customFormat="1" customHeight="1" s="59">
      <c r="A42" s="18" t="n">
        <v>24</v>
      </c>
      <c r="B42" s="182" t="inlineStr">
        <is>
          <t>hh_admin2_11</t>
        </is>
      </c>
      <c r="C42" s="58" t="inlineStr">
        <is>
          <t>hh_admin2_11</t>
        </is>
      </c>
      <c r="D42" s="135" t="inlineStr">
        <is>
          <t>Currently, in which district does your household reside?
[OPERATOR: SINGLE RESPONSE.]
1)RUMAH
2)THAMUD
3)AL QAF
4)ZAMAKH WA MANWAKH
5)HAGR AS SAI'AR
6)AL ABR
7)AL QATN
8)SHIBAM
9)SAH
10)SAYUN
11)TARIM
12)AS SAWM
13)AR RAYDAH WA QUSAYAR
14)AD DIS
15)ASH SHIHR
16)GHAYL BIN YAMIN
17)GHAYL BA WAZIR
18)DAW'AN
19)WADI AL AYN
20)RAKHYAH
21)AMD
22)ADH DHLIA'AH
23)YABUTH
24)HAJR
25)BROM MAYFA
26)AL MUKALLA
27)AL MUKALLA CITY
28)HURAIDHAH
29)DON'T KNOW
30)REFUSED</t>
        </is>
      </c>
      <c r="E42" s="179">
        <f>LEN(D42)</f>
        <v/>
      </c>
      <c r="F4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4)زموخ ومنوخ
5)حجر الصيعر
6)العبر
7)القطن
8)شبام
9)ساه
10)سيئون
11)تريم
12)السوم
13)الريده وقصيعر
14)الديس
15)الشحر
16)غيل بن يمين
17)غيل باوزير
18)دوعن
19)وادي العين وحوره
20)رخيه
21)عمد
22)الضليعه
23)يبعث
24)حجر
25)بروم ميفع
26)المكلا
27)مدينة المكلا
28)حريضه
29) لا أعرف
30) رفض الإجابة </t>
        </is>
      </c>
      <c r="G42" s="179">
        <f>LEN(F42)</f>
        <v/>
      </c>
      <c r="H42" s="186" t="inlineStr">
        <is>
          <t>Single Choice</t>
        </is>
      </c>
      <c r="I42" s="179" t="inlineStr">
        <is>
          <t>NA</t>
        </is>
      </c>
      <c r="J42" s="179" t="inlineStr">
        <is>
          <t>NA</t>
        </is>
      </c>
      <c r="K42" s="179" t="inlineStr">
        <is>
          <t>Form Type - Dropdown
IsDemographic - ADM2</t>
        </is>
      </c>
      <c r="L42" s="177" t="inlineStr"/>
      <c r="M42" s="63" t="inlineStr">
        <is>
          <t>1-28 = quotareached
29-30 = Ineligible</t>
        </is>
      </c>
      <c r="N42" s="346" t="n"/>
      <c r="O42" s="634" t="n"/>
      <c r="P42" s="180" t="inlineStr"/>
      <c r="Q42" s="44" t="n"/>
      <c r="R42" s="306">
        <f>1</f>
        <v/>
      </c>
      <c r="S42" s="53" t="n"/>
      <c r="U42" s="154" t="inlineStr">
        <is>
          <t>yes</t>
        </is>
      </c>
      <c r="V42" s="613" t="n"/>
      <c r="Y42" s="631" t="n">
        <v>7.954998970031738</v>
      </c>
      <c r="Z42" s="631">
        <f>IF(Y42="","",Y42*R42)</f>
        <v/>
      </c>
      <c r="AA42" t="inlineStr"/>
    </row>
    <row r="43" ht="409.5" customFormat="1" customHeight="1" s="59">
      <c r="A43" s="18" t="n">
        <v>25</v>
      </c>
      <c r="B43" s="182" t="inlineStr">
        <is>
          <t>hh_admin2_12</t>
        </is>
      </c>
      <c r="C43" s="58" t="inlineStr">
        <is>
          <t>hh_admin2_12</t>
        </is>
      </c>
      <c r="D43" s="135" t="inlineStr">
        <is>
          <t>Currently, in which district does your household reside?
[OPERATOR: SINGLE RESPONSE.]
1)BAKIL AL MIR
2)HARADH
3)MIDI
4)ABS
5)HAYRAN
6)MUSTABA
7)KUSHAR
8)AL JAMIMAH
9)KUHLAN ASH SHARAF
10)AFLAH ASH SHAWM
11)KHAYRAN AL MUHARRAQ
12)ASLEM
13)QAFL SHAMER
14)AFLAH AL YAMAN
15)AL MAHABISHAH
16)AL MIFTAH
17)AL MAGHRABAH
18)KUHLAN AFFAR
19)SHARAS
20)MABYAN
21)ASH SHAHIL
22)KU'AYDINAH
23)WADHRAH
24)BANI QA'IS
25)ASH SHAGHADIRAH
26)NAJRAH
27)BANI AL AWAM
28)HAJJAH CITY
29)HAJJAH
30)WASHHAH
31)QARAH
32)DON'T KNOW
33)REFUSED</t>
        </is>
      </c>
      <c r="E43" s="179">
        <f>LEN(D43)</f>
        <v/>
      </c>
      <c r="F4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8)الجميمة
9)كحلان الشرف
10)افلح الشام
11)خيران المحرق
12)اسلم
13)قفل شمر
14)افلح اليمن
15)المحابشة
16)المفتاح
17)المغربة
18)كحلان عفار
19)شرس
20)مبين
21)الشاهل
22)كعيدنه
23)وضرة
24)بني قيس
25)الشغادرة
26)نجرة
27)بني العوام
28)مدينة حجة
29)حجة
30)وشحة
31)قارة
32) لا أعرف
33) رفض الإجابة </t>
        </is>
      </c>
      <c r="G43" s="179">
        <f>LEN(F43)</f>
        <v/>
      </c>
      <c r="H43" s="186" t="inlineStr">
        <is>
          <t>Single Choice</t>
        </is>
      </c>
      <c r="I43" s="179" t="inlineStr">
        <is>
          <t>NA</t>
        </is>
      </c>
      <c r="J43" s="179" t="inlineStr">
        <is>
          <t>NA</t>
        </is>
      </c>
      <c r="K43" s="179" t="inlineStr">
        <is>
          <t>Form Type - Dropdown
IsDemographic - ADM2</t>
        </is>
      </c>
      <c r="L43" s="177" t="inlineStr"/>
      <c r="M43" s="63" t="inlineStr">
        <is>
          <t>1-31 = quotareached
32-33 = Ineligible</t>
        </is>
      </c>
      <c r="N43" s="346" t="n"/>
      <c r="O43" s="634" t="n"/>
      <c r="P43" s="180" t="inlineStr"/>
      <c r="Q43" s="44" t="n"/>
      <c r="R43" s="306">
        <f>1</f>
        <v/>
      </c>
      <c r="S43" s="53" t="n"/>
      <c r="U43" s="154" t="inlineStr">
        <is>
          <t>yes</t>
        </is>
      </c>
      <c r="V43" s="613" t="n"/>
      <c r="Y43" s="631" t="n">
        <v>7.954998970031738</v>
      </c>
      <c r="Z43" s="631">
        <f>IF(Y43="","",Y43*R43)</f>
        <v/>
      </c>
      <c r="AA43" t="inlineStr"/>
    </row>
    <row r="44" ht="409.5" customFormat="1" customHeight="1" s="59">
      <c r="A44" s="18" t="n">
        <v>26</v>
      </c>
      <c r="B44" s="182" t="inlineStr">
        <is>
          <t>hh_admin2_13</t>
        </is>
      </c>
      <c r="C44" s="58" t="inlineStr">
        <is>
          <t>hh_admin2_13</t>
        </is>
      </c>
      <c r="D44" s="135" t="inlineStr">
        <is>
          <t>Currently, in which district does your household reside?
[OPERATOR: SINGLE RESPONSE.]
1)AL QAFR
2)YARIM
3)AR RADMAH
4)AN NADIRAH
5)ASH SHA'IR
6)AS SADDAH
7)AL MAKHADIR
8)HUBAYSH
9)HAZM AL UDAYN
10)FAR AL UDAYN
11)AL UDAYN
12)JIBLAH
13)BA'DAN
14)AS SABRAH
15)AS SAYYANI
16)DHI AS SUFAL
17)MUDHAYKHIRAH
18)AL MASHANNAH
19)AL DHIHAR
20)IBB
21)DON'T KNOW
22)REFUSED</t>
        </is>
      </c>
      <c r="E44" s="179">
        <f>LEN(D44)</f>
        <v/>
      </c>
      <c r="F44"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3)الرضمة
4)النادرة
5)الشعر
6)السدة
7)المخادر
8)حبيش
9)حزم العدين
10)فرع العدين
11)العدين
12)جبلة
13)بعدان
14)السبرة
15)السياني
16)ذي السفال
17)مذيخرة
18)المشنة
19)الظهار
20)إب
21) لا أعرف
22) رفض الإجابة  </t>
        </is>
      </c>
      <c r="G44" s="179">
        <f>LEN(F44)</f>
        <v/>
      </c>
      <c r="H44" s="186" t="inlineStr">
        <is>
          <t>Single Choice</t>
        </is>
      </c>
      <c r="I44" s="179" t="inlineStr">
        <is>
          <t>NA</t>
        </is>
      </c>
      <c r="J44" s="179" t="inlineStr">
        <is>
          <t>NA</t>
        </is>
      </c>
      <c r="K44" s="179" t="inlineStr">
        <is>
          <t>Form Type - Dropdown
IsDemographic - ADM2</t>
        </is>
      </c>
      <c r="L44" s="177" t="inlineStr"/>
      <c r="M44" s="63" t="inlineStr">
        <is>
          <t>1-20 = quotareached
21-22 = Ineligible</t>
        </is>
      </c>
      <c r="N44" s="346" t="n"/>
      <c r="O44" s="634" t="n"/>
      <c r="P44" s="180" t="inlineStr"/>
      <c r="Q44" s="44" t="n"/>
      <c r="R44" s="306">
        <f>1</f>
        <v/>
      </c>
      <c r="S44" s="53" t="n"/>
      <c r="U44" s="154" t="inlineStr">
        <is>
          <t>yes</t>
        </is>
      </c>
      <c r="V44" s="613" t="n"/>
      <c r="Y44" s="631" t="n">
        <v>7.954998970031738</v>
      </c>
      <c r="Z44" s="631">
        <f>IF(Y44="","",Y44*R44)</f>
        <v/>
      </c>
      <c r="AA44" t="inlineStr"/>
    </row>
    <row r="45" ht="356.5" customFormat="1" customHeight="1" s="59">
      <c r="A45" s="18" t="n">
        <v>27</v>
      </c>
      <c r="B45" s="182" t="inlineStr">
        <is>
          <t>hh_admin2_14</t>
        </is>
      </c>
      <c r="C45" s="58" t="inlineStr">
        <is>
          <t>hh_admin2_14</t>
        </is>
      </c>
      <c r="D45" s="135" t="inlineStr">
        <is>
          <t>Currently, in which district does your household reside?
[OPERATOR: SINGLE RESPONSE.]
1)AL HAD
2)YAFA'A
3)AL MAFLAHY
4)YAHR
5)HABIL JABR
6)HALIMAYN
7)RADFAN
8)AL MILAH
9)AL MUSAYMIR
10)AL QABBAYTAH
11)TUR AL BAHAH
12)AL MAQATIRAH
13)AL MADARIBAH WA AL ARAH
14)AL  HAWTAH
15)TUBAN
16)DON'T KNOW
17)REFUSED</t>
        </is>
      </c>
      <c r="E45" s="179">
        <f>LEN(D45)</f>
        <v/>
      </c>
      <c r="F4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الباحة
12)المقاطرة
13)المضاربة و العاره
14)الحوطة
15)تبن
16) لا أعرف
17) رفض الإجابة  </t>
        </is>
      </c>
      <c r="G45" s="179">
        <f>LEN(F45)</f>
        <v/>
      </c>
      <c r="H45" s="186" t="inlineStr">
        <is>
          <t>Single Choice</t>
        </is>
      </c>
      <c r="I45" s="179" t="inlineStr">
        <is>
          <t>NA</t>
        </is>
      </c>
      <c r="J45" s="179" t="inlineStr">
        <is>
          <t>NA</t>
        </is>
      </c>
      <c r="K45" s="179" t="inlineStr">
        <is>
          <t>Form Type - Dropdown
IsDemographic - ADM2</t>
        </is>
      </c>
      <c r="L45" s="177" t="inlineStr"/>
      <c r="M45" s="63" t="inlineStr">
        <is>
          <t>1-15 = quotareached
16-17 = Ineligible</t>
        </is>
      </c>
      <c r="N45" s="346" t="n"/>
      <c r="O45" s="634" t="n"/>
      <c r="P45" s="180" t="inlineStr"/>
      <c r="Q45" s="44" t="n"/>
      <c r="R45" s="306">
        <f>1</f>
        <v/>
      </c>
      <c r="S45" s="53" t="n"/>
      <c r="U45" s="154" t="inlineStr">
        <is>
          <t>yes</t>
        </is>
      </c>
      <c r="V45" s="613" t="n"/>
      <c r="Y45" s="631" t="n">
        <v>7.954998970031738</v>
      </c>
      <c r="Z45" s="631">
        <f>IF(Y45="","",Y45*R45)</f>
        <v/>
      </c>
      <c r="AA45" t="inlineStr"/>
    </row>
    <row r="46" ht="341" customFormat="1" customHeight="1" s="59">
      <c r="A46" s="18" t="n">
        <v>28</v>
      </c>
      <c r="B46" s="182" t="inlineStr">
        <is>
          <t>hh_admin2_15</t>
        </is>
      </c>
      <c r="C46" s="58" t="inlineStr">
        <is>
          <t>hh_admin2_15</t>
        </is>
      </c>
      <c r="D46" s="135" t="inlineStr">
        <is>
          <t>Currently, in which district does your household reside?
[OPERATOR: SINGLE RESPONSE.]
1)MAJZAR
2)RAGHWAN
3)MEDGHAL
4)HARIB AL QARAMISH
5)BIDBADAH
6)SIRWAH
7)AL JUBAH
8)RAHABAH
9)HARIB
10)MAHLIYAH
11)AL ABDIYAH
12)MARIB CITY
13)MARIB
14)JABAL MURAD
15)DON'T KNOW
16)REFUSED</t>
        </is>
      </c>
      <c r="E46" s="179">
        <f>LEN(D46)</f>
        <v/>
      </c>
      <c r="F4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4)حريب القرامش
5)بدبده
6)صرواح
7)الجوبة
8)رحبه
9)حريب
10)ماهليه
11)العبدية
12)مدينة مأرب
13)مأرب
14)جبل مراد
15) لا أعرف
16) رفض الإجابة  </t>
        </is>
      </c>
      <c r="G46" s="179">
        <f>LEN(F46)</f>
        <v/>
      </c>
      <c r="H46" s="186" t="inlineStr">
        <is>
          <t>Single Choice</t>
        </is>
      </c>
      <c r="I46" s="179" t="inlineStr">
        <is>
          <t>NA</t>
        </is>
      </c>
      <c r="J46" s="179" t="inlineStr">
        <is>
          <t>NA</t>
        </is>
      </c>
      <c r="K46" s="179" t="inlineStr">
        <is>
          <t>Form Type - Dropdown
IsDemographic - ADM2</t>
        </is>
      </c>
      <c r="L46" s="177" t="inlineStr"/>
      <c r="M46" s="63" t="inlineStr">
        <is>
          <t>1-14 = quotareached
15-16 = Ineligible</t>
        </is>
      </c>
      <c r="N46" s="346" t="n"/>
      <c r="O46" s="634" t="n"/>
      <c r="P46" s="180" t="inlineStr"/>
      <c r="Q46" s="44" t="n"/>
      <c r="R46" s="306">
        <f>1</f>
        <v/>
      </c>
      <c r="S46" s="53" t="n"/>
      <c r="U46" s="154" t="inlineStr">
        <is>
          <t>yes</t>
        </is>
      </c>
      <c r="V46" s="613" t="n"/>
      <c r="Y46" s="631" t="n">
        <v>7.954998970031738</v>
      </c>
      <c r="Z46" s="631">
        <f>IF(Y46="","",Y46*R46)</f>
        <v/>
      </c>
      <c r="AA46" t="inlineStr"/>
    </row>
    <row r="47" ht="217" customFormat="1" customHeight="1" s="59">
      <c r="A47" s="18" t="n">
        <v>29</v>
      </c>
      <c r="B47" s="182" t="inlineStr">
        <is>
          <t>hh_admin2_16</t>
        </is>
      </c>
      <c r="C47" s="58" t="inlineStr">
        <is>
          <t>hh_admin2_16</t>
        </is>
      </c>
      <c r="D47" s="135" t="inlineStr">
        <is>
          <t>Currently, in which district does your household reside?
[OPERATOR: SINGLE RESPONSE.]
1)BILAD AT TA'AM
2)AS SALAFIYAH
3)AL JABIN
4)MAZHAR
5)KUSMAH
6)AL JAFARIYAH
7)DON'T KNOW
8)REFUSED</t>
        </is>
      </c>
      <c r="E47" s="179">
        <f>LEN(D47)</f>
        <v/>
      </c>
      <c r="F4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2)السلفية
3)الجبين
4)مزهر
5)كسمه
6)الجعفرية
7) لا أعرف
8) رفض الإجابة  </t>
        </is>
      </c>
      <c r="G47" s="179">
        <f>LEN(F47)</f>
        <v/>
      </c>
      <c r="H47" s="186" t="inlineStr">
        <is>
          <t>Single Choice</t>
        </is>
      </c>
      <c r="I47" s="179" t="inlineStr">
        <is>
          <t>NA</t>
        </is>
      </c>
      <c r="J47" s="179" t="inlineStr">
        <is>
          <t>NA</t>
        </is>
      </c>
      <c r="K47" s="179" t="inlineStr">
        <is>
          <t>Form Type - Dropdown
IsDemographic - ADM2</t>
        </is>
      </c>
      <c r="L47" s="177" t="inlineStr"/>
      <c r="M47" s="63" t="inlineStr">
        <is>
          <t>1-6 = quotareached
7-8 = Ineligible</t>
        </is>
      </c>
      <c r="N47" s="346" t="n"/>
      <c r="O47" s="634" t="n"/>
      <c r="P47" s="180" t="inlineStr"/>
      <c r="Q47" s="44" t="n"/>
      <c r="R47" s="306">
        <f>1</f>
        <v/>
      </c>
      <c r="S47" s="53" t="n"/>
      <c r="U47" s="154" t="inlineStr">
        <is>
          <t>yes</t>
        </is>
      </c>
      <c r="V47" s="613" t="n"/>
      <c r="Y47" s="631" t="n">
        <v>7.954998970031738</v>
      </c>
      <c r="Z47" s="631">
        <f>IF(Y47="","",Y47*R47)</f>
        <v/>
      </c>
      <c r="AA47" t="inlineStr"/>
    </row>
    <row r="48" ht="356.5" customFormat="1" customHeight="1" s="59">
      <c r="A48" s="18" t="n">
        <v>30</v>
      </c>
      <c r="B48" s="182" t="inlineStr">
        <is>
          <t>hh_admin2_17</t>
        </is>
      </c>
      <c r="C48" s="58" t="inlineStr">
        <is>
          <t>hh_admin2_17</t>
        </is>
      </c>
      <c r="D48" s="135" t="inlineStr">
        <is>
          <t>Currently, in which district does your household reside?
[OPERATOR: SINGLE RESPONSE.]
1)BAQIM
2)QATABIR
3)MONABBIH
4)GHAMR
5)RAZIH
6)SHADA'A
7)AL DHAHER
8)HAYDAN
9)SAQAYN
10)MAJZ
11)SAHAR
12)AS SAFRA
13)AL HASHWAH
14)KITAF WA AL BOQE'E
15)SA'ADAH
16)DON'T KNOW
17)REFUSED</t>
        </is>
      </c>
      <c r="E48" s="179">
        <f>LEN(D48)</f>
        <v/>
      </c>
      <c r="F48"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15)صعدة
16) لا أعرف
17) رفض الإجابة  </t>
        </is>
      </c>
      <c r="G48" s="179">
        <f>LEN(F48)</f>
        <v/>
      </c>
      <c r="H48" s="186" t="inlineStr">
        <is>
          <t>Single Choice</t>
        </is>
      </c>
      <c r="I48" s="179" t="inlineStr">
        <is>
          <t>NA</t>
        </is>
      </c>
      <c r="J48" s="179" t="inlineStr">
        <is>
          <t>NA</t>
        </is>
      </c>
      <c r="K48" s="179" t="inlineStr">
        <is>
          <t>Form Type - Dropdown
IsDemographic - ADM2</t>
        </is>
      </c>
      <c r="L48" s="177" t="inlineStr"/>
      <c r="M48" s="63" t="inlineStr">
        <is>
          <t>1-15 = quotareached
16-17 = Ineligible</t>
        </is>
      </c>
      <c r="N48" s="346" t="n"/>
      <c r="O48" s="634" t="n"/>
      <c r="P48" s="180" t="inlineStr"/>
      <c r="Q48" s="44" t="n"/>
      <c r="R48" s="306">
        <f>1</f>
        <v/>
      </c>
      <c r="S48" s="53" t="n"/>
      <c r="U48" s="154" t="inlineStr">
        <is>
          <t>yes</t>
        </is>
      </c>
      <c r="V48" s="613" t="n"/>
      <c r="Y48" s="631" t="n">
        <v>7.954998970031738</v>
      </c>
      <c r="Z48" s="631">
        <f>IF(Y48="","",Y48*R48)</f>
        <v/>
      </c>
      <c r="AA48" t="inlineStr"/>
    </row>
    <row r="49" ht="372" customFormat="1" customHeight="1" s="59">
      <c r="A49" s="18" t="n">
        <v>31</v>
      </c>
      <c r="B49" s="182" t="inlineStr">
        <is>
          <t>hh_admin2_18</t>
        </is>
      </c>
      <c r="C49" s="58" t="inlineStr">
        <is>
          <t>hh_admin2_18</t>
        </is>
      </c>
      <c r="D49" s="135" t="inlineStr">
        <is>
          <t>Currently, in which district does your household reside?
[OPERATOR: SINGLE RESPONSE.]
1)ARHAB
2)NIHM
3)BANI HUSHAYSH
4)SANHAN
5)BILAD AR RUS
6)BANI MATAR
7)AL HAYMAH AD DAKHILIYAH
8)AL HAYMAH AL KHARIJIYAH
9)MANAKHAH
10)SA'FAN
11)KHWLAN
12)ATTYAL
13)BANI DHABYAN
14)AL HUSN
15)JIHANAH
16)HAMDAN
17)DON'T KNOW
18)REFUSED</t>
        </is>
      </c>
      <c r="E49" s="179">
        <f>LEN(D49)</f>
        <v/>
      </c>
      <c r="F4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1)ارحب
2)نهم
3)بني حشيش
4)سنحان وبني بهلول
5)بلاد الروس
6)بني مطر
7)الحيمة الداخلية
8)الحيمة الخارجية
9)مناخه
10)صعفان
11)خولان
12)الطيال
13)بني ضبيان
14)الحصن
15)جحانة
16)همدان
17) لا أعرف
18) رفض الإجابة  </t>
        </is>
      </c>
      <c r="G49" s="179">
        <f>LEN(F49)</f>
        <v/>
      </c>
      <c r="H49" s="186" t="inlineStr">
        <is>
          <t>Single Choice</t>
        </is>
      </c>
      <c r="I49" s="179" t="inlineStr">
        <is>
          <t>NA</t>
        </is>
      </c>
      <c r="J49" s="179" t="inlineStr">
        <is>
          <t>NA</t>
        </is>
      </c>
      <c r="K49" s="179" t="inlineStr">
        <is>
          <t>Form Type - Dropdown
IsDemographic - ADM2</t>
        </is>
      </c>
      <c r="L49" s="177" t="inlineStr"/>
      <c r="M49" s="63" t="inlineStr">
        <is>
          <t>1-16 = quotareached
17-18 = Ineligible</t>
        </is>
      </c>
      <c r="N49" s="346" t="n"/>
      <c r="O49" s="634" t="n"/>
      <c r="P49" s="180" t="inlineStr"/>
      <c r="Q49" s="44" t="n"/>
      <c r="R49" s="306">
        <f>1</f>
        <v/>
      </c>
      <c r="S49" s="53" t="n"/>
      <c r="U49" s="154" t="inlineStr">
        <is>
          <t>yes</t>
        </is>
      </c>
      <c r="V49" s="613" t="n"/>
      <c r="Y49" s="631" t="n">
        <v>7.954998970031738</v>
      </c>
      <c r="Z49" s="631">
        <f>IF(Y49="","",Y49*R49)</f>
        <v/>
      </c>
      <c r="AA49" t="inlineStr"/>
    </row>
    <row r="50" ht="279" customFormat="1" customHeight="1" s="59">
      <c r="A50" s="18" t="n">
        <v>32</v>
      </c>
      <c r="B50" s="182" t="inlineStr">
        <is>
          <t>hh_admin2_19</t>
        </is>
      </c>
      <c r="C50" s="58" t="inlineStr">
        <is>
          <t>hh_admin2_19</t>
        </is>
      </c>
      <c r="D50" s="135" t="inlineStr">
        <is>
          <t>Currently, in which district does your household reside?
[OPERATOR: SINGLE RESPONSE.]
1)OLD CITY
2)SHU'AUB
3)AZ'ZAL
4)ASSAFI'YAH
5)AS SABAIN
6)AL WAHDAH
7)AT TAHRIR
8)MA'AIN
9)ATH'THAORAH
10)BANI AL HARITH
11)DON'T KNOW
12)REFUSED</t>
        </is>
      </c>
      <c r="E50" s="179">
        <f>LEN(D50)</f>
        <v/>
      </c>
      <c r="F5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القديمة
2)شعوب
3)أزال
4)الصافية
5)السبعين
6)الوحدة
7)التحرير
8)معين
9)الثورة
10)بني الحارث
11) لا أعرف
12) رفض الإجابة  </t>
        </is>
      </c>
      <c r="G50" s="179">
        <f>LEN(F50)</f>
        <v/>
      </c>
      <c r="H50" s="186" t="inlineStr">
        <is>
          <t>Single Choice</t>
        </is>
      </c>
      <c r="I50" s="179" t="inlineStr">
        <is>
          <t>NA</t>
        </is>
      </c>
      <c r="J50" s="179" t="inlineStr">
        <is>
          <t>NA</t>
        </is>
      </c>
      <c r="K50" s="179" t="inlineStr">
        <is>
          <t>Form Type - Dropdown
IsDemographic - ADM2</t>
        </is>
      </c>
      <c r="L50" s="177" t="inlineStr"/>
      <c r="M50" s="63" t="inlineStr">
        <is>
          <t>1-10 = quotareached
11-12 = Ineligible</t>
        </is>
      </c>
      <c r="N50" s="346" t="n"/>
      <c r="O50" s="634" t="n"/>
      <c r="P50" s="180" t="inlineStr"/>
      <c r="Q50" s="44" t="n"/>
      <c r="R50" s="306">
        <f>1</f>
        <v/>
      </c>
      <c r="S50" s="53" t="n"/>
      <c r="U50" s="154" t="inlineStr">
        <is>
          <t>yes</t>
        </is>
      </c>
      <c r="V50" s="613" t="n"/>
      <c r="Y50" s="631" t="n">
        <v>7.954998970031738</v>
      </c>
      <c r="Z50" s="631">
        <f>IF(Y50="","",Y50*R50)</f>
        <v/>
      </c>
      <c r="AA50" t="inlineStr"/>
    </row>
    <row r="51" ht="387.5" customFormat="1" customHeight="1" s="59">
      <c r="A51" s="18" t="n">
        <v>33</v>
      </c>
      <c r="B51" s="182" t="inlineStr">
        <is>
          <t>hh_admin2_20</t>
        </is>
      </c>
      <c r="C51" s="58" t="inlineStr">
        <is>
          <t>hh_admin2_20</t>
        </is>
      </c>
      <c r="D51" s="135" t="inlineStr">
        <is>
          <t>Currently, in which district does your household reside?
[OPERATOR: SINGLE RESPONSE.]
1)DHAR
2)AL TALH
3)JARDAN
4)ARMA
5)USAYLAN
6)AIN
7)BAYHAN
8)MERKHAH AL ULYA
9)MERKHAH AS SUFLA
10)NISAB
11)HATIB
12)AS SAID
13)ATAQ
14)HABBAN
15)AR RAWDAH
16)MAYFA'A
17)RUDUM
18)DON'T KNOW
19)REFUSED</t>
        </is>
      </c>
      <c r="E51" s="179">
        <f>LEN(D51)</f>
        <v/>
      </c>
      <c r="F5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8)مرخه العليا
9)مرخه السفلى
10)نصاب
11)حطيب
12)الصعيد
13)عتق
14)حبان
15)الروضه
16)ميفعه
17)رضوم
18) لا أعرف
19) رفض الإجابة  </t>
        </is>
      </c>
      <c r="G51" s="179">
        <f>LEN(F51)</f>
        <v/>
      </c>
      <c r="H51" s="186" t="inlineStr">
        <is>
          <t>Single Choice</t>
        </is>
      </c>
      <c r="I51" s="179" t="inlineStr">
        <is>
          <t>NA</t>
        </is>
      </c>
      <c r="J51" s="179" t="inlineStr">
        <is>
          <t>NA</t>
        </is>
      </c>
      <c r="K51" s="179" t="inlineStr">
        <is>
          <t>Form Type - Dropdown
IsDemographic - ADM2</t>
        </is>
      </c>
      <c r="L51" s="177" t="inlineStr"/>
      <c r="M51" s="63" t="inlineStr">
        <is>
          <t>1-17 = quotareached
18-19 = Ineligible</t>
        </is>
      </c>
      <c r="N51" s="346" t="n"/>
      <c r="O51" s="634" t="n"/>
      <c r="P51" s="180" t="inlineStr"/>
      <c r="Q51" s="44" t="n"/>
      <c r="R51" s="306">
        <f>1</f>
        <v/>
      </c>
      <c r="S51" s="53" t="n"/>
      <c r="U51" s="154" t="inlineStr">
        <is>
          <t>yes</t>
        </is>
      </c>
      <c r="V51" s="613" t="n"/>
      <c r="Y51" s="631" t="n">
        <v>7.954998970031738</v>
      </c>
      <c r="Z51" s="631">
        <f>IF(Y51="","",Y51*R51)</f>
        <v/>
      </c>
      <c r="AA51" t="inlineStr"/>
    </row>
    <row r="52" ht="155" customFormat="1" customHeight="1" s="59">
      <c r="A52" s="18" t="n">
        <v>34</v>
      </c>
      <c r="B52" s="182" t="inlineStr">
        <is>
          <t>hh_admin2_21</t>
        </is>
      </c>
      <c r="C52" s="58" t="inlineStr">
        <is>
          <t>hh_admin2_21</t>
        </is>
      </c>
      <c r="D52" s="135" t="inlineStr">
        <is>
          <t>Currently, in which district does your household reside?
[OPERATOR: SINGLE RESPONSE.]
1)HIDAYBU
2)QULENSYA WA ABD AL KURI
3)DON'T KNOW
4)REFUSED</t>
        </is>
      </c>
      <c r="E52" s="179">
        <f>LEN(D52)</f>
        <v/>
      </c>
      <c r="F5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2)قلنسيه وعبدالكوري
3) لا أعرف
4) رفض الإجابة  </t>
        </is>
      </c>
      <c r="G52" s="179">
        <f>LEN(F52)</f>
        <v/>
      </c>
      <c r="H52" s="186" t="inlineStr">
        <is>
          <t>Single Choice</t>
        </is>
      </c>
      <c r="I52" s="179" t="inlineStr">
        <is>
          <t>NA</t>
        </is>
      </c>
      <c r="J52" s="179" t="inlineStr">
        <is>
          <t>NA</t>
        </is>
      </c>
      <c r="K52" s="179" t="inlineStr">
        <is>
          <t>Form Type - Buttons
IsDemographic - ADM2</t>
        </is>
      </c>
      <c r="L52" s="177" t="inlineStr"/>
      <c r="M52" s="63" t="inlineStr">
        <is>
          <t>1-2 = quotareached
3-4 = Ineligible</t>
        </is>
      </c>
      <c r="N52" s="346" t="n"/>
      <c r="O52" s="634" t="n"/>
      <c r="P52" s="180" t="inlineStr"/>
      <c r="Q52" s="44" t="n"/>
      <c r="R52" s="306">
        <f>1</f>
        <v/>
      </c>
      <c r="S52" s="53" t="n"/>
      <c r="U52" s="154" t="inlineStr">
        <is>
          <t>yes</t>
        </is>
      </c>
      <c r="V52" s="613" t="n"/>
      <c r="Y52" s="631" t="n">
        <v>7.954998970031738</v>
      </c>
      <c r="Z52" s="631">
        <f>IF(Y52="","",Y52*R52)</f>
        <v/>
      </c>
      <c r="AA52" t="inlineStr"/>
    </row>
    <row r="53" ht="409.5" customFormat="1" customHeight="1" s="59">
      <c r="A53" s="18" t="n">
        <v>35</v>
      </c>
      <c r="B53" s="182" t="inlineStr">
        <is>
          <t>hh_admin2_22</t>
        </is>
      </c>
      <c r="C53" s="58" t="inlineStr">
        <is>
          <t>hh_admin2_22</t>
        </is>
      </c>
      <c r="D53" s="135" t="inlineStr">
        <is>
          <t>Currently, in which district does your household reside?
[OPERATOR: SINGLE RESPONSE.]
1)MAWIYAH
2)SHARA'B AS SALAM
3)SHARA'B AR RAWNAH
4)MAQBANAH
5)AL  MUKHA
6)DHUBAB
7)MAWZA
8)JABAL HABASHY
9)MASHRA'A WA HADNAN
10)SABIR AL MAWADIM
11)AL MISRAKH
12)DIMNAT KHADIR
13)AS SILW
14)ASH SHAMAYATAYN
15)AL WAZI'IYAH
16)HAYFAN
17)AL MUDHAFFAR
18)AL QAHIRAH
19)SALH
20)AT TA'IZIYAH
21)AL MA'AFER
22)AL MAWASIT
23)SAMA
24)DON'T KNOW
25)REFUSED</t>
        </is>
      </c>
      <c r="E53" s="179">
        <f>LEN(D53)</f>
        <v/>
      </c>
      <c r="F5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1)ماوية
2)شرعب السلام
3)شرعب الرونة
4)مقبنة
5)المخاء
6)ذباب
7)موزع
8)جبل حبشي
9)مشرعة وحدنان
10)صبر الموادم
11)المسراخ
12)دمنة خدير
13)الصلو
14)الشمايتين
15)الوازعية
16)حيفان
17)المظفر
18)القاهرة
19)صالة
20)التعزية
21)المعافر
22)المواسط
23)سامع
24) لا أعرف
25) رفض الإجابة  </t>
        </is>
      </c>
      <c r="G53" s="179">
        <f>LEN(F53)</f>
        <v/>
      </c>
      <c r="H53" s="186" t="inlineStr">
        <is>
          <t>Single Choice</t>
        </is>
      </c>
      <c r="I53" s="179" t="inlineStr">
        <is>
          <t>NA</t>
        </is>
      </c>
      <c r="J53" s="179" t="inlineStr">
        <is>
          <t>NA</t>
        </is>
      </c>
      <c r="K53" s="179" t="inlineStr">
        <is>
          <t>Form Type - Dropdown
IsDemographic - ADM2</t>
        </is>
      </c>
      <c r="L53" s="177" t="inlineStr"/>
      <c r="M53" s="63" t="inlineStr">
        <is>
          <t>1-23 = quotareached
24-25 = Ineligible</t>
        </is>
      </c>
      <c r="N53" s="346" t="n"/>
      <c r="O53" s="635" t="n"/>
      <c r="P53" s="180" t="inlineStr"/>
      <c r="Q53" s="44" t="n"/>
      <c r="R53" s="306">
        <f>1</f>
        <v/>
      </c>
      <c r="S53" s="53" t="n"/>
      <c r="U53" s="154" t="inlineStr">
        <is>
          <t>yes</t>
        </is>
      </c>
      <c r="V53" s="613" t="n"/>
      <c r="Y53" s="631" t="n">
        <v>7.954998970031738</v>
      </c>
      <c r="Z53" s="631">
        <f>IF(Y53="","",Y53*R53)</f>
        <v/>
      </c>
      <c r="AA53" t="inlineStr"/>
    </row>
    <row r="54" ht="140.5" customFormat="1" customHeight="1" s="59">
      <c r="A54" s="18" t="n">
        <v>36</v>
      </c>
      <c r="B54" s="115" t="inlineStr">
        <is>
          <t>quotareached</t>
        </is>
      </c>
      <c r="C54" s="52" t="inlineStr">
        <is>
          <t>quotareached</t>
        </is>
      </c>
      <c r="D54" s="184" t="inlineStr">
        <is>
          <t>[OPERATOR: DO NOT READ. ANSWER QUESTION BELOW.]
THIS RESPONDENT REPORTED THEY LIVE IN:
{ADM1}
{ADM2}
1)THE GOAL FOR THIS LOCATION HAS BEEN ACHIEVED - END SURVEY
2)THE GOAL FOR THIS LOCATION IS OPEN - CONTINUE SURVEY</t>
        </is>
      </c>
      <c r="E54" s="179">
        <f>LEN(D54)</f>
        <v/>
      </c>
      <c r="F54" s="636"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4" s="179">
        <f>LEN(F54)</f>
        <v/>
      </c>
      <c r="H54" s="186" t="inlineStr">
        <is>
          <t>Single Choice</t>
        </is>
      </c>
      <c r="I54" s="186" t="inlineStr">
        <is>
          <t>NA</t>
        </is>
      </c>
      <c r="J54" s="186" t="inlineStr">
        <is>
          <t>NA</t>
        </is>
      </c>
      <c r="K54" s="186" t="inlineStr">
        <is>
          <t>Form Type - Buttons</t>
        </is>
      </c>
      <c r="L54" s="100" t="inlineStr">
        <is>
          <t>NA</t>
        </is>
      </c>
      <c r="M54" s="63" t="inlineStr">
        <is>
          <t>1 = End Poll Quota Reached
2 = hh_agricactivity</t>
        </is>
      </c>
      <c r="N54" s="195" t="n"/>
      <c r="O54" s="71" t="inlineStr"/>
      <c r="P54" s="176" t="inlineStr"/>
      <c r="Q54" s="19" t="n"/>
      <c r="R54" s="631" t="n"/>
      <c r="S54" s="631" t="n"/>
      <c r="T54" s="53" t="n"/>
      <c r="U54" t="inlineStr"/>
      <c r="V54" s="81" t="n"/>
      <c r="W54" s="613" t="n"/>
      <c r="Z54" s="631" t="n"/>
      <c r="AA54" s="631" t="inlineStr"/>
      <c r="AB54" s="53" t="n"/>
    </row>
    <row r="55" ht="300.75" customFormat="1" customHeight="1" s="59">
      <c r="A55" s="18" t="n">
        <v>37</v>
      </c>
      <c r="B55" s="182" t="inlineStr">
        <is>
          <t>hh_agricactivity</t>
        </is>
      </c>
      <c r="C55" s="183" t="inlineStr">
        <is>
          <t>hh_agricactivity</t>
        </is>
      </c>
      <c r="D55" s="184"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5" s="179">
        <f>LEN(D55)</f>
        <v/>
      </c>
      <c r="F55" s="637"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5" s="179">
        <f>LEN(F55)</f>
        <v/>
      </c>
      <c r="H55" s="186" t="inlineStr">
        <is>
          <t>Single Choice</t>
        </is>
      </c>
      <c r="I55" s="179" t="inlineStr">
        <is>
          <t>NA</t>
        </is>
      </c>
      <c r="J55" s="179" t="inlineStr">
        <is>
          <t>NA</t>
        </is>
      </c>
      <c r="K55" s="179" t="inlineStr">
        <is>
          <t>Form Type - Buttons</t>
        </is>
      </c>
      <c r="L55" s="186" t="inlineStr">
        <is>
          <t>NA</t>
        </is>
      </c>
      <c r="M55" s="184" t="inlineStr">
        <is>
          <t>1-4 = o_fishery_activity
5-6 = Ineligible</t>
        </is>
      </c>
      <c r="N55" s="347" t="n"/>
      <c r="O55" s="187" t="inlineStr">
        <is>
          <t>if hh_agricactivity = 1-4, go to resp_id or hh_fish. Otherwise, the respondent is ineligible.</t>
        </is>
      </c>
      <c r="P55" s="181" t="inlineStr">
        <is>
          <t>hh_fish</t>
        </is>
      </c>
      <c r="Q55" s="13" t="n"/>
      <c r="R55" s="306">
        <f>1</f>
        <v/>
      </c>
      <c r="S55" s="53" t="n"/>
      <c r="U55" s="154" t="inlineStr">
        <is>
          <t>yes</t>
        </is>
      </c>
      <c r="V55" s="613" t="n"/>
      <c r="Y55" s="631" t="n">
        <v>24.41083908081055</v>
      </c>
      <c r="Z55" s="631">
        <f>IF(Y55="","",Y55*R55)</f>
        <v/>
      </c>
      <c r="AA55" s="53" t="inlineStr">
        <is>
          <t>24.41083908081055</t>
        </is>
      </c>
    </row>
    <row r="56" ht="220" customFormat="1" customHeight="1" s="503" thickBot="1">
      <c r="A56" s="491" t="n">
        <v>38</v>
      </c>
      <c r="B56" s="492" t="inlineStr">
        <is>
          <t>hh_fish</t>
        </is>
      </c>
      <c r="C56" s="493" t="inlineStr">
        <is>
          <t>hh_fish</t>
        </is>
      </c>
      <c r="D56" s="49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56" s="493" t="n"/>
      <c r="F56" s="495" t="inlineStr">
        <is>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is>
      </c>
      <c r="G56" s="493" t="n"/>
      <c r="H56" s="493" t="inlineStr">
        <is>
          <t>Single Choice</t>
        </is>
      </c>
      <c r="I56" s="493" t="inlineStr"/>
      <c r="J56" s="493" t="inlineStr">
        <is>
          <t>NA</t>
        </is>
      </c>
      <c r="K56" s="493" t="inlineStr">
        <is>
          <t>Form Type - Buttons</t>
        </is>
      </c>
      <c r="L56" s="507" t="inlineStr">
        <is>
          <t>NA</t>
        </is>
      </c>
      <c r="M56" s="497" t="inlineStr">
        <is>
          <t>1-4 = resp_id</t>
        </is>
      </c>
      <c r="N56" s="498" t="n"/>
      <c r="O56" s="499" t="inlineStr">
        <is>
          <t>For any response, go to resp_id</t>
        </is>
      </c>
      <c r="P56" s="499" t="inlineStr">
        <is>
          <t>resp_id</t>
        </is>
      </c>
      <c r="Q56" s="500" t="inlineStr">
        <is>
          <t xml:space="preserve">Use this question if the survey seeks to gather important information on fisheries and/or aquaculture in the country. </t>
        </is>
      </c>
      <c r="R56" s="501" t="n"/>
      <c r="S56" s="502" t="n"/>
      <c r="U56" s="504" t="inlineStr"/>
      <c r="V56" s="505" t="n"/>
      <c r="Y56" s="638" t="n"/>
      <c r="Z56" s="638" t="n"/>
      <c r="AA56" s="502" t="inlineStr"/>
    </row>
    <row r="57" ht="16.4" customFormat="1" customHeight="1" s="59" thickBot="1">
      <c r="A57" s="604" t="inlineStr">
        <is>
          <t>B. GENERAL HOUSEHOLD INFORMATION</t>
        </is>
      </c>
      <c r="B57" s="629" t="n"/>
      <c r="C57" s="629" t="n"/>
      <c r="D57" s="629" t="n"/>
      <c r="E57" s="629" t="n"/>
      <c r="F57" s="629" t="n"/>
      <c r="G57" s="629" t="n"/>
      <c r="H57" s="629" t="n"/>
      <c r="I57" s="629" t="n"/>
      <c r="J57" s="629" t="n"/>
      <c r="K57" s="629" t="n"/>
      <c r="L57" s="629" t="n"/>
      <c r="M57" s="629" t="n"/>
      <c r="N57" s="629" t="n"/>
      <c r="O57" s="629" t="n"/>
      <c r="P57" s="629" t="n"/>
      <c r="Q57" s="630" t="n"/>
      <c r="R57" s="300" t="n"/>
      <c r="S57" s="53" t="n"/>
      <c r="U57" s="61" t="n"/>
      <c r="V57" s="613" t="n"/>
      <c r="Y57" s="632" t="n"/>
      <c r="Z57" s="631">
        <f>IF(Y57="","",Y57*R57)</f>
        <v/>
      </c>
      <c r="AA57" s="53">
        <f>IF(U57="yes",Z57,"")</f>
        <v/>
      </c>
    </row>
    <row r="58" ht="135" customFormat="1" customHeight="1" s="59">
      <c r="A58" s="38">
        <f>A56+1</f>
        <v/>
      </c>
      <c r="B58" s="89" t="inlineStr">
        <is>
          <t>resp_id</t>
        </is>
      </c>
      <c r="C58" s="84" t="inlineStr">
        <is>
          <t>resp_id</t>
        </is>
      </c>
      <c r="D58" s="315" t="inlineStr">
        <is>
          <t>Are you the head of household? 
[OPERATOR: SINGLE RESPONSE.]
1)Yes
2)No
3)DON'T KNOW
4)REFUSED</t>
        </is>
      </c>
      <c r="E58" s="84">
        <f>LEN(D58)</f>
        <v/>
      </c>
      <c r="F58" s="637" t="inlineStr">
        <is>
          <t>هل أنت رب الأسرة ؟
[المشغل: استجابة واحدة.]
1) نعم
2) لا
3) لا أعرف
4) رفض الإجابة</t>
        </is>
      </c>
      <c r="G58" s="84">
        <f>LEN(F58)</f>
        <v/>
      </c>
      <c r="H58" s="84" t="inlineStr">
        <is>
          <t>Single Choice</t>
        </is>
      </c>
      <c r="I58" s="84" t="inlineStr">
        <is>
          <t>NA</t>
        </is>
      </c>
      <c r="J58" s="84" t="inlineStr">
        <is>
          <t>NA</t>
        </is>
      </c>
      <c r="K58" s="84" t="inlineStr">
        <is>
          <t>Form Type - Buttons</t>
        </is>
      </c>
      <c r="L58" s="100" t="inlineStr">
        <is>
          <t>NA</t>
        </is>
      </c>
      <c r="M58" s="71" t="inlineStr">
        <is>
          <t>1 = hh_education 
2-4 = hh_gender</t>
        </is>
      </c>
      <c r="N58" s="348" t="n"/>
      <c r="O58" s="71" t="inlineStr">
        <is>
          <t>if resp_id = 1, go to hh_education. 
Otherwise, go to hh_gender.</t>
        </is>
      </c>
      <c r="P58" s="176" t="inlineStr"/>
      <c r="Q58" s="19" t="n"/>
      <c r="R58" s="300" t="n">
        <v>1</v>
      </c>
      <c r="S58" s="53" t="n"/>
      <c r="U58" s="150" t="inlineStr">
        <is>
          <t>yes</t>
        </is>
      </c>
      <c r="V58" s="613" t="n"/>
      <c r="Y58" s="631" t="n">
        <v>10.5</v>
      </c>
      <c r="Z58" s="631">
        <f>IF(Y58="","",Y58*R58)</f>
        <v/>
      </c>
      <c r="AA58" s="53" t="inlineStr">
        <is>
          <t>10.5</t>
        </is>
      </c>
    </row>
    <row r="59" ht="124.75" customFormat="1" customHeight="1" s="59">
      <c r="A59" s="38">
        <f>A58+1</f>
        <v/>
      </c>
      <c r="B59" s="114" t="inlineStr">
        <is>
          <t>hh_gender</t>
        </is>
      </c>
      <c r="C59" s="58" t="inlineStr">
        <is>
          <t>hh_gender</t>
        </is>
      </c>
      <c r="D59" s="80" t="inlineStr">
        <is>
          <t>Is the head of your household male or female?
[OPERATOR: SINGLE RESPONSE.]
1)Male 
2)Female
3)DON'T KNOW
4)REFUSED</t>
        </is>
      </c>
      <c r="E59" s="56">
        <f>LEN(D59)</f>
        <v/>
      </c>
      <c r="F59" s="168" t="inlineStr">
        <is>
          <t>هل رب أسرتك ذكر أم أنثى؟
[المشغل: استجابة واحدة.]
1) ذكر
2) أنثى
3) لا أعرف
4) رفض الإجابة</t>
        </is>
      </c>
      <c r="G59" s="56">
        <f>LEN(F59)</f>
        <v/>
      </c>
      <c r="H59" s="58" t="inlineStr">
        <is>
          <t>Single Choice</t>
        </is>
      </c>
      <c r="I59" s="56" t="inlineStr">
        <is>
          <t>NA</t>
        </is>
      </c>
      <c r="J59" s="56" t="inlineStr">
        <is>
          <t>NA</t>
        </is>
      </c>
      <c r="K59" s="56" t="inlineStr">
        <is>
          <t>Form Type - Buttons</t>
        </is>
      </c>
      <c r="L59" s="100" t="inlineStr">
        <is>
          <t>NA</t>
        </is>
      </c>
      <c r="M59" s="55" t="inlineStr">
        <is>
          <t>1-4 = hh_education</t>
        </is>
      </c>
      <c r="N59" s="195" t="n"/>
      <c r="O59" s="55" t="inlineStr">
        <is>
          <t>if hh_gender = 1-4, go to hh_education.</t>
        </is>
      </c>
      <c r="P59" s="30" t="inlineStr"/>
      <c r="Q59" s="19" t="n"/>
      <c r="R59" s="306">
        <f>1</f>
        <v/>
      </c>
      <c r="S59" s="53" t="n"/>
      <c r="U59" s="150" t="inlineStr">
        <is>
          <t>yes</t>
        </is>
      </c>
      <c r="V59" s="613" t="n"/>
      <c r="Y59" s="631" t="n">
        <v>10.5045337677002</v>
      </c>
      <c r="Z59" s="631">
        <f>IF(Y59="","",Y59*R59)</f>
        <v/>
      </c>
      <c r="AA59" s="53" t="inlineStr">
        <is>
          <t>10.5045337677002</t>
        </is>
      </c>
    </row>
    <row r="60" ht="215.25" customFormat="1" customHeight="1" s="59">
      <c r="A60" s="18">
        <f>A59+1</f>
        <v/>
      </c>
      <c r="B60" s="182" t="inlineStr">
        <is>
          <t>hh_education</t>
        </is>
      </c>
      <c r="C60" s="58" t="inlineStr">
        <is>
          <t>hh_education</t>
        </is>
      </c>
      <c r="D60" s="5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0" s="179">
        <f>LEN(D60)</f>
        <v/>
      </c>
      <c r="F60" s="565"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60" s="179">
        <f>LEN(F60)</f>
        <v/>
      </c>
      <c r="H60" s="566" t="inlineStr">
        <is>
          <t>Single Choice</t>
        </is>
      </c>
      <c r="I60" s="179" t="inlineStr">
        <is>
          <t>NA</t>
        </is>
      </c>
      <c r="J60" s="179" t="inlineStr">
        <is>
          <t>NA</t>
        </is>
      </c>
      <c r="K60" s="179" t="inlineStr">
        <is>
          <t>Form Type - Buttons</t>
        </is>
      </c>
      <c r="L60" s="100" t="inlineStr">
        <is>
          <t>NA</t>
        </is>
      </c>
      <c r="M60" s="63" t="inlineStr">
        <is>
          <t>1-7 = o_hh_wealth_water</t>
        </is>
      </c>
      <c r="N60" s="195" t="n"/>
      <c r="O60" s="55" t="inlineStr">
        <is>
          <t>if hh_education = 1-7, go to o_hh_wealth_water.</t>
        </is>
      </c>
      <c r="P60" s="30" t="inlineStr"/>
      <c r="Q60" s="13" t="n"/>
      <c r="R60" s="306">
        <f>1</f>
        <v/>
      </c>
      <c r="S60" s="53" t="n"/>
      <c r="U60" s="150" t="inlineStr">
        <is>
          <t>yes</t>
        </is>
      </c>
      <c r="V60" s="613" t="n"/>
      <c r="Y60" s="631" t="n">
        <v>12.42189884185791</v>
      </c>
      <c r="Z60" s="631">
        <f>IF(Y60="","",Y60*R60)</f>
        <v/>
      </c>
      <c r="AA60" s="53" t="inlineStr">
        <is>
          <t>12.42189884185791</t>
        </is>
      </c>
    </row>
    <row r="61" ht="323.25" customFormat="1" customHeight="1" s="59">
      <c r="A61" s="18">
        <f>A60+1</f>
        <v/>
      </c>
      <c r="B61" s="567" t="inlineStr">
        <is>
          <t>o_hh_wealth_water</t>
        </is>
      </c>
      <c r="C61" s="568" t="inlineStr">
        <is>
          <t>hh_wealth_water</t>
        </is>
      </c>
      <c r="D61" s="556"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61" s="569">
        <f>LEN(D61)</f>
        <v/>
      </c>
      <c r="F61" s="570"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1" s="569">
        <f>LEN(F61)</f>
        <v/>
      </c>
      <c r="H61" s="571" t="inlineStr">
        <is>
          <t>Single Choice</t>
        </is>
      </c>
      <c r="I61" s="569" t="inlineStr">
        <is>
          <t>NA</t>
        </is>
      </c>
      <c r="J61" s="569" t="inlineStr">
        <is>
          <t>NA</t>
        </is>
      </c>
      <c r="K61" s="569" t="inlineStr">
        <is>
          <t>Form Type - Buttons</t>
        </is>
      </c>
      <c r="L61" s="24" t="inlineStr">
        <is>
          <t>NA</t>
        </is>
      </c>
      <c r="M61" s="200" t="inlineStr">
        <is>
          <t>1-14 = o_rural_urban</t>
        </is>
      </c>
      <c r="N61" s="349" t="n"/>
      <c r="O61" s="572" t="inlineStr">
        <is>
          <t>For any response, go to [income_main OR other optional question]</t>
        </is>
      </c>
      <c r="P61" s="22" t="inlineStr">
        <is>
          <t>1-14 = o_rural_urban</t>
        </is>
      </c>
      <c r="Q61" s="175"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R61" s="300">
        <f>1</f>
        <v/>
      </c>
      <c r="S61" s="53" t="n"/>
      <c r="U61" s="61" t="inlineStr">
        <is>
          <t>yes</t>
        </is>
      </c>
      <c r="V61" s="613" t="n"/>
      <c r="Y61" s="632" t="n">
        <v>16.61565589904785</v>
      </c>
      <c r="Z61" s="632">
        <f>IF(Y61="","",Y61*R61)</f>
        <v/>
      </c>
      <c r="AA61" s="53" t="inlineStr">
        <is>
          <t>16.61565589904785</t>
        </is>
      </c>
    </row>
    <row r="62" ht="135" customFormat="1" customHeight="1" s="59">
      <c r="A62" s="18">
        <f>A61+1</f>
        <v/>
      </c>
      <c r="B62" s="567" t="inlineStr">
        <is>
          <t>o_rural_urban</t>
        </is>
      </c>
      <c r="C62" s="119" t="inlineStr">
        <is>
          <t>o_rural_urban</t>
        </is>
      </c>
      <c r="D62" s="556" t="inlineStr">
        <is>
          <t>Which of these best describes the area where you live?
[OPERATOR: SINGLE RESPONSE]
1)Rural
2)Urban
3)Sub-urban</t>
        </is>
      </c>
      <c r="E62" s="40" t="n">
        <v>112</v>
      </c>
      <c r="F62" s="570" t="inlineStr">
        <is>
          <t>أي من هؤلاء يصف المنطقة التي تعيش فيها ؟
[المشغل: استجابة واحدة]
1)الريف
2)الحضر
3)ضواحي الحضر</t>
        </is>
      </c>
      <c r="G62" s="40" t="n">
        <v>96</v>
      </c>
      <c r="H62" s="39" t="inlineStr">
        <is>
          <t>Single Choice</t>
        </is>
      </c>
      <c r="I62" s="40" t="inlineStr">
        <is>
          <t>NA</t>
        </is>
      </c>
      <c r="J62" s="40" t="inlineStr">
        <is>
          <t>NA</t>
        </is>
      </c>
      <c r="K62" s="40" t="inlineStr">
        <is>
          <t>Form Type - Buttons</t>
        </is>
      </c>
      <c r="L62" s="30" t="inlineStr"/>
      <c r="M62" s="201" t="inlineStr">
        <is>
          <t>1-3 = hh_residencetype</t>
        </is>
      </c>
      <c r="N62" s="350" t="n"/>
      <c r="O62" s="120" t="inlineStr"/>
      <c r="P62" s="22" t="inlineStr">
        <is>
          <t>1-3 = hh_residencetype</t>
        </is>
      </c>
      <c r="Q62" s="130" t="n"/>
      <c r="R62" s="300">
        <f>1</f>
        <v/>
      </c>
      <c r="S62" s="53" t="n"/>
      <c r="U62" s="61" t="inlineStr"/>
      <c r="V62" s="613" t="n"/>
      <c r="Y62" s="632" t="n"/>
      <c r="Z62" s="632">
        <f>IF(Y62="","",Y62*R62)</f>
        <v/>
      </c>
      <c r="AA62" s="53" t="inlineStr"/>
    </row>
    <row r="63" ht="294.75" customFormat="1" customHeight="1" s="218">
      <c r="A63" s="18">
        <f>A62+1</f>
        <v/>
      </c>
      <c r="B63" s="573" t="inlineStr">
        <is>
          <t>hh_residencetype</t>
        </is>
      </c>
      <c r="C63" s="208" t="inlineStr">
        <is>
          <t>hh_residencetype</t>
        </is>
      </c>
      <c r="D63" s="31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63" s="209">
        <f>LEN(D63)</f>
        <v/>
      </c>
      <c r="F63" s="210"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63" s="209">
        <f>LEN(F63)</f>
        <v/>
      </c>
      <c r="H63" s="211" t="inlineStr">
        <is>
          <t>Single Choice</t>
        </is>
      </c>
      <c r="I63" s="209" t="inlineStr">
        <is>
          <t>NA</t>
        </is>
      </c>
      <c r="J63" s="209" t="inlineStr">
        <is>
          <t>NA</t>
        </is>
      </c>
      <c r="K63" s="209" t="inlineStr">
        <is>
          <t>Form Type - Buttons</t>
        </is>
      </c>
      <c r="L63" s="212" t="inlineStr">
        <is>
          <t>NA</t>
        </is>
      </c>
      <c r="M63" s="213" t="inlineStr">
        <is>
          <t>1 = hh_residencecomp
2-4 = hh_arrivaltime
5-6 = hh_residencecomp</t>
        </is>
      </c>
      <c r="N63" s="351" t="n"/>
      <c r="O63" s="214" t="inlineStr">
        <is>
          <t>1 = hh_residencecomp
2-4 = hh_arrivaltime
5-6 = hh_residencecomp</t>
        </is>
      </c>
      <c r="P63" s="215" t="inlineStr"/>
      <c r="Q63" s="216" t="n"/>
      <c r="R63" s="317">
        <f>1</f>
        <v/>
      </c>
      <c r="S63" s="217" t="n"/>
      <c r="U63" s="219" t="inlineStr">
        <is>
          <t>yes</t>
        </is>
      </c>
      <c r="V63" s="220" t="n"/>
      <c r="Y63" s="633" t="n">
        <v>13.22066497802734</v>
      </c>
      <c r="Z63" s="633">
        <f>IF(Y63="","",Y63*R63)</f>
        <v/>
      </c>
      <c r="AA63" s="217" t="inlineStr">
        <is>
          <t>13.22066497802734</t>
        </is>
      </c>
      <c r="AD63" s="221" t="n"/>
      <c r="AE63" s="222" t="inlineStr">
        <is>
          <t>Important to define different categories in training material</t>
        </is>
      </c>
      <c r="AG63" s="223" t="n"/>
      <c r="AI63" s="224" t="n"/>
    </row>
    <row r="64" ht="184.5" customFormat="1" customHeight="1" s="59">
      <c r="A64" s="18">
        <f>A63+1</f>
        <v/>
      </c>
      <c r="B64" s="182" t="inlineStr">
        <is>
          <t>hh_arrivaltime</t>
        </is>
      </c>
      <c r="C64" s="566" t="inlineStr">
        <is>
          <t>hh_arivaltime</t>
        </is>
      </c>
      <c r="D64" s="187" t="inlineStr">
        <is>
          <t>How long ago did you arrive in this place?
[OPERATOR: INDICATE THE NUMBER OF MONTHS. YOU MAY NEED TO CALCULATE THIS. ENTER 888 FOR DON'T KNOW &amp; 999 FOR REFUSED.]</t>
        </is>
      </c>
      <c r="E64" s="179">
        <f>LEN(D64)</f>
        <v/>
      </c>
      <c r="F64" s="558" t="inlineStr">
        <is>
          <t>منذ متى وصلت إلى هذا المكان؟
[المشغل: حدد عدد الأشهر. قد تحتاج إلى حساب ذلك. أدخل 888 لـ "لا أعرف" و999 لـ "رفض".]</t>
        </is>
      </c>
      <c r="G64" s="179">
        <f>LEN(F64)</f>
        <v/>
      </c>
      <c r="H64" s="566" t="inlineStr">
        <is>
          <t>Range</t>
        </is>
      </c>
      <c r="I64" s="179" t="inlineStr">
        <is>
          <t>NA</t>
        </is>
      </c>
      <c r="J64" s="179" t="inlineStr">
        <is>
          <t>Send if "hh_residencetype" "Equals" "Internally displaced person [IDP]" Or "hh_residencetype" "Equals" "Returnee" Or "hh_residencetype" "Equals" "Refugee" if not satisfied go to "hh_residencecomp"</t>
        </is>
      </c>
      <c r="K64" s="179" t="inlineStr">
        <is>
          <t>Form Type - TextBox</t>
        </is>
      </c>
      <c r="L64" s="574" t="inlineStr">
        <is>
          <t>NA</t>
        </is>
      </c>
      <c r="M64" s="184" t="inlineStr">
        <is>
          <t>0-200 = hh_displacementfreq
888-888 = hh_displacementfreq
999-999 = hh_displacementfreq</t>
        </is>
      </c>
      <c r="N64" s="347" t="n"/>
      <c r="O64" s="575" t="inlineStr">
        <is>
          <t>Asked to respondents that answered "Returnee", "IDP" or "Refugee" to hh_residencetype. All other respondents will skip to hh_residencecomp. 
For any response, go to hh_displacementfreq.</t>
        </is>
      </c>
      <c r="P64" s="24" t="inlineStr"/>
      <c r="Q64" s="19" t="n"/>
      <c r="R64" s="483" t="n"/>
      <c r="S64" s="54" t="n"/>
      <c r="T64" s="113" t="n"/>
      <c r="U64" s="484" t="inlineStr">
        <is>
          <t>yes</t>
        </is>
      </c>
      <c r="V64" s="612" t="n"/>
      <c r="W64" s="113" t="n"/>
      <c r="X64" s="113" t="n"/>
      <c r="Y64" s="639" t="n"/>
      <c r="Z64" s="639" t="n"/>
      <c r="AA64" s="53" t="inlineStr"/>
    </row>
    <row r="65" ht="163.5" customFormat="1" customHeight="1" s="226">
      <c r="A65" s="18">
        <f>A64+1</f>
        <v/>
      </c>
      <c r="B65" s="573" t="inlineStr">
        <is>
          <t>hh_displacementfreq</t>
        </is>
      </c>
      <c r="C65" s="576" t="inlineStr">
        <is>
          <t>hh_displacementfreq</t>
        </is>
      </c>
      <c r="D65" s="564" t="inlineStr">
        <is>
          <t>How many times have you [respondent] been forced to move due to conflict, insecurity or disaster since you were first displaced?
[OPERATOR: ENTER 888 FOR DON'T KNOW &amp; 999 FOR REFUSED.]</t>
        </is>
      </c>
      <c r="E65" s="313">
        <f>LEN(D65)</f>
        <v/>
      </c>
      <c r="F65" s="565"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65" s="313">
        <f>LEN(F65)</f>
        <v/>
      </c>
      <c r="H65" s="576" t="inlineStr">
        <is>
          <t>Range</t>
        </is>
      </c>
      <c r="I65" s="313" t="inlineStr">
        <is>
          <t>NA</t>
        </is>
      </c>
      <c r="J65" s="313" t="inlineStr">
        <is>
          <t>NA</t>
        </is>
      </c>
      <c r="K65" s="313" t="inlineStr">
        <is>
          <t>Form Type - TextBox</t>
        </is>
      </c>
      <c r="L65" s="289" t="inlineStr">
        <is>
          <t>NA</t>
        </is>
      </c>
      <c r="M65" s="563" t="inlineStr">
        <is>
          <t>0-100 = hh_residencecomp
888-888 = hh_residencecomp
999-999 = hh_residencecomp</t>
        </is>
      </c>
      <c r="N65" s="352" t="n"/>
      <c r="O65" s="577" t="inlineStr">
        <is>
          <t>Asked to respondents that answered "Returnee", "IDP" or "Refugee" to hh_residencetype. All other respondents will skip to hh_residencecomp. 
For any response, go to hh_residencecomp.</t>
        </is>
      </c>
      <c r="P65" s="215" t="inlineStr"/>
      <c r="Q65" s="216" t="n"/>
      <c r="R65" s="319" t="n"/>
      <c r="S65" s="225" t="n"/>
      <c r="U65" s="227" t="inlineStr">
        <is>
          <t>yes</t>
        </is>
      </c>
      <c r="V65" s="228" t="n"/>
      <c r="Y65" s="640" t="n"/>
      <c r="Z65" s="640" t="n"/>
      <c r="AA65" s="225" t="inlineStr"/>
      <c r="AD65" s="221" t="inlineStr">
        <is>
          <t xml:space="preserve">Necessary for categorization of household residence type. Will depend on country context but these questions allow for flexibility of the definition. </t>
        </is>
      </c>
      <c r="AE65" s="221" t="inlineStr">
        <is>
          <t>
</t>
        </is>
      </c>
      <c r="AI65" s="224" t="n"/>
    </row>
    <row r="66" ht="213.75" customFormat="1" customHeight="1" s="226">
      <c r="A66" s="18">
        <f>A65+1</f>
        <v/>
      </c>
      <c r="B66" s="573" t="inlineStr">
        <is>
          <t>hh_residencecomp</t>
        </is>
      </c>
      <c r="C66" s="576" t="inlineStr">
        <is>
          <t>hh_residencecomp
1)hh_residencecomp_none
2)hh_residencecomp_permresident
3)hh_residencecomp_returnee
4)hh_residencecomp_idp
5)hh_residencecomp_refugee
6)hh_residencecomp_dk
7)hh_residencecomp_ref</t>
        </is>
      </c>
      <c r="D66" s="564"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66" s="313">
        <f>LEN(D66)</f>
        <v/>
      </c>
      <c r="F66" s="565"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66" s="313">
        <f>LEN(F66)</f>
        <v/>
      </c>
      <c r="H66" s="576" t="inlineStr">
        <is>
          <t>Select All That Apply</t>
        </is>
      </c>
      <c r="I66" s="313" t="inlineStr">
        <is>
          <t>NA</t>
        </is>
      </c>
      <c r="J66" s="313" t="inlineStr">
        <is>
          <t>Send if "hh_residencetype" "Equals" "Internally displaced person [IDP]" Or "hh_residencetype" "Equals" "Returnee" Or "hh_residencetype" "Equals" "Refugee" Or "hh_residencetype" "Equals" "Permanent resident" if not satisfied go to "hh_site"</t>
        </is>
      </c>
      <c r="K66" s="313" t="inlineStr">
        <is>
          <t>Form Type - Checklist
Included unselected "hh_residencetype"
1,6,7= IsNone</t>
        </is>
      </c>
      <c r="L66" s="289" t="inlineStr">
        <is>
          <t>1)hh_residencecomp_none
2)hh_residencecomp_permresident
3)hh_residencecomp_returnee
4)hh_residencecomp_idp
5)hh_residencecomp_refugee
6)hh_residencecomp_dk
7)hh_residencecomp_ref</t>
        </is>
      </c>
      <c r="M66" s="563" t="inlineStr">
        <is>
          <t>1-7 = hh_site</t>
        </is>
      </c>
      <c r="N66" s="352" t="n"/>
      <c r="O66" s="578" t="inlineStr">
        <is>
          <t>Asked only to respondents who stated a status in hh_residencetype. Otherwise, go to hh_size .
For any response, go to hh_site</t>
        </is>
      </c>
      <c r="P66" s="229" t="inlineStr"/>
      <c r="Q66" s="216" t="n"/>
      <c r="R66" s="319" t="n"/>
      <c r="S66" s="225" t="n"/>
      <c r="U66" s="227" t="inlineStr">
        <is>
          <t>yes</t>
        </is>
      </c>
      <c r="V66" s="228" t="n"/>
      <c r="Y66" s="640" t="n"/>
      <c r="Z66" s="640" t="n"/>
      <c r="AA66" s="225" t="inlineStr"/>
      <c r="AD66" s="221" t="inlineStr">
        <is>
          <t xml:space="preserve">Necessary for categorization of household residence type. Will depend on country context but these questions allow for flexibility of the definition. </t>
        </is>
      </c>
      <c r="AE66" s="226" t="inlineStr">
        <is>
          <t>In enumerator training, include explanation of status type</t>
        </is>
      </c>
      <c r="AI66" s="224" t="n"/>
    </row>
    <row r="67" ht="198" customFormat="1" customHeight="1" s="226">
      <c r="A67" s="18">
        <f>A66+1</f>
        <v/>
      </c>
      <c r="B67" s="290" t="inlineStr">
        <is>
          <t>hh_site</t>
        </is>
      </c>
      <c r="C67" s="579" t="inlineStr">
        <is>
          <t>hh_site</t>
        </is>
      </c>
      <c r="D67" s="580"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67" s="292">
        <f>LEN(D67)</f>
        <v/>
      </c>
      <c r="F67" s="557"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67" s="292">
        <f>LEN(F67)</f>
        <v/>
      </c>
      <c r="H67" s="579" t="inlineStr">
        <is>
          <t>Single Choice</t>
        </is>
      </c>
      <c r="I67" s="292" t="inlineStr">
        <is>
          <t>NA</t>
        </is>
      </c>
      <c r="J67" s="292" t="inlineStr">
        <is>
          <t>Send if "hh_residencetype" "Equals" "Internally displaced person [IDP]" Or "hh_residencetype" "Equals" "Returnee" Or "hh_residencetype" "Equals" "Refugee" if not satisfied go to "hh_shelter"</t>
        </is>
      </c>
      <c r="K67" s="292" t="inlineStr">
        <is>
          <t>Form Type - Buttons</t>
        </is>
      </c>
      <c r="L67" s="289" t="inlineStr">
        <is>
          <t>NA</t>
        </is>
      </c>
      <c r="M67" s="230" t="inlineStr">
        <is>
          <t>1-6 = hh_shelter</t>
        </is>
      </c>
      <c r="N67" s="353" t="n"/>
      <c r="O67" s="577" t="inlineStr">
        <is>
          <t>Asked to respondents that answered "Returnee", "IDP" or "Refugee" to hh_residencetype. All other respondents will skip to hh_shelter. 
For any response, go to hh_shelter</t>
        </is>
      </c>
      <c r="P67" s="215" t="inlineStr"/>
      <c r="Q67" s="216" t="n"/>
      <c r="R67" s="319" t="n"/>
      <c r="S67" s="225" t="n"/>
      <c r="U67" s="227" t="inlineStr">
        <is>
          <t>no</t>
        </is>
      </c>
      <c r="V67" s="228" t="n"/>
      <c r="Y67" s="640" t="n"/>
      <c r="Z67" s="640" t="n"/>
      <c r="AA67" s="225" t="inlineStr"/>
      <c r="AE67" s="226" t="inlineStr">
        <is>
          <t xml:space="preserve">Note to explain to COs the importance of site/shelter for vulnerability assessments </t>
        </is>
      </c>
    </row>
    <row r="68" ht="270" customFormat="1" customHeight="1" s="226">
      <c r="A68" s="18">
        <f>A67+1</f>
        <v/>
      </c>
      <c r="B68" s="290" t="inlineStr">
        <is>
          <t>hh_shelter</t>
        </is>
      </c>
      <c r="C68" s="579" t="inlineStr">
        <is>
          <t>hh_shelter</t>
        </is>
      </c>
      <c r="D68" s="580"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8" s="292">
        <f>LEN(D68)</f>
        <v/>
      </c>
      <c r="F68" s="557"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68" s="292">
        <f>LEN(F68)</f>
        <v/>
      </c>
      <c r="H68" s="579" t="inlineStr">
        <is>
          <t>Single Choice</t>
        </is>
      </c>
      <c r="I68" s="292" t="inlineStr">
        <is>
          <t>NA</t>
        </is>
      </c>
      <c r="J68" s="292" t="inlineStr">
        <is>
          <t>NA</t>
        </is>
      </c>
      <c r="K68" s="292" t="inlineStr">
        <is>
          <t>Form Type - Buttons</t>
        </is>
      </c>
      <c r="L68" s="289" t="inlineStr">
        <is>
          <t>NA</t>
        </is>
      </c>
      <c r="M68" s="230" t="inlineStr">
        <is>
          <t>1-11 = hh_predisp_agricactivity</t>
        </is>
      </c>
      <c r="N68" s="353" t="n"/>
      <c r="O68" s="578" t="inlineStr">
        <is>
          <t>For any response, go to hh_predisp_agricactivity.</t>
        </is>
      </c>
      <c r="P68" s="215" t="inlineStr"/>
      <c r="Q68" s="216" t="n"/>
      <c r="R68" s="319" t="n"/>
      <c r="S68" s="225" t="n"/>
      <c r="U68" s="227" t="inlineStr">
        <is>
          <t>no</t>
        </is>
      </c>
      <c r="V68" s="228" t="n"/>
      <c r="Y68" s="640" t="n"/>
      <c r="Z68" s="640" t="n"/>
      <c r="AA68" s="225" t="inlineStr"/>
      <c r="AI68" s="221" t="inlineStr">
        <is>
          <t>Consider whether shelter should be mandatory vulnerability proxy</t>
        </is>
      </c>
    </row>
    <row r="69" ht="184.5" customFormat="1" customHeight="1" s="113">
      <c r="A69" s="18">
        <f>A68+1</f>
        <v/>
      </c>
      <c r="B69" s="480" t="inlineStr">
        <is>
          <t>hh_predisp_agricactivity</t>
        </is>
      </c>
      <c r="C69" s="487" t="inlineStr">
        <is>
          <t>hh_predisp_agricactivity</t>
        </is>
      </c>
      <c r="D69" s="556" t="inlineStr">
        <is>
          <t>Did you or others in your household engage in agricultural activities prior to your displacement?
[OPERATOR: SINGLE RESPONSE.]
1)YES
2)NO
3)DON'T KNOW
4)REFUSED</t>
        </is>
      </c>
      <c r="E69" s="569">
        <f>LEN(D69)</f>
        <v/>
      </c>
      <c r="F69" s="570" t="inlineStr">
        <is>
          <t>هل شاركت أنت أو أي شخص آخر في أسرتك في أنشطة زراعية قبل نزوحك؟
[المشغل: إجابة واحدة.]
1)نعم
2)لا
3)لا أعرف
4) رفض الإجابة</t>
        </is>
      </c>
      <c r="G69" s="569">
        <f>LEN(F69)</f>
        <v/>
      </c>
      <c r="H69" s="571" t="inlineStr">
        <is>
          <t>Single Choice</t>
        </is>
      </c>
      <c r="I69" s="569" t="inlineStr">
        <is>
          <t>NA</t>
        </is>
      </c>
      <c r="J69" s="5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"hh_size"</t>
        </is>
      </c>
      <c r="K69" s="569" t="inlineStr">
        <is>
          <t>Form Type - Buttons</t>
        </is>
      </c>
      <c r="L69" s="24" t="inlineStr">
        <is>
          <t>NA</t>
        </is>
      </c>
      <c r="M69" s="581" t="inlineStr">
        <is>
          <t>1 = hh_predisp_agricactivity_type
2-4 = hh_size</t>
        </is>
      </c>
      <c r="N69" s="482" t="n"/>
      <c r="O69" s="572" t="inlineStr">
        <is>
          <t>If hh_disp_agricactivity = 1, go to hh_disp_agricactivity_type; otherwise, go to hh_size.</t>
        </is>
      </c>
      <c r="P69" s="24" t="inlineStr"/>
      <c r="Q69" s="19" t="n"/>
      <c r="R69" s="483" t="n"/>
      <c r="S69" s="54" t="n"/>
      <c r="U69" s="484" t="inlineStr">
        <is>
          <t>no</t>
        </is>
      </c>
      <c r="V69" s="612" t="n"/>
      <c r="Y69" s="639" t="n"/>
      <c r="Z69" s="639" t="n"/>
      <c r="AA69" s="54" t="inlineStr"/>
      <c r="AI69" s="486" t="n"/>
    </row>
    <row r="70" ht="162" customFormat="1" customHeight="1" s="113">
      <c r="A70" s="18">
        <f>A69+1</f>
        <v/>
      </c>
      <c r="B70" s="480" t="inlineStr">
        <is>
          <t>hh_predisp_agricactivity_type</t>
        </is>
      </c>
      <c r="C70" s="481" t="inlineStr">
        <is>
          <t>hh_predisp_agricactivity_type
1)hh_predisp_crpprod
2)hh_predisp_lsprod
3)hh_predisp_fishprod
4)hh_predisp_dk
5)hh_predisp_ref</t>
        </is>
      </c>
      <c r="D70" s="556" t="inlineStr">
        <is>
          <t>What type of agricultural activities were they? 
[OPERATOR: MULTIPLE RESPONSES POSSIBLE.]
1)Crop production
2) Livestock production
3)Fisheries or aquaculture production
4)DON'T KNOW
5)REFUSED</t>
        </is>
      </c>
      <c r="E70" s="569">
        <f>LEN(D70)</f>
        <v/>
      </c>
      <c r="F70" s="570"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70" s="569">
        <f>LEN(F70)</f>
        <v/>
      </c>
      <c r="H70" s="571" t="inlineStr">
        <is>
          <t>Select All That Apply</t>
        </is>
      </c>
      <c r="I70" s="569" t="inlineStr">
        <is>
          <t>NA</t>
        </is>
      </c>
      <c r="J70" s="569" t="inlineStr">
        <is>
          <t>NA</t>
        </is>
      </c>
      <c r="K70" s="569" t="inlineStr">
        <is>
          <t>Form Type - Checklist
4,5= IsNone</t>
        </is>
      </c>
      <c r="L70" s="568" t="inlineStr">
        <is>
          <t>1)hh_predisp_crpprod
2)hh_predisp_lsprod
3)hh_predisp_fishprod
4)hh_predisp_dk
5)hh_predisp_ref</t>
        </is>
      </c>
      <c r="M70" s="581" t="inlineStr">
        <is>
          <t>1-5 = crp_returnee_plotaccess</t>
        </is>
      </c>
      <c r="N70" s="482" t="inlineStr">
        <is>
          <t>GeoPoll  [10/14/2025] Changed the skip pattern here from "hh_size" to " crp_returnee_plotaccess"</t>
        </is>
      </c>
      <c r="O70" s="572" t="inlineStr">
        <is>
          <t>For any response, go to hh_size.</t>
        </is>
      </c>
      <c r="P70" s="24" t="inlineStr"/>
      <c r="Q70" s="19" t="n"/>
      <c r="R70" s="483" t="n"/>
      <c r="S70" s="54" t="n"/>
      <c r="U70" s="484" t="inlineStr">
        <is>
          <t>no</t>
        </is>
      </c>
      <c r="V70" s="612" t="n"/>
      <c r="Y70" s="639" t="n"/>
      <c r="Z70" s="639" t="n"/>
      <c r="AA70" s="54" t="inlineStr"/>
      <c r="AI70" s="486" t="n"/>
    </row>
    <row r="71" ht="180" customFormat="1" customHeight="1" s="218">
      <c r="A71" s="18">
        <f>A70+1</f>
        <v/>
      </c>
      <c r="B71" s="234" t="inlineStr">
        <is>
          <t>crp_returnee_plotaccess</t>
        </is>
      </c>
      <c r="C71" s="235" t="inlineStr">
        <is>
          <t>crp_returnee_plotaccess</t>
        </is>
      </c>
      <c r="D71" s="582" t="inlineStr">
        <is>
          <t>If you used to cultivate land in this area, fled and have since returned, are you able to access the same land as before?
[OPERATOR: SINGLE RESPONSE.]
1)YES
2)NO
3)I never had land here
4)DON'T KNOW
5)REFUSED</t>
        </is>
      </c>
      <c r="E71" s="313">
        <f>LEN(D71)</f>
        <v/>
      </c>
      <c r="F71" s="583"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71" s="292">
        <f>LEN(F71)</f>
        <v/>
      </c>
      <c r="H71" s="576" t="inlineStr">
        <is>
          <t>Single Choice</t>
        </is>
      </c>
      <c r="I71" s="313" t="inlineStr">
        <is>
          <t>NA</t>
        </is>
      </c>
      <c r="J71" s="232" t="inlineStr">
        <is>
          <t>Send if "hh_residencetype" "Equals" "Returnee" if not satisfied go to "hh_size"</t>
        </is>
      </c>
      <c r="K71" s="232" t="inlineStr">
        <is>
          <t>Form Type - Buttons</t>
        </is>
      </c>
      <c r="L71" s="236" t="inlineStr">
        <is>
          <t>NA</t>
        </is>
      </c>
      <c r="M71" s="237" t="inlineStr">
        <is>
          <t>1 = hh_size
2 = crp_orig_plot
3-5 =hh_size</t>
        </is>
      </c>
      <c r="N71" s="354" t="n"/>
      <c r="O71" s="563" t="inlineStr">
        <is>
          <t>Asked only to respondents that indicated returnees as head of household, if non-returnee, proceed to hh_size.
If crp_returnee_plotaccess = 1,3-5, go to hh_size
if crp_returnee_plotaccess = 2, go to crp_orig_plot</t>
        </is>
      </c>
      <c r="P71" s="215" t="inlineStr"/>
      <c r="Q71" s="238" t="n"/>
      <c r="R71" s="317" t="n"/>
      <c r="S71" s="217" t="n"/>
      <c r="U71" s="239" t="inlineStr">
        <is>
          <t>no</t>
        </is>
      </c>
      <c r="V71" s="220" t="n"/>
      <c r="Y71" s="641" t="n"/>
      <c r="Z71" s="641" t="n"/>
      <c r="AA71" s="217" t="inlineStr"/>
    </row>
    <row r="72" ht="245.15" customFormat="1" customHeight="1" s="59">
      <c r="A72" s="18">
        <f>A71+1</f>
        <v/>
      </c>
      <c r="B72" s="584" t="inlineStr">
        <is>
          <t>crp_orig_plot</t>
        </is>
      </c>
      <c r="C72" s="479" t="inlineStr">
        <is>
          <t>crp_orig_plot_
1)crp_origplot_occup_comm
2)crp_origplot_occup_displacedppl
3)crp_origplot_occup_armedgps
4)crp_plot_unsafe_armedgps
5)crp_plot_unsafe_explosives
6)crp_orig_plot_distance
7)crp_orig_plot_other
8)crp_orig_plot_dk
9)crp_orig_plot_ref</t>
        </is>
      </c>
      <c r="D72" s="58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72" s="179">
        <f>LEN(D72)</f>
        <v/>
      </c>
      <c r="F72" s="586"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
9) رفض الإجابة</t>
        </is>
      </c>
      <c r="G72" s="569">
        <f>LEN(F72)</f>
        <v/>
      </c>
      <c r="H72" s="566" t="inlineStr">
        <is>
          <t>Open Ended-Select All That Apply</t>
        </is>
      </c>
      <c r="I72" s="569" t="inlineStr">
        <is>
          <t>NA</t>
        </is>
      </c>
      <c r="J72" s="569" t="inlineStr">
        <is>
          <t>NA</t>
        </is>
      </c>
      <c r="K72" s="569" t="inlineStr">
        <is>
          <t>Form Type - Checklist
8,9 = IsNone</t>
        </is>
      </c>
      <c r="L72" s="25" t="inlineStr">
        <is>
          <t>1)crp_origplot_occup_comm
2)crp_origplot_occup_displacedppl
3)crp_origplot_occup_armedgps
4)crp_plot_unsafe_armedgps
5)crp_plot_unsafe_explosives
6)crp_orig_plot_distance
7)crp_orig_plot_other
8)crp_orig_plot_dk
9)crp_orig_plot_ref</t>
        </is>
      </c>
      <c r="M72" s="581" t="inlineStr">
        <is>
          <t>1-9 = hh_size</t>
        </is>
      </c>
      <c r="N72" s="477" t="inlineStr">
        <is>
          <t xml:space="preserve">GeoPoll [10/14/2025]. Updated the skip patterns range from 8 to 9. </t>
        </is>
      </c>
      <c r="O72" s="572" t="inlineStr">
        <is>
          <t>For any response, go to hh_size.</t>
        </is>
      </c>
      <c r="P72" s="24" t="inlineStr"/>
      <c r="Q72" s="9" t="n"/>
      <c r="R72" s="300">
        <f>'[1]Additional information'!$D$17</f>
        <v/>
      </c>
      <c r="S72" s="53" t="n"/>
      <c r="U72" s="61" t="inlineStr">
        <is>
          <t>no</t>
        </is>
      </c>
      <c r="V72" s="613" t="n"/>
      <c r="Y72" s="632" t="n"/>
      <c r="Z72" s="632">
        <f>IF(Y72="","",Y72*R72)</f>
        <v/>
      </c>
      <c r="AA72" s="53" t="inlineStr"/>
    </row>
    <row r="73" ht="142.5" customFormat="1" customHeight="1" s="218">
      <c r="A73" s="18">
        <f>A72+1</f>
        <v/>
      </c>
      <c r="B73" s="290" t="inlineStr">
        <is>
          <t>hh_size</t>
        </is>
      </c>
      <c r="C73" s="579" t="inlineStr">
        <is>
          <t>hh_size</t>
        </is>
      </c>
      <c r="D73" s="580"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3" s="292">
        <f>LEN(D73)</f>
        <v/>
      </c>
      <c r="F73" s="557"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73" s="292">
        <f>LEN(F73)</f>
        <v/>
      </c>
      <c r="H73" s="579" t="inlineStr">
        <is>
          <t>Range</t>
        </is>
      </c>
      <c r="I73" s="292" t="inlineStr">
        <is>
          <t>NA</t>
        </is>
      </c>
      <c r="J73" s="292" t="inlineStr">
        <is>
          <t>NA</t>
        </is>
      </c>
      <c r="K73" s="292" t="inlineStr">
        <is>
          <t>Form Type - TextBox</t>
        </is>
      </c>
      <c r="L73" s="215" t="inlineStr">
        <is>
          <t>NA</t>
        </is>
      </c>
      <c r="M73" s="230" t="inlineStr">
        <is>
          <t>1-50 = o_hh_asset
88-88 = o_hh_asset
99-99 = o_hh_asset</t>
        </is>
      </c>
      <c r="N73" s="353" t="n"/>
      <c r="O73" s="578" t="inlineStr">
        <is>
          <t>For any response, go to [next question]</t>
        </is>
      </c>
      <c r="P73" s="240" t="inlineStr">
        <is>
          <t>For any response, go to  o_hh_asset</t>
        </is>
      </c>
      <c r="Q73" s="238" t="n"/>
      <c r="R73" s="317">
        <f>1</f>
        <v/>
      </c>
      <c r="S73" s="217" t="n"/>
      <c r="U73" s="219" t="inlineStr">
        <is>
          <t>no</t>
        </is>
      </c>
      <c r="V73" s="220" t="n"/>
      <c r="Y73" s="633" t="n">
        <v>16.90229415893555</v>
      </c>
      <c r="Z73" s="633">
        <f>IF(Y73="","",Y73*R73)</f>
        <v/>
      </c>
      <c r="AA73" s="217" t="inlineStr"/>
    </row>
    <row r="74" ht="409.5" customFormat="1" customHeight="1" s="59">
      <c r="A74" s="18">
        <f>A73+1</f>
        <v/>
      </c>
      <c r="B74" s="567" t="inlineStr">
        <is>
          <t>o_hh_asset</t>
        </is>
      </c>
      <c r="C74" s="568"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D74" s="556" t="inlineStr">
        <is>
          <t>Does your household own any of the following assets? 
[OPERATOR: MULTIPLE RESPONSES POSSIBLE. READ ANSWER OPTIONS OUT LOUD.]
1)Land
2)Farm/agriculture tools [manual items like a plough/ sickle/ rake etc.]
3)Farm/agriculture machinery [e.g. tractor/ power harvester/ etc.]
4)Water/irrigation pump
5)Processing assets [e.g. grinding/crushing machine/ mill/ oil press]
6)Fishing net
7)Fishing boat
8)Livestock [cattle/goats/sheep]
9)Taxi/ Truck/Van [small truck]
10)Car
11)Motorbike / scooter / auto rickshaw
12)Bicycle
13)Sewing machine or weaving tool
14)Other productive assets
15)Do not own any productive assets
16)House/Apartment
17)Mattress or sofa
18)Stove
19)Fridge
20)Television
21)Radio
22)Mobile phone
23)Internet
24)Bank savings/jewellery/other savings
25)Generator
26)Electric bulbs/solar panels/batteries 
27)Other household assets
28)Do not own any household assets
29)DON’T KNOW
30)REFUSED</t>
        </is>
      </c>
      <c r="E74" s="569">
        <f>LEN(D74)</f>
        <v/>
      </c>
      <c r="F74" s="57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74" s="569">
        <f>LEN(F74)</f>
        <v/>
      </c>
      <c r="H74" s="571" t="inlineStr">
        <is>
          <t>Select All That Apply</t>
        </is>
      </c>
      <c r="I74" s="569" t="inlineStr">
        <is>
          <t>NA</t>
        </is>
      </c>
      <c r="J74" s="569" t="inlineStr">
        <is>
          <t>NA</t>
        </is>
      </c>
      <c r="K74" s="569" t="inlineStr">
        <is>
          <t>Form Type - Checklist
28,29,30 = IsNone</t>
        </is>
      </c>
      <c r="L74" s="24"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M74" s="581" t="inlineStr">
        <is>
          <t>1-30 =  hh_maritalstat</t>
        </is>
      </c>
      <c r="N74" s="508" t="inlineStr">
        <is>
          <t>GeoPoll [10/14/2025]. Updated the Qnames and codes to align with R11 and R12. The validated questionnaire for R13 had the following codes/Qnames:hh_asset_prod_
1)hh_asset_prod_process
2)hh_asset_prod_farmmach
3)hh_asset_prod_sewing
4)hh_asset_prod_taxi
5)hh_asset_prod_truck
6)hh_asset_prod_other
7) hh_asset_prod_none
8) hh_asset_prod_dk
9) hh_asset_prod_ref</t>
        </is>
      </c>
      <c r="O74" s="572" t="inlineStr">
        <is>
          <t>For any response, go to [hh_maritalstat]</t>
        </is>
      </c>
      <c r="P74" s="24" t="inlineStr">
        <is>
          <t>1-30 =  hh_maritalstat</t>
        </is>
      </c>
      <c r="Q74" s="478" t="inlineStr">
        <is>
          <t xml:space="preserve">This wealth indicator may be useful to Identify poor households in middle income countries. It could be interesting for F2F surveys, to be used as baseline reference for follow-up surveys. </t>
        </is>
      </c>
      <c r="R74" s="300">
        <f>1</f>
        <v/>
      </c>
      <c r="S74" s="53" t="n"/>
      <c r="U74" s="61" t="inlineStr">
        <is>
          <t>no</t>
        </is>
      </c>
      <c r="V74" s="613" t="n"/>
      <c r="Y74" s="632" t="n">
        <v>16.95780372619629</v>
      </c>
      <c r="Z74" s="632">
        <f>IF(Y74="","",Y74*R74)</f>
        <v/>
      </c>
      <c r="AA74" s="53" t="inlineStr"/>
    </row>
    <row r="75" ht="191.25" customFormat="1" customHeight="1" s="218">
      <c r="A75" s="18">
        <f>A74+1</f>
        <v/>
      </c>
      <c r="B75" s="242" t="inlineStr">
        <is>
          <t>hh_maritalstat</t>
        </is>
      </c>
      <c r="C75" s="243" t="inlineStr">
        <is>
          <t>hh_maritalstat</t>
        </is>
      </c>
      <c r="D75" s="244" t="inlineStr">
        <is>
          <t>What is the head of household’s current marital status? 
[OPERATOR: SINGLE RESPONSE.]
1)Single / never married 
2)Married
3)Separated
4)Divorced
5)Widowed
6)DON’T KNOW
7)REFUSED</t>
        </is>
      </c>
      <c r="E75" s="245">
        <f>LEN(D75)</f>
        <v/>
      </c>
      <c r="F75" s="246" t="inlineStr">
        <is>
          <t>ما هي الحالة الاجتماعية الحالية لرب الأسرة؟
[المشغل: استجابة واحدة.]
1) أعزب / لم يتزوج قط
2) متزوج
3) منفصل
4) مطلق
5) أرمل
6) لا أعرف
7) رفض الإجابة</t>
        </is>
      </c>
      <c r="G75" s="245">
        <f>LEN(F75)</f>
        <v/>
      </c>
      <c r="H75" s="579" t="inlineStr">
        <is>
          <t>Single Choice</t>
        </is>
      </c>
      <c r="I75" s="247" t="inlineStr">
        <is>
          <t>NA</t>
        </is>
      </c>
      <c r="J75" s="247" t="inlineStr">
        <is>
          <t>NA</t>
        </is>
      </c>
      <c r="K75" s="292" t="inlineStr">
        <is>
          <t>Form Type - Buttons</t>
        </is>
      </c>
      <c r="L75" s="215" t="inlineStr">
        <is>
          <t>NA</t>
        </is>
      </c>
      <c r="M75" s="230" t="inlineStr">
        <is>
          <t>1-7 = hh_age</t>
        </is>
      </c>
      <c r="N75" s="353" t="n"/>
      <c r="O75" s="578" t="inlineStr">
        <is>
          <t>For any response, go to [next question]</t>
        </is>
      </c>
      <c r="P75" s="215" t="inlineStr">
        <is>
          <t>1-7 = hh_age</t>
        </is>
      </c>
      <c r="Q75" s="248" t="n"/>
      <c r="R75" s="317">
        <f>1</f>
        <v/>
      </c>
      <c r="S75" s="217" t="n"/>
      <c r="U75" s="219" t="inlineStr">
        <is>
          <t>no</t>
        </is>
      </c>
      <c r="V75" s="220" t="n"/>
      <c r="Y75" s="633" t="n">
        <v>9.96186637878418</v>
      </c>
      <c r="Z75" s="633">
        <f>IF(Y75="","",Y75*R75)</f>
        <v/>
      </c>
      <c r="AA75" s="217" t="inlineStr"/>
    </row>
    <row r="76" ht="183.75" customFormat="1" customHeight="1" s="218" thickBot="1">
      <c r="A76" s="18">
        <f>A75+1</f>
        <v/>
      </c>
      <c r="B76" s="231" t="inlineStr">
        <is>
          <t>hh_age</t>
        </is>
      </c>
      <c r="C76" s="233" t="inlineStr">
        <is>
          <t>hh_age</t>
        </is>
      </c>
      <c r="D76" s="249" t="inlineStr">
        <is>
          <t>How old is the head of household? 
[OPERATOR: SINGLE RESPONSE.]
1)Under 18
2)18 to 40 
3)41 to 65 
4)Over 65
5)DON'T KNOW
6)REFUSED</t>
        </is>
      </c>
      <c r="E76" s="245">
        <f>LEN(D76)</f>
        <v/>
      </c>
      <c r="F76" s="250" t="inlineStr">
        <is>
          <t>كم عمر رب الاسرة؟
[المشغل: استجابة واحدة.]
1) أقل من 18 عامًا
2) بين 18 و 40 عامًا
3) بين 41 و 65 عامًا
4) فوق 65 عامًا
5) لا أعرف
6) رفض الإجابة</t>
        </is>
      </c>
      <c r="G76" s="245">
        <f>LEN(F76)</f>
        <v/>
      </c>
      <c r="H76" s="579" t="inlineStr">
        <is>
          <t>Single Choice</t>
        </is>
      </c>
      <c r="I76" s="245" t="inlineStr">
        <is>
          <t>NA</t>
        </is>
      </c>
      <c r="J76" s="245" t="inlineStr">
        <is>
          <t>NA</t>
        </is>
      </c>
      <c r="K76" s="292" t="inlineStr">
        <is>
          <t>Form Type - Buttons</t>
        </is>
      </c>
      <c r="L76" s="215" t="inlineStr">
        <is>
          <t>NA</t>
        </is>
      </c>
      <c r="M76" s="230" t="inlineStr">
        <is>
          <t>1-6 = income_main</t>
        </is>
      </c>
      <c r="N76" s="353" t="n"/>
      <c r="O76" s="578" t="inlineStr">
        <is>
          <t>For any response, go to [next question]</t>
        </is>
      </c>
      <c r="P76" s="215" t="inlineStr">
        <is>
          <t>1-6 = o_fishery_activity</t>
        </is>
      </c>
      <c r="Q76" s="238" t="n"/>
      <c r="R76" s="317">
        <f>1</f>
        <v/>
      </c>
      <c r="S76" s="217" t="n"/>
      <c r="U76" s="219" t="inlineStr">
        <is>
          <t>no</t>
        </is>
      </c>
      <c r="V76" s="220" t="n"/>
      <c r="Y76" s="633" t="n">
        <v>7.02484130859375</v>
      </c>
      <c r="Z76" s="633">
        <f>IF(Y76="","",Y76*R76)</f>
        <v/>
      </c>
      <c r="AA76" s="217" t="inlineStr"/>
    </row>
    <row r="77" ht="16.4" customFormat="1" customHeight="1" s="149" thickBot="1">
      <c r="A77" s="604" t="inlineStr">
        <is>
          <t>C. INCOME SOURCES, LIVELIHOOD AND SHOCKS</t>
        </is>
      </c>
      <c r="B77" s="629" t="n"/>
      <c r="C77" s="629" t="n"/>
      <c r="D77" s="629" t="n"/>
      <c r="E77" s="629" t="n"/>
      <c r="F77" s="629" t="n"/>
      <c r="G77" s="629" t="n"/>
      <c r="H77" s="629" t="n"/>
      <c r="I77" s="629" t="n"/>
      <c r="J77" s="629" t="n"/>
      <c r="K77" s="629" t="n"/>
      <c r="L77" s="629" t="n"/>
      <c r="M77" s="629" t="n"/>
      <c r="N77" s="629" t="n"/>
      <c r="O77" s="629" t="n"/>
      <c r="P77" s="629" t="n"/>
      <c r="Q77" s="630" t="n"/>
      <c r="R77" s="306" t="n"/>
      <c r="S77" s="151" t="n"/>
      <c r="U77" s="150" t="n"/>
      <c r="V77" s="623" t="n"/>
      <c r="Y77" s="631" t="n"/>
      <c r="Z77" s="631">
        <f>IF(Y77="","",Y77*R77)</f>
        <v/>
      </c>
      <c r="AA77" s="151">
        <f>IF(U77="yes",Z77,"")</f>
        <v/>
      </c>
    </row>
    <row r="78" ht="409.5" customFormat="1" customHeight="1" s="59">
      <c r="A78" s="38">
        <f>A76+1</f>
        <v/>
      </c>
      <c r="B78" s="114" t="inlineStr">
        <is>
          <t>income_main</t>
        </is>
      </c>
      <c r="C78" s="58" t="inlineStr">
        <is>
          <t>income_main</t>
        </is>
      </c>
      <c r="D78" s="57"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78" s="56">
        <f>LEN(D78)</f>
        <v/>
      </c>
      <c r="F78" s="143"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78" s="56">
        <f>LEN(F78)</f>
        <v/>
      </c>
      <c r="H78" s="58" t="inlineStr">
        <is>
          <t>Single Choice</t>
        </is>
      </c>
      <c r="I78" s="56" t="inlineStr">
        <is>
          <t>NA</t>
        </is>
      </c>
      <c r="J78" s="56" t="inlineStr">
        <is>
          <t>NA</t>
        </is>
      </c>
      <c r="K78" s="56" t="inlineStr">
        <is>
          <t>Form Type - Buttons
IsDemographic - income_main</t>
        </is>
      </c>
      <c r="L78" s="100" t="inlineStr">
        <is>
          <t>NA</t>
        </is>
      </c>
      <c r="M78" s="55" t="inlineStr">
        <is>
          <t>1-3 = income_main_crop_check
4 = income_main_ls_check 
5 = income_main_gender
6 = income_main_fish_check 
7-18 = income_main_gender
19-20 = shock</t>
        </is>
      </c>
      <c r="N78" s="195" t="n"/>
      <c r="O78" s="6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P78" s="14" t="inlineStr">
        <is>
          <t>income_main_gender</t>
        </is>
      </c>
      <c r="Q78" s="19" t="n"/>
      <c r="R78" s="306">
        <f>1</f>
        <v/>
      </c>
      <c r="S78" s="53" t="n"/>
      <c r="U78" s="150" t="inlineStr">
        <is>
          <t>yes</t>
        </is>
      </c>
      <c r="V78" s="613" t="n"/>
      <c r="Y78" s="631" t="n">
        <v>31.88833427429199</v>
      </c>
      <c r="Z78" s="631">
        <f>IF(Y78="","",Y78*R78)</f>
        <v/>
      </c>
      <c r="AA78" s="53" t="inlineStr">
        <is>
          <t>31.88833427429199</t>
        </is>
      </c>
    </row>
    <row r="79" ht="147.75" customFormat="1" customHeight="1" s="59">
      <c r="A79" s="38">
        <f>A78+1</f>
        <v/>
      </c>
      <c r="B79" s="114" t="inlineStr">
        <is>
          <t>income_main_crop_check</t>
        </is>
      </c>
      <c r="C79" s="116" t="inlineStr">
        <is>
          <t>income_main_crop_check</t>
        </is>
      </c>
      <c r="D79" s="63" t="inlineStr">
        <is>
          <t>Are the crops sold also produced by you or anyone in your household?
[OPERATOR: SINGLE RESPONSE.]
1)YES
2)NO
3)DON'T KNOW
4)REFUSED</t>
        </is>
      </c>
      <c r="E79" s="56">
        <f>LEN(D79)</f>
        <v/>
      </c>
      <c r="F79" s="143" t="inlineStr">
        <is>
          <t>هل تم إنتاج المحاصيل التي تبيعها أنت أو أي شخص في منزلك أيضًا؟
[المشغل: استجابة واحدة.]
1) نعم
2) لا
3) لا أعرف
4) رفض الإجابة</t>
        </is>
      </c>
      <c r="G79" s="56">
        <f>LEN(F79)</f>
        <v/>
      </c>
      <c r="H79" s="58" t="inlineStr">
        <is>
          <t>Single Choice</t>
        </is>
      </c>
      <c r="I79" s="56" t="inlineStr">
        <is>
          <t>NA</t>
        </is>
      </c>
      <c r="J79" s="56" t="inlineStr">
        <is>
          <t>NA</t>
        </is>
      </c>
      <c r="K79" s="56" t="inlineStr">
        <is>
          <t>Form Type - Buttons</t>
        </is>
      </c>
      <c r="L79" s="100" t="inlineStr">
        <is>
          <t>NA</t>
        </is>
      </c>
      <c r="M79" s="55" t="inlineStr">
        <is>
          <t>1-4 = income_main_gender</t>
        </is>
      </c>
      <c r="N79" s="195" t="n"/>
      <c r="O79" s="62" t="inlineStr">
        <is>
          <t>if income_main_crop_check = 1-4, go to [income_main_comp OR optional question]</t>
        </is>
      </c>
      <c r="P79" s="14" t="inlineStr">
        <is>
          <t>1-4 = income_main_gender</t>
        </is>
      </c>
      <c r="Q79" s="19" t="n"/>
      <c r="R79" s="306">
        <f>1</f>
        <v/>
      </c>
      <c r="S79" s="53" t="n"/>
      <c r="U79" s="150" t="inlineStr">
        <is>
          <t>yes</t>
        </is>
      </c>
      <c r="V79" s="613" t="n"/>
      <c r="Y79" s="631" t="n">
        <v>8</v>
      </c>
      <c r="Z79" s="631">
        <f>IF(Y79="","",Y79*R79)</f>
        <v/>
      </c>
      <c r="AA79" s="53" t="inlineStr">
        <is>
          <t>8</t>
        </is>
      </c>
    </row>
    <row r="80" ht="140.5" customFormat="1" customHeight="1" s="59">
      <c r="A80" s="38">
        <f>A79+1</f>
        <v/>
      </c>
      <c r="B80" s="114" t="inlineStr">
        <is>
          <t>income_main_ls_check</t>
        </is>
      </c>
      <c r="C80" s="116" t="inlineStr">
        <is>
          <t>income_main_ls_check</t>
        </is>
      </c>
      <c r="D80" s="63" t="inlineStr">
        <is>
          <t>Are the livestock or livestock products sold also produced by you or anyone in your household?
[OPERATOR: SINGLE RESPONSE.]
1)YES
2)NO
3)DON'T KNOW
4)REFUSED</t>
        </is>
      </c>
      <c r="E80" s="56">
        <f>LEN(D80)</f>
        <v/>
      </c>
      <c r="F80" s="143" t="inlineStr">
        <is>
          <t>هل تم إنتاج المواشي ومنتجاتها التي تبيعها أنت أو أي شخص في منزلك أيضًا؟
[المشغل: استجابة واحدة.]
1) نعم
2) لا
3) لا أعرف
4) رفض الإجابة</t>
        </is>
      </c>
      <c r="G80" s="56">
        <f>LEN(F80)</f>
        <v/>
      </c>
      <c r="H80" s="58" t="inlineStr">
        <is>
          <t>Single Choice</t>
        </is>
      </c>
      <c r="I80" s="56" t="inlineStr">
        <is>
          <t>NA</t>
        </is>
      </c>
      <c r="J80" s="56" t="inlineStr">
        <is>
          <t>NA</t>
        </is>
      </c>
      <c r="K80" s="56" t="inlineStr">
        <is>
          <t>Form Type - Buttons</t>
        </is>
      </c>
      <c r="L80" s="100" t="inlineStr">
        <is>
          <t>NA</t>
        </is>
      </c>
      <c r="M80" s="55" t="inlineStr">
        <is>
          <t>1-4 = income_main_gender</t>
        </is>
      </c>
      <c r="N80" s="195" t="n"/>
      <c r="O80" s="62" t="inlineStr">
        <is>
          <t>if income_main_ls_check = 1-4, go to [income_main_comp OR optional question]</t>
        </is>
      </c>
      <c r="P80" s="14" t="inlineStr">
        <is>
          <t>1-4 = income_main_gender</t>
        </is>
      </c>
      <c r="Q80" s="19" t="n"/>
      <c r="R80" s="306">
        <f>1</f>
        <v/>
      </c>
      <c r="S80" s="53" t="n"/>
      <c r="U80" s="150" t="inlineStr">
        <is>
          <t>yes</t>
        </is>
      </c>
      <c r="V80" s="613" t="n"/>
      <c r="Y80" s="631" t="n">
        <v>8</v>
      </c>
      <c r="Z80" s="631">
        <f>IF(Y80="","",Y80*R80)</f>
        <v/>
      </c>
      <c r="AA80" s="53" t="inlineStr">
        <is>
          <t>8</t>
        </is>
      </c>
    </row>
    <row r="81" ht="171" customFormat="1" customHeight="1" s="59">
      <c r="A81" s="38">
        <f>A80+1</f>
        <v/>
      </c>
      <c r="B81" s="114" t="inlineStr">
        <is>
          <t>income_main_fish_check</t>
        </is>
      </c>
      <c r="C81" s="116" t="inlineStr">
        <is>
          <t>income_main_fish_check</t>
        </is>
      </c>
      <c r="D81" s="63" t="inlineStr">
        <is>
          <t>Are the fish or aquatic products sold also captured/harvested by you or anyone in your household?
[OPERATOR: SINGLE RESPONSE.]
1)YES
2)NO
3)DON'T KNOW
4)REFUSED</t>
        </is>
      </c>
      <c r="E81" s="56">
        <f>LEN(D81)</f>
        <v/>
      </c>
      <c r="F81"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1" s="56">
        <f>LEN(F81)</f>
        <v/>
      </c>
      <c r="H81" s="58" t="inlineStr">
        <is>
          <t>Single Choice</t>
        </is>
      </c>
      <c r="I81" s="56" t="inlineStr">
        <is>
          <t>NA</t>
        </is>
      </c>
      <c r="J81" s="56" t="inlineStr">
        <is>
          <t>NA</t>
        </is>
      </c>
      <c r="K81" s="56" t="inlineStr">
        <is>
          <t>Form Type - Buttons</t>
        </is>
      </c>
      <c r="L81" s="100" t="inlineStr">
        <is>
          <t>NA</t>
        </is>
      </c>
      <c r="M81" s="55" t="inlineStr">
        <is>
          <t>1-4 = income_main_gender</t>
        </is>
      </c>
      <c r="N81" s="195" t="n"/>
      <c r="O81" s="62" t="inlineStr">
        <is>
          <t>if income_main_fish_check = 1-4, go to [income_main_comp OR optional question]</t>
        </is>
      </c>
      <c r="P81" s="14" t="inlineStr">
        <is>
          <t>1-4 = income_main_gender</t>
        </is>
      </c>
      <c r="Q81" s="19" t="n"/>
      <c r="R81" s="306">
        <f>1</f>
        <v/>
      </c>
      <c r="S81" s="53" t="n"/>
      <c r="U81" s="150" t="inlineStr">
        <is>
          <t>yes</t>
        </is>
      </c>
      <c r="V81" s="613" t="n"/>
      <c r="Y81" s="631" t="n">
        <v>8</v>
      </c>
      <c r="Z81" s="631">
        <f>IF(Y81="","",Y81*R81)</f>
        <v/>
      </c>
      <c r="AA81" s="53" t="inlineStr">
        <is>
          <t>8</t>
        </is>
      </c>
    </row>
    <row r="82" ht="177.75" customFormat="1" customHeight="1" s="218">
      <c r="A82" s="38">
        <f>A81+1</f>
        <v/>
      </c>
      <c r="B82" s="251" t="inlineStr">
        <is>
          <t>income_main_gender</t>
        </is>
      </c>
      <c r="C82" s="252" t="inlineStr">
        <is>
          <t>income_main_gender</t>
        </is>
      </c>
      <c r="D82" s="253" t="inlineStr">
        <is>
          <t>What is the gender of the household member[s] generating income from this source? 
[OPERATOR: SINGLE RESPONSE.]
1)Male
2)Female
3)Joint [both male &amp; female]
4)DON'T KNOW
5)REFUSED</t>
        </is>
      </c>
      <c r="E82" s="254">
        <f>LEN(D82)</f>
        <v/>
      </c>
      <c r="F82"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2" s="292">
        <f>LEN(F82)</f>
        <v/>
      </c>
      <c r="H82" s="255" t="inlineStr">
        <is>
          <t>Single Choice</t>
        </is>
      </c>
      <c r="I82" s="254" t="inlineStr">
        <is>
          <t>NA</t>
        </is>
      </c>
      <c r="J82" s="254" t="inlineStr">
        <is>
          <t>NA</t>
        </is>
      </c>
      <c r="K82" s="254" t="inlineStr">
        <is>
          <t>Form Type - Buttons</t>
        </is>
      </c>
      <c r="L82" s="215" t="inlineStr">
        <is>
          <t>NA</t>
        </is>
      </c>
      <c r="M82" s="256" t="inlineStr">
        <is>
          <t>1-5 = income_main_comp</t>
        </is>
      </c>
      <c r="N82" s="355" t="n"/>
      <c r="O82" s="257" t="inlineStr">
        <is>
          <t>if income_main_gender = 1-5, go to income_main_comp or optional question</t>
        </is>
      </c>
      <c r="P82" s="257" t="inlineStr">
        <is>
          <t>1-5 = income_main_comp</t>
        </is>
      </c>
      <c r="Q82" s="216" t="n"/>
      <c r="R82" s="317">
        <f>1</f>
        <v/>
      </c>
      <c r="S82" s="217" t="n"/>
      <c r="U82" s="219" t="inlineStr">
        <is>
          <t>no</t>
        </is>
      </c>
      <c r="V82" s="220" t="n"/>
      <c r="Y82" s="633" t="n">
        <v>4.787401676177979</v>
      </c>
      <c r="Z82" s="633">
        <f>IF(Y82="","",Y82*R82)</f>
        <v/>
      </c>
      <c r="AA82" s="217" t="inlineStr"/>
    </row>
    <row r="83" ht="234.75" customFormat="1" customHeight="1" s="59">
      <c r="A83" s="38">
        <f>A82+1</f>
        <v/>
      </c>
      <c r="B83" s="182" t="inlineStr">
        <is>
          <t>income_main_comp</t>
        </is>
      </c>
      <c r="C83" s="58" t="inlineStr">
        <is>
          <t>income_main_comp</t>
        </is>
      </c>
      <c r="D83" s="559"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83" s="179">
        <f>LEN(D83)</f>
        <v/>
      </c>
      <c r="F83" s="559"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3" s="179">
        <f>LEN(F83)</f>
        <v/>
      </c>
      <c r="H83" s="186" t="inlineStr">
        <is>
          <t>Single Choice</t>
        </is>
      </c>
      <c r="I83" s="179" t="inlineStr">
        <is>
          <t>NA</t>
        </is>
      </c>
      <c r="J83" s="179" t="inlineStr">
        <is>
          <t>NA</t>
        </is>
      </c>
      <c r="K83" s="179" t="inlineStr">
        <is>
          <t>Form Type - Buttons</t>
        </is>
      </c>
      <c r="L83" s="100" t="inlineStr">
        <is>
          <t>NA</t>
        </is>
      </c>
      <c r="M83" s="74" t="inlineStr">
        <is>
          <t>1-7= income_sec</t>
        </is>
      </c>
      <c r="N83" s="356" t="n"/>
      <c r="O83" s="74" t="inlineStr">
        <is>
          <t>if income_main_comp = 1-7, go to income_sec</t>
        </is>
      </c>
      <c r="P83" s="20" t="inlineStr"/>
      <c r="Q83" s="9" t="n"/>
      <c r="R83" s="306">
        <f>1</f>
        <v/>
      </c>
      <c r="S83" s="53" t="n"/>
      <c r="U83" s="150" t="inlineStr">
        <is>
          <t>yes</t>
        </is>
      </c>
      <c r="V83" s="613" t="n"/>
      <c r="Y83" s="631" t="n">
        <v>22.1262149810791</v>
      </c>
      <c r="Z83" s="631">
        <f>IF(Y83="","",Y83*R83)</f>
        <v/>
      </c>
      <c r="AA83" s="53" t="inlineStr">
        <is>
          <t>22.1262149810791</t>
        </is>
      </c>
    </row>
    <row r="84" ht="408.75" customFormat="1" customHeight="1" s="59">
      <c r="A84" s="38">
        <f>A83+1</f>
        <v/>
      </c>
      <c r="B84" s="182" t="inlineStr">
        <is>
          <t>income_sec</t>
        </is>
      </c>
      <c r="C84" s="58" t="inlineStr">
        <is>
          <t>income_sec</t>
        </is>
      </c>
      <c r="D84" s="559"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84" s="179">
        <f>LEN(D84)</f>
        <v/>
      </c>
      <c r="F84" s="559"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84" s="179">
        <f>LEN(F84)</f>
        <v/>
      </c>
      <c r="H84" s="186" t="inlineStr">
        <is>
          <t>Single Choice</t>
        </is>
      </c>
      <c r="I84" s="179" t="inlineStr">
        <is>
          <t>NA</t>
        </is>
      </c>
      <c r="J84" s="179" t="inlineStr">
        <is>
          <t>NA</t>
        </is>
      </c>
      <c r="K84" s="179" t="inlineStr">
        <is>
          <t>Form Type - Buttons
exclude selected "income_main"
IsDemographic - income_sec</t>
        </is>
      </c>
      <c r="L84" s="100" t="inlineStr">
        <is>
          <t>NA</t>
        </is>
      </c>
      <c r="M84" s="55" t="inlineStr">
        <is>
          <t>1-3 = income_sec_crop_check
4 = income_sec_ls_check
5 = income_sec_gender
6 = income_sec_fish_check
7-18 = income_sec_gender
19-21 = shock</t>
        </is>
      </c>
      <c r="N84" s="195" t="n"/>
      <c r="O84" s="6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P84" s="14" t="inlineStr">
        <is>
          <t>income_sec_gender</t>
        </is>
      </c>
      <c r="Q84" s="9" t="n"/>
      <c r="R84" s="306">
        <f>1</f>
        <v/>
      </c>
      <c r="S84" s="53" t="n"/>
      <c r="U84" s="150" t="inlineStr">
        <is>
          <t>yes</t>
        </is>
      </c>
      <c r="V84" s="613" t="n"/>
      <c r="Y84" s="631" t="n">
        <v>18.71065330505371</v>
      </c>
      <c r="Z84" s="631">
        <f>IF(Y84="","",Y84*R84)</f>
        <v/>
      </c>
      <c r="AA84" s="53" t="inlineStr">
        <is>
          <t>18.71065330505371</t>
        </is>
      </c>
    </row>
    <row r="85" ht="182.15" customFormat="1" customHeight="1" s="113">
      <c r="A85" s="38">
        <f>A84+1</f>
        <v/>
      </c>
      <c r="B85" s="114" t="inlineStr">
        <is>
          <t>income_sec_crop_check</t>
        </is>
      </c>
      <c r="C85" s="116" t="inlineStr">
        <is>
          <t>income_sec_crop_check</t>
        </is>
      </c>
      <c r="D85" s="63" t="inlineStr">
        <is>
          <t>Are the crops sold also produced by you or anyone in your household?
[OPERATOR: SINGLE RESPONSE.]
1)YES
2)NO
3)DON'T KNOW
4)REFUSED</t>
        </is>
      </c>
      <c r="E85" s="56">
        <f>LEN(D85)</f>
        <v/>
      </c>
      <c r="F85" s="143" t="inlineStr">
        <is>
          <t>هل تم إنتاج المحاصيل التي تبيعها أنت أو أي شخص في منزلك أيضًا؟
[المشغل: استجابة واحدة.]
1) نعم
2) لا
3) لا أعرف
4) رفض الإجابة</t>
        </is>
      </c>
      <c r="G85" s="179">
        <f>LEN(F85)</f>
        <v/>
      </c>
      <c r="H85" s="58" t="inlineStr">
        <is>
          <t>Single Choice</t>
        </is>
      </c>
      <c r="I85" s="56" t="inlineStr">
        <is>
          <t>NA</t>
        </is>
      </c>
      <c r="J85" s="56" t="inlineStr">
        <is>
          <t>NA</t>
        </is>
      </c>
      <c r="K85" s="56" t="inlineStr">
        <is>
          <t>Form Type - Buttons</t>
        </is>
      </c>
      <c r="L85" s="100" t="inlineStr">
        <is>
          <t>NA</t>
        </is>
      </c>
      <c r="M85" s="55" t="inlineStr">
        <is>
          <t>1-4 = income_sec_gender</t>
        </is>
      </c>
      <c r="N85" s="195" t="n"/>
      <c r="O85" s="62" t="inlineStr">
        <is>
          <t>if income_sec_crop_check = 1-4, go to [income_sec_comp OR optional question]</t>
        </is>
      </c>
      <c r="P85" s="14" t="inlineStr">
        <is>
          <t>1-4 = income_sec_gender</t>
        </is>
      </c>
      <c r="Q85" s="19" t="n"/>
      <c r="R85" s="322">
        <f>1</f>
        <v/>
      </c>
      <c r="S85" s="54" t="n"/>
      <c r="U85" s="153" t="inlineStr">
        <is>
          <t>yes</t>
        </is>
      </c>
      <c r="V85" s="612" t="n"/>
      <c r="Y85" s="642" t="n">
        <v>8</v>
      </c>
      <c r="Z85" s="642">
        <f>IF(Y85="","",Y85*R85)</f>
        <v/>
      </c>
      <c r="AA85" s="54" t="inlineStr">
        <is>
          <t>8</t>
        </is>
      </c>
    </row>
    <row r="86" ht="182.15" customFormat="1" customHeight="1" s="113">
      <c r="A86" s="38">
        <f>A85+1</f>
        <v/>
      </c>
      <c r="B86" s="114" t="inlineStr">
        <is>
          <t>income_sec_ls_check</t>
        </is>
      </c>
      <c r="C86" s="116" t="inlineStr">
        <is>
          <t>income_sec_ls_check</t>
        </is>
      </c>
      <c r="D86" s="63" t="inlineStr">
        <is>
          <t>Are the livestock or livestock products sold also produced by you or anyone in your household?
[OPERATOR: SINGLE RESPONSE.]
1)YES
2)NO
3)DON'T KNOW
4)REFUSED</t>
        </is>
      </c>
      <c r="E86" s="56">
        <f>LEN(D86)</f>
        <v/>
      </c>
      <c r="F86" s="143" t="inlineStr">
        <is>
          <t>هل تم إنتاج المواشي ومنتجاتها التي تبيعها أنت أو أي شخص في منزلك أيضًا؟
[المشغل: استجابة واحدة.]
1) نعم
2) لا
3) لا أعرف
4) رفض الإجابة</t>
        </is>
      </c>
      <c r="G86" s="179">
        <f>LEN(F86)</f>
        <v/>
      </c>
      <c r="H86" s="58" t="inlineStr">
        <is>
          <t>Single Choice</t>
        </is>
      </c>
      <c r="I86" s="56" t="inlineStr">
        <is>
          <t>NA</t>
        </is>
      </c>
      <c r="J86" s="56" t="inlineStr">
        <is>
          <t>NA</t>
        </is>
      </c>
      <c r="K86" s="56" t="inlineStr">
        <is>
          <t>Form Type - Buttons</t>
        </is>
      </c>
      <c r="L86" s="100" t="inlineStr">
        <is>
          <t>NA</t>
        </is>
      </c>
      <c r="M86" s="55" t="inlineStr">
        <is>
          <t>1-4 = income_sec_gender</t>
        </is>
      </c>
      <c r="N86" s="195" t="n"/>
      <c r="O86" s="62" t="inlineStr">
        <is>
          <t>if income_sec_ls_check = 1-4, go to [income_sec_comp OR optional question]</t>
        </is>
      </c>
      <c r="P86" s="14" t="inlineStr">
        <is>
          <t>1-4 = income_sec_gender</t>
        </is>
      </c>
      <c r="Q86" s="19" t="n"/>
      <c r="R86" s="322">
        <f>1</f>
        <v/>
      </c>
      <c r="S86" s="54" t="n"/>
      <c r="U86" s="153" t="inlineStr">
        <is>
          <t>yes</t>
        </is>
      </c>
      <c r="V86" s="612" t="n"/>
      <c r="Y86" s="642" t="n">
        <v>8</v>
      </c>
      <c r="Z86" s="642">
        <f>IF(Y86="","",Y86*R86)</f>
        <v/>
      </c>
      <c r="AA86" s="54" t="inlineStr">
        <is>
          <t>8</t>
        </is>
      </c>
    </row>
    <row r="87" ht="182.15" customFormat="1" customHeight="1" s="59">
      <c r="A87" s="38">
        <f>A86+1</f>
        <v/>
      </c>
      <c r="B87" s="114" t="inlineStr">
        <is>
          <t>income_sec_fish_check</t>
        </is>
      </c>
      <c r="C87" s="116" t="inlineStr">
        <is>
          <t>income_sec_fish_check</t>
        </is>
      </c>
      <c r="D87" s="63" t="inlineStr">
        <is>
          <t>Are the fish or aquatic products sold also captured/harvested by you or anyone in your household?
[OPERATOR: SINGLE RESPONSE.]
1)YES
2)NO
3)DON'T KNOW
4)REFUSED</t>
        </is>
      </c>
      <c r="E87" s="56">
        <f>LEN(D87)</f>
        <v/>
      </c>
      <c r="F87"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7" s="179">
        <f>LEN(F87)</f>
        <v/>
      </c>
      <c r="H87" s="58" t="inlineStr">
        <is>
          <t>Single Choice</t>
        </is>
      </c>
      <c r="I87" s="56" t="inlineStr">
        <is>
          <t>NA</t>
        </is>
      </c>
      <c r="J87" s="56" t="inlineStr">
        <is>
          <t>NA</t>
        </is>
      </c>
      <c r="K87" s="56" t="inlineStr">
        <is>
          <t>Form Type - Buttons</t>
        </is>
      </c>
      <c r="L87" s="100" t="inlineStr">
        <is>
          <t>NA</t>
        </is>
      </c>
      <c r="M87" s="55" t="inlineStr">
        <is>
          <t>1-4 = income_sec_gender</t>
        </is>
      </c>
      <c r="N87" s="195" t="n"/>
      <c r="O87" s="62" t="inlineStr">
        <is>
          <t>if income_sec_fish_check = 1-4, go to [income_sec_comp OR optional question]</t>
        </is>
      </c>
      <c r="P87" s="14" t="inlineStr">
        <is>
          <t>1-4 = income_sec_gender</t>
        </is>
      </c>
      <c r="Q87" s="19" t="n"/>
      <c r="R87" s="306">
        <f>1</f>
        <v/>
      </c>
      <c r="S87" s="53" t="n"/>
      <c r="U87" s="150" t="inlineStr">
        <is>
          <t>yes</t>
        </is>
      </c>
      <c r="V87" s="613" t="n"/>
      <c r="Y87" s="631" t="n">
        <v>8</v>
      </c>
      <c r="Z87" s="631">
        <f>IF(Y87="","",Y87*R87)</f>
        <v/>
      </c>
      <c r="AA87" s="53" t="inlineStr">
        <is>
          <t>8</t>
        </is>
      </c>
    </row>
    <row r="88" ht="193.5" customFormat="1" customHeight="1" s="218">
      <c r="A88" s="38">
        <f>A87+1</f>
        <v/>
      </c>
      <c r="B88" s="251" t="inlineStr">
        <is>
          <t>income_sec_gender</t>
        </is>
      </c>
      <c r="C88" s="252" t="inlineStr">
        <is>
          <t>income_sec_gender</t>
        </is>
      </c>
      <c r="D88" s="253" t="inlineStr">
        <is>
          <t>What is the gender of the household member[s] generating income from this source? 
[OPERATOR: SINGLE RESPONSE.]
1)Male
2)Female
3)Joint [both male &amp; female]
4)DON'T KNOW
5)REFUSED</t>
        </is>
      </c>
      <c r="E88" s="254">
        <f>LEN(D88)</f>
        <v/>
      </c>
      <c r="F88"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292">
        <f>LEN(F88)</f>
        <v/>
      </c>
      <c r="H88" s="255" t="inlineStr">
        <is>
          <t>Single Choice</t>
        </is>
      </c>
      <c r="I88" s="254" t="inlineStr">
        <is>
          <t>NA</t>
        </is>
      </c>
      <c r="J88" s="254" t="inlineStr">
        <is>
          <t>NA</t>
        </is>
      </c>
      <c r="K88" s="254" t="inlineStr">
        <is>
          <t>Form Type - Buttons</t>
        </is>
      </c>
      <c r="L88" s="215" t="inlineStr">
        <is>
          <t>NA</t>
        </is>
      </c>
      <c r="M88" s="256" t="inlineStr">
        <is>
          <t>1-5 = income_sec_comp</t>
        </is>
      </c>
      <c r="N88" s="355" t="n"/>
      <c r="O88" s="257" t="inlineStr">
        <is>
          <t>if income_sec_gender = 1-5, go to income_sec_comp or optional question</t>
        </is>
      </c>
      <c r="P88" s="257" t="inlineStr">
        <is>
          <t>1-5 = income_sec_comp</t>
        </is>
      </c>
      <c r="Q88" s="216" t="n"/>
      <c r="R88" s="317">
        <f>1</f>
        <v/>
      </c>
      <c r="S88" s="217" t="n"/>
      <c r="U88" s="219" t="inlineStr">
        <is>
          <t>no</t>
        </is>
      </c>
      <c r="V88" s="220" t="n"/>
      <c r="Y88" s="633" t="n">
        <v>4.787401676177979</v>
      </c>
      <c r="Z88" s="633">
        <f>IF(Y88="","",Y88*R88)</f>
        <v/>
      </c>
      <c r="AA88" s="217" t="inlineStr"/>
    </row>
    <row r="89" ht="226.5" customFormat="1" customHeight="1" s="59">
      <c r="A89" s="38">
        <f>A88+1</f>
        <v/>
      </c>
      <c r="B89" s="182" t="inlineStr">
        <is>
          <t>income_sec_comp</t>
        </is>
      </c>
      <c r="C89" s="58" t="inlineStr">
        <is>
          <t>income_sec_comp</t>
        </is>
      </c>
      <c r="D89" s="559"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9" s="179">
        <f>LEN(D89)</f>
        <v/>
      </c>
      <c r="F89" s="559"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9" s="179">
        <f>LEN(F89)</f>
        <v/>
      </c>
      <c r="H89" s="186" t="inlineStr">
        <is>
          <t>Single Choice</t>
        </is>
      </c>
      <c r="I89" s="179" t="inlineStr">
        <is>
          <t>NA</t>
        </is>
      </c>
      <c r="J89" s="179" t="inlineStr">
        <is>
          <t>NA</t>
        </is>
      </c>
      <c r="K89" s="179" t="inlineStr">
        <is>
          <t>Form Type - Buttons</t>
        </is>
      </c>
      <c r="L89" s="100" t="inlineStr">
        <is>
          <t>NA</t>
        </is>
      </c>
      <c r="M89" s="74" t="inlineStr">
        <is>
          <t>1-7= income_third</t>
        </is>
      </c>
      <c r="N89" s="356" t="n"/>
      <c r="O89" s="74" t="inlineStr">
        <is>
          <t>if income_sec_comp = 1-7, go to income_third</t>
        </is>
      </c>
      <c r="P89" s="20" t="inlineStr"/>
      <c r="Q89" s="9" t="n"/>
      <c r="R89" s="306">
        <f>1</f>
        <v/>
      </c>
      <c r="S89" s="53" t="n"/>
      <c r="U89" s="150" t="inlineStr">
        <is>
          <t>yes</t>
        </is>
      </c>
      <c r="V89" s="613" t="n"/>
      <c r="Y89" s="631" t="n">
        <v>17.26140213012695</v>
      </c>
      <c r="Z89" s="631">
        <f>IF(Y89="","",Y89*R89)</f>
        <v/>
      </c>
      <c r="AA89" s="53" t="inlineStr">
        <is>
          <t>17.26140213012695</t>
        </is>
      </c>
    </row>
    <row r="90" ht="409.5" customFormat="1" customHeight="1" s="59">
      <c r="A90" s="38">
        <f>A89+1</f>
        <v/>
      </c>
      <c r="B90" s="182" t="inlineStr">
        <is>
          <t>income_third</t>
        </is>
      </c>
      <c r="C90" s="58" t="inlineStr">
        <is>
          <t>income_third</t>
        </is>
      </c>
      <c r="D90" s="559"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90" s="179">
        <f>LEN(D90)</f>
        <v/>
      </c>
      <c r="F90" s="559"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90" s="179">
        <f>LEN(F90)</f>
        <v/>
      </c>
      <c r="H90" s="186" t="inlineStr">
        <is>
          <t>Single Choice</t>
        </is>
      </c>
      <c r="I90" s="179" t="inlineStr">
        <is>
          <t>NA</t>
        </is>
      </c>
      <c r="J90" s="179" t="inlineStr">
        <is>
          <t>NA</t>
        </is>
      </c>
      <c r="K90" s="179" t="inlineStr">
        <is>
          <t>Form Type - Buttons
exclude selected "income_main"
exclude selected "income_sec"
IsDemographic - income_third</t>
        </is>
      </c>
      <c r="L90" s="100" t="inlineStr">
        <is>
          <t>NA</t>
        </is>
      </c>
      <c r="M90" s="55" t="inlineStr">
        <is>
          <t>1-3 = income_third_crop_check
4 = income_third_ls_check
5 = income_third_gender
6 = income_third_fish_check
7-18 = income_third_gender
19-21 = shock</t>
        </is>
      </c>
      <c r="N90" s="195" t="n"/>
      <c r="O90" s="6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P90" s="14" t="inlineStr">
        <is>
          <t>income_third_gender</t>
        </is>
      </c>
      <c r="Q90" s="9" t="n"/>
      <c r="R90" s="306">
        <f>1</f>
        <v/>
      </c>
      <c r="S90" s="53" t="n"/>
      <c r="U90" s="150" t="inlineStr">
        <is>
          <t>yes</t>
        </is>
      </c>
      <c r="V90" s="613" t="n"/>
      <c r="Y90" s="631" t="n">
        <v>14.47539234161377</v>
      </c>
      <c r="Z90" s="631">
        <f>IF(Y90="","",Y90*R90)</f>
        <v/>
      </c>
      <c r="AA90" s="53" t="inlineStr">
        <is>
          <t>14.47539234161377</t>
        </is>
      </c>
    </row>
    <row r="91" ht="182.15" customFormat="1" customHeight="1" s="113">
      <c r="A91" s="38">
        <f>A90+1</f>
        <v/>
      </c>
      <c r="B91" s="114" t="inlineStr">
        <is>
          <t>income_third_crop_check</t>
        </is>
      </c>
      <c r="C91" s="116" t="inlineStr">
        <is>
          <t>income_third_crop_check</t>
        </is>
      </c>
      <c r="D91" s="63" t="inlineStr">
        <is>
          <t>Are the crops sold also produced by you or anyone in your household?
[OPERATOR: SINGLE RESPONSE.]
1)YES
2)NO
3)DON'T KNOW
4)REFUSED</t>
        </is>
      </c>
      <c r="E91" s="56">
        <f>LEN(D91)</f>
        <v/>
      </c>
      <c r="F91" s="143" t="inlineStr">
        <is>
          <t>هل تم إنتاج المحاصيل التي تبيعها أنت أو أي شخص في منزلك أيضًا؟
[المشغل: استجابة واحدة.]
1) نعم
2) لا
3) لا أعرف
4) رفض الإجابة</t>
        </is>
      </c>
      <c r="G91" s="179">
        <f>LEN(F91)</f>
        <v/>
      </c>
      <c r="H91" s="58" t="inlineStr">
        <is>
          <t>Single Choice</t>
        </is>
      </c>
      <c r="I91" s="56" t="inlineStr">
        <is>
          <t>NA</t>
        </is>
      </c>
      <c r="J91" s="56" t="inlineStr">
        <is>
          <t>NA</t>
        </is>
      </c>
      <c r="K91" s="56" t="inlineStr">
        <is>
          <t>Form Type - Buttons</t>
        </is>
      </c>
      <c r="L91" s="100" t="inlineStr">
        <is>
          <t>NA</t>
        </is>
      </c>
      <c r="M91" s="55" t="inlineStr">
        <is>
          <t>1-4 = income_third_gender</t>
        </is>
      </c>
      <c r="N91" s="195" t="n"/>
      <c r="O91" s="62" t="inlineStr">
        <is>
          <t>if income_third_crop_check = 1-4, go to [income_third_comp OR optional question]</t>
        </is>
      </c>
      <c r="P91" s="14" t="inlineStr">
        <is>
          <t>1-4 = income_third_gender</t>
        </is>
      </c>
      <c r="Q91" s="19" t="n"/>
      <c r="R91" s="322">
        <f>1</f>
        <v/>
      </c>
      <c r="S91" s="54" t="n"/>
      <c r="U91" s="153" t="inlineStr">
        <is>
          <t>yes</t>
        </is>
      </c>
      <c r="V91" s="612" t="n"/>
      <c r="Y91" s="642" t="n">
        <v>8</v>
      </c>
      <c r="Z91" s="642">
        <f>IF(Y91="","",Y91*R91)</f>
        <v/>
      </c>
      <c r="AA91" s="54" t="inlineStr">
        <is>
          <t>8</t>
        </is>
      </c>
    </row>
    <row r="92" ht="182.15" customFormat="1" customHeight="1" s="113">
      <c r="A92" s="38">
        <f>A91+1</f>
        <v/>
      </c>
      <c r="B92" s="114" t="inlineStr">
        <is>
          <t>income_third_ls_check</t>
        </is>
      </c>
      <c r="C92" s="116" t="inlineStr">
        <is>
          <t>income_third_ls_check</t>
        </is>
      </c>
      <c r="D92" s="63" t="inlineStr">
        <is>
          <t>Are the livestock or livestock products sold also produced by you or anyone in your household?
[OPERATOR: SINGLE RESPONSE.]
1)YES
2)NO
3)DON'T KNOW
4)REFUSED</t>
        </is>
      </c>
      <c r="E92" s="56">
        <f>LEN(D92)</f>
        <v/>
      </c>
      <c r="F92" s="143" t="inlineStr">
        <is>
          <t>هل تم إنتاج المواشي ومنتجاتها التي تبيعها أنت أو أي شخص في منزلك أيضًا؟
[المشغل: استجابة واحدة.]
1) نعم
2) لا
3) لا أعرف
4) رفض الإجابة</t>
        </is>
      </c>
      <c r="G92" s="179">
        <f>LEN(F92)</f>
        <v/>
      </c>
      <c r="H92" s="58" t="inlineStr">
        <is>
          <t>Single Choice</t>
        </is>
      </c>
      <c r="I92" s="56" t="inlineStr">
        <is>
          <t>NA</t>
        </is>
      </c>
      <c r="J92" s="56" t="inlineStr">
        <is>
          <t>NA</t>
        </is>
      </c>
      <c r="K92" s="56" t="inlineStr">
        <is>
          <t>Form Type - Buttons</t>
        </is>
      </c>
      <c r="L92" s="100" t="inlineStr">
        <is>
          <t>NA</t>
        </is>
      </c>
      <c r="M92" s="55" t="inlineStr">
        <is>
          <t>1-4 = income_third_gender</t>
        </is>
      </c>
      <c r="N92" s="195" t="n"/>
      <c r="O92" s="62" t="inlineStr">
        <is>
          <t>if income_third_ls_check = 1-4, go to [income_third_comp OR optional question]</t>
        </is>
      </c>
      <c r="P92" s="14" t="inlineStr">
        <is>
          <t>1-4 = income_third_gender</t>
        </is>
      </c>
      <c r="Q92" s="19" t="n"/>
      <c r="R92" s="322">
        <f>1</f>
        <v/>
      </c>
      <c r="S92" s="54" t="n"/>
      <c r="U92" s="153" t="inlineStr">
        <is>
          <t>yes</t>
        </is>
      </c>
      <c r="V92" s="612" t="n"/>
      <c r="Y92" s="642" t="n">
        <v>8</v>
      </c>
      <c r="Z92" s="642">
        <f>IF(Y92="","",Y92*R92)</f>
        <v/>
      </c>
      <c r="AA92" s="54" t="inlineStr">
        <is>
          <t>8</t>
        </is>
      </c>
    </row>
    <row r="93" ht="182.15" customFormat="1" customHeight="1" s="59">
      <c r="A93" s="38">
        <f>A92+1</f>
        <v/>
      </c>
      <c r="B93" s="114" t="inlineStr">
        <is>
          <t>income_third_fish_check</t>
        </is>
      </c>
      <c r="C93" s="116" t="inlineStr">
        <is>
          <t>income_third_fish_check</t>
        </is>
      </c>
      <c r="D93" s="63" t="inlineStr">
        <is>
          <t>Are the fish or aquatic products sold also captured/harvested by you or anyone in your household?
[OPERATOR: SINGLE RESPONSE.]
1)YES
2)NO
3)DON'T KNOW
4)REFUSED</t>
        </is>
      </c>
      <c r="E93" s="56">
        <f>LEN(D93)</f>
        <v/>
      </c>
      <c r="F93"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93" s="179">
        <f>LEN(F93)</f>
        <v/>
      </c>
      <c r="H93" s="58" t="inlineStr">
        <is>
          <t>Single Choice</t>
        </is>
      </c>
      <c r="I93" s="56" t="inlineStr">
        <is>
          <t>NA</t>
        </is>
      </c>
      <c r="J93" s="56" t="inlineStr">
        <is>
          <t>NA</t>
        </is>
      </c>
      <c r="K93" s="56" t="inlineStr">
        <is>
          <t>Form Type - Buttons</t>
        </is>
      </c>
      <c r="L93" s="100" t="inlineStr">
        <is>
          <t>NA</t>
        </is>
      </c>
      <c r="M93" s="55" t="inlineStr">
        <is>
          <t>1-4 = income_third_gender</t>
        </is>
      </c>
      <c r="N93" s="195" t="n"/>
      <c r="O93" s="62" t="inlineStr">
        <is>
          <t>if income_third_fish_check = 1-4, go to [income_third_comp OR optional question]</t>
        </is>
      </c>
      <c r="P93" s="14" t="inlineStr">
        <is>
          <t>1-4 = income_third_gender</t>
        </is>
      </c>
      <c r="Q93" s="19" t="n"/>
      <c r="R93" s="306">
        <f>1</f>
        <v/>
      </c>
      <c r="S93" s="53" t="n"/>
      <c r="U93" s="150" t="inlineStr">
        <is>
          <t>yes</t>
        </is>
      </c>
      <c r="V93" s="613" t="n"/>
      <c r="Y93" s="631" t="n">
        <v>8</v>
      </c>
      <c r="Z93" s="631">
        <f>IF(Y93="","",Y93*R93)</f>
        <v/>
      </c>
      <c r="AA93" s="53" t="inlineStr">
        <is>
          <t>8</t>
        </is>
      </c>
    </row>
    <row r="94" ht="156" customFormat="1" customHeight="1" s="218">
      <c r="A94" s="38">
        <f>A93+1</f>
        <v/>
      </c>
      <c r="B94" s="251" t="inlineStr">
        <is>
          <t>income_third_gender</t>
        </is>
      </c>
      <c r="C94" s="252" t="inlineStr">
        <is>
          <t>income_third_gender</t>
        </is>
      </c>
      <c r="D94" s="253" t="inlineStr">
        <is>
          <t>What is the gender of the household member[s] generating income from this source? 
[OPERATOR: SINGLE RESPONSE.]
1)Male
2)Female
3)Joint [both male &amp; female]
4)DON'T KNOW
5)REFUSED</t>
        </is>
      </c>
      <c r="E94" s="254">
        <f>LEN(D94)</f>
        <v/>
      </c>
      <c r="F94"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94" s="292">
        <f>LEN(F94)</f>
        <v/>
      </c>
      <c r="H94" s="255" t="inlineStr">
        <is>
          <t>Single Choice</t>
        </is>
      </c>
      <c r="I94" s="254" t="inlineStr">
        <is>
          <t>NA</t>
        </is>
      </c>
      <c r="J94" s="254" t="inlineStr">
        <is>
          <t>NA</t>
        </is>
      </c>
      <c r="K94" s="254" t="inlineStr">
        <is>
          <t>Form Type - Buttons</t>
        </is>
      </c>
      <c r="L94" s="215" t="inlineStr">
        <is>
          <t>NA</t>
        </is>
      </c>
      <c r="M94" s="256" t="inlineStr">
        <is>
          <t>1-5 = income_third_comp</t>
        </is>
      </c>
      <c r="N94" s="355" t="n"/>
      <c r="O94" s="257" t="inlineStr">
        <is>
          <t>if income_third_gender = 1-5, go to [income_third_comp or optional question]</t>
        </is>
      </c>
      <c r="P94" s="257" t="inlineStr">
        <is>
          <t>1-5 = income_third_comp</t>
        </is>
      </c>
      <c r="Q94" s="216" t="n"/>
      <c r="R94" s="317">
        <f>1</f>
        <v/>
      </c>
      <c r="S94" s="217" t="n"/>
      <c r="U94" s="219" t="inlineStr">
        <is>
          <t>no</t>
        </is>
      </c>
      <c r="V94" s="220" t="n"/>
      <c r="Y94" s="633" t="n">
        <v>4.787401676177979</v>
      </c>
      <c r="Z94" s="633">
        <f>IF(Y94="","",Y94*R94)</f>
        <v/>
      </c>
      <c r="AA94" s="217" t="inlineStr"/>
    </row>
    <row r="95" ht="209.25" customFormat="1" customHeight="1" s="59">
      <c r="A95" s="38">
        <f>A94+1</f>
        <v/>
      </c>
      <c r="B95" s="182" t="inlineStr">
        <is>
          <t>income_third_comp</t>
        </is>
      </c>
      <c r="C95" s="58" t="inlineStr">
        <is>
          <t>income_third_comp</t>
        </is>
      </c>
      <c r="D95" s="19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5" s="179">
        <f>LEN(D95)</f>
        <v/>
      </c>
      <c r="F95" s="19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5" s="179">
        <f>LEN(F95)</f>
        <v/>
      </c>
      <c r="H95" s="186" t="inlineStr">
        <is>
          <t>Single Choice</t>
        </is>
      </c>
      <c r="I95" s="179" t="inlineStr">
        <is>
          <t>NA</t>
        </is>
      </c>
      <c r="J95" s="179" t="inlineStr">
        <is>
          <t>NA</t>
        </is>
      </c>
      <c r="K95" s="179" t="inlineStr">
        <is>
          <t>Form Type - Buttons</t>
        </is>
      </c>
      <c r="L95" s="100" t="inlineStr">
        <is>
          <t>NA</t>
        </is>
      </c>
      <c r="M95" s="74" t="inlineStr">
        <is>
          <t>1-7= o_debt</t>
        </is>
      </c>
      <c r="N95" s="356" t="n"/>
      <c r="O95" s="74" t="inlineStr">
        <is>
          <t>if income_third_comp = 1-7, go to shock</t>
        </is>
      </c>
      <c r="P95" s="14" t="inlineStr">
        <is>
          <t>1-7 = o_debt</t>
        </is>
      </c>
      <c r="Q95" s="9" t="n"/>
      <c r="R95" s="306">
        <f>1</f>
        <v/>
      </c>
      <c r="S95" s="53" t="n"/>
      <c r="U95" s="150" t="inlineStr">
        <is>
          <t>yes</t>
        </is>
      </c>
      <c r="V95" s="613" t="n"/>
      <c r="Y95" s="631" t="n">
        <v>15.87650299072266</v>
      </c>
      <c r="Z95" s="631">
        <f>IF(Y95="","",Y95*R95)</f>
        <v/>
      </c>
      <c r="AA95" s="53" t="inlineStr">
        <is>
          <t>15.87650299072266</t>
        </is>
      </c>
    </row>
    <row r="96" ht="156" customFormat="1" customHeight="1" s="218">
      <c r="A96" s="38">
        <f>A95+1</f>
        <v/>
      </c>
      <c r="B96" s="290" t="inlineStr">
        <is>
          <t>o_debt</t>
        </is>
      </c>
      <c r="C96" s="290" t="inlineStr">
        <is>
          <t>o_debt</t>
        </is>
      </c>
      <c r="D96" s="587" t="inlineStr">
        <is>
          <t>Have you incurred any new debt in the past three months which you have not repaid?
[OPERATOR: SINGLE RESPONSE.]
1)YES
2)NO
3)DON’T KNOW
4)REFUSED</t>
        </is>
      </c>
      <c r="E96" s="292" t="n"/>
      <c r="F96" s="583" t="inlineStr">
        <is>
          <t>هل تكبدت أي ديون جديدة في الأشهر الثلاثة الماضية لم تسددها؟
[المشغل: استجابة واحدة.]
1) نعم
2) لا
3) لا أعرف
4) رفض الإجابة</t>
        </is>
      </c>
      <c r="G96" s="292" t="n"/>
      <c r="H96" s="289" t="inlineStr">
        <is>
          <t>Single Choice</t>
        </is>
      </c>
      <c r="I96" s="292" t="inlineStr"/>
      <c r="J96" s="313" t="inlineStr">
        <is>
          <t>NA</t>
        </is>
      </c>
      <c r="K96" s="313" t="inlineStr">
        <is>
          <t>Form Type - Buttons</t>
        </is>
      </c>
      <c r="L96" s="236" t="inlineStr">
        <is>
          <t>NA</t>
        </is>
      </c>
      <c r="M96" s="258" t="inlineStr">
        <is>
          <t>1 = o_debt_amount
2-4 = shock</t>
        </is>
      </c>
      <c r="N96" s="357" t="n"/>
      <c r="O96" s="258" t="inlineStr"/>
      <c r="P96" s="257" t="inlineStr">
        <is>
          <t>1 = o_debt_amount;
2-4 = shock</t>
        </is>
      </c>
      <c r="Q96" s="238" t="n"/>
      <c r="R96" s="317">
        <f>1</f>
        <v/>
      </c>
      <c r="S96" s="217" t="n"/>
      <c r="U96" s="219" t="inlineStr"/>
      <c r="V96" s="220" t="n"/>
      <c r="Y96" s="633" t="n"/>
      <c r="Z96" s="633">
        <f>IF(Y96="","",Y96*R96)</f>
        <v/>
      </c>
      <c r="AA96" s="217" t="inlineStr"/>
    </row>
    <row r="97" ht="105.65" customFormat="1" customHeight="1" s="218">
      <c r="A97" s="38">
        <f>A96+1</f>
        <v/>
      </c>
      <c r="B97" s="290" t="inlineStr">
        <is>
          <t>o_debt_amount</t>
        </is>
      </c>
      <c r="C97" s="255" t="inlineStr">
        <is>
          <t>o_debt_amount</t>
        </is>
      </c>
      <c r="D97" s="588" t="inlineStr">
        <is>
          <t>What is the total amount of debt you currently have [in Rial]?
[OPERATOR: DOUBLE CHECK FOR OUTLIERS &amp; MAKE SURE THE INFORMATION IS RECORDED IN THE CORRECT CURRENCY. ENTER 8888888 FOR DON'T KNOW AND 9999999 FOR REFUSED.]</t>
        </is>
      </c>
      <c r="E97" s="292" t="n"/>
      <c r="F97" s="583"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7" s="292" t="n"/>
      <c r="H97" s="289" t="inlineStr">
        <is>
          <t>Range</t>
        </is>
      </c>
      <c r="I97" s="292" t="inlineStr"/>
      <c r="J97" s="292" t="inlineStr">
        <is>
          <t>NA</t>
        </is>
      </c>
      <c r="K97" s="313" t="inlineStr">
        <is>
          <t>Form Type - TextBox</t>
        </is>
      </c>
      <c r="L97" s="236" t="inlineStr">
        <is>
          <t>NA</t>
        </is>
      </c>
      <c r="M97" s="258" t="inlineStr">
        <is>
          <t>1000-1000000 = shock
8888888-8888888 = shock
9999999-9999999 = shock</t>
        </is>
      </c>
      <c r="N97" s="357" t="n"/>
      <c r="O97" s="258" t="inlineStr"/>
      <c r="P97" s="257" t="inlineStr">
        <is>
          <t>Any response go to shock</t>
        </is>
      </c>
      <c r="Q97" s="259" t="inlineStr">
        <is>
          <t>Debt minimum: YER 1000
Debt Maximum: YER 1000000</t>
        </is>
      </c>
      <c r="R97" s="317" t="n"/>
      <c r="S97" s="217" t="n"/>
      <c r="U97" s="219" t="inlineStr"/>
      <c r="V97" s="220" t="n"/>
      <c r="Y97" s="633" t="n"/>
      <c r="Z97" s="633" t="n"/>
      <c r="AA97" s="217" t="inlineStr"/>
    </row>
    <row r="98" ht="409.4" customFormat="1" customHeight="1" s="503">
      <c r="A98" s="517">
        <f>A97+1</f>
        <v/>
      </c>
      <c r="B98" s="589" t="inlineStr">
        <is>
          <t>shock</t>
        </is>
      </c>
      <c r="C98" s="518"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8" s="590"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8" s="534">
        <f>LEN(D98)</f>
        <v/>
      </c>
      <c r="F98" s="591"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8" s="534">
        <f>LEN(F98)</f>
        <v/>
      </c>
      <c r="H98" s="592" t="inlineStr">
        <is>
          <t>Select All That Apply</t>
        </is>
      </c>
      <c r="I98" s="534" t="inlineStr">
        <is>
          <t>NA</t>
        </is>
      </c>
      <c r="J98" s="534" t="inlineStr">
        <is>
          <t>NA</t>
        </is>
      </c>
      <c r="K98" s="534" t="inlineStr">
        <is>
          <t>Form Type - Checklist 
1,26,27 = IsNone</t>
        </is>
      </c>
      <c r="L98" s="51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98" s="527" t="inlineStr">
        <is>
          <t>1-27 = o_flood_loss_agri_assets</t>
        </is>
      </c>
      <c r="N98" s="521" t="inlineStr">
        <is>
          <t xml:space="preserve">GeoPoll [10/14/2025]. Updated skip patterns. </t>
        </is>
      </c>
      <c r="O98" s="520" t="inlineStr">
        <is>
          <t>if shock = 1-27, go to [confl_wellbeing]</t>
        </is>
      </c>
      <c r="P98" s="522" t="inlineStr">
        <is>
          <t>1-27 = confl_wellbeing</t>
        </is>
      </c>
      <c r="Q98" s="523" t="n"/>
      <c r="R98" s="524">
        <f>1</f>
        <v/>
      </c>
      <c r="S98" s="502" t="n"/>
      <c r="U98" s="525" t="inlineStr">
        <is>
          <t>yes</t>
        </is>
      </c>
      <c r="V98" s="505" t="n"/>
      <c r="Y98" s="643" t="n">
        <v>37.85363006591797</v>
      </c>
      <c r="Z98" s="643">
        <f>IF(Y98="","",Y98*R98)</f>
        <v/>
      </c>
      <c r="AA98" s="502" t="inlineStr">
        <is>
          <t>37.85363006591797</t>
        </is>
      </c>
    </row>
    <row r="99" ht="153" customFormat="1" customHeight="1" s="503">
      <c r="A99" s="517">
        <f>A98+1</f>
        <v/>
      </c>
      <c r="B99" s="509" t="inlineStr">
        <is>
          <t>o_flood_loss_agri_assets</t>
        </is>
      </c>
      <c r="C99" s="509" t="inlineStr">
        <is>
          <t>o_flood_loss_agri_assets</t>
        </is>
      </c>
      <c r="D99" s="510" t="inlineStr">
        <is>
          <t>Did your household lose any agricultural land, crops, livestock, or fishery assets due to the recent floods?
[OPERATOR: SINGLE RESPONSE.]
1)YES
2)NO
3)DON’T KNOW
4)REFUSED</t>
        </is>
      </c>
      <c r="E99" s="511">
        <f>LEN(D99)</f>
        <v/>
      </c>
      <c r="F99" s="512" t="inlineStr">
        <is>
          <t>هل فقدت أسرتك أي أراضي زراعية أو محاصيل أو ثروة حيوانية أو أصول سمكية بسبب الفيضانات الأخيرة؟
[المشغل: استجابة واحدة.]
1) نعم
2) لا
3) لا أعرف
4) رفض الإجابة</t>
        </is>
      </c>
      <c r="G99" s="511" t="n"/>
      <c r="H99" s="511" t="inlineStr">
        <is>
          <t>Single Choice</t>
        </is>
      </c>
      <c r="I99" s="511" t="inlineStr">
        <is>
          <t>NA</t>
        </is>
      </c>
      <c r="J99" s="513" t="inlineStr">
        <is>
          <t>Send if "shock" "Contains" "Flood / riverbank erosion" Or "shock" "Contains" "Hurricane / cyclone / tornado" if not satisfied go to "confl_wellbeing"</t>
        </is>
      </c>
      <c r="K99" s="513" t="inlineStr">
        <is>
          <t>Form Type - Buttons</t>
        </is>
      </c>
      <c r="L99" s="513" t="inlineStr">
        <is>
          <t>NA</t>
        </is>
      </c>
      <c r="M99" s="510" t="inlineStr">
        <is>
          <t>1 = o_flood_asset_loss_type
2-4 = confl_wellbeing</t>
        </is>
      </c>
      <c r="N99" s="510" t="n"/>
      <c r="O99" s="514" t="inlineStr"/>
      <c r="P99" s="515" t="inlineStr"/>
      <c r="R99" s="504" t="n"/>
      <c r="S99" s="505" t="n"/>
      <c r="U99" t="inlineStr"/>
      <c r="V99" s="644" t="n"/>
      <c r="W99" s="644" t="n"/>
      <c r="X99" s="502" t="n"/>
      <c r="AA99" t="inlineStr"/>
    </row>
    <row r="100" ht="170.15" customFormat="1" customHeight="1" s="503">
      <c r="A100" s="517">
        <f>A99+1</f>
        <v/>
      </c>
      <c r="B100" s="509" t="inlineStr">
        <is>
          <t>o_flood_asset_loss_type</t>
        </is>
      </c>
      <c r="C100" s="509" t="inlineStr">
        <is>
          <t>o_flood_asset_loss_type</t>
        </is>
      </c>
      <c r="D100" s="510" t="inlineStr">
        <is>
          <t>What type of loss did your household experience?
[OPERATOR: MULTIPLE RESPONSES POSSIBLE. SELECT ALL THAT APPLY.]
1)Agricultural land
2)Crops
3)Livestock
4)Fishery assets
5)DON'T KNOW
6)REFUSED</t>
        </is>
      </c>
      <c r="E100" s="511">
        <f>LEN(D100)</f>
        <v/>
      </c>
      <c r="F100" s="512" t="inlineStr">
        <is>
          <t>ما نوع الخسارة التي تعرضت لها أسرتك؟
[المشغل: إجابات متعددة ممكنة. حدد كل ما ينطبق.]
1) الأراضي الزراعية
2) المحاصيل
3) الثروة الحيوانية
4) أصول الثروة السمكية
5) لا أعرف
6) رفض الإجابة</t>
        </is>
      </c>
      <c r="G100" s="511" t="n"/>
      <c r="H100" s="511" t="inlineStr">
        <is>
          <t>Select All That Apply</t>
        </is>
      </c>
      <c r="I100" s="511" t="inlineStr">
        <is>
          <t>NA</t>
        </is>
      </c>
      <c r="J100" s="513" t="inlineStr">
        <is>
          <t>NA</t>
        </is>
      </c>
      <c r="K100" s="513" t="inlineStr">
        <is>
          <t>Form Type - Buttons</t>
        </is>
      </c>
      <c r="L100" s="513" t="inlineStr">
        <is>
          <t>NA</t>
        </is>
      </c>
      <c r="M100" s="510" t="inlineStr">
        <is>
          <t>1-6 = confl_wellbeing</t>
        </is>
      </c>
      <c r="N100" s="510" t="n"/>
      <c r="O100" s="514" t="inlineStr"/>
      <c r="P100" s="515" t="inlineStr"/>
      <c r="R100" s="504" t="n"/>
      <c r="S100" s="505" t="n"/>
      <c r="U100" t="inlineStr"/>
      <c r="V100" s="644" t="n"/>
      <c r="W100" s="644" t="n"/>
      <c r="X100" s="502" t="n"/>
      <c r="AA100" t="inlineStr"/>
    </row>
    <row r="101" ht="21.75" customFormat="1" customHeight="1" s="189" thickBot="1">
      <c r="A101" s="645" t="inlineStr">
        <is>
          <t>CONFLICT MODULE</t>
        </is>
      </c>
      <c r="B101" s="646" t="n"/>
      <c r="C101" s="646" t="n"/>
      <c r="D101" s="646" t="n"/>
      <c r="E101" s="646" t="n"/>
      <c r="F101" s="646" t="n"/>
      <c r="G101" s="646" t="n"/>
      <c r="H101" s="646" t="n"/>
      <c r="I101" s="646" t="n"/>
      <c r="J101" s="646" t="n"/>
      <c r="K101" s="646" t="n"/>
      <c r="L101" s="646" t="n"/>
      <c r="M101" s="646" t="n"/>
      <c r="N101" s="646" t="n"/>
      <c r="O101" s="646" t="n"/>
      <c r="P101" s="646" t="n"/>
      <c r="Q101" s="647" t="n"/>
      <c r="R101" s="324" t="n"/>
      <c r="S101" s="188" t="n"/>
      <c r="U101" s="190" t="n"/>
      <c r="V101" s="191" t="n"/>
      <c r="Y101" s="648" t="n"/>
      <c r="Z101" s="648">
        <f>IF(Y101="","",Y101*R101)</f>
        <v/>
      </c>
      <c r="AA101" s="188">
        <f>IF(U101="yes",Z101,"")</f>
        <v/>
      </c>
    </row>
    <row r="102" ht="393.75" customFormat="1" customHeight="1" s="218">
      <c r="A102" s="374" t="n">
        <v>81</v>
      </c>
      <c r="B102" s="290" t="inlineStr">
        <is>
          <t>confl_wellbeing</t>
        </is>
      </c>
      <c r="C102" s="260"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02" s="261"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102" s="262">
        <f>LEN(D102)</f>
        <v/>
      </c>
      <c r="F102" s="583"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102" s="263">
        <f>LEN(F102)</f>
        <v/>
      </c>
      <c r="H102" s="289" t="inlineStr">
        <is>
          <t>Open Ended-Select All That Apply</t>
        </is>
      </c>
      <c r="I102" s="292" t="inlineStr">
        <is>
          <t>NA</t>
        </is>
      </c>
      <c r="J102" s="292" t="inlineStr">
        <is>
          <t>NA</t>
        </is>
      </c>
      <c r="K102" s="292" t="inlineStr">
        <is>
          <t>Form Type - Checklist
1,14,15 = IsNone
Min = 1
Max = 3</t>
        </is>
      </c>
      <c r="L102" s="260"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M102" s="264" t="inlineStr">
        <is>
          <t>1-15 = confl_yn</t>
        </is>
      </c>
      <c r="N102" s="358" t="n"/>
      <c r="O102" s="265" t="inlineStr">
        <is>
          <t>For any response, go to confl_yn.</t>
        </is>
      </c>
      <c r="P102" s="229" t="inlineStr"/>
      <c r="Q102" s="238" t="n"/>
      <c r="R102" s="317" t="n"/>
      <c r="S102" s="217" t="n"/>
      <c r="U102" s="219" t="inlineStr">
        <is>
          <t>no</t>
        </is>
      </c>
      <c r="V102" s="220" t="n"/>
      <c r="Y102" s="633" t="n"/>
      <c r="Z102" s="633" t="n"/>
      <c r="AA102" s="217" t="inlineStr"/>
      <c r="AI102" s="222" t="inlineStr">
        <is>
          <t>Better if optional. Some options might be a bit sensitive in some contexts (e.g. corruption)</t>
        </is>
      </c>
    </row>
    <row r="103" ht="162.75" customFormat="1" customHeight="1" s="218">
      <c r="A103" s="374" t="n">
        <v>82</v>
      </c>
      <c r="B103" s="573" t="inlineStr">
        <is>
          <t>confl_yn</t>
        </is>
      </c>
      <c r="C103" s="208" t="inlineStr">
        <is>
          <t>confl_yn</t>
        </is>
      </c>
      <c r="D103" s="266" t="inlineStr">
        <is>
          <t>Have you or anyone within your household been affected by any form of insecurity or conflict during the past 3 months?
[OPERATOR: SINGLE RESPONSE.]
1)YES
2)NO
3)DON'T KNOW
4)REFUSED</t>
        </is>
      </c>
      <c r="E103" s="313">
        <f>LEN(D103)</f>
        <v/>
      </c>
      <c r="F103" s="593" t="inlineStr">
        <is>
          <t>هل تأثرت أنت أو أي شخص في أسرتك بأي شكل من أشكال انعدام الأمن أو الصراع خلال الأشهر الثلاثة الماضية؟
[المشغل: إجابة واحدة.]
1)نعم
2)لا
3) لا أعرف
4) رفض الإجابة</t>
        </is>
      </c>
      <c r="G103" s="313">
        <f>LEN(F103)</f>
        <v/>
      </c>
      <c r="H103" s="562" t="inlineStr">
        <is>
          <t>Single Choice</t>
        </is>
      </c>
      <c r="I103" s="313" t="inlineStr">
        <is>
          <t>NA</t>
        </is>
      </c>
      <c r="J103" s="313" t="inlineStr">
        <is>
          <t>NA</t>
        </is>
      </c>
      <c r="K103" s="313" t="inlineStr">
        <is>
          <t>Form Type - Buttons</t>
        </is>
      </c>
      <c r="L103" s="267" t="inlineStr">
        <is>
          <t>NA</t>
        </is>
      </c>
      <c r="M103" s="268" t="inlineStr">
        <is>
          <t>1 = confl_pimary_insec
2-4 = crp_intro</t>
        </is>
      </c>
      <c r="N103" s="359" t="n"/>
      <c r="O103" s="594" t="inlineStr">
        <is>
          <t>if confl_yn = 1, go to confl_prim_insec.
Otherwise, go to crp_intro</t>
        </is>
      </c>
      <c r="P103" s="258" t="inlineStr"/>
      <c r="Q103" s="238" t="n"/>
      <c r="R103" s="317" t="n"/>
      <c r="S103" s="217" t="n"/>
      <c r="U103" s="219" t="inlineStr">
        <is>
          <t>yes</t>
        </is>
      </c>
      <c r="V103" s="220" t="n"/>
      <c r="Y103" s="633" t="n"/>
      <c r="Z103" s="633" t="n"/>
      <c r="AA103" s="217" t="inlineStr"/>
      <c r="AI103" s="222" t="inlineStr">
        <is>
          <t>Better with 3 months recall period indeed</t>
        </is>
      </c>
    </row>
    <row r="104" ht="223.5" customFormat="1" customHeight="1" s="218">
      <c r="A104" s="374" t="n">
        <v>83</v>
      </c>
      <c r="B104" s="290" t="inlineStr">
        <is>
          <t>confl_pimary_insec</t>
        </is>
      </c>
      <c r="C104" s="255" t="inlineStr">
        <is>
          <t>confl_prim_insec</t>
        </is>
      </c>
      <c r="D104" s="269"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104" s="292">
        <f>LEN(D104)</f>
        <v/>
      </c>
      <c r="F104" s="583"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104" s="292">
        <f>LEN(F104)</f>
        <v/>
      </c>
      <c r="H104" s="289" t="inlineStr">
        <is>
          <t>Open Ended-Single Choice</t>
        </is>
      </c>
      <c r="I104" s="292" t="inlineStr">
        <is>
          <t>NA</t>
        </is>
      </c>
      <c r="J104" s="292" t="inlineStr">
        <is>
          <t>NA</t>
        </is>
      </c>
      <c r="K104" s="292" t="inlineStr">
        <is>
          <t>Form Type - Radiolist</t>
        </is>
      </c>
      <c r="L104" s="270" t="inlineStr">
        <is>
          <t>NA</t>
        </is>
      </c>
      <c r="M104" s="258" t="inlineStr">
        <is>
          <t>1-8 = confl_agri_imp</t>
        </is>
      </c>
      <c r="N104" s="357" t="n"/>
      <c r="O104" s="595" t="inlineStr">
        <is>
          <t>if confl_prim_insec = 1-8, go to confl_agri_imp.</t>
        </is>
      </c>
      <c r="P104" s="229" t="inlineStr"/>
      <c r="Q104" s="216" t="n"/>
      <c r="R104" s="317" t="n"/>
      <c r="S104" s="217" t="n"/>
      <c r="U104" s="219" t="inlineStr">
        <is>
          <t>no</t>
        </is>
      </c>
      <c r="V104" s="220" t="n"/>
      <c r="Y104" s="633" t="n"/>
      <c r="Z104" s="633" t="n"/>
      <c r="AA104" s="217" t="inlineStr"/>
      <c r="AE104" s="226" t="inlineStr">
        <is>
          <t>In enumerator training, include explanation/examples of ''insecurity''</t>
        </is>
      </c>
      <c r="AI104" s="224" t="n"/>
    </row>
    <row r="105" ht="390" customFormat="1" customHeight="1" s="218">
      <c r="A105" s="374" t="n">
        <v>84</v>
      </c>
      <c r="B105" s="573" t="inlineStr">
        <is>
          <t>confl_agri_imp</t>
        </is>
      </c>
      <c r="C105" s="208"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05" s="271"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105" s="313">
        <f>LEN(D105)</f>
        <v/>
      </c>
      <c r="F105" s="593"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105" s="313">
        <f>LEN(F105)</f>
        <v/>
      </c>
      <c r="H105" s="562" t="inlineStr">
        <is>
          <t>Open Ended-Select All That Apply</t>
        </is>
      </c>
      <c r="I105" s="313" t="inlineStr">
        <is>
          <t>NA</t>
        </is>
      </c>
      <c r="J105" s="313" t="inlineStr">
        <is>
          <t>NA</t>
        </is>
      </c>
      <c r="K105" s="313" t="inlineStr">
        <is>
          <t>Form Type - Checklist
1,14,15 = IsNone
Min = 1
Max = 3</t>
        </is>
      </c>
      <c r="L105" s="2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M105" s="268" t="inlineStr">
        <is>
          <t>1-15 = confl_foodsec_imp</t>
        </is>
      </c>
      <c r="N105" s="359" t="n"/>
      <c r="O105" s="594" t="inlineStr">
        <is>
          <t>if confl_agri_imp = 1-15, go to confl_foodsec_imp.</t>
        </is>
      </c>
      <c r="P105" s="258" t="inlineStr"/>
      <c r="Q105" s="216" t="n"/>
      <c r="R105" s="317" t="n"/>
      <c r="S105" s="217" t="n"/>
      <c r="U105" s="219" t="inlineStr">
        <is>
          <t>yes</t>
        </is>
      </c>
      <c r="V105" s="220" t="n"/>
      <c r="Y105" s="633" t="n"/>
      <c r="Z105" s="633" t="n"/>
      <c r="AA105" s="217" t="inlineStr"/>
      <c r="AI105" s="224" t="n"/>
    </row>
    <row r="106" ht="335.25" customFormat="1" customHeight="1" s="218" thickBot="1">
      <c r="A106" s="374" t="n">
        <v>85</v>
      </c>
      <c r="B106" s="290" t="inlineStr">
        <is>
          <t>confl_foodsec_imp</t>
        </is>
      </c>
      <c r="C106" s="255" t="inlineStr">
        <is>
          <t>confl_foodsec_imp
1)confl_fs_none
2)confl_fs_high_cost
3)confl_fs_lack_food_mkt
4)confl_fs_access_mkt
5)confl_fs_reduced_income
6)confl_fs_access_assistance
7)confl_fs_theft_damage
8)confl_fs_illicit_pay
9)confl_fs_other
10)confl_fs_dk
11)confl_fs_ref</t>
        </is>
      </c>
      <c r="D106" s="32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6" s="292">
        <f>LEN(D106)</f>
        <v/>
      </c>
      <c r="F106" s="583"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106" s="292">
        <f>LEN(F106)</f>
        <v/>
      </c>
      <c r="H106" s="289" t="inlineStr">
        <is>
          <t>Open Ended-Select All That Apply</t>
        </is>
      </c>
      <c r="I106" s="292" t="inlineStr">
        <is>
          <t>NA</t>
        </is>
      </c>
      <c r="J106" s="292" t="inlineStr">
        <is>
          <t>NA</t>
        </is>
      </c>
      <c r="K106" s="292" t="inlineStr">
        <is>
          <t>Form Type - Checklist
1,10,11 = IsNone
Min = 1
Max = 3</t>
        </is>
      </c>
      <c r="L106" s="255" t="inlineStr">
        <is>
          <t>1)confl_fs_none
2)confl_fs_high_cost
3)confl_fs_lack_food_mkt
4)confl_fs_access_mkt
5)confl_fs_reduced_income
6)confl_fs_access_assistance
7)confl_fs_theft_damage
8)confl_fs_illicit_pay
9)confl_fs_other
10)confl_fs_dk
11)confl_fs_ref</t>
        </is>
      </c>
      <c r="M106" s="258" t="inlineStr">
        <is>
          <t>1-11 = crp_intro</t>
        </is>
      </c>
      <c r="N106" s="357" t="n"/>
      <c r="O106" s="596" t="inlineStr">
        <is>
          <t>if confl_foodsec_imp = 1-11, go to crp_intro.</t>
        </is>
      </c>
      <c r="P106" s="229" t="inlineStr"/>
      <c r="Q106" s="216" t="n"/>
      <c r="R106" s="317" t="n"/>
      <c r="S106" s="217" t="n"/>
      <c r="U106" s="219" t="inlineStr">
        <is>
          <t>no</t>
        </is>
      </c>
      <c r="V106" s="220" t="n"/>
      <c r="Y106" s="633" t="n"/>
      <c r="Z106" s="633" t="n"/>
      <c r="AA106" s="217" t="inlineStr"/>
    </row>
    <row r="107" ht="16.4" customFormat="1" customHeight="1" s="149" thickBot="1">
      <c r="A107" s="604" t="inlineStr">
        <is>
          <t>D. CROP PRODUCTION</t>
        </is>
      </c>
      <c r="B107" s="629" t="n"/>
      <c r="C107" s="629" t="n"/>
      <c r="D107" s="629" t="n"/>
      <c r="E107" s="629" t="n"/>
      <c r="F107" s="629" t="n"/>
      <c r="G107" s="629" t="n"/>
      <c r="H107" s="629" t="n"/>
      <c r="I107" s="629" t="n"/>
      <c r="J107" s="629" t="n"/>
      <c r="K107" s="629" t="n"/>
      <c r="L107" s="629" t="n"/>
      <c r="M107" s="629" t="n"/>
      <c r="N107" s="629" t="n"/>
      <c r="O107" s="629" t="n"/>
      <c r="P107" s="629" t="n"/>
      <c r="Q107" s="630" t="n"/>
      <c r="R107" s="306" t="n"/>
      <c r="S107" s="151" t="n"/>
      <c r="U107" s="150" t="n"/>
      <c r="V107" s="623" t="n"/>
      <c r="Y107" s="631" t="n"/>
      <c r="Z107" s="631">
        <f>IF(Y107="","",Y107*R107)</f>
        <v/>
      </c>
      <c r="AA107" s="151">
        <f>IF(U107="yes",Z107,"")</f>
        <v/>
      </c>
    </row>
    <row r="108" ht="156" customFormat="1" customHeight="1" s="59">
      <c r="A108" s="38">
        <f>A106+1</f>
        <v/>
      </c>
      <c r="B108" s="79" t="inlineStr">
        <is>
          <t>crp_intro</t>
        </is>
      </c>
      <c r="C108" s="58" t="inlineStr">
        <is>
          <t>crp_intro</t>
        </is>
      </c>
      <c r="D108" s="72" t="inlineStr">
        <is>
          <t>We will now ask you some questions about crop production which apply to you and anyone in your household that is involved in crop production or sales. All questions refer to the crops grown during Ongoing season.
1)CONTINUE</t>
        </is>
      </c>
      <c r="E108" s="56">
        <f>LEN(D108)</f>
        <v/>
      </c>
      <c r="F108" s="72"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8" s="56">
        <f>LEN(F108)</f>
        <v/>
      </c>
      <c r="H108" s="64" t="inlineStr">
        <is>
          <t>Single Choice</t>
        </is>
      </c>
      <c r="I108" s="56" t="inlineStr">
        <is>
          <t>NA</t>
        </is>
      </c>
      <c r="J108" s="5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8" s="179" t="inlineStr">
        <is>
          <t>Form Type - Buttons</t>
        </is>
      </c>
      <c r="L108" s="100" t="inlineStr">
        <is>
          <t>NA</t>
        </is>
      </c>
      <c r="M108" s="71" t="inlineStr">
        <is>
          <t>1 = crp_landsize_num</t>
        </is>
      </c>
      <c r="N108" s="348" t="n"/>
      <c r="O108" s="6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108" s="73" t="inlineStr"/>
      <c r="Q108" s="78" t="n"/>
      <c r="R108" s="300">
        <f>#REF!</f>
        <v/>
      </c>
      <c r="S108" s="53" t="n"/>
      <c r="U108" s="150" t="inlineStr">
        <is>
          <t>yes</t>
        </is>
      </c>
      <c r="V108" s="613" t="n"/>
      <c r="Y108" s="631" t="n">
        <v>7.304072856903076</v>
      </c>
      <c r="Z108" s="631">
        <f>IF(Y108="","",Y108*R108)</f>
        <v/>
      </c>
      <c r="AA108" s="53" t="e">
        <v>#REF!</v>
      </c>
    </row>
    <row r="109" ht="93.65000000000001" customFormat="1" customHeight="1" s="59">
      <c r="A109" s="38" t="n">
        <v>87</v>
      </c>
      <c r="B109" s="597" t="inlineStr">
        <is>
          <t>crp_landsize_num</t>
        </is>
      </c>
      <c r="C109" s="179" t="inlineStr">
        <is>
          <t>crp_landsize_num</t>
        </is>
      </c>
      <c r="D109" s="559" t="inlineStr">
        <is>
          <t>What is the total size of the land you can cultivate?
[OPERATOR: RECORD THE TOTAL LAND SIZE PROVIDED BY THE RESPONDENT. WRITE 8888888 FOR DON'T KNOW AND 9999999 FOR REFUSED. MEASUREMENT UNIT WILL BE SPECIFIED IN THE FOLLOWING QUESTION.]</t>
        </is>
      </c>
      <c r="E109" s="179">
        <f>LEN(D109)</f>
        <v/>
      </c>
      <c r="F109" s="559"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9" s="179">
        <f>LEN(F109)</f>
        <v/>
      </c>
      <c r="H109" s="566" t="inlineStr">
        <is>
          <t>Range</t>
        </is>
      </c>
      <c r="I109" s="179" t="inlineStr">
        <is>
          <t>NA</t>
        </is>
      </c>
      <c r="J109" s="179" t="inlineStr">
        <is>
          <t>NA</t>
        </is>
      </c>
      <c r="K109" s="179" t="inlineStr">
        <is>
          <t>Form Type - TextBox</t>
        </is>
      </c>
      <c r="L109" s="100" t="inlineStr">
        <is>
          <t>NA</t>
        </is>
      </c>
      <c r="M109" s="74" t="inlineStr">
        <is>
          <t>0-1000000 = crp_landsize_unit
8888888-8888888 = crp_main
9999999-9999999 = crp_main</t>
        </is>
      </c>
      <c r="N109" s="348" t="n"/>
      <c r="O109" s="62" t="inlineStr">
        <is>
          <t>For any response, go to crp_landsize_unit. Range is between 0 and 1000000. For "Don't know" and "Refused", go to crp_main.</t>
        </is>
      </c>
      <c r="P109" s="77" t="inlineStr"/>
      <c r="Q109" s="76" t="n"/>
      <c r="R109" s="300">
        <f>#REF!</f>
        <v/>
      </c>
      <c r="S109" s="53" t="n"/>
      <c r="U109" s="150" t="inlineStr">
        <is>
          <t>yes</t>
        </is>
      </c>
      <c r="V109" s="613" t="n"/>
      <c r="Y109" s="631" t="n">
        <v>23.93990516662598</v>
      </c>
      <c r="Z109" s="631">
        <f>IF(Y109="","",Y109*R109)</f>
        <v/>
      </c>
      <c r="AA109" s="53" t="e">
        <v>#REF!</v>
      </c>
    </row>
    <row r="110" ht="409.5" customFormat="1" customHeight="1" s="59">
      <c r="A110" s="38" t="n">
        <v>88</v>
      </c>
      <c r="B110" s="597" t="inlineStr">
        <is>
          <t>crp_landsize_unit</t>
        </is>
      </c>
      <c r="C110" s="179" t="inlineStr">
        <is>
          <t>crp_landsize_unit</t>
        </is>
      </c>
      <c r="D110" s="559" t="inlineStr">
        <is>
          <t>Unit of measurement for land size: 
[OPERATOR: DO NOT READ. SINGLE RESPONSE.]
1)Acres
2)Hectares
3)Square meters
4)Square feet
5)Labneh
6)Qassabh
7)Hablah
8)Ma'ad
9)Salook
10)Shaklah
11)Neiha
12)Matreh
13)Wadan
14)Oqum
15)Asaoo
16)Shagan
17)Arfad
18)Aber
19)Taleem
20)Magabi
21)Hediah
22)Thera'a
23)Materah</t>
        </is>
      </c>
      <c r="E110" s="179">
        <f>LEN(D110)</f>
        <v/>
      </c>
      <c r="F110" s="559" t="inlineStr">
        <is>
          <t>وحدة قياس مساحة الارض:
[المُشغل: لا تقرأ. استجابة واحدة.]
1) فدان
2) هكتار
3) متر مربع
4) قدم مربع
5)لبنة
6)قصبة
7) حبل/حبلة
8) معاد
9)سلوق
10) شكلة
11) نيحة
12) مطرح
13)ودن
14) عقم
15)اسعاو
16) شجن
17)رفد/ارفاد
18) عبر
19) تليم
20)مجابي
21) حدية
22) ذراع
23) مطبرة</t>
        </is>
      </c>
      <c r="G110" s="179">
        <f>LEN(F110)</f>
        <v/>
      </c>
      <c r="H110" s="566" t="inlineStr">
        <is>
          <t>Single Choice</t>
        </is>
      </c>
      <c r="I110" s="179" t="inlineStr">
        <is>
          <t>NA</t>
        </is>
      </c>
      <c r="J110" s="179" t="inlineStr">
        <is>
          <t>NA</t>
        </is>
      </c>
      <c r="K110" s="179" t="inlineStr">
        <is>
          <t>Form Type - Dropdown</t>
        </is>
      </c>
      <c r="L110" s="100" t="inlineStr">
        <is>
          <t>NA</t>
        </is>
      </c>
      <c r="M110" s="74" t="inlineStr">
        <is>
          <t>1-23 = crp_main</t>
        </is>
      </c>
      <c r="N110" s="348" t="n"/>
      <c r="O110" s="62" t="inlineStr">
        <is>
          <t>if crp_landsize_unit = 1-5, go to crp_main</t>
        </is>
      </c>
      <c r="P110" s="73" t="inlineStr"/>
      <c r="Q110" s="75" t="n"/>
      <c r="R110" s="300">
        <f>#REF!</f>
        <v/>
      </c>
      <c r="S110" s="53" t="n"/>
      <c r="U110" s="150" t="inlineStr">
        <is>
          <t>yes</t>
        </is>
      </c>
      <c r="V110" s="613" t="n"/>
      <c r="Y110" s="631" t="n">
        <v>2.249462604522705</v>
      </c>
      <c r="Z110" s="631">
        <f>IF(Y110="","",Y110*R110)</f>
        <v/>
      </c>
      <c r="AA110" s="53" t="e">
        <v>#REF!</v>
      </c>
    </row>
    <row r="111" ht="408.75" customFormat="1" customHeight="1" s="59">
      <c r="A111" s="38" t="n">
        <v>89</v>
      </c>
      <c r="B111" s="114" t="inlineStr">
        <is>
          <t>crp_main</t>
        </is>
      </c>
      <c r="C111" s="58" t="inlineStr">
        <is>
          <t>crp_main</t>
        </is>
      </c>
      <c r="D111" s="72"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91)No crop production
92)DON'T KNOW
93)REFUSED</t>
        </is>
      </c>
      <c r="E111" s="56">
        <f>LEN(D111)</f>
        <v/>
      </c>
      <c r="F111" s="72"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11" s="56">
        <f>LEN(F111)</f>
        <v/>
      </c>
      <c r="H111" s="64" t="inlineStr">
        <is>
          <t>Single Choice</t>
        </is>
      </c>
      <c r="I111" s="56" t="inlineStr">
        <is>
          <t>NA</t>
        </is>
      </c>
      <c r="J111" s="56" t="inlineStr">
        <is>
          <t>NA</t>
        </is>
      </c>
      <c r="K111" s="58" t="inlineStr">
        <is>
          <t>Form Type - Dropdown
IsDemographic - crp_main</t>
        </is>
      </c>
      <c r="L111"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M111" s="194" t="inlineStr">
        <is>
          <t>1-90 = crp_irrig_source
91 = crp_main_check
92-93 = crp_salesmain</t>
        </is>
      </c>
      <c r="N111" s="360" t="n"/>
      <c r="O111" s="193" t="inlineStr">
        <is>
          <t>if crp_main = any type of crop, go to crp_irrig_source;
if crp_main = "No crop production", go to crp_main_check
if crp_main = "Don't know" or "Refused", go to crp_salesmain</t>
        </is>
      </c>
      <c r="P111" s="202" t="inlineStr"/>
      <c r="Q111" s="19" t="n"/>
      <c r="R111" s="300">
        <f>#REF!</f>
        <v/>
      </c>
      <c r="S111" s="53" t="n"/>
      <c r="U111" s="150" t="inlineStr">
        <is>
          <t>yes</t>
        </is>
      </c>
      <c r="V111" s="613" t="n"/>
      <c r="Y111" s="631" t="n">
        <v>23.44011688232422</v>
      </c>
      <c r="Z111" s="631">
        <f>IF(Y111="","",Y111*R111)</f>
        <v/>
      </c>
      <c r="AA111" s="53" t="e">
        <v>#REF!</v>
      </c>
    </row>
    <row r="112" ht="125.25" customFormat="1" customHeight="1" s="59">
      <c r="A112" s="38" t="n">
        <v>90</v>
      </c>
      <c r="B112" s="114" t="inlineStr">
        <is>
          <t>crp_main_check</t>
        </is>
      </c>
      <c r="C112" s="58" t="inlineStr">
        <is>
          <t>crp_main_check</t>
        </is>
      </c>
      <c r="D112" s="72" t="inlineStr">
        <is>
          <t>Why did you not produce any crops in Ongoing season?
[OPERATOR: SINGLE RESPONSE.]
1)Don’t usually produce during this season 
2)Wasn't able to produce [e.g. due to difficulties]</t>
        </is>
      </c>
      <c r="E112" s="56">
        <f>LEN(D112)</f>
        <v/>
      </c>
      <c r="F112" s="72"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12" s="56">
        <f>LEN(F112)</f>
        <v/>
      </c>
      <c r="H112" s="64" t="inlineStr">
        <is>
          <t>Single Choice</t>
        </is>
      </c>
      <c r="I112" s="56" t="inlineStr">
        <is>
          <t>NA</t>
        </is>
      </c>
      <c r="J112" s="56" t="inlineStr">
        <is>
          <t>NA</t>
        </is>
      </c>
      <c r="K112" s="58" t="inlineStr">
        <is>
          <t>Form Type - Buttons</t>
        </is>
      </c>
      <c r="L112" s="100" t="inlineStr">
        <is>
          <t>NA</t>
        </is>
      </c>
      <c r="M112" s="194" t="inlineStr">
        <is>
          <t>1 = crp_salesmain
2 = crp_proddif</t>
        </is>
      </c>
      <c r="N112" s="360" t="n"/>
      <c r="O112" s="193" t="inlineStr">
        <is>
          <t>if crp_main_check = 1, go to crp_salesmain
if crp_main_check = 2, go to crp_proddif</t>
        </is>
      </c>
      <c r="P112" s="202" t="inlineStr"/>
      <c r="Q112" s="19" t="n"/>
      <c r="R112" s="300">
        <f>#REF!</f>
        <v/>
      </c>
      <c r="S112" s="53" t="n"/>
      <c r="U112" s="150" t="inlineStr">
        <is>
          <t>yes</t>
        </is>
      </c>
      <c r="V112" s="613" t="n"/>
      <c r="Y112" s="631" t="n">
        <v>7.765957355499268</v>
      </c>
      <c r="Z112" s="631">
        <f>IF(Y112="","",Y112*R112)</f>
        <v/>
      </c>
      <c r="AA112" s="53" t="e">
        <v>#REF!</v>
      </c>
    </row>
    <row r="113" ht="237.75" customFormat="1" customHeight="1" s="59">
      <c r="A113" s="38" t="n">
        <v>91</v>
      </c>
      <c r="B113" s="597" t="inlineStr">
        <is>
          <t>crp_irrig_source</t>
        </is>
      </c>
      <c r="C113" s="179" t="inlineStr">
        <is>
          <t>crp_irrig_source</t>
        </is>
      </c>
      <c r="D113" s="559"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13" s="179">
        <f>LEN(D113)</f>
        <v/>
      </c>
      <c r="F113" s="72"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13" s="179">
        <f>LEN(F113)</f>
        <v/>
      </c>
      <c r="H113" s="566" t="inlineStr">
        <is>
          <t>Open Ended-Single Choice</t>
        </is>
      </c>
      <c r="I113" s="179" t="inlineStr">
        <is>
          <t>NA</t>
        </is>
      </c>
      <c r="J113" s="179" t="inlineStr">
        <is>
          <t>NA</t>
        </is>
      </c>
      <c r="K113" s="179" t="inlineStr">
        <is>
          <t>Form Type - RadioList</t>
        </is>
      </c>
      <c r="L113" s="100" t="inlineStr">
        <is>
          <t>NA</t>
        </is>
      </c>
      <c r="M113" s="194" t="inlineStr">
        <is>
          <t>1-8 = crp_seed_supply</t>
        </is>
      </c>
      <c r="N113" s="360" t="n"/>
      <c r="O113" s="193" t="inlineStr">
        <is>
          <t>if crp_irrig_source = crp_seed_supply</t>
        </is>
      </c>
      <c r="P113" s="203" t="inlineStr">
        <is>
          <t>1-8=crp_seed_supply</t>
        </is>
      </c>
      <c r="Q113" s="9" t="n"/>
      <c r="R113" s="300">
        <f>#REF!</f>
        <v/>
      </c>
      <c r="S113" s="53" t="n"/>
      <c r="U113" s="150" t="inlineStr">
        <is>
          <t>yes</t>
        </is>
      </c>
      <c r="V113" s="613" t="n"/>
      <c r="Y113" s="631" t="n">
        <v>16.48175621032715</v>
      </c>
      <c r="Z113" s="631">
        <f>IF(Y113="","",Y113*R113)</f>
        <v/>
      </c>
      <c r="AA113" s="53" t="e">
        <v>#REF!</v>
      </c>
    </row>
    <row r="114" ht="263.25" customFormat="1" customHeight="1" s="218">
      <c r="A114" s="38" t="n">
        <v>92</v>
      </c>
      <c r="B114" s="598" t="inlineStr">
        <is>
          <t>crp_seed_supply</t>
        </is>
      </c>
      <c r="C114" s="292" t="inlineStr">
        <is>
          <t>crp_seed_supply
1) crp_seed_ownprod
2) crp_seed_market
3) crp_seed_company
4) crp_seed_ngo
5) crp_seed_organized_community
6) crp_seed_gov
7) crp_seed_relatives_friends
8) crp_seed_other
9) crp_seed_dk
10) crp_seed_ref</t>
        </is>
      </c>
      <c r="D114" s="57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4" s="292">
        <f>LEN(D114)</f>
        <v/>
      </c>
      <c r="F114" s="578"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4" s="292">
        <f>LEN(F114)</f>
        <v/>
      </c>
      <c r="H114" s="255" t="inlineStr">
        <is>
          <t>Select All That Apply</t>
        </is>
      </c>
      <c r="I114" s="254" t="inlineStr">
        <is>
          <t>NA</t>
        </is>
      </c>
      <c r="J114" s="254" t="inlineStr">
        <is>
          <t>NA</t>
        </is>
      </c>
      <c r="K114" s="254" t="inlineStr">
        <is>
          <t>Form Type - Checklist
9,10 = IsNone</t>
        </is>
      </c>
      <c r="L114" s="215" t="inlineStr">
        <is>
          <t>1)crp_seed_ownprod
2)crp_seed_market
3)crp_seed_company
4)crp_seed_ngo
5)crp_seed_organized_community
6)crp_seed_gov
7)crp_seed_relatives_friends
8)crp_seed_other
9)crp_seed_dk
10)crp_seed_ref</t>
        </is>
      </c>
      <c r="M114" s="272" t="inlineStr">
        <is>
          <t>1-10 = crp_area_change</t>
        </is>
      </c>
      <c r="N114" s="361" t="n"/>
      <c r="O114" s="273" t="inlineStr">
        <is>
          <t>if crp_seed_supply = 1-10, go to crp_area_change</t>
        </is>
      </c>
      <c r="P114" s="274" t="inlineStr"/>
      <c r="Q114" s="238" t="n"/>
      <c r="R114" s="317">
        <f>#REF!</f>
        <v/>
      </c>
      <c r="S114" s="217" t="n"/>
      <c r="U114" s="219" t="inlineStr">
        <is>
          <t>no</t>
        </is>
      </c>
      <c r="V114" s="220" t="n"/>
      <c r="Y114" s="633" t="n">
        <v>18.51111030578613</v>
      </c>
      <c r="Z114" s="633">
        <f>IF(Y114="","",Y114*R114)</f>
        <v/>
      </c>
      <c r="AA114" s="217" t="inlineStr"/>
    </row>
    <row r="115" ht="217.5" customFormat="1" customHeight="1" s="59">
      <c r="A115" s="38" t="n">
        <v>93</v>
      </c>
      <c r="B115" s="182" t="inlineStr">
        <is>
          <t>crp_area_change</t>
        </is>
      </c>
      <c r="C115" s="183" t="inlineStr">
        <is>
          <t>crp_area_change</t>
        </is>
      </c>
      <c r="D115" s="559" t="inlineStr">
        <is>
          <t>How did the area planted for {crp_main} from Ongoing season compare to  last year?
[OPERATOR: SINGLE RESPONSE.]
1)A lot more [increased by more than 50%]
2)Slightly more
3)Same
4)Slightly less
5)A lot less [less than half as much]
6)DON'T KNOW
7)REFUSED</t>
        </is>
      </c>
      <c r="E115" s="179">
        <f>LEN(D115)</f>
        <v/>
      </c>
      <c r="F115" s="559"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179">
        <f>LEN(F115)</f>
        <v/>
      </c>
      <c r="H115" s="186" t="inlineStr">
        <is>
          <t>Single Choice</t>
        </is>
      </c>
      <c r="I115" s="179" t="inlineStr">
        <is>
          <t>NA</t>
        </is>
      </c>
      <c r="J115" s="179" t="inlineStr">
        <is>
          <t>NA</t>
        </is>
      </c>
      <c r="K115" s="179" t="inlineStr">
        <is>
          <t>Form Type - Buttons</t>
        </is>
      </c>
      <c r="L115" s="100" t="inlineStr">
        <is>
          <t>NA</t>
        </is>
      </c>
      <c r="M115" s="74" t="inlineStr">
        <is>
          <t>1-7 = crp_harv_change</t>
        </is>
      </c>
      <c r="N115" s="356" t="n"/>
      <c r="O115" s="74" t="inlineStr">
        <is>
          <t>if crp_area_change = 1-7, go to crp_harv_change</t>
        </is>
      </c>
      <c r="P115" s="20" t="inlineStr"/>
      <c r="Q115" s="9" t="n"/>
      <c r="R115" s="300">
        <f>#REF!</f>
        <v/>
      </c>
      <c r="S115" s="53" t="n"/>
      <c r="U115" s="150" t="inlineStr">
        <is>
          <t>yes</t>
        </is>
      </c>
      <c r="V115" s="613" t="n"/>
      <c r="Y115" s="631" t="n">
        <v>20.30868148803711</v>
      </c>
      <c r="Z115" s="631">
        <f>IF(Y115="","",Y115*R115)</f>
        <v/>
      </c>
      <c r="AA115" s="53" t="e">
        <v>#REF!</v>
      </c>
    </row>
    <row r="116" ht="208.5" customFormat="1" customHeight="1" s="59">
      <c r="A116" s="38" t="n">
        <v>94</v>
      </c>
      <c r="B116" s="597" t="inlineStr">
        <is>
          <t>crp_harv_change</t>
        </is>
      </c>
      <c r="C116" s="179" t="inlineStr">
        <is>
          <t>crp_harv_change</t>
        </is>
      </c>
      <c r="D116" s="559" t="inlineStr">
        <is>
          <t>How does the  harvest of {crp_main} in the Ongoing season compare to  last year? 
[OPERATOR: SINGLE RESPONSE.]
1)A lot more [increased by more than 50%]
2)Slightly more
3)Same
4)Slightly less
5)A lot less [less than half as much]
6)DON'T KNOW
7)REFUSED</t>
        </is>
      </c>
      <c r="E116" s="179">
        <f>LEN(D116)</f>
        <v/>
      </c>
      <c r="F116" s="559"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6" s="179">
        <f>LEN(F116)</f>
        <v/>
      </c>
      <c r="H116" s="186" t="inlineStr">
        <is>
          <t>Single Choice</t>
        </is>
      </c>
      <c r="I116" s="179" t="inlineStr">
        <is>
          <t>NA</t>
        </is>
      </c>
      <c r="J116" s="179" t="inlineStr">
        <is>
          <t>NA</t>
        </is>
      </c>
      <c r="K116" s="179" t="inlineStr">
        <is>
          <t>Form Type - Buttons</t>
        </is>
      </c>
      <c r="L116" s="100" t="inlineStr">
        <is>
          <t>NA</t>
        </is>
      </c>
      <c r="M116" s="184" t="inlineStr">
        <is>
          <t>1-7 = crp_proddif</t>
        </is>
      </c>
      <c r="N116" s="362" t="n"/>
      <c r="O116" s="204" t="inlineStr">
        <is>
          <t>if crp_harv_change = 1-7, go to [crp_proddif or crp_harv_vol]</t>
        </is>
      </c>
      <c r="P116" s="205" t="inlineStr">
        <is>
          <t>1-7 = crp_proddif</t>
        </is>
      </c>
      <c r="Q116" s="44" t="n"/>
      <c r="R116" s="300">
        <f>#REF!</f>
        <v/>
      </c>
      <c r="S116" s="53" t="n"/>
      <c r="U116" s="150" t="inlineStr">
        <is>
          <t>yes</t>
        </is>
      </c>
      <c r="V116" s="613" t="n"/>
      <c r="Y116" s="631" t="n">
        <v>15.44861221313477</v>
      </c>
      <c r="Z116" s="631">
        <f>IF(Y116="","",Y116*R116)</f>
        <v/>
      </c>
      <c r="AA116" s="53" t="e">
        <v>#REF!</v>
      </c>
    </row>
    <row r="117" ht="177.75" customFormat="1" customHeight="1" s="59">
      <c r="A117" s="38" t="n">
        <v>95</v>
      </c>
      <c r="B117" s="597" t="inlineStr">
        <is>
          <t>crp_proddif</t>
        </is>
      </c>
      <c r="C117" s="58" t="inlineStr">
        <is>
          <t>crp_proddif</t>
        </is>
      </c>
      <c r="D117" s="184" t="inlineStr">
        <is>
          <t>Has your household faced any significant difficulty in terms of crop production in Ongoing season?
[OPERATOR: SINGLE RESPONSE.]
1)YES
2)NO
3)DON'T KNOW
4)REFUSED</t>
        </is>
      </c>
      <c r="E117" s="179">
        <f>LEN(D117)</f>
        <v/>
      </c>
      <c r="F117" s="305" t="inlineStr">
        <is>
          <t>هل واجهت أسرتك أي صعوبة في إنتاج المحاصيل في الموسم الحالي؟
[المشغل: استجابة واحدة.]
1) نعم
2) لا
3) لا أعرف
4) رفض الإجابة</t>
        </is>
      </c>
      <c r="G117" s="179">
        <f>LEN(F117)</f>
        <v/>
      </c>
      <c r="H117" s="186" t="inlineStr">
        <is>
          <t>Single Choice</t>
        </is>
      </c>
      <c r="I117" s="179" t="inlineStr">
        <is>
          <t>NA</t>
        </is>
      </c>
      <c r="J117" s="179" t="inlineStr">
        <is>
          <t>NA</t>
        </is>
      </c>
      <c r="K117" s="179" t="inlineStr">
        <is>
          <t>Form Type - Buttons</t>
        </is>
      </c>
      <c r="L117" s="100" t="inlineStr">
        <is>
          <t>NA</t>
        </is>
      </c>
      <c r="M117" s="63" t="inlineStr">
        <is>
          <t>1 = crp_proddif_2
2-4 = crp_salesmain</t>
        </is>
      </c>
      <c r="N117" s="342" t="n"/>
      <c r="O117" s="63" t="inlineStr">
        <is>
          <t>if crp_proddif = 1, go to crp_proddif_2 ; 
if crp_proddif = 2-4, go to [crp_salesmain or optional question]</t>
        </is>
      </c>
      <c r="P117" s="21" t="inlineStr">
        <is>
          <t>1 = crp_proddif_2
2-4 = crp_salesmain</t>
        </is>
      </c>
      <c r="Q117" s="9" t="n"/>
      <c r="R117" s="300">
        <f>#REF!</f>
        <v/>
      </c>
      <c r="S117" s="53" t="n"/>
      <c r="U117" s="150" t="inlineStr">
        <is>
          <t>yes</t>
        </is>
      </c>
      <c r="V117" s="613" t="n"/>
      <c r="Y117" s="631" t="n">
        <v>11.37532997131348</v>
      </c>
      <c r="Z117" s="631">
        <f>IF(Y117="","",Y117*R117)</f>
        <v/>
      </c>
      <c r="AA117" s="53" t="e">
        <v>#REF!</v>
      </c>
    </row>
    <row r="118" ht="408.75" customFormat="1" customHeight="1" s="59" thickBot="1">
      <c r="A118" s="38" t="n">
        <v>96</v>
      </c>
      <c r="B118" s="115" t="inlineStr">
        <is>
          <t>crp_proddif_2</t>
        </is>
      </c>
      <c r="C118" s="566"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138"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50">
        <f>LEN(D118)</f>
        <v/>
      </c>
      <c r="F118" s="305"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50">
        <f>LEN(F118)</f>
        <v/>
      </c>
      <c r="H118" s="58" t="inlineStr">
        <is>
          <t>Select All That Apply</t>
        </is>
      </c>
      <c r="I118" s="50" t="inlineStr">
        <is>
          <t>NA</t>
        </is>
      </c>
      <c r="J118" s="50" t="inlineStr">
        <is>
          <t>NA</t>
        </is>
      </c>
      <c r="K118" s="50" t="inlineStr">
        <is>
          <t>Form Type - Checklist
17,18 = IsNone</t>
        </is>
      </c>
      <c r="L118" s="100"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18" s="137" t="inlineStr">
        <is>
          <t>1-18 = crp_salesmain</t>
        </is>
      </c>
      <c r="N118" s="343" t="n"/>
      <c r="O118" s="184" t="inlineStr">
        <is>
          <t>if crp_proddif_2 = 1-18, go to [crp_salesmain OR optional question]</t>
        </is>
      </c>
      <c r="P118" s="21" t="inlineStr">
        <is>
          <t>1-18 = crp_salesmain</t>
        </is>
      </c>
      <c r="Q118" s="9" t="n"/>
      <c r="R118" s="300">
        <f>#REF!</f>
        <v/>
      </c>
      <c r="S118" s="53" t="n"/>
      <c r="U118" s="150" t="inlineStr">
        <is>
          <t>yes</t>
        </is>
      </c>
      <c r="V118" s="613" t="n"/>
      <c r="Y118" s="631" t="n">
        <v>25.84499931335449</v>
      </c>
      <c r="Z118" s="631">
        <f>IF(Y118="","",Y118*R118)</f>
        <v/>
      </c>
      <c r="AA118" s="53" t="e">
        <v>#REF!</v>
      </c>
    </row>
    <row r="119" ht="16.4" customFormat="1" customHeight="1" s="149" thickBot="1">
      <c r="A119" s="604" t="inlineStr">
        <is>
          <t>D. CROP MARKETING</t>
        </is>
      </c>
      <c r="B119" s="629" t="n"/>
      <c r="C119" s="629" t="n"/>
      <c r="D119" s="629" t="n"/>
      <c r="E119" s="629" t="n"/>
      <c r="F119" s="629" t="n"/>
      <c r="G119" s="629" t="n"/>
      <c r="H119" s="629" t="n"/>
      <c r="I119" s="629" t="n"/>
      <c r="J119" s="629" t="n"/>
      <c r="K119" s="629" t="n"/>
      <c r="L119" s="629" t="n"/>
      <c r="M119" s="629" t="n"/>
      <c r="N119" s="629" t="n"/>
      <c r="O119" s="629" t="n"/>
      <c r="P119" s="629" t="n"/>
      <c r="Q119" s="630" t="n"/>
      <c r="R119" s="306" t="n"/>
      <c r="S119" s="151" t="n"/>
      <c r="U119" s="150" t="n"/>
      <c r="V119" s="623" t="n"/>
      <c r="Y119" s="631" t="n"/>
      <c r="Z119" s="631">
        <f>IF(Y119="","",Y119*R119)</f>
        <v/>
      </c>
      <c r="AA119" s="151">
        <f>IF(U119="yes",Z119,"")</f>
        <v/>
      </c>
    </row>
    <row r="120" ht="265.4" customFormat="1" customHeight="1" s="59">
      <c r="A120" s="38" t="n">
        <v>97</v>
      </c>
      <c r="B120" s="114" t="inlineStr">
        <is>
          <t>crp_salesmain</t>
        </is>
      </c>
      <c r="C120" s="116" t="inlineStr">
        <is>
          <t>crp_salesmain</t>
        </is>
      </c>
      <c r="D120" s="80" t="inlineStr">
        <is>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91)DON'T KNOW
92)REFUSED</t>
        </is>
      </c>
      <c r="E120" s="56">
        <f>LEN(D120)</f>
        <v/>
      </c>
      <c r="F120" s="16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56">
        <f>LEN(F120)</f>
        <v/>
      </c>
      <c r="H120" s="64" t="inlineStr">
        <is>
          <t>Single Choice</t>
        </is>
      </c>
      <c r="I120" s="56" t="inlineStr">
        <is>
          <t>NA</t>
        </is>
      </c>
      <c r="J120" s="5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20" s="56" t="inlineStr">
        <is>
          <t>Form Type - Dropdown
IsDemographic - crp_salesmain</t>
        </is>
      </c>
      <c r="L120"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M120" s="55" t="inlineStr">
        <is>
          <t>1-90 = crp_salesdif
91-92 = ls_intro</t>
        </is>
      </c>
      <c r="N120" s="195" t="n"/>
      <c r="O120" s="55"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P120" s="30" t="inlineStr"/>
      <c r="Q120" s="19" t="n"/>
      <c r="R120" s="300">
        <f>#REF!</f>
        <v/>
      </c>
      <c r="S120" s="53" t="n"/>
      <c r="U120" s="150" t="inlineStr">
        <is>
          <t>yes</t>
        </is>
      </c>
      <c r="V120" s="613" t="n"/>
      <c r="Y120" s="631" t="n">
        <v>17.61201477050781</v>
      </c>
      <c r="Z120" s="631">
        <f>IF(Y120="","",Y120*R120)</f>
        <v/>
      </c>
      <c r="AA120" s="53" t="e">
        <v>#REF!</v>
      </c>
    </row>
    <row r="121" ht="222" customFormat="1" customHeight="1" s="59">
      <c r="A121" s="38" t="n">
        <v>98</v>
      </c>
      <c r="B121" s="139" t="inlineStr">
        <is>
          <t>crp_salesdif</t>
        </is>
      </c>
      <c r="C121" s="58" t="inlineStr">
        <is>
          <t>crp_salesdif</t>
        </is>
      </c>
      <c r="D121" s="57" t="inlineStr">
        <is>
          <t>Has your household faced any significant difficulty in the last 3 months selling your {crp_salesmain}?
[OPERATOR: SINGLE RESPONSE.]
1)YES
2)NO
3)DON'T KNOW
4)REFUSED</t>
        </is>
      </c>
      <c r="E121" s="56">
        <f>LEN(D121)</f>
        <v/>
      </c>
      <c r="F121" s="166" t="inlineStr">
        <is>
          <t>هل واجهت أسرتك أي صعوبة خلال الأشهر الثلاثة الماضية في بيع {crp_salesmain}؟
[المشغل: استجابة واحدة.]
1) نعم
2) لا
3) لا أعرف
4) رفض الإجابة</t>
        </is>
      </c>
      <c r="G121" s="56">
        <f>LEN(F121)</f>
        <v/>
      </c>
      <c r="H121" s="64" t="inlineStr">
        <is>
          <t>Single Choice</t>
        </is>
      </c>
      <c r="I121" s="56" t="inlineStr">
        <is>
          <t>NA</t>
        </is>
      </c>
      <c r="J121" s="58" t="inlineStr">
        <is>
          <t>NA</t>
        </is>
      </c>
      <c r="K121" s="56" t="inlineStr">
        <is>
          <t>Form Type - Buttons</t>
        </is>
      </c>
      <c r="L121" s="100" t="inlineStr">
        <is>
          <t>NA</t>
        </is>
      </c>
      <c r="M121" s="55" t="inlineStr">
        <is>
          <t>1 = crp_salesdif_2
2-4 = crp_salesprice</t>
        </is>
      </c>
      <c r="N121" s="195" t="n"/>
      <c r="O121" s="55" t="inlineStr">
        <is>
          <t>if crp_salesdif = 1, go to crp_salesdif_2 ; 
if crp_salesdif = 2-4, go to crp_salesprice</t>
        </is>
      </c>
      <c r="P121" s="30" t="inlineStr"/>
      <c r="Q121" s="19" t="n"/>
      <c r="R121" s="300">
        <f>#REF!</f>
        <v/>
      </c>
      <c r="S121" s="53" t="n"/>
      <c r="U121" s="150" t="inlineStr">
        <is>
          <t>yes</t>
        </is>
      </c>
      <c r="V121" s="613" t="n"/>
      <c r="Y121" s="631" t="n">
        <v>10.45715618133545</v>
      </c>
      <c r="Z121" s="631">
        <f>IF(Y121="","",Y121*R121)</f>
        <v/>
      </c>
      <c r="AA121" s="53" t="e">
        <v>#REF!</v>
      </c>
    </row>
    <row r="122" ht="346.5" customFormat="1" customHeight="1" s="59">
      <c r="A122" s="38" t="n">
        <v>99</v>
      </c>
      <c r="B122" s="182" t="inlineStr">
        <is>
          <t>crp_salesdif_2</t>
        </is>
      </c>
      <c r="C122" s="58"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38"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56">
        <f>LEN(D122)</f>
        <v/>
      </c>
      <c r="F122" s="166" t="inlineStr">
        <is>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رفض الإجابة </t>
        </is>
      </c>
      <c r="G122" s="56">
        <f>LEN(F122)</f>
        <v/>
      </c>
      <c r="H122" s="58" t="inlineStr">
        <is>
          <t>Select All That Apply</t>
        </is>
      </c>
      <c r="I122" s="179" t="inlineStr">
        <is>
          <t>NA</t>
        </is>
      </c>
      <c r="J122" s="561" t="inlineStr">
        <is>
          <t>NA</t>
        </is>
      </c>
      <c r="K122" s="179" t="inlineStr">
        <is>
          <t>Form Type - Checklist
9,10 = IsNone</t>
        </is>
      </c>
      <c r="L122" s="100" t="inlineStr">
        <is>
          <t>1)crp_saledif_marketing_cost
2)crp_saledif_damage_losses
3)crp_saledif_low_demand
4)crp_saledif_pay_delay
5)crp_saledif_low_price
6)crp_saledif_processing
7)crp_saledif_competition
8)crp_saledif_other
9)crp_saledif_dk
10)crp_saledif_ref</t>
        </is>
      </c>
      <c r="M122" s="63" t="inlineStr">
        <is>
          <t>1-10 = crp_salesprice</t>
        </is>
      </c>
      <c r="N122" s="342" t="n"/>
      <c r="O122" s="63" t="inlineStr">
        <is>
          <t>if crp_salesdif_2 = 1-10, go to crp_salesprice</t>
        </is>
      </c>
      <c r="P122" s="28" t="inlineStr"/>
      <c r="Q122" s="9" t="n"/>
      <c r="R122" s="300">
        <f>#REF!</f>
        <v/>
      </c>
      <c r="S122" s="53" t="n"/>
      <c r="U122" s="150" t="inlineStr">
        <is>
          <t>yes</t>
        </is>
      </c>
      <c r="V122" s="613" t="n"/>
      <c r="Y122" s="631" t="n">
        <v>20.76996231079102</v>
      </c>
      <c r="Z122" s="631">
        <f>IF(Y122="","",Y122*R122)</f>
        <v/>
      </c>
      <c r="AA122" s="53" t="e">
        <v>#REF!</v>
      </c>
    </row>
    <row r="123" ht="261" customFormat="1" customHeight="1" s="59" thickBot="1">
      <c r="A123" s="38" t="n">
        <v>100</v>
      </c>
      <c r="B123" s="182" t="inlineStr">
        <is>
          <t>crp_salesprice</t>
        </is>
      </c>
      <c r="C123" s="58" t="inlineStr">
        <is>
          <t>crp_salesprice</t>
        </is>
      </c>
      <c r="D123" s="184"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79">
        <f>LEN(D123)</f>
        <v/>
      </c>
      <c r="F123" s="305"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3" s="179">
        <f>LEN(F123)</f>
        <v/>
      </c>
      <c r="H123" s="186" t="inlineStr">
        <is>
          <t>Single Choice</t>
        </is>
      </c>
      <c r="I123" s="179" t="inlineStr">
        <is>
          <t>NA</t>
        </is>
      </c>
      <c r="J123" s="179" t="inlineStr">
        <is>
          <t>NA</t>
        </is>
      </c>
      <c r="K123" s="179" t="inlineStr">
        <is>
          <t>Form Type - Buttons</t>
        </is>
      </c>
      <c r="L123" s="100" t="inlineStr">
        <is>
          <t>NA</t>
        </is>
      </c>
      <c r="M123" s="74" t="inlineStr">
        <is>
          <t>1-7 = ls_intro</t>
        </is>
      </c>
      <c r="N123" s="348" t="n"/>
      <c r="O123" s="62" t="inlineStr">
        <is>
          <t>if crp_salesprice = 1-7, go to ls_intro</t>
        </is>
      </c>
      <c r="P123" s="73" t="inlineStr"/>
      <c r="Q123" s="9" t="n"/>
      <c r="R123" s="300">
        <f>#REF!</f>
        <v/>
      </c>
      <c r="S123" s="53" t="n"/>
      <c r="U123" s="150" t="inlineStr">
        <is>
          <t>yes</t>
        </is>
      </c>
      <c r="V123" s="613" t="n"/>
      <c r="Y123" s="631" t="n">
        <v>23.56972122192383</v>
      </c>
      <c r="Z123" s="631">
        <f>IF(Y123="","",Y123*R123)</f>
        <v/>
      </c>
      <c r="AA123" s="53" t="e">
        <v>#REF!</v>
      </c>
    </row>
    <row r="124" ht="16.4" customFormat="1" customHeight="1" s="149" thickBot="1">
      <c r="A124" s="604" t="inlineStr">
        <is>
          <t>E. LIVESTOCK PRODUCTION</t>
        </is>
      </c>
      <c r="B124" s="629" t="n"/>
      <c r="C124" s="629" t="n"/>
      <c r="D124" s="629" t="n"/>
      <c r="E124" s="629" t="n"/>
      <c r="F124" s="629" t="n"/>
      <c r="G124" s="629" t="n"/>
      <c r="H124" s="629" t="n"/>
      <c r="I124" s="629" t="n"/>
      <c r="J124" s="629" t="n"/>
      <c r="K124" s="629" t="n"/>
      <c r="L124" s="629" t="n"/>
      <c r="M124" s="629" t="n"/>
      <c r="N124" s="629" t="n"/>
      <c r="O124" s="629" t="n"/>
      <c r="P124" s="629" t="n"/>
      <c r="Q124" s="630" t="n"/>
      <c r="R124" s="306" t="n"/>
      <c r="S124" s="151" t="n"/>
      <c r="U124" s="150" t="n"/>
      <c r="V124" s="623" t="n"/>
      <c r="Y124" s="631" t="n"/>
      <c r="Z124" s="631">
        <f>IF(Y124="","",Y124*R124)</f>
        <v/>
      </c>
      <c r="AA124" s="151">
        <f>IF(U124="yes",Z124,"")</f>
        <v/>
      </c>
    </row>
    <row r="125" ht="144.75" customFormat="1" customHeight="1" s="59">
      <c r="A125" s="38">
        <f>A123+1</f>
        <v/>
      </c>
      <c r="B125" s="147" t="inlineStr">
        <is>
          <t>ls_intro</t>
        </is>
      </c>
      <c r="C125" s="148" t="inlineStr">
        <is>
          <t>ls_intro</t>
        </is>
      </c>
      <c r="D125" s="140" t="inlineStr">
        <is>
          <t>We will now ask you some questions about livestock production which apply to you and anyone in your household that is involved in livestock production or sales. 
1)CONTINUE</t>
        </is>
      </c>
      <c r="E125" s="56">
        <f>LEN(D125)</f>
        <v/>
      </c>
      <c r="F125" s="140" t="inlineStr">
        <is>
          <t>سنطرح عليك الآن بعض الأسئلة حول إنتاج الماشية التي تنطبق عليك وعلى أي شخص في أسرتك يشارك في إنتاج الماشية أو بيعها.
1) تابع</t>
        </is>
      </c>
      <c r="G125" s="56">
        <f>LEN(F125)</f>
        <v/>
      </c>
      <c r="H125" s="56" t="inlineStr">
        <is>
          <t>Single Choice</t>
        </is>
      </c>
      <c r="I125" s="56" t="inlineStr">
        <is>
          <t>NA</t>
        </is>
      </c>
      <c r="J125" s="5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5" s="56" t="inlineStr">
        <is>
          <t>Form Type - Buttons</t>
        </is>
      </c>
      <c r="L125" s="100" t="inlineStr">
        <is>
          <t>NA</t>
        </is>
      </c>
      <c r="M125" s="55" t="inlineStr">
        <is>
          <t>1 = ls_main</t>
        </is>
      </c>
      <c r="N125" s="195" t="n"/>
      <c r="O125" s="6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25" s="73" t="inlineStr"/>
      <c r="Q125" s="8" t="n"/>
      <c r="R125" s="306">
        <f>#REF!</f>
        <v/>
      </c>
      <c r="S125" s="53" t="n"/>
      <c r="U125" s="150" t="inlineStr">
        <is>
          <t>yes</t>
        </is>
      </c>
      <c r="V125" s="613" t="n"/>
      <c r="Y125" s="631" t="n">
        <v>4.50195837020874</v>
      </c>
      <c r="Z125" s="631">
        <f>IF(Y125="","",Y125*R125)</f>
        <v/>
      </c>
      <c r="AA125" s="53" t="e">
        <v>#REF!</v>
      </c>
    </row>
    <row r="126" ht="339.75" customFormat="1" customHeight="1" s="59">
      <c r="A126" s="38">
        <f>A125+1</f>
        <v/>
      </c>
      <c r="B126" s="114" t="inlineStr">
        <is>
          <t>ls_main</t>
        </is>
      </c>
      <c r="C126" s="58" t="inlineStr">
        <is>
          <t>ls_main</t>
        </is>
      </c>
      <c r="D126" s="5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56">
        <f>LEN(D126)</f>
        <v/>
      </c>
      <c r="F126" s="16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6" s="56">
        <f>LEN(F126)</f>
        <v/>
      </c>
      <c r="H126" s="56" t="inlineStr">
        <is>
          <t>Single Choice</t>
        </is>
      </c>
      <c r="I126" s="56" t="inlineStr">
        <is>
          <t>NA</t>
        </is>
      </c>
      <c r="J126" s="56" t="inlineStr">
        <is>
          <t>NA</t>
        </is>
      </c>
      <c r="K126" s="58" t="inlineStr">
        <is>
          <t>Form Type - Buttons
IsDemographic - ls_main</t>
        </is>
      </c>
      <c r="L126" s="100" t="inlineStr">
        <is>
          <t>NA</t>
        </is>
      </c>
      <c r="M126" s="55" t="inlineStr">
        <is>
          <t>1-9 = ls_num_lastyr
10-11 = ls_proddif</t>
        </is>
      </c>
      <c r="N126" s="195" t="n"/>
      <c r="O126" s="62" t="inlineStr">
        <is>
          <t>if ls_main = 1-9, go to ls_num_lastyr ; 
If ls_main = 10-11, go to ls_proddif</t>
        </is>
      </c>
      <c r="P126" s="73" t="inlineStr"/>
      <c r="Q126" s="19" t="n"/>
      <c r="R126" s="306">
        <f>#REF!</f>
        <v/>
      </c>
      <c r="S126" s="53" t="n"/>
      <c r="U126" s="150" t="inlineStr">
        <is>
          <t>yes</t>
        </is>
      </c>
      <c r="V126" s="613" t="n"/>
      <c r="Y126" s="631" t="n">
        <v>17.40248489379883</v>
      </c>
      <c r="Z126" s="631">
        <f>IF(Y126="","",Y126*R126)</f>
        <v/>
      </c>
      <c r="AA126" s="53" t="e">
        <v>#REF!</v>
      </c>
    </row>
    <row r="127" ht="62.5" customFormat="1" customHeight="1" s="59">
      <c r="A127" s="18">
        <f>A126+1</f>
        <v/>
      </c>
      <c r="B127" s="182" t="inlineStr">
        <is>
          <t>ls_num_lastyr</t>
        </is>
      </c>
      <c r="C127" s="58" t="inlineStr">
        <is>
          <t>ls_num_lastyr</t>
        </is>
      </c>
      <c r="D127" s="184" t="inlineStr">
        <is>
          <t>How many {ls_main} did you have at the same time last year?
[OPERATOR: RECORD THE NUMBER OF ANIMALS. ENTER 88888 FOR DON'T KNOW AND 99999 FOR REFUSED.]</t>
        </is>
      </c>
      <c r="E127" s="179">
        <f>LEN(D127)</f>
        <v/>
      </c>
      <c r="F127" s="305" t="inlineStr">
        <is>
          <t>كم {ls_main} كان لديك في نفس الوقت من العام الماضي؟
[المُشغل: سجل عدد الحيوانات. أدخل 88888 للا أعرف و 99999 في حالة الرفض.]</t>
        </is>
      </c>
      <c r="G127" s="179">
        <f>LEN(F127)</f>
        <v/>
      </c>
      <c r="H127" s="186" t="inlineStr">
        <is>
          <t>Range</t>
        </is>
      </c>
      <c r="I127" s="179" t="inlineStr">
        <is>
          <t>NA</t>
        </is>
      </c>
      <c r="J127" s="179" t="inlineStr">
        <is>
          <t>NA</t>
        </is>
      </c>
      <c r="K127" s="179" t="inlineStr">
        <is>
          <t>Form Type - TextBox</t>
        </is>
      </c>
      <c r="L127" s="100" t="inlineStr">
        <is>
          <t>NA</t>
        </is>
      </c>
      <c r="M127" s="63" t="inlineStr">
        <is>
          <t>0-10000 = ls_num_now
88888-88888 = ls_num_now
99999-99999 = ls_num_now</t>
        </is>
      </c>
      <c r="N127" s="342" t="n"/>
      <c r="O127" s="63" t="inlineStr">
        <is>
          <t>answers can range from 0-10000; any response goes to ls_num_now</t>
        </is>
      </c>
      <c r="P127" s="30" t="inlineStr"/>
      <c r="Q127" s="9" t="n"/>
      <c r="R127" s="306">
        <f>#REF!</f>
        <v/>
      </c>
      <c r="S127" s="53" t="n"/>
      <c r="U127" s="150" t="inlineStr">
        <is>
          <t>yes</t>
        </is>
      </c>
      <c r="V127" s="613" t="n"/>
      <c r="Y127" s="631" t="n">
        <v>16.33288192749023</v>
      </c>
      <c r="Z127" s="631">
        <f>IF(Y127="","",Y127*R127)</f>
        <v/>
      </c>
      <c r="AA127" s="53" t="e">
        <v>#REF!</v>
      </c>
    </row>
    <row r="128" ht="62.5" customFormat="1" customHeight="1" s="59">
      <c r="A128" s="18">
        <f>A127+1</f>
        <v/>
      </c>
      <c r="B128" s="182" t="inlineStr">
        <is>
          <t>ls_num_now</t>
        </is>
      </c>
      <c r="C128" s="58" t="inlineStr">
        <is>
          <t>ls_num_now</t>
        </is>
      </c>
      <c r="D128" s="559" t="inlineStr">
        <is>
          <t>How many {ls_main} do you have now?
[OPERATOR: RECORD THE NUMBER OF ANIMALS. ENTER 88888 FOR DON'T KNOW AND 99999 FOR REFUSED.]</t>
        </is>
      </c>
      <c r="E128" s="179">
        <f>LEN(D128)</f>
        <v/>
      </c>
      <c r="F128" s="559" t="inlineStr">
        <is>
          <t>كم {ls_main} لديك الآن؟
[المُشغل: سجل عدد الحيوانات. أدخل 88888 للا أعرف و 99999 في حالة الرفض.]</t>
        </is>
      </c>
      <c r="G128" s="179">
        <f>LEN(F128)</f>
        <v/>
      </c>
      <c r="H128" s="186" t="inlineStr">
        <is>
          <t>Range</t>
        </is>
      </c>
      <c r="I128" s="179" t="inlineStr">
        <is>
          <t>NA</t>
        </is>
      </c>
      <c r="J128" s="179" t="inlineStr">
        <is>
          <t>NA</t>
        </is>
      </c>
      <c r="K128" s="179" t="inlineStr">
        <is>
          <t>Form Type - TextBox</t>
        </is>
      </c>
      <c r="L128" s="100" t="inlineStr">
        <is>
          <t>NA</t>
        </is>
      </c>
      <c r="M128" s="63" t="inlineStr">
        <is>
          <t>0-10000 = ls_num_change
88888-88888 = ls_num_change
99999-99999 = ls_num_change</t>
        </is>
      </c>
      <c r="N128" s="342" t="n"/>
      <c r="O128" s="63" t="inlineStr">
        <is>
          <t>answers can range from 0-10000; any response goes to ls_num_change</t>
        </is>
      </c>
      <c r="P128" s="30" t="inlineStr"/>
      <c r="Q128" s="9" t="n"/>
      <c r="R128" s="306">
        <f>#REF!</f>
        <v/>
      </c>
      <c r="S128" s="53" t="n"/>
      <c r="U128" s="150" t="inlineStr">
        <is>
          <t>yes</t>
        </is>
      </c>
      <c r="V128" s="613" t="n"/>
      <c r="Y128" s="631" t="n">
        <v>7.41445255279541</v>
      </c>
      <c r="Z128" s="631">
        <f>IF(Y128="","",Y128*R128)</f>
        <v/>
      </c>
      <c r="AA128" s="53" t="e">
        <v>#REF!</v>
      </c>
    </row>
    <row r="129" ht="383.25" customFormat="1" customHeight="1" s="59">
      <c r="A129" s="18">
        <f>A128+1</f>
        <v/>
      </c>
      <c r="B129" s="182" t="inlineStr">
        <is>
          <t>ls_num_change</t>
        </is>
      </c>
      <c r="C129" s="5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29" s="179">
        <f>LEN(D129)</f>
        <v/>
      </c>
      <c r="F129" s="559"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29" s="179">
        <f>LEN(F129)</f>
        <v/>
      </c>
      <c r="H129" s="58" t="inlineStr">
        <is>
          <t>Select All That Apply</t>
        </is>
      </c>
      <c r="I129" s="179" t="inlineStr">
        <is>
          <t>NA</t>
        </is>
      </c>
      <c r="J129" s="179" t="inlineStr">
        <is>
          <t>NA</t>
        </is>
      </c>
      <c r="K129" s="179" t="inlineStr">
        <is>
          <t>Form Type - Checklist
1,13,14 = IsNone</t>
        </is>
      </c>
      <c r="L129" s="100"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29" s="63" t="inlineStr">
        <is>
          <t>1-14 = ls_feed</t>
        </is>
      </c>
      <c r="N129" s="195" t="n"/>
      <c r="O129" s="62" t="inlineStr">
        <is>
          <t>If ls_num_change 1-14 = [ls_feed]</t>
        </is>
      </c>
      <c r="P129" s="14" t="inlineStr">
        <is>
          <t>1-14 = ls_feed</t>
        </is>
      </c>
      <c r="Q129" s="9" t="n"/>
      <c r="R129" s="306">
        <f>#REF!</f>
        <v/>
      </c>
      <c r="S129" s="53" t="n"/>
      <c r="U129" s="150" t="inlineStr">
        <is>
          <t>yes</t>
        </is>
      </c>
      <c r="V129" s="613" t="n"/>
      <c r="Y129" s="631" t="n">
        <v>17.79113578796387</v>
      </c>
      <c r="Z129" s="631">
        <f>IF(Y129="","",Y129*R129)</f>
        <v/>
      </c>
      <c r="AA129" s="53" t="e">
        <v>#REF!</v>
      </c>
    </row>
    <row r="130" ht="238.4" customFormat="1" customHeight="1" s="218">
      <c r="A130" s="18">
        <f>A129+1</f>
        <v/>
      </c>
      <c r="B130" s="290" t="inlineStr">
        <is>
          <t>ls_feed</t>
        </is>
      </c>
      <c r="C130" s="255" t="inlineStr">
        <is>
          <t>ls_feed
1) ls_feed_open_pasture
2) ls_feed_common_pasture
3) ls_feed_self_produced
4) ls_feed_purchased
5) ls_feed_free_dist
6) ls_feed_other
7) ls_feed_dk
8) ls_feed_ref</t>
        </is>
      </c>
      <c r="D130" s="230"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0" s="292">
        <f>LEN(D130)</f>
        <v/>
      </c>
      <c r="F130" s="293"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0" s="292">
        <f>LEN(F130)</f>
        <v/>
      </c>
      <c r="H130" s="275" t="inlineStr">
        <is>
          <t>Select All That Apply</t>
        </is>
      </c>
      <c r="I130" s="292" t="inlineStr">
        <is>
          <t>NA</t>
        </is>
      </c>
      <c r="J130" s="292" t="inlineStr">
        <is>
          <t>NA</t>
        </is>
      </c>
      <c r="K130" s="292" t="inlineStr">
        <is>
          <t>Form Type - Checklist
7,8 = IsNone</t>
        </is>
      </c>
      <c r="L130" s="215" t="inlineStr">
        <is>
          <t>1)ls_feed_open_pasture
2)ls_feed_common_pasture
3)ls_feed_self_produced
4)ls_feed_purchased
5)ls_feed_free_dist
6)ls_feed_other
7)ls_feed_dk
8)ls_feed_ref</t>
        </is>
      </c>
      <c r="M130" s="229" t="inlineStr">
        <is>
          <t>1-8 = ls_proddif</t>
        </is>
      </c>
      <c r="N130" s="355" t="n"/>
      <c r="O130" s="273" t="inlineStr">
        <is>
          <t>For any response, go to ls_proddif</t>
        </is>
      </c>
      <c r="P130" s="274" t="inlineStr"/>
      <c r="Q130" s="238" t="n"/>
      <c r="R130" s="317">
        <f>#REF!</f>
        <v/>
      </c>
      <c r="S130" s="217" t="n"/>
      <c r="U130" s="219" t="inlineStr">
        <is>
          <t>no</t>
        </is>
      </c>
      <c r="V130" s="220" t="n"/>
      <c r="Y130" s="633" t="n">
        <v>18.08681678771973</v>
      </c>
      <c r="Z130" s="633">
        <f>IF(Y130="","",Y130*R130)</f>
        <v/>
      </c>
      <c r="AA130" s="217" t="inlineStr"/>
    </row>
    <row r="131" ht="140.5" customFormat="1" customHeight="1" s="59">
      <c r="A131" s="18">
        <f>A130+1</f>
        <v/>
      </c>
      <c r="B131" s="182" t="inlineStr">
        <is>
          <t>ls_proddif</t>
        </is>
      </c>
      <c r="C131" s="58" t="inlineStr">
        <is>
          <t>ls_proddif</t>
        </is>
      </c>
      <c r="D131" s="184" t="inlineStr">
        <is>
          <t>Has your household faced any significant difficulty with livestock production over the last 3 months?
[OPERATOR: SINGLE RESPONSE.]
1)YES 
2)NO
3)DON'T KNOW
4)REFUSED</t>
        </is>
      </c>
      <c r="E131" s="179">
        <f>LEN(D131)</f>
        <v/>
      </c>
      <c r="F131" s="305" t="inlineStr">
        <is>
          <t>هل واجهت أسرتك أي صعوبة في إنتاج الماشية خلال الأشهر الثلاثة الماضية؟
[المشغل: استجابة واحدة.]
1) نعم
2) لا
3) لا أعرف
4) رفض الإجابة</t>
        </is>
      </c>
      <c r="G131" s="179">
        <f>LEN(F131)</f>
        <v/>
      </c>
      <c r="H131" s="186" t="inlineStr">
        <is>
          <t>Single Choice</t>
        </is>
      </c>
      <c r="I131" s="179" t="inlineStr">
        <is>
          <t>NA</t>
        </is>
      </c>
      <c r="J131" s="179" t="inlineStr">
        <is>
          <t>NA</t>
        </is>
      </c>
      <c r="K131" s="179" t="inlineStr">
        <is>
          <t>Form Type - Buttons</t>
        </is>
      </c>
      <c r="L131" s="100" t="inlineStr">
        <is>
          <t>NA</t>
        </is>
      </c>
      <c r="M131" s="63" t="inlineStr">
        <is>
          <t>1=ls_proddif_2
2-4= ls_salesmain</t>
        </is>
      </c>
      <c r="N131" s="342" t="n"/>
      <c r="O131" s="63" t="inlineStr">
        <is>
          <t>if ls_proddif = 1, go to ls_proddif_2 ; 
if ls_proddif = 2-4, go to [ls_salesmain OR optional question]</t>
        </is>
      </c>
      <c r="P131" s="16" t="inlineStr">
        <is>
          <t>1=ls_proddif_2
2-4= ls_salesmain</t>
        </is>
      </c>
      <c r="Q131" s="9" t="n"/>
      <c r="R131" s="306">
        <f>#REF!</f>
        <v/>
      </c>
      <c r="S131" s="53" t="n"/>
      <c r="U131" s="150" t="inlineStr">
        <is>
          <t>yes</t>
        </is>
      </c>
      <c r="V131" s="613" t="n"/>
      <c r="Y131" s="631" t="n">
        <v>10.37455940246582</v>
      </c>
      <c r="Z131" s="631">
        <f>IF(Y131="","",Y131*R131)</f>
        <v/>
      </c>
      <c r="AA131" s="53" t="e">
        <v>#REF!</v>
      </c>
    </row>
    <row r="132" ht="327.65" customFormat="1" customHeight="1" s="59" thickBot="1">
      <c r="A132" s="18">
        <f>A131+1</f>
        <v/>
      </c>
      <c r="B132" s="115" t="inlineStr">
        <is>
          <t>ls_proddif_2</t>
        </is>
      </c>
      <c r="C132" s="5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2" s="184"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2" s="179">
        <f>LEN(D132)</f>
        <v/>
      </c>
      <c r="F132" s="305"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2" s="179">
        <f>LEN(F132)</f>
        <v/>
      </c>
      <c r="H132" s="58" t="inlineStr">
        <is>
          <t>Select All That Apply</t>
        </is>
      </c>
      <c r="I132" s="179" t="inlineStr">
        <is>
          <t>NA</t>
        </is>
      </c>
      <c r="J132" s="179" t="inlineStr">
        <is>
          <t>NA</t>
        </is>
      </c>
      <c r="K132" s="179" t="inlineStr">
        <is>
          <t>Form Type - Checklist
12,13 = IsNone</t>
        </is>
      </c>
      <c r="L132" s="100"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32" s="184" t="inlineStr">
        <is>
          <t>1-13 = ls_salesmain</t>
        </is>
      </c>
      <c r="N132" s="347" t="n"/>
      <c r="O132" s="184" t="inlineStr">
        <is>
          <t>if ls_proddif_2 = 1-13, go to ls_salesmain OR optional question</t>
        </is>
      </c>
      <c r="P132" s="21" t="inlineStr">
        <is>
          <t>1-13 = ls_salesmain</t>
        </is>
      </c>
      <c r="Q132" s="9" t="n"/>
      <c r="R132" s="306">
        <f>#REF!</f>
        <v/>
      </c>
      <c r="S132" s="53" t="n"/>
      <c r="U132" s="150" t="inlineStr">
        <is>
          <t>yes</t>
        </is>
      </c>
      <c r="V132" s="613" t="n"/>
      <c r="Y132" s="631" t="n">
        <v>19.61676216125488</v>
      </c>
      <c r="Z132" s="631">
        <f>IF(Y132="","",Y132*R132)</f>
        <v/>
      </c>
      <c r="AA132" s="53" t="e">
        <v>#REF!</v>
      </c>
    </row>
    <row r="133" ht="16.4" customFormat="1" customHeight="1" s="149" thickBot="1">
      <c r="A133" s="604" t="inlineStr">
        <is>
          <t>E. LIVESTOCK MARKETING</t>
        </is>
      </c>
      <c r="B133" s="629" t="n"/>
      <c r="C133" s="629" t="n"/>
      <c r="D133" s="629" t="n"/>
      <c r="E133" s="629" t="n"/>
      <c r="F133" s="629" t="n"/>
      <c r="G133" s="629" t="n"/>
      <c r="H133" s="629" t="n"/>
      <c r="I133" s="629" t="n"/>
      <c r="J133" s="629" t="n"/>
      <c r="K133" s="629" t="n"/>
      <c r="L133" s="629" t="n"/>
      <c r="M133" s="629" t="n"/>
      <c r="N133" s="629" t="n"/>
      <c r="O133" s="629" t="n"/>
      <c r="P133" s="629" t="n"/>
      <c r="Q133" s="630" t="n"/>
      <c r="R133" s="306" t="n"/>
      <c r="S133" s="151" t="n"/>
      <c r="U133" s="150" t="n"/>
      <c r="V133" s="623" t="n"/>
      <c r="Y133" s="631" t="n"/>
      <c r="Z133" s="631">
        <f>IF(Y133="","",Y133*R133)</f>
        <v/>
      </c>
      <c r="AA133" s="151">
        <f>IF(U133="yes",Z133,"")</f>
        <v/>
      </c>
    </row>
    <row r="134" ht="333" customFormat="1" customHeight="1" s="59">
      <c r="A134" s="38">
        <f>A132+1</f>
        <v/>
      </c>
      <c r="B134" s="114" t="inlineStr">
        <is>
          <t>ls_salesmain</t>
        </is>
      </c>
      <c r="C134" s="58" t="inlineStr">
        <is>
          <t>ls_salesmain</t>
        </is>
      </c>
      <c r="D134" s="72"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4" s="56">
        <f>LEN(D134)</f>
        <v/>
      </c>
      <c r="F134" s="72"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34" s="56">
        <f>LEN(F134)</f>
        <v/>
      </c>
      <c r="H134" s="64" t="inlineStr">
        <is>
          <t>Single Choice</t>
        </is>
      </c>
      <c r="I134" s="56" t="inlineStr">
        <is>
          <t>NA</t>
        </is>
      </c>
      <c r="J134" s="5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34" s="58" t="inlineStr">
        <is>
          <t>Form Type - Buttons
IsDemographic - ls_salesmain</t>
        </is>
      </c>
      <c r="L134" s="100" t="inlineStr">
        <is>
          <t>NA</t>
        </is>
      </c>
      <c r="M134" s="55" t="inlineStr">
        <is>
          <t>1-11 = ls_salesdif
12-13 = fish_intro</t>
        </is>
      </c>
      <c r="N134" s="195" t="n"/>
      <c r="O134" s="5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P134" s="30" t="inlineStr"/>
      <c r="Q134" s="8" t="n"/>
      <c r="R134" s="306">
        <f>#REF!</f>
        <v/>
      </c>
      <c r="S134" s="53" t="n"/>
      <c r="U134" s="150" t="inlineStr">
        <is>
          <t>yes</t>
        </is>
      </c>
      <c r="V134" s="613" t="n"/>
      <c r="Y134" s="631" t="n">
        <v>12.99236297607422</v>
      </c>
      <c r="Z134" s="631">
        <f>IF(Y134="","",Y134*R134)</f>
        <v/>
      </c>
      <c r="AA134" s="53" t="e">
        <v>#REF!</v>
      </c>
    </row>
    <row r="135" ht="165.75" customFormat="1" customHeight="1" s="59">
      <c r="A135" s="18">
        <f>A134+1</f>
        <v/>
      </c>
      <c r="B135" s="597" t="inlineStr">
        <is>
          <t>ls_salesdif</t>
        </is>
      </c>
      <c r="C135" s="58" t="inlineStr">
        <is>
          <t>ls_salesdif</t>
        </is>
      </c>
      <c r="D135" s="184" t="inlineStr">
        <is>
          <t>Has your household faced any significant difficulty in the last 3 months selling your {ls_salesmain}?
[OPERATOR: SINGLE RESPONSE.]
1)YES
2)NO
3)DON'T KNOW
4)REFUSED</t>
        </is>
      </c>
      <c r="E135" s="179">
        <f>LEN(D135)</f>
        <v/>
      </c>
      <c r="F135" s="305" t="inlineStr">
        <is>
          <t>هل واجهت أسرتك أي صعوبة خلال الأشهر الثلاثة الماضية في بيع {ls_salesmain}؟
[المشغل: استجابة واحدة.]
1) نعم
2) لا
3) لا أعرف
4) رفض الإجابة</t>
        </is>
      </c>
      <c r="G135" s="179">
        <f>LEN(F135)</f>
        <v/>
      </c>
      <c r="H135" s="186" t="inlineStr">
        <is>
          <t>Single Choice</t>
        </is>
      </c>
      <c r="I135" s="179" t="inlineStr">
        <is>
          <t>NA</t>
        </is>
      </c>
      <c r="J135" s="179" t="inlineStr">
        <is>
          <t>NA</t>
        </is>
      </c>
      <c r="K135" s="179" t="inlineStr">
        <is>
          <t>Form Type - Buttons</t>
        </is>
      </c>
      <c r="L135" s="100" t="inlineStr">
        <is>
          <t>NA</t>
        </is>
      </c>
      <c r="M135" s="63" t="inlineStr">
        <is>
          <t>1 = ls_salesdif_2
2-4 = ls_salesprice</t>
        </is>
      </c>
      <c r="N135" s="342" t="n"/>
      <c r="O135" s="63" t="inlineStr">
        <is>
          <t>if ls_salesdif = 1, go to ls_salesdif_2 ; 
if ls_salesdif = 2-4, go to ls_salesprice</t>
        </is>
      </c>
      <c r="P135" s="28" t="inlineStr"/>
      <c r="Q135" s="9" t="n"/>
      <c r="R135" s="306">
        <f>#REF!</f>
        <v/>
      </c>
      <c r="S135" s="53" t="n"/>
      <c r="U135" s="150" t="inlineStr">
        <is>
          <t>yes</t>
        </is>
      </c>
      <c r="V135" s="613" t="n"/>
      <c r="Y135" s="631" t="n">
        <v>8.629570960998535</v>
      </c>
      <c r="Z135" s="631">
        <f>IF(Y135="","",Y135*R135)</f>
        <v/>
      </c>
      <c r="AA135" s="53" t="e">
        <v>#REF!</v>
      </c>
    </row>
    <row r="136" ht="296.5" customFormat="1" customHeight="1" s="59">
      <c r="A136" s="18">
        <f>A135+1</f>
        <v/>
      </c>
      <c r="B136" s="182" t="inlineStr">
        <is>
          <t>ls_salesdif_2</t>
        </is>
      </c>
      <c r="C136" s="5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6" s="138"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6" s="179">
        <f>LEN(D136)</f>
        <v/>
      </c>
      <c r="F136" s="172"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36" s="179">
        <f>LEN(F136)</f>
        <v/>
      </c>
      <c r="H136" s="58" t="inlineStr">
        <is>
          <t>Select All That Apply</t>
        </is>
      </c>
      <c r="I136" s="179" t="inlineStr">
        <is>
          <t>NA</t>
        </is>
      </c>
      <c r="J136" s="179" t="inlineStr">
        <is>
          <t>NA</t>
        </is>
      </c>
      <c r="K136" s="179" t="inlineStr">
        <is>
          <t>Form Type - Checklist
10,11 = IsNone</t>
        </is>
      </c>
      <c r="L136" s="100"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36" s="63" t="inlineStr">
        <is>
          <t>1-11 = ls_salesprice</t>
        </is>
      </c>
      <c r="N136" s="342" t="n"/>
      <c r="O136" s="63" t="inlineStr">
        <is>
          <t>if ls_salesdif_2 = 1-11, go to ls_salesprice</t>
        </is>
      </c>
      <c r="P136" s="28" t="inlineStr"/>
      <c r="Q136" s="9" t="n"/>
      <c r="R136" s="306">
        <f>#REF!</f>
        <v/>
      </c>
      <c r="S136" s="53" t="n"/>
      <c r="U136" s="150" t="inlineStr">
        <is>
          <t>yes</t>
        </is>
      </c>
      <c r="V136" s="613" t="n"/>
      <c r="Y136" s="631" t="n">
        <v>18.25617218017578</v>
      </c>
      <c r="Z136" s="631">
        <f>IF(Y136="","",Y136*R136)</f>
        <v/>
      </c>
      <c r="AA136" s="53" t="e">
        <v>#REF!</v>
      </c>
    </row>
    <row r="137" ht="242.25" customFormat="1" customHeight="1" s="59" thickBot="1">
      <c r="A137" s="18">
        <f>A136+1</f>
        <v/>
      </c>
      <c r="B137" s="182" t="inlineStr">
        <is>
          <t>ls_salesprice</t>
        </is>
      </c>
      <c r="C137" s="58" t="inlineStr">
        <is>
          <t>ls_salesprice</t>
        </is>
      </c>
      <c r="D137" s="184"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7" s="179">
        <f>LEN(D137)</f>
        <v/>
      </c>
      <c r="F137" s="305"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37" s="179">
        <f>LEN(F137)</f>
        <v/>
      </c>
      <c r="H137" s="186" t="inlineStr">
        <is>
          <t>Single Choice</t>
        </is>
      </c>
      <c r="I137" s="179" t="inlineStr">
        <is>
          <t>NA</t>
        </is>
      </c>
      <c r="J137" s="179" t="inlineStr">
        <is>
          <t>NA</t>
        </is>
      </c>
      <c r="K137" s="179" t="inlineStr">
        <is>
          <t>Form Type - Buttons</t>
        </is>
      </c>
      <c r="L137" s="100" t="inlineStr">
        <is>
          <t>NA</t>
        </is>
      </c>
      <c r="M137" s="74" t="inlineStr">
        <is>
          <t>1-7 = fish_intro</t>
        </is>
      </c>
      <c r="N137" s="356" t="n"/>
      <c r="O137" s="74" t="inlineStr">
        <is>
          <t>For options #1-7, go to fish_intro</t>
        </is>
      </c>
      <c r="P137" s="20" t="inlineStr"/>
      <c r="Q137" s="9" t="n"/>
      <c r="R137" s="306">
        <f>#REF!</f>
        <v/>
      </c>
      <c r="S137" s="53" t="n"/>
      <c r="U137" s="150" t="inlineStr">
        <is>
          <t>yes</t>
        </is>
      </c>
      <c r="V137" s="613" t="n"/>
      <c r="Y137" s="631" t="n">
        <v>15.45627975463867</v>
      </c>
      <c r="Z137" s="631">
        <f>IF(Y137="","",Y137*R137)</f>
        <v/>
      </c>
      <c r="AA137" s="53" t="e">
        <v>#REF!</v>
      </c>
    </row>
    <row r="138" ht="16.4" customFormat="1" customHeight="1" s="149" thickBot="1">
      <c r="A138" s="604" t="inlineStr">
        <is>
          <t>F. FISHERIES PRODUCTION</t>
        </is>
      </c>
      <c r="B138" s="629" t="n"/>
      <c r="C138" s="629" t="n"/>
      <c r="D138" s="629" t="n"/>
      <c r="E138" s="629" t="n"/>
      <c r="F138" s="629" t="n"/>
      <c r="G138" s="629" t="n"/>
      <c r="H138" s="629" t="n"/>
      <c r="I138" s="629" t="n"/>
      <c r="J138" s="629" t="n"/>
      <c r="K138" s="629" t="n"/>
      <c r="L138" s="629" t="n"/>
      <c r="M138" s="629" t="n"/>
      <c r="N138" s="629" t="n"/>
      <c r="O138" s="629" t="n"/>
      <c r="P138" s="629" t="n"/>
      <c r="Q138" s="630" t="n"/>
      <c r="R138" s="306" t="n"/>
      <c r="S138" s="151" t="n"/>
      <c r="U138" s="150" t="n"/>
      <c r="V138" s="623" t="n"/>
      <c r="Y138" s="631" t="n"/>
      <c r="Z138" s="631">
        <f>IF(Y138="","",Y138*R138)</f>
        <v/>
      </c>
      <c r="AA138" s="151">
        <f>IF(U138="yes",Z138,"")</f>
        <v/>
      </c>
    </row>
    <row r="139" ht="120" customFormat="1" customHeight="1" s="59">
      <c r="A139" s="38">
        <f>A137+1</f>
        <v/>
      </c>
      <c r="B139" s="114" t="inlineStr">
        <is>
          <t>fish_intro</t>
        </is>
      </c>
      <c r="C139" s="58" t="inlineStr">
        <is>
          <t>fish_intro</t>
        </is>
      </c>
      <c r="D139" s="140" t="inlineStr">
        <is>
          <t>We will now ask you some questions about fishing and aquaculture production which apply to you and anyone in your household that is involved in the capture, culture, or harvest of fish and aquatic products.
1)CONTINUE</t>
        </is>
      </c>
      <c r="E139" s="56">
        <f>LEN(D139)</f>
        <v/>
      </c>
      <c r="F139" s="166"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39" s="56">
        <f>LEN(F139)</f>
        <v/>
      </c>
      <c r="H139" s="56" t="inlineStr">
        <is>
          <t>Single Choice</t>
        </is>
      </c>
      <c r="I139" s="56" t="inlineStr">
        <is>
          <t>NA</t>
        </is>
      </c>
      <c r="J139" s="56" t="inlineStr">
        <is>
          <t>Send if "income_main_fish_check" "Equals" "YES" Or "income_sec_fish_check" "Equals" "YES" Or "income_third_fish_check" "Equals" "YES" Or "o_fishery_activity" "Equals" "YES" if not satisfied go to "fies_intro"</t>
        </is>
      </c>
      <c r="K139" s="179" t="inlineStr">
        <is>
          <t>Form Type - Buttons</t>
        </is>
      </c>
      <c r="L139" s="100" t="inlineStr">
        <is>
          <t>NA</t>
        </is>
      </c>
      <c r="M139" s="55" t="inlineStr">
        <is>
          <t>1 = fish_main</t>
        </is>
      </c>
      <c r="N139" s="196" t="n"/>
      <c r="O139" s="6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P139" s="174" t="inlineStr"/>
      <c r="Q139" s="8" t="n"/>
      <c r="R139" s="306">
        <f>#REF!</f>
        <v/>
      </c>
      <c r="S139" s="53" t="n"/>
      <c r="U139" s="150" t="inlineStr">
        <is>
          <t>yes</t>
        </is>
      </c>
      <c r="V139" s="613" t="n"/>
      <c r="Y139" s="631" t="n">
        <v>2.480132341384888</v>
      </c>
      <c r="Z139" s="631">
        <f>IF(Y139="","",Y139*R139)</f>
        <v/>
      </c>
      <c r="AA139" s="53" t="e">
        <v>#REF!</v>
      </c>
    </row>
    <row r="140" ht="198.75" customFormat="1" customHeight="1" s="59">
      <c r="A140" s="38">
        <f>A139+1</f>
        <v/>
      </c>
      <c r="B140" s="114" t="inlineStr">
        <is>
          <t>fish_main</t>
        </is>
      </c>
      <c r="C140" s="141" t="inlineStr">
        <is>
          <t>fish_main_
1) fish_main_coastal
2) fish_main_offshore_sea
3) fish_main_freshwater
4) fish_main_aquaculture
5) fish_main_dk
6) fish_main_ref</t>
        </is>
      </c>
      <c r="D140" s="138"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0" s="56">
        <f>LEN(D140)</f>
        <v/>
      </c>
      <c r="F140" s="166"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40" s="56">
        <f>LEN(F140)</f>
        <v/>
      </c>
      <c r="H140" s="58" t="inlineStr">
        <is>
          <t>Select All That Apply</t>
        </is>
      </c>
      <c r="I140" s="56" t="inlineStr">
        <is>
          <t>NA</t>
        </is>
      </c>
      <c r="J140" s="56" t="inlineStr">
        <is>
          <t>NA</t>
        </is>
      </c>
      <c r="K140" s="56" t="inlineStr">
        <is>
          <t>Form Type - Checklist
5,6 = IsNone</t>
        </is>
      </c>
      <c r="L140" s="100" t="inlineStr">
        <is>
          <t>1)fish_main_coastal
2)fish_main_offshore_sea
3)fish_main_freshwater
4)fish_main_aquaculture
5)fish_main_dk
6)fish_main_ref</t>
        </is>
      </c>
      <c r="M140" s="55" t="inlineStr">
        <is>
          <t>1-6 = fish_change</t>
        </is>
      </c>
      <c r="N140" s="195" t="n"/>
      <c r="O140" s="55" t="inlineStr">
        <is>
          <t>if fish_main = 1-6, go to fish_change</t>
        </is>
      </c>
      <c r="P140" s="30" t="inlineStr"/>
      <c r="Q140" s="19" t="n"/>
      <c r="R140" s="306">
        <f>#REF!</f>
        <v/>
      </c>
      <c r="S140" s="53" t="n"/>
      <c r="U140" s="150" t="inlineStr">
        <is>
          <t>yes</t>
        </is>
      </c>
      <c r="V140" s="613" t="n"/>
      <c r="Y140" s="631" t="n">
        <v>12.71689510345459</v>
      </c>
      <c r="Z140" s="631">
        <f>IF(Y140="","",Y140*R140)</f>
        <v/>
      </c>
      <c r="AA140" s="53" t="e">
        <v>#REF!</v>
      </c>
    </row>
    <row r="141" ht="225" customHeight="1">
      <c r="A141" s="38">
        <f>A140+1</f>
        <v/>
      </c>
      <c r="B141" s="599" t="inlineStr">
        <is>
          <t>fish_change</t>
        </is>
      </c>
      <c r="C141" s="600" t="inlineStr">
        <is>
          <t>fish_change</t>
        </is>
      </c>
      <c r="D141" s="138"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1" s="56">
        <f>LEN(D141)</f>
        <v/>
      </c>
      <c r="F141" s="305"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41" s="56">
        <f>LEN(F141)</f>
        <v/>
      </c>
      <c r="H141" s="600" t="inlineStr">
        <is>
          <t>Single Choice</t>
        </is>
      </c>
      <c r="I141" s="600" t="inlineStr">
        <is>
          <t>NA</t>
        </is>
      </c>
      <c r="J141" s="600" t="inlineStr">
        <is>
          <t>NA</t>
        </is>
      </c>
      <c r="K141" s="600" t="inlineStr">
        <is>
          <t>Form Type - Buttons</t>
        </is>
      </c>
      <c r="L141" s="100" t="inlineStr">
        <is>
          <t>NA</t>
        </is>
      </c>
      <c r="M141" s="142" t="inlineStr">
        <is>
          <t>1-7 = fish_proddif</t>
        </is>
      </c>
      <c r="N141" s="363" t="n"/>
      <c r="O141" s="197" t="inlineStr">
        <is>
          <t>if fish_change = 1-7, go to fish_proddif</t>
        </is>
      </c>
      <c r="P141" s="31" t="inlineStr"/>
      <c r="Q141" s="9" t="n"/>
      <c r="R141" s="306">
        <f>#REF!</f>
        <v/>
      </c>
      <c r="S141" s="53" t="n"/>
      <c r="U141" s="150" t="inlineStr">
        <is>
          <t>yes</t>
        </is>
      </c>
      <c r="Y141" s="631" t="n">
        <v>10.51750373840332</v>
      </c>
      <c r="Z141" s="631">
        <f>IF(Y141="","",Y141*R141)</f>
        <v/>
      </c>
      <c r="AA141" s="53" t="e">
        <v>#REF!</v>
      </c>
    </row>
    <row r="142" ht="154.5" customFormat="1" customHeight="1" s="59">
      <c r="A142" s="38">
        <f>A141+1</f>
        <v/>
      </c>
      <c r="B142" s="114" t="inlineStr">
        <is>
          <t>fish_proddif</t>
        </is>
      </c>
      <c r="C142" s="58" t="inlineStr">
        <is>
          <t>fish_proddif</t>
        </is>
      </c>
      <c r="D142" s="138" t="inlineStr">
        <is>
          <t>Has your household faced any significant difficulty with fish catch / harvest / farming in the last 3 months?
[OPERATOR: SINGLE RESPONSE.]
1)YES
2)NO
3)DON'T KNOW
4)REFUSED</t>
        </is>
      </c>
      <c r="E142" s="56">
        <f>LEN(D142)</f>
        <v/>
      </c>
      <c r="F142" s="16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42" s="56">
        <f>LEN(F142)</f>
        <v/>
      </c>
      <c r="H142" s="64" t="inlineStr">
        <is>
          <t>Single Choice</t>
        </is>
      </c>
      <c r="I142" s="56" t="inlineStr">
        <is>
          <t>NA</t>
        </is>
      </c>
      <c r="J142" s="56" t="inlineStr">
        <is>
          <t>NA</t>
        </is>
      </c>
      <c r="K142" s="56" t="inlineStr">
        <is>
          <t>Form Type - Buttons</t>
        </is>
      </c>
      <c r="L142" s="100" t="inlineStr">
        <is>
          <t>NA</t>
        </is>
      </c>
      <c r="M142" s="55" t="inlineStr">
        <is>
          <t>1=fish_proddif_2
2-4= fish_salesmain</t>
        </is>
      </c>
      <c r="N142" s="195" t="n"/>
      <c r="O142" s="63" t="inlineStr">
        <is>
          <t>if fish_proddif = 1, go to fish_proddif_2 ; 
if fish_proddif = 2-4, go to fish_salesmain OR optional question</t>
        </is>
      </c>
      <c r="P142" s="16" t="inlineStr">
        <is>
          <t>1=fish_proddif_2
2-4= fish_salesmain</t>
        </is>
      </c>
      <c r="Q142" s="9" t="n"/>
      <c r="R142" s="306">
        <f>#REF!</f>
        <v/>
      </c>
      <c r="S142" s="53" t="n"/>
      <c r="U142" s="150" t="inlineStr">
        <is>
          <t>yes</t>
        </is>
      </c>
      <c r="V142" s="613" t="n"/>
      <c r="Y142" s="631" t="n">
        <v>6.48249626159668</v>
      </c>
      <c r="Z142" s="631">
        <f>IF(Y142="","",Y142*R142)</f>
        <v/>
      </c>
      <c r="AA142" s="53" t="e">
        <v>#REF!</v>
      </c>
    </row>
    <row r="143" ht="397.5" customFormat="1" customHeight="1" s="59">
      <c r="A143" s="18">
        <f>A142+1</f>
        <v/>
      </c>
      <c r="B143" s="114" t="inlineStr">
        <is>
          <t>fish_proddif_2</t>
        </is>
      </c>
      <c r="C143" s="5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3" s="138"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3" s="179">
        <f>LEN(D143)</f>
        <v/>
      </c>
      <c r="F143" s="16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43" s="179">
        <f>LEN(F143)</f>
        <v/>
      </c>
      <c r="H143" s="58" t="inlineStr">
        <is>
          <t>Select All That Apply</t>
        </is>
      </c>
      <c r="I143" s="179" t="inlineStr">
        <is>
          <t>NA</t>
        </is>
      </c>
      <c r="J143" s="179" t="inlineStr">
        <is>
          <t>NA</t>
        </is>
      </c>
      <c r="K143" s="179" t="inlineStr">
        <is>
          <t>Form Type - Checklist
10,11 = IsNone</t>
        </is>
      </c>
      <c r="L143" s="100" t="inlineStr">
        <is>
          <t>1)fish_proddif_find_fish
2)fish_proddif_pests
3)fish_proddif_access_area
4)fish_proddif_fuel
5)fish_proddif_input_access
6)fish_proddif_labour
7)fish_proddif_infrastructure
8)fish_proddif_damage_equip
9)fish_proddif_other
10)fish_proddif_dk
11)fish_proddif_ref</t>
        </is>
      </c>
      <c r="M143" s="63" t="inlineStr">
        <is>
          <t>1-11 = fish_inputdif</t>
        </is>
      </c>
      <c r="N143" s="342" t="n"/>
      <c r="O143" s="63" t="inlineStr">
        <is>
          <t>If fish_proddif_2 = 1-11, go to fish_salesmain OR optional question</t>
        </is>
      </c>
      <c r="P143" s="21" t="inlineStr">
        <is>
          <t>5=  fish_inputdif
 1-4, 6-11 = fish_salesmain</t>
        </is>
      </c>
      <c r="Q143" s="9" t="n"/>
      <c r="R143" s="306">
        <f>#REF!</f>
        <v/>
      </c>
      <c r="S143" s="53" t="n"/>
      <c r="U143" s="150" t="inlineStr">
        <is>
          <t>yes</t>
        </is>
      </c>
      <c r="V143" s="613" t="n"/>
      <c r="Y143" s="631" t="n">
        <v>23.64215660095215</v>
      </c>
      <c r="Z143" s="631">
        <f>IF(Y143="","",Y143*R143)</f>
        <v/>
      </c>
      <c r="AA143" s="53" t="e">
        <v>#REF!</v>
      </c>
    </row>
    <row r="144" ht="294" customFormat="1" customHeight="1" s="59" thickBot="1">
      <c r="A144" s="18">
        <f>A143+1</f>
        <v/>
      </c>
      <c r="B144" s="567" t="inlineStr">
        <is>
          <t>fish_inputdif</t>
        </is>
      </c>
      <c r="C144" s="571" t="inlineStr">
        <is>
          <t>fish_inputdif_
1) fish_inputdif_bait_feed
2)fish_inputdif_fingerling
3) fish_inputdif_gear
4) fish_inputdif_ice
5) fish_inputdif_fuel
6) fish_inputdif_repairs
7) fish_inputdif_labour
8) fish_inputdif_other 
9)fish_inputdif_dk
10) fish_inputdif_ref</t>
        </is>
      </c>
      <c r="D144" s="488"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4" s="569">
        <f>LEN(D144)</f>
        <v/>
      </c>
      <c r="F144" s="489"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44" s="569">
        <f>LEN(F144)</f>
        <v/>
      </c>
      <c r="H144" s="571" t="inlineStr">
        <is>
          <t>Open Ended-Select All That Apply</t>
        </is>
      </c>
      <c r="I144" s="569" t="inlineStr">
        <is>
          <t>NA</t>
        </is>
      </c>
      <c r="J144" s="569" t="inlineStr">
        <is>
          <t>Send if "fish_proddif_2" "Contains" "Access to other fishing or culture inputs [prices higher or not available]" if not satisfied go to "fish_salesmain"</t>
        </is>
      </c>
      <c r="K144" s="569" t="inlineStr">
        <is>
          <t>Form Type - Checklist
9,10= IsNone</t>
        </is>
      </c>
      <c r="L144" s="24" t="inlineStr">
        <is>
          <t>1)fish_inputdif_bait_feed
2)fish_inputdif_fingerling
3)fish_inputdif_gear
4)fish_inputdif_ice
5)fish_inputdif_fuel
6)fish_inputdif_repairs
7)fish_inputdif_labour
8)fish_inputdif_otherspecify
9)fish_inputdif_dk
10) fish_inputdif_ref</t>
        </is>
      </c>
      <c r="M144" s="28" t="inlineStr">
        <is>
          <t>1-10 = fish_salesmain</t>
        </is>
      </c>
      <c r="N144" s="28" t="n"/>
      <c r="O144" s="28" t="inlineStr">
        <is>
          <t>Asked only to respondents that answered fish_proddif_2 = 4.
if fish_inputdif = 1-10, go to fish_salesmain</t>
        </is>
      </c>
      <c r="P144" s="28" t="inlineStr"/>
      <c r="Q144" s="490" t="n"/>
      <c r="R144" s="300">
        <f>#REF!</f>
        <v/>
      </c>
      <c r="S144" s="53" t="n"/>
      <c r="U144" s="61" t="inlineStr">
        <is>
          <t>no</t>
        </is>
      </c>
      <c r="V144" s="613" t="n"/>
      <c r="Y144" s="632" t="n">
        <v>19.20000076293945</v>
      </c>
      <c r="Z144" s="632">
        <f>IF(Y144="","",Y144*R144)</f>
        <v/>
      </c>
      <c r="AA144" s="53" t="inlineStr"/>
    </row>
    <row r="145" ht="16.4" customFormat="1" customHeight="1" s="149" thickBot="1">
      <c r="A145" s="604" t="inlineStr">
        <is>
          <t>F. FISHERIES MARKETING</t>
        </is>
      </c>
      <c r="B145" s="629" t="n"/>
      <c r="C145" s="629" t="n"/>
      <c r="D145" s="629" t="n"/>
      <c r="E145" s="629" t="n"/>
      <c r="F145" s="629" t="n"/>
      <c r="G145" s="629" t="n"/>
      <c r="H145" s="629" t="n"/>
      <c r="I145" s="629" t="n"/>
      <c r="J145" s="629" t="n"/>
      <c r="K145" s="629" t="n"/>
      <c r="L145" s="629" t="n"/>
      <c r="M145" s="629" t="n"/>
      <c r="N145" s="629" t="n"/>
      <c r="O145" s="629" t="n"/>
      <c r="P145" s="629" t="n"/>
      <c r="Q145" s="630" t="n"/>
      <c r="R145" s="306" t="n"/>
      <c r="S145" s="151" t="n"/>
      <c r="U145" s="150" t="n"/>
      <c r="V145" s="623" t="n"/>
      <c r="Y145" s="631" t="n"/>
      <c r="Z145" s="631">
        <f>IF(Y145="","",Y145*R145)</f>
        <v/>
      </c>
      <c r="AA145" s="151">
        <f>IF(U145="yes",Z145,"")</f>
        <v/>
      </c>
    </row>
    <row r="146" ht="222.75" customFormat="1" customHeight="1" s="59">
      <c r="A146" s="38">
        <f>A144+1</f>
        <v/>
      </c>
      <c r="B146" s="114" t="inlineStr">
        <is>
          <t>fish_salesmain</t>
        </is>
      </c>
      <c r="C146" s="58" t="inlineStr">
        <is>
          <t>fish_salesmain</t>
        </is>
      </c>
      <c r="D146" s="143"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6" s="56">
        <f>LEN(D146)</f>
        <v/>
      </c>
      <c r="F146" s="305"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46" s="56">
        <f>LEN(F146)</f>
        <v/>
      </c>
      <c r="H146" s="64" t="inlineStr">
        <is>
          <t>Open Ended-Single Choice</t>
        </is>
      </c>
      <c r="I146" s="56" t="inlineStr">
        <is>
          <t>NA</t>
        </is>
      </c>
      <c r="J146" s="56" t="inlineStr">
        <is>
          <t>Send if "income_main" "Equals" "Production and sale of fish or aquatic products" Or "income_sec" "Equals" "Production and sale of fish or aquatic products" Or "income_third" "Equals" "Production and sale of fish or aquatic products" if not satisfied go to "fies_intro"</t>
        </is>
      </c>
      <c r="K146" s="56" t="inlineStr">
        <is>
          <t>Form Type - RadioList
IsDemographic - fish_salesmain</t>
        </is>
      </c>
      <c r="L146" s="100" t="inlineStr">
        <is>
          <t>NA</t>
        </is>
      </c>
      <c r="M146" s="71" t="inlineStr">
        <is>
          <t>1-5 = fish_salesdif
6-7 = fies_intro</t>
        </is>
      </c>
      <c r="N146" s="348" t="n"/>
      <c r="O146" s="144" t="inlineStr">
        <is>
          <t>If either income_main or income_sec or income_third = "Production and sale of fish or aquatic products", then this section will be asked to respondents.
Otherwise, skip to fies.
if fish_salesmain = 1-5, go to fish_salesdif
if fish_salesmain = 6-7, go to fies</t>
        </is>
      </c>
      <c r="P146" s="32" t="inlineStr"/>
      <c r="Q146" s="8" t="n"/>
      <c r="R146" s="306">
        <f>#REF!</f>
        <v/>
      </c>
      <c r="S146" s="53" t="n"/>
      <c r="U146" s="150" t="inlineStr">
        <is>
          <t>yes</t>
        </is>
      </c>
      <c r="V146" s="613" t="n"/>
      <c r="Y146" s="631" t="n">
        <v>9.275494575500488</v>
      </c>
      <c r="Z146" s="631">
        <f>IF(Y146="","",Y146*R146)</f>
        <v/>
      </c>
      <c r="AA146" s="53" t="e">
        <v>#REF!</v>
      </c>
    </row>
    <row r="147" ht="173.25" customFormat="1" customHeight="1" s="59">
      <c r="A147" s="18">
        <f>A146+1</f>
        <v/>
      </c>
      <c r="B147" s="597" t="inlineStr">
        <is>
          <t>fish_salesdif</t>
        </is>
      </c>
      <c r="C147" s="179" t="inlineStr">
        <is>
          <t>fish_salesdif</t>
        </is>
      </c>
      <c r="D147" s="138" t="inlineStr">
        <is>
          <t>Has your household faced any significant difficulty marketing / selling your {fish_salesmain} in the last 3 months?
[OPERATOR: SINGLE RESPONSE]
1)YES
2)NO
3)DON'T KNOW
4)REFUSED</t>
        </is>
      </c>
      <c r="E147" s="179">
        <f>LEN(D147)</f>
        <v/>
      </c>
      <c r="F147" s="305" t="inlineStr">
        <is>
          <t>هل واجهت أسرتك أي صعوبة خلال الأشهر الثلاثة الماضية في بيع  و تسويق  {fish_salesmain}؟
[المشغل: استجابة واحدة]
1) نعم
2) لا
3) لا أعرف
4) رفض الإجابة</t>
        </is>
      </c>
      <c r="G147" s="179">
        <f>LEN(F147)</f>
        <v/>
      </c>
      <c r="H147" s="186" t="inlineStr">
        <is>
          <t>Single Choice</t>
        </is>
      </c>
      <c r="I147" s="179" t="inlineStr">
        <is>
          <t>NA</t>
        </is>
      </c>
      <c r="J147" s="179" t="inlineStr">
        <is>
          <t>NA</t>
        </is>
      </c>
      <c r="K147" s="179" t="inlineStr">
        <is>
          <t>Form Type - Buttons</t>
        </is>
      </c>
      <c r="L147" s="100" t="inlineStr">
        <is>
          <t>NA</t>
        </is>
      </c>
      <c r="M147" s="63" t="inlineStr">
        <is>
          <t>1 = fish_salesdif_2
2-4 = fish_salesprice</t>
        </is>
      </c>
      <c r="N147" s="343" t="n"/>
      <c r="O147" s="145" t="inlineStr">
        <is>
          <t>if fish_salesdif = 1, go to fish_salesdif_2 ;
if fish_salesdif = 2-4, go to fish_salesprice</t>
        </is>
      </c>
      <c r="P147" s="33" t="inlineStr"/>
      <c r="Q147" s="9" t="n"/>
      <c r="R147" s="306">
        <f>#REF!</f>
        <v/>
      </c>
      <c r="S147" s="53" t="n"/>
      <c r="U147" s="150" t="inlineStr">
        <is>
          <t>yes</t>
        </is>
      </c>
      <c r="V147" s="613" t="n"/>
      <c r="Y147" s="631" t="n">
        <v>6.415841579437256</v>
      </c>
      <c r="Z147" s="631">
        <f>IF(Y147="","",Y147*R147)</f>
        <v/>
      </c>
      <c r="AA147" s="53" t="e">
        <v>#REF!</v>
      </c>
    </row>
    <row r="148" ht="357.75" customFormat="1" customHeight="1" s="59">
      <c r="A148" s="18">
        <f>A147+1</f>
        <v/>
      </c>
      <c r="B148" s="182" t="inlineStr">
        <is>
          <t>fish_salesdif_2</t>
        </is>
      </c>
      <c r="C148" s="5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8" s="138"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8" s="179">
        <f>LEN(D148)</f>
        <v/>
      </c>
      <c r="F148" s="305"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48" s="179">
        <f>LEN(F148)</f>
        <v/>
      </c>
      <c r="H148" s="58" t="inlineStr">
        <is>
          <t>Select All That Apply</t>
        </is>
      </c>
      <c r="I148" s="179" t="inlineStr">
        <is>
          <t>NA</t>
        </is>
      </c>
      <c r="J148" s="179" t="inlineStr">
        <is>
          <t>NA</t>
        </is>
      </c>
      <c r="K148" s="179" t="inlineStr">
        <is>
          <t>Form Type - Checklist
9,10 = IsNone</t>
        </is>
      </c>
      <c r="L148" s="100" t="inlineStr">
        <is>
          <t>1)fish_saledif_marketing_cost
2)fish_saledif_damage_losses
3)fish_saledif_low_demand
4)fish_saledif_pay_delay
5)fish_saledif_low_prices
6)fish_saledif_processing
7)fish_saledif_competition
8)fish_saledif_other
9)fish_saledif_dk
10)fish_saledif_ref</t>
        </is>
      </c>
      <c r="M148" s="63" t="inlineStr">
        <is>
          <t>1-10 = fish_salesprice</t>
        </is>
      </c>
      <c r="N148" s="343" t="n"/>
      <c r="O148" s="137" t="inlineStr">
        <is>
          <t>if fish_salesdif = 1-10, go to fish_salesprice</t>
        </is>
      </c>
      <c r="P148" s="34" t="inlineStr"/>
      <c r="Q148" s="9" t="n"/>
      <c r="R148" s="306">
        <f>#REF!</f>
        <v/>
      </c>
      <c r="S148" s="53" t="n"/>
      <c r="U148" s="150" t="inlineStr">
        <is>
          <t>yes</t>
        </is>
      </c>
      <c r="V148" s="613" t="n"/>
      <c r="Y148" s="631" t="n">
        <v>20.53435134887695</v>
      </c>
      <c r="Z148" s="631">
        <f>IF(Y148="","",Y148*R148)</f>
        <v/>
      </c>
      <c r="AA148" s="53" t="e">
        <v>#REF!</v>
      </c>
    </row>
    <row r="149" ht="255" customFormat="1" customHeight="1" s="59" thickBot="1">
      <c r="A149" s="41">
        <f>A148+1</f>
        <v/>
      </c>
      <c r="B149" s="115" t="inlineStr">
        <is>
          <t>fish_salesprice</t>
        </is>
      </c>
      <c r="C149" s="566" t="inlineStr">
        <is>
          <t>fish_salesprice</t>
        </is>
      </c>
      <c r="D149" s="138"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49" s="50">
        <f>LEN(D149)</f>
        <v/>
      </c>
      <c r="F149" s="169"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9" s="50">
        <f>LEN(F149)</f>
        <v/>
      </c>
      <c r="H149" s="136" t="inlineStr">
        <is>
          <t>Single Choice</t>
        </is>
      </c>
      <c r="I149" s="50" t="inlineStr">
        <is>
          <t>NA</t>
        </is>
      </c>
      <c r="J149" s="50" t="inlineStr">
        <is>
          <t>NA</t>
        </is>
      </c>
      <c r="K149" s="50" t="inlineStr">
        <is>
          <t>Form Type - Buttons</t>
        </is>
      </c>
      <c r="L149" s="100" t="inlineStr">
        <is>
          <t>NA</t>
        </is>
      </c>
      <c r="M149" s="137" t="inlineStr">
        <is>
          <t>1-7 = fies_intro</t>
        </is>
      </c>
      <c r="N149" s="343" t="n"/>
      <c r="O149" s="137" t="inlineStr">
        <is>
          <t>if fish_salesprice = 1-7, go to fies</t>
        </is>
      </c>
      <c r="P149" s="34" t="inlineStr"/>
      <c r="Q149" s="9" t="n"/>
      <c r="R149" s="306">
        <f>#REF!</f>
        <v/>
      </c>
      <c r="S149" s="53" t="n"/>
      <c r="U149" s="150" t="inlineStr">
        <is>
          <t>yes</t>
        </is>
      </c>
      <c r="V149" s="613" t="n"/>
      <c r="Y149" s="631" t="n">
        <v>8.306930541992188</v>
      </c>
      <c r="Z149" s="631">
        <f>IF(Y149="","",Y149*R149)</f>
        <v/>
      </c>
      <c r="AA149" s="53" t="e">
        <v>#REF!</v>
      </c>
    </row>
    <row r="150" ht="16.4" customFormat="1" customHeight="1" s="149" thickBot="1">
      <c r="A150" s="604" t="inlineStr">
        <is>
          <t>G. FOOD SECURITY AND CONSUMPTION</t>
        </is>
      </c>
      <c r="B150" s="629" t="n"/>
      <c r="C150" s="629" t="n"/>
      <c r="D150" s="629" t="n"/>
      <c r="E150" s="629" t="n"/>
      <c r="F150" s="629" t="n"/>
      <c r="G150" s="629" t="n"/>
      <c r="H150" s="629" t="n"/>
      <c r="I150" s="629" t="n"/>
      <c r="J150" s="629" t="n"/>
      <c r="K150" s="629" t="n"/>
      <c r="L150" s="629" t="n"/>
      <c r="M150" s="629" t="n"/>
      <c r="N150" s="629" t="n"/>
      <c r="O150" s="629" t="n"/>
      <c r="P150" s="629" t="n"/>
      <c r="Q150" s="630" t="n"/>
      <c r="R150" s="306" t="n"/>
      <c r="S150" s="151" t="n"/>
      <c r="U150" s="150" t="n"/>
      <c r="V150" s="623" t="n"/>
      <c r="Y150" s="631" t="n"/>
      <c r="Z150" s="631">
        <f>IF(Y150="","",Y150*R150)</f>
        <v/>
      </c>
      <c r="AA150" s="151">
        <f>IF(U150="yes",Z150,"")</f>
        <v/>
      </c>
    </row>
    <row r="151" ht="184.5" customFormat="1" customHeight="1" s="59">
      <c r="A151" s="38">
        <f>A149+1</f>
        <v/>
      </c>
      <c r="B151" s="114" t="inlineStr">
        <is>
          <t>fies_intro</t>
        </is>
      </c>
      <c r="C151" s="116" t="inlineStr">
        <is>
          <t>fies_intro</t>
        </is>
      </c>
      <c r="D151" s="5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1" s="56">
        <f>LEN(D151)</f>
        <v/>
      </c>
      <c r="F151" s="16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51" s="56">
        <f>LEN(F151)</f>
        <v/>
      </c>
      <c r="H151" s="64" t="inlineStr">
        <is>
          <t>Single Choice</t>
        </is>
      </c>
      <c r="I151" s="56" t="inlineStr">
        <is>
          <t>NA</t>
        </is>
      </c>
      <c r="J151" s="56" t="inlineStr">
        <is>
          <t>NA</t>
        </is>
      </c>
      <c r="K151" s="56" t="inlineStr">
        <is>
          <t>Form Type - Buttons</t>
        </is>
      </c>
      <c r="L151" s="100" t="inlineStr">
        <is>
          <t>NA</t>
        </is>
      </c>
      <c r="M151" s="55" t="inlineStr">
        <is>
          <t>1 = fies_worried</t>
        </is>
      </c>
      <c r="N151" s="195" t="n"/>
      <c r="O151" s="55" t="inlineStr">
        <is>
          <t>if fies = 1, go to fies_worried</t>
        </is>
      </c>
      <c r="P151" s="30" t="inlineStr"/>
      <c r="Q151" s="134" t="inlineStr">
        <is>
          <t>Check if the ESS team has an official translation.</t>
        </is>
      </c>
      <c r="R151" s="306" t="n">
        <v>1</v>
      </c>
      <c r="S151" s="53" t="n"/>
      <c r="U151" s="150" t="inlineStr">
        <is>
          <t>yes</t>
        </is>
      </c>
      <c r="V151" s="613" t="n"/>
      <c r="Y151" s="631" t="n">
        <v>8.088166236877441</v>
      </c>
      <c r="Z151" s="631">
        <f>IF(Y151="","",Y151*R151)</f>
        <v/>
      </c>
      <c r="AA151" s="53" t="inlineStr">
        <is>
          <t>8.088166236877441</t>
        </is>
      </c>
    </row>
    <row r="152" ht="206.25" customFormat="1" customHeight="1" s="59">
      <c r="A152" s="18">
        <f>A151+1</f>
        <v/>
      </c>
      <c r="B152" s="182" t="inlineStr">
        <is>
          <t>fies_worried</t>
        </is>
      </c>
      <c r="C152" s="58" t="inlineStr">
        <is>
          <t>fies_worried</t>
        </is>
      </c>
      <c r="D152" s="559" t="inlineStr">
        <is>
          <t>During the last 30 days, was there a time when you or others in your household were worried about not having enough food to eat because of lack of money or other resources?
[OPERATOR: SINGLE RESPONSE]
1)YES
2)NO
3)DON'T KNOW
4)REFUSED</t>
        </is>
      </c>
      <c r="E152" s="179">
        <f>LEN(D152)</f>
        <v/>
      </c>
      <c r="F152" s="559"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52" s="179">
        <f>LEN(F152)</f>
        <v/>
      </c>
      <c r="H152" s="186" t="inlineStr">
        <is>
          <t>Single Choice</t>
        </is>
      </c>
      <c r="I152" s="179" t="inlineStr">
        <is>
          <t>NA</t>
        </is>
      </c>
      <c r="J152" s="179" t="inlineStr">
        <is>
          <t>NA</t>
        </is>
      </c>
      <c r="K152" s="179" t="inlineStr">
        <is>
          <t>Form Type - Buttons</t>
        </is>
      </c>
      <c r="L152" s="100" t="inlineStr">
        <is>
          <t>NA</t>
        </is>
      </c>
      <c r="M152" s="63" t="inlineStr">
        <is>
          <t>1-4 = fies_healthy</t>
        </is>
      </c>
      <c r="N152" s="342" t="n"/>
      <c r="O152" s="70" t="inlineStr">
        <is>
          <t>if fies_worried = 1-4, go to fies_healthy</t>
        </is>
      </c>
      <c r="P152" s="35" t="inlineStr"/>
      <c r="Q152" s="9" t="n"/>
      <c r="R152" s="306" t="n">
        <v>1</v>
      </c>
      <c r="S152" s="53" t="n"/>
      <c r="U152" s="150" t="inlineStr">
        <is>
          <t>yes</t>
        </is>
      </c>
      <c r="V152" s="613" t="n"/>
      <c r="Y152" s="631" t="n">
        <v>20.22456741333008</v>
      </c>
      <c r="Z152" s="631">
        <f>IF(Y152="","",Y152*R152)</f>
        <v/>
      </c>
      <c r="AA152" s="53" t="inlineStr">
        <is>
          <t>20.22456741333008</t>
        </is>
      </c>
    </row>
    <row r="153" ht="156" customFormat="1" customHeight="1" s="59">
      <c r="A153" s="18">
        <f>A152+1</f>
        <v/>
      </c>
      <c r="B153" s="182" t="inlineStr">
        <is>
          <t>fies_healthy</t>
        </is>
      </c>
      <c r="C153" s="58" t="inlineStr">
        <is>
          <t>fies_healthy</t>
        </is>
      </c>
      <c r="D153" s="559" t="inlineStr">
        <is>
          <t>During the last 30 days, was there a time when you or others in your household were unable to eat healthy and nutritious food because of lack of money or other resources?
[OPERATOR: SINGLE RESPONSE]
1)YES
2)NO
3)DON'T KNOW
4)REFUSED</t>
        </is>
      </c>
      <c r="E153" s="179">
        <f>LEN(D153)</f>
        <v/>
      </c>
      <c r="F153" s="559"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53" s="179">
        <f>LEN(F153)</f>
        <v/>
      </c>
      <c r="H153" s="186" t="inlineStr">
        <is>
          <t>Single Choice</t>
        </is>
      </c>
      <c r="I153" s="179" t="inlineStr">
        <is>
          <t>NA</t>
        </is>
      </c>
      <c r="J153" s="179" t="inlineStr">
        <is>
          <t>NA</t>
        </is>
      </c>
      <c r="K153" s="179" t="inlineStr">
        <is>
          <t>Form Type - Buttons</t>
        </is>
      </c>
      <c r="L153" s="100" t="inlineStr">
        <is>
          <t>NA</t>
        </is>
      </c>
      <c r="M153" s="63" t="inlineStr">
        <is>
          <t>1-4 = fies_fewfoods</t>
        </is>
      </c>
      <c r="N153" s="342" t="n"/>
      <c r="O153" s="70" t="inlineStr">
        <is>
          <t>if fies_healthy = 1-4, go to fies_fewfoods</t>
        </is>
      </c>
      <c r="P153" s="35" t="inlineStr"/>
      <c r="Q153" s="9" t="n"/>
      <c r="R153" s="306" t="n">
        <v>1</v>
      </c>
      <c r="S153" s="53" t="n"/>
      <c r="U153" s="150" t="inlineStr">
        <is>
          <t>yes</t>
        </is>
      </c>
      <c r="V153" s="613" t="n"/>
      <c r="Y153" s="631" t="n">
        <v>14.02606105804443</v>
      </c>
      <c r="Z153" s="631">
        <f>IF(Y153="","",Y153*R153)</f>
        <v/>
      </c>
      <c r="AA153" s="53" t="inlineStr">
        <is>
          <t>14.02606105804443</t>
        </is>
      </c>
    </row>
    <row r="154" ht="156" customFormat="1" customHeight="1" s="59">
      <c r="A154" s="18">
        <f>A153+1</f>
        <v/>
      </c>
      <c r="B154" s="182" t="inlineStr">
        <is>
          <t>fies_fewfoods</t>
        </is>
      </c>
      <c r="C154" s="58" t="inlineStr">
        <is>
          <t>fies_fewfoods</t>
        </is>
      </c>
      <c r="D154" s="559" t="inlineStr">
        <is>
          <t>During the last 30 days, was there a time when you or others in your household ate only a few kinds of foods because of lack of money or other resources?
[OPERATOR: SINGLE RESPONSE]
1)YES
2)NO
3)DON'T KNOW
4)REFUSED</t>
        </is>
      </c>
      <c r="E154" s="179">
        <f>LEN(D154)</f>
        <v/>
      </c>
      <c r="F154" s="559"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54" s="179">
        <f>LEN(F154)</f>
        <v/>
      </c>
      <c r="H154" s="186" t="inlineStr">
        <is>
          <t>Single Choice</t>
        </is>
      </c>
      <c r="I154" s="179" t="inlineStr">
        <is>
          <t>NA</t>
        </is>
      </c>
      <c r="J154" s="179" t="inlineStr">
        <is>
          <t>NA</t>
        </is>
      </c>
      <c r="K154" s="179" t="inlineStr">
        <is>
          <t>Form Type - Buttons</t>
        </is>
      </c>
      <c r="L154" s="100" t="inlineStr">
        <is>
          <t>NA</t>
        </is>
      </c>
      <c r="M154" s="63" t="inlineStr">
        <is>
          <t>1-4 = fies_skipped</t>
        </is>
      </c>
      <c r="N154" s="342" t="n"/>
      <c r="O154" s="70" t="inlineStr">
        <is>
          <t>if fies_fewfoods = 1-4, go to fies_skipped</t>
        </is>
      </c>
      <c r="P154" s="35" t="inlineStr"/>
      <c r="Q154" s="9" t="n"/>
      <c r="R154" s="306" t="n">
        <v>1</v>
      </c>
      <c r="S154" s="53" t="n"/>
      <c r="U154" s="150" t="inlineStr">
        <is>
          <t>yes</t>
        </is>
      </c>
      <c r="V154" s="613" t="n"/>
      <c r="Y154" s="631" t="n">
        <v>11.55850505828857</v>
      </c>
      <c r="Z154" s="631">
        <f>IF(Y154="","",Y154*R154)</f>
        <v/>
      </c>
      <c r="AA154" s="53" t="inlineStr">
        <is>
          <t>11.55850505828857</t>
        </is>
      </c>
    </row>
    <row r="155" ht="156" customFormat="1" customHeight="1" s="59">
      <c r="A155" s="18">
        <f>A154+1</f>
        <v/>
      </c>
      <c r="B155" s="182" t="inlineStr">
        <is>
          <t>fies_skipped</t>
        </is>
      </c>
      <c r="C155" s="58" t="inlineStr">
        <is>
          <t>fies_skipped</t>
        </is>
      </c>
      <c r="D155" s="559" t="inlineStr">
        <is>
          <t>During the last 30 days, was there a time when you or others in your household had to skip a meal because of lack of money or other resources to get food?
[OPERATOR: SINGLE RESPONSE]
1)YES
2)NO
3)DON'T KNOW
4)REFUSED</t>
        </is>
      </c>
      <c r="E155" s="179">
        <f>LEN(D155)</f>
        <v/>
      </c>
      <c r="F155" s="559"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55" s="179">
        <f>LEN(F155)</f>
        <v/>
      </c>
      <c r="H155" s="186" t="inlineStr">
        <is>
          <t>Single Choice</t>
        </is>
      </c>
      <c r="I155" s="179" t="inlineStr">
        <is>
          <t>NA</t>
        </is>
      </c>
      <c r="J155" s="179" t="inlineStr">
        <is>
          <t>NA</t>
        </is>
      </c>
      <c r="K155" s="179" t="inlineStr">
        <is>
          <t>Form Type - Buttons</t>
        </is>
      </c>
      <c r="L155" s="100" t="inlineStr">
        <is>
          <t>NA</t>
        </is>
      </c>
      <c r="M155" s="63" t="inlineStr">
        <is>
          <t>1-4 = fies_ateless</t>
        </is>
      </c>
      <c r="N155" s="342" t="n"/>
      <c r="O155" s="63" t="inlineStr">
        <is>
          <t>if fies_skipped = 1-4, go to fies_ateless</t>
        </is>
      </c>
      <c r="P155" s="28" t="inlineStr"/>
      <c r="Q155" s="9" t="n"/>
      <c r="R155" s="306" t="n">
        <v>1</v>
      </c>
      <c r="S155" s="53" t="n"/>
      <c r="U155" s="150" t="inlineStr">
        <is>
          <t>yes</t>
        </is>
      </c>
      <c r="V155" s="613" t="n"/>
      <c r="Y155" s="631" t="n">
        <v>11.37925720214844</v>
      </c>
      <c r="Z155" s="631">
        <f>IF(Y155="","",Y155*R155)</f>
        <v/>
      </c>
      <c r="AA155" s="53" t="inlineStr">
        <is>
          <t>11.37925720214844</t>
        </is>
      </c>
    </row>
    <row r="156" ht="156" customFormat="1" customHeight="1" s="59">
      <c r="A156" s="18">
        <f>A155+1</f>
        <v/>
      </c>
      <c r="B156" s="182" t="inlineStr">
        <is>
          <t>fies_ateless</t>
        </is>
      </c>
      <c r="C156" s="58" t="inlineStr">
        <is>
          <t>fies_ateless</t>
        </is>
      </c>
      <c r="D156" s="559" t="inlineStr">
        <is>
          <t>During the last 30 days, was there a time when you or others in your household ate less than you thought you should because of lack of money or other resources?
[OPERATOR: SINGLE RESPONSE]
1)YES
2)NO
3)DON'T KNOW
4)REFUSED</t>
        </is>
      </c>
      <c r="E156" s="179">
        <f>LEN(D156)</f>
        <v/>
      </c>
      <c r="F156" s="559"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56" s="179">
        <f>LEN(F156)</f>
        <v/>
      </c>
      <c r="H156" s="186" t="inlineStr">
        <is>
          <t>Single Choice</t>
        </is>
      </c>
      <c r="I156" s="179" t="inlineStr">
        <is>
          <t>NA</t>
        </is>
      </c>
      <c r="J156" s="179" t="inlineStr">
        <is>
          <t>NA</t>
        </is>
      </c>
      <c r="K156" s="179" t="inlineStr">
        <is>
          <t>Form Type - Buttons</t>
        </is>
      </c>
      <c r="L156" s="100" t="inlineStr">
        <is>
          <t>NA</t>
        </is>
      </c>
      <c r="M156" s="63" t="inlineStr">
        <is>
          <t>1-4 = fies_ranout</t>
        </is>
      </c>
      <c r="N156" s="342" t="n"/>
      <c r="O156" s="63" t="inlineStr">
        <is>
          <t>if fies_ateless = 1-4, go to fies_ranout</t>
        </is>
      </c>
      <c r="P156" s="28" t="inlineStr"/>
      <c r="Q156" s="9" t="n"/>
      <c r="R156" s="306" t="n">
        <v>1</v>
      </c>
      <c r="S156" s="53" t="n"/>
      <c r="U156" s="150" t="inlineStr">
        <is>
          <t>yes</t>
        </is>
      </c>
      <c r="V156" s="613" t="n"/>
      <c r="Y156" s="631" t="n">
        <v>10.44321727752686</v>
      </c>
      <c r="Z156" s="631">
        <f>IF(Y156="","",Y156*R156)</f>
        <v/>
      </c>
      <c r="AA156" s="53" t="inlineStr">
        <is>
          <t>10.44321727752686</t>
        </is>
      </c>
    </row>
    <row r="157" ht="159" customFormat="1" customHeight="1" s="59">
      <c r="A157" s="18">
        <f>A156+1</f>
        <v/>
      </c>
      <c r="B157" s="182" t="inlineStr">
        <is>
          <t>fies_ranout</t>
        </is>
      </c>
      <c r="C157" s="183" t="inlineStr">
        <is>
          <t>fies_ranout</t>
        </is>
      </c>
      <c r="D157" s="143" t="inlineStr">
        <is>
          <t>In the past 30 days, was there ever no food to eat of any kind in your house because of lack of resources to get food?
[OPERATOR: SINGLE RESPONSE]
1)YES
2)NO
3)DON'T KNOW
4)REFUSED</t>
        </is>
      </c>
      <c r="E157" s="179">
        <f>LEN(D157)</f>
        <v/>
      </c>
      <c r="F157" s="143"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57" s="179">
        <f>LEN(F157)</f>
        <v/>
      </c>
      <c r="H157" s="186" t="inlineStr">
        <is>
          <t>Single Choice</t>
        </is>
      </c>
      <c r="I157" s="179" t="inlineStr">
        <is>
          <t>NA</t>
        </is>
      </c>
      <c r="J157" s="179" t="inlineStr">
        <is>
          <t>NA</t>
        </is>
      </c>
      <c r="K157" s="179" t="inlineStr">
        <is>
          <t>Form Type - Buttons</t>
        </is>
      </c>
      <c r="L157" s="100" t="inlineStr">
        <is>
          <t>NA</t>
        </is>
      </c>
      <c r="M157" s="63" t="inlineStr">
        <is>
          <t>1=fies_ranout_hhs
2-4 = fies_hungry</t>
        </is>
      </c>
      <c r="N157" s="342" t="n"/>
      <c r="O157" s="70" t="inlineStr">
        <is>
          <t>if fies_ranout = 1, go to fies_ranout_hhs. Otherwise, go to fies_hungry</t>
        </is>
      </c>
      <c r="P157" s="35" t="inlineStr"/>
      <c r="Q157" s="9" t="n"/>
      <c r="R157" s="306" t="n">
        <v>1</v>
      </c>
      <c r="S157" s="53" t="n"/>
      <c r="U157" s="150" t="inlineStr">
        <is>
          <t>yes</t>
        </is>
      </c>
      <c r="V157" s="613" t="n"/>
      <c r="Y157" s="631" t="n">
        <v>10.73201084136963</v>
      </c>
      <c r="Z157" s="631">
        <f>IF(Y157="","",Y157*R157)</f>
        <v/>
      </c>
      <c r="AA157" s="53" t="inlineStr">
        <is>
          <t>10.73201084136963</t>
        </is>
      </c>
    </row>
    <row r="158" ht="152.25" customFormat="1" customHeight="1" s="129">
      <c r="A158" s="18">
        <f>A157+1</f>
        <v/>
      </c>
      <c r="B158" s="182" t="inlineStr">
        <is>
          <t>fies_ranout_hhs</t>
        </is>
      </c>
      <c r="C158" s="183" t="inlineStr">
        <is>
          <t>fies_ranout_hhs</t>
        </is>
      </c>
      <c r="D158" s="192" t="inlineStr">
        <is>
          <t>How often did this happen?
[OPERATOR: SINGLE RESPONSE]
1)Rarely [1-2 times in the past 30 days]
2)Sometimes [3-10 times in the past 30 days]
3)Often [more than 10 times in the last 30 days]
4)DON'T KNOW
5)REFUSED</t>
        </is>
      </c>
      <c r="E158" s="179">
        <f>LEN(D158)</f>
        <v/>
      </c>
      <c r="F158"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58" s="179">
        <f>LEN(F158)</f>
        <v/>
      </c>
      <c r="H158" s="186" t="inlineStr">
        <is>
          <t>Single Choice</t>
        </is>
      </c>
      <c r="I158" s="179" t="inlineStr">
        <is>
          <t>NA</t>
        </is>
      </c>
      <c r="J158" s="179" t="inlineStr">
        <is>
          <t>NA</t>
        </is>
      </c>
      <c r="K158" s="179" t="inlineStr">
        <is>
          <t>Form Type - Buttons</t>
        </is>
      </c>
      <c r="L158" s="100" t="inlineStr">
        <is>
          <t>NA</t>
        </is>
      </c>
      <c r="M158" s="63" t="inlineStr">
        <is>
          <t>1-5 = fies_hungry</t>
        </is>
      </c>
      <c r="N158" s="342" t="n"/>
      <c r="O158" s="63" t="inlineStr">
        <is>
          <t>if fies_ranout_hhs = 1-5, go to fies_hungry</t>
        </is>
      </c>
      <c r="P158" s="28" t="inlineStr"/>
      <c r="Q158" s="9" t="n"/>
      <c r="R158" s="306" t="n">
        <v>1</v>
      </c>
      <c r="S158" s="53" t="n"/>
      <c r="U158" s="150" t="inlineStr">
        <is>
          <t>yes</t>
        </is>
      </c>
      <c r="V158" s="613" t="n"/>
      <c r="Y158" s="631" t="n">
        <v>11.58613967895508</v>
      </c>
      <c r="Z158" s="631">
        <f>IF(Y158="","",Y158*R158)</f>
        <v/>
      </c>
      <c r="AA158" s="53" t="inlineStr">
        <is>
          <t>11.58613967895508</t>
        </is>
      </c>
    </row>
    <row r="159" ht="174" customFormat="1" customHeight="1" s="59">
      <c r="A159" s="18">
        <f>A158+1</f>
        <v/>
      </c>
      <c r="B159" s="182" t="inlineStr">
        <is>
          <t>fies_hungry</t>
        </is>
      </c>
      <c r="C159" s="58" t="inlineStr">
        <is>
          <t>fies_hungry</t>
        </is>
      </c>
      <c r="D159" s="143" t="inlineStr">
        <is>
          <t>In the past 30 days, did you or any household member ever go to sleep at night hungry because there was not enough food?
[OPERATOR: SINGLE RESPONSE]
1)YES
2)NO
3)DON'T KNOW
4)REFUSED</t>
        </is>
      </c>
      <c r="E159" s="179">
        <f>LEN(D159)</f>
        <v/>
      </c>
      <c r="F159" s="143"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59" s="179">
        <f>LEN(F159)</f>
        <v/>
      </c>
      <c r="H159" s="186" t="inlineStr">
        <is>
          <t>Single Choice</t>
        </is>
      </c>
      <c r="I159" s="179" t="inlineStr">
        <is>
          <t>NA</t>
        </is>
      </c>
      <c r="J159" s="179" t="inlineStr">
        <is>
          <t>NA</t>
        </is>
      </c>
      <c r="K159" s="179" t="inlineStr">
        <is>
          <t>Form Type - Buttons</t>
        </is>
      </c>
      <c r="L159" s="100" t="inlineStr">
        <is>
          <t>NA</t>
        </is>
      </c>
      <c r="M159" s="63" t="inlineStr">
        <is>
          <t>1=fies_hungry_hhs
2-4 = fies_whlday</t>
        </is>
      </c>
      <c r="N159" s="342" t="n"/>
      <c r="O159" s="70" t="inlineStr">
        <is>
          <t>if fies_hungry = 1, go to fies_hungry_hhs. Otherwise, go to fies_whlday</t>
        </is>
      </c>
      <c r="P159" s="35" t="inlineStr"/>
      <c r="Q159" s="9" t="n"/>
      <c r="R159" s="306" t="n">
        <v>1</v>
      </c>
      <c r="S159" s="53" t="n"/>
      <c r="U159" s="150" t="inlineStr">
        <is>
          <t>yes</t>
        </is>
      </c>
      <c r="V159" s="613" t="n"/>
      <c r="Y159" s="631" t="n">
        <v>9.75520133972168</v>
      </c>
      <c r="Z159" s="631">
        <f>IF(Y159="","",Y159*R159)</f>
        <v/>
      </c>
      <c r="AA159" s="53" t="inlineStr">
        <is>
          <t>9.75520133972168</t>
        </is>
      </c>
    </row>
    <row r="160" ht="177" customFormat="1" customHeight="1" s="59">
      <c r="A160" s="18">
        <f>A159+1</f>
        <v/>
      </c>
      <c r="B160" s="182" t="inlineStr">
        <is>
          <t>fies_hungry_hhs</t>
        </is>
      </c>
      <c r="C160" s="183" t="inlineStr">
        <is>
          <t>fies_hungry_hhs</t>
        </is>
      </c>
      <c r="D160" s="192" t="inlineStr">
        <is>
          <t>How often did this happen?
[OPERATOR: SINGLE RESPONSE]
1)Rarely [1-2 times in the past 30 days]
2)Sometimes [3-10 times in the past 30 days]
3)Often [more than 10 times in the last 30 days]
4)DON'T KNOW
5)REFUSED</t>
        </is>
      </c>
      <c r="E160" s="179">
        <f>LEN(D160)</f>
        <v/>
      </c>
      <c r="F160"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0" s="179">
        <f>LEN(F160)</f>
        <v/>
      </c>
      <c r="H160" s="186" t="inlineStr">
        <is>
          <t>Single Choice</t>
        </is>
      </c>
      <c r="I160" s="179" t="inlineStr">
        <is>
          <t>NA</t>
        </is>
      </c>
      <c r="J160" s="179" t="inlineStr">
        <is>
          <t>NA</t>
        </is>
      </c>
      <c r="K160" s="179" t="inlineStr">
        <is>
          <t>Form Type - Buttons</t>
        </is>
      </c>
      <c r="L160" s="100" t="inlineStr">
        <is>
          <t>NA</t>
        </is>
      </c>
      <c r="M160" s="63" t="inlineStr">
        <is>
          <t>1-5 = fies_whlday</t>
        </is>
      </c>
      <c r="N160" s="342" t="n"/>
      <c r="O160" s="63" t="inlineStr">
        <is>
          <t>if fies_hungry_hhs = 1-5, go to fies_whlday</t>
        </is>
      </c>
      <c r="P160" s="28" t="inlineStr"/>
      <c r="Q160" s="9" t="n"/>
      <c r="R160" s="306" t="n">
        <v>1</v>
      </c>
      <c r="S160" s="53" t="n"/>
      <c r="U160" s="150" t="inlineStr">
        <is>
          <t>yes</t>
        </is>
      </c>
      <c r="V160" s="613" t="n"/>
      <c r="Y160" s="631" t="n">
        <v>7.94479513168335</v>
      </c>
      <c r="Z160" s="631">
        <f>IF(Y160="","",Y160*R160)</f>
        <v/>
      </c>
      <c r="AA160" s="53" t="inlineStr">
        <is>
          <t>7.94479513168335</t>
        </is>
      </c>
    </row>
    <row r="161" ht="177.75" customFormat="1" customHeight="1" s="59">
      <c r="A161" s="18">
        <f>A160+1</f>
        <v/>
      </c>
      <c r="B161" s="182" t="inlineStr">
        <is>
          <t>fies_whlday</t>
        </is>
      </c>
      <c r="C161" s="58" t="inlineStr">
        <is>
          <t>fies_whlday</t>
        </is>
      </c>
      <c r="D161" s="143" t="inlineStr">
        <is>
          <t>In the past 30 days, did you or any household member ever go a whole day and night without eating anything at all because there was not enough food?
[OPERATOR: SINGLE RESPONSE]
1)YES
2)NO
3)DON'T KNOW
4)REFUSED</t>
        </is>
      </c>
      <c r="E161" s="179">
        <f>LEN(D161)</f>
        <v/>
      </c>
      <c r="F161" s="143"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61" s="179">
        <f>LEN(F161)</f>
        <v/>
      </c>
      <c r="H161" s="186" t="inlineStr">
        <is>
          <t>Single Choice</t>
        </is>
      </c>
      <c r="I161" s="179" t="inlineStr">
        <is>
          <t>NA</t>
        </is>
      </c>
      <c r="J161" s="179" t="inlineStr">
        <is>
          <t>NA</t>
        </is>
      </c>
      <c r="K161" s="179" t="inlineStr">
        <is>
          <t>Form Type - Buttons</t>
        </is>
      </c>
      <c r="L161" s="100" t="inlineStr">
        <is>
          <t>NA</t>
        </is>
      </c>
      <c r="M161" s="63" t="inlineStr">
        <is>
          <t>1=fies_whlday_hhs
2-4 = lcsi_intro</t>
        </is>
      </c>
      <c r="N161" s="342" t="n"/>
      <c r="O161" s="70" t="inlineStr">
        <is>
          <t>if fies_whlday = 1, go to fies_whlday_hhs. Otherwise, go to lcsi_intro OR hdds</t>
        </is>
      </c>
      <c r="P161" s="15" t="inlineStr">
        <is>
          <t>2-4 = lcsi_intro</t>
        </is>
      </c>
      <c r="Q161" s="9" t="n"/>
      <c r="R161" s="306" t="n">
        <v>1</v>
      </c>
      <c r="S161" s="53" t="n"/>
      <c r="U161" s="150" t="inlineStr">
        <is>
          <t>yes</t>
        </is>
      </c>
      <c r="V161" s="613" t="n"/>
      <c r="Y161" s="631" t="n">
        <v>7.931224822998047</v>
      </c>
      <c r="Z161" s="631">
        <f>IF(Y161="","",Y161*R161)</f>
        <v/>
      </c>
      <c r="AA161" s="53" t="inlineStr">
        <is>
          <t>7.931224822998047</t>
        </is>
      </c>
    </row>
    <row r="162" ht="177" customFormat="1" customHeight="1" s="59">
      <c r="A162" s="18">
        <f>A161+1</f>
        <v/>
      </c>
      <c r="B162" s="182" t="inlineStr">
        <is>
          <t>fies_whlday_hhs</t>
        </is>
      </c>
      <c r="C162" s="183" t="inlineStr">
        <is>
          <t>fies_whlday_hhs</t>
        </is>
      </c>
      <c r="D162" s="192" t="inlineStr">
        <is>
          <t>How often did this happen?
[OPERATOR: SINGLE RESPONSE]
1)Rarely [1-2 times in the past 30 days]
2)Sometimes [3-10 times in the past 30 days]
3)Often [more than 10 times in the last 30 days]
4)DON'T KNOW
5)REFUSED</t>
        </is>
      </c>
      <c r="E162" s="179">
        <f>LEN(D162)</f>
        <v/>
      </c>
      <c r="F162"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2" s="179">
        <f>LEN(F162)</f>
        <v/>
      </c>
      <c r="H162" s="186" t="inlineStr">
        <is>
          <t>Single Choice</t>
        </is>
      </c>
      <c r="I162" s="179" t="inlineStr">
        <is>
          <t>NA</t>
        </is>
      </c>
      <c r="J162" s="179" t="inlineStr">
        <is>
          <t>NA</t>
        </is>
      </c>
      <c r="K162" s="179" t="inlineStr">
        <is>
          <t>Form Type - Buttons</t>
        </is>
      </c>
      <c r="L162" s="100" t="inlineStr">
        <is>
          <t>NA</t>
        </is>
      </c>
      <c r="M162" s="63" t="inlineStr">
        <is>
          <t>1-5 = lcsi_intro</t>
        </is>
      </c>
      <c r="N162" s="342" t="n"/>
      <c r="O162" s="70" t="inlineStr">
        <is>
          <t>if fies_whlday_hhs = 1-5, go to lcsi_intro OR hdds</t>
        </is>
      </c>
      <c r="P162" s="15" t="inlineStr">
        <is>
          <t>1-5 = lcsi_intro</t>
        </is>
      </c>
      <c r="Q162" s="9" t="n"/>
      <c r="R162" s="306" t="n">
        <v>1</v>
      </c>
      <c r="S162" s="53" t="n"/>
      <c r="U162" s="150" t="inlineStr">
        <is>
          <t>yes</t>
        </is>
      </c>
      <c r="V162" s="613" t="n"/>
      <c r="Y162" s="631" t="n">
        <v>5.339005947113037</v>
      </c>
      <c r="Z162" s="631">
        <f>IF(Y162="","",Y162*R162)</f>
        <v/>
      </c>
      <c r="AA162" s="53" t="inlineStr">
        <is>
          <t>5.339005947113037</t>
        </is>
      </c>
    </row>
    <row r="163" ht="156" customFormat="1" customHeight="1" s="218">
      <c r="A163" s="125">
        <f>A162+1</f>
        <v/>
      </c>
      <c r="B163" s="290" t="inlineStr">
        <is>
          <t>lcsi_intro</t>
        </is>
      </c>
      <c r="C163" s="255" t="inlineStr">
        <is>
          <t>lcsi_intro</t>
        </is>
      </c>
      <c r="D163" s="578" t="inlineStr">
        <is>
          <t>Now I would like to ask you another set of questions on coping strategies, referring to the past 30 days.
[OPERATOR: SINGLE RESPONSE]
1)NEXT</t>
        </is>
      </c>
      <c r="E163" s="292">
        <f>LEN(D163)</f>
        <v/>
      </c>
      <c r="F163" s="578"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63" s="292">
        <f>LEN(F163)</f>
        <v/>
      </c>
      <c r="H163" s="289" t="inlineStr">
        <is>
          <t>Single Choice</t>
        </is>
      </c>
      <c r="I163" s="292" t="inlineStr">
        <is>
          <t>NA</t>
        </is>
      </c>
      <c r="J163" s="292" t="inlineStr">
        <is>
          <t>NA</t>
        </is>
      </c>
      <c r="K163" s="292" t="inlineStr">
        <is>
          <t>Form Type - Buttons</t>
        </is>
      </c>
      <c r="L163" s="215" t="inlineStr">
        <is>
          <t>NA</t>
        </is>
      </c>
      <c r="M163" s="229" t="inlineStr">
        <is>
          <t>1 = cs_stress_hh_assets</t>
        </is>
      </c>
      <c r="N163" s="365" t="n"/>
      <c r="O163" s="280" t="inlineStr"/>
      <c r="P163" s="281" t="inlineStr">
        <is>
          <t>1 = cs_stress_hh_assets</t>
        </is>
      </c>
      <c r="Q163" s="278"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R163" s="317" t="n">
        <v>1</v>
      </c>
      <c r="S163" s="217" t="n"/>
      <c r="U163" s="219" t="inlineStr">
        <is>
          <t>no</t>
        </is>
      </c>
      <c r="V163" s="220" t="n"/>
      <c r="Y163" s="633" t="n">
        <v>3.816555500030518</v>
      </c>
      <c r="Z163" s="633">
        <f>IF(Y163="","",Y163*R163)</f>
        <v/>
      </c>
      <c r="AA163" s="217" t="inlineStr"/>
    </row>
    <row r="164" ht="246.75" customFormat="1" customHeight="1" s="218">
      <c r="A164" s="125">
        <f>A163+1</f>
        <v/>
      </c>
      <c r="B164" s="282" t="inlineStr">
        <is>
          <t>cs_stress_hh_assets</t>
        </is>
      </c>
      <c r="C164" s="255" t="inlineStr">
        <is>
          <t>cs_stress_hh_assets</t>
        </is>
      </c>
      <c r="D164" s="230"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4" s="292">
        <f>LEN(D164)</f>
        <v/>
      </c>
      <c r="F164" s="293"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4" s="292">
        <f>LEN(F164)</f>
        <v/>
      </c>
      <c r="H164" s="289" t="inlineStr">
        <is>
          <t>Single Choice</t>
        </is>
      </c>
      <c r="I164" s="292" t="inlineStr">
        <is>
          <t>NA</t>
        </is>
      </c>
      <c r="J164" s="292" t="inlineStr">
        <is>
          <t>NA</t>
        </is>
      </c>
      <c r="K164" s="292" t="inlineStr">
        <is>
          <t>Form Type - Buttons</t>
        </is>
      </c>
      <c r="L164" s="215" t="inlineStr">
        <is>
          <t>NA</t>
        </is>
      </c>
      <c r="M164" s="229" t="inlineStr">
        <is>
          <t>1-6 = cs_stress_spent_savings</t>
        </is>
      </c>
      <c r="N164" s="365" t="n"/>
      <c r="O164" s="279" t="inlineStr"/>
      <c r="P164" s="281" t="inlineStr">
        <is>
          <t>1-6 = cs_stress_spent_savings</t>
        </is>
      </c>
      <c r="Q164" s="238" t="n"/>
      <c r="R164" s="317" t="n">
        <v>1</v>
      </c>
      <c r="S164" s="217" t="n"/>
      <c r="U164" s="219" t="inlineStr">
        <is>
          <t>no</t>
        </is>
      </c>
      <c r="V164" s="220" t="n"/>
      <c r="Y164" s="633" t="n">
        <v>16.82703018188477</v>
      </c>
      <c r="Z164" s="633">
        <f>IF(Y164="","",Y164*R164)</f>
        <v/>
      </c>
      <c r="AA164" s="217" t="inlineStr"/>
    </row>
    <row r="165" ht="245.25" customFormat="1" customHeight="1" s="218">
      <c r="A165" s="125">
        <f>A164+1</f>
        <v/>
      </c>
      <c r="B165" s="282" t="inlineStr">
        <is>
          <t>cs_stress_spent_savings</t>
        </is>
      </c>
      <c r="C165" s="255" t="inlineStr">
        <is>
          <t>cs_stress_spent_savings</t>
        </is>
      </c>
      <c r="D165" s="230"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5" s="292">
        <f>LEN(D165)</f>
        <v/>
      </c>
      <c r="F165" s="293"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5" s="292">
        <f>LEN(F165)</f>
        <v/>
      </c>
      <c r="H165" s="289" t="inlineStr">
        <is>
          <t>Single Choice</t>
        </is>
      </c>
      <c r="I165" s="292" t="inlineStr">
        <is>
          <t>NA</t>
        </is>
      </c>
      <c r="J165" s="292" t="inlineStr">
        <is>
          <t>NA</t>
        </is>
      </c>
      <c r="K165" s="292" t="inlineStr">
        <is>
          <t>Form Type - Buttons</t>
        </is>
      </c>
      <c r="L165" s="215" t="inlineStr">
        <is>
          <t>NA</t>
        </is>
      </c>
      <c r="M165" s="229" t="inlineStr">
        <is>
          <t>1-6 = cs_stress_credit</t>
        </is>
      </c>
      <c r="N165" s="365" t="n"/>
      <c r="O165" s="279" t="inlineStr"/>
      <c r="P165" s="281" t="inlineStr">
        <is>
          <t>1-6 = cs_stress_credit</t>
        </is>
      </c>
      <c r="Q165" s="238" t="n"/>
      <c r="R165" s="317" t="n">
        <v>1</v>
      </c>
      <c r="S165" s="217" t="n"/>
      <c r="U165" s="219" t="inlineStr">
        <is>
          <t>no</t>
        </is>
      </c>
      <c r="V165" s="220" t="n"/>
      <c r="Y165" s="633" t="n">
        <v>12.21140480041504</v>
      </c>
      <c r="Z165" s="633">
        <f>IF(Y165="","",Y165*R165)</f>
        <v/>
      </c>
      <c r="AA165" s="217" t="inlineStr"/>
    </row>
    <row r="166" ht="241.5" customFormat="1" customHeight="1" s="218">
      <c r="A166" s="125">
        <f>A165+1</f>
        <v/>
      </c>
      <c r="B166" s="282" t="inlineStr">
        <is>
          <t>cs_stress_credit</t>
        </is>
      </c>
      <c r="C166" s="255" t="inlineStr">
        <is>
          <t>cs_stress_credit</t>
        </is>
      </c>
      <c r="D166" s="230"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66" s="292">
        <f>LEN(D166)</f>
        <v/>
      </c>
      <c r="F166" s="293"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6" s="292">
        <f>LEN(F166)</f>
        <v/>
      </c>
      <c r="H166" s="289" t="inlineStr">
        <is>
          <t>Single Choice</t>
        </is>
      </c>
      <c r="I166" s="292" t="inlineStr">
        <is>
          <t>NA</t>
        </is>
      </c>
      <c r="J166" s="292" t="inlineStr">
        <is>
          <t>NA</t>
        </is>
      </c>
      <c r="K166" s="292" t="inlineStr">
        <is>
          <t>Form Type - Buttons</t>
        </is>
      </c>
      <c r="L166" s="215" t="inlineStr">
        <is>
          <t>NA</t>
        </is>
      </c>
      <c r="M166" s="229" t="inlineStr">
        <is>
          <t>1-6 = cs_stress_borrowed_money</t>
        </is>
      </c>
      <c r="N166" s="365" t="n"/>
      <c r="O166" s="279" t="inlineStr"/>
      <c r="P166" s="281" t="inlineStr">
        <is>
          <t>1-6 = cs_stress_borrowed_money</t>
        </is>
      </c>
      <c r="Q166" s="238" t="n"/>
      <c r="R166" s="317" t="n">
        <v>1</v>
      </c>
      <c r="S166" s="217" t="n"/>
      <c r="U166" s="219" t="inlineStr">
        <is>
          <t>no</t>
        </is>
      </c>
      <c r="V166" s="220" t="n"/>
      <c r="Y166" s="633" t="n">
        <v>10.84387874603271</v>
      </c>
      <c r="Z166" s="633">
        <f>IF(Y166="","",Y166*R166)</f>
        <v/>
      </c>
      <c r="AA166" s="217" t="inlineStr"/>
    </row>
    <row r="167" ht="224.25" customFormat="1" customHeight="1" s="218">
      <c r="A167" s="125">
        <f>A166+1</f>
        <v/>
      </c>
      <c r="B167" s="282" t="inlineStr">
        <is>
          <t>cs_stress_borrowed_money</t>
        </is>
      </c>
      <c r="C167" s="255" t="inlineStr">
        <is>
          <t>cs_stress_borrowed_money</t>
        </is>
      </c>
      <c r="D167" s="230"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67" s="292">
        <f>LEN(D167)</f>
        <v/>
      </c>
      <c r="F167" s="293"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7" s="292">
        <f>LEN(F167)</f>
        <v/>
      </c>
      <c r="H167" s="289" t="inlineStr">
        <is>
          <t>Single Choice</t>
        </is>
      </c>
      <c r="I167" s="292" t="inlineStr">
        <is>
          <t>NA</t>
        </is>
      </c>
      <c r="J167" s="292" t="inlineStr">
        <is>
          <t>NA</t>
        </is>
      </c>
      <c r="K167" s="292" t="inlineStr">
        <is>
          <t>Form Type - Buttons</t>
        </is>
      </c>
      <c r="L167" s="215" t="inlineStr">
        <is>
          <t>NA</t>
        </is>
      </c>
      <c r="M167" s="229" t="inlineStr">
        <is>
          <t>1-6 = cs_crisis_no_school</t>
        </is>
      </c>
      <c r="N167" s="365" t="n"/>
      <c r="O167" s="279" t="inlineStr"/>
      <c r="P167" s="281" t="inlineStr">
        <is>
          <t>1-6 = cs_crisis_no_school</t>
        </is>
      </c>
      <c r="Q167" s="238" t="n"/>
      <c r="R167" s="317" t="n">
        <v>1</v>
      </c>
      <c r="S167" s="217" t="n"/>
      <c r="U167" s="219" t="inlineStr">
        <is>
          <t>no</t>
        </is>
      </c>
      <c r="V167" s="220" t="n"/>
      <c r="Y167" s="633" t="n">
        <v>8.231814384460449</v>
      </c>
      <c r="Z167" s="633">
        <f>IF(Y167="","",Y167*R167)</f>
        <v/>
      </c>
      <c r="AA167" s="217" t="inlineStr"/>
    </row>
    <row r="168" ht="219.75" customFormat="1" customHeight="1" s="218">
      <c r="A168" s="125">
        <f>A167+1</f>
        <v/>
      </c>
      <c r="B168" s="282" t="inlineStr">
        <is>
          <t>cs_crisis_no_school</t>
        </is>
      </c>
      <c r="C168" s="255" t="inlineStr">
        <is>
          <t>cs_crisis_no_school</t>
        </is>
      </c>
      <c r="D168" s="230"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68" s="292">
        <f>LEN(D168)</f>
        <v/>
      </c>
      <c r="F168" s="293"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8" s="292">
        <f>LEN(F168)</f>
        <v/>
      </c>
      <c r="H168" s="289" t="inlineStr">
        <is>
          <t>Single Choice</t>
        </is>
      </c>
      <c r="I168" s="292" t="inlineStr">
        <is>
          <t>NA</t>
        </is>
      </c>
      <c r="J168" s="292" t="inlineStr">
        <is>
          <t>NA</t>
        </is>
      </c>
      <c r="K168" s="292" t="inlineStr">
        <is>
          <t>Form Type - Buttons</t>
        </is>
      </c>
      <c r="L168" s="215" t="inlineStr">
        <is>
          <t>NA</t>
        </is>
      </c>
      <c r="M168" s="229" t="inlineStr">
        <is>
          <t>1-6 = cs_crisis_reduced_health_exp</t>
        </is>
      </c>
      <c r="N168" s="364" t="n"/>
      <c r="O168" s="230" t="inlineStr"/>
      <c r="P168" s="281" t="inlineStr">
        <is>
          <t>1-6 = cs_crisis_reduced_health_exp</t>
        </is>
      </c>
      <c r="Q168" s="238" t="n"/>
      <c r="R168" s="317" t="n">
        <v>1</v>
      </c>
      <c r="S168" s="217" t="n"/>
      <c r="U168" s="219" t="inlineStr">
        <is>
          <t>no</t>
        </is>
      </c>
      <c r="V168" s="220" t="n"/>
      <c r="Y168" s="633" t="n">
        <v>11.36098480224609</v>
      </c>
      <c r="Z168" s="633">
        <f>IF(Y168="","",Y168*R168)</f>
        <v/>
      </c>
      <c r="AA168" s="217" t="inlineStr"/>
    </row>
    <row r="169" ht="224.25" customFormat="1" customHeight="1" s="218">
      <c r="A169" s="125">
        <f>A168+1</f>
        <v/>
      </c>
      <c r="B169" s="282" t="inlineStr">
        <is>
          <t>cs_crisis_reduced_health_exp</t>
        </is>
      </c>
      <c r="C169" s="255" t="inlineStr">
        <is>
          <t>cs_crisis_reduced_health_exp</t>
        </is>
      </c>
      <c r="D169" s="230"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69" s="292">
        <f>LEN(D169)</f>
        <v/>
      </c>
      <c r="F169" s="293"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9" s="292">
        <f>LEN(F169)</f>
        <v/>
      </c>
      <c r="H169" s="289" t="inlineStr">
        <is>
          <t>Single Choice</t>
        </is>
      </c>
      <c r="I169" s="292" t="inlineStr">
        <is>
          <t>NA</t>
        </is>
      </c>
      <c r="J169" s="292" t="inlineStr">
        <is>
          <t>NA</t>
        </is>
      </c>
      <c r="K169" s="292" t="inlineStr">
        <is>
          <t>Form Type - Buttons</t>
        </is>
      </c>
      <c r="L169" s="215" t="inlineStr">
        <is>
          <t>NA</t>
        </is>
      </c>
      <c r="M169" s="229" t="inlineStr">
        <is>
          <t>1-6 = cs_crisis_decrease_input_exp</t>
        </is>
      </c>
      <c r="N169" s="364" t="n"/>
      <c r="O169" s="601" t="inlineStr"/>
      <c r="P169" s="281" t="inlineStr">
        <is>
          <t>1-6 = cs_crisis_decrease_input_exp</t>
        </is>
      </c>
      <c r="Q169" s="238" t="n"/>
      <c r="R169" s="317" t="n"/>
      <c r="S169" s="217" t="n"/>
      <c r="U169" s="219" t="inlineStr"/>
      <c r="V169" s="220" t="n"/>
      <c r="Y169" s="633" t="n"/>
      <c r="Z169" s="633" t="n"/>
      <c r="AA169" s="217" t="inlineStr"/>
    </row>
    <row r="170" ht="202.75" customFormat="1" customHeight="1" s="218">
      <c r="A170" s="125">
        <f>A169+1</f>
        <v/>
      </c>
      <c r="B170" s="282" t="inlineStr">
        <is>
          <t>cs_crisis_decrease_input_exp</t>
        </is>
      </c>
      <c r="C170" s="255" t="inlineStr">
        <is>
          <t>cs_crisis_decrease_input_exp</t>
        </is>
      </c>
      <c r="D170" s="230"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70" s="292">
        <f>LEN(D170)</f>
        <v/>
      </c>
      <c r="F170" s="293"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0" s="292">
        <f>LEN(F170)</f>
        <v/>
      </c>
      <c r="H170" s="289" t="inlineStr">
        <is>
          <t>Single Choice</t>
        </is>
      </c>
      <c r="I170" s="292" t="inlineStr">
        <is>
          <t>NA</t>
        </is>
      </c>
      <c r="J170" s="292" t="inlineStr">
        <is>
          <t>NA</t>
        </is>
      </c>
      <c r="K170" s="292" t="inlineStr">
        <is>
          <t>Form Type - Buttons</t>
        </is>
      </c>
      <c r="L170" s="215" t="inlineStr">
        <is>
          <t>NA</t>
        </is>
      </c>
      <c r="M170" s="229" t="inlineStr">
        <is>
          <t>1-6 = cs_emergency_sold_house</t>
        </is>
      </c>
      <c r="N170" s="364" t="n"/>
      <c r="O170" s="602" t="inlineStr"/>
      <c r="P170" s="281" t="inlineStr">
        <is>
          <t>1-6 = cs_emergency_sold_house</t>
        </is>
      </c>
      <c r="Q170" s="238" t="n"/>
      <c r="R170" s="317" t="n">
        <v>1</v>
      </c>
      <c r="S170" s="217" t="n"/>
      <c r="U170" s="219" t="inlineStr">
        <is>
          <t>no</t>
        </is>
      </c>
      <c r="V170" s="220" t="n"/>
      <c r="Y170" s="633" t="n">
        <v>9.023268699645996</v>
      </c>
      <c r="Z170" s="633">
        <f>IF(Y170="","",Y170*R170)</f>
        <v/>
      </c>
      <c r="AA170" s="217" t="inlineStr"/>
    </row>
    <row r="171" ht="214.5" customFormat="1" customHeight="1" s="218">
      <c r="A171" s="125">
        <f>A170+1</f>
        <v/>
      </c>
      <c r="B171" s="282" t="inlineStr">
        <is>
          <t>cs_emergency_sold_house</t>
        </is>
      </c>
      <c r="C171" s="255" t="inlineStr">
        <is>
          <t>cs_emergency_sold_house</t>
        </is>
      </c>
      <c r="D171" s="230"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71" s="292">
        <f>LEN(D171)</f>
        <v/>
      </c>
      <c r="F171" s="293"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1" s="292">
        <f>LEN(F171)</f>
        <v/>
      </c>
      <c r="H171" s="289" t="inlineStr">
        <is>
          <t>Single Choice</t>
        </is>
      </c>
      <c r="I171" s="292" t="inlineStr">
        <is>
          <t>NA</t>
        </is>
      </c>
      <c r="J171" s="292" t="inlineStr">
        <is>
          <t>NA</t>
        </is>
      </c>
      <c r="K171" s="292" t="inlineStr">
        <is>
          <t>Form Type - Buttons</t>
        </is>
      </c>
      <c r="L171" s="215" t="inlineStr">
        <is>
          <t>NA</t>
        </is>
      </c>
      <c r="M171" s="229" t="inlineStr">
        <is>
          <t>1-6 = cs_emergency_begged</t>
        </is>
      </c>
      <c r="N171" s="364" t="n"/>
      <c r="O171" s="602" t="inlineStr"/>
      <c r="P171" s="281" t="inlineStr">
        <is>
          <t>1-6 = cs_emergency_begged</t>
        </is>
      </c>
      <c r="Q171" s="238" t="n"/>
      <c r="R171" s="317" t="n">
        <v>1</v>
      </c>
      <c r="S171" s="217" t="n"/>
      <c r="U171" s="219" t="inlineStr">
        <is>
          <t>no</t>
        </is>
      </c>
      <c r="V171" s="220" t="n"/>
      <c r="Y171" s="633" t="n">
        <v>9.063239097595215</v>
      </c>
      <c r="Z171" s="633">
        <f>IF(Y171="","",Y171*R171)</f>
        <v/>
      </c>
      <c r="AA171" s="217" t="inlineStr"/>
    </row>
    <row r="172" ht="187.4" customFormat="1" customHeight="1" s="218">
      <c r="A172" s="125">
        <f>A171+1</f>
        <v/>
      </c>
      <c r="B172" s="282" t="inlineStr">
        <is>
          <t>cs_emergency_begged</t>
        </is>
      </c>
      <c r="C172" s="255" t="inlineStr">
        <is>
          <t>cs_emergency_begged</t>
        </is>
      </c>
      <c r="D172" s="230"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2" s="292">
        <f>LEN(D172)</f>
        <v/>
      </c>
      <c r="F172" s="293"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2" s="292">
        <f>LEN(F172)</f>
        <v/>
      </c>
      <c r="H172" s="289" t="inlineStr">
        <is>
          <t>Single Choice</t>
        </is>
      </c>
      <c r="I172" s="292" t="inlineStr">
        <is>
          <t>NA</t>
        </is>
      </c>
      <c r="J172" s="292" t="inlineStr">
        <is>
          <t>NA</t>
        </is>
      </c>
      <c r="K172" s="292" t="inlineStr">
        <is>
          <t>Form Type - Buttons</t>
        </is>
      </c>
      <c r="L172" s="215" t="inlineStr">
        <is>
          <t>NA</t>
        </is>
      </c>
      <c r="M172" s="229" t="inlineStr">
        <is>
          <t>1-6 = cs_emergency_sold_last_female</t>
        </is>
      </c>
      <c r="N172" s="364" t="n"/>
      <c r="O172" s="602" t="inlineStr"/>
      <c r="P172" s="281" t="inlineStr">
        <is>
          <t>1-6 = cs_emergency_sold_last_female</t>
        </is>
      </c>
      <c r="Q172" s="238" t="n"/>
      <c r="R172" s="317" t="n">
        <v>1</v>
      </c>
      <c r="S172" s="217" t="n"/>
      <c r="U172" s="219" t="inlineStr">
        <is>
          <t>no</t>
        </is>
      </c>
      <c r="V172" s="220" t="n"/>
      <c r="Y172" s="633" t="n">
        <v>9.105807304382324</v>
      </c>
      <c r="Z172" s="633">
        <f>IF(Y172="","",Y172*R172)</f>
        <v/>
      </c>
      <c r="AA172" s="217" t="inlineStr"/>
    </row>
    <row r="173" ht="220.4" customFormat="1" customHeight="1" s="218">
      <c r="A173" s="125">
        <f>A172+1</f>
        <v/>
      </c>
      <c r="B173" s="282" t="inlineStr">
        <is>
          <t>cs_emergency_sold_last_female</t>
        </is>
      </c>
      <c r="C173" s="255" t="inlineStr">
        <is>
          <t>cs_emergency_sold_last_female</t>
        </is>
      </c>
      <c r="D173" s="230"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73" s="292">
        <f>LEN(D173)</f>
        <v/>
      </c>
      <c r="F173" s="293"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3" s="292">
        <f>LEN(F173)</f>
        <v/>
      </c>
      <c r="H173" s="289" t="inlineStr">
        <is>
          <t>Single Choice</t>
        </is>
      </c>
      <c r="I173" s="292" t="inlineStr">
        <is>
          <t>NA</t>
        </is>
      </c>
      <c r="J173" s="292" t="inlineStr">
        <is>
          <t>NA</t>
        </is>
      </c>
      <c r="K173" s="292" t="inlineStr">
        <is>
          <t>Form Type - Buttons</t>
        </is>
      </c>
      <c r="L173" s="215" t="inlineStr">
        <is>
          <t>NA</t>
        </is>
      </c>
      <c r="M173" s="229" t="inlineStr">
        <is>
          <t>1-6 = hdds</t>
        </is>
      </c>
      <c r="N173" s="364" t="n"/>
      <c r="O173" s="602" t="inlineStr"/>
      <c r="P173" s="281" t="inlineStr">
        <is>
          <t>1-6 = hdds</t>
        </is>
      </c>
      <c r="Q173" s="238" t="n"/>
      <c r="R173" s="317" t="n">
        <v>1</v>
      </c>
      <c r="S173" s="217" t="n"/>
      <c r="U173" s="219" t="inlineStr">
        <is>
          <t>no</t>
        </is>
      </c>
      <c r="V173" s="220" t="n"/>
      <c r="X173" s="220" t="n"/>
      <c r="Y173" s="633" t="n">
        <v>6.293689727783203</v>
      </c>
      <c r="Z173" s="633">
        <f>IF(Y173="","",Y173*R173)</f>
        <v/>
      </c>
      <c r="AA173" s="217" t="inlineStr"/>
    </row>
    <row r="174" ht="409.5" customFormat="1" customHeight="1" s="59">
      <c r="A174" s="125">
        <f>A173+1</f>
        <v/>
      </c>
      <c r="B174" s="182" t="inlineStr">
        <is>
          <t>hdds</t>
        </is>
      </c>
      <c r="C174" s="58" t="inlineStr">
        <is>
          <t>hdds
1) hdds_cereals
2) hdds_rootstubers
3) hdds_vegetables
4) hdds_fruits
5) hdds_meat
6) hdds_eggs
7) hdds_fish
8) hdds_legumes
9) hdds_milkdairy
10) hdds_oils
11)hdds_sugar
12) hdds_condiments</t>
        </is>
      </c>
      <c r="D174" s="559"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4" s="179">
        <f>LEN(D174)</f>
        <v/>
      </c>
      <c r="F174" s="559"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74" s="179">
        <f>LEN(F174)</f>
        <v/>
      </c>
      <c r="H174" s="186" t="inlineStr">
        <is>
          <t>Select All That Apply</t>
        </is>
      </c>
      <c r="I174" s="179" t="inlineStr">
        <is>
          <t>NA</t>
        </is>
      </c>
      <c r="J174" s="179" t="inlineStr">
        <is>
          <t>NA</t>
        </is>
      </c>
      <c r="K174" s="179" t="inlineStr">
        <is>
          <t>Form Type - Checklist</t>
        </is>
      </c>
      <c r="L174" s="100" t="inlineStr">
        <is>
          <t>1)hdds_cereals
2)hdds_rootstubers
3)hdds_vegetables
4)hdds_fruits
5)hdds_meat
6)hdds_eggs
7)hdds_fish
8)hdds_legumes
9)hdds_milkdairy
10)hdds_oils
11)hdds_sugar
12)hdds_condiments</t>
        </is>
      </c>
      <c r="M174" s="63" t="inlineStr">
        <is>
          <t>1-12 = hdds_confirmation</t>
        </is>
      </c>
      <c r="N174" s="342" t="n"/>
      <c r="O174" s="63" t="inlineStr">
        <is>
          <t>if hdds = 1-12, go to hdds_confirmation</t>
        </is>
      </c>
      <c r="P174" s="15" t="inlineStr">
        <is>
          <t>1-12 = hdds_confirmation</t>
        </is>
      </c>
      <c r="Q174" s="69" t="n"/>
      <c r="R174" s="306" t="n">
        <v>1</v>
      </c>
      <c r="S174" s="53" t="n"/>
      <c r="U174" s="150" t="inlineStr">
        <is>
          <t>yes</t>
        </is>
      </c>
      <c r="V174" s="613" t="n"/>
      <c r="Y174" s="631" t="n">
        <v>52.17435836791992</v>
      </c>
      <c r="Z174" s="631">
        <f>IF(Y174="","",Y174*R174)</f>
        <v/>
      </c>
      <c r="AA174" s="53" t="inlineStr">
        <is>
          <t>52.17435836791992</t>
        </is>
      </c>
    </row>
    <row r="175" ht="199.5" customFormat="1" customHeight="1" s="59">
      <c r="A175" s="125">
        <f>A174+1</f>
        <v/>
      </c>
      <c r="B175" s="115" t="inlineStr">
        <is>
          <t>hdds_confirmation</t>
        </is>
      </c>
      <c r="C175" s="183" t="inlineStr">
        <is>
          <t>hdds_confirmation</t>
        </is>
      </c>
      <c r="D175" s="68"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75" s="50">
        <f>LEN(D175)</f>
        <v/>
      </c>
      <c r="F175" s="169"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75" s="50">
        <f>LEN(F175)</f>
        <v/>
      </c>
      <c r="H175" s="67" t="inlineStr">
        <is>
          <t>Single Choice</t>
        </is>
      </c>
      <c r="I175" s="51" t="inlineStr">
        <is>
          <t>NA</t>
        </is>
      </c>
      <c r="J175" s="51" t="inlineStr">
        <is>
          <t>NA</t>
        </is>
      </c>
      <c r="K175" s="51" t="inlineStr">
        <is>
          <t>Form Type - Buttons</t>
        </is>
      </c>
      <c r="L175" s="100" t="inlineStr">
        <is>
          <t>NA</t>
        </is>
      </c>
      <c r="M175" s="66" t="inlineStr">
        <is>
          <t>1 = fcs_intro</t>
        </is>
      </c>
      <c r="N175" s="366" t="n"/>
      <c r="O175" s="66" t="inlineStr">
        <is>
          <t>if hdds_confirmation = 1, go to need or optional question</t>
        </is>
      </c>
      <c r="P175" s="17" t="inlineStr">
        <is>
          <t>1= fcs_intro</t>
        </is>
      </c>
      <c r="Q175" s="65" t="n"/>
      <c r="R175" s="306" t="n">
        <v>1</v>
      </c>
      <c r="S175" s="53" t="n"/>
      <c r="U175" s="150" t="inlineStr">
        <is>
          <t>yes</t>
        </is>
      </c>
      <c r="V175" s="613" t="n"/>
      <c r="Y175" s="631" t="n">
        <v>1.287102341651917</v>
      </c>
      <c r="Z175" s="631">
        <f>IF(Y175="","",Y175*R175)</f>
        <v/>
      </c>
      <c r="AA175" s="53" t="inlineStr">
        <is>
          <t>1.287102341651917</t>
        </is>
      </c>
    </row>
    <row r="176" ht="93.65000000000001" customFormat="1" customHeight="1" s="218">
      <c r="A176" s="125">
        <f>A175+1</f>
        <v/>
      </c>
      <c r="B176" s="290" t="inlineStr">
        <is>
          <t>fcs_intro</t>
        </is>
      </c>
      <c r="C176" s="291" t="inlineStr">
        <is>
          <t>fcs_intro</t>
        </is>
      </c>
      <c r="D176" s="578" t="inlineStr">
        <is>
          <t>Now I would like to ask you about the foods and drinks your household ate or drank in the last 7 days during the day and at night [breakfast, lunch, dinner, snacks]. 
1)CONTINUE</t>
        </is>
      </c>
      <c r="E176" s="292">
        <f>LEN(D176)</f>
        <v/>
      </c>
      <c r="F176" s="578"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76" s="292">
        <f>LEN(F176)</f>
        <v/>
      </c>
      <c r="H176" s="289" t="inlineStr">
        <is>
          <t>Single Choice</t>
        </is>
      </c>
      <c r="I176" s="292" t="inlineStr">
        <is>
          <t>NA</t>
        </is>
      </c>
      <c r="J176" s="292" t="inlineStr">
        <is>
          <t>NA</t>
        </is>
      </c>
      <c r="K176" s="292" t="inlineStr">
        <is>
          <t>Form Type - Buttons</t>
        </is>
      </c>
      <c r="L176" s="215" t="inlineStr">
        <is>
          <t>NA</t>
        </is>
      </c>
      <c r="M176" s="229" t="inlineStr">
        <is>
          <t>1 = fcs_staple_days</t>
        </is>
      </c>
      <c r="N176" s="364" t="n"/>
      <c r="O176" s="229" t="inlineStr">
        <is>
          <t>if fcs_intro = 1, go to fcs_staple_days</t>
        </is>
      </c>
      <c r="P176" s="229" t="inlineStr"/>
      <c r="Q176" s="283" t="n"/>
      <c r="R176" s="317" t="n">
        <v>1</v>
      </c>
      <c r="S176" s="217" t="n"/>
      <c r="U176" s="219" t="inlineStr">
        <is>
          <t>no</t>
        </is>
      </c>
      <c r="V176" s="220" t="n"/>
      <c r="Y176" s="633" t="n">
        <v>5.644973278045654</v>
      </c>
      <c r="Z176" s="633">
        <f>IF(Y176="","",Y176*R176)</f>
        <v/>
      </c>
      <c r="AA176" s="217" t="inlineStr"/>
    </row>
    <row r="177" ht="130.5" customFormat="1" customHeight="1" s="218">
      <c r="A177" s="125">
        <f>A176+1</f>
        <v/>
      </c>
      <c r="B177" s="290" t="inlineStr">
        <is>
          <t>fcs_staple_days</t>
        </is>
      </c>
      <c r="C177" s="291" t="inlineStr">
        <is>
          <t>fcs_staple_days</t>
        </is>
      </c>
      <c r="D177" s="578"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7" s="292">
        <f>LEN(D177)</f>
        <v/>
      </c>
      <c r="F177" s="578"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77" s="292">
        <f>LEN(F177)</f>
        <v/>
      </c>
      <c r="H177" s="289" t="inlineStr">
        <is>
          <t>Range</t>
        </is>
      </c>
      <c r="I177" s="292" t="inlineStr">
        <is>
          <t>NA</t>
        </is>
      </c>
      <c r="J177" s="292" t="inlineStr">
        <is>
          <t>NA</t>
        </is>
      </c>
      <c r="K177" s="292" t="inlineStr">
        <is>
          <t>Form Type - TextBox</t>
        </is>
      </c>
      <c r="L177" s="215" t="inlineStr">
        <is>
          <t>NA</t>
        </is>
      </c>
      <c r="M177" s="229" t="inlineStr">
        <is>
          <t>0-7 = fcs_pulses_days</t>
        </is>
      </c>
      <c r="N177" s="364" t="n"/>
      <c r="O177" s="229" t="inlineStr">
        <is>
          <t>For any response, go to fcs_pulses_days</t>
        </is>
      </c>
      <c r="P177" s="229" t="inlineStr"/>
      <c r="Q177" s="284" t="n"/>
      <c r="R177" s="317" t="n">
        <v>1</v>
      </c>
      <c r="S177" s="217" t="n"/>
      <c r="U177" s="219" t="inlineStr">
        <is>
          <t>no</t>
        </is>
      </c>
      <c r="V177" s="220" t="n"/>
      <c r="Y177" s="633" t="n">
        <v>26.99896049499512</v>
      </c>
      <c r="Z177" s="633">
        <f>IF(Y177="","",Y177*R177)</f>
        <v/>
      </c>
      <c r="AA177" s="217" t="inlineStr"/>
    </row>
    <row r="178" ht="123" customFormat="1" customHeight="1" s="218">
      <c r="A178" s="125">
        <f>A177+1</f>
        <v/>
      </c>
      <c r="B178" s="290" t="inlineStr">
        <is>
          <t>fcs_pulses_days</t>
        </is>
      </c>
      <c r="C178" s="291" t="inlineStr">
        <is>
          <t>fcs_pulses_days</t>
        </is>
      </c>
      <c r="D178" s="578"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8" s="292">
        <f>LEN(D178)</f>
        <v/>
      </c>
      <c r="F178" s="578"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78" s="292">
        <f>LEN(F178)</f>
        <v/>
      </c>
      <c r="H178" s="289" t="inlineStr">
        <is>
          <t>Range</t>
        </is>
      </c>
      <c r="I178" s="292" t="inlineStr">
        <is>
          <t>NA</t>
        </is>
      </c>
      <c r="J178" s="292" t="inlineStr">
        <is>
          <t>NA</t>
        </is>
      </c>
      <c r="K178" s="292" t="inlineStr">
        <is>
          <t>Form Type - TextBox</t>
        </is>
      </c>
      <c r="L178" s="215" t="inlineStr">
        <is>
          <t>NA</t>
        </is>
      </c>
      <c r="M178" s="229" t="inlineStr">
        <is>
          <t>0-7 = fcs_vegetables_days</t>
        </is>
      </c>
      <c r="N178" s="364" t="n"/>
      <c r="O178" s="229" t="inlineStr">
        <is>
          <t>For any response, go to fcs_vegetables_days</t>
        </is>
      </c>
      <c r="P178" s="229" t="inlineStr"/>
      <c r="Q178" s="284" t="n"/>
      <c r="R178" s="317" t="n">
        <v>1</v>
      </c>
      <c r="S178" s="217" t="n"/>
      <c r="U178" s="219" t="inlineStr">
        <is>
          <t>no</t>
        </is>
      </c>
      <c r="V178" s="220" t="n"/>
      <c r="Y178" s="633" t="n">
        <v>18.27383232116699</v>
      </c>
      <c r="Z178" s="633">
        <f>IF(Y178="","",Y178*R178)</f>
        <v/>
      </c>
      <c r="AA178" s="217" t="inlineStr"/>
    </row>
    <row r="179" ht="115.5" customFormat="1" customHeight="1" s="218">
      <c r="A179" s="125">
        <f>A178+1</f>
        <v/>
      </c>
      <c r="B179" s="290" t="inlineStr">
        <is>
          <t>fcs_vegetables_days</t>
        </is>
      </c>
      <c r="C179" s="291" t="inlineStr">
        <is>
          <t>fcs_vegetables_days</t>
        </is>
      </c>
      <c r="D179" s="578"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79" s="292">
        <f>LEN(D179)</f>
        <v/>
      </c>
      <c r="F179" s="578"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79" s="292">
        <f>LEN(F179)</f>
        <v/>
      </c>
      <c r="H179" s="289" t="inlineStr">
        <is>
          <t>Range</t>
        </is>
      </c>
      <c r="I179" s="292" t="inlineStr">
        <is>
          <t>NA</t>
        </is>
      </c>
      <c r="J179" s="292" t="inlineStr">
        <is>
          <t>NA</t>
        </is>
      </c>
      <c r="K179" s="292" t="inlineStr">
        <is>
          <t>Form Type - TextBox</t>
        </is>
      </c>
      <c r="L179" s="215" t="inlineStr">
        <is>
          <t>NA</t>
        </is>
      </c>
      <c r="M179" s="229" t="inlineStr">
        <is>
          <t>0-7 = fcs_fruit_days</t>
        </is>
      </c>
      <c r="N179" s="364" t="n"/>
      <c r="O179" s="229" t="inlineStr">
        <is>
          <t>For any response, go to fcs_fruit_days</t>
        </is>
      </c>
      <c r="P179" s="229" t="inlineStr"/>
      <c r="Q179" s="284" t="n"/>
      <c r="R179" s="317" t="n">
        <v>1</v>
      </c>
      <c r="S179" s="217" t="n"/>
      <c r="U179" s="219" t="inlineStr">
        <is>
          <t>no</t>
        </is>
      </c>
      <c r="V179" s="220" t="n"/>
      <c r="Y179" s="633" t="n">
        <v>16.35211563110352</v>
      </c>
      <c r="Z179" s="633">
        <f>IF(Y179="","",Y179*R179)</f>
        <v/>
      </c>
      <c r="AA179" s="217" t="inlineStr"/>
    </row>
    <row r="180" ht="78" customFormat="1" customHeight="1" s="218">
      <c r="A180" s="125">
        <f>A179+1</f>
        <v/>
      </c>
      <c r="B180" s="290" t="inlineStr">
        <is>
          <t>fcs_fruit_days</t>
        </is>
      </c>
      <c r="C180" s="291" t="inlineStr">
        <is>
          <t>fcs_fruit_days</t>
        </is>
      </c>
      <c r="D180" s="578"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80" s="292">
        <f>LEN(D180)</f>
        <v/>
      </c>
      <c r="F180" s="578"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80" s="292">
        <f>LEN(F180)</f>
        <v/>
      </c>
      <c r="H180" s="289" t="inlineStr">
        <is>
          <t>Range</t>
        </is>
      </c>
      <c r="I180" s="292" t="inlineStr">
        <is>
          <t>NA</t>
        </is>
      </c>
      <c r="J180" s="292" t="inlineStr">
        <is>
          <t>NA</t>
        </is>
      </c>
      <c r="K180" s="292" t="inlineStr">
        <is>
          <t>Form Type - TextBox</t>
        </is>
      </c>
      <c r="L180" s="215" t="inlineStr">
        <is>
          <t>NA</t>
        </is>
      </c>
      <c r="M180" s="229" t="inlineStr">
        <is>
          <t>0-7 = fcs_meat_fish_days</t>
        </is>
      </c>
      <c r="N180" s="364" t="n"/>
      <c r="O180" s="229" t="inlineStr">
        <is>
          <t>For any response, go to fcs_meat_fish_days</t>
        </is>
      </c>
      <c r="P180" s="229" t="inlineStr"/>
      <c r="Q180" s="284" t="n"/>
      <c r="R180" s="317" t="n">
        <v>1</v>
      </c>
      <c r="S180" s="217" t="n"/>
      <c r="U180" s="219" t="inlineStr">
        <is>
          <t>no</t>
        </is>
      </c>
      <c r="V180" s="220" t="n"/>
      <c r="Y180" s="633" t="n">
        <v>14.01507568359375</v>
      </c>
      <c r="Z180" s="633">
        <f>IF(Y180="","",Y180*R180)</f>
        <v/>
      </c>
      <c r="AA180" s="217" t="inlineStr"/>
    </row>
    <row r="181" ht="93.65000000000001" customFormat="1" customHeight="1" s="218">
      <c r="A181" s="125">
        <f>A180+1</f>
        <v/>
      </c>
      <c r="B181" s="290" t="inlineStr">
        <is>
          <t>fcs_meat_fish_days</t>
        </is>
      </c>
      <c r="C181" s="291" t="inlineStr">
        <is>
          <t>fcs_meat_fish_days</t>
        </is>
      </c>
      <c r="D181" s="578"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1" s="292">
        <f>LEN(D181)</f>
        <v/>
      </c>
      <c r="F181" s="578"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81" s="292">
        <f>LEN(F181)</f>
        <v/>
      </c>
      <c r="H181" s="289" t="inlineStr">
        <is>
          <t>Range</t>
        </is>
      </c>
      <c r="I181" s="292" t="inlineStr">
        <is>
          <t>NA</t>
        </is>
      </c>
      <c r="J181" s="292" t="inlineStr">
        <is>
          <t>NA</t>
        </is>
      </c>
      <c r="K181" s="292" t="inlineStr">
        <is>
          <t>Form Type - TextBox</t>
        </is>
      </c>
      <c r="L181" s="215" t="inlineStr">
        <is>
          <t>NA</t>
        </is>
      </c>
      <c r="M181" s="229" t="inlineStr">
        <is>
          <t>0-7 = fcs_dairy_days</t>
        </is>
      </c>
      <c r="N181" s="364" t="n"/>
      <c r="O181" s="229" t="inlineStr">
        <is>
          <t>For any response, go to fcs_dairy_days</t>
        </is>
      </c>
      <c r="P181" s="229" t="inlineStr"/>
      <c r="Q181" s="284" t="n"/>
      <c r="R181" s="317" t="n">
        <v>1</v>
      </c>
      <c r="S181" s="217" t="n"/>
      <c r="U181" s="219" t="inlineStr">
        <is>
          <t>no</t>
        </is>
      </c>
      <c r="V181" s="220" t="n"/>
      <c r="Y181" s="633" t="n">
        <v>17.22746658325195</v>
      </c>
      <c r="Z181" s="633">
        <f>IF(Y181="","",Y181*R181)</f>
        <v/>
      </c>
      <c r="AA181" s="217" t="inlineStr"/>
    </row>
    <row r="182" ht="93.65000000000001" customFormat="1" customHeight="1" s="218">
      <c r="A182" s="125">
        <f>A181+1</f>
        <v/>
      </c>
      <c r="B182" s="290" t="inlineStr">
        <is>
          <t>fcs_dairy_days</t>
        </is>
      </c>
      <c r="C182" s="291" t="inlineStr">
        <is>
          <t>fcs_dairy_days</t>
        </is>
      </c>
      <c r="D182" s="578"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2" s="292">
        <f>LEN(D182)</f>
        <v/>
      </c>
      <c r="F182" s="578"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82" s="292">
        <f>LEN(F182)</f>
        <v/>
      </c>
      <c r="H182" s="289" t="inlineStr">
        <is>
          <t>Range</t>
        </is>
      </c>
      <c r="I182" s="292" t="inlineStr">
        <is>
          <t>NA</t>
        </is>
      </c>
      <c r="J182" s="292" t="inlineStr">
        <is>
          <t>NA</t>
        </is>
      </c>
      <c r="K182" s="292" t="inlineStr">
        <is>
          <t>Form Type - TextBox</t>
        </is>
      </c>
      <c r="L182" s="215" t="inlineStr">
        <is>
          <t>NA</t>
        </is>
      </c>
      <c r="M182" s="229" t="inlineStr">
        <is>
          <t>0-7 = fcs_sugar_days</t>
        </is>
      </c>
      <c r="N182" s="364" t="n"/>
      <c r="O182" s="229" t="inlineStr">
        <is>
          <t>For any response, go to fcs_sugar_days</t>
        </is>
      </c>
      <c r="P182" s="229" t="inlineStr"/>
      <c r="Q182" s="284" t="n"/>
      <c r="R182" s="317" t="n">
        <v>1</v>
      </c>
      <c r="S182" s="217" t="n"/>
      <c r="U182" s="219" t="inlineStr">
        <is>
          <t>no</t>
        </is>
      </c>
      <c r="V182" s="220" t="n"/>
      <c r="Y182" s="633" t="n">
        <v>19.49277471670652</v>
      </c>
      <c r="Z182" s="633">
        <f>IF(Y182="","",Y182*R182)</f>
        <v/>
      </c>
      <c r="AA182" s="217" t="inlineStr"/>
    </row>
    <row r="183" ht="93.65000000000001" customFormat="1" customHeight="1" s="218">
      <c r="A183" s="125">
        <f>A182+1</f>
        <v/>
      </c>
      <c r="B183" s="290" t="inlineStr">
        <is>
          <t>fcs_sugar_days</t>
        </is>
      </c>
      <c r="C183" s="291" t="inlineStr">
        <is>
          <t>fcs_sugar_days</t>
        </is>
      </c>
      <c r="D183" s="578"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3" s="292">
        <f>LEN(D183)</f>
        <v/>
      </c>
      <c r="F183" s="578"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83" s="292">
        <f>LEN(F183)</f>
        <v/>
      </c>
      <c r="H183" s="289" t="inlineStr">
        <is>
          <t>Range</t>
        </is>
      </c>
      <c r="I183" s="292" t="inlineStr">
        <is>
          <t>NA</t>
        </is>
      </c>
      <c r="J183" s="292" t="inlineStr">
        <is>
          <t>NA</t>
        </is>
      </c>
      <c r="K183" s="292" t="inlineStr">
        <is>
          <t>Form Type - TextBox</t>
        </is>
      </c>
      <c r="L183" s="215" t="inlineStr">
        <is>
          <t>NA</t>
        </is>
      </c>
      <c r="M183" s="229" t="inlineStr">
        <is>
          <t>0-7 = fcs_oil_days</t>
        </is>
      </c>
      <c r="N183" s="364" t="n"/>
      <c r="O183" s="229" t="inlineStr">
        <is>
          <t>For any response, go to fcs_oil_days</t>
        </is>
      </c>
      <c r="P183" s="229" t="inlineStr"/>
      <c r="Q183" s="284" t="n"/>
      <c r="R183" s="317" t="n">
        <v>1</v>
      </c>
      <c r="S183" s="217" t="n"/>
      <c r="U183" s="219" t="inlineStr">
        <is>
          <t>no</t>
        </is>
      </c>
      <c r="V183" s="220" t="n"/>
      <c r="Y183" s="633" t="n">
        <v>14.17413425445557</v>
      </c>
      <c r="Z183" s="633">
        <f>IF(Y183="","",Y183*R183)</f>
        <v/>
      </c>
      <c r="AA183" s="217" t="inlineStr"/>
    </row>
    <row r="184" ht="93.65000000000001" customFormat="1" customHeight="1" s="218">
      <c r="A184" s="125">
        <f>A183+1</f>
        <v/>
      </c>
      <c r="B184" s="290" t="inlineStr">
        <is>
          <t>fcs_oil_days</t>
        </is>
      </c>
      <c r="C184" s="291" t="inlineStr">
        <is>
          <t>fcs_oil_days</t>
        </is>
      </c>
      <c r="D184" s="578" t="inlineStr">
        <is>
          <t>How many days over the last 7 days, did members of your household eat oil/fat/butter such as vegetable oil, palm oil, groundnut oil, margarine, other fats / oil?
[OPERATOR: RECORD NUMBER OF DAYS 0 - 7]
[HINT: IF CONSUMED ONLY IN SMALL QUANTITY, DO NOT INCLUDE.]</t>
        </is>
      </c>
      <c r="E184" s="292">
        <f>LEN(D184)</f>
        <v/>
      </c>
      <c r="F184" s="578"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84" s="292">
        <f>LEN(F184)</f>
        <v/>
      </c>
      <c r="H184" s="289" t="inlineStr">
        <is>
          <t>Range</t>
        </is>
      </c>
      <c r="I184" s="292" t="inlineStr">
        <is>
          <t>NA</t>
        </is>
      </c>
      <c r="J184" s="292" t="inlineStr">
        <is>
          <t>NA</t>
        </is>
      </c>
      <c r="K184" s="292" t="inlineStr">
        <is>
          <t>Form Type - TextBox</t>
        </is>
      </c>
      <c r="L184" s="215" t="inlineStr">
        <is>
          <t>NA</t>
        </is>
      </c>
      <c r="M184" s="229" t="inlineStr">
        <is>
          <t>0-7 = fcs_condiments_days</t>
        </is>
      </c>
      <c r="N184" s="364" t="n"/>
      <c r="O184" s="229" t="inlineStr">
        <is>
          <t>For any response, go to fcs_condiments_days</t>
        </is>
      </c>
      <c r="P184" s="229" t="inlineStr"/>
      <c r="Q184" s="284" t="n"/>
      <c r="R184" s="317" t="n">
        <v>1</v>
      </c>
      <c r="S184" s="217" t="n"/>
      <c r="U184" s="219" t="inlineStr">
        <is>
          <t>no</t>
        </is>
      </c>
      <c r="V184" s="220" t="n"/>
      <c r="Y184" s="633" t="n">
        <v>13.37862586975098</v>
      </c>
      <c r="Z184" s="633">
        <f>IF(Y184="","",Y184*R184)</f>
        <v/>
      </c>
      <c r="AA184" s="217" t="inlineStr"/>
    </row>
    <row r="185" ht="93.65000000000001" customFormat="1" customHeight="1" s="218">
      <c r="A185" s="125">
        <f>A184+1</f>
        <v/>
      </c>
      <c r="B185" s="290" t="inlineStr">
        <is>
          <t>fcs_condiments_days</t>
        </is>
      </c>
      <c r="C185" s="291" t="inlineStr">
        <is>
          <t>fcs_condiments_days</t>
        </is>
      </c>
      <c r="D185" s="578" t="inlineStr">
        <is>
          <t>How many days over the last 7 days, did members of your household eat spices or condiments such as tea, coffee, cocoa, salt, garlic, spices, yeast, meat fish as a condiment or small amounts of milk for tea or coffee?
[OPERATOR: RECORD NUMBER OF DAYS 0 - 7]</t>
        </is>
      </c>
      <c r="E185" s="292">
        <f>LEN(D185)</f>
        <v/>
      </c>
      <c r="F185" s="578"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85" s="292">
        <f>LEN(F185)</f>
        <v/>
      </c>
      <c r="H185" s="289" t="inlineStr">
        <is>
          <t>Range</t>
        </is>
      </c>
      <c r="I185" s="292" t="inlineStr">
        <is>
          <t>NA</t>
        </is>
      </c>
      <c r="J185" s="292" t="inlineStr">
        <is>
          <t>NA</t>
        </is>
      </c>
      <c r="K185" s="292" t="inlineStr">
        <is>
          <t>Form Type - TextBox</t>
        </is>
      </c>
      <c r="L185" s="215" t="inlineStr">
        <is>
          <t>NA</t>
        </is>
      </c>
      <c r="M185" s="229" t="inlineStr">
        <is>
          <t>0-7 = rcsi_intro</t>
        </is>
      </c>
      <c r="N185" s="364" t="n"/>
      <c r="O185" s="229" t="inlineStr">
        <is>
          <t>For any response, go to rcsi_intro</t>
        </is>
      </c>
      <c r="P185" s="229" t="inlineStr"/>
      <c r="Q185" s="284" t="n"/>
      <c r="R185" s="317" t="n">
        <v>1</v>
      </c>
      <c r="S185" s="217" t="n"/>
      <c r="U185" s="219" t="inlineStr">
        <is>
          <t>no</t>
        </is>
      </c>
      <c r="V185" s="220" t="n"/>
      <c r="Y185" s="633" t="n">
        <v>12.75652313232422</v>
      </c>
      <c r="Z185" s="633">
        <f>IF(Y185="","",Y185*R185)</f>
        <v/>
      </c>
      <c r="AA185" s="217" t="inlineStr"/>
    </row>
    <row r="186" ht="78" customFormat="1" customHeight="1" s="218">
      <c r="A186" s="125">
        <f>A185+1</f>
        <v/>
      </c>
      <c r="B186" s="290" t="inlineStr">
        <is>
          <t>rcsi_intro</t>
        </is>
      </c>
      <c r="C186" s="291" t="inlineStr">
        <is>
          <t>rcsi_intro</t>
        </is>
      </c>
      <c r="D186" s="578" t="inlineStr">
        <is>
          <t>Now I will ask you about the number of days, in the last 7 days, during which the household has done some of the actions that I will mention to cope with the lack of food or money to buy food.
1)CONTINUE</t>
        </is>
      </c>
      <c r="E186" s="292">
        <f>LEN(D186)</f>
        <v/>
      </c>
      <c r="F186" s="578"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86" s="292">
        <f>LEN(F186)</f>
        <v/>
      </c>
      <c r="H186" s="289" t="inlineStr">
        <is>
          <t>Single Choice</t>
        </is>
      </c>
      <c r="I186" s="292" t="inlineStr">
        <is>
          <t>NA</t>
        </is>
      </c>
      <c r="J186" s="292" t="inlineStr">
        <is>
          <t>NA</t>
        </is>
      </c>
      <c r="K186" s="292" t="inlineStr">
        <is>
          <t>Form Type - Buttons</t>
        </is>
      </c>
      <c r="L186" s="215" t="inlineStr">
        <is>
          <t>NA</t>
        </is>
      </c>
      <c r="M186" s="229" t="inlineStr">
        <is>
          <t>1 = rcsi_less_preferred_foods</t>
        </is>
      </c>
      <c r="N186" s="364" t="n"/>
      <c r="O186" s="229" t="inlineStr">
        <is>
          <t>For any response, go to rcsi_less_preferred_foods</t>
        </is>
      </c>
      <c r="P186" s="229" t="inlineStr"/>
      <c r="Q186" s="284" t="n"/>
      <c r="R186" s="317" t="n">
        <v>1</v>
      </c>
      <c r="S186" s="217" t="n"/>
      <c r="U186" s="219" t="inlineStr">
        <is>
          <t>no</t>
        </is>
      </c>
      <c r="V186" s="220" t="n"/>
      <c r="Y186" s="633" t="n">
        <v>5.834917068481445</v>
      </c>
      <c r="Z186" s="633">
        <f>IF(Y186="","",Y186*R186)</f>
        <v/>
      </c>
      <c r="AA186" s="217" t="inlineStr"/>
    </row>
    <row r="187" ht="87" customFormat="1" customHeight="1" s="218">
      <c r="A187" s="125">
        <f>A186+1</f>
        <v/>
      </c>
      <c r="B187" s="290" t="inlineStr">
        <is>
          <t>rcsi_less_preferred_foods</t>
        </is>
      </c>
      <c r="C187" s="291" t="inlineStr">
        <is>
          <t>rcsi_less_preferred_foods</t>
        </is>
      </c>
      <c r="D187" s="578" t="inlineStr">
        <is>
          <t>In the past 7 days, how many days did your household rely on less preferred or less expensive food due to lack of food/money?  
[OPERATOR: RECORD NUMBER OF DAYS 0 - 7 ]</t>
        </is>
      </c>
      <c r="E187" s="292">
        <f>LEN(D187)</f>
        <v/>
      </c>
      <c r="F187" s="578"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87" s="292">
        <f>LEN(F187)</f>
        <v/>
      </c>
      <c r="H187" s="294" t="inlineStr">
        <is>
          <t>Range</t>
        </is>
      </c>
      <c r="I187" s="292" t="inlineStr">
        <is>
          <t>NA</t>
        </is>
      </c>
      <c r="J187" s="292" t="inlineStr">
        <is>
          <t>NA</t>
        </is>
      </c>
      <c r="K187" s="292" t="inlineStr">
        <is>
          <t>Form Type - TextBox</t>
        </is>
      </c>
      <c r="L187" s="215" t="inlineStr">
        <is>
          <t>NA</t>
        </is>
      </c>
      <c r="M187" s="229" t="inlineStr">
        <is>
          <t>0-7 = rcsi_borrowed_food</t>
        </is>
      </c>
      <c r="N187" s="364" t="n"/>
      <c r="O187" s="229" t="inlineStr">
        <is>
          <t>For any response, go to rcsi_borrowed_food</t>
        </is>
      </c>
      <c r="P187" s="229" t="inlineStr"/>
      <c r="Q187" s="284" t="n"/>
      <c r="R187" s="317" t="n">
        <v>1</v>
      </c>
      <c r="S187" s="217" t="n"/>
      <c r="U187" s="219" t="inlineStr">
        <is>
          <t>no</t>
        </is>
      </c>
      <c r="V187" s="220" t="n"/>
      <c r="Y187" s="633" t="n">
        <v>28.60844549470872</v>
      </c>
      <c r="Z187" s="633">
        <f>IF(Y187="","",Y187*R187)</f>
        <v/>
      </c>
      <c r="AA187" s="217" t="inlineStr"/>
    </row>
    <row r="188" ht="78" customFormat="1" customHeight="1" s="218">
      <c r="A188" s="125">
        <f>A187+1</f>
        <v/>
      </c>
      <c r="B188" s="290" t="inlineStr">
        <is>
          <t>rcsi_borrowed_food</t>
        </is>
      </c>
      <c r="C188" s="291" t="inlineStr">
        <is>
          <t>rcsi_borrowed_food</t>
        </is>
      </c>
      <c r="D188" s="578" t="inlineStr">
        <is>
          <t>In the past 7 days, how many days did your household borrow food, or rely on help from a friend or relative due to lack of food or money to buy food? 
[OPERATOR: RECORD NUMBER OF DAYS 0 - 7 ]</t>
        </is>
      </c>
      <c r="E188" s="292">
        <f>LEN(D188)</f>
        <v/>
      </c>
      <c r="F188" s="578"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88" s="292">
        <f>LEN(F188)</f>
        <v/>
      </c>
      <c r="H188" s="294" t="inlineStr">
        <is>
          <t>Range</t>
        </is>
      </c>
      <c r="I188" s="292" t="inlineStr">
        <is>
          <t>NA</t>
        </is>
      </c>
      <c r="J188" s="292" t="inlineStr">
        <is>
          <t>NA</t>
        </is>
      </c>
      <c r="K188" s="292" t="inlineStr">
        <is>
          <t>Form Type - TextBox</t>
        </is>
      </c>
      <c r="L188" s="215" t="inlineStr">
        <is>
          <t>NA</t>
        </is>
      </c>
      <c r="M188" s="229" t="inlineStr">
        <is>
          <t>0-7 = rcsi_reduce_number_meals</t>
        </is>
      </c>
      <c r="N188" s="364" t="n"/>
      <c r="O188" s="229" t="inlineStr">
        <is>
          <t>For any response, go to rcsi_reduce_number_meals</t>
        </is>
      </c>
      <c r="P188" s="229" t="inlineStr"/>
      <c r="Q188" s="284" t="n"/>
      <c r="R188" s="317" t="n">
        <v>1</v>
      </c>
      <c r="S188" s="217" t="n"/>
      <c r="U188" s="219" t="inlineStr">
        <is>
          <t>no</t>
        </is>
      </c>
      <c r="V188" s="220" t="n"/>
      <c r="Y188" s="633" t="n">
        <v>14.61820602416992</v>
      </c>
      <c r="Z188" s="633">
        <f>IF(Y188="","",Y188*R188)</f>
        <v/>
      </c>
      <c r="AA188" s="217" t="inlineStr"/>
    </row>
    <row r="189" ht="87.75" customFormat="1" customHeight="1" s="218">
      <c r="A189" s="125">
        <f>A188+1</f>
        <v/>
      </c>
      <c r="B189" s="231" t="inlineStr">
        <is>
          <t>rcsi_reduce_number_meals</t>
        </is>
      </c>
      <c r="C189" s="233" t="inlineStr">
        <is>
          <t>rcsi_reduce_number_meals</t>
        </is>
      </c>
      <c r="D189" s="578" t="inlineStr">
        <is>
          <t>In the past 7 days, how many days did your household reduce the number of meals eaten in a day due to lack of food or money to buy food?
[OPERATOR: RECORD NUMBER OF DAYS 0 - 7 ]</t>
        </is>
      </c>
      <c r="E189" s="292">
        <f>LEN(D189)</f>
        <v/>
      </c>
      <c r="F189" s="578"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89" s="292">
        <f>LEN(F189)</f>
        <v/>
      </c>
      <c r="H189" s="294" t="inlineStr">
        <is>
          <t>Range</t>
        </is>
      </c>
      <c r="I189" s="292" t="inlineStr">
        <is>
          <t>NA</t>
        </is>
      </c>
      <c r="J189" s="292" t="inlineStr">
        <is>
          <t>NA</t>
        </is>
      </c>
      <c r="K189" s="292" t="inlineStr">
        <is>
          <t>Form Type - TextBox</t>
        </is>
      </c>
      <c r="L189" s="215" t="inlineStr">
        <is>
          <t>NA</t>
        </is>
      </c>
      <c r="M189" s="229" t="inlineStr">
        <is>
          <t>0-7 = rcsi_limit_portions</t>
        </is>
      </c>
      <c r="N189" s="364" t="n"/>
      <c r="O189" s="229" t="inlineStr">
        <is>
          <t>For any response, go to rcsi_limit_portions</t>
        </is>
      </c>
      <c r="P189" s="229" t="inlineStr"/>
      <c r="Q189" s="284" t="n"/>
      <c r="R189" s="317" t="n">
        <v>1</v>
      </c>
      <c r="S189" s="217" t="n"/>
      <c r="U189" s="219" t="inlineStr">
        <is>
          <t>no</t>
        </is>
      </c>
      <c r="V189" s="220" t="n"/>
      <c r="Y189" s="633" t="n">
        <v>13.777663230896</v>
      </c>
      <c r="Z189" s="633">
        <f>IF(Y189="","",Y189*R189)</f>
        <v/>
      </c>
      <c r="AA189" s="217" t="inlineStr"/>
    </row>
    <row r="190" ht="85.5" customFormat="1" customHeight="1" s="218">
      <c r="A190" s="125">
        <f>A189+1</f>
        <v/>
      </c>
      <c r="B190" s="290" t="inlineStr">
        <is>
          <t>rcsi_limit_portions</t>
        </is>
      </c>
      <c r="C190" s="291" t="inlineStr">
        <is>
          <t>rcsi_limit_portions</t>
        </is>
      </c>
      <c r="D190" s="578" t="inlineStr">
        <is>
          <t>In the past 7 days, how many days did your household limit portion sizes at mealtime due to lack of food or money to buy food? 
[OPERATOR: RECORD NUMBER OF DAYS 0 - 7 ]</t>
        </is>
      </c>
      <c r="E190" s="292">
        <f>LEN(D190)</f>
        <v/>
      </c>
      <c r="F190" s="578"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90" s="292">
        <f>LEN(F190)</f>
        <v/>
      </c>
      <c r="H190" s="294" t="inlineStr">
        <is>
          <t>Range</t>
        </is>
      </c>
      <c r="I190" s="292" t="inlineStr">
        <is>
          <t>NA</t>
        </is>
      </c>
      <c r="J190" s="292" t="inlineStr">
        <is>
          <t>NA</t>
        </is>
      </c>
      <c r="K190" s="292" t="inlineStr">
        <is>
          <t>Form Type - TextBox</t>
        </is>
      </c>
      <c r="L190" s="215" t="inlineStr">
        <is>
          <t>NA</t>
        </is>
      </c>
      <c r="M190" s="229" t="inlineStr">
        <is>
          <t>0-7 = rcsi_restrict_adult_consumpt</t>
        </is>
      </c>
      <c r="N190" s="364" t="n"/>
      <c r="O190" s="229" t="inlineStr">
        <is>
          <t>For any response, go to rcsi_restrict_adult_consumpt</t>
        </is>
      </c>
      <c r="P190" s="229" t="inlineStr"/>
      <c r="Q190" s="283" t="n"/>
      <c r="R190" s="317" t="n">
        <v>1</v>
      </c>
      <c r="S190" s="217" t="n"/>
      <c r="U190" s="219" t="inlineStr">
        <is>
          <t>no</t>
        </is>
      </c>
      <c r="V190" s="220" t="n"/>
      <c r="Y190" s="633" t="n">
        <v>12.39977359771729</v>
      </c>
      <c r="Z190" s="633">
        <f>IF(Y190="","",Y190*R190)</f>
        <v/>
      </c>
      <c r="AA190" s="217" t="inlineStr"/>
    </row>
    <row r="191" ht="95.25" customFormat="1" customHeight="1" s="218">
      <c r="A191" s="125">
        <f>A190+1</f>
        <v/>
      </c>
      <c r="B191" s="231" t="inlineStr">
        <is>
          <t>rcsi_restrict_adult_consumpt</t>
        </is>
      </c>
      <c r="C191" s="233" t="inlineStr">
        <is>
          <t>rcsi_restrict_adult_consumpt</t>
        </is>
      </c>
      <c r="D191" s="285" t="inlineStr">
        <is>
          <t>In the past 7 days, how many days did your household restrict consumption by adults so children could eat, due to lack of food or money to buy food?
[OPERATOR: RECORD NUMBER OF DAYS 0 - 7 ]</t>
        </is>
      </c>
      <c r="E191" s="245">
        <f>LEN(D191)</f>
        <v/>
      </c>
      <c r="F191" s="286"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91" s="245">
        <f>LEN(F191)</f>
        <v/>
      </c>
      <c r="H191" s="287" t="inlineStr">
        <is>
          <t>Range</t>
        </is>
      </c>
      <c r="I191" s="247" t="inlineStr">
        <is>
          <t>NA</t>
        </is>
      </c>
      <c r="J191" s="247" t="inlineStr">
        <is>
          <t>NA</t>
        </is>
      </c>
      <c r="K191" s="245" t="inlineStr">
        <is>
          <t>Form Type - TextBox</t>
        </is>
      </c>
      <c r="L191" s="288" t="inlineStr">
        <is>
          <t>NA</t>
        </is>
      </c>
      <c r="M191" s="264" t="inlineStr">
        <is>
          <t>0-7 = percep_food_insecurity</t>
        </is>
      </c>
      <c r="N191" s="358" t="n"/>
      <c r="O191" s="264" t="inlineStr">
        <is>
          <t>For any response, go to percep_food_insecurity</t>
        </is>
      </c>
      <c r="P191" s="230" t="inlineStr"/>
      <c r="Q191" s="289" t="n"/>
      <c r="R191" s="317" t="n">
        <v>1</v>
      </c>
      <c r="S191" s="217" t="n"/>
      <c r="U191" s="219" t="inlineStr">
        <is>
          <t>no</t>
        </is>
      </c>
      <c r="V191" s="220" t="n"/>
      <c r="Y191" s="633" t="n">
        <v>13.34388160705566</v>
      </c>
      <c r="Z191" s="633">
        <f>IF(Y191="","",Y191*R191)</f>
        <v/>
      </c>
      <c r="AA191" s="217" t="inlineStr"/>
    </row>
    <row r="192" ht="156.65" customFormat="1" customHeight="1" s="218">
      <c r="A192" s="125">
        <f>A191+1</f>
        <v/>
      </c>
      <c r="B192" s="290" t="inlineStr">
        <is>
          <t>percep_food_insecurity</t>
        </is>
      </c>
      <c r="C192" s="291" t="inlineStr">
        <is>
          <t>percep_food_insecurity</t>
        </is>
      </c>
      <c r="D192" s="230" t="inlineStr">
        <is>
          <t>How would you assess the current food security situation of your household compared to the same period last month?
[OPERATOR: SINGLE RESPONSE.]
1) Improved
2) Remained the same
3) Decreased
4)DON'T KNOW
5)REFUSED</t>
        </is>
      </c>
      <c r="E192" s="292">
        <f>LEN(D192)</f>
        <v/>
      </c>
      <c r="F192" s="293" t="inlineStr">
        <is>
          <t xml:space="preserve"> كيف تقيم الوضع الحالي للأمن الغذائي في أسرتك مقارنة بنفس الفترة من الشهر الماضي؟
[للمشغل: إجابة واحدة.]
1) تحسن
2) ظل على حاله
3) انخفض
4) لا أعرف
5) رفض الاجابه</t>
        </is>
      </c>
      <c r="G192" s="292" t="n">
        <v>164</v>
      </c>
      <c r="H192" s="294" t="inlineStr">
        <is>
          <t>Single Choice</t>
        </is>
      </c>
      <c r="I192" s="292" t="inlineStr">
        <is>
          <t>NA</t>
        </is>
      </c>
      <c r="J192" s="292" t="inlineStr">
        <is>
          <t>NA</t>
        </is>
      </c>
      <c r="K192" s="292" t="inlineStr">
        <is>
          <t>Form Type - Buttons</t>
        </is>
      </c>
      <c r="L192" s="288" t="inlineStr">
        <is>
          <t>NA</t>
        </is>
      </c>
      <c r="M192" s="230" t="inlineStr">
        <is>
          <t>1,3 = reason_food_insecurity
2, 4, 5 = need</t>
        </is>
      </c>
      <c r="N192" s="353" t="n"/>
      <c r="O192" s="230" t="inlineStr">
        <is>
          <t>if percep_food_insecurity = 1 or 3 go to reason_foodins
if percep_food_insecurity = 2, 4, 5 go to need</t>
        </is>
      </c>
      <c r="P192" s="230" t="inlineStr"/>
      <c r="Q192" s="289" t="n"/>
      <c r="R192" s="317" t="n"/>
      <c r="S192" s="217" t="n"/>
      <c r="U192" s="219" t="inlineStr"/>
      <c r="V192" s="220" t="n"/>
      <c r="Y192" s="633" t="n"/>
      <c r="Z192" s="633" t="n"/>
      <c r="AA192" s="217" t="inlineStr"/>
    </row>
    <row r="193" ht="78.65000000000001" customFormat="1" customHeight="1" s="218" thickBot="1">
      <c r="A193" s="125">
        <f>A192+1</f>
        <v/>
      </c>
      <c r="B193" s="231" t="inlineStr">
        <is>
          <t>reason_food_insecurity</t>
        </is>
      </c>
      <c r="C193" s="233" t="inlineStr">
        <is>
          <t>reason_food_insecurity</t>
        </is>
      </c>
      <c r="D193" s="285" t="inlineStr">
        <is>
          <t>Please specify the main reason for the increase or decrease in food security situation.
[OPERATOR: RECORD THE RESPONSE.]</t>
        </is>
      </c>
      <c r="E193" s="245">
        <f>LEN(D193)</f>
        <v/>
      </c>
      <c r="F193" s="286" t="inlineStr">
        <is>
          <t xml:space="preserve">
يرجى تحديد السبب الرئيسي لزيادة أو نقصان وضع الأمن الغذائي والذي تم تحديده اعلاه 
[المشغل: تسجيل استجابة مفتوحة.]</t>
        </is>
      </c>
      <c r="G193" s="245" t="n">
        <v>115</v>
      </c>
      <c r="H193" s="287" t="inlineStr">
        <is>
          <t>Open Ended</t>
        </is>
      </c>
      <c r="I193" s="245" t="inlineStr">
        <is>
          <t>NA</t>
        </is>
      </c>
      <c r="J193" s="245" t="inlineStr">
        <is>
          <t>NA</t>
        </is>
      </c>
      <c r="K193" s="245" t="inlineStr">
        <is>
          <t>Form Type - TextBox</t>
        </is>
      </c>
      <c r="L193" s="289" t="inlineStr">
        <is>
          <t>NA</t>
        </is>
      </c>
      <c r="M193" s="285" t="inlineStr">
        <is>
          <t>Any Response =  need</t>
        </is>
      </c>
      <c r="N193" s="367" t="n"/>
      <c r="O193" s="285" t="inlineStr">
        <is>
          <t>For any response go to need</t>
        </is>
      </c>
      <c r="P193" s="285" t="inlineStr"/>
      <c r="Q193" s="295" t="n"/>
      <c r="R193" s="317" t="n"/>
      <c r="S193" s="217" t="n"/>
      <c r="U193" s="219" t="inlineStr"/>
      <c r="V193" s="220" t="n"/>
      <c r="Y193" s="633" t="n"/>
      <c r="Z193" s="633" t="n"/>
      <c r="AA193" s="217" t="inlineStr"/>
    </row>
    <row r="194" ht="16.4" customFormat="1" customHeight="1" s="149" thickBot="1">
      <c r="A194" s="604" t="inlineStr">
        <is>
          <t>H. NEEDS ASSISTANCE</t>
        </is>
      </c>
      <c r="B194" s="629" t="n"/>
      <c r="C194" s="629" t="n"/>
      <c r="D194" s="629" t="n"/>
      <c r="E194" s="629" t="n"/>
      <c r="F194" s="629" t="n"/>
      <c r="G194" s="629" t="n"/>
      <c r="H194" s="629" t="n"/>
      <c r="I194" s="629" t="n"/>
      <c r="J194" s="629" t="n"/>
      <c r="K194" s="629" t="n"/>
      <c r="L194" s="629" t="n"/>
      <c r="M194" s="629" t="n"/>
      <c r="N194" s="629" t="n"/>
      <c r="O194" s="629" t="n"/>
      <c r="P194" s="629" t="n"/>
      <c r="Q194" s="630" t="n"/>
      <c r="R194" s="306" t="n"/>
      <c r="S194" s="151" t="n"/>
      <c r="U194" s="150" t="n"/>
      <c r="V194" s="623" t="n"/>
      <c r="Y194" s="631" t="n"/>
      <c r="Z194" s="631">
        <f>IF(Y194="","",Y194*R194)</f>
        <v/>
      </c>
      <c r="AA194" s="151">
        <f>IF(U194="yes",Z194,"")</f>
        <v/>
      </c>
    </row>
    <row r="195" ht="171.65" customFormat="1" customHeight="1" s="539">
      <c r="A195" s="528" t="n">
        <v>165</v>
      </c>
      <c r="B195" s="529" t="inlineStr">
        <is>
          <t>need</t>
        </is>
      </c>
      <c r="C195" s="518" t="inlineStr">
        <is>
          <t>need</t>
        </is>
      </c>
      <c r="D195" s="530" t="inlineStr">
        <is>
          <t>Does your household need any kind of assistance to support your ability to meet food and income needs over the next 6 months?
[OPERATOR: SINGLE RESPONSE.]
1)YES
2)NO
3)DON'T KNOW
4)REFUSED</t>
        </is>
      </c>
      <c r="E195" s="531">
        <f>LEN(D195)</f>
        <v/>
      </c>
      <c r="F195" s="532" t="inlineStr">
        <is>
          <t>هل تحتاج أسرتك إلى أي نوع من المساعدة لدعم قدرتك على تلبية احتياجاتك الغذائية والدخل خلال الأشهر الستة المقبلة؟
[المُشغِّل: إجابة واحدة]
1) نعم
2) لا
3) لا أعرف
4) رفض الإجابة</t>
        </is>
      </c>
      <c r="G195" s="531">
        <f>LEN(F195)</f>
        <v/>
      </c>
      <c r="H195" s="533" t="inlineStr">
        <is>
          <t>Single Choice</t>
        </is>
      </c>
      <c r="I195" s="531" t="inlineStr">
        <is>
          <t>NA</t>
        </is>
      </c>
      <c r="J195" s="531" t="inlineStr">
        <is>
          <t>NA</t>
        </is>
      </c>
      <c r="K195" s="534" t="inlineStr">
        <is>
          <t>Form Type - Buttons</t>
        </is>
      </c>
      <c r="L195" s="513" t="inlineStr">
        <is>
          <t>NA</t>
        </is>
      </c>
      <c r="M195" s="535" t="inlineStr">
        <is>
          <t>1 = need_type
2-4= need_received</t>
        </is>
      </c>
      <c r="N195" s="519" t="n"/>
      <c r="O195" s="535" t="inlineStr">
        <is>
          <t>if need = 1, go to need_type
if need = 2-4, go to need_received</t>
        </is>
      </c>
      <c r="P195" s="496" t="inlineStr"/>
      <c r="Q195" s="536" t="n"/>
      <c r="R195" s="537" t="n">
        <v>1</v>
      </c>
      <c r="S195" s="538" t="n"/>
      <c r="U195" s="540" t="inlineStr">
        <is>
          <t>yes</t>
        </is>
      </c>
      <c r="V195" s="541" t="n"/>
      <c r="Y195" s="649" t="n">
        <v>14.47277355194092</v>
      </c>
      <c r="Z195" s="650">
        <f>IF(Y195="","",Y195*R195)</f>
        <v/>
      </c>
      <c r="AA195" s="502" t="inlineStr">
        <is>
          <t>14.47277355194092</t>
        </is>
      </c>
    </row>
    <row r="196" ht="221.15" customFormat="1" customHeight="1" s="539">
      <c r="A196" s="528" t="n">
        <v>166</v>
      </c>
      <c r="B196" s="529" t="inlineStr">
        <is>
          <t>need_type</t>
        </is>
      </c>
      <c r="C196" s="545" t="inlineStr">
        <is>
          <t>need_type
1)need_type_food
2)need_type_ag_livelihood
3)need_type_nonag_livelihood
4)need_type_other
5)need_type_dk
6)need_type_ref</t>
        </is>
      </c>
      <c r="D196" s="546"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6" s="531">
        <f>LEN(D196)</f>
        <v/>
      </c>
      <c r="F196" s="532" t="inlineStr">
        <is>
          <t>ما نوع المساعدة التي ستحتاجها أسرتك؟
[المُشغِّل: إجابات متعددة]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t>
        </is>
      </c>
      <c r="G196" s="531">
        <f>LEN(F196)</f>
        <v/>
      </c>
      <c r="H196" s="547" t="inlineStr">
        <is>
          <t>Open Ended - Select All That Apply</t>
        </is>
      </c>
      <c r="I196" s="534" t="inlineStr">
        <is>
          <t>NA</t>
        </is>
      </c>
      <c r="J196" s="534" t="inlineStr">
        <is>
          <t>NA</t>
        </is>
      </c>
      <c r="K196" s="534" t="inlineStr">
        <is>
          <t>Form Type - Checklist
5,6 = IsNone</t>
        </is>
      </c>
      <c r="L196" s="519" t="inlineStr">
        <is>
          <t>1)need_type_food
2)need_type_ag_livelihood
3)need_type_nonag_livelihood
4)need_type_other
5)need_type_dk
6)need_type_ref</t>
        </is>
      </c>
      <c r="M196" s="519" t="inlineStr">
        <is>
          <t>1-6=need_type_main</t>
        </is>
      </c>
      <c r="N196" s="535" t="inlineStr">
        <is>
          <t>For any response, go to need_type_main</t>
        </is>
      </c>
      <c r="O196" s="496" t="inlineStr"/>
      <c r="P196" s="500" t="inlineStr"/>
      <c r="Q196" s="537" t="n"/>
      <c r="R196" s="538" t="n"/>
      <c r="T196" s="540" t="inlineStr">
        <is>
          <t>yes</t>
        </is>
      </c>
      <c r="U196" s="541" t="inlineStr"/>
      <c r="X196" s="649" t="n">
        <v>17</v>
      </c>
      <c r="Y196" s="650" t="n">
        <v>17</v>
      </c>
      <c r="Z196" s="502">
        <f>IF(T196="yes",Y196,"")</f>
        <v/>
      </c>
      <c r="AA196" t="inlineStr"/>
    </row>
    <row r="197" ht="221.15" customFormat="1" customHeight="1" s="539">
      <c r="A197" s="528" t="n">
        <v>167</v>
      </c>
      <c r="B197" s="529" t="inlineStr">
        <is>
          <t>need_type_main</t>
        </is>
      </c>
      <c r="C197" s="545" t="inlineStr">
        <is>
          <t>need_type_main</t>
        </is>
      </c>
      <c r="D197" s="548" t="inlineStr">
        <is>
          <t>Which of these types of support is the most important for your household? 
[OPERATOR: PLEASE ONLY ASK THE QUESTION IF MORE THAN ONE ANSWER WAS PROVIDED IN THE PREVIOUS QUESTION.]
1)Food aid 
2)Support for agriculture or related livelihoods [crops/ livestock/ fisheries/ and related marketing]
3)Support for non-agricultural income
4)Support for other essential needs [e.g. shelter/ healthcare/ education/ water/ sanitation]
5)DON'T KNOW 
6)REFUSED</t>
        </is>
      </c>
      <c r="E197" s="531">
        <f>LEN(D197)</f>
        <v/>
      </c>
      <c r="F197" s="532" t="inlineStr">
        <is>
          <t xml:space="preserve">أيٌّ من أنواع الدعم التالية هو الأهم لأسرتك؟
[المُشغِّل: يُرجى طرح السؤال فقط إذا قُدِّمت أكثر من إجابة واحدة في السؤال السابق.]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
</t>
        </is>
      </c>
      <c r="G197" s="531" t="n"/>
      <c r="H197" s="547" t="inlineStr">
        <is>
          <t>Single Choice</t>
        </is>
      </c>
      <c r="I197" s="534" t="inlineStr">
        <is>
          <t>NA</t>
        </is>
      </c>
      <c r="J197" s="534"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K197" s="534" t="inlineStr">
        <is>
          <t>Form Type - Buttons
include selected "need_type"
IsDemographic</t>
        </is>
      </c>
      <c r="L197" s="535" t="inlineStr">
        <is>
          <t>Dynamics = need_2
1-2 = need_2</t>
        </is>
      </c>
      <c r="M197" s="535" t="inlineStr">
        <is>
          <t>Dynamics = need_2
1-2 = need_2</t>
        </is>
      </c>
      <c r="N197" s="519" t="n"/>
      <c r="O197" s="535" t="inlineStr">
        <is>
          <t>For any response, go to need_2</t>
        </is>
      </c>
      <c r="P197" s="496" t="inlineStr"/>
      <c r="Q197" s="500" t="n"/>
      <c r="R197" s="537" t="n"/>
      <c r="S197" s="538" t="n"/>
      <c r="U197" s="540" t="inlineStr"/>
      <c r="V197" s="541" t="n"/>
      <c r="Y197" s="649" t="n"/>
      <c r="Z197" s="650" t="n"/>
      <c r="AA197" s="502" t="inlineStr"/>
    </row>
    <row r="198" ht="409.5" customFormat="1" customHeight="1" s="503">
      <c r="A198" s="528" t="n">
        <v>168</v>
      </c>
      <c r="B198" s="529" t="inlineStr">
        <is>
          <t>need_2</t>
        </is>
      </c>
      <c r="C198" s="518" t="inlineStr">
        <is>
          <t>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D198" s="5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198" s="534" t="n">
        <v>1183</v>
      </c>
      <c r="F198" s="532" t="inlineStr">
        <is>
          <t>على مدى الأشهر الستة المقبلة، ما هي أنواع المساعدة التي تحتاجها أسرتك لدعم سبل العيش الزراعية [بما في ذلك الإنتاج والتسويق]؟
[المشغل: عدة استجابات محتملة. لا تقرأ الخيارات إذا كان ذلك ممكنًا.]
1) مدخلات انتاج المحاصيل و الخضروات [على سبيل المثال البذور و الاسمدة و المعدات] 
2) البنية التحتية لانتاج المحاصيل و الخضروات [على سبيل المثال الري، اعادة تأهيل قنوات الري و المضخات]
3) التدريبات المهنية و المعرفة / النصائح التقنية لإنتاج المحاصيل 
4) أعلاف الحيوانات [علف أو علف تكميلي]
5) الخدمات البيطرية [على سبيل المثال التطعيم والتخلص من الديدان]
6) البنية التحتية لانتاج الماشية [على سبيل المثال نقاط المياه ، ممرات التنقل الرعوي / المأوى / النقاط الصحية]
7) التدريبات المهنية و المعرفة / النصائح التقنية لانتاج الماشية 
8) المدخلات لانتاج الاسماك و تربية الاحياء المائية 
9)البنية التحتية لانتاج مصايد الاسماك و تربية الاحياء المائية  [اعادة تأهيل الموانيء و اصلاح البرك علي سبيل المثال]
10) التدريبات المهنية و المعرفة / النصائح التقنية لانتاج مصايد الاسماك و تربية الاحياء المائية
11) اعادة ترميم البنية التحتية و البيئية [ علي نطاق مجتمعي] 
12) التخزين البارد
13) دعم المبيعات أو التسويق [المشتريات العامة علي سبيل المثال]
14) الطعام
15) المساعدة النقدية 
16) قسائم المشتريات 
17) آخر [حدد]
18)  لا أعرف
19) رفض الإجابة</t>
        </is>
      </c>
      <c r="G198" s="534">
        <f>LEN(F198)</f>
        <v/>
      </c>
      <c r="H198" s="547" t="inlineStr">
        <is>
          <t>Open Ended-Select All That Apply</t>
        </is>
      </c>
      <c r="I198" s="534" t="inlineStr">
        <is>
          <t>NA</t>
        </is>
      </c>
      <c r="J198" s="534" t="inlineStr">
        <is>
          <t>Send if "need_type" "Contains" "Support for agriculture or related livelihoods [crop, livestock, fisheries, and related marketing]" if not satisfied go to "need_received"</t>
        </is>
      </c>
      <c r="K198" s="534" t="inlineStr">
        <is>
          <t>Form Type - Checklist
18,19 = IsNone</t>
        </is>
      </c>
      <c r="L198" s="519"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M198" s="550" t="inlineStr">
        <is>
          <t>1-19 = need_received</t>
        </is>
      </c>
      <c r="N198" s="551" t="n"/>
      <c r="O198" s="552" t="inlineStr">
        <is>
          <t>if need_2 = 1-19, go to need_received</t>
        </is>
      </c>
      <c r="P198" s="553" t="inlineStr"/>
      <c r="Q198" s="523" t="n"/>
      <c r="R198" s="524" t="n">
        <v>1</v>
      </c>
      <c r="S198" s="502" t="n"/>
      <c r="U198" s="525" t="inlineStr">
        <is>
          <t>yes</t>
        </is>
      </c>
      <c r="V198" s="505" t="n"/>
      <c r="Y198" s="643" t="n">
        <v>33.74076461791992</v>
      </c>
      <c r="Z198" s="643">
        <f>IF(Y198="","",Y198*R198)</f>
        <v/>
      </c>
      <c r="AA198" s="502" t="inlineStr">
        <is>
          <t>33.74076461791992</t>
        </is>
      </c>
    </row>
    <row r="199" ht="330.75" customFormat="1" customHeight="1" s="59">
      <c r="A199" s="18">
        <f>A198+1</f>
        <v/>
      </c>
      <c r="B199" s="182" t="inlineStr">
        <is>
          <t>need_received</t>
        </is>
      </c>
      <c r="C199" s="566"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9" s="138"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9" s="50">
        <f>LEN(D199)</f>
        <v/>
      </c>
      <c r="F199" s="16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199" s="50">
        <f>LEN(F199)</f>
        <v/>
      </c>
      <c r="H199" s="146" t="inlineStr">
        <is>
          <t>Open Ended-Select All That Apply</t>
        </is>
      </c>
      <c r="I199" s="50" t="inlineStr">
        <is>
          <t>NA</t>
        </is>
      </c>
      <c r="J199" s="50" t="inlineStr">
        <is>
          <t>NA</t>
        </is>
      </c>
      <c r="K199" s="50" t="inlineStr">
        <is>
          <t>Form Type - Checklist
10,11,12 = IsNone</t>
        </is>
      </c>
      <c r="L199" s="100"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99" s="137" t="inlineStr">
        <is>
          <t>1-9 = assistance_quality 
10-12 = callback</t>
        </is>
      </c>
      <c r="N199" s="343" t="n"/>
      <c r="O199" s="137" t="inlineStr">
        <is>
          <t>if need_received = 1-9, go to assistance_quality.
Otherwise, go to callback.</t>
        </is>
      </c>
      <c r="P199" s="34" t="inlineStr"/>
      <c r="Q199" s="9" t="n"/>
      <c r="R199" s="300" t="n">
        <v>1</v>
      </c>
      <c r="S199" s="53" t="n"/>
      <c r="U199" s="150" t="inlineStr">
        <is>
          <t>yes</t>
        </is>
      </c>
      <c r="V199" s="613" t="n"/>
      <c r="Y199" s="631" t="n">
        <v>14.55059909820557</v>
      </c>
      <c r="Z199" s="631">
        <f>IF(Y199="","",Y199*R199)</f>
        <v/>
      </c>
      <c r="AA199" s="53" t="inlineStr">
        <is>
          <t>14.55059909820557</t>
        </is>
      </c>
    </row>
    <row r="200" ht="273.75" customFormat="1" customHeight="1" s="59">
      <c r="A200" s="18">
        <f>A199+1</f>
        <v/>
      </c>
      <c r="B200" s="147" t="inlineStr">
        <is>
          <t>assistance_quality</t>
        </is>
      </c>
      <c r="C200" s="148" t="inlineStr">
        <is>
          <t>assistance_quality</t>
        </is>
      </c>
      <c r="D200" s="138"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00" s="50">
        <f>LEN(D200)</f>
        <v/>
      </c>
      <c r="F200" s="172"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00" s="50">
        <f>LEN(F200)</f>
        <v/>
      </c>
      <c r="H200" s="146" t="inlineStr">
        <is>
          <t>Single Choice</t>
        </is>
      </c>
      <c r="I200" s="50" t="inlineStr">
        <is>
          <t>NA</t>
        </is>
      </c>
      <c r="J200" s="50" t="inlineStr">
        <is>
          <t>NA</t>
        </is>
      </c>
      <c r="K200" s="50" t="inlineStr">
        <is>
          <t>Form Type - Buttons</t>
        </is>
      </c>
      <c r="L200" s="100" t="inlineStr">
        <is>
          <t>NA</t>
        </is>
      </c>
      <c r="M200" s="137" t="inlineStr">
        <is>
          <t>1-8 = assistance_provider</t>
        </is>
      </c>
      <c r="N200" s="343" t="n"/>
      <c r="O200" s="63" t="inlineStr">
        <is>
          <t>if assistance_quality = 1-8, go to callback or assistance_provider</t>
        </is>
      </c>
      <c r="P200" s="17" t="inlineStr">
        <is>
          <t>1-8 = assistance provider</t>
        </is>
      </c>
      <c r="Q200" s="9" t="n"/>
      <c r="R200" s="300" t="n">
        <v>1</v>
      </c>
      <c r="S200" s="53" t="n"/>
      <c r="U200" s="150" t="inlineStr">
        <is>
          <t>yes</t>
        </is>
      </c>
      <c r="V200" s="613" t="n"/>
      <c r="Y200" s="631" t="n">
        <v>10.81245613098145</v>
      </c>
      <c r="Z200" s="631">
        <f>IF(Y200="","",Y200*R200)</f>
        <v/>
      </c>
      <c r="AA200" s="53" t="inlineStr">
        <is>
          <t>10.81245613098145</t>
        </is>
      </c>
    </row>
    <row r="201" ht="205.5" customFormat="1" customHeight="1" s="218" thickBot="1">
      <c r="A201" s="18">
        <f>A200+1</f>
        <v/>
      </c>
      <c r="B201" s="544" t="inlineStr">
        <is>
          <t>assistance_provider</t>
        </is>
      </c>
      <c r="C201" s="296" t="inlineStr">
        <is>
          <t>assistance_provider
1) assistance_fao
2) assistance_wfp
3) assistance_otherun
4) assistance_gov
5) assistance_ngo
6) assistance_dk
7) assistance_ref</t>
        </is>
      </c>
      <c r="D201" s="276" t="inlineStr">
        <is>
          <t>Who provided your household with this assistance?
[OPERATOR: MULTIPLE RESPONSE.]
1)FAO
2)WFP
3)Other UN agencies
4)Government
5)Non-governmental/local organization
6)DON'T KNOW
7)REFUSED</t>
        </is>
      </c>
      <c r="E201" s="245">
        <f>LEN(D201)</f>
        <v/>
      </c>
      <c r="F201" s="27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01" s="245">
        <f>LEN(F201)</f>
        <v/>
      </c>
      <c r="H201" s="297" t="inlineStr">
        <is>
          <t>Select All That Apply</t>
        </is>
      </c>
      <c r="I201" s="245" t="inlineStr">
        <is>
          <t>NA</t>
        </is>
      </c>
      <c r="J201" s="245" t="inlineStr">
        <is>
          <t>NA</t>
        </is>
      </c>
      <c r="K201" s="245" t="inlineStr">
        <is>
          <t>Form Type - Checklist
6,7 = IsNone</t>
        </is>
      </c>
      <c r="L201" s="215" t="inlineStr">
        <is>
          <t>1)assistance_fao
2)assistance_wfp
3)assistance_otherun
4)assistance_gov
5)assistance_ngo
6)assistance_dk
7)assistance_ref</t>
        </is>
      </c>
      <c r="M201" s="279" t="inlineStr">
        <is>
          <t>1-7 = callback</t>
        </is>
      </c>
      <c r="N201" s="365" t="n"/>
      <c r="O201" s="229" t="inlineStr">
        <is>
          <t>if assistance_provider = 1-7, go to callback</t>
        </is>
      </c>
      <c r="P201" s="298" t="inlineStr"/>
      <c r="Q201" s="299" t="n"/>
      <c r="R201" s="317" t="n">
        <v>1</v>
      </c>
      <c r="S201" s="217" t="n"/>
      <c r="U201" s="219" t="inlineStr">
        <is>
          <t>no</t>
        </is>
      </c>
      <c r="V201" s="220" t="n"/>
      <c r="Y201" s="633" t="n">
        <v>10.81245613098145</v>
      </c>
      <c r="Z201" s="633">
        <f>IF(Y201="","",Y201*R201)</f>
        <v/>
      </c>
      <c r="AA201" s="217" t="inlineStr"/>
    </row>
    <row r="202" ht="16.4" customFormat="1" customHeight="1" s="149" thickBot="1">
      <c r="A202" s="604" t="inlineStr">
        <is>
          <t>I. CLOSING</t>
        </is>
      </c>
      <c r="B202" s="629" t="n"/>
      <c r="C202" s="629" t="n"/>
      <c r="D202" s="629" t="n"/>
      <c r="E202" s="629" t="n"/>
      <c r="F202" s="629" t="n"/>
      <c r="G202" s="629" t="n"/>
      <c r="H202" s="629" t="n"/>
      <c r="I202" s="629" t="n"/>
      <c r="J202" s="629" t="n"/>
      <c r="K202" s="629" t="n"/>
      <c r="L202" s="629" t="n"/>
      <c r="M202" s="629" t="n"/>
      <c r="N202" s="629" t="n"/>
      <c r="O202" s="629" t="n"/>
      <c r="P202" s="629" t="n"/>
      <c r="Q202" s="630" t="n"/>
      <c r="R202" s="306" t="n"/>
      <c r="S202" s="151" t="n"/>
      <c r="U202" s="150" t="n"/>
      <c r="V202" s="623" t="n"/>
      <c r="Y202" s="631" t="n"/>
      <c r="Z202" s="631">
        <f>IF(Y202="","",Y202*R202)</f>
        <v/>
      </c>
      <c r="AA202" s="151">
        <f>IF(U202="yes",Z202,"")</f>
        <v/>
      </c>
    </row>
    <row r="203" ht="158.25" customFormat="1" customHeight="1" s="59">
      <c r="A203" s="38">
        <f>A201+1</f>
        <v/>
      </c>
      <c r="B203" s="114" t="inlineStr">
        <is>
          <t>callback</t>
        </is>
      </c>
      <c r="C203" s="58" t="inlineStr">
        <is>
          <t>callback</t>
        </is>
      </c>
      <c r="D203" s="57" t="inlineStr">
        <is>
          <t>Your answers will help us to understand and respond to your community needs. May we call you back again in a few months?
[OPERATOR: SINGLE RESPONSE.]
1)YES
2)NO</t>
        </is>
      </c>
      <c r="E203" s="56">
        <f>LEN(D203)</f>
        <v/>
      </c>
      <c r="F203" s="170" t="inlineStr">
        <is>
          <t>ستساعدنا إجاباتك على فهم احتياجات مجتمعك والاستجابة لها. هل يمكننا الاتصال بك مرة أخرى في غضون بضعة أشهر؟
[المشغل: استجابة واحدة.]
1) نعم
2) لا</t>
        </is>
      </c>
      <c r="G203" s="56">
        <f>LEN(F203)</f>
        <v/>
      </c>
      <c r="H203" s="56" t="inlineStr">
        <is>
          <t>Single Choice</t>
        </is>
      </c>
      <c r="I203" s="56" t="inlineStr">
        <is>
          <t>NA</t>
        </is>
      </c>
      <c r="J203" s="56" t="inlineStr">
        <is>
          <t>NA</t>
        </is>
      </c>
      <c r="K203" s="56" t="inlineStr">
        <is>
          <t>Form Type - Buttons</t>
        </is>
      </c>
      <c r="L203" s="100" t="inlineStr">
        <is>
          <t>NA</t>
        </is>
      </c>
      <c r="M203" s="55" t="inlineStr">
        <is>
          <t>1 = future_int_day
2 = closeout</t>
        </is>
      </c>
      <c r="N203" s="195" t="n"/>
      <c r="O203" s="55" t="inlineStr">
        <is>
          <t>if callback = 1, go to future_int_day
if 2, go to language2</t>
        </is>
      </c>
      <c r="P203" s="30" t="inlineStr"/>
      <c r="Q203" s="8" t="n"/>
      <c r="R203" s="306" t="n">
        <v>1</v>
      </c>
      <c r="S203" s="53" t="n"/>
      <c r="U203" s="150" t="inlineStr">
        <is>
          <t>yes</t>
        </is>
      </c>
      <c r="V203" s="613" t="n"/>
      <c r="Y203" s="631" t="n">
        <v>14.94646453857422</v>
      </c>
      <c r="Z203" s="631">
        <f>IF(Y203="","",Y203*R203)</f>
        <v/>
      </c>
      <c r="AA203" s="53" t="inlineStr">
        <is>
          <t>14.94646453857422</t>
        </is>
      </c>
    </row>
    <row r="204" ht="221.25" customHeight="1">
      <c r="A204" s="125">
        <f>A203+1</f>
        <v/>
      </c>
      <c r="B204" s="603" t="inlineStr">
        <is>
          <t>future_int_day</t>
        </is>
      </c>
      <c r="C204" s="576" t="inlineStr">
        <is>
          <t>future_int_day_
1) future_int_day_mon
2) future_int_day_tues
3) future_int_day_wed
4) future_int_day_thurs
5) future_int_day_fri
6) future_int_day_sat
7) future_int_day_sun</t>
        </is>
      </c>
      <c r="D204" s="206" t="inlineStr">
        <is>
          <t>For future interviews, in which day[s] can I call you?
[OPERATOR: MULTIPLE ANSWERS POSSIBLE.]
1)Monday
2)Tuesday
3)Wednesday
4)Thursday
5)Friday
6)Saturday
7)Sunday</t>
        </is>
      </c>
      <c r="E204" s="327">
        <f>LEN(D204)</f>
        <v/>
      </c>
      <c r="F204" s="207"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04" s="327">
        <f>LEN(F204)</f>
        <v/>
      </c>
      <c r="H204" s="327" t="inlineStr">
        <is>
          <t>Select All That Apply</t>
        </is>
      </c>
      <c r="I204" s="327" t="inlineStr">
        <is>
          <t>NA</t>
        </is>
      </c>
      <c r="J204" s="327" t="inlineStr">
        <is>
          <t>NA</t>
        </is>
      </c>
      <c r="K204" s="327" t="inlineStr">
        <is>
          <t>Form Type - Checklist</t>
        </is>
      </c>
      <c r="L204" s="100" t="inlineStr">
        <is>
          <t>NA</t>
        </is>
      </c>
      <c r="M204" s="328" t="inlineStr">
        <is>
          <t>1-7 = future_int_time</t>
        </is>
      </c>
      <c r="N204" s="345" t="n"/>
      <c r="O204" s="310" t="inlineStr">
        <is>
          <t>if l_future_int_day = 1-7, go to future_int_time</t>
        </is>
      </c>
      <c r="P204" s="256" t="inlineStr"/>
      <c r="Q204" s="238" t="n"/>
      <c r="R204" s="306" t="n">
        <v>1</v>
      </c>
      <c r="S204" s="53" t="n"/>
      <c r="U204" s="153" t="inlineStr">
        <is>
          <t>yes - panel</t>
        </is>
      </c>
      <c r="Y204" s="642" t="n">
        <v>19.35491371154785</v>
      </c>
      <c r="Z204" s="631">
        <f>IF(Y204="","",Y204*R204)</f>
        <v/>
      </c>
      <c r="AA204" s="53" t="inlineStr"/>
    </row>
    <row r="205" ht="137.25" customHeight="1" thickBot="1">
      <c r="A205" s="125">
        <f>A204+1</f>
        <v/>
      </c>
      <c r="B205" s="603" t="inlineStr">
        <is>
          <t>future_int_time</t>
        </is>
      </c>
      <c r="C205" s="576" t="inlineStr">
        <is>
          <t>future_int_time_ 
1) future_int_time_morn
2) future_int_time_aft
3) future_int_time_eve</t>
        </is>
      </c>
      <c r="D205" s="329" t="inlineStr">
        <is>
          <t>For future interviews, at what time[s] can I call you?
[OPERATOR: MULTIPLE ANSWERS POSSIBLE.]
1)Mornings
2)Afternoons
3)Evenings</t>
        </is>
      </c>
      <c r="E205" s="327">
        <f>LEN(D205)</f>
        <v/>
      </c>
      <c r="F205" s="207" t="inlineStr">
        <is>
          <t>للمقابلات المستقبلية ، في أي وقت [أوقات] يمكنني الاتصال بك؟
[المُشغل: إمكانية الحصول على إجابات متعددة.]
1) الصباح
2) بعد الظهر
3) المساء</t>
        </is>
      </c>
      <c r="G205" s="327">
        <f>LEN(F205)</f>
        <v/>
      </c>
      <c r="H205" s="327" t="inlineStr">
        <is>
          <t>Select All That Apply</t>
        </is>
      </c>
      <c r="I205" s="327" t="inlineStr">
        <is>
          <t>NA</t>
        </is>
      </c>
      <c r="J205" s="327" t="inlineStr">
        <is>
          <t>NA</t>
        </is>
      </c>
      <c r="K205" s="327" t="inlineStr">
        <is>
          <t>Form Type - Checklist</t>
        </is>
      </c>
      <c r="L205" s="100" t="inlineStr">
        <is>
          <t>NA</t>
        </is>
      </c>
      <c r="M205" s="328" t="inlineStr">
        <is>
          <t>1-3 = closeout</t>
        </is>
      </c>
      <c r="N205" s="372" t="n"/>
      <c r="O205" s="310" t="inlineStr">
        <is>
          <t>if future_int_time = 1-3, go to closeout</t>
        </is>
      </c>
      <c r="P205" s="256" t="inlineStr"/>
      <c r="Q205" s="238" t="n"/>
      <c r="R205" s="306" t="n">
        <v>1</v>
      </c>
      <c r="S205" s="53" t="n"/>
      <c r="U205" s="153" t="inlineStr">
        <is>
          <t>yes - panel</t>
        </is>
      </c>
      <c r="Y205" s="642" t="n">
        <v>15.88939952850342</v>
      </c>
      <c r="Z205" s="631">
        <f>IF(Y205="","",Y205*R205)</f>
        <v/>
      </c>
      <c r="AA205" s="53" t="inlineStr"/>
    </row>
    <row r="206" ht="31.75" customFormat="1" customHeight="1" s="59" thickBot="1">
      <c r="A206" s="128" t="inlineStr">
        <is>
          <t>NA</t>
        </is>
      </c>
      <c r="B206" s="112" t="inlineStr">
        <is>
          <t>closeout</t>
        </is>
      </c>
      <c r="C206" s="49" t="inlineStr">
        <is>
          <t>closeout</t>
        </is>
      </c>
      <c r="D206" s="48" t="inlineStr">
        <is>
          <t>Thank you for your time. The interview has come to an end.</t>
        </is>
      </c>
      <c r="E206" s="47">
        <f>LEN(D206)</f>
        <v/>
      </c>
      <c r="F206" s="171" t="inlineStr">
        <is>
          <t xml:space="preserve">شكرا لك على وقتك. انتهت المقابلة. </t>
        </is>
      </c>
      <c r="G206" s="47">
        <f>LEN(F206)</f>
        <v/>
      </c>
      <c r="H206" s="47" t="inlineStr">
        <is>
          <t>NA</t>
        </is>
      </c>
      <c r="I206" s="47" t="inlineStr">
        <is>
          <t>NA</t>
        </is>
      </c>
      <c r="J206" s="47" t="inlineStr">
        <is>
          <t>NA</t>
        </is>
      </c>
      <c r="K206" s="47" t="inlineStr">
        <is>
          <t>NA</t>
        </is>
      </c>
      <c r="L206" s="46" t="inlineStr"/>
      <c r="M206" s="46" t="inlineStr">
        <is>
          <t>NA</t>
        </is>
      </c>
      <c r="N206" s="373" t="inlineStr">
        <is>
          <t>GeoPoll [10/14/2025]. Removed reference to incentive and deleted QName Language2</t>
        </is>
      </c>
      <c r="O206" s="45" t="inlineStr">
        <is>
          <t>NA</t>
        </is>
      </c>
      <c r="P206" s="36" t="inlineStr"/>
      <c r="Q206" s="37" t="n"/>
      <c r="R206" s="306" t="n">
        <v>1</v>
      </c>
      <c r="S206" s="613" t="n"/>
      <c r="U206" s="61" t="inlineStr">
        <is>
          <t>no</t>
        </is>
      </c>
      <c r="V206" s="613" t="n"/>
      <c r="Y206" s="651" t="n"/>
      <c r="Z206" s="631">
        <f>IF(Y206="","",Y206*R206)</f>
        <v/>
      </c>
      <c r="AA206" s="53" t="inlineStr"/>
    </row>
    <row r="207">
      <c r="Y207" s="652" t="n"/>
    </row>
    <row r="208" ht="16.4" customHeight="1" thickBot="1"/>
    <row r="209" ht="18" customHeight="1" thickBot="1">
      <c r="D209" s="111" t="inlineStr">
        <is>
          <t xml:space="preserve">AVERAGE ESTIMATED DURATION </t>
        </is>
      </c>
      <c r="E209" s="110" t="n"/>
      <c r="F209" s="111" t="n"/>
      <c r="G209" s="110" t="n"/>
      <c r="H209" s="110" t="n"/>
      <c r="I209" s="110" t="n"/>
      <c r="J209" s="110" t="n"/>
      <c r="K209" s="110" t="n"/>
      <c r="L209" s="110" t="n"/>
      <c r="M209" s="110" t="n"/>
      <c r="N209" s="369" t="n"/>
      <c r="O209" s="110" t="n"/>
      <c r="P209" s="110" t="n"/>
      <c r="Q209" s="110" t="n"/>
      <c r="R209" s="334" t="n"/>
      <c r="Y209" s="335" t="n"/>
      <c r="Z209" s="336">
        <f>(SUM(Z5:Z207))/60</f>
        <v/>
      </c>
      <c r="AA209" s="155">
        <f>SUM(AA2:AA206)/60</f>
        <v/>
      </c>
    </row>
    <row r="210" hidden="1" ht="16.4" customHeight="1" thickBot="1">
      <c r="D210" s="127" t="inlineStr">
        <is>
          <t>AVERAGE ESTIMATED DURATION (without fisheries section)</t>
        </is>
      </c>
      <c r="E210" s="126" t="n"/>
      <c r="F210" s="127" t="n"/>
      <c r="G210" s="126" t="n"/>
      <c r="H210" s="126" t="n"/>
      <c r="I210" s="126" t="n"/>
      <c r="J210" s="126" t="n"/>
      <c r="K210" s="126" t="n"/>
      <c r="L210" s="126" t="n"/>
      <c r="M210" s="126" t="n"/>
      <c r="N210" s="370" t="n"/>
      <c r="O210" s="126" t="n"/>
      <c r="P210" s="126" t="n"/>
      <c r="Q210" s="126" t="n"/>
      <c r="R210" s="337" t="n"/>
      <c r="Y210" s="338" t="n"/>
      <c r="Z210" s="339">
        <f>(SUM(Z6:Z137)+SUM(Z151:Z207))/60</f>
        <v/>
      </c>
    </row>
    <row r="211" ht="16.4" customHeight="1" thickBot="1">
      <c r="D211" s="111" t="inlineStr">
        <is>
          <t>AVERAGE ESTIMATED DURATION (without fisheries section or panel)</t>
        </is>
      </c>
      <c r="E211" s="110" t="n"/>
      <c r="F211" s="111" t="n"/>
      <c r="G211" s="110" t="n"/>
      <c r="H211" s="110" t="n"/>
      <c r="I211" s="110" t="n"/>
      <c r="J211" s="110" t="n"/>
      <c r="K211" s="110" t="n"/>
      <c r="L211" s="110" t="n"/>
      <c r="M211" s="110" t="n"/>
      <c r="N211" s="369" t="n"/>
      <c r="O211" s="110" t="n"/>
      <c r="P211" s="110" t="n"/>
      <c r="Q211" s="110" t="n"/>
      <c r="R211" s="334" t="n"/>
      <c r="Y211" s="335" t="n"/>
      <c r="Z211" s="340">
        <f>(SUM(Z6:Z22)+SUM(Z54:Z137)+SUM(Z150:Z203)+SUM(Z206:Z207))/60</f>
        <v/>
      </c>
    </row>
  </sheetData>
  <mergeCells count="18">
    <mergeCell ref="A202:Q202"/>
    <mergeCell ref="A119:Q119"/>
    <mergeCell ref="A150:Q150"/>
    <mergeCell ref="A18:Q18"/>
    <mergeCell ref="A145:Q145"/>
    <mergeCell ref="A124:Q124"/>
    <mergeCell ref="A77:Q77"/>
    <mergeCell ref="A4:Q4"/>
    <mergeCell ref="A57:Q57"/>
    <mergeCell ref="A101:Q101"/>
    <mergeCell ref="A133:Q133"/>
    <mergeCell ref="Q2:Q3"/>
    <mergeCell ref="A138:Q138"/>
    <mergeCell ref="A107:Q107"/>
    <mergeCell ref="O31:O53"/>
    <mergeCell ref="A1:Q1"/>
    <mergeCell ref="A194:Q194"/>
    <mergeCell ref="A2:P2"/>
  </mergeCells>
  <conditionalFormatting sqref="B8">
    <cfRule type="duplicateValues" priority="8" dxfId="0"/>
  </conditionalFormatting>
  <conditionalFormatting sqref="B11 B13:B16">
    <cfRule type="duplicateValues" priority="841" dxfId="0"/>
  </conditionalFormatting>
  <conditionalFormatting sqref="B12">
    <cfRule type="duplicateValues" priority="184" dxfId="0"/>
    <cfRule type="duplicateValues" priority="183" dxfId="0"/>
  </conditionalFormatting>
  <conditionalFormatting sqref="B17">
    <cfRule type="duplicateValues" priority="840" dxfId="0"/>
  </conditionalFormatting>
  <conditionalFormatting sqref="B24">
    <cfRule type="duplicateValues" priority="698" dxfId="0"/>
  </conditionalFormatting>
  <conditionalFormatting sqref="B30">
    <cfRule type="duplicateValues" priority="1324" dxfId="0"/>
  </conditionalFormatting>
  <conditionalFormatting sqref="B31:B52">
    <cfRule type="duplicateValues" priority="7" dxfId="0"/>
  </conditionalFormatting>
  <conditionalFormatting sqref="B53">
    <cfRule type="duplicateValues" priority="6" dxfId="0"/>
  </conditionalFormatting>
  <conditionalFormatting sqref="B54">
    <cfRule type="duplicateValues" priority="450" dxfId="0"/>
  </conditionalFormatting>
  <conditionalFormatting sqref="B56">
    <cfRule type="duplicateValues" priority="27" dxfId="0"/>
  </conditionalFormatting>
  <conditionalFormatting sqref="B61">
    <cfRule type="duplicateValues" priority="852" dxfId="0"/>
  </conditionalFormatting>
  <conditionalFormatting sqref="B62">
    <cfRule type="duplicateValues" priority="1169" dxfId="0"/>
  </conditionalFormatting>
  <conditionalFormatting sqref="B63">
    <cfRule type="duplicateValues" priority="16" dxfId="0"/>
  </conditionalFormatting>
  <conditionalFormatting sqref="B64">
    <cfRule type="duplicateValues" priority="17" dxfId="0"/>
  </conditionalFormatting>
  <conditionalFormatting sqref="B65">
    <cfRule type="duplicateValues" priority="1289" dxfId="0"/>
  </conditionalFormatting>
  <conditionalFormatting sqref="B66">
    <cfRule type="duplicateValues" priority="20" dxfId="0"/>
  </conditionalFormatting>
  <conditionalFormatting sqref="B67:B70">
    <cfRule type="duplicateValues" priority="24" dxfId="0"/>
  </conditionalFormatting>
  <conditionalFormatting sqref="B71">
    <cfRule type="duplicateValues" priority="23" dxfId="0"/>
  </conditionalFormatting>
  <conditionalFormatting sqref="B72">
    <cfRule type="duplicateValues" priority="22" dxfId="0"/>
  </conditionalFormatting>
  <conditionalFormatting sqref="B74">
    <cfRule type="duplicateValues" priority="1212" dxfId="0"/>
  </conditionalFormatting>
  <conditionalFormatting sqref="B79:B81">
    <cfRule type="duplicateValues" priority="460" dxfId="0"/>
  </conditionalFormatting>
  <conditionalFormatting sqref="B82">
    <cfRule type="duplicateValues" priority="476" dxfId="0"/>
  </conditionalFormatting>
  <conditionalFormatting sqref="B85:B87">
    <cfRule type="duplicateValues" priority="456" dxfId="0"/>
  </conditionalFormatting>
  <conditionalFormatting sqref="B88">
    <cfRule type="duplicateValues" priority="469" dxfId="0"/>
  </conditionalFormatting>
  <conditionalFormatting sqref="B91:B93">
    <cfRule type="duplicateValues" priority="452" dxfId="0"/>
  </conditionalFormatting>
  <conditionalFormatting sqref="B94">
    <cfRule type="duplicateValues" priority="467" dxfId="0"/>
  </conditionalFormatting>
  <conditionalFormatting sqref="B95">
    <cfRule type="duplicateValues" priority="1251" dxfId="0"/>
  </conditionalFormatting>
  <conditionalFormatting sqref="B97">
    <cfRule type="duplicateValues" priority="28" dxfId="0"/>
  </conditionalFormatting>
  <conditionalFormatting sqref="B99:B100">
    <cfRule type="duplicateValues" priority="4" dxfId="0"/>
  </conditionalFormatting>
  <conditionalFormatting sqref="B102:B106">
    <cfRule type="duplicateValues" priority="12" dxfId="0"/>
  </conditionalFormatting>
  <conditionalFormatting sqref="B115:B116">
    <cfRule type="duplicateValues" priority="1361" dxfId="0"/>
  </conditionalFormatting>
  <conditionalFormatting sqref="B118">
    <cfRule type="duplicateValues" priority="844" dxfId="0"/>
  </conditionalFormatting>
  <conditionalFormatting sqref="B120">
    <cfRule type="duplicateValues" priority="1399" dxfId="0"/>
  </conditionalFormatting>
  <conditionalFormatting sqref="B130">
    <cfRule type="duplicateValues" priority="845" dxfId="0"/>
  </conditionalFormatting>
  <conditionalFormatting sqref="B132">
    <cfRule type="duplicateValues" priority="842" dxfId="0"/>
    <cfRule type="duplicateValues" priority="843" dxfId="0"/>
  </conditionalFormatting>
  <conditionalFormatting sqref="B136">
    <cfRule type="duplicateValues" priority="1432" dxfId="0"/>
  </conditionalFormatting>
  <conditionalFormatting sqref="B139">
    <cfRule type="duplicateValues" priority="800" dxfId="0"/>
  </conditionalFormatting>
  <conditionalFormatting sqref="B140">
    <cfRule type="duplicateValues" priority="1465" dxfId="0"/>
  </conditionalFormatting>
  <conditionalFormatting sqref="B147:B149">
    <cfRule type="duplicateValues" priority="1498" dxfId="0"/>
  </conditionalFormatting>
  <conditionalFormatting sqref="B157">
    <cfRule type="duplicateValues" priority="825" dxfId="0"/>
  </conditionalFormatting>
  <conditionalFormatting sqref="B158">
    <cfRule type="duplicateValues" priority="823" dxfId="0"/>
  </conditionalFormatting>
  <conditionalFormatting sqref="B160">
    <cfRule type="duplicateValues" priority="821" dxfId="0"/>
  </conditionalFormatting>
  <conditionalFormatting sqref="B162">
    <cfRule type="duplicateValues" priority="819" dxfId="0"/>
  </conditionalFormatting>
  <conditionalFormatting sqref="B175">
    <cfRule type="duplicateValues" priority="817" dxfId="0"/>
  </conditionalFormatting>
  <conditionalFormatting sqref="B176:B184 B186:B188">
    <cfRule type="duplicateValues" priority="850" dxfId="0"/>
  </conditionalFormatting>
  <conditionalFormatting sqref="B185">
    <cfRule type="duplicateValues" priority="705" dxfId="0"/>
  </conditionalFormatting>
  <conditionalFormatting sqref="B189">
    <cfRule type="duplicateValues" priority="703" dxfId="0"/>
  </conditionalFormatting>
  <conditionalFormatting sqref="B190 C176:C184 C186:C188">
    <cfRule type="duplicateValues" priority="1136" dxfId="0"/>
  </conditionalFormatting>
  <conditionalFormatting sqref="B191:B193">
    <cfRule type="duplicateValues" priority="704" dxfId="0"/>
  </conditionalFormatting>
  <conditionalFormatting sqref="B195">
    <cfRule type="duplicateValues" priority="3" dxfId="0"/>
  </conditionalFormatting>
  <conditionalFormatting sqref="B196:B197">
    <cfRule type="duplicateValues" priority="2" dxfId="0"/>
  </conditionalFormatting>
  <conditionalFormatting sqref="B2:B3 B5:B7 B9:B11 B13:B17 B21:B23 B25:B29 B55 B59:B60 B73 B75:B76 B78 B83:B84 B89:B90 B98 B111:B112 B117 B121:B123 B126:B129 B131:B132 B134:B135 B137 B141:B144 B146 B151:B156 B159 B161 B163 B174 B198:B199 B203 B206:B210 B212:B1048576">
    <cfRule type="duplicateValues" priority="847" dxfId="0"/>
  </conditionalFormatting>
  <conditionalFormatting sqref="B211">
    <cfRule type="duplicateValues" priority="615" dxfId="0"/>
  </conditionalFormatting>
  <conditionalFormatting sqref="C23">
    <cfRule type="duplicateValues" priority="1145" dxfId="0"/>
  </conditionalFormatting>
  <conditionalFormatting sqref="C24">
    <cfRule type="duplicateValues" priority="1146" dxfId="0"/>
  </conditionalFormatting>
  <conditionalFormatting sqref="C25:C26 C28:C29">
    <cfRule type="duplicateValues" priority="1147" dxfId="0"/>
  </conditionalFormatting>
  <conditionalFormatting sqref="C27">
    <cfRule type="duplicateValues" priority="1152" dxfId="0"/>
  </conditionalFormatting>
  <conditionalFormatting sqref="C30">
    <cfRule type="duplicateValues" priority="1328" dxfId="0"/>
  </conditionalFormatting>
  <conditionalFormatting sqref="C55">
    <cfRule type="duplicateValues" priority="1250" dxfId="0"/>
  </conditionalFormatting>
  <conditionalFormatting sqref="C61">
    <cfRule type="duplicateValues" priority="1149" dxfId="0"/>
  </conditionalFormatting>
  <conditionalFormatting sqref="C62">
    <cfRule type="duplicateValues" priority="1211" dxfId="0"/>
  </conditionalFormatting>
  <conditionalFormatting sqref="C70">
    <cfRule type="duplicateValues" priority="19" dxfId="0"/>
  </conditionalFormatting>
  <conditionalFormatting sqref="C71">
    <cfRule type="duplicateValues" priority="21" dxfId="0"/>
  </conditionalFormatting>
  <conditionalFormatting sqref="C74">
    <cfRule type="duplicateValues" priority="36" dxfId="0"/>
  </conditionalFormatting>
  <conditionalFormatting sqref="C75">
    <cfRule type="duplicateValues" priority="1131" dxfId="0"/>
  </conditionalFormatting>
  <conditionalFormatting sqref="C76">
    <cfRule type="duplicateValues" priority="1132" dxfId="0"/>
  </conditionalFormatting>
  <conditionalFormatting sqref="C79">
    <cfRule type="duplicateValues" priority="458" dxfId="0"/>
  </conditionalFormatting>
  <conditionalFormatting sqref="C80">
    <cfRule type="duplicateValues" priority="457" dxfId="0"/>
  </conditionalFormatting>
  <conditionalFormatting sqref="C81">
    <cfRule type="duplicateValues" priority="459" dxfId="0"/>
  </conditionalFormatting>
  <conditionalFormatting sqref="C82">
    <cfRule type="duplicateValues" priority="1165" dxfId="0"/>
  </conditionalFormatting>
  <conditionalFormatting sqref="C85">
    <cfRule type="duplicateValues" priority="454" dxfId="0"/>
  </conditionalFormatting>
  <conditionalFormatting sqref="C86">
    <cfRule type="duplicateValues" priority="453" dxfId="0"/>
  </conditionalFormatting>
  <conditionalFormatting sqref="C87">
    <cfRule type="duplicateValues" priority="455" dxfId="0"/>
  </conditionalFormatting>
  <conditionalFormatting sqref="C88">
    <cfRule type="duplicateValues" priority="1167" dxfId="0"/>
  </conditionalFormatting>
  <conditionalFormatting sqref="C91:C93">
    <cfRule type="duplicateValues" priority="451" dxfId="0"/>
  </conditionalFormatting>
  <conditionalFormatting sqref="C94">
    <cfRule type="duplicateValues" priority="1163" dxfId="0"/>
  </conditionalFormatting>
  <conditionalFormatting sqref="C99:C100">
    <cfRule type="duplicateValues" priority="5" dxfId="0"/>
  </conditionalFormatting>
  <conditionalFormatting sqref="C102">
    <cfRule type="duplicateValues" priority="13" dxfId="0"/>
  </conditionalFormatting>
  <conditionalFormatting sqref="C115:C116">
    <cfRule type="duplicateValues" priority="1366" dxfId="0"/>
  </conditionalFormatting>
  <conditionalFormatting sqref="C120">
    <cfRule type="duplicateValues" priority="1155" dxfId="0"/>
  </conditionalFormatting>
  <conditionalFormatting sqref="C147">
    <cfRule type="duplicateValues" priority="1125" dxfId="0"/>
  </conditionalFormatting>
  <conditionalFormatting sqref="C151">
    <cfRule type="duplicateValues" priority="243" dxfId="0"/>
  </conditionalFormatting>
  <conditionalFormatting sqref="C157">
    <cfRule type="duplicateValues" priority="1126" dxfId="0"/>
  </conditionalFormatting>
  <conditionalFormatting sqref="C158">
    <cfRule type="duplicateValues" priority="1127" dxfId="0"/>
  </conditionalFormatting>
  <conditionalFormatting sqref="C160">
    <cfRule type="duplicateValues" priority="1128" dxfId="0"/>
  </conditionalFormatting>
  <conditionalFormatting sqref="C162">
    <cfRule type="duplicateValues" priority="1129" dxfId="0"/>
  </conditionalFormatting>
  <conditionalFormatting sqref="C175">
    <cfRule type="duplicateValues" priority="1130" dxfId="0"/>
  </conditionalFormatting>
  <conditionalFormatting sqref="C185">
    <cfRule type="duplicateValues" priority="1141" dxfId="0"/>
  </conditionalFormatting>
  <conditionalFormatting sqref="C189">
    <cfRule type="duplicateValues" priority="1144" dxfId="0"/>
  </conditionalFormatting>
  <conditionalFormatting sqref="C190">
    <cfRule type="duplicateValues" priority="1142" dxfId="0"/>
  </conditionalFormatting>
  <conditionalFormatting sqref="C191:C193">
    <cfRule type="duplicateValues" priority="1143" dxfId="0"/>
  </conditionalFormatting>
  <conditionalFormatting sqref="C196:C197">
    <cfRule type="duplicateValues" priority="1" dxfId="0"/>
  </conditionalFormatting>
  <conditionalFormatting sqref="D23:D30">
    <cfRule type="expression" priority="55" dxfId="25" stopIfTrue="1">
      <formula>$A23="decimal"</formula>
    </cfRule>
    <cfRule type="expression" priority="56" dxfId="9" stopIfTrue="1">
      <formula>$A23="decimal"</formula>
    </cfRule>
    <cfRule type="expression" priority="57" dxfId="26" stopIfTrue="1">
      <formula>$A23="integer"</formula>
    </cfRule>
    <cfRule type="expression" priority="58" dxfId="27" stopIfTrue="1">
      <formula>$A23="integer"</formula>
    </cfRule>
    <cfRule type="expression" priority="59" dxfId="28" stopIfTrue="1">
      <formula>$A23="text"</formula>
    </cfRule>
    <cfRule type="expression" priority="60" dxfId="29" stopIfTrue="1">
      <formula>$A23="text"</formula>
    </cfRule>
    <cfRule type="expression" priority="61" dxfId="30" stopIfTrue="1">
      <formula>$A23="end repeat"</formula>
    </cfRule>
    <cfRule type="expression" priority="62" dxfId="31" stopIfTrue="1">
      <formula>$A23="begin repeat"</formula>
    </cfRule>
    <cfRule type="expression" priority="63" dxfId="30" stopIfTrue="1">
      <formula>$A23="begin repeat"</formula>
    </cfRule>
    <cfRule type="expression" priority="64" dxfId="5" stopIfTrue="1">
      <formula>$A23="end group"</formula>
    </cfRule>
    <cfRule type="expression" priority="65" dxfId="4" stopIfTrue="1">
      <formula>$A23="begin group"</formula>
    </cfRule>
    <cfRule type="expression" priority="66" dxfId="5" stopIfTrue="1">
      <formula>$A23="begin group"</formula>
    </cfRule>
    <cfRule type="expression" priority="41" dxfId="12" stopIfTrue="1">
      <formula>$A23="image"</formula>
    </cfRule>
    <cfRule type="expression" priority="38" dxfId="10" stopIfTrue="1">
      <formula>OR($A23="audio", $A23="video")</formula>
    </cfRule>
    <cfRule type="expression" priority="39" dxfId="11" stopIfTrue="1">
      <formula>OR($A23="audio", $A23="video")</formula>
    </cfRule>
    <cfRule type="expression" priority="40" dxfId="7" stopIfTrue="1">
      <formula>$A23="image"</formula>
    </cfRule>
    <cfRule type="expression" priority="42" dxfId="13" stopIfTrue="1">
      <formula>OR($A23="date", $A23="datetime")</formula>
    </cfRule>
    <cfRule type="expression" priority="43" dxfId="14" stopIfTrue="1">
      <formula>OR($A23="date", $A23="datetime")</formula>
    </cfRule>
    <cfRule type="expression" priority="44" dxfId="6" stopIfTrue="1">
      <formula>OR($A23="calculate", $A23="calculate_here")</formula>
    </cfRule>
    <cfRule type="expression" priority="45" dxfId="15" stopIfTrue="1">
      <formula>$A23="note"</formula>
    </cfRule>
    <cfRule type="expression" priority="46" dxfId="16" stopIfTrue="1">
      <formula>$A23="note"</formula>
    </cfRule>
    <cfRule type="expression" priority="47" dxfId="17" stopIfTrue="1">
      <formula>$A23="barcode"</formula>
    </cfRule>
    <cfRule type="expression" priority="48" dxfId="18" stopIfTrue="1">
      <formula>$A23="barcode"</formula>
    </cfRule>
    <cfRule type="expression" priority="49" dxfId="19" stopIfTrue="1">
      <formula>$A23="geopoint"</formula>
    </cfRule>
    <cfRule type="expression" priority="50" dxfId="20" stopIfTrue="1">
      <formula>$A23="geopoint"</formula>
    </cfRule>
    <cfRule type="expression" priority="51" dxfId="21" stopIfTrue="1">
      <formula>OR($A23="audio audit", $A23="text audit")</formula>
    </cfRule>
    <cfRule type="expression" priority="52" dxfId="22" stopIfTrue="1">
      <formula>OR($A23="username", $A23="phonenumber", $A23="start", $A23="end", $A23="deviceid", $A23="subscriberid", $A23="simserial")</formula>
    </cfRule>
    <cfRule type="expression" priority="53" dxfId="23" stopIfTrue="1">
      <formula>OR(AND(LEFT($A23, 16)="select_multiple ", LEN($A23)&gt;16, NOT(ISNUMBER(SEARCH(" ", $A23, 17)))), AND(LEFT($A23, 11)="select_one ", LEN($A23)&gt;11, NOT(ISNUMBER(SEARCH(" ", $A23, 12)))))</formula>
    </cfRule>
    <cfRule type="expression" priority="54" dxfId="24" stopIfTrue="1">
      <formula>OR(AND(LEFT($A23, 16)="select_multiple ", LEN($A23)&gt;16, NOT(ISNUMBER(SEARCH(" ", $A23, 17)))), AND(LEFT($A23, 11)="select_one ", LEN($A23)&gt;11, NOT(ISNUMBER(SEARCH(" ", $A23, 12)))))</formula>
    </cfRule>
  </conditionalFormatting>
  <conditionalFormatting sqref="D59">
    <cfRule type="cellIs" priority="811" operator="notEqual" dxfId="0">
      <formula>$D$59</formula>
    </cfRule>
  </conditionalFormatting>
  <conditionalFormatting sqref="D204:D205">
    <cfRule type="expression" priority="167" dxfId="21" stopIfTrue="1">
      <formula>OR($A204="audio audit", $A204="text audit")</formula>
    </cfRule>
    <cfRule type="expression" priority="168" dxfId="22" stopIfTrue="1">
      <formula>OR($A204="username", $A204="phonenumber", $A204="start", $A204="end", $A204="deviceid", $A204="subscriberid", $A204="simserial")</formula>
    </cfRule>
    <cfRule type="expression" priority="169" dxfId="23" stopIfTrue="1">
      <formula>OR(AND(LEFT($A204, 16)="select_multiple ", LEN($A204)&gt;16, NOT(ISNUMBER(SEARCH(" ", $A204, 17)))), AND(LEFT($A204, 11)="select_one ", LEN($A204)&gt;11, NOT(ISNUMBER(SEARCH(" ", $A204, 12)))))</formula>
    </cfRule>
    <cfRule type="expression" priority="170" dxfId="24" stopIfTrue="1">
      <formula>OR(AND(LEFT($A204, 16)="select_multiple ", LEN($A204)&gt;16, NOT(ISNUMBER(SEARCH(" ", $A204, 17)))), AND(LEFT($A204, 11)="select_one ", LEN($A204)&gt;11, NOT(ISNUMBER(SEARCH(" ", $A204, 12)))))</formula>
    </cfRule>
    <cfRule type="expression" priority="171" dxfId="25" stopIfTrue="1">
      <formula>$A204="decimal"</formula>
    </cfRule>
    <cfRule type="expression" priority="172" dxfId="9" stopIfTrue="1">
      <formula>$A204="decimal"</formula>
    </cfRule>
    <cfRule type="expression" priority="173" dxfId="26" stopIfTrue="1">
      <formula>$A204="integer"</formula>
    </cfRule>
    <cfRule type="expression" priority="174" dxfId="27" stopIfTrue="1">
      <formula>$A204="integer"</formula>
    </cfRule>
    <cfRule type="expression" priority="175" dxfId="28" stopIfTrue="1">
      <formula>$A204="text"</formula>
    </cfRule>
    <cfRule type="expression" priority="165" dxfId="19" stopIfTrue="1">
      <formula>$A204="geopoint"</formula>
    </cfRule>
    <cfRule type="expression" priority="177" dxfId="30" stopIfTrue="1">
      <formula>$A204="end repeat"</formula>
    </cfRule>
    <cfRule type="expression" priority="178" dxfId="31" stopIfTrue="1">
      <formula>$A204="begin repeat"</formula>
    </cfRule>
    <cfRule type="expression" priority="179" dxfId="30" stopIfTrue="1">
      <formula>$A204="begin repeat"</formula>
    </cfRule>
    <cfRule type="expression" priority="180" dxfId="5" stopIfTrue="1">
      <formula>$A204="end group"</formula>
    </cfRule>
    <cfRule type="expression" priority="181" dxfId="4" stopIfTrue="1">
      <formula>$A204="begin group"</formula>
    </cfRule>
    <cfRule type="expression" priority="182" dxfId="5" stopIfTrue="1">
      <formula>$A204="begin group"</formula>
    </cfRule>
    <cfRule type="expression" priority="166" dxfId="20" stopIfTrue="1">
      <formula>$A204="geopoint"</formula>
    </cfRule>
    <cfRule type="expression" priority="155" dxfId="11" stopIfTrue="1">
      <formula>OR($A204="audio", $A204="video")</formula>
    </cfRule>
    <cfRule type="expression" priority="154" dxfId="10" stopIfTrue="1">
      <formula>OR($A204="audio", $A204="video")</formula>
    </cfRule>
    <cfRule type="expression" priority="156" dxfId="7" stopIfTrue="1">
      <formula>$A204="image"</formula>
    </cfRule>
    <cfRule type="expression" priority="157" dxfId="12" stopIfTrue="1">
      <formula>$A204="image"</formula>
    </cfRule>
    <cfRule type="expression" priority="158" dxfId="13" stopIfTrue="1">
      <formula>OR($A204="date", $A204="datetime")</formula>
    </cfRule>
    <cfRule type="expression" priority="159" dxfId="14" stopIfTrue="1">
      <formula>OR($A204="date", $A204="datetime")</formula>
    </cfRule>
    <cfRule type="expression" priority="160" dxfId="6" stopIfTrue="1">
      <formula>OR($A204="calculate", $A204="calculate_here")</formula>
    </cfRule>
    <cfRule type="expression" priority="161" dxfId="15" stopIfTrue="1">
      <formula>$A204="note"</formula>
    </cfRule>
    <cfRule type="expression" priority="162" dxfId="16" stopIfTrue="1">
      <formula>$A204="note"</formula>
    </cfRule>
    <cfRule type="expression" priority="163" dxfId="17" stopIfTrue="1">
      <formula>$A204="barcode"</formula>
    </cfRule>
    <cfRule type="expression" priority="176" dxfId="29" stopIfTrue="1">
      <formula>$A204="text"</formula>
    </cfRule>
    <cfRule type="expression" priority="164" dxfId="18" stopIfTrue="1">
      <formula>$A204="barcode"</formula>
    </cfRule>
  </conditionalFormatting>
  <conditionalFormatting sqref="F25">
    <cfRule type="expression" priority="107" dxfId="19" stopIfTrue="1">
      <formula>$A25="geopoint"</formula>
    </cfRule>
    <cfRule type="expression" priority="100" dxfId="13" stopIfTrue="1">
      <formula>OR($A25="date", $A25="datetime")</formula>
    </cfRule>
    <cfRule type="expression" priority="105" dxfId="17" stopIfTrue="1">
      <formula>$A25="barcode"</formula>
    </cfRule>
    <cfRule type="expression" priority="104" dxfId="16" stopIfTrue="1">
      <formula>$A25="note"</formula>
    </cfRule>
    <cfRule type="expression" priority="124" dxfId="5" stopIfTrue="1">
      <formula>$A25="begin group"</formula>
    </cfRule>
    <cfRule type="expression" priority="103" dxfId="15" stopIfTrue="1">
      <formula>$A25="note"</formula>
    </cfRule>
    <cfRule type="expression" priority="102" dxfId="6" stopIfTrue="1">
      <formula>OR($A25="calculate", $A25="calculate_here")</formula>
    </cfRule>
    <cfRule type="expression" priority="120" dxfId="31" stopIfTrue="1">
      <formula>$A25="begin repeat"</formula>
    </cfRule>
    <cfRule type="expression" priority="101" dxfId="14" stopIfTrue="1">
      <formula>OR($A25="date", $A25="datetime")</formula>
    </cfRule>
    <cfRule type="expression" priority="99" dxfId="12" stopIfTrue="1">
      <formula>$A25="image"</formula>
    </cfRule>
    <cfRule type="expression" priority="98" dxfId="7" stopIfTrue="1">
      <formula>$A25="image"</formula>
    </cfRule>
    <cfRule type="expression" priority="97" dxfId="11" stopIfTrue="1">
      <formula>OR($A25="audio", $A25="video")</formula>
    </cfRule>
    <cfRule type="expression" priority="96" dxfId="10" stopIfTrue="1">
      <formula>OR($A25="audio", $A25="video")</formula>
    </cfRule>
    <cfRule type="expression" priority="115" dxfId="26" stopIfTrue="1">
      <formula>$A25="integer"</formula>
    </cfRule>
    <cfRule type="expression" priority="119" dxfId="30" stopIfTrue="1">
      <formula>$A25="end repeat"</formula>
    </cfRule>
    <cfRule type="expression" priority="110" dxfId="22" stopIfTrue="1">
      <formula>OR($A25="username", $A25="phonenumber", $A25="start", $A25="end", $A25="deviceid", $A25="subscriberid", $A25="simserial")</formula>
    </cfRule>
    <cfRule type="expression" priority="118" dxfId="29" stopIfTrue="1">
      <formula>$A25="text"</formula>
    </cfRule>
    <cfRule type="expression" priority="117" dxfId="28" stopIfTrue="1">
      <formula>$A25="text"</formula>
    </cfRule>
    <cfRule type="expression" priority="116" dxfId="27" stopIfTrue="1">
      <formula>$A25="integer"</formula>
    </cfRule>
    <cfRule type="expression" priority="121" dxfId="30" stopIfTrue="1">
      <formula>$A25="begin repeat"</formula>
    </cfRule>
    <cfRule type="expression" priority="114" dxfId="9" stopIfTrue="1">
      <formula>$A25="decimal"</formula>
    </cfRule>
    <cfRule type="expression" priority="113" dxfId="25" stopIfTrue="1">
      <formula>$A25="decimal"</formula>
    </cfRule>
    <cfRule type="expression" priority="112" dxfId="24" stopIfTrue="1">
      <formula>OR(AND(LEFT($A25, 16)="select_multiple ", LEN($A25)&gt;16, NOT(ISNUMBER(SEARCH(" ", $A25, 17)))), AND(LEFT($A25, 11)="select_one ", LEN($A25)&gt;11, NOT(ISNUMBER(SEARCH(" ", $A25, 12)))))</formula>
    </cfRule>
    <cfRule type="expression" priority="106" dxfId="18" stopIfTrue="1">
      <formula>$A25="barcode"</formula>
    </cfRule>
    <cfRule type="expression" priority="111" dxfId="23" stopIfTrue="1">
      <formula>OR(AND(LEFT($A25, 16)="select_multiple ", LEN($A25)&gt;16, NOT(ISNUMBER(SEARCH(" ", $A25, 17)))), AND(LEFT($A25, 11)="select_one ", LEN($A25)&gt;11, NOT(ISNUMBER(SEARCH(" ", $A25, 12)))))</formula>
    </cfRule>
    <cfRule type="expression" priority="109" dxfId="21" stopIfTrue="1">
      <formula>OR($A25="audio audit", $A25="text audit")</formula>
    </cfRule>
    <cfRule type="expression" priority="123" dxfId="4" stopIfTrue="1">
      <formula>$A25="begin group"</formula>
    </cfRule>
    <cfRule type="expression" priority="122" dxfId="5" stopIfTrue="1">
      <formula>$A25="end group"</formula>
    </cfRule>
    <cfRule type="expression" priority="108" dxfId="20" stopIfTrue="1">
      <formula>$A25="geopoint"</formula>
    </cfRule>
  </conditionalFormatting>
  <conditionalFormatting sqref="F28">
    <cfRule type="expression" priority="150" dxfId="30" stopIfTrue="1">
      <formula>$A28="begin repeat"</formula>
    </cfRule>
    <cfRule type="expression" priority="149" dxfId="31" stopIfTrue="1">
      <formula>$A28="begin repeat"</formula>
    </cfRule>
    <cfRule type="expression" priority="148" dxfId="30" stopIfTrue="1">
      <formula>$A28="end repeat"</formula>
    </cfRule>
    <cfRule type="expression" priority="147" dxfId="29" stopIfTrue="1">
      <formula>$A28="text"</formula>
    </cfRule>
    <cfRule type="expression" priority="146" dxfId="28" stopIfTrue="1">
      <formula>$A28="text"</formula>
    </cfRule>
    <cfRule type="expression" priority="145" dxfId="27" stopIfTrue="1">
      <formula>$A28="integer"</formula>
    </cfRule>
    <cfRule type="expression" priority="144" dxfId="26" stopIfTrue="1">
      <formula>$A28="integer"</formula>
    </cfRule>
    <cfRule type="expression" priority="142" dxfId="25" stopIfTrue="1">
      <formula>$A28="decimal"</formula>
    </cfRule>
    <cfRule type="expression" priority="141" dxfId="24" stopIfTrue="1">
      <formula>OR(AND(LEFT($A28, 16)="select_multiple ", LEN($A28)&gt;16, NOT(ISNUMBER(SEARCH(" ", $A28, 17)))), AND(LEFT($A28, 11)="select_one ", LEN($A28)&gt;11, NOT(ISNUMBER(SEARCH(" ", $A28, 12)))))</formula>
    </cfRule>
    <cfRule type="expression" priority="140" dxfId="23" stopIfTrue="1">
      <formula>OR(AND(LEFT($A28, 16)="select_multiple ", LEN($A28)&gt;16, NOT(ISNUMBER(SEARCH(" ", $A28, 17)))), AND(LEFT($A28, 11)="select_one ", LEN($A28)&gt;11, NOT(ISNUMBER(SEARCH(" ", $A28, 12)))))</formula>
    </cfRule>
    <cfRule type="expression" priority="139" dxfId="22" stopIfTrue="1">
      <formula>OR($A28="username", $A28="phonenumber", $A28="start", $A28="end", $A28="deviceid", $A28="subscriberid", $A28="simserial")</formula>
    </cfRule>
    <cfRule type="expression" priority="138" dxfId="21" stopIfTrue="1">
      <formula>OR($A28="audio audit", $A28="text audit")</formula>
    </cfRule>
    <cfRule type="expression" priority="137" dxfId="20" stopIfTrue="1">
      <formula>$A28="geopoint"</formula>
    </cfRule>
    <cfRule type="expression" priority="136" dxfId="19" stopIfTrue="1">
      <formula>$A28="geopoint"</formula>
    </cfRule>
    <cfRule type="expression" priority="135" dxfId="18" stopIfTrue="1">
      <formula>$A28="barcode"</formula>
    </cfRule>
    <cfRule type="expression" priority="134" dxfId="17" stopIfTrue="1">
      <formula>$A28="barcode"</formula>
    </cfRule>
    <cfRule type="expression" priority="133" dxfId="16" stopIfTrue="1">
      <formula>$A28="note"</formula>
    </cfRule>
    <cfRule type="expression" priority="132" dxfId="15" stopIfTrue="1">
      <formula>$A28="note"</formula>
    </cfRule>
    <cfRule type="expression" priority="130" dxfId="14" stopIfTrue="1">
      <formula>OR($A28="date", $A28="datetime")</formula>
    </cfRule>
    <cfRule type="expression" priority="129" dxfId="13" stopIfTrue="1">
      <formula>OR($A28="date", $A28="datetime")</formula>
    </cfRule>
    <cfRule type="expression" priority="128" dxfId="12" stopIfTrue="1">
      <formula>$A28="image"</formula>
    </cfRule>
    <cfRule type="expression" priority="126" dxfId="11" stopIfTrue="1">
      <formula>OR($A28="audio", $A28="video")</formula>
    </cfRule>
    <cfRule type="expression" priority="125" dxfId="10" stopIfTrue="1">
      <formula>OR($A28="audio", $A28="video")</formula>
    </cfRule>
    <cfRule type="expression" priority="143" dxfId="9" stopIfTrue="1">
      <formula>$A28="decimal"</formula>
    </cfRule>
    <cfRule type="expression" priority="151" dxfId="5" stopIfTrue="1">
      <formula>$A28="end group"</formula>
    </cfRule>
    <cfRule type="expression" priority="127" dxfId="7" stopIfTrue="1">
      <formula>$A28="image"</formula>
    </cfRule>
    <cfRule type="expression" priority="131" dxfId="6" stopIfTrue="1">
      <formula>OR($A28="calculate", $A28="calculate_here")</formula>
    </cfRule>
    <cfRule type="expression" priority="153" dxfId="5" stopIfTrue="1">
      <formula>$A28="begin group"</formula>
    </cfRule>
    <cfRule type="expression" priority="152" dxfId="4" stopIfTrue="1">
      <formula>$A28="begin group"</formula>
    </cfRule>
  </conditionalFormatting>
  <conditionalFormatting sqref="L70">
    <cfRule type="duplicateValues" priority="10" dxfId="0"/>
  </conditionalFormatting>
  <conditionalFormatting sqref="L102">
    <cfRule type="duplicateValues" priority="9" dxfId="0"/>
  </conditionalFormatting>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124" min="4" max="4"/>
    <col width="10.453125" customWidth="1" style="124" min="5" max="5"/>
    <col width="41.453125" customWidth="1" style="1" min="6" max="6"/>
    <col width="46.453125" customWidth="1" style="161" min="7" max="7"/>
    <col width="10.453125" customWidth="1" style="1" min="8" max="12"/>
    <col width="10.453125" customWidth="1" style="1" min="13" max="16384"/>
  </cols>
  <sheetData>
    <row r="2">
      <c r="C2" s="4" t="n"/>
      <c r="D2" s="122" t="n"/>
      <c r="E2" s="122" t="n"/>
      <c r="F2" s="5" t="n"/>
      <c r="G2" s="159" t="n"/>
    </row>
    <row r="3" ht="28.75" customHeight="1">
      <c r="B3" s="3" t="n"/>
      <c r="C3" s="468" t="inlineStr">
        <is>
          <t xml:space="preserve">Select top 10 crops </t>
        </is>
      </c>
      <c r="D3" s="469" t="inlineStr">
        <is>
          <t>GeoPoll code</t>
        </is>
      </c>
      <c r="E3" s="469" t="inlineStr">
        <is>
          <t>Dataset code</t>
        </is>
      </c>
      <c r="F3" s="469" t="inlineStr">
        <is>
          <t>Label (EN)</t>
        </is>
      </c>
      <c r="G3" s="468" t="inlineStr">
        <is>
          <t>Label (AR)</t>
        </is>
      </c>
    </row>
    <row r="4" ht="15.65" customHeight="1">
      <c r="B4" s="3" t="n"/>
      <c r="C4" s="470" t="n"/>
      <c r="D4" s="471">
        <f t="array" ref="D4:D93">_xlfn.SEQUENCE(90,1,1,1)</f>
        <v/>
      </c>
      <c r="E4" s="472" t="inlineStr">
        <is>
          <t>1.1</t>
        </is>
      </c>
      <c r="F4" s="471" t="inlineStr">
        <is>
          <t>Rice</t>
        </is>
      </c>
      <c r="G4" s="473" t="inlineStr">
        <is>
          <t>الرز</t>
        </is>
      </c>
    </row>
    <row r="5" ht="15.65" customHeight="1">
      <c r="B5" s="3" t="n"/>
      <c r="C5" s="470" t="inlineStr">
        <is>
          <t>x</t>
        </is>
      </c>
      <c r="D5" s="471" t="n">
        <v>2</v>
      </c>
      <c r="E5" s="472" t="inlineStr">
        <is>
          <t>1.2</t>
        </is>
      </c>
      <c r="F5" s="471" t="inlineStr">
        <is>
          <t>Wheat</t>
        </is>
      </c>
      <c r="G5" s="162" t="inlineStr">
        <is>
          <t>القمح</t>
        </is>
      </c>
    </row>
    <row r="6" ht="15.65" customHeight="1">
      <c r="B6" s="3" t="n"/>
      <c r="C6" s="470" t="inlineStr">
        <is>
          <t>x</t>
        </is>
      </c>
      <c r="D6" s="471" t="n">
        <v>3</v>
      </c>
      <c r="E6" s="472" t="inlineStr">
        <is>
          <t>1.3</t>
        </is>
      </c>
      <c r="F6" s="471" t="inlineStr">
        <is>
          <t>Millet</t>
        </is>
      </c>
      <c r="G6" s="162" t="inlineStr">
        <is>
          <t>الدخن</t>
        </is>
      </c>
    </row>
    <row r="7" ht="15.65" customHeight="1">
      <c r="B7" s="3" t="n"/>
      <c r="C7" s="470" t="inlineStr">
        <is>
          <t>x</t>
        </is>
      </c>
      <c r="D7" s="471" t="n">
        <v>4</v>
      </c>
      <c r="E7" s="472" t="inlineStr">
        <is>
          <t>1.4</t>
        </is>
      </c>
      <c r="F7" s="471" t="inlineStr">
        <is>
          <t>Sorghum</t>
        </is>
      </c>
      <c r="G7" s="162" t="inlineStr">
        <is>
          <t>الذرة الرفيعة</t>
        </is>
      </c>
    </row>
    <row r="8" ht="15.65" customHeight="1">
      <c r="B8" s="3" t="n"/>
      <c r="C8" s="470" t="n"/>
      <c r="D8" s="471" t="n">
        <v>5</v>
      </c>
      <c r="E8" s="472" t="inlineStr">
        <is>
          <t>1.5</t>
        </is>
      </c>
      <c r="F8" s="471" t="inlineStr">
        <is>
          <t>Maize</t>
        </is>
      </c>
      <c r="G8" s="162" t="inlineStr">
        <is>
          <t>الذرة</t>
        </is>
      </c>
    </row>
    <row r="9" ht="15.65" customHeight="1">
      <c r="B9" s="3" t="n"/>
      <c r="C9" s="470" t="n"/>
      <c r="D9" s="471" t="n">
        <v>6</v>
      </c>
      <c r="E9" s="472" t="inlineStr">
        <is>
          <t>1.6</t>
        </is>
      </c>
      <c r="F9" s="471" t="inlineStr">
        <is>
          <t>Barley</t>
        </is>
      </c>
      <c r="G9" s="162" t="inlineStr">
        <is>
          <t>الشعير</t>
        </is>
      </c>
    </row>
    <row r="10" ht="15.65" customHeight="1">
      <c r="B10" s="3" t="n"/>
      <c r="C10" s="474" t="n"/>
      <c r="D10" s="471" t="n">
        <v>7</v>
      </c>
      <c r="E10" s="472" t="inlineStr">
        <is>
          <t>1.99</t>
        </is>
      </c>
      <c r="F10" s="475" t="inlineStr">
        <is>
          <t>Other Cereal</t>
        </is>
      </c>
      <c r="G10" s="163" t="inlineStr">
        <is>
          <t>الحبوب الأخرى</t>
        </is>
      </c>
    </row>
    <row r="11" ht="15.65" customHeight="1">
      <c r="B11" s="3" t="n"/>
      <c r="C11" s="470" t="n"/>
      <c r="D11" s="471" t="n">
        <v>8</v>
      </c>
      <c r="E11" s="472" t="inlineStr">
        <is>
          <t>2.1</t>
        </is>
      </c>
      <c r="F11" s="471" t="inlineStr">
        <is>
          <t>Cassava</t>
        </is>
      </c>
      <c r="G11" s="162" t="inlineStr">
        <is>
          <t>الكسافا</t>
        </is>
      </c>
    </row>
    <row r="12" ht="15.65" customHeight="1">
      <c r="B12" s="3" t="n"/>
      <c r="C12" s="470" t="inlineStr">
        <is>
          <t>x</t>
        </is>
      </c>
      <c r="D12" s="471" t="n">
        <v>9</v>
      </c>
      <c r="E12" s="472" t="inlineStr">
        <is>
          <t>2.2</t>
        </is>
      </c>
      <c r="F12" s="471" t="inlineStr">
        <is>
          <t>Potatoe</t>
        </is>
      </c>
      <c r="G12" s="162" t="inlineStr">
        <is>
          <t>البطاطا</t>
        </is>
      </c>
    </row>
    <row r="13" ht="15.65" customHeight="1">
      <c r="B13" s="3" t="n"/>
      <c r="C13" s="470" t="n"/>
      <c r="D13" s="471" t="n">
        <v>10</v>
      </c>
      <c r="E13" s="472" t="inlineStr">
        <is>
          <t>2.3</t>
        </is>
      </c>
      <c r="F13" s="471" t="inlineStr">
        <is>
          <t>Sweet Potatoes</t>
        </is>
      </c>
      <c r="G13" s="162" t="inlineStr">
        <is>
          <t>البطاطا الحلوة</t>
        </is>
      </c>
    </row>
    <row r="14" ht="15.65" customHeight="1">
      <c r="B14" s="3" t="n"/>
      <c r="C14" s="470" t="n"/>
      <c r="D14" s="471" t="n">
        <v>11</v>
      </c>
      <c r="E14" s="472" t="inlineStr">
        <is>
          <t>2.4</t>
        </is>
      </c>
      <c r="F14" s="471" t="inlineStr">
        <is>
          <t>Yams</t>
        </is>
      </c>
      <c r="G14" s="162" t="inlineStr">
        <is>
          <t>اليام</t>
        </is>
      </c>
    </row>
    <row r="15" ht="15.65" customHeight="1">
      <c r="B15" s="3" t="n"/>
      <c r="C15" s="470" t="n"/>
      <c r="D15" s="471" t="n">
        <v>12</v>
      </c>
      <c r="E15" s="472" t="inlineStr">
        <is>
          <t>2.5</t>
        </is>
      </c>
      <c r="F15" s="471" t="inlineStr">
        <is>
          <t>Carrots</t>
        </is>
      </c>
      <c r="G15" s="162" t="inlineStr">
        <is>
          <t>الجزر</t>
        </is>
      </c>
    </row>
    <row r="16" ht="15.65" customHeight="1">
      <c r="B16" s="3" t="n"/>
      <c r="C16" s="470" t="n"/>
      <c r="D16" s="471" t="n">
        <v>13</v>
      </c>
      <c r="E16" s="472" t="inlineStr">
        <is>
          <t>2.6</t>
        </is>
      </c>
      <c r="F16" s="471" t="inlineStr">
        <is>
          <t>Cocoyam</t>
        </is>
      </c>
      <c r="G16" s="162" t="inlineStr">
        <is>
          <t>القلقاس</t>
        </is>
      </c>
    </row>
    <row r="17" ht="15.65" customHeight="1">
      <c r="B17" s="3" t="n"/>
      <c r="C17" s="474" t="n"/>
      <c r="D17" s="471" t="n">
        <v>14</v>
      </c>
      <c r="E17" s="472" t="inlineStr">
        <is>
          <t>2.99</t>
        </is>
      </c>
      <c r="F17" s="475" t="inlineStr">
        <is>
          <t>Other tubers</t>
        </is>
      </c>
      <c r="G17" s="163" t="inlineStr">
        <is>
          <t>الدرنات الأخرى</t>
        </is>
      </c>
    </row>
    <row r="18" ht="15.65" customHeight="1">
      <c r="B18" s="3" t="n"/>
      <c r="C18" s="470" t="n"/>
      <c r="D18" s="471" t="n">
        <v>15</v>
      </c>
      <c r="E18" s="472" t="inlineStr">
        <is>
          <t>3.1</t>
        </is>
      </c>
      <c r="F18" s="471" t="inlineStr">
        <is>
          <t>Beans</t>
        </is>
      </c>
      <c r="G18" s="162" t="inlineStr">
        <is>
          <t>الفاصوليا</t>
        </is>
      </c>
    </row>
    <row r="19" ht="15.65" customHeight="1">
      <c r="B19" s="3" t="n"/>
      <c r="C19" s="470" t="inlineStr">
        <is>
          <t>x</t>
        </is>
      </c>
      <c r="D19" s="471" t="n">
        <v>16</v>
      </c>
      <c r="E19" s="472" t="inlineStr">
        <is>
          <t>3.2</t>
        </is>
      </c>
      <c r="F19" s="471" t="inlineStr">
        <is>
          <t>Lentils</t>
        </is>
      </c>
      <c r="G19" s="162" t="inlineStr">
        <is>
          <t>العدس</t>
        </is>
      </c>
    </row>
    <row r="20" ht="15.65" customHeight="1">
      <c r="B20" s="3" t="n"/>
      <c r="C20" s="470" t="n"/>
      <c r="D20" s="471" t="n">
        <v>17</v>
      </c>
      <c r="E20" s="472" t="inlineStr">
        <is>
          <t>3.3</t>
        </is>
      </c>
      <c r="F20" s="471" t="inlineStr">
        <is>
          <t>Peas</t>
        </is>
      </c>
      <c r="G20" s="162" t="inlineStr">
        <is>
          <t>البازيلاء</t>
        </is>
      </c>
    </row>
    <row r="21" ht="15.65" customHeight="1">
      <c r="B21" s="3" t="n"/>
      <c r="C21" s="470" t="n"/>
      <c r="D21" s="471" t="n">
        <v>18</v>
      </c>
      <c r="E21" s="472" t="inlineStr">
        <is>
          <t>3.4</t>
        </is>
      </c>
      <c r="F21" s="471" t="inlineStr">
        <is>
          <t>Soybeans</t>
        </is>
      </c>
      <c r="G21" s="162" t="inlineStr">
        <is>
          <t>فول الصويا</t>
        </is>
      </c>
    </row>
    <row r="22" ht="15.65" customHeight="1">
      <c r="B22" s="3" t="n"/>
      <c r="C22" s="470" t="n"/>
      <c r="D22" s="471" t="n">
        <v>19</v>
      </c>
      <c r="E22" s="472" t="inlineStr">
        <is>
          <t>3.5</t>
        </is>
      </c>
      <c r="F22" s="471" t="inlineStr">
        <is>
          <t>Chickpeas</t>
        </is>
      </c>
      <c r="G22" s="162" t="inlineStr">
        <is>
          <t>الحمص</t>
        </is>
      </c>
    </row>
    <row r="23" ht="15.65" customHeight="1">
      <c r="B23" s="3" t="n"/>
      <c r="C23" s="470" t="n"/>
      <c r="D23" s="471" t="n">
        <v>20</v>
      </c>
      <c r="E23" s="472" t="inlineStr">
        <is>
          <t>3.6</t>
        </is>
      </c>
      <c r="F23" s="471" t="inlineStr">
        <is>
          <t>Fava beans</t>
        </is>
      </c>
      <c r="G23" s="162" t="inlineStr">
        <is>
          <t>الفول</t>
        </is>
      </c>
    </row>
    <row r="24" ht="15.65" customHeight="1">
      <c r="B24" s="3" t="n"/>
      <c r="C24" s="470" t="n"/>
      <c r="D24" s="471" t="n">
        <v>21</v>
      </c>
      <c r="E24" s="472" t="inlineStr">
        <is>
          <t>3.7</t>
        </is>
      </c>
      <c r="F24" s="471" t="inlineStr">
        <is>
          <t>Broad beans</t>
        </is>
      </c>
      <c r="G24" s="162" t="inlineStr">
        <is>
          <t>الفاصوليا العريضة</t>
        </is>
      </c>
    </row>
    <row r="25" ht="15.65" customHeight="1">
      <c r="B25" s="3" t="n"/>
      <c r="C25" s="474" t="n"/>
      <c r="D25" s="471" t="n">
        <v>22</v>
      </c>
      <c r="E25" s="472" t="inlineStr">
        <is>
          <t>3.99</t>
        </is>
      </c>
      <c r="F25" s="475" t="inlineStr">
        <is>
          <t>Other pulses</t>
        </is>
      </c>
      <c r="G25" s="163" t="inlineStr">
        <is>
          <t>البقول الاخرى</t>
        </is>
      </c>
    </row>
    <row r="26" ht="15.65" customHeight="1">
      <c r="B26" s="3" t="n"/>
      <c r="C26" s="470" t="n"/>
      <c r="D26" s="471" t="n">
        <v>23</v>
      </c>
      <c r="E26" s="472" t="inlineStr">
        <is>
          <t>4.1</t>
        </is>
      </c>
      <c r="F26" s="471" t="inlineStr">
        <is>
          <t>Cabbage</t>
        </is>
      </c>
      <c r="G26" s="162" t="inlineStr">
        <is>
          <t>الملفوف</t>
        </is>
      </c>
    </row>
    <row r="27" ht="15.65" customHeight="1">
      <c r="B27" s="3" t="n"/>
      <c r="C27" s="470" t="n"/>
      <c r="D27" s="471" t="n">
        <v>24</v>
      </c>
      <c r="E27" s="472" t="inlineStr">
        <is>
          <t>4.2</t>
        </is>
      </c>
      <c r="F27" s="471" t="inlineStr">
        <is>
          <t>Lettuce</t>
        </is>
      </c>
      <c r="G27" s="162" t="inlineStr">
        <is>
          <t>الخس</t>
        </is>
      </c>
    </row>
    <row r="28" ht="15.65" customHeight="1">
      <c r="B28" s="3" t="n"/>
      <c r="C28" s="470" t="n"/>
      <c r="D28" s="471" t="n">
        <v>25</v>
      </c>
      <c r="E28" s="472" t="inlineStr">
        <is>
          <t>4.3</t>
        </is>
      </c>
      <c r="F28" s="471" t="inlineStr">
        <is>
          <t>Spinach-Amaranth</t>
        </is>
      </c>
      <c r="G28" s="162" t="inlineStr">
        <is>
          <t>السبانخ - القطيفة</t>
        </is>
      </c>
    </row>
    <row r="29" ht="15.65" customHeight="1">
      <c r="B29" s="3" t="n"/>
      <c r="C29" s="470" t="n"/>
      <c r="D29" s="471" t="n">
        <v>26</v>
      </c>
      <c r="E29" s="472" t="inlineStr">
        <is>
          <t>4.4</t>
        </is>
      </c>
      <c r="F29" s="471" t="inlineStr">
        <is>
          <t>Cassava leaves</t>
        </is>
      </c>
      <c r="G29" s="162" t="inlineStr">
        <is>
          <t>أوراق الكسافا</t>
        </is>
      </c>
    </row>
    <row r="30" ht="15.65" customHeight="1">
      <c r="B30" s="3" t="n"/>
      <c r="C30" s="470" t="n"/>
      <c r="D30" s="471" t="n">
        <v>27</v>
      </c>
      <c r="E30" s="472" t="inlineStr">
        <is>
          <t>4.5</t>
        </is>
      </c>
      <c r="F30" s="471" t="inlineStr">
        <is>
          <t>Potatoe leaves</t>
        </is>
      </c>
      <c r="G30" s="162" t="inlineStr">
        <is>
          <t>أوراق البطاطا</t>
        </is>
      </c>
    </row>
    <row r="31" ht="15.65" customHeight="1">
      <c r="B31" s="3" t="n"/>
      <c r="C31" s="470" t="n"/>
      <c r="D31" s="471" t="n">
        <v>28</v>
      </c>
      <c r="E31" s="472" t="inlineStr">
        <is>
          <t>4.6</t>
        </is>
      </c>
      <c r="F31" s="471" t="inlineStr">
        <is>
          <t>Moringa</t>
        </is>
      </c>
      <c r="G31" s="162" t="inlineStr">
        <is>
          <t>المورينجا</t>
        </is>
      </c>
    </row>
    <row r="32" ht="15.65" customHeight="1">
      <c r="B32" s="3" t="n"/>
      <c r="C32" s="470" t="n"/>
      <c r="D32" s="471" t="n">
        <v>29</v>
      </c>
      <c r="E32" s="472" t="inlineStr">
        <is>
          <t>4.7</t>
        </is>
      </c>
      <c r="F32" s="471" t="inlineStr">
        <is>
          <t>Sorrel Hibiscus / Rosselle</t>
        </is>
      </c>
      <c r="G32" s="162" t="inlineStr">
        <is>
          <t>الكركديه</t>
        </is>
      </c>
    </row>
    <row r="33" ht="15.65" customHeight="1">
      <c r="B33" s="3" t="n"/>
      <c r="C33" s="470" t="n"/>
      <c r="D33" s="471" t="n">
        <v>30</v>
      </c>
      <c r="E33" s="472" t="inlineStr">
        <is>
          <t>4.9</t>
        </is>
      </c>
      <c r="F33" s="471" t="inlineStr">
        <is>
          <t>Green salad herbs [thyme, parsley, mint, rocca, other]</t>
        </is>
      </c>
      <c r="G33" s="162" t="inlineStr">
        <is>
          <t>أعشاب السلطة الخضراء [زعتر ، بقدونس ، نعناع ، جرجير ، أنواع أخرى]</t>
        </is>
      </c>
    </row>
    <row r="34" ht="15.65" customHeight="1">
      <c r="B34" s="3" t="n"/>
      <c r="C34" s="470" t="n"/>
      <c r="D34" s="471" t="n">
        <v>31</v>
      </c>
      <c r="E34" s="472" t="inlineStr">
        <is>
          <t>4.101</t>
        </is>
      </c>
      <c r="F34" s="471" t="inlineStr">
        <is>
          <t>Cauliflower</t>
        </is>
      </c>
      <c r="G34" s="162" t="inlineStr">
        <is>
          <t>القرنبيط</t>
        </is>
      </c>
    </row>
    <row r="35" ht="15.65" customHeight="1">
      <c r="B35" s="3" t="n"/>
      <c r="C35" s="474" t="n"/>
      <c r="D35" s="471" t="n">
        <v>32</v>
      </c>
      <c r="E35" s="472" t="inlineStr">
        <is>
          <t>4.99</t>
        </is>
      </c>
      <c r="F35" s="475" t="inlineStr">
        <is>
          <t>Other leafy vegetables</t>
        </is>
      </c>
      <c r="G35" s="163" t="inlineStr">
        <is>
          <t>الخضار الورقية الأخرى</t>
        </is>
      </c>
    </row>
    <row r="36" ht="15.65" customHeight="1">
      <c r="B36" s="3" t="n"/>
      <c r="C36" s="470" t="inlineStr">
        <is>
          <t>x</t>
        </is>
      </c>
      <c r="D36" s="471" t="n">
        <v>33</v>
      </c>
      <c r="E36" s="472" t="inlineStr">
        <is>
          <t>5.1</t>
        </is>
      </c>
      <c r="F36" s="471" t="inlineStr">
        <is>
          <t>Tomatoes</t>
        </is>
      </c>
      <c r="G36" s="162" t="inlineStr">
        <is>
          <t>الطماطم</t>
        </is>
      </c>
    </row>
    <row r="37" ht="15.65" customHeight="1">
      <c r="B37" s="3" t="n"/>
      <c r="C37" s="470" t="n"/>
      <c r="D37" s="471" t="n">
        <v>34</v>
      </c>
      <c r="E37" s="472" t="inlineStr">
        <is>
          <t>5.2</t>
        </is>
      </c>
      <c r="F37" s="471" t="inlineStr">
        <is>
          <t>Cucumber</t>
        </is>
      </c>
      <c r="G37" s="162" t="inlineStr">
        <is>
          <t>الخيار</t>
        </is>
      </c>
    </row>
    <row r="38" ht="15.65" customHeight="1">
      <c r="B38" s="3" t="n"/>
      <c r="C38" s="470" t="n"/>
      <c r="D38" s="471" t="n">
        <v>35</v>
      </c>
      <c r="E38" s="472" t="inlineStr">
        <is>
          <t>5.3</t>
        </is>
      </c>
      <c r="F38" s="471" t="inlineStr">
        <is>
          <t>Pumpkin</t>
        </is>
      </c>
      <c r="G38" s="162" t="inlineStr">
        <is>
          <t>اليقطين</t>
        </is>
      </c>
    </row>
    <row r="39" ht="15.65" customHeight="1">
      <c r="B39" s="3" t="n"/>
      <c r="C39" s="470" t="n"/>
      <c r="D39" s="471" t="n">
        <v>36</v>
      </c>
      <c r="E39" s="472" t="inlineStr">
        <is>
          <t>5.4</t>
        </is>
      </c>
      <c r="F39" s="471" t="inlineStr">
        <is>
          <t>Eggplant/aubergine</t>
        </is>
      </c>
      <c r="G39" s="162" t="inlineStr">
        <is>
          <t>الباذنجان</t>
        </is>
      </c>
    </row>
    <row r="40" ht="15.65" customHeight="1">
      <c r="B40" s="3" t="n"/>
      <c r="C40" s="470" t="n"/>
      <c r="D40" s="471" t="n">
        <v>37</v>
      </c>
      <c r="E40" s="472" t="inlineStr">
        <is>
          <t>5.5</t>
        </is>
      </c>
      <c r="F40" s="471" t="inlineStr">
        <is>
          <t>Zucchini</t>
        </is>
      </c>
      <c r="G40" s="162" t="inlineStr">
        <is>
          <t>الكوسة</t>
        </is>
      </c>
    </row>
    <row r="41" ht="15.65" customHeight="1">
      <c r="B41" s="3" t="n"/>
      <c r="C41" s="470" t="inlineStr">
        <is>
          <t>x</t>
        </is>
      </c>
      <c r="D41" s="471" t="n">
        <v>38</v>
      </c>
      <c r="E41" s="472" t="inlineStr">
        <is>
          <t>5.6</t>
        </is>
      </c>
      <c r="F41" s="471" t="inlineStr">
        <is>
          <t>Okra</t>
        </is>
      </c>
      <c r="G41" s="162" t="inlineStr">
        <is>
          <t>البامية</t>
        </is>
      </c>
    </row>
    <row r="42" ht="15.65" customHeight="1">
      <c r="B42" s="3" t="n"/>
      <c r="C42" s="470" t="n"/>
      <c r="D42" s="471" t="n">
        <v>39</v>
      </c>
      <c r="E42" s="472" t="inlineStr">
        <is>
          <t>5.7</t>
        </is>
      </c>
      <c r="F42" s="471" t="inlineStr">
        <is>
          <t>Bell pepper</t>
        </is>
      </c>
      <c r="G42" s="162" t="inlineStr">
        <is>
          <t>الفلفل حلو</t>
        </is>
      </c>
    </row>
    <row r="43" ht="15.65" customHeight="1">
      <c r="B43" s="3" t="n"/>
      <c r="C43" s="470" t="n"/>
      <c r="D43" s="471" t="n">
        <v>40</v>
      </c>
      <c r="E43" s="472" t="inlineStr">
        <is>
          <t>5.8</t>
        </is>
      </c>
      <c r="F43" s="471" t="inlineStr">
        <is>
          <t>Onions</t>
        </is>
      </c>
      <c r="G43" s="162" t="inlineStr">
        <is>
          <t>بصل</t>
        </is>
      </c>
    </row>
    <row r="44" ht="15.65" customHeight="1">
      <c r="B44" s="3" t="n"/>
      <c r="C44" s="470" t="n"/>
      <c r="D44" s="471" t="n">
        <v>41</v>
      </c>
      <c r="E44" s="472" t="inlineStr">
        <is>
          <t>5.9</t>
        </is>
      </c>
      <c r="F44" s="471" t="inlineStr">
        <is>
          <t>Haricot</t>
        </is>
      </c>
      <c r="G44" s="162" t="inlineStr">
        <is>
          <t>اللوبياء</t>
        </is>
      </c>
    </row>
    <row r="45" ht="15.65" customHeight="1">
      <c r="B45" s="3" t="n"/>
      <c r="C45" s="470" t="n"/>
      <c r="D45" s="471" t="n">
        <v>42</v>
      </c>
      <c r="E45" s="472" t="inlineStr">
        <is>
          <t>5.101</t>
        </is>
      </c>
      <c r="F45" s="471" t="inlineStr">
        <is>
          <t>Green peas</t>
        </is>
      </c>
      <c r="G45" s="162" t="inlineStr">
        <is>
          <t>البازلاء الخضراء</t>
        </is>
      </c>
    </row>
    <row r="46" ht="15.65" customHeight="1">
      <c r="B46" s="3" t="n"/>
      <c r="C46" s="470" t="n"/>
      <c r="D46" s="471" t="n">
        <v>43</v>
      </c>
      <c r="E46" s="472" t="inlineStr">
        <is>
          <t>5.11</t>
        </is>
      </c>
      <c r="F46" s="471" t="inlineStr">
        <is>
          <t>Fava beans green</t>
        </is>
      </c>
      <c r="G46" s="162" t="inlineStr">
        <is>
          <t>الفول الأخضر</t>
        </is>
      </c>
    </row>
    <row r="47" ht="15.65" customHeight="1">
      <c r="B47" s="3" t="n"/>
      <c r="C47" s="474" t="n"/>
      <c r="D47" s="471" t="n">
        <v>44</v>
      </c>
      <c r="E47" s="472" t="inlineStr">
        <is>
          <t>5.99</t>
        </is>
      </c>
      <c r="F47" s="475" t="inlineStr">
        <is>
          <t>Other non leafy vegs</t>
        </is>
      </c>
      <c r="G47" s="163" t="inlineStr">
        <is>
          <t>الخضار غير الورقية الأخرى</t>
        </is>
      </c>
    </row>
    <row r="48" ht="15.65" customHeight="1">
      <c r="B48" s="3" t="n"/>
      <c r="C48" s="470" t="inlineStr">
        <is>
          <t>x</t>
        </is>
      </c>
      <c r="D48" s="471" t="n">
        <v>45</v>
      </c>
      <c r="E48" s="472" t="inlineStr">
        <is>
          <t>6.1</t>
        </is>
      </c>
      <c r="F48" s="471" t="inlineStr">
        <is>
          <t>Orange</t>
        </is>
      </c>
      <c r="G48" s="162" t="inlineStr">
        <is>
          <t>البرتقال</t>
        </is>
      </c>
    </row>
    <row r="49" ht="15.65" customHeight="1">
      <c r="B49" s="3" t="n"/>
      <c r="C49" s="470" t="n"/>
      <c r="D49" s="471" t="n">
        <v>46</v>
      </c>
      <c r="E49" s="472" t="inlineStr">
        <is>
          <t>6.2</t>
        </is>
      </c>
      <c r="F49" s="471" t="inlineStr">
        <is>
          <t>Lemon</t>
        </is>
      </c>
      <c r="G49" s="162" t="inlineStr">
        <is>
          <t>الليمون</t>
        </is>
      </c>
    </row>
    <row r="50" ht="15.65" customHeight="1">
      <c r="B50" s="3" t="n"/>
      <c r="C50" s="470" t="n"/>
      <c r="D50" s="471" t="n">
        <v>47</v>
      </c>
      <c r="E50" s="472" t="inlineStr">
        <is>
          <t>6.3</t>
        </is>
      </c>
      <c r="F50" s="471" t="inlineStr">
        <is>
          <t>Grapefruit</t>
        </is>
      </c>
      <c r="G50" s="162" t="inlineStr">
        <is>
          <t>الجريب فروت</t>
        </is>
      </c>
    </row>
    <row r="51" ht="15.65" customHeight="1">
      <c r="B51" s="3" t="n"/>
      <c r="C51" s="470" t="n"/>
      <c r="D51" s="471" t="n">
        <v>48</v>
      </c>
      <c r="E51" s="472" t="inlineStr">
        <is>
          <t>6.4</t>
        </is>
      </c>
      <c r="F51" s="471" t="inlineStr">
        <is>
          <t>Mandarins/clementines</t>
        </is>
      </c>
      <c r="G51" s="162" t="inlineStr">
        <is>
          <t>اليوسفي / الكليمنتين</t>
        </is>
      </c>
    </row>
    <row r="52" ht="15.65" customHeight="1">
      <c r="B52" s="3" t="n"/>
      <c r="C52" s="474" t="n"/>
      <c r="D52" s="471" t="n">
        <v>49</v>
      </c>
      <c r="E52" s="472" t="inlineStr">
        <is>
          <t>6.99</t>
        </is>
      </c>
      <c r="F52" s="475" t="inlineStr">
        <is>
          <t>Other citrus fruit</t>
        </is>
      </c>
      <c r="G52" s="163" t="inlineStr">
        <is>
          <t>الحمضيات الأخرى</t>
        </is>
      </c>
    </row>
    <row r="53" ht="15.65" customHeight="1">
      <c r="B53" s="3" t="n"/>
      <c r="C53" s="470" t="n"/>
      <c r="D53" s="471" t="n">
        <v>50</v>
      </c>
      <c r="E53" s="472" t="inlineStr">
        <is>
          <t>7.1</t>
        </is>
      </c>
      <c r="F53" s="471" t="inlineStr">
        <is>
          <t>Sweet Banana</t>
        </is>
      </c>
      <c r="G53" s="162" t="inlineStr">
        <is>
          <t>الموز</t>
        </is>
      </c>
    </row>
    <row r="54" ht="15.65" customHeight="1">
      <c r="B54" s="3" t="n"/>
      <c r="C54" s="470" t="n"/>
      <c r="D54" s="471" t="n">
        <v>51</v>
      </c>
      <c r="E54" s="472" t="inlineStr">
        <is>
          <t>7.2</t>
        </is>
      </c>
      <c r="F54" s="471" t="inlineStr">
        <is>
          <t>Plantains</t>
        </is>
      </c>
      <c r="G54" s="162" t="inlineStr">
        <is>
          <t>موز الجنة</t>
        </is>
      </c>
    </row>
    <row r="55" ht="15.65" customHeight="1">
      <c r="B55" s="3" t="n"/>
      <c r="C55" s="470" t="n"/>
      <c r="D55" s="471" t="n">
        <v>52</v>
      </c>
      <c r="E55" s="472" t="inlineStr">
        <is>
          <t>7.3</t>
        </is>
      </c>
      <c r="F55" s="471" t="inlineStr">
        <is>
          <t>Papaya</t>
        </is>
      </c>
      <c r="G55" s="162" t="inlineStr">
        <is>
          <t>البابايا</t>
        </is>
      </c>
    </row>
    <row r="56" ht="15.65" customHeight="1">
      <c r="B56" s="3" t="n"/>
      <c r="C56" s="470" t="n"/>
      <c r="D56" s="471" t="n">
        <v>53</v>
      </c>
      <c r="E56" s="472" t="inlineStr">
        <is>
          <t>7.4</t>
        </is>
      </c>
      <c r="F56" s="471" t="inlineStr">
        <is>
          <t>Mango</t>
        </is>
      </c>
      <c r="G56" s="162" t="inlineStr">
        <is>
          <t>المانجو</t>
        </is>
      </c>
    </row>
    <row r="57" ht="15.65" customHeight="1">
      <c r="B57" s="3" t="n"/>
      <c r="C57" s="470" t="n"/>
      <c r="D57" s="471" t="n">
        <v>54</v>
      </c>
      <c r="E57" s="472" t="inlineStr">
        <is>
          <t>7.5</t>
        </is>
      </c>
      <c r="F57" s="471" t="inlineStr">
        <is>
          <t>Guava</t>
        </is>
      </c>
      <c r="G57" s="162" t="inlineStr">
        <is>
          <t>الجوافة</t>
        </is>
      </c>
    </row>
    <row r="58" ht="15.65" customHeight="1">
      <c r="B58" s="3" t="n"/>
      <c r="C58" s="470" t="n"/>
      <c r="D58" s="471" t="n">
        <v>55</v>
      </c>
      <c r="E58" s="472" t="inlineStr">
        <is>
          <t>7.6</t>
        </is>
      </c>
      <c r="F58" s="471" t="inlineStr">
        <is>
          <t>Pineapple</t>
        </is>
      </c>
      <c r="G58" s="162" t="inlineStr">
        <is>
          <t>الأناناس</t>
        </is>
      </c>
    </row>
    <row r="59" ht="15.65" customHeight="1">
      <c r="B59" s="3" t="n"/>
      <c r="C59" s="470" t="n"/>
      <c r="D59" s="471" t="n">
        <v>56</v>
      </c>
      <c r="E59" s="472" t="inlineStr">
        <is>
          <t>7.7</t>
        </is>
      </c>
      <c r="F59" s="471" t="inlineStr">
        <is>
          <t>Avocado</t>
        </is>
      </c>
      <c r="G59" s="162" t="inlineStr">
        <is>
          <t>الأفوكادو</t>
        </is>
      </c>
    </row>
    <row r="60" ht="15.65" customHeight="1">
      <c r="B60" s="3" t="n"/>
      <c r="C60" s="470" t="n"/>
      <c r="D60" s="471" t="n">
        <v>57</v>
      </c>
      <c r="E60" s="472" t="inlineStr">
        <is>
          <t>7.8</t>
        </is>
      </c>
      <c r="F60" s="471" t="inlineStr">
        <is>
          <t>Water Melon</t>
        </is>
      </c>
      <c r="G60" s="162" t="inlineStr">
        <is>
          <t>البطيخ الأحمر</t>
        </is>
      </c>
    </row>
    <row r="61" ht="15.65" customHeight="1">
      <c r="B61" s="3" t="n"/>
      <c r="C61" s="470" t="n"/>
      <c r="D61" s="471" t="n">
        <v>58</v>
      </c>
      <c r="E61" s="472" t="inlineStr">
        <is>
          <t>7.9</t>
        </is>
      </c>
      <c r="F61" s="471" t="inlineStr">
        <is>
          <t>Dates</t>
        </is>
      </c>
      <c r="G61" s="162" t="inlineStr">
        <is>
          <t>التمر</t>
        </is>
      </c>
    </row>
    <row r="62" ht="15.65" customHeight="1">
      <c r="B62" s="3" t="n"/>
      <c r="C62" s="470" t="n"/>
      <c r="D62" s="471" t="n">
        <v>59</v>
      </c>
      <c r="E62" s="472" t="inlineStr">
        <is>
          <t>7.101</t>
        </is>
      </c>
      <c r="F62" s="471" t="inlineStr">
        <is>
          <t>Figs</t>
        </is>
      </c>
      <c r="G62" s="162" t="inlineStr">
        <is>
          <t>التين</t>
        </is>
      </c>
    </row>
    <row r="63" ht="15.65" customHeight="1">
      <c r="B63" s="3" t="n"/>
      <c r="C63" s="470" t="inlineStr">
        <is>
          <t>x</t>
        </is>
      </c>
      <c r="D63" s="471" t="n">
        <v>60</v>
      </c>
      <c r="E63" s="472" t="inlineStr">
        <is>
          <t>7.11</t>
        </is>
      </c>
      <c r="F63" s="471" t="inlineStr">
        <is>
          <t>Grapes</t>
        </is>
      </c>
      <c r="G63" s="162" t="inlineStr">
        <is>
          <t>العنب</t>
        </is>
      </c>
    </row>
    <row r="64" ht="15.65" customHeight="1">
      <c r="B64" s="3" t="n"/>
      <c r="C64" s="470" t="n"/>
      <c r="D64" s="471" t="n">
        <v>61</v>
      </c>
      <c r="E64" s="472" t="inlineStr">
        <is>
          <t>7.12</t>
        </is>
      </c>
      <c r="F64" s="471" t="inlineStr">
        <is>
          <t>Olives</t>
        </is>
      </c>
      <c r="G64" s="162" t="inlineStr">
        <is>
          <t>الزيتون</t>
        </is>
      </c>
    </row>
    <row r="65" ht="15.65" customHeight="1">
      <c r="B65" s="3" t="n"/>
      <c r="C65" s="470" t="n"/>
      <c r="D65" s="471" t="n">
        <v>62</v>
      </c>
      <c r="E65" s="472" t="inlineStr">
        <is>
          <t>7.13</t>
        </is>
      </c>
      <c r="F65" s="471" t="inlineStr">
        <is>
          <t>Apple</t>
        </is>
      </c>
      <c r="G65" s="162" t="inlineStr">
        <is>
          <t>التفاح</t>
        </is>
      </c>
    </row>
    <row r="66" ht="15.65" customHeight="1">
      <c r="B66" s="3" t="n"/>
      <c r="C66" s="470" t="n"/>
      <c r="D66" s="471" t="n">
        <v>63</v>
      </c>
      <c r="E66" s="472" t="inlineStr">
        <is>
          <t>7.14</t>
        </is>
      </c>
      <c r="F66" s="471" t="inlineStr">
        <is>
          <t>Apricot</t>
        </is>
      </c>
      <c r="G66" s="162" t="inlineStr">
        <is>
          <t>المشمش</t>
        </is>
      </c>
    </row>
    <row r="67" ht="15.65" customHeight="1">
      <c r="B67" s="3" t="n"/>
      <c r="C67" s="470" t="n"/>
      <c r="D67" s="471" t="n">
        <v>64</v>
      </c>
      <c r="E67" s="472" t="inlineStr">
        <is>
          <t>7.15</t>
        </is>
      </c>
      <c r="F67" s="471" t="inlineStr">
        <is>
          <t>Cherries</t>
        </is>
      </c>
      <c r="G67" s="162" t="inlineStr">
        <is>
          <t>الكرز</t>
        </is>
      </c>
    </row>
    <row r="68" ht="15.65" customHeight="1">
      <c r="B68" s="3" t="n"/>
      <c r="C68" s="470" t="n"/>
      <c r="D68" s="471" t="n">
        <v>65</v>
      </c>
      <c r="E68" s="472" t="inlineStr">
        <is>
          <t>7.16</t>
        </is>
      </c>
      <c r="F68" s="471" t="inlineStr">
        <is>
          <t>Peach/nectarine</t>
        </is>
      </c>
      <c r="G68" s="162" t="inlineStr">
        <is>
          <t>الدراق / النكتارين</t>
        </is>
      </c>
    </row>
    <row r="69" ht="15.65" customHeight="1">
      <c r="B69" s="3" t="n"/>
      <c r="C69" s="470" t="n"/>
      <c r="D69" s="471" t="n">
        <v>66</v>
      </c>
      <c r="E69" s="472" t="inlineStr">
        <is>
          <t>7.17</t>
        </is>
      </c>
      <c r="F69" s="471" t="inlineStr">
        <is>
          <t>Strawberries</t>
        </is>
      </c>
      <c r="G69" s="162" t="inlineStr">
        <is>
          <t>الفراولة</t>
        </is>
      </c>
    </row>
    <row r="70" ht="15.65" customHeight="1">
      <c r="B70" s="3" t="n"/>
      <c r="C70" s="470" t="n"/>
      <c r="D70" s="471" t="n">
        <v>67</v>
      </c>
      <c r="E70" s="472" t="inlineStr">
        <is>
          <t>7.18</t>
        </is>
      </c>
      <c r="F70" s="471" t="inlineStr">
        <is>
          <t>Melon [Cantaloupe]</t>
        </is>
      </c>
      <c r="G70" s="162" t="inlineStr">
        <is>
          <t>الشمام</t>
        </is>
      </c>
    </row>
    <row r="71" ht="15.65" customHeight="1">
      <c r="B71" s="3" t="n"/>
      <c r="C71" s="474" t="n"/>
      <c r="D71" s="471" t="n">
        <v>68</v>
      </c>
      <c r="E71" s="472" t="inlineStr">
        <is>
          <t>7.99</t>
        </is>
      </c>
      <c r="F71" s="475" t="inlineStr">
        <is>
          <t>Other fruit</t>
        </is>
      </c>
      <c r="G71" s="163" t="inlineStr">
        <is>
          <t>الفواكه الأخرى</t>
        </is>
      </c>
    </row>
    <row r="72" ht="15.65" customHeight="1">
      <c r="B72" s="3" t="n"/>
      <c r="C72" s="470" t="n"/>
      <c r="D72" s="471" t="n">
        <v>69</v>
      </c>
      <c r="E72" s="472" t="inlineStr">
        <is>
          <t>8.1</t>
        </is>
      </c>
      <c r="F72" s="471" t="inlineStr">
        <is>
          <t>Coconuts</t>
        </is>
      </c>
      <c r="G72" s="162" t="inlineStr">
        <is>
          <t>جوز الهند</t>
        </is>
      </c>
    </row>
    <row r="73" ht="15.65" customHeight="1">
      <c r="B73" s="3" t="n"/>
      <c r="C73" s="470" t="n"/>
      <c r="D73" s="471" t="n">
        <v>70</v>
      </c>
      <c r="E73" s="472" t="inlineStr">
        <is>
          <t>8.2</t>
        </is>
      </c>
      <c r="F73" s="471" t="inlineStr">
        <is>
          <t>Groundnut/peanut</t>
        </is>
      </c>
      <c r="G73" s="162" t="inlineStr">
        <is>
          <t>الفول السوداني</t>
        </is>
      </c>
    </row>
    <row r="74" ht="15.65" customHeight="1">
      <c r="B74" s="3" t="n"/>
      <c r="C74" s="470" t="n"/>
      <c r="D74" s="471" t="n">
        <v>71</v>
      </c>
      <c r="E74" s="472" t="inlineStr">
        <is>
          <t>8.3</t>
        </is>
      </c>
      <c r="F74" s="471" t="inlineStr">
        <is>
          <t>Cashew Nut</t>
        </is>
      </c>
      <c r="G74" s="162" t="inlineStr">
        <is>
          <t>الكاجو</t>
        </is>
      </c>
    </row>
    <row r="75" ht="15.65" customHeight="1">
      <c r="B75" s="3" t="n"/>
      <c r="C75" s="470" t="n"/>
      <c r="D75" s="471" t="n">
        <v>72</v>
      </c>
      <c r="E75" s="472" t="inlineStr">
        <is>
          <t>8.4</t>
        </is>
      </c>
      <c r="F75" s="471" t="inlineStr">
        <is>
          <t>Kola Nut</t>
        </is>
      </c>
      <c r="G75" s="162" t="inlineStr">
        <is>
          <t>جوز الكولا</t>
        </is>
      </c>
    </row>
    <row r="76" ht="15.65" customHeight="1">
      <c r="B76" s="3" t="n"/>
      <c r="C76" s="470" t="n"/>
      <c r="D76" s="471" t="n">
        <v>73</v>
      </c>
      <c r="E76" s="472" t="inlineStr">
        <is>
          <t>8.5</t>
        </is>
      </c>
      <c r="F76" s="471" t="inlineStr">
        <is>
          <t>Sesame</t>
        </is>
      </c>
      <c r="G76" s="162" t="inlineStr">
        <is>
          <t>السمسم</t>
        </is>
      </c>
    </row>
    <row r="77" ht="15.65" customHeight="1">
      <c r="B77" s="3" t="n"/>
      <c r="C77" s="470" t="n"/>
      <c r="D77" s="471" t="n">
        <v>74</v>
      </c>
      <c r="E77" s="472" t="inlineStr">
        <is>
          <t>8.6</t>
        </is>
      </c>
      <c r="F77" s="471" t="inlineStr">
        <is>
          <t>Bambara nut</t>
        </is>
      </c>
      <c r="G77" s="162" t="inlineStr">
        <is>
          <t>جوز البامبارا</t>
        </is>
      </c>
    </row>
    <row r="78" ht="15.65" customHeight="1">
      <c r="B78" s="3" t="n"/>
      <c r="C78" s="470" t="n"/>
      <c r="D78" s="471" t="n">
        <v>75</v>
      </c>
      <c r="E78" s="472" t="inlineStr">
        <is>
          <t>8.7</t>
        </is>
      </c>
      <c r="F78" s="471" t="inlineStr">
        <is>
          <t>Almond</t>
        </is>
      </c>
      <c r="G78" s="162" t="inlineStr">
        <is>
          <t>اللوز</t>
        </is>
      </c>
    </row>
    <row r="79" ht="15.65" customHeight="1">
      <c r="B79" s="3" t="n"/>
      <c r="C79" s="470" t="n"/>
      <c r="D79" s="471" t="n">
        <v>76</v>
      </c>
      <c r="E79" s="472" t="inlineStr">
        <is>
          <t>8.8</t>
        </is>
      </c>
      <c r="F79" s="471" t="inlineStr">
        <is>
          <t>Walnut</t>
        </is>
      </c>
      <c r="G79" s="162" t="inlineStr">
        <is>
          <t>الجوز</t>
        </is>
      </c>
    </row>
    <row r="80" ht="15.65" customHeight="1">
      <c r="B80" s="3" t="n"/>
      <c r="C80" s="474" t="n"/>
      <c r="D80" s="471" t="n">
        <v>77</v>
      </c>
      <c r="E80" s="472" t="inlineStr">
        <is>
          <t>8.99</t>
        </is>
      </c>
      <c r="F80" s="475" t="inlineStr">
        <is>
          <t>Other nuts</t>
        </is>
      </c>
      <c r="G80" s="163" t="inlineStr">
        <is>
          <t>المكسرات الأخرى</t>
        </is>
      </c>
    </row>
    <row r="81" ht="15.65" customHeight="1">
      <c r="B81" s="3" t="n"/>
      <c r="C81" s="470" t="n"/>
      <c r="D81" s="471" t="n">
        <v>78</v>
      </c>
      <c r="E81" s="472" t="inlineStr">
        <is>
          <t>9.1</t>
        </is>
      </c>
      <c r="F81" s="471" t="inlineStr">
        <is>
          <t>Cocoa</t>
        </is>
      </c>
      <c r="G81" s="162" t="inlineStr">
        <is>
          <t>الكاكاو</t>
        </is>
      </c>
    </row>
    <row r="82" ht="15.65" customHeight="1">
      <c r="B82" s="3" t="n"/>
      <c r="C82" s="470" t="inlineStr">
        <is>
          <t>x</t>
        </is>
      </c>
      <c r="D82" s="471" t="n">
        <v>79</v>
      </c>
      <c r="E82" s="472" t="inlineStr">
        <is>
          <t>9.2</t>
        </is>
      </c>
      <c r="F82" s="471" t="inlineStr">
        <is>
          <t>Coffee</t>
        </is>
      </c>
      <c r="G82" s="162" t="inlineStr">
        <is>
          <t>القهوة</t>
        </is>
      </c>
    </row>
    <row r="83" ht="15.65" customHeight="1">
      <c r="B83" s="3" t="n"/>
      <c r="C83" s="470" t="n"/>
      <c r="D83" s="471" t="n">
        <v>80</v>
      </c>
      <c r="E83" s="472" t="inlineStr">
        <is>
          <t>9.3</t>
        </is>
      </c>
      <c r="F83" s="471" t="inlineStr">
        <is>
          <t>Tea</t>
        </is>
      </c>
      <c r="G83" s="162" t="inlineStr">
        <is>
          <t>الشاي</t>
        </is>
      </c>
    </row>
    <row r="84" ht="15.65" customHeight="1">
      <c r="B84" s="3" t="n"/>
      <c r="C84" s="470" t="n"/>
      <c r="D84" s="471" t="n">
        <v>81</v>
      </c>
      <c r="E84" s="472" t="inlineStr">
        <is>
          <t>9.4</t>
        </is>
      </c>
      <c r="F84" s="471" t="inlineStr">
        <is>
          <t>Sugarcane</t>
        </is>
      </c>
      <c r="G84" s="162" t="inlineStr">
        <is>
          <t>قصب السكر</t>
        </is>
      </c>
    </row>
    <row r="85" ht="15.65" customHeight="1">
      <c r="B85" s="3" t="n"/>
      <c r="C85" s="470" t="n"/>
      <c r="D85" s="471" t="n">
        <v>82</v>
      </c>
      <c r="E85" s="472" t="inlineStr">
        <is>
          <t>9.5</t>
        </is>
      </c>
      <c r="F85" s="471" t="inlineStr">
        <is>
          <t>Sunflower</t>
        </is>
      </c>
      <c r="G85" s="162" t="inlineStr">
        <is>
          <t>دوار الشمس</t>
        </is>
      </c>
    </row>
    <row r="86" ht="15.65" customHeight="1">
      <c r="B86" s="3" t="n"/>
      <c r="C86" s="474" t="n"/>
      <c r="D86" s="471" t="n">
        <v>83</v>
      </c>
      <c r="E86" s="472" t="inlineStr">
        <is>
          <t>9.99</t>
        </is>
      </c>
      <c r="F86" s="475" t="inlineStr">
        <is>
          <t>Other food cash crop</t>
        </is>
      </c>
      <c r="G86" s="163" t="inlineStr">
        <is>
          <t xml:space="preserve">المحاصيل الغذائية النقدية الأخرى </t>
        </is>
      </c>
    </row>
    <row r="87" ht="15.65" customHeight="1">
      <c r="B87" s="3" t="n"/>
      <c r="C87" s="470" t="n"/>
      <c r="D87" s="471" t="n">
        <v>84</v>
      </c>
      <c r="E87" s="472" t="inlineStr">
        <is>
          <t>10.1</t>
        </is>
      </c>
      <c r="F87" s="471" t="inlineStr">
        <is>
          <t>Cotton</t>
        </is>
      </c>
      <c r="G87" s="162" t="inlineStr">
        <is>
          <t>القطن</t>
        </is>
      </c>
    </row>
    <row r="88" ht="15.65" customHeight="1">
      <c r="B88" s="3" t="n"/>
      <c r="C88" s="470" t="n"/>
      <c r="D88" s="471" t="n">
        <v>85</v>
      </c>
      <c r="E88" s="472" t="inlineStr">
        <is>
          <t>10.2</t>
        </is>
      </c>
      <c r="F88" s="471" t="inlineStr">
        <is>
          <t>Rubber</t>
        </is>
      </c>
      <c r="G88" s="162" t="inlineStr">
        <is>
          <t>المطاط</t>
        </is>
      </c>
    </row>
    <row r="89" ht="15.65" customHeight="1">
      <c r="B89" s="3" t="n"/>
      <c r="C89" s="470" t="n"/>
      <c r="D89" s="471" t="n">
        <v>86</v>
      </c>
      <c r="E89" s="472" t="inlineStr">
        <is>
          <t>10.3</t>
        </is>
      </c>
      <c r="F89" s="471" t="inlineStr">
        <is>
          <t>Jute</t>
        </is>
      </c>
      <c r="G89" s="162" t="inlineStr">
        <is>
          <t>الجوت</t>
        </is>
      </c>
    </row>
    <row r="90" ht="15.65" customHeight="1">
      <c r="B90" s="3" t="n"/>
      <c r="C90" s="470" t="n"/>
      <c r="D90" s="471" t="n">
        <v>87</v>
      </c>
      <c r="E90" s="472" t="inlineStr">
        <is>
          <t>10.4</t>
        </is>
      </c>
      <c r="F90" s="471" t="inlineStr">
        <is>
          <t>Fodder</t>
        </is>
      </c>
      <c r="G90" s="162" t="inlineStr">
        <is>
          <t>العلف</t>
        </is>
      </c>
    </row>
    <row r="91" ht="15.65" customHeight="1">
      <c r="B91" s="3" t="n"/>
      <c r="C91" s="470" t="n"/>
      <c r="D91" s="471" t="n">
        <v>88</v>
      </c>
      <c r="E91" s="472" t="inlineStr">
        <is>
          <t>10.5</t>
        </is>
      </c>
      <c r="F91" s="471" t="inlineStr">
        <is>
          <t>Tobacco</t>
        </is>
      </c>
      <c r="G91" s="162" t="inlineStr">
        <is>
          <t>التبغ</t>
        </is>
      </c>
    </row>
    <row r="92" ht="15.65" customHeight="1">
      <c r="B92" s="3" t="n"/>
      <c r="C92" s="470" t="inlineStr">
        <is>
          <t>x</t>
        </is>
      </c>
      <c r="D92" s="471" t="n">
        <v>89</v>
      </c>
      <c r="E92" s="472" t="inlineStr">
        <is>
          <t>10.6</t>
        </is>
      </c>
      <c r="F92" s="471" t="inlineStr">
        <is>
          <t>Qat</t>
        </is>
      </c>
      <c r="G92" s="162" t="inlineStr">
        <is>
          <t>القات</t>
        </is>
      </c>
    </row>
    <row r="93" ht="15.65" customHeight="1">
      <c r="B93" s="3" t="n"/>
      <c r="C93" s="474" t="n"/>
      <c r="D93" s="471" t="n">
        <v>90</v>
      </c>
      <c r="E93" s="472" t="inlineStr">
        <is>
          <t>10.99</t>
        </is>
      </c>
      <c r="F93" s="475" t="inlineStr">
        <is>
          <t>Other non-food cash crop</t>
        </is>
      </c>
      <c r="G93" s="163" t="inlineStr">
        <is>
          <t xml:space="preserve"> المحاصيل النقدية غير الغذائية الأخرى </t>
        </is>
      </c>
    </row>
    <row r="94">
      <c r="C94" s="6" t="n"/>
      <c r="D94" s="123" t="n"/>
      <c r="E94" s="123" t="n"/>
      <c r="F94" s="7" t="n"/>
      <c r="G94" s="160"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80" workbookViewId="0">
      <selection activeCell="E6" sqref="E6"/>
    </sheetView>
  </sheetViews>
  <sheetFormatPr baseColWidth="8" defaultColWidth="10.453125" defaultRowHeight="15.5"/>
  <cols>
    <col width="10.453125" customWidth="1" style="375" min="1" max="1"/>
    <col width="8.453125" customWidth="1" style="375" min="2" max="2"/>
    <col width="27.453125" customWidth="1" style="375" min="3" max="3"/>
    <col width="28" customWidth="1" style="375" min="4" max="5"/>
    <col width="51.1796875" customWidth="1" style="467" min="6" max="7"/>
    <col width="22.453125" customWidth="1" style="375" min="8" max="9"/>
    <col width="10.453125" customWidth="1" style="375" min="10" max="11"/>
    <col width="44" customWidth="1" style="375" min="12" max="12"/>
    <col width="10.453125" customWidth="1" style="375" min="13" max="17"/>
    <col width="10.453125" customWidth="1" style="375" min="18" max="16384"/>
  </cols>
  <sheetData>
    <row r="1" ht="40.4" customHeight="1" thickBot="1">
      <c r="C1" s="376" t="n"/>
      <c r="D1" s="376" t="n"/>
      <c r="E1" s="376" t="n"/>
      <c r="F1" s="377" t="n"/>
      <c r="G1" s="377" t="n"/>
      <c r="H1" s="376" t="n"/>
      <c r="I1" s="376" t="n"/>
    </row>
    <row r="2" ht="16.4" customHeight="1" thickBot="1">
      <c r="A2" s="378" t="n"/>
      <c r="B2" s="379" t="n"/>
      <c r="C2" s="380" t="inlineStr">
        <is>
          <t>Original</t>
        </is>
      </c>
      <c r="D2" s="381" t="inlineStr">
        <is>
          <t>Replacement (EN)</t>
        </is>
      </c>
      <c r="E2" s="382" t="inlineStr">
        <is>
          <t>Replacement (AR)</t>
        </is>
      </c>
      <c r="F2" s="383" t="inlineStr">
        <is>
          <t>Comment (EN)</t>
        </is>
      </c>
      <c r="G2" s="384" t="inlineStr">
        <is>
          <t>Comment (AR)</t>
        </is>
      </c>
      <c r="H2" s="381" t="inlineStr">
        <is>
          <t>Example (EN)</t>
        </is>
      </c>
      <c r="I2" s="385" t="inlineStr">
        <is>
          <t>Example (AR)</t>
        </is>
      </c>
      <c r="J2" s="386" t="n"/>
    </row>
    <row r="3" ht="32.15" customHeight="1" thickBot="1">
      <c r="A3" s="378" t="n"/>
      <c r="B3" s="624" t="inlineStr">
        <is>
          <t>FOR CORE QUESTIONS    .
(Mandatory to fill out)    .</t>
        </is>
      </c>
      <c r="C3" s="387" t="inlineStr">
        <is>
          <t>ADMIN1</t>
        </is>
      </c>
      <c r="D3" s="388" t="inlineStr">
        <is>
          <t>Governorate</t>
        </is>
      </c>
      <c r="E3" s="389" t="inlineStr">
        <is>
          <t xml:space="preserve">محافظة </t>
        </is>
      </c>
      <c r="F3" s="390" t="inlineStr">
        <is>
          <t>The first subdivision of the country, after national level; region; province; governorate; etc.</t>
        </is>
      </c>
      <c r="G3" s="391" t="inlineStr">
        <is>
          <t>التقسيم الأول للبلاد ، بعد المستوى الوطني ؛ منطقة؛ محافظة؛ ولاية ؛ إلخ.</t>
        </is>
      </c>
      <c r="H3" s="392" t="inlineStr">
        <is>
          <t>region</t>
        </is>
      </c>
      <c r="I3" s="393" t="inlineStr">
        <is>
          <t>منطقة</t>
        </is>
      </c>
      <c r="J3" s="386" t="n"/>
    </row>
    <row r="4" ht="28.75" customHeight="1">
      <c r="A4" s="378" t="n"/>
      <c r="B4" s="625" t="n"/>
      <c r="C4" s="394" t="inlineStr">
        <is>
          <t>ADMIN2</t>
        </is>
      </c>
      <c r="D4" s="388" t="inlineStr">
        <is>
          <t>District</t>
        </is>
      </c>
      <c r="E4" s="395" t="inlineStr">
        <is>
          <t>مديرية</t>
        </is>
      </c>
      <c r="F4" s="396" t="inlineStr">
        <is>
          <t>The second subdivision of the country; district; municipality; LGA; etc.</t>
        </is>
      </c>
      <c r="G4" s="391" t="inlineStr">
        <is>
          <t>التقسيم الثاني للبلاد ؛ قضاء؛ بلدية؛ إلخ.</t>
        </is>
      </c>
      <c r="H4" s="397" t="inlineStr">
        <is>
          <t>district</t>
        </is>
      </c>
      <c r="I4" s="398" t="inlineStr">
        <is>
          <t>قضاء</t>
        </is>
      </c>
      <c r="J4" s="386" t="n"/>
    </row>
    <row r="5" ht="72" customHeight="1">
      <c r="A5" s="378" t="n"/>
      <c r="B5" s="625" t="n"/>
      <c r="C5" s="394" t="inlineStr">
        <is>
          <t>reference year</t>
        </is>
      </c>
      <c r="D5" s="399" t="inlineStr">
        <is>
          <t>last year</t>
        </is>
      </c>
      <c r="E5" s="400" t="inlineStr">
        <is>
          <t>العام الماضي</t>
        </is>
      </c>
      <c r="F5" s="39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9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397" t="inlineStr">
        <is>
          <t>a normal year</t>
        </is>
      </c>
      <c r="I5" s="398" t="inlineStr">
        <is>
          <t>العام العادي</t>
        </is>
      </c>
      <c r="J5" s="386" t="n"/>
    </row>
    <row r="6" ht="76.40000000000001" customHeight="1">
      <c r="A6" s="378" t="n"/>
      <c r="B6" s="625" t="n"/>
      <c r="C6" s="394" t="inlineStr">
        <is>
          <t>season</t>
        </is>
      </c>
      <c r="D6" s="401" t="inlineStr">
        <is>
          <t>Ongoing season</t>
        </is>
      </c>
      <c r="E6" s="395" t="inlineStr">
        <is>
          <t>الموسم الحالي</t>
        </is>
      </c>
      <c r="F6" s="402" t="inlineStr">
        <is>
          <t>Name the crop season(s) of interest if there are several cropping seasons in the country (e.g. Meher and Belg in Ethiopia, rainy season / flood-recession cropping / irrigated dry season in the Sahel). You can refer to the “last season” or “ongoing season".</t>
        </is>
      </c>
      <c r="G6" s="403"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404" t="inlineStr">
        <is>
          <t>wet season</t>
        </is>
      </c>
      <c r="I6" s="405" t="inlineStr">
        <is>
          <t>موسم الأمطار</t>
        </is>
      </c>
      <c r="J6" s="386" t="n"/>
    </row>
    <row r="7" ht="105.65" customHeight="1">
      <c r="A7" s="378" t="n"/>
      <c r="B7" s="625" t="n"/>
      <c r="C7" s="394" t="inlineStr">
        <is>
          <t>season phase</t>
        </is>
      </c>
      <c r="D7" s="399" t="inlineStr">
        <is>
          <t>Growth</t>
        </is>
      </c>
      <c r="E7" s="400" t="inlineStr">
        <is>
          <t>النمو</t>
        </is>
      </c>
      <c r="F7" s="40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6"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404" t="inlineStr">
        <is>
          <t>Harvesting</t>
        </is>
      </c>
      <c r="I7" s="407" t="inlineStr">
        <is>
          <t>الحصاد</t>
        </is>
      </c>
      <c r="J7" s="386" t="n"/>
    </row>
    <row r="8" ht="76.40000000000001" customHeight="1">
      <c r="A8" s="378" t="n"/>
      <c r="B8" s="625" t="n"/>
      <c r="C8" s="408" t="inlineStr">
        <is>
          <t>local measurement unit</t>
        </is>
      </c>
      <c r="D8" s="409" t="inlineStr">
        <is>
          <t>5)Labneh
6)Qassabh
7)Hablah
8)Ma'ad
9)Salook
10)Shaklah
11)Neiha
12)Matreh
13)Wadan
14)Oqum
15)Asaoo
16)Shagan
17)Arfad
18)Aber
19)Taleem
20)Magabi
21)Hediah
22)Thera'a
23)Materah</t>
        </is>
      </c>
      <c r="E8" s="410" t="inlineStr">
        <is>
          <t>5)لبنة
6)قصبة
7) حبل/حبلة
8) معاد
9)سلوق
10) شكلة
11) نيحة
12) مطرح
13)ودن
14) عقم
15)اسعاو
16) شجن
17)رفد/ارفاد
19) عبر
20) تليم
21)مجابي
22) حدية
23) ذراع
24) مطبرة</t>
        </is>
      </c>
      <c r="F8" s="411" t="inlineStr">
        <is>
          <t xml:space="preserve">Specify the local measurement unit for land size, other than acres, hectares, square meters and square feet. If no other unit of measurement is needed, keep this cell blank. </t>
        </is>
      </c>
      <c r="G8" s="406"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404" t="inlineStr">
        <is>
          <t>Jeribs</t>
        </is>
      </c>
      <c r="I8" s="412" t="inlineStr">
        <is>
          <t>جريب</t>
        </is>
      </c>
      <c r="J8" s="386" t="n"/>
    </row>
    <row r="9" ht="50.25" customHeight="1" thickBot="1">
      <c r="A9" s="378" t="n"/>
      <c r="B9" s="626" t="n"/>
      <c r="C9" s="413" t="inlineStr">
        <is>
          <t>local measurement unit conversion</t>
        </is>
      </c>
      <c r="D9" s="414" t="n"/>
      <c r="E9" s="415" t="n"/>
      <c r="F9" s="416" t="inlineStr">
        <is>
          <t>Include the conversion of the local measurement unit to hectares. In other words, how many local measurement units are in 1 ha. Only digits in Latin numbers should be inputted.</t>
        </is>
      </c>
      <c r="G9" s="417"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418" t="n">
        <v>0.2</v>
      </c>
      <c r="I9" s="419" t="n">
        <v>0.2</v>
      </c>
      <c r="J9" s="386" t="n"/>
    </row>
    <row r="10" ht="32.15" customHeight="1" thickBot="1">
      <c r="A10" s="378" t="n"/>
      <c r="B10" s="624" t="inlineStr">
        <is>
          <t>FOR OPTIONAL QUESTIONS    .
(Fill out if applicable)    .</t>
        </is>
      </c>
      <c r="C10" s="420" t="inlineStr">
        <is>
          <t>currency</t>
        </is>
      </c>
      <c r="D10" s="400" t="inlineStr">
        <is>
          <t>Rial</t>
        </is>
      </c>
      <c r="E10" s="421" t="inlineStr">
        <is>
          <t>الريال</t>
        </is>
      </c>
      <c r="F10" s="422" t="inlineStr">
        <is>
          <t xml:space="preserve">The name of the main currency used nationally; USD; Naira; Rial; Pesos; etc. </t>
        </is>
      </c>
      <c r="G10" s="423" t="inlineStr">
        <is>
          <t>اسم العملة الرئيسية المستخدمة وطنيا ؛ دولار أمريكي؛ نيرة؛ الريال؛ بيزو؛ إلخ.</t>
        </is>
      </c>
      <c r="H10" s="424" t="inlineStr">
        <is>
          <t>Naira</t>
        </is>
      </c>
      <c r="I10" s="425" t="inlineStr">
        <is>
          <t>نيرة</t>
        </is>
      </c>
      <c r="J10" s="386" t="n"/>
    </row>
    <row r="11" ht="94.40000000000001" customHeight="1">
      <c r="A11" s="378" t="n"/>
      <c r="B11" s="625" t="n"/>
      <c r="C11" s="426" t="inlineStr">
        <is>
          <t>MIN AMOUNT</t>
        </is>
      </c>
      <c r="D11" s="427" t="inlineStr">
        <is>
          <t>Not applicable</t>
        </is>
      </c>
      <c r="E11" s="428" t="inlineStr">
        <is>
          <t>Not applicable</t>
        </is>
      </c>
      <c r="F11" s="42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430"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431" t="n">
        <v>5</v>
      </c>
      <c r="I11" s="432" t="n">
        <v>5</v>
      </c>
      <c r="J11" s="386" t="n"/>
      <c r="L11" s="376" t="n"/>
    </row>
    <row r="12" ht="158.15" customHeight="1">
      <c r="A12" s="378" t="n"/>
      <c r="B12" s="625" t="n"/>
      <c r="C12" s="394" t="inlineStr">
        <is>
          <t>MAX AMOUNT</t>
        </is>
      </c>
      <c r="D12" s="427" t="inlineStr">
        <is>
          <t>Not applicable</t>
        </is>
      </c>
      <c r="E12" s="428" t="inlineStr">
        <is>
          <t>Not applicable</t>
        </is>
      </c>
      <c r="F12" s="402"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430"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433" t="n">
        <v>5000000</v>
      </c>
      <c r="I12" s="432" t="n">
        <v>5000000</v>
      </c>
      <c r="J12" s="386" t="n"/>
      <c r="K12" s="378" t="n"/>
      <c r="L12" s="434" t="n"/>
      <c r="M12" s="386" t="n"/>
    </row>
    <row r="13" ht="116.25" customHeight="1">
      <c r="A13" s="378" t="n"/>
      <c r="B13" s="625" t="n"/>
      <c r="C13" s="426" t="inlineStr">
        <is>
          <t>THRESHOLD</t>
        </is>
      </c>
      <c r="D13" s="427" t="inlineStr">
        <is>
          <t>Not applicable</t>
        </is>
      </c>
      <c r="E13" s="428" t="inlineStr">
        <is>
          <t>Not applicable</t>
        </is>
      </c>
      <c r="F13" s="411"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435"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433" t="n">
        <v>1200000</v>
      </c>
      <c r="I13" s="432" t="n">
        <v>1200000</v>
      </c>
      <c r="J13" s="386" t="n"/>
      <c r="L13" s="436" t="n"/>
    </row>
    <row r="14" ht="50.25" customHeight="1">
      <c r="A14" s="378" t="n"/>
      <c r="B14" s="625" t="n"/>
      <c r="C14" s="408" t="inlineStr">
        <is>
          <t>local vegetables</t>
        </is>
      </c>
      <c r="D14" s="401" t="inlineStr">
        <is>
          <t>tomatoes, okra, zucchini, cauliflower, cucumber, onions</t>
        </is>
      </c>
      <c r="E14" s="395" t="inlineStr">
        <is>
          <t>طماطم ، بامية ، كوسة ، قرنييط (زهرة) ، خيار ، بصل</t>
        </is>
      </c>
      <c r="F14" s="402" t="inlineStr">
        <is>
          <t>Input some common local vegetables [to be used as examples in the food consumption score indicator].</t>
        </is>
      </c>
      <c r="G14" s="430" t="inlineStr">
        <is>
          <t>أدخل بعض الخضروات المحلية الشائعة [لاستخدامها كأمثلة في مؤشر درجة استهلاك الغذاء].</t>
        </is>
      </c>
      <c r="H14" s="404" t="inlineStr">
        <is>
          <t>eggplants, zucchini, cauliflower</t>
        </is>
      </c>
      <c r="I14" s="405" t="inlineStr">
        <is>
          <t>باذنجان ، كوسة ، قرنبيط</t>
        </is>
      </c>
      <c r="J14" s="386" t="n"/>
    </row>
    <row r="15" ht="50.25" customHeight="1" thickBot="1">
      <c r="A15" s="378" t="n"/>
      <c r="B15" s="626" t="n"/>
      <c r="C15" s="437" t="inlineStr">
        <is>
          <t>local fruits</t>
        </is>
      </c>
      <c r="D15" s="438" t="inlineStr">
        <is>
          <t>apple, orange, banana, grapes, mango, papaya, fig, muskmelon, red watermelon, dates</t>
        </is>
      </c>
      <c r="E15" s="439" t="inlineStr">
        <is>
          <t>التفاح / البرتقال ، الموز ، العنب ، المانجو ، البابايا ، التين ، الشمام ، البطيخ الاحمر ، البلح</t>
        </is>
      </c>
      <c r="F15" s="440" t="inlineStr">
        <is>
          <t>Input some common local fruits [to be used as examples in the food consumption score indicator].</t>
        </is>
      </c>
      <c r="G15" s="441" t="inlineStr">
        <is>
          <t>أدخل بعض الفاكهة المحلية الشائعة [لاستخدامها كأمثلة في مؤشر درجة استهلاك الغذاء].</t>
        </is>
      </c>
      <c r="H15" s="442" t="inlineStr">
        <is>
          <t>apples, bananas, oranges</t>
        </is>
      </c>
      <c r="I15" s="443" t="inlineStr">
        <is>
          <t>التفاح والموز والبرتقال</t>
        </is>
      </c>
      <c r="J15" s="386" t="n"/>
    </row>
    <row r="16" ht="5.9" customHeight="1" thickBot="1">
      <c r="A16" s="378" t="n"/>
      <c r="B16" s="444" t="n"/>
      <c r="C16" s="445" t="n"/>
      <c r="D16" s="446" t="n"/>
      <c r="E16" s="447" t="n"/>
      <c r="F16" s="448" t="n"/>
      <c r="G16" s="449" t="n"/>
      <c r="H16" s="450" t="n"/>
      <c r="I16" s="451" t="n"/>
      <c r="J16" s="386" t="n"/>
    </row>
    <row r="17" ht="133.4" customHeight="1" thickBot="1">
      <c r="A17" s="378" t="n"/>
      <c r="B17" s="627" t="inlineStr">
        <is>
          <t>FILL OUT FOR QUESTIONNAIRE DURATION ESTIMATION    .</t>
        </is>
      </c>
      <c r="C17" s="452" t="inlineStr">
        <is>
          <t>Expected percentage of respondents cultivating crops</t>
        </is>
      </c>
      <c r="D17" s="453" t="inlineStr">
        <is>
          <t>38.7% (Source: YEM10)</t>
        </is>
      </c>
      <c r="E17" s="454" t="inlineStr">
        <is>
          <t>38.7% (Source: YEM10)</t>
        </is>
      </c>
      <c r="F17" s="45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56"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173" t="n">
        <v>0.91</v>
      </c>
      <c r="I17" s="158" t="n">
        <v>0.91</v>
      </c>
      <c r="J17" s="386" t="n"/>
    </row>
    <row r="18" ht="129.65" customHeight="1">
      <c r="A18" s="378" t="n"/>
      <c r="B18" s="625" t="n"/>
      <c r="C18" s="457" t="inlineStr">
        <is>
          <t>Expected percentage of respondents raising livestock</t>
        </is>
      </c>
      <c r="D18" s="458" t="inlineStr">
        <is>
          <t>44.7% (Source: YEM10)</t>
        </is>
      </c>
      <c r="E18" s="459" t="inlineStr">
        <is>
          <t>44.7% (Source: YEM10)</t>
        </is>
      </c>
      <c r="F18" s="46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461"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156" t="n">
        <v>0.91</v>
      </c>
      <c r="I18" s="42" t="n">
        <v>0.91</v>
      </c>
      <c r="J18" s="386" t="n"/>
    </row>
    <row r="19" ht="107.9" customHeight="1" thickBot="1">
      <c r="A19" s="378" t="n"/>
      <c r="B19" s="626" t="n"/>
      <c r="C19" s="462" t="inlineStr">
        <is>
          <t>Expected percentage of respondents involved in fishery</t>
        </is>
      </c>
      <c r="D19" s="463" t="inlineStr">
        <is>
          <t>2% (Source: YEM10)</t>
        </is>
      </c>
      <c r="E19" s="464" t="inlineStr">
        <is>
          <t>2% (Source: YEM10)</t>
        </is>
      </c>
      <c r="F19" s="465"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441"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157" t="n">
        <v>0.05</v>
      </c>
      <c r="I19" s="43" t="n">
        <v>0.05</v>
      </c>
      <c r="J19" s="386" t="n"/>
    </row>
    <row r="20">
      <c r="B20" s="436" t="n"/>
      <c r="C20" s="436" t="n"/>
      <c r="D20" s="436" t="n"/>
      <c r="E20" s="436" t="n"/>
      <c r="F20" s="466" t="n"/>
      <c r="G20" s="466" t="n"/>
      <c r="H20" s="436" t="n"/>
      <c r="I20" s="436"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5" showDropDown="0" showInputMessage="1" showErrorMessage="1" allowBlank="0" type="list">
      <formula1>"العام العادي,  العام الماضي"</formula1>
    </dataValidation>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C1" sqref="C1"/>
    </sheetView>
  </sheetViews>
  <sheetFormatPr baseColWidth="8" defaultColWidth="8.81640625" defaultRowHeight="14.5"/>
  <sheetData>
    <row r="1">
      <c r="A1" s="476" t="inlineStr">
        <is>
          <t>adm2_name</t>
        </is>
      </c>
      <c r="B1" s="476" t="inlineStr">
        <is>
          <t>adm2_name_local</t>
        </is>
      </c>
      <c r="C1" s="476" t="inlineStr">
        <is>
          <t>adm2_pcode</t>
        </is>
      </c>
      <c r="D1" s="476" t="inlineStr">
        <is>
          <t>adm1_name</t>
        </is>
      </c>
      <c r="E1" s="476" t="inlineStr">
        <is>
          <t>adm1_pcode</t>
        </is>
      </c>
      <c r="F1" s="476" t="inlineStr">
        <is>
          <t>adm0_name</t>
        </is>
      </c>
      <c r="G1" s="476"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autoFilter ref="A1:G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2026-05-08T14:17:00Z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SIP_Label_46ec50b2-b191-4ad7-ba82-7deb0436e358_Enabled" fmtid="{D5CDD505-2E9C-101B-9397-08002B2CF9AE}" pid="3">
    <vt:lpwstr>true</vt:lpwstr>
  </property>
  <property name="MSIP_Label_46ec50b2-b191-4ad7-ba82-7deb0436e358_SetDate" fmtid="{D5CDD505-2E9C-101B-9397-08002B2CF9AE}" pid="4">
    <vt:lpwstr>2024-10-15T10:12:46Z</vt:lpwstr>
  </property>
  <property name="MSIP_Label_46ec50b2-b191-4ad7-ba82-7deb0436e358_Method" fmtid="{D5CDD505-2E9C-101B-9397-08002B2CF9AE}" pid="5">
    <vt:lpwstr>Privileged</vt:lpwstr>
  </property>
  <property name="MSIP_Label_46ec50b2-b191-4ad7-ba82-7deb0436e358_Name" fmtid="{D5CDD505-2E9C-101B-9397-08002B2CF9AE}" pid="6">
    <vt:lpwstr>Public - 1</vt:lpwstr>
  </property>
  <property name="MSIP_Label_46ec50b2-b191-4ad7-ba82-7deb0436e358_SiteId" fmtid="{D5CDD505-2E9C-101B-9397-08002B2CF9AE}" pid="7">
    <vt:lpwstr>de3cd3a3-3b37-48aa-974f-a35e5efb5851</vt:lpwstr>
  </property>
  <property name="MSIP_Label_46ec50b2-b191-4ad7-ba82-7deb0436e358_ActionId" fmtid="{D5CDD505-2E9C-101B-9397-08002B2CF9AE}" pid="8">
    <vt:lpwstr>fb10bf82-8e07-442e-a6ff-75b3710228a6</vt:lpwstr>
  </property>
  <property name="MSIP_Label_46ec50b2-b191-4ad7-ba82-7deb0436e358_ContentBits" fmtid="{D5CDD505-2E9C-101B-9397-08002B2CF9AE}" pid="9">
    <vt:lpwstr>0</vt:lpwstr>
  </property>
  <property name="MediaServiceImageTags" fmtid="{D5CDD505-2E9C-101B-9397-08002B2CF9AE}" pid="10">
    <vt:lpwstr/>
  </property>
</Properties>
</file>