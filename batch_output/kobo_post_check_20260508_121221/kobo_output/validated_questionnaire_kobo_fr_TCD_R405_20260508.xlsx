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rgb="FFA6A6A6"/>
      <sz val="11"/>
    </font>
    <font>
      <name val="Calibri"/>
      <family val="2"/>
      <strike val="1"/>
      <color rgb="FFFF0000"/>
      <sz val="11"/>
      <scheme val="minor"/>
    </font>
    <font>
      <name val="Calibri"/>
      <family val="2"/>
      <b val="1"/>
      <color rgb="FF000000"/>
      <sz val="11"/>
      <scheme val="minor"/>
    </font>
    <font>
      <name val="Calibri"/>
      <family val="2"/>
      <sz val="8"/>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rgb="FF000000"/>
      </patternFill>
    </fill>
    <fill>
      <patternFill patternType="solid">
        <fgColor rgb="FFF2DCDB"/>
        <bgColor rgb="FF000000"/>
      </patternFill>
    </fill>
    <fill>
      <patternFill patternType="solid">
        <fgColor rgb="FFEBF1DE"/>
        <bgColor rgb="FF000000"/>
      </patternFill>
    </fill>
    <fill>
      <patternFill patternType="solid">
        <fgColor theme="9" tint="0.5999938962981048"/>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right/>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410">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20"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7" fillId="0" borderId="28" applyAlignment="1" pivotButton="0" quotePrefix="0" xfId="10">
      <alignment horizontal="center" vertical="center" wrapText="1"/>
    </xf>
    <xf numFmtId="0" fontId="17" fillId="0" borderId="35" applyAlignment="1" pivotButton="0" quotePrefix="0" xfId="10">
      <alignment vertical="center" wrapText="1"/>
    </xf>
    <xf numFmtId="0" fontId="17" fillId="0" borderId="19" applyAlignment="1" pivotButton="0" quotePrefix="0" xfId="10">
      <alignment vertical="center" wrapText="1"/>
    </xf>
    <xf numFmtId="0" fontId="17" fillId="0" borderId="30" applyAlignment="1" pivotButton="0" quotePrefix="0" xfId="10">
      <alignment vertical="center" wrapText="1"/>
    </xf>
    <xf numFmtId="0" fontId="16" fillId="0" borderId="10" applyAlignment="1" pivotButton="0" quotePrefix="0" xfId="5">
      <alignment horizontal="left" vertical="center"/>
    </xf>
    <xf numFmtId="0" fontId="16" fillId="0" borderId="38" applyAlignment="1" pivotButton="0" quotePrefix="0" xfId="10">
      <alignment horizontal="left" vertical="center"/>
    </xf>
    <xf numFmtId="0" fontId="16" fillId="0" borderId="37" applyAlignment="1" pivotButton="0" quotePrefix="0" xfId="10">
      <alignment horizontal="left" vertical="center"/>
    </xf>
    <xf numFmtId="0" fontId="16" fillId="0" borderId="10" applyAlignment="1" pivotButton="0" quotePrefix="0" xfId="10">
      <alignment horizontal="left" vertical="center"/>
    </xf>
    <xf numFmtId="0" fontId="23" fillId="0" borderId="8" applyAlignment="1" pivotButton="0" quotePrefix="0" xfId="10">
      <alignment horizontal="center" vertical="center" wrapText="1"/>
    </xf>
    <xf numFmtId="0" fontId="23" fillId="0" borderId="5" applyAlignment="1" pivotButton="0" quotePrefix="0" xfId="10">
      <alignment horizontal="center" vertical="center" wrapText="1"/>
    </xf>
    <xf numFmtId="0" fontId="21" fillId="0" borderId="39" applyAlignment="1" applyProtection="1" pivotButton="0" quotePrefix="0" xfId="0">
      <alignment horizontal="center" vertical="center" wrapText="1"/>
      <protection locked="0" hidden="0"/>
    </xf>
    <xf numFmtId="0" fontId="18" fillId="0" borderId="26" applyAlignment="1" pivotButton="0" quotePrefix="0" xfId="10">
      <alignment horizontal="center" vertical="center"/>
    </xf>
    <xf numFmtId="0" fontId="16"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6" fillId="0" borderId="15" applyAlignment="1" pivotButton="0" quotePrefix="0" xfId="5">
      <alignment horizontal="left" vertical="center" wrapText="1"/>
    </xf>
    <xf numFmtId="0" fontId="23" fillId="0" borderId="15" applyAlignment="1" pivotButton="0" quotePrefix="0" xfId="10">
      <alignment horizontal="center" vertical="center" wrapText="1"/>
    </xf>
    <xf numFmtId="0" fontId="27" fillId="0" borderId="16" applyAlignment="1" pivotButton="0" quotePrefix="0" xfId="10">
      <alignment vertical="center" wrapText="1"/>
    </xf>
    <xf numFmtId="0" fontId="27" fillId="0" borderId="7" applyAlignment="1" pivotButton="0" quotePrefix="0" xfId="10">
      <alignment vertical="center" wrapText="1"/>
    </xf>
    <xf numFmtId="0" fontId="27" fillId="0" borderId="4" applyAlignment="1" pivotButton="0" quotePrefix="0" xfId="10">
      <alignment vertical="center" wrapText="1"/>
    </xf>
    <xf numFmtId="0" fontId="16" fillId="5" borderId="34" applyAlignment="1" pivotButton="0" quotePrefix="0" xfId="10">
      <alignment vertical="center"/>
    </xf>
    <xf numFmtId="0" fontId="17" fillId="5" borderId="35" applyAlignment="1" pivotButton="0" quotePrefix="0" xfId="10">
      <alignment vertical="center" wrapText="1"/>
    </xf>
    <xf numFmtId="0" fontId="17" fillId="5" borderId="36" applyAlignment="1" pivotButton="0" quotePrefix="0" xfId="10">
      <alignment horizontal="center" vertical="center" wrapText="1"/>
    </xf>
    <xf numFmtId="0" fontId="3" fillId="5" borderId="2" pivotButton="0" quotePrefix="0" xfId="10"/>
    <xf numFmtId="0" fontId="16" fillId="0" borderId="8" applyAlignment="1" pivotButton="0" quotePrefix="0" xfId="10">
      <alignment horizontal="left" vertical="center" wrapText="1"/>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1"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5"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1"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5" fillId="2" borderId="0" applyAlignment="1" applyProtection="1" pivotButton="0" quotePrefix="0" xfId="0">
      <alignment vertical="top" wrapText="1"/>
      <protection locked="0" hidden="0"/>
    </xf>
    <xf numFmtId="0" fontId="15"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5"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1"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16" fillId="0" borderId="5" applyAlignment="1" pivotButton="0" quotePrefix="0" xfId="10">
      <alignment horizontal="left" vertical="center" wrapText="1"/>
    </xf>
    <xf numFmtId="0" fontId="16" fillId="0" borderId="8" applyAlignment="1" pivotButton="0" quotePrefix="0" xfId="10">
      <alignment horizontal="left" vertical="center"/>
    </xf>
    <xf numFmtId="0" fontId="17" fillId="0" borderId="19" applyAlignment="1" pivotButton="0" quotePrefix="0" xfId="5">
      <alignment vertical="center" wrapText="1"/>
    </xf>
    <xf numFmtId="0" fontId="17"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1"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8" fillId="0" borderId="0" applyAlignment="1" pivotButton="0" quotePrefix="0" xfId="0">
      <alignment vertical="center"/>
    </xf>
    <xf numFmtId="0" fontId="28" fillId="0" borderId="0" applyAlignment="1" pivotButton="0" quotePrefix="0" xfId="0">
      <alignment vertical="top"/>
    </xf>
    <xf numFmtId="0" fontId="28" fillId="0" borderId="0" applyAlignment="1" pivotButton="0" quotePrefix="0" xfId="0">
      <alignment vertical="top" wrapText="1"/>
    </xf>
    <xf numFmtId="0" fontId="28" fillId="0" borderId="0" applyAlignment="1" applyProtection="1" pivotButton="0" quotePrefix="0" xfId="0">
      <alignment vertical="top"/>
      <protection locked="0" hidden="0"/>
    </xf>
    <xf numFmtId="0" fontId="28" fillId="2" borderId="0" applyAlignment="1" applyProtection="1" pivotButton="0" quotePrefix="0" xfId="0">
      <alignment vertical="top" wrapText="1"/>
      <protection locked="0" hidden="0"/>
    </xf>
    <xf numFmtId="0" fontId="28" fillId="2" borderId="0" applyAlignment="1" applyProtection="1" pivotButton="0" quotePrefix="0" xfId="0">
      <alignment vertical="top"/>
      <protection locked="0" hidden="0"/>
    </xf>
    <xf numFmtId="0" fontId="22" fillId="0" borderId="0" applyAlignment="1" applyProtection="1" pivotButton="0" quotePrefix="0" xfId="0">
      <alignment vertical="top" wrapText="1"/>
      <protection locked="0" hidden="0"/>
    </xf>
    <xf numFmtId="9" fontId="10"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49" fontId="28" fillId="0" borderId="0" applyAlignment="1" pivotButton="0" quotePrefix="0" xfId="0">
      <alignment horizontal="left" vertical="top" wrapText="1"/>
    </xf>
    <xf numFmtId="1" fontId="26" fillId="2" borderId="7" applyAlignment="1" applyProtection="1" pivotButton="0" quotePrefix="0" xfId="5">
      <alignment horizontal="center" vertical="center"/>
      <protection locked="0" hidden="0"/>
    </xf>
    <xf numFmtId="0" fontId="24" fillId="0" borderId="0" applyProtection="1" pivotButton="0" quotePrefix="0" xfId="0">
      <protection locked="0" hidden="0"/>
    </xf>
    <xf numFmtId="0" fontId="17" fillId="0" borderId="16" applyAlignment="1" pivotButton="0" quotePrefix="0" xfId="5">
      <alignment vertical="center" wrapText="1"/>
    </xf>
    <xf numFmtId="0" fontId="16" fillId="0" borderId="9" applyAlignment="1" pivotButton="0" quotePrefix="0" xfId="5">
      <alignment vertical="center" wrapText="1"/>
    </xf>
    <xf numFmtId="0" fontId="16" fillId="0" borderId="7" applyAlignment="1" pivotButton="0" quotePrefix="0" xfId="5">
      <alignment vertical="center" wrapText="1"/>
    </xf>
    <xf numFmtId="0" fontId="17"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165" fontId="10" fillId="0" borderId="0" applyAlignment="1" applyProtection="1" pivotButton="0" quotePrefix="0" xfId="0">
      <alignment horizontal="right" vertical="top"/>
      <protection locked="0" hidden="0"/>
    </xf>
    <xf numFmtId="0" fontId="7" fillId="0" borderId="33"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16" fillId="0" borderId="8" applyAlignment="1" pivotButton="0" quotePrefix="0" xfId="5">
      <alignment vertical="center"/>
    </xf>
    <xf numFmtId="0" fontId="16"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2" fillId="2" borderId="0" applyProtection="1" pivotButton="0" quotePrefix="0" xfId="0">
      <protection locked="0" hidden="0"/>
    </xf>
    <xf numFmtId="0" fontId="22" fillId="0" borderId="0" applyProtection="1" pivotButton="0" quotePrefix="0" xfId="0">
      <protection locked="0" hidden="0"/>
    </xf>
    <xf numFmtId="0" fontId="17" fillId="0" borderId="28" applyAlignment="1" pivotButton="0" quotePrefix="0" xfId="5">
      <alignment horizontal="center" vertical="center" wrapText="1"/>
    </xf>
    <xf numFmtId="0" fontId="16" fillId="0" borderId="44" applyAlignment="1" pivotButton="0" quotePrefix="0" xfId="5">
      <alignment vertical="center"/>
    </xf>
    <xf numFmtId="0" fontId="16"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10" fillId="0" borderId="0" applyAlignment="1" applyProtection="1" pivotButton="0" quotePrefix="0" xfId="2">
      <alignment vertical="top" wrapText="1"/>
      <protection locked="0" hidden="0"/>
    </xf>
    <xf numFmtId="0" fontId="9" fillId="0" borderId="0" applyAlignment="1" applyProtection="1" pivotButton="0" quotePrefix="0" xfId="3">
      <alignment horizontal="left" vertical="top" wrapText="1"/>
      <protection locked="0" hidden="0"/>
    </xf>
    <xf numFmtId="0" fontId="10"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10" fillId="0" borderId="0" applyAlignment="1" applyProtection="1" pivotButton="0" quotePrefix="0" xfId="0">
      <alignment horizontal="left" vertical="top" wrapText="1"/>
      <protection locked="0" hidden="0"/>
    </xf>
    <xf numFmtId="0" fontId="7" fillId="0" borderId="0" applyAlignment="1" pivotButton="0" quotePrefix="0" xfId="0">
      <alignment wrapText="1"/>
    </xf>
    <xf numFmtId="0" fontId="10" fillId="0" borderId="0" applyAlignment="1" applyProtection="1" pivotButton="0" quotePrefix="0" xfId="3">
      <alignment horizontal="left" vertical="top" wrapText="1"/>
      <protection locked="0" hidden="0"/>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10"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10" fillId="0" borderId="0" applyAlignment="1" applyProtection="1" pivotButton="0" quotePrefix="0" xfId="3">
      <alignment horizontal="left" vertical="center" wrapText="1"/>
      <protection locked="0" hidden="0"/>
    </xf>
    <xf numFmtId="0" fontId="10" fillId="0" borderId="0" applyAlignment="1" applyProtection="1" pivotButton="0" quotePrefix="0" xfId="2">
      <alignment horizontal="left" vertical="center" wrapText="1"/>
      <protection locked="0" hidden="0"/>
    </xf>
    <xf numFmtId="0" fontId="10" fillId="0" borderId="0" applyAlignment="1" applyProtection="1" pivotButton="0" quotePrefix="0" xfId="2">
      <alignment vertical="center" wrapText="1"/>
      <protection locked="0" hidden="0"/>
    </xf>
    <xf numFmtId="0" fontId="0" fillId="0" borderId="0" applyAlignment="1" applyProtection="1" pivotButton="0" quotePrefix="0" xfId="2">
      <alignment vertical="center" wrapText="1"/>
      <protection locked="0" hidden="0"/>
    </xf>
    <xf numFmtId="0" fontId="0" fillId="0" borderId="0" applyAlignment="1" pivotButton="0" quotePrefix="0" xfId="0">
      <alignment wrapText="1"/>
    </xf>
    <xf numFmtId="0" fontId="18" fillId="0" borderId="45" applyAlignment="1" pivotButton="0" quotePrefix="0" xfId="10">
      <alignment horizontal="center" vertical="center"/>
    </xf>
    <xf numFmtId="0" fontId="18" fillId="0" borderId="48" applyAlignment="1" pivotButton="0" quotePrefix="0" xfId="10">
      <alignment horizontal="center" vertical="center"/>
    </xf>
    <xf numFmtId="0" fontId="17" fillId="0" borderId="49" applyAlignment="1" pivotButton="0" quotePrefix="0" xfId="5">
      <alignment vertical="center" wrapText="1"/>
    </xf>
    <xf numFmtId="0" fontId="17" fillId="0" borderId="37" applyAlignment="1" pivotButton="0" quotePrefix="0" xfId="17">
      <alignment vertical="center" wrapText="1"/>
    </xf>
    <xf numFmtId="0" fontId="17" fillId="0" borderId="50" applyAlignment="1" pivotButton="0" quotePrefix="0" xfId="17">
      <alignment vertical="center" wrapText="1"/>
    </xf>
    <xf numFmtId="0" fontId="17" fillId="0" borderId="37" applyAlignment="1" pivotButton="0" quotePrefix="0" xfId="10">
      <alignment vertical="center" wrapText="1"/>
    </xf>
    <xf numFmtId="0" fontId="17" fillId="0" borderId="51" applyAlignment="1" pivotButton="0" quotePrefix="0" xfId="10">
      <alignment vertical="center" wrapText="1"/>
    </xf>
    <xf numFmtId="0" fontId="17" fillId="5" borderId="50" applyAlignment="1" pivotButton="0" quotePrefix="0" xfId="10">
      <alignment vertical="center" wrapText="1"/>
    </xf>
    <xf numFmtId="0" fontId="27" fillId="0" borderId="52" applyAlignment="1" pivotButton="0" quotePrefix="0" xfId="10">
      <alignment vertical="center" wrapText="1"/>
    </xf>
    <xf numFmtId="0" fontId="27" fillId="0" borderId="53" applyAlignment="1" pivotButton="0" quotePrefix="0" xfId="10">
      <alignment vertical="center" wrapText="1"/>
    </xf>
    <xf numFmtId="0" fontId="27" fillId="0" borderId="51" applyAlignment="1" pivotButton="0" quotePrefix="0" xfId="10">
      <alignment vertical="center" wrapText="1"/>
    </xf>
    <xf numFmtId="0" fontId="2" fillId="0" borderId="2" pivotButton="0" quotePrefix="0" xfId="17"/>
    <xf numFmtId="0" fontId="18"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6" fillId="0" borderId="38" applyAlignment="1" pivotButton="0" quotePrefix="0" xfId="17">
      <alignment horizontal="center" vertical="center" wrapText="1"/>
    </xf>
    <xf numFmtId="0" fontId="16" fillId="0" borderId="37" applyAlignment="1" pivotButton="0" quotePrefix="0" xfId="17">
      <alignment horizontal="center" vertical="center" wrapText="1"/>
    </xf>
    <xf numFmtId="0" fontId="17" fillId="0" borderId="37" applyAlignment="1" pivotButton="0" quotePrefix="0" xfId="17">
      <alignment horizontal="center" vertical="center" wrapText="1"/>
    </xf>
    <xf numFmtId="2" fontId="17" fillId="0" borderId="50" applyAlignment="1" pivotButton="0" quotePrefix="0" xfId="17">
      <alignment horizontal="center" vertical="center" wrapText="1"/>
    </xf>
    <xf numFmtId="0" fontId="17" fillId="0" borderId="51" applyAlignment="1" pivotButton="0" quotePrefix="0" xfId="17">
      <alignment horizontal="center" vertical="center" wrapText="1"/>
    </xf>
    <xf numFmtId="0" fontId="17" fillId="5" borderId="50" applyAlignment="1" pivotButton="0" quotePrefix="0" xfId="17">
      <alignment horizontal="center" vertical="center" wrapText="1"/>
    </xf>
    <xf numFmtId="0" fontId="16" fillId="0" borderId="56" applyAlignment="1" pivotButton="0" quotePrefix="0" xfId="5">
      <alignment vertical="center" wrapText="1"/>
    </xf>
    <xf numFmtId="0" fontId="17" fillId="0" borderId="57" applyAlignment="1" pivotButton="0" quotePrefix="0" xfId="5">
      <alignment vertical="center" wrapText="1"/>
    </xf>
    <xf numFmtId="164" fontId="17" fillId="0" borderId="52" applyAlignment="1" pivotButton="0" quotePrefix="0" xfId="7">
      <alignment horizontal="center" vertical="center" wrapText="1"/>
    </xf>
    <xf numFmtId="164" fontId="17" fillId="0" borderId="41" applyAlignment="1" pivotButton="0" quotePrefix="0" xfId="7">
      <alignment horizontal="center" vertical="center" wrapText="1"/>
    </xf>
    <xf numFmtId="164" fontId="17" fillId="0" borderId="53"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51" applyAlignment="1" pivotButton="0" quotePrefix="0" xfId="7">
      <alignment horizontal="center" vertical="center" wrapText="1"/>
    </xf>
    <xf numFmtId="164" fontId="17" fillId="0" borderId="22" applyAlignment="1" pivotButton="0" quotePrefix="0" xfId="7">
      <alignment horizontal="center" vertical="center" wrapText="1"/>
    </xf>
    <xf numFmtId="0" fontId="29" fillId="0" borderId="32" applyAlignment="1" pivotButton="0" quotePrefix="0" xfId="10">
      <alignment horizontal="center" vertical="center" wrapText="1"/>
    </xf>
    <xf numFmtId="0" fontId="29" fillId="0" borderId="28" applyAlignment="1" pivotButton="0" quotePrefix="0" xfId="10">
      <alignment horizontal="center" vertical="center" wrapText="1"/>
    </xf>
    <xf numFmtId="0" fontId="30" fillId="0" borderId="36" applyAlignment="1" pivotButton="0" quotePrefix="0" xfId="5">
      <alignment horizontal="center" vertical="center" wrapText="1"/>
    </xf>
    <xf numFmtId="0" fontId="30" fillId="0" borderId="28" applyAlignment="1" pivotButton="0" quotePrefix="0" xfId="10">
      <alignment horizontal="center" vertical="center" wrapText="1"/>
    </xf>
    <xf numFmtId="0" fontId="30" fillId="0" borderId="28" applyAlignment="1" pivotButton="0" quotePrefix="0" xfId="5">
      <alignment horizontal="center" vertical="center" wrapText="1"/>
    </xf>
    <xf numFmtId="0" fontId="30" fillId="0" borderId="42" applyAlignment="1" pivotButton="0" quotePrefix="0" xfId="5">
      <alignment horizontal="center" vertical="center"/>
    </xf>
    <xf numFmtId="0" fontId="30" fillId="0" borderId="43" applyAlignment="1" pivotButton="0" quotePrefix="0" xfId="5">
      <alignment horizontal="center" vertical="center"/>
    </xf>
    <xf numFmtId="0" fontId="30"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31" fillId="0" borderId="0" applyAlignment="1" applyProtection="1" pivotButton="0" quotePrefix="0" xfId="3">
      <alignment horizontal="left" vertical="top" wrapText="1"/>
      <protection locked="0" hidden="0"/>
    </xf>
    <xf numFmtId="0" fontId="31" fillId="0" borderId="0" applyAlignment="1" applyProtection="1" pivotButton="0" quotePrefix="0" xfId="0">
      <alignment vertical="top"/>
      <protection locked="0" hidden="0"/>
    </xf>
    <xf numFmtId="0" fontId="21" fillId="0" borderId="0" applyAlignment="1" applyProtection="1" pivotButton="0" quotePrefix="0" xfId="0">
      <alignment vertical="center"/>
      <protection locked="0" hidden="0"/>
    </xf>
    <xf numFmtId="0" fontId="6" fillId="0" borderId="0" applyAlignment="1" applyProtection="1" pivotButton="0" quotePrefix="0" xfId="0">
      <alignment vertical="top"/>
      <protection locked="0" hidden="0"/>
    </xf>
    <xf numFmtId="0" fontId="9" fillId="9" borderId="0" applyAlignment="1" applyProtection="1" pivotButton="0" quotePrefix="0" xfId="0">
      <alignment vertical="top" wrapText="1"/>
      <protection locked="0" hidden="0"/>
    </xf>
    <xf numFmtId="0" fontId="32"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9" fillId="10" borderId="0" applyAlignment="1" applyProtection="1" pivotButton="0" quotePrefix="0" xfId="0">
      <alignment vertical="top"/>
      <protection locked="0" hidden="0"/>
    </xf>
    <xf numFmtId="0" fontId="9" fillId="10" borderId="0" applyAlignment="1" applyProtection="1" pivotButton="0" quotePrefix="0" xfId="0">
      <alignment vertical="top" wrapText="1"/>
      <protection locked="0" hidden="0"/>
    </xf>
    <xf numFmtId="0" fontId="9" fillId="10" borderId="0" applyAlignment="1" applyProtection="1" pivotButton="0" quotePrefix="0" xfId="0">
      <alignment horizontal="left" vertical="center" wrapText="1"/>
      <protection locked="0" hidden="0"/>
    </xf>
    <xf numFmtId="0" fontId="9" fillId="10" borderId="0" applyAlignment="1" applyProtection="1" pivotButton="0" quotePrefix="0" xfId="0">
      <alignment vertical="center"/>
      <protection locked="0" hidden="0"/>
    </xf>
    <xf numFmtId="0" fontId="6" fillId="10" borderId="0" applyAlignment="1" applyProtection="1" pivotButton="0" quotePrefix="0" xfId="0">
      <alignment vertical="top"/>
      <protection locked="0" hidden="0"/>
    </xf>
    <xf numFmtId="0" fontId="6" fillId="10" borderId="0" applyAlignment="1" applyProtection="1" pivotButton="0" quotePrefix="0" xfId="0">
      <alignment vertical="top" wrapText="1"/>
      <protection locked="0" hidden="0"/>
    </xf>
    <xf numFmtId="0" fontId="6" fillId="9" borderId="0" applyAlignment="1" applyProtection="1" pivotButton="0" quotePrefix="0" xfId="0">
      <alignment vertical="top" wrapText="1"/>
      <protection locked="0" hidden="0"/>
    </xf>
    <xf numFmtId="0" fontId="6" fillId="9" borderId="0" applyAlignment="1" applyProtection="1" pivotButton="0" quotePrefix="0" xfId="0">
      <alignment vertical="top"/>
      <protection locked="0" hidden="0"/>
    </xf>
    <xf numFmtId="0" fontId="6" fillId="10" borderId="0" applyAlignment="1" applyProtection="1" pivotButton="0" quotePrefix="0" xfId="0">
      <alignment vertical="center"/>
      <protection locked="0" hidden="0"/>
    </xf>
    <xf numFmtId="0" fontId="6"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protection locked="0" hidden="0"/>
    </xf>
    <xf numFmtId="0" fontId="13" fillId="0" borderId="0" applyProtection="1" pivotButton="0" quotePrefix="0" xfId="0">
      <protection locked="0" hidden="0"/>
    </xf>
    <xf numFmtId="0" fontId="13"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13" fillId="10" borderId="0" applyAlignment="1" applyProtection="1" pivotButton="0" quotePrefix="0" xfId="0">
      <alignment vertical="center"/>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wrapText="1"/>
      <protection locked="0" hidden="0"/>
    </xf>
    <xf numFmtId="0" fontId="6" fillId="10" borderId="0" applyAlignment="1" applyProtection="1" pivotButton="0" quotePrefix="0" xfId="0">
      <alignment wrapText="1"/>
      <protection locked="0" hidden="0"/>
    </xf>
    <xf numFmtId="10" fontId="13" fillId="0" borderId="0" applyAlignment="1" applyProtection="1" pivotButton="0" quotePrefix="0" xfId="0">
      <alignment vertical="top"/>
      <protection locked="0" hidden="0"/>
    </xf>
    <xf numFmtId="0" fontId="33" fillId="10" borderId="0" applyAlignment="1" applyProtection="1" pivotButton="0" quotePrefix="0" xfId="0">
      <alignment vertical="top"/>
      <protection locked="0" hidden="0"/>
    </xf>
    <xf numFmtId="0" fontId="33" fillId="10" borderId="0" applyAlignment="1" applyProtection="1" pivotButton="0" quotePrefix="0" xfId="0">
      <alignment vertical="top" wrapText="1"/>
      <protection locked="0" hidden="0"/>
    </xf>
    <xf numFmtId="0" fontId="33" fillId="10" borderId="0" applyAlignment="1" applyProtection="1" pivotButton="0" quotePrefix="0" xfId="0">
      <alignment wrapText="1"/>
      <protection locked="0" hidden="0"/>
    </xf>
    <xf numFmtId="0" fontId="33" fillId="9" borderId="0" applyAlignment="1" applyProtection="1" pivotButton="0" quotePrefix="0" xfId="0">
      <alignment vertical="top" wrapText="1"/>
      <protection locked="0" hidden="0"/>
    </xf>
    <xf numFmtId="0" fontId="33" fillId="9" borderId="0" applyAlignment="1" applyProtection="1" pivotButton="0" quotePrefix="0" xfId="0">
      <alignment vertical="top"/>
      <protection locked="0" hidden="0"/>
    </xf>
    <xf numFmtId="0" fontId="33" fillId="10" borderId="0" applyAlignment="1" applyProtection="1" pivotButton="0" quotePrefix="0" xfId="0">
      <alignment vertical="center"/>
      <protection locked="0" hidden="0"/>
    </xf>
    <xf numFmtId="0" fontId="21" fillId="10" borderId="0" applyAlignment="1" applyProtection="1" pivotButton="0" quotePrefix="0" xfId="0">
      <alignment vertical="center"/>
      <protection locked="0" hidden="0"/>
    </xf>
    <xf numFmtId="0" fontId="3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3" fillId="10" borderId="0" applyProtection="1" pivotButton="0" quotePrefix="0" xfId="0">
      <protection locked="0" hidden="0"/>
    </xf>
    <xf numFmtId="0" fontId="13" fillId="10" borderId="0" applyAlignment="1" applyProtection="1" pivotButton="0" quotePrefix="0" xfId="0">
      <alignment wrapText="1"/>
      <protection locked="0" hidden="0"/>
    </xf>
    <xf numFmtId="0" fontId="13" fillId="9" borderId="0" applyAlignment="1" applyProtection="1" pivotButton="0" quotePrefix="0" xfId="0">
      <alignment wrapText="1"/>
      <protection locked="0" hidden="0"/>
    </xf>
    <xf numFmtId="0" fontId="13" fillId="9" borderId="0" applyProtection="1" pivotButton="0" quotePrefix="0" xfId="0">
      <protection locked="0" hidden="0"/>
    </xf>
    <xf numFmtId="0" fontId="11" fillId="10" borderId="0" applyAlignment="1" applyProtection="1" pivotButton="0" quotePrefix="0" xfId="0">
      <alignment vertical="top"/>
      <protection locked="0" hidden="0"/>
    </xf>
    <xf numFmtId="0" fontId="11" fillId="10" borderId="0" applyAlignment="1" applyProtection="1" pivotButton="0" quotePrefix="0" xfId="0">
      <alignment vertical="top" wrapText="1"/>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top"/>
      <protection locked="0" hidden="0"/>
    </xf>
    <xf numFmtId="0" fontId="11" fillId="10" borderId="0" applyAlignment="1" applyProtection="1" pivotButton="0" quotePrefix="0" xfId="0">
      <alignment vertical="center"/>
      <protection locked="0" hidden="0"/>
    </xf>
    <xf numFmtId="0" fontId="9" fillId="0" borderId="59" applyAlignment="1" applyProtection="1" pivotButton="0" quotePrefix="0" xfId="0">
      <alignment vertical="top"/>
      <protection locked="0" hidden="0"/>
    </xf>
    <xf numFmtId="0" fontId="10" fillId="0" borderId="59" applyAlignment="1" applyProtection="1" pivotButton="0" quotePrefix="0" xfId="0">
      <alignment vertical="top"/>
      <protection locked="0" hidden="0"/>
    </xf>
    <xf numFmtId="0" fontId="10" fillId="0" borderId="59" applyAlignment="1" applyProtection="1" pivotButton="0" quotePrefix="0" xfId="0">
      <alignment vertical="top" wrapText="1"/>
      <protection locked="0" hidden="0"/>
    </xf>
    <xf numFmtId="0" fontId="10" fillId="2" borderId="59" applyAlignment="1" applyProtection="1" pivotButton="0" quotePrefix="0" xfId="0">
      <alignment vertical="top" wrapText="1"/>
      <protection locked="0" hidden="0"/>
    </xf>
    <xf numFmtId="0" fontId="10" fillId="2" borderId="59" applyAlignment="1" applyProtection="1" pivotButton="0" quotePrefix="0" xfId="0">
      <alignment vertical="top"/>
      <protection locked="0" hidden="0"/>
    </xf>
    <xf numFmtId="0" fontId="10" fillId="0" borderId="59" applyAlignment="1" applyProtection="1" pivotButton="0" quotePrefix="0" xfId="0">
      <alignment vertical="center"/>
      <protection locked="0" hidden="0"/>
    </xf>
    <xf numFmtId="165" fontId="10" fillId="0" borderId="59" applyAlignment="1" applyProtection="1" pivotButton="0" quotePrefix="0" xfId="0">
      <alignment horizontal="right" vertical="top"/>
      <protection locked="0" hidden="0"/>
    </xf>
    <xf numFmtId="9" fontId="10" fillId="0" borderId="59" applyAlignment="1" applyProtection="1" pivotButton="0" quotePrefix="0" xfId="7">
      <alignment vertical="top"/>
      <protection locked="0" hidden="0"/>
    </xf>
    <xf numFmtId="165" fontId="10" fillId="0" borderId="59" applyAlignment="1" applyProtection="1" pivotButton="0" quotePrefix="0" xfId="0">
      <alignment vertical="top"/>
      <protection locked="0" hidden="0"/>
    </xf>
    <xf numFmtId="0" fontId="13" fillId="8" borderId="0" applyAlignment="1" applyProtection="1" pivotButton="0" quotePrefix="0" xfId="0">
      <alignment vertical="top" wrapText="1"/>
      <protection locked="0" hidden="0"/>
    </xf>
    <xf numFmtId="0" fontId="13" fillId="8"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center" wrapText="1"/>
      <protection locked="0" hidden="0"/>
    </xf>
    <xf numFmtId="0" fontId="9" fillId="8" borderId="0" applyProtection="1" pivotButton="0" quotePrefix="0" xfId="0">
      <protection locked="0" hidden="0"/>
    </xf>
    <xf numFmtId="0" fontId="9" fillId="9" borderId="0" applyProtection="1" pivotButton="0" quotePrefix="0" xfId="0">
      <protection locked="0" hidden="0"/>
    </xf>
    <xf numFmtId="0" fontId="9" fillId="10" borderId="0" applyProtection="1" pivotButton="0" quotePrefix="0" xfId="0">
      <protection locked="0" hidden="0"/>
    </xf>
    <xf numFmtId="0" fontId="11" fillId="9" borderId="0" applyProtection="1" pivotButton="0" quotePrefix="0" xfId="0">
      <protection locked="0" hidden="0"/>
    </xf>
    <xf numFmtId="0" fontId="6" fillId="10" borderId="0" applyProtection="1" pivotButton="0" quotePrefix="0" xfId="0">
      <protection locked="0" hidden="0"/>
    </xf>
    <xf numFmtId="0" fontId="6" fillId="9" borderId="0" applyProtection="1" pivotButton="0" quotePrefix="0" xfId="0">
      <protection locked="0" hidden="0"/>
    </xf>
    <xf numFmtId="0" fontId="11" fillId="10" borderId="0" applyProtection="1" pivotButton="0" quotePrefix="0" xfId="0">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6" fillId="10" borderId="0" pivotButton="0" quotePrefix="0" xfId="0"/>
    <xf numFmtId="0" fontId="13" fillId="10" borderId="0" pivotButton="0" quotePrefix="0" xfId="0"/>
    <xf numFmtId="0" fontId="13" fillId="0" borderId="0" pivotButton="0" quotePrefix="0" xfId="0"/>
    <xf numFmtId="0" fontId="13" fillId="9" borderId="0" pivotButton="0" quotePrefix="0" xfId="0"/>
    <xf numFmtId="0" fontId="25" fillId="0" borderId="0" applyProtection="1" pivotButton="0" quotePrefix="0" xfId="0">
      <protection locked="0" hidden="0"/>
    </xf>
    <xf numFmtId="0" fontId="25" fillId="2" borderId="0" applyProtection="1" pivotButton="0" quotePrefix="0" xfId="0">
      <protection locked="0" hidden="0"/>
    </xf>
    <xf numFmtId="0" fontId="25" fillId="0" borderId="0" applyAlignment="1" applyProtection="1" pivotButton="0" quotePrefix="0" xfId="0">
      <alignment vertical="top" wrapText="1"/>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165" fontId="25" fillId="0" borderId="0" applyAlignment="1" applyProtection="1" pivotButton="0" quotePrefix="0" xfId="0">
      <alignment horizontal="right" vertical="top"/>
      <protection locked="0" hidden="0"/>
    </xf>
    <xf numFmtId="9" fontId="25" fillId="0" borderId="0" applyAlignment="1" applyProtection="1" pivotButton="0" quotePrefix="0" xfId="7">
      <alignment vertical="top"/>
      <protection locked="0" hidden="0"/>
    </xf>
    <xf numFmtId="165" fontId="25" fillId="0" borderId="0" applyAlignment="1" applyProtection="1" pivotButton="0" quotePrefix="0" xfId="0">
      <alignment vertical="top"/>
      <protection locked="0" hidden="0"/>
    </xf>
    <xf numFmtId="0" fontId="25" fillId="10" borderId="0" applyAlignment="1" applyProtection="1" pivotButton="0" quotePrefix="0" xfId="0">
      <alignment vertical="top"/>
      <protection locked="0" hidden="0"/>
    </xf>
    <xf numFmtId="0" fontId="25" fillId="10" borderId="0" applyAlignment="1" applyProtection="1" pivotButton="0" quotePrefix="0" xfId="0">
      <alignment vertical="top" wrapText="1"/>
      <protection locked="0" hidden="0"/>
    </xf>
    <xf numFmtId="0" fontId="25" fillId="9" borderId="0" applyAlignment="1" applyProtection="1" pivotButton="0" quotePrefix="0" xfId="0">
      <alignment vertical="top" wrapText="1"/>
      <protection locked="0" hidden="0"/>
    </xf>
    <xf numFmtId="0" fontId="25" fillId="9" borderId="0" applyAlignment="1" applyProtection="1" pivotButton="0" quotePrefix="0" xfId="0">
      <alignment vertical="top"/>
      <protection locked="0" hidden="0"/>
    </xf>
    <xf numFmtId="0" fontId="25" fillId="10" borderId="0" applyAlignment="1" applyProtection="1" pivotButton="0" quotePrefix="0" xfId="0">
      <alignment vertical="center"/>
      <protection locked="0" hidden="0"/>
    </xf>
    <xf numFmtId="0" fontId="25" fillId="0" borderId="0" applyAlignment="1" applyProtection="1" pivotButton="0" quotePrefix="0" xfId="0">
      <alignment horizontal="right" vertical="top"/>
      <protection locked="0" hidden="0"/>
    </xf>
    <xf numFmtId="10" fontId="25" fillId="0" borderId="0" applyAlignment="1" applyProtection="1" pivotButton="0" quotePrefix="0" xfId="0">
      <alignment vertical="top"/>
      <protection locked="0" hidden="0"/>
    </xf>
    <xf numFmtId="0" fontId="25" fillId="10" borderId="0" applyAlignment="1" applyProtection="1" pivotButton="0" quotePrefix="0" xfId="0">
      <alignment wrapText="1"/>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165" fontId="9" fillId="11" borderId="0" applyAlignment="1" applyProtection="1" pivotButton="0" quotePrefix="0" xfId="0">
      <alignment horizontal="right" vertical="top"/>
      <protection locked="0" hidden="0"/>
    </xf>
    <xf numFmtId="9" fontId="9" fillId="11" borderId="0" applyAlignment="1" applyProtection="1" pivotButton="0" quotePrefix="0" xfId="7">
      <alignment vertical="top"/>
      <protection locked="0" hidden="0"/>
    </xf>
    <xf numFmtId="165" fontId="9" fillId="11" borderId="0" applyAlignment="1" applyProtection="1" pivotButton="0" quotePrefix="0" xfId="0">
      <alignment vertical="top"/>
      <protection locked="0" hidden="0"/>
    </xf>
    <xf numFmtId="0" fontId="9" fillId="11" borderId="0" applyAlignment="1" applyProtection="1" pivotButton="0" quotePrefix="0" xfId="0">
      <alignment vertical="top"/>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9"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1" fillId="8"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11" fillId="8" borderId="0" applyAlignment="1" applyProtection="1" pivotButton="0" quotePrefix="0" xfId="0">
      <alignment vertical="top" wrapText="1"/>
      <protection locked="0" hidden="0"/>
    </xf>
    <xf numFmtId="0" fontId="9" fillId="9" borderId="0" applyAlignment="1" applyProtection="1" pivotButton="0" quotePrefix="0" xfId="0">
      <alignment vertical="top" wrapText="1"/>
      <protection locked="0" hidden="0"/>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9"/>
  <sheetViews>
    <sheetView tabSelected="1" topLeftCell="D1" zoomScaleNormal="100" workbookViewId="0">
      <pane ySplit="1" topLeftCell="A49" activePane="bottomLeft" state="frozen"/>
      <selection pane="bottomLeft" activeCell="L61" sqref="L61:L62"/>
    </sheetView>
  </sheetViews>
  <sheetFormatPr baseColWidth="8" defaultColWidth="8.6328125" defaultRowHeight="14.5"/>
  <cols>
    <col width="21.08984375" customWidth="1" style="36" min="1" max="1"/>
    <col width="25.6328125" customWidth="1" style="36" min="2" max="2"/>
    <col width="66" customWidth="1" style="37" min="3" max="4"/>
    <col width="16.6328125" customWidth="1" style="37" min="5" max="5"/>
    <col width="28" customWidth="1" style="36" min="6" max="7"/>
    <col width="15.453125" customWidth="1" style="36" min="8" max="8"/>
    <col width="8.6328125" customWidth="1" style="109" min="9" max="9"/>
    <col width="13.6328125" customWidth="1" style="109" min="10" max="10"/>
    <col width="29.08984375" customWidth="1" style="109" min="11" max="11"/>
    <col width="31.08984375" customWidth="1" style="109" min="12" max="12"/>
    <col width="8.6328125" customWidth="1" style="109" min="13" max="16"/>
    <col width="8.6328125" customWidth="1" style="36" min="17" max="19"/>
    <col width="169.36328125" customWidth="1" style="36" min="20" max="20"/>
    <col hidden="1" width="9.453125" customWidth="1" style="36" min="21" max="21"/>
    <col hidden="1" width="8.6328125" customWidth="1" style="36" min="22" max="22"/>
    <col hidden="1" width="18.08984375" customWidth="1" style="395" min="23" max="23"/>
    <col hidden="1" width="18.36328125" customWidth="1" style="151" min="24" max="24"/>
    <col width="14.08984375" customWidth="1" style="398" min="25" max="25"/>
    <col width="19.6328125" customWidth="1" style="398" min="26" max="26"/>
    <col width="8.6328125" customWidth="1" style="398" min="27" max="27"/>
    <col width="8.6328125" customWidth="1" style="36" min="28" max="28"/>
    <col width="8.6328125" customWidth="1" style="36" min="29" max="16384"/>
  </cols>
  <sheetData>
    <row r="1" ht="49.25" customFormat="1" customHeight="1" s="100" thickBot="1">
      <c r="A1" s="96" t="inlineStr">
        <is>
          <t>type</t>
        </is>
      </c>
      <c r="B1" s="96" t="inlineStr">
        <is>
          <t>name</t>
        </is>
      </c>
      <c r="C1" s="97" t="inlineStr">
        <is>
          <t>label::English (en)</t>
        </is>
      </c>
      <c r="D1" s="97" t="inlineStr">
        <is>
          <t>label::French (fr)</t>
        </is>
      </c>
      <c r="E1" s="98" t="inlineStr">
        <is>
          <t>label::</t>
        </is>
      </c>
      <c r="F1" s="96" t="inlineStr">
        <is>
          <t>hint::English (en)</t>
        </is>
      </c>
      <c r="G1" s="96" t="inlineStr">
        <is>
          <t>hint::French (fr)</t>
        </is>
      </c>
      <c r="H1" s="99" t="inlineStr">
        <is>
          <t>hint::</t>
        </is>
      </c>
      <c r="I1" s="96" t="inlineStr">
        <is>
          <t>required</t>
        </is>
      </c>
      <c r="J1" s="96" t="inlineStr">
        <is>
          <t>appearance</t>
        </is>
      </c>
      <c r="K1" s="96" t="inlineStr">
        <is>
          <t>constraint</t>
        </is>
      </c>
      <c r="L1" s="96" t="inlineStr">
        <is>
          <t>constraint_message</t>
        </is>
      </c>
      <c r="M1" s="96" t="inlineStr">
        <is>
          <t>relevant</t>
        </is>
      </c>
      <c r="N1" s="96" t="inlineStr">
        <is>
          <t>choice_filter</t>
        </is>
      </c>
      <c r="O1" s="96" t="inlineStr">
        <is>
          <t>parameters</t>
        </is>
      </c>
      <c r="P1" s="96" t="inlineStr">
        <is>
          <t>calculation</t>
        </is>
      </c>
      <c r="U1" s="177" t="inlineStr">
        <is>
          <t xml:space="preserve">Mandatory </t>
        </is>
      </c>
      <c r="W1" s="178" t="inlineStr">
        <is>
          <t>New question duration (sec)</t>
        </is>
      </c>
      <c r="X1" s="179" t="inlineStr">
        <is>
          <t>Estimated percentage of repondents</t>
        </is>
      </c>
      <c r="Y1" s="180" t="inlineStr">
        <is>
          <t>Weighted time</t>
        </is>
      </c>
      <c r="Z1" s="30" t="inlineStr">
        <is>
          <t>Weighted time for core vars</t>
        </is>
      </c>
      <c r="AA1" s="101" t="n"/>
    </row>
    <row r="2">
      <c r="A2" s="57" t="inlineStr">
        <is>
          <t>start</t>
        </is>
      </c>
      <c r="B2" s="57" t="inlineStr">
        <is>
          <t>start</t>
        </is>
      </c>
      <c r="C2" s="35" t="n"/>
      <c r="D2" s="35" t="n"/>
      <c r="E2" s="70" t="n"/>
      <c r="F2" s="57" t="n"/>
      <c r="G2" s="57" t="n"/>
      <c r="H2" s="71" t="n"/>
      <c r="I2" s="102" t="n"/>
      <c r="J2" s="102" t="n"/>
      <c r="K2" s="102" t="n"/>
      <c r="L2" s="102" t="n"/>
      <c r="M2" s="102" t="n"/>
      <c r="N2" s="102" t="n"/>
      <c r="O2" s="102" t="n"/>
      <c r="P2" s="102" t="n"/>
      <c r="W2" s="172" t="n"/>
      <c r="Y2" s="152">
        <f>IF(W2&lt;&gt;"",W2*X2,"")</f>
        <v/>
      </c>
      <c r="Z2" s="152">
        <f>IF(AND(W2&lt;&gt;"",U2="yes"),W2*X2,"")</f>
        <v/>
      </c>
    </row>
    <row r="3">
      <c r="A3" s="57" t="inlineStr">
        <is>
          <t>end</t>
        </is>
      </c>
      <c r="B3" s="57" t="inlineStr">
        <is>
          <t>end</t>
        </is>
      </c>
      <c r="C3" s="35" t="n"/>
      <c r="D3" s="35" t="n"/>
      <c r="E3" s="70" t="n"/>
      <c r="F3" s="57" t="n"/>
      <c r="G3" s="57" t="n"/>
      <c r="H3" s="71" t="n"/>
      <c r="I3" s="102" t="n"/>
      <c r="J3" s="102" t="n"/>
      <c r="K3" s="102" t="n"/>
      <c r="L3" s="102" t="n"/>
      <c r="M3" s="102" t="n"/>
      <c r="N3" s="102" t="n"/>
      <c r="O3" s="102" t="n"/>
      <c r="P3" s="102" t="n"/>
      <c r="W3" s="172" t="n"/>
      <c r="Y3" s="152">
        <f>IF(W3&lt;&gt;"",W3*X3,"")</f>
        <v/>
      </c>
      <c r="Z3" s="152">
        <f>IF(AND(W3&lt;&gt;"",U3="yes"),W3*X3,"")</f>
        <v/>
      </c>
    </row>
    <row r="4">
      <c r="A4" s="57" t="inlineStr">
        <is>
          <t>today</t>
        </is>
      </c>
      <c r="B4" s="57" t="inlineStr">
        <is>
          <t>today</t>
        </is>
      </c>
      <c r="C4" s="35" t="n"/>
      <c r="D4" s="35" t="n"/>
      <c r="E4" s="70" t="n"/>
      <c r="F4" s="57" t="n"/>
      <c r="G4" s="57" t="n"/>
      <c r="H4" s="71" t="n"/>
      <c r="I4" s="102" t="n"/>
      <c r="J4" s="102" t="n"/>
      <c r="K4" s="102" t="n"/>
      <c r="L4" s="102" t="n"/>
      <c r="M4" s="102" t="n"/>
      <c r="N4" s="102" t="n"/>
      <c r="O4" s="102" t="n"/>
      <c r="P4" s="102" t="n"/>
      <c r="W4" s="172" t="n"/>
      <c r="Y4" s="152">
        <f>IF(W4&lt;&gt;"",W4*X4,"")</f>
        <v/>
      </c>
      <c r="Z4" s="152">
        <f>IF(AND(W4&lt;&gt;"",U4="yes"),W4*X4,"")</f>
        <v/>
      </c>
    </row>
    <row r="5">
      <c r="A5" s="57" t="inlineStr">
        <is>
          <t>deviceid</t>
        </is>
      </c>
      <c r="B5" s="57" t="inlineStr">
        <is>
          <t>deviceid</t>
        </is>
      </c>
      <c r="C5" s="35" t="n"/>
      <c r="D5" s="35" t="n"/>
      <c r="E5" s="70" t="n"/>
      <c r="F5" s="57" t="n"/>
      <c r="G5" s="57" t="n"/>
      <c r="H5" s="71" t="n"/>
      <c r="I5" s="102" t="n"/>
      <c r="J5" s="102" t="n"/>
      <c r="K5" s="102" t="n"/>
      <c r="L5" s="102" t="n"/>
      <c r="M5" s="102" t="n"/>
      <c r="N5" s="102" t="n"/>
      <c r="O5" s="102" t="n"/>
      <c r="P5" s="102" t="n"/>
      <c r="W5" s="172" t="n"/>
      <c r="Y5" s="152">
        <f>IF(W5&lt;&gt;"",W5*X5,"")</f>
        <v/>
      </c>
      <c r="Z5" s="152">
        <f>IF(AND(W5&lt;&gt;"",U5="yes"),W5*X5,"")</f>
        <v/>
      </c>
    </row>
    <row r="6">
      <c r="A6" s="57" t="inlineStr">
        <is>
          <t>audit</t>
        </is>
      </c>
      <c r="B6" s="57" t="inlineStr">
        <is>
          <t>audit</t>
        </is>
      </c>
      <c r="C6" s="35" t="n"/>
      <c r="D6" s="35" t="n"/>
      <c r="E6" s="70" t="n"/>
      <c r="F6" s="57" t="n"/>
      <c r="G6" s="57" t="n"/>
      <c r="H6" s="71" t="n"/>
      <c r="I6" s="102" t="n"/>
      <c r="J6" s="102" t="n"/>
      <c r="K6" s="102" t="n"/>
      <c r="L6" s="102" t="n"/>
      <c r="M6" s="102" t="n"/>
      <c r="N6" s="102" t="n"/>
      <c r="O6" s="102" t="n"/>
      <c r="P6" s="102" t="n"/>
      <c r="W6" s="172" t="n"/>
      <c r="Y6" s="152" t="n"/>
      <c r="Z6" s="152" t="n"/>
    </row>
    <row r="7">
      <c r="A7" s="57" t="inlineStr">
        <is>
          <t>calculate</t>
        </is>
      </c>
      <c r="B7" s="57" t="inlineStr">
        <is>
          <t>audio_random</t>
        </is>
      </c>
      <c r="C7" s="35" t="n"/>
      <c r="D7" s="35" t="n"/>
      <c r="E7" s="70" t="n"/>
      <c r="F7" s="57" t="n"/>
      <c r="G7" s="57" t="n"/>
      <c r="H7" s="71" t="n"/>
      <c r="I7" s="102" t="n"/>
      <c r="J7" s="102" t="n"/>
      <c r="K7" s="102" t="n"/>
      <c r="L7" s="102" t="n"/>
      <c r="M7" s="36" t="n"/>
      <c r="N7" s="102" t="n"/>
      <c r="O7" s="102" t="n"/>
      <c r="P7" s="102" t="inlineStr">
        <is>
          <t>once(random())</t>
        </is>
      </c>
      <c r="W7" s="172" t="n"/>
      <c r="Y7" s="152" t="n"/>
      <c r="Z7" s="152" t="n"/>
    </row>
    <row r="8">
      <c r="A8" s="57" t="inlineStr">
        <is>
          <t>background-audio</t>
        </is>
      </c>
      <c r="B8" s="57" t="inlineStr">
        <is>
          <t>background-audio</t>
        </is>
      </c>
      <c r="C8" s="35" t="n"/>
      <c r="D8" s="35" t="n"/>
      <c r="E8" s="70" t="n"/>
      <c r="F8" s="57" t="n"/>
      <c r="G8" s="57" t="n"/>
      <c r="H8" s="71" t="n"/>
      <c r="I8" s="102" t="n"/>
      <c r="J8" s="102" t="n"/>
      <c r="K8" s="102" t="n"/>
      <c r="L8" s="102" t="n"/>
      <c r="M8" s="102" t="inlineStr">
        <is>
          <t>${audio_random}&lt;=0.02</t>
        </is>
      </c>
      <c r="N8" s="102" t="n"/>
      <c r="O8" s="102" t="inlineStr">
        <is>
          <t>quality=low</t>
        </is>
      </c>
      <c r="P8" s="102" t="n"/>
      <c r="W8" s="172" t="n"/>
      <c r="Y8" s="152" t="n"/>
      <c r="Z8" s="152" t="n"/>
    </row>
    <row r="9" ht="16.25" customFormat="1" customHeight="1" s="59">
      <c r="A9" s="59" t="inlineStr">
        <is>
          <t>select_one enumteam</t>
        </is>
      </c>
      <c r="B9" s="59" t="inlineStr">
        <is>
          <t>enum_team</t>
        </is>
      </c>
      <c r="C9" s="60" t="inlineStr">
        <is>
          <t>Enumerator team number or code</t>
        </is>
      </c>
      <c r="D9" s="60" t="inlineStr">
        <is>
          <t>Numéro ou code de l'équipe d'enquêteurs</t>
        </is>
      </c>
      <c r="E9" s="61" t="n"/>
      <c r="H9" s="65" t="n"/>
      <c r="I9" s="103" t="n"/>
      <c r="J9" s="103" t="n"/>
      <c r="L9" s="103" t="n"/>
      <c r="M9" s="103" t="n"/>
      <c r="N9" s="103" t="n"/>
      <c r="O9" s="103" t="n"/>
      <c r="P9" s="103" t="n"/>
      <c r="W9" s="176" t="n"/>
      <c r="X9" s="156" t="n"/>
      <c r="Y9" s="155" t="n"/>
      <c r="Z9" s="155" t="n"/>
    </row>
    <row r="10" ht="16.25" customHeight="1">
      <c r="A10" s="57" t="inlineStr">
        <is>
          <t>select_one enumerator</t>
        </is>
      </c>
      <c r="B10" s="57" t="inlineStr">
        <is>
          <t>enumerator</t>
        </is>
      </c>
      <c r="C10" s="35" t="inlineStr">
        <is>
          <t>Name of enumerator</t>
        </is>
      </c>
      <c r="D10" s="35" t="inlineStr">
        <is>
          <t>Nom de l'énquêteur</t>
        </is>
      </c>
      <c r="E10" s="70" t="n"/>
      <c r="F10" s="57" t="n"/>
      <c r="G10" s="57" t="n"/>
      <c r="H10" s="71" t="n"/>
      <c r="I10" s="102" t="inlineStr">
        <is>
          <t>true</t>
        </is>
      </c>
      <c r="J10" s="102" t="n"/>
      <c r="K10" s="102" t="n"/>
      <c r="L10" s="102" t="n"/>
      <c r="M10" s="102" t="n"/>
      <c r="N10" s="103" t="inlineStr">
        <is>
          <t>my_filter_admin=${enum_team}</t>
        </is>
      </c>
      <c r="O10" s="102" t="n"/>
      <c r="P10" s="102" t="n"/>
      <c r="U10" s="36" t="inlineStr">
        <is>
          <t>yes</t>
        </is>
      </c>
      <c r="W10" s="172" t="n"/>
      <c r="Y10" s="152">
        <f>IF(W10&lt;&gt;"",W10*X10,"")</f>
        <v/>
      </c>
      <c r="Z10" s="152">
        <f>IF(AND(W10&lt;&gt;"",U10="yes"),W10*X10,"")</f>
        <v/>
      </c>
    </row>
    <row r="11">
      <c r="A11" s="57" t="inlineStr">
        <is>
          <t>calculate</t>
        </is>
      </c>
      <c r="B11" s="57" t="inlineStr">
        <is>
          <t>enumerator_</t>
        </is>
      </c>
      <c r="C11" s="35" t="n"/>
      <c r="D11" s="35" t="n"/>
      <c r="E11" s="70" t="n"/>
      <c r="F11" s="57" t="n"/>
      <c r="G11" s="57" t="n"/>
      <c r="H11" s="71" t="n"/>
      <c r="I11" s="102" t="n"/>
      <c r="J11" s="102" t="n"/>
      <c r="K11" s="102" t="n"/>
      <c r="L11" s="102" t="n"/>
      <c r="M11" s="102" t="n"/>
      <c r="N11" s="102" t="n"/>
      <c r="O11" s="102" t="n"/>
      <c r="P11" s="102" t="inlineStr">
        <is>
          <t>jr:choice-name(${enumerator},'${enumerator}')</t>
        </is>
      </c>
      <c r="U11" s="36" t="inlineStr">
        <is>
          <t>yes</t>
        </is>
      </c>
      <c r="W11" s="172" t="n"/>
      <c r="Y11" s="152">
        <f>IF(W11&lt;&gt;"",W11*X11,"")</f>
        <v/>
      </c>
      <c r="Z11" s="152">
        <f>IF(AND(W11&lt;&gt;"",U11="yes"),W11*X11,"")</f>
        <v/>
      </c>
    </row>
    <row r="12">
      <c r="A12" s="36" t="inlineStr">
        <is>
          <t>calculate</t>
        </is>
      </c>
      <c r="B12" s="57" t="inlineStr">
        <is>
          <t>Sample</t>
        </is>
      </c>
      <c r="E12" s="70" t="n"/>
      <c r="H12" s="71" t="n"/>
      <c r="P12" s="109" t="inlineStr">
        <is>
          <t>concat('F2F')</t>
        </is>
      </c>
      <c r="W12" s="172" t="n"/>
      <c r="Y12" s="152" t="n"/>
      <c r="Z12" s="152" t="n"/>
    </row>
    <row r="13" ht="16.25" customFormat="1" customHeight="1" s="59" thickBot="1">
      <c r="A13" s="66" t="n"/>
      <c r="B13" s="66" t="n"/>
      <c r="C13" s="67" t="n"/>
      <c r="D13" s="67" t="n"/>
      <c r="E13" s="68" t="n"/>
      <c r="F13" s="66" t="n"/>
      <c r="G13" s="66" t="n"/>
      <c r="H13" s="69" t="n"/>
      <c r="I13" s="105" t="n"/>
      <c r="J13" s="105" t="n"/>
      <c r="K13" s="105" t="n"/>
      <c r="L13" s="105" t="n"/>
      <c r="M13" s="105" t="n"/>
      <c r="N13" s="105" t="n"/>
      <c r="O13" s="105" t="n"/>
      <c r="P13" s="105" t="n"/>
      <c r="W13" s="172" t="n"/>
      <c r="X13" s="151" t="n"/>
      <c r="Y13" s="152" t="n"/>
      <c r="Z13" s="152" t="n"/>
      <c r="AA13" s="398" t="n"/>
    </row>
    <row r="14" ht="257" customHeight="1" thickTop="1">
      <c r="A14" s="57" t="inlineStr">
        <is>
          <t>note</t>
        </is>
      </c>
      <c r="B14" s="57" t="inlineStr">
        <is>
          <t>introduction</t>
        </is>
      </c>
      <c r="C14" s="20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00"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is>
      </c>
      <c r="E14" s="70" t="n"/>
      <c r="F14" s="57" t="inlineStr">
        <is>
          <t>[INSTRUCTIONS: ADDRESS QUESTIONS FROM RESPONDENT, IF ANY.]</t>
        </is>
      </c>
      <c r="G14" s="57" t="inlineStr">
        <is>
          <t>[OPÉRATEUR/OPÉRATRICE: LE CAS ÉCHÉANT, RÉPONDRE AUX QUESTIONS DE LA PERSONNE INTERROGÉE.]</t>
        </is>
      </c>
      <c r="H14" s="71" t="n"/>
      <c r="I14" s="102" t="inlineStr">
        <is>
          <t>false</t>
        </is>
      </c>
      <c r="J14" s="102" t="n"/>
      <c r="K14" s="102" t="n"/>
      <c r="L14" s="102" t="n"/>
      <c r="M14" s="102" t="n"/>
      <c r="N14" s="102" t="n"/>
      <c r="O14" s="102" t="n"/>
      <c r="P14" s="102" t="n"/>
      <c r="U14" s="36" t="inlineStr">
        <is>
          <t>no</t>
        </is>
      </c>
      <c r="W14" s="172" t="n">
        <v>50.82254028320312</v>
      </c>
      <c r="Y14" s="152">
        <f>IF(W14&lt;&gt;"",W14*X14,"")</f>
        <v/>
      </c>
      <c r="Z14" s="152">
        <f>IF(AND(W14&lt;&gt;"",U14="yes"),W14*X14,"")</f>
        <v/>
      </c>
    </row>
    <row r="15" ht="16.25" customHeight="1">
      <c r="A15" s="57" t="inlineStr">
        <is>
          <t>select_one yesno</t>
        </is>
      </c>
      <c r="B15" s="57" t="inlineStr">
        <is>
          <t>resp_agree</t>
        </is>
      </c>
      <c r="C15" s="35" t="inlineStr">
        <is>
          <t>Are you interested in participating in this survey?</t>
        </is>
      </c>
      <c r="D15" s="35" t="inlineStr">
        <is>
          <t>Souhaitez-vous participer à cette enquête?</t>
        </is>
      </c>
      <c r="E15" s="70" t="n"/>
      <c r="F15" s="57" t="n"/>
      <c r="G15" s="57" t="n"/>
      <c r="H15" s="71" t="n"/>
      <c r="I15" s="102" t="inlineStr">
        <is>
          <t>false</t>
        </is>
      </c>
      <c r="J15" s="102" t="n"/>
      <c r="K15" s="102" t="n"/>
      <c r="L15" s="102" t="n"/>
      <c r="M15" s="102" t="n"/>
      <c r="N15" s="102" t="n"/>
      <c r="O15" s="102" t="n"/>
      <c r="P15" s="102" t="n"/>
      <c r="U15" s="36" t="inlineStr">
        <is>
          <t>yes</t>
        </is>
      </c>
      <c r="W15" s="172" t="n">
        <v>3.5</v>
      </c>
      <c r="X15" s="151">
        <f>1</f>
        <v/>
      </c>
      <c r="Y15" s="152">
        <f>IF(W15&lt;&gt;"",W15*X15,"")</f>
        <v/>
      </c>
      <c r="Z15" s="152">
        <f>IF(AND(W15&lt;&gt;"",U15="yes"),W15*X15,"")</f>
        <v/>
      </c>
    </row>
    <row r="16" ht="16.25" customFormat="1" customHeight="1" s="59">
      <c r="A16" s="398" t="inlineStr">
        <is>
          <t>geopoint</t>
        </is>
      </c>
      <c r="B16" s="398" t="inlineStr">
        <is>
          <t>gps_1</t>
        </is>
      </c>
      <c r="C16" s="38" t="inlineStr">
        <is>
          <t xml:space="preserve">GPS INSTRUCTION: Take a GPS measurement. </t>
        </is>
      </c>
      <c r="D16" s="37" t="inlineStr">
        <is>
          <t>INSTRUCTION : Récupérer les coordonnées GPS.</t>
        </is>
      </c>
      <c r="E16" s="61" t="n"/>
      <c r="F16" s="398" t="inlineStr">
        <is>
          <t>NOTE: It might take a few minutes for the tablet to register the GPS. Wait for it to load. If it takes longer than 3 minutes, skip to the next question. You can take the GPS reading at the end of the interview.</t>
        </is>
      </c>
      <c r="G16" s="39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6" s="65" t="n"/>
      <c r="I16" s="109" t="inlineStr">
        <is>
          <t>false</t>
        </is>
      </c>
      <c r="J16" s="103" t="n"/>
      <c r="K16" s="103" t="n"/>
      <c r="L16" s="103" t="n"/>
      <c r="M16" s="109" t="inlineStr">
        <is>
          <t>${resp_agree} = '1'</t>
        </is>
      </c>
      <c r="N16" s="103" t="n"/>
      <c r="O16" s="103" t="n"/>
      <c r="P16" s="103" t="n"/>
      <c r="W16" s="172" t="n">
        <v>0</v>
      </c>
      <c r="X16" s="151" t="n">
        <v>1</v>
      </c>
      <c r="Y16" s="152">
        <f>IF(W16&lt;&gt;"",W16*X16,"")</f>
        <v/>
      </c>
      <c r="Z16" s="152" t="n"/>
      <c r="AA16" s="398" t="n"/>
    </row>
    <row r="17" ht="16.25" customFormat="1" customHeight="1" s="398">
      <c r="A17" s="62" t="inlineStr">
        <is>
          <t>note</t>
        </is>
      </c>
      <c r="B17" s="62" t="inlineStr">
        <is>
          <t>Refusal</t>
        </is>
      </c>
      <c r="C17" s="63" t="inlineStr">
        <is>
          <t>Thank you for your time, you will be removed from today's survey.</t>
        </is>
      </c>
      <c r="D17" s="63" t="inlineStr">
        <is>
          <t>Merci pour votre temps. Vous serez écarté de l'enquête d'aujourd'hui.</t>
        </is>
      </c>
      <c r="E17" s="81" t="n"/>
      <c r="F17" s="62" t="n"/>
      <c r="G17" s="62" t="n"/>
      <c r="H17" s="83" t="n"/>
      <c r="I17" s="104" t="inlineStr">
        <is>
          <t>false</t>
        </is>
      </c>
      <c r="J17" s="104" t="n"/>
      <c r="K17" s="104" t="n"/>
      <c r="L17" s="104" t="n"/>
      <c r="M17" s="104" t="inlineStr">
        <is>
          <t>${resp_agree} = '2'</t>
        </is>
      </c>
      <c r="N17" s="104" t="n"/>
      <c r="O17" s="104" t="n"/>
      <c r="P17" s="104" t="n"/>
      <c r="U17" s="398" t="inlineStr">
        <is>
          <t>no</t>
        </is>
      </c>
      <c r="W17" s="172" t="n">
        <v>0</v>
      </c>
      <c r="X17" s="151" t="n">
        <v>1</v>
      </c>
      <c r="Y17" s="152">
        <f>IF(W17&lt;&gt;"",W17*X17,"")</f>
        <v/>
      </c>
      <c r="Z17" s="152">
        <f>IF(AND(W17&lt;&gt;"",U17="yes"),W17*X17,"")</f>
        <v/>
      </c>
    </row>
    <row r="18" ht="16.25" customFormat="1" customHeight="1" s="398" thickBot="1">
      <c r="A18" s="72" t="n"/>
      <c r="B18" s="72" t="n"/>
      <c r="C18" s="73" t="n"/>
      <c r="D18" s="73" t="n"/>
      <c r="E18" s="74" t="n"/>
      <c r="F18" s="72" t="n"/>
      <c r="G18" s="72" t="n"/>
      <c r="H18" s="75" t="n"/>
      <c r="I18" s="106" t="n"/>
      <c r="J18" s="106" t="n"/>
      <c r="K18" s="106" t="n"/>
      <c r="L18" s="106" t="n"/>
      <c r="M18" s="106" t="n"/>
      <c r="N18" s="106" t="n"/>
      <c r="O18" s="106" t="n"/>
      <c r="P18" s="106" t="n"/>
      <c r="W18" s="172" t="n"/>
      <c r="X18" s="151" t="n"/>
      <c r="Y18" s="152">
        <f>IF(W18&lt;&gt;"",W18*X18,"")</f>
        <v/>
      </c>
      <c r="Z18" s="152">
        <f>IF(AND(W18&lt;&gt;"",U18="yes"),W18*X18,"")</f>
        <v/>
      </c>
    </row>
    <row r="19" ht="17" customFormat="1" customHeight="1" s="55" thickTop="1">
      <c r="A19" s="52" t="inlineStr">
        <is>
          <t>begin_group</t>
        </is>
      </c>
      <c r="B19" s="52" t="inlineStr">
        <is>
          <t>eligibility</t>
        </is>
      </c>
      <c r="C19" s="76" t="inlineStr">
        <is>
          <t>ELIGIBILITY CRITERIA</t>
        </is>
      </c>
      <c r="D19" s="76" t="inlineStr">
        <is>
          <t>CRITÈRES D'ÉLIGIBILITÉ</t>
        </is>
      </c>
      <c r="E19" s="53" t="n"/>
      <c r="F19" s="52" t="n"/>
      <c r="G19" s="52" t="n"/>
      <c r="H19" s="54" t="n"/>
      <c r="I19" s="107" t="inlineStr">
        <is>
          <t>false</t>
        </is>
      </c>
      <c r="J19" s="107" t="n"/>
      <c r="K19" s="107" t="n"/>
      <c r="L19" s="107" t="n"/>
      <c r="M19" s="108" t="inlineStr">
        <is>
          <t>${resp_agree} = '1'</t>
        </is>
      </c>
      <c r="N19" s="107" t="n"/>
      <c r="O19" s="107" t="n"/>
      <c r="P19" s="107" t="n"/>
      <c r="U19" s="36" t="inlineStr">
        <is>
          <t>yes</t>
        </is>
      </c>
      <c r="W19" s="172" t="n"/>
      <c r="X19" s="151" t="n"/>
      <c r="Y19" s="152">
        <f>IF(W19&lt;&gt;"",W19*X19,"")</f>
        <v/>
      </c>
      <c r="Z19" s="152">
        <f>IF(AND(W19&lt;&gt;"",U19="yes"),W19*X19,"")</f>
        <v/>
      </c>
      <c r="AA19" s="56" t="n"/>
    </row>
    <row r="20" customFormat="1" s="59">
      <c r="C20" s="60" t="n"/>
      <c r="D20" s="60" t="n"/>
      <c r="E20" s="61" t="n"/>
      <c r="H20" s="65" t="n"/>
      <c r="I20" s="103" t="n"/>
      <c r="J20" s="103" t="n"/>
      <c r="K20" s="103" t="n"/>
      <c r="L20" s="103" t="n"/>
      <c r="M20" s="103" t="n"/>
      <c r="N20" s="103" t="n"/>
      <c r="O20" s="103" t="n"/>
      <c r="P20" s="103" t="n"/>
      <c r="W20" s="172" t="n"/>
      <c r="X20" s="398" t="n"/>
      <c r="Y20" s="152">
        <f>IF(W20&lt;&gt;"",W20*X20,"")</f>
        <v/>
      </c>
      <c r="Z20" s="152">
        <f>IF(AND(W20&lt;&gt;"",U20="yes"),W20*X20,"")</f>
        <v/>
      </c>
      <c r="AA20" s="398" t="n"/>
    </row>
    <row r="21" ht="16.25" customFormat="1" customHeight="1" s="59">
      <c r="A21" s="62" t="inlineStr">
        <is>
          <t>text</t>
        </is>
      </c>
      <c r="B21" s="62" t="inlineStr">
        <is>
          <t>resp_firstname</t>
        </is>
      </c>
      <c r="C21" s="63" t="inlineStr">
        <is>
          <t>What is your first name?</t>
        </is>
      </c>
      <c r="D21" s="63" t="inlineStr">
        <is>
          <t>Quel est votre prénom?</t>
        </is>
      </c>
      <c r="E21" s="61" t="n"/>
      <c r="F21" s="398" t="inlineStr">
        <is>
          <t>[INSTRUCTIONS: RECORD THE RESPONDENT'S FIRST NAME. ENTER 999 FOR REFUSED]</t>
        </is>
      </c>
      <c r="G21" s="398" t="inlineStr">
        <is>
          <t>[INSTRUCTIONS : SAISIR LE PRÉNOM DE LA PERSONNE INTÉRROGÉE. SAISIR 999 POUR REFUSÉ.]</t>
        </is>
      </c>
      <c r="H21" s="65" t="n"/>
      <c r="I21" s="104" t="inlineStr">
        <is>
          <t>true</t>
        </is>
      </c>
      <c r="J21" s="104" t="n"/>
      <c r="K21" s="104" t="n"/>
      <c r="L21" s="104" t="n"/>
      <c r="M21" s="104" t="n"/>
      <c r="N21" s="104" t="n"/>
      <c r="O21" s="104" t="n"/>
      <c r="P21" s="104" t="n"/>
      <c r="U21" s="398" t="inlineStr">
        <is>
          <t>yes</t>
        </is>
      </c>
      <c r="W21" s="172" t="n">
        <v>10</v>
      </c>
      <c r="X21" s="151">
        <f>1</f>
        <v/>
      </c>
      <c r="Y21" s="152">
        <f>IF(W21&lt;&gt;"",W21*X21,"")</f>
        <v/>
      </c>
      <c r="Z21" s="152">
        <f>IF(AND(W21&lt;&gt;"",U21="yes"),W21*X21,"")</f>
        <v/>
      </c>
      <c r="AA21" s="398" t="n"/>
    </row>
    <row r="22" ht="16.25" customFormat="1" customHeight="1" s="59">
      <c r="A22" s="62" t="inlineStr">
        <is>
          <t>text</t>
        </is>
      </c>
      <c r="B22" s="62" t="inlineStr">
        <is>
          <t>resp_lastname</t>
        </is>
      </c>
      <c r="C22" s="63" t="inlineStr">
        <is>
          <t>What is your last name?</t>
        </is>
      </c>
      <c r="D22" s="63" t="inlineStr">
        <is>
          <t>Quel est votre nom de famille?</t>
        </is>
      </c>
      <c r="E22" s="61" t="n"/>
      <c r="F22" s="398" t="inlineStr">
        <is>
          <t>[INSTRUCTIONS: RECORD THE RESPONDENT'S LAST NAME. ENTER 999 FOR REFUSED]</t>
        </is>
      </c>
      <c r="G22" s="398" t="inlineStr">
        <is>
          <t>[INSTRUCTIONS : SAISIR LE PRÉNOM DE LA PERSONNE INTÉRROGÉE. SAISIR 999 POUR REFUSÉ.]</t>
        </is>
      </c>
      <c r="H22" s="65" t="n"/>
      <c r="I22" s="104" t="inlineStr">
        <is>
          <t>true</t>
        </is>
      </c>
      <c r="J22" s="104" t="n"/>
      <c r="K22" s="104" t="n"/>
      <c r="L22" s="104" t="n"/>
      <c r="M22" s="104" t="n"/>
      <c r="N22" s="104" t="n"/>
      <c r="O22" s="104" t="n"/>
      <c r="P22" s="104" t="n"/>
      <c r="U22" s="398" t="inlineStr">
        <is>
          <t>yes</t>
        </is>
      </c>
      <c r="W22" s="172" t="n">
        <v>10</v>
      </c>
      <c r="X22" s="151">
        <f>1</f>
        <v/>
      </c>
      <c r="Y22" s="152">
        <f>IF(W22&lt;&gt;"",W22*X22,"")</f>
        <v/>
      </c>
      <c r="Z22" s="152">
        <f>IF(AND(W22&lt;&gt;"",U22="yes"),W22*X22,"")</f>
        <v/>
      </c>
      <c r="AA22" s="398" t="n"/>
    </row>
    <row r="23" customFormat="1" s="59">
      <c r="C23" s="60" t="n"/>
      <c r="E23" s="61" t="n"/>
      <c r="H23" s="65" t="n"/>
      <c r="I23" s="103" t="n"/>
      <c r="J23" s="103" t="n"/>
      <c r="K23" s="103" t="n"/>
      <c r="L23" s="103" t="n"/>
      <c r="M23" s="103" t="n"/>
      <c r="N23" s="103" t="n"/>
      <c r="O23" s="103" t="n"/>
      <c r="P23" s="103" t="n"/>
      <c r="W23" s="172" t="n"/>
      <c r="X23" s="151">
        <f>1</f>
        <v/>
      </c>
      <c r="Y23" s="152">
        <f>IF(W23&lt;&gt;"",W23*X23,"")</f>
        <v/>
      </c>
      <c r="Z23" s="152">
        <f>IF(AND(W23&lt;&gt;"",U23="yes"),W23*X23,"")</f>
        <v/>
      </c>
      <c r="AA23" s="398" t="n"/>
    </row>
    <row r="24" ht="16.25" customHeight="1">
      <c r="A24" s="57" t="inlineStr">
        <is>
          <t>integer</t>
        </is>
      </c>
      <c r="B24" s="57" t="inlineStr">
        <is>
          <t>resp_age</t>
        </is>
      </c>
      <c r="C24" s="35" t="inlineStr">
        <is>
          <t>How old are you?</t>
        </is>
      </c>
      <c r="D24" s="63" t="inlineStr">
        <is>
          <t>Quel âge avez-vous (en années)?</t>
        </is>
      </c>
      <c r="E24" s="81" t="n"/>
      <c r="F24" s="62" t="inlineStr">
        <is>
          <t>[INSTRUCTIONS: RECORD AGE IN NUMBER OF YEARS. ROUND UP TO NEAREST WHOLE NUMBER. IF THE RESPONDENT GIVES BIRTH YEAR, REPEAT THE QUESTION. ENTER 888 FOR DON'T KNOW.]</t>
        </is>
      </c>
      <c r="G24" s="57" t="inlineStr">
        <is>
          <t>[INSTRUCTIONS :  SAISIR L'ÂGE EN ANNÉES. ARRONDIR AU NOMBRE ENTIER LE PLUS PROCHE. SI LE RÉPONDANT DONNE SON ANNÉE DE NAISSANCE, RÉPÉTER LA QUESTION. SAISIR 888 POUR JE NE SAIS PAS.]</t>
        </is>
      </c>
      <c r="H24" s="71" t="n"/>
      <c r="I24" s="102" t="inlineStr">
        <is>
          <t>true</t>
        </is>
      </c>
      <c r="J24" s="102" t="n"/>
      <c r="K24" s="102" t="inlineStr">
        <is>
          <t>(. &gt;= 18 and . &lt;= 100) or . = 888</t>
        </is>
      </c>
      <c r="L24" s="102" t="n"/>
      <c r="M24" s="102" t="n"/>
      <c r="N24" s="102" t="n"/>
      <c r="O24" s="102" t="n"/>
      <c r="P24" s="102" t="n"/>
      <c r="U24" s="36" t="inlineStr">
        <is>
          <t>yes</t>
        </is>
      </c>
      <c r="W24" s="172" t="n">
        <v>13.75307273864746</v>
      </c>
      <c r="X24" s="151">
        <f>1</f>
        <v/>
      </c>
      <c r="Y24" s="152">
        <f>IF(W24&lt;&gt;"",W24*X24,"")</f>
        <v/>
      </c>
      <c r="Z24" s="152">
        <f>IF(AND(W24&lt;&gt;"",U24="yes"),W24*X24,"")</f>
        <v/>
      </c>
    </row>
    <row r="25">
      <c r="E25" s="70" t="n"/>
      <c r="H25" s="71" t="n"/>
      <c r="W25" s="172" t="n"/>
      <c r="X25" s="151">
        <f>1</f>
        <v/>
      </c>
      <c r="Y25" s="152">
        <f>IF(W25&lt;&gt;"",W25*X25,"")</f>
        <v/>
      </c>
      <c r="Z25" s="152">
        <f>IF(AND(W25&lt;&gt;"",U25="yes"),W25*X25,"")</f>
        <v/>
      </c>
    </row>
    <row r="26" ht="16.25" customFormat="1" customHeight="1" s="398">
      <c r="A26" s="62" t="inlineStr">
        <is>
          <t>select_one gender</t>
        </is>
      </c>
      <c r="B26" s="62" t="inlineStr">
        <is>
          <t>resp_gender</t>
        </is>
      </c>
      <c r="C26" s="63" t="inlineStr">
        <is>
          <t>What is the gender of the respondent?</t>
        </is>
      </c>
      <c r="D26" s="63" t="inlineStr">
        <is>
          <t xml:space="preserve">Quel est le sexe du répondant?  </t>
        </is>
      </c>
      <c r="E26" s="81" t="n"/>
      <c r="F26" s="398" t="inlineStr">
        <is>
          <t>[INSTRUCTIONS: DO NOT ASK THIS QUESTION OUT LOUD. SELECT THE GENDER OF THE RESPONDENT.]</t>
        </is>
      </c>
      <c r="G26" s="398" t="inlineStr">
        <is>
          <t>[OPÉRATEUR/OPÉRATRICE: NE PAS POSER CETTE QUESTION À VOIX HAUTE. INDIQUER LE SEXE DU RÉPONDANT.]</t>
        </is>
      </c>
      <c r="H26" s="83" t="n"/>
      <c r="I26" s="397" t="inlineStr">
        <is>
          <t>true</t>
        </is>
      </c>
      <c r="J26" s="397" t="n"/>
      <c r="K26" s="397" t="n"/>
      <c r="L26" s="397" t="n"/>
      <c r="M26" s="397" t="n"/>
      <c r="N26" s="397" t="n"/>
      <c r="O26" s="397" t="n"/>
      <c r="P26" s="397" t="n"/>
      <c r="U26" s="398" t="inlineStr">
        <is>
          <t>yes</t>
        </is>
      </c>
      <c r="W26" s="172" t="n">
        <v>2.117356061935425</v>
      </c>
      <c r="X26" s="151">
        <f>1</f>
        <v/>
      </c>
      <c r="Y26" s="152">
        <f>IF(W26&lt;&gt;"",W26*X26,"")</f>
        <v/>
      </c>
      <c r="Z26" s="152">
        <f>IF(AND(W26&lt;&gt;"",U26="yes"),W26*X26,"")</f>
        <v/>
      </c>
    </row>
    <row r="27" customFormat="1" s="59">
      <c r="C27" s="60" t="n"/>
      <c r="D27" s="60" t="n"/>
      <c r="E27" s="61" t="n"/>
      <c r="H27" s="65" t="n"/>
      <c r="I27" s="103" t="n"/>
      <c r="J27" s="103" t="n"/>
      <c r="K27" s="103" t="n"/>
      <c r="L27" s="110" t="n"/>
      <c r="M27" s="103" t="n"/>
      <c r="N27" s="103" t="n"/>
      <c r="O27" s="103" t="n"/>
      <c r="P27" s="103" t="n"/>
      <c r="W27" s="172" t="n"/>
      <c r="X27" s="151">
        <f>1</f>
        <v/>
      </c>
      <c r="Y27" s="152">
        <f>IF(W27&lt;&gt;"",W27*X27,"")</f>
        <v/>
      </c>
      <c r="Z27" s="152">
        <f>IF(AND(W27&lt;&gt;"",U27="yes"),W27*X27,"")</f>
        <v/>
      </c>
      <c r="AA27" s="398" t="n"/>
    </row>
    <row r="28" ht="16.25" customFormat="1" customHeight="1" s="78">
      <c r="A28" s="142" t="inlineStr">
        <is>
          <t>text</t>
        </is>
      </c>
      <c r="B28" s="142" t="inlineStr">
        <is>
          <t>phone_number_personal</t>
        </is>
      </c>
      <c r="C28" s="143" t="inlineStr">
        <is>
          <t>What is your phone number?</t>
        </is>
      </c>
      <c r="D28" s="143" t="inlineStr">
        <is>
          <t>Quel est votre numéro de téléphone ?</t>
        </is>
      </c>
      <c r="E28" s="145" t="n"/>
      <c r="F28" s="144" t="n"/>
      <c r="G28" s="144" t="n"/>
      <c r="H28" s="146" t="n"/>
      <c r="I28" s="141" t="inlineStr">
        <is>
          <t>true</t>
        </is>
      </c>
      <c r="J28" s="141" t="inlineStr">
        <is>
          <t>numbers</t>
        </is>
      </c>
      <c r="K28" s="112" t="inlineStr">
        <is>
          <t>regex(.,’^[0-9]{8}$’)</t>
        </is>
      </c>
      <c r="L28" s="141" t="inlineStr">
        <is>
          <t>Please enter the telephone number in the correct format, e.g. 60000000</t>
        </is>
      </c>
      <c r="M28" s="141" t="n"/>
      <c r="N28" s="141" t="n"/>
      <c r="O28" s="141" t="n"/>
      <c r="P28" s="111" t="n"/>
      <c r="U28" s="144" t="inlineStr">
        <is>
          <t>yes - panel</t>
        </is>
      </c>
      <c r="W28" s="172" t="n">
        <v>10</v>
      </c>
      <c r="X28" s="151">
        <f>1</f>
        <v/>
      </c>
      <c r="Y28" s="152">
        <f>IF(W28&lt;&gt;"",W28*X28,"")</f>
        <v/>
      </c>
      <c r="Z28" s="152">
        <f>IF(AND(W28&lt;&gt;"",U28="yes"),W28*X28,"")</f>
        <v/>
      </c>
    </row>
    <row r="29" ht="48" customFormat="1" customHeight="1" s="78">
      <c r="A29" s="142" t="inlineStr">
        <is>
          <t>select_one contact_info</t>
        </is>
      </c>
      <c r="B29" s="142" t="inlineStr">
        <is>
          <t>contact_2</t>
        </is>
      </c>
      <c r="C29" s="143" t="inlineStr">
        <is>
          <t>Can you give me an additional phone number belonging to you, another household member or a close relation living outside of the household at which you can be reached?</t>
        </is>
      </c>
      <c r="D29" s="143" t="inlineStr">
        <is>
          <t>Pouvez-vous me donner un numéro de téléphone supplémentaire, le vôtre, celui d'un autre membre du ménage ou d’un proche vivant en dehors du ménage, auquel vous pouvez être joint?</t>
        </is>
      </c>
      <c r="E29" s="145" t="n"/>
      <c r="F29" s="144" t="n"/>
      <c r="G29" s="144" t="n"/>
      <c r="H29" s="146" t="n"/>
      <c r="I29" s="141" t="inlineStr">
        <is>
          <t>true</t>
        </is>
      </c>
      <c r="J29" s="141" t="n"/>
      <c r="K29" s="111" t="n"/>
      <c r="L29" s="141" t="n"/>
      <c r="M29" s="141" t="n"/>
      <c r="N29" s="141" t="n"/>
      <c r="O29" s="141" t="n"/>
      <c r="P29" s="111" t="n"/>
      <c r="U29" s="144" t="inlineStr">
        <is>
          <t>yes - panel</t>
        </is>
      </c>
      <c r="W29" s="172" t="n">
        <v>10</v>
      </c>
      <c r="X29" s="151">
        <f>1</f>
        <v/>
      </c>
      <c r="Y29" s="152">
        <f>IF(W29&lt;&gt;"",W29*X29,"")</f>
        <v/>
      </c>
      <c r="Z29" s="152">
        <f>IF(AND(W29&lt;&gt;"",U29="yes"),W29*X29,"")</f>
        <v/>
      </c>
    </row>
    <row r="30" ht="16.25" customFormat="1" customHeight="1" s="78">
      <c r="A30" s="142" t="inlineStr">
        <is>
          <t>text</t>
        </is>
      </c>
      <c r="B30" s="142" t="inlineStr">
        <is>
          <t>phone_number_2</t>
        </is>
      </c>
      <c r="C30" s="143" t="inlineStr">
        <is>
          <t>What is the additional phone number?</t>
        </is>
      </c>
      <c r="D30" s="143" t="inlineStr">
        <is>
          <t>Quel est cet autre numéro de téléphone ?</t>
        </is>
      </c>
      <c r="E30" s="145" t="n"/>
      <c r="F30" s="144" t="n"/>
      <c r="G30" s="144" t="n"/>
      <c r="H30" s="146" t="n"/>
      <c r="I30" s="141" t="inlineStr">
        <is>
          <t>true</t>
        </is>
      </c>
      <c r="J30" s="141" t="inlineStr">
        <is>
          <t>numbers</t>
        </is>
      </c>
      <c r="K30" s="112" t="inlineStr">
        <is>
          <t>regex(.,’^[0-9]{8}$’)</t>
        </is>
      </c>
      <c r="L30" s="141" t="inlineStr">
        <is>
          <t>Please enter the telephone number in the correct format, e.g. 60000000</t>
        </is>
      </c>
      <c r="M30" s="141" t="inlineStr">
        <is>
          <t xml:space="preserve">${contact_2} = '1' or ${contact_2} = '2' or ${contact_2} = '3' </t>
        </is>
      </c>
      <c r="N30" s="141" t="n"/>
      <c r="O30" s="141" t="n"/>
      <c r="P30" s="111" t="n"/>
      <c r="U30" s="144" t="inlineStr">
        <is>
          <t>yes - panel</t>
        </is>
      </c>
      <c r="W30" s="172" t="n">
        <v>10</v>
      </c>
      <c r="X30" s="151">
        <f>1</f>
        <v/>
      </c>
      <c r="Y30" s="152">
        <f>IF(W30&lt;&gt;"",W30*X30,"")</f>
        <v/>
      </c>
      <c r="Z30" s="152">
        <f>IF(AND(W30&lt;&gt;"",U30="yes"),W30*X30,"")</f>
        <v/>
      </c>
    </row>
    <row r="31" ht="16.25" customFormat="1" customHeight="1" s="78">
      <c r="A31" s="142" t="inlineStr">
        <is>
          <t>text</t>
        </is>
      </c>
      <c r="B31" s="142" t="inlineStr">
        <is>
          <t>contact_2_name</t>
        </is>
      </c>
      <c r="C31" s="143" t="inlineStr">
        <is>
          <t>What is the name of the contact?</t>
        </is>
      </c>
      <c r="D31" s="143" t="inlineStr">
        <is>
          <t>Quel est le nom du contact associé à ce numéro de téléphone ?</t>
        </is>
      </c>
      <c r="E31" s="145" t="n"/>
      <c r="F31" s="144" t="n"/>
      <c r="G31" s="144" t="n"/>
      <c r="H31" s="146" t="n"/>
      <c r="I31" s="141" t="inlineStr">
        <is>
          <t>true</t>
        </is>
      </c>
      <c r="J31" s="141" t="n"/>
      <c r="K31" s="111" t="n"/>
      <c r="L31" s="141" t="n"/>
      <c r="M31" s="141" t="inlineStr">
        <is>
          <t xml:space="preserve">${contact_2} = '2' or ${contact_2} = '3' </t>
        </is>
      </c>
      <c r="N31" s="141" t="n"/>
      <c r="O31" s="141" t="n"/>
      <c r="P31" s="111" t="n"/>
      <c r="U31" s="144" t="inlineStr">
        <is>
          <t>yes - panel</t>
        </is>
      </c>
      <c r="W31" s="172" t="n">
        <v>10</v>
      </c>
      <c r="X31" s="151">
        <f>1</f>
        <v/>
      </c>
      <c r="Y31" s="152">
        <f>IF(W31&lt;&gt;"",W31*X31,"")</f>
        <v/>
      </c>
      <c r="Z31" s="152">
        <f>IF(AND(W31&lt;&gt;"",U31="yes"),W31*X31,"")</f>
        <v/>
      </c>
    </row>
    <row r="32" ht="48" customFormat="1" customHeight="1" s="78">
      <c r="A32" s="142" t="inlineStr">
        <is>
          <t>select_one contact_info</t>
        </is>
      </c>
      <c r="B32" s="142" t="inlineStr">
        <is>
          <t>contact_3</t>
        </is>
      </c>
      <c r="C32" s="143" t="inlineStr">
        <is>
          <t>Can you give me an additional phone number belonging to you, another household member or a close relation living outside of the household at which you can be reached?</t>
        </is>
      </c>
      <c r="D32" s="143" t="inlineStr">
        <is>
          <t>Pouvez-vous me donner un numéro de téléphone supplémentaire, le vôtre, celui d'un autre membre du ménage ou d’un proche vivant en dehors du ménage, auquel vous pouvez être joint?</t>
        </is>
      </c>
      <c r="E32" s="145" t="n"/>
      <c r="F32" s="57" t="n"/>
      <c r="G32" s="57" t="n"/>
      <c r="H32" s="146" t="n"/>
      <c r="I32" s="141" t="inlineStr">
        <is>
          <t>true</t>
        </is>
      </c>
      <c r="J32" s="141" t="n"/>
      <c r="K32" s="111" t="n"/>
      <c r="L32" s="141" t="n"/>
      <c r="M32" s="141" t="inlineStr">
        <is>
          <t xml:space="preserve">${contact_2} = '1' or ${contact_2} = '2' or ${contact_2} = '3' </t>
        </is>
      </c>
      <c r="N32" s="141" t="n"/>
      <c r="O32" s="141" t="n"/>
      <c r="P32" s="111" t="n"/>
      <c r="U32" s="144" t="inlineStr">
        <is>
          <t>yes - panel</t>
        </is>
      </c>
      <c r="W32" s="172" t="n">
        <v>10</v>
      </c>
      <c r="X32" s="151">
        <f>1</f>
        <v/>
      </c>
      <c r="Y32" s="152">
        <f>IF(W32&lt;&gt;"",W32*X32,"")</f>
        <v/>
      </c>
      <c r="Z32" s="152">
        <f>IF(AND(W32&lt;&gt;"",U32="yes"),W32*X32,"")</f>
        <v/>
      </c>
    </row>
    <row r="33" ht="16.25" customFormat="1" customHeight="1" s="78">
      <c r="A33" s="142" t="inlineStr">
        <is>
          <t>text</t>
        </is>
      </c>
      <c r="B33" s="142" t="inlineStr">
        <is>
          <t>phone_number_3</t>
        </is>
      </c>
      <c r="C33" s="143" t="inlineStr">
        <is>
          <t>What is the additional phone number?</t>
        </is>
      </c>
      <c r="D33" s="143" t="inlineStr">
        <is>
          <t>Quel est cet autre numéro de téléphone ?</t>
        </is>
      </c>
      <c r="E33" s="145" t="n"/>
      <c r="F33" s="144" t="n"/>
      <c r="G33" s="144" t="n"/>
      <c r="H33" s="146" t="n"/>
      <c r="I33" s="141" t="inlineStr">
        <is>
          <t>true</t>
        </is>
      </c>
      <c r="J33" s="141" t="inlineStr">
        <is>
          <t>numbers</t>
        </is>
      </c>
      <c r="K33" s="112" t="inlineStr">
        <is>
          <t>regex(.,’^[0-9]{8}$’)</t>
        </is>
      </c>
      <c r="L33" s="141" t="inlineStr">
        <is>
          <t>Please enter the telephone number in the correct format, e.g. 60000000</t>
        </is>
      </c>
      <c r="M33" s="141" t="inlineStr">
        <is>
          <t xml:space="preserve">${contact_3} = '1' or ${contact_3} = '2' or ${contact_3} = '3' </t>
        </is>
      </c>
      <c r="N33" s="141" t="n"/>
      <c r="O33" s="141" t="n"/>
      <c r="P33" s="111" t="n"/>
      <c r="U33" s="144" t="inlineStr">
        <is>
          <t>yes - panel</t>
        </is>
      </c>
      <c r="W33" s="172" t="n">
        <v>10</v>
      </c>
      <c r="X33" s="151">
        <f>1</f>
        <v/>
      </c>
      <c r="Y33" s="152">
        <f>IF(W33&lt;&gt;"",W33*X33,"")</f>
        <v/>
      </c>
      <c r="Z33" s="152">
        <f>IF(AND(W33&lt;&gt;"",U33="yes"),W33*X33,"")</f>
        <v/>
      </c>
    </row>
    <row r="34" ht="16.25" customFormat="1" customHeight="1" s="78">
      <c r="A34" s="142" t="inlineStr">
        <is>
          <t>text</t>
        </is>
      </c>
      <c r="B34" s="142" t="inlineStr">
        <is>
          <t>contact_3_name</t>
        </is>
      </c>
      <c r="C34" s="143" t="inlineStr">
        <is>
          <t>What is the name of the contact?</t>
        </is>
      </c>
      <c r="D34" s="143" t="inlineStr">
        <is>
          <t>Quel est le nom du contact associé à ce numéro de téléphone ?</t>
        </is>
      </c>
      <c r="E34" s="145" t="n"/>
      <c r="F34" s="144" t="n"/>
      <c r="G34" s="144" t="n"/>
      <c r="H34" s="146" t="n"/>
      <c r="I34" s="141" t="inlineStr">
        <is>
          <t>true</t>
        </is>
      </c>
      <c r="J34" s="141" t="n"/>
      <c r="K34" s="111" t="n"/>
      <c r="L34" s="141" t="n"/>
      <c r="M34" s="141" t="inlineStr">
        <is>
          <t xml:space="preserve">${contact_3} = '2' or ${contact_3} = '3' </t>
        </is>
      </c>
      <c r="N34" s="141" t="n"/>
      <c r="O34" s="141" t="n"/>
      <c r="P34" s="111" t="n"/>
      <c r="U34" s="144" t="inlineStr">
        <is>
          <t>yes - panel</t>
        </is>
      </c>
      <c r="W34" s="172" t="n">
        <v>10</v>
      </c>
      <c r="X34" s="151">
        <f>1</f>
        <v/>
      </c>
      <c r="Y34" s="152">
        <f>IF(W34&lt;&gt;"",W34*X34,"")</f>
        <v/>
      </c>
      <c r="Z34" s="152">
        <f>IF(AND(W34&lt;&gt;"",U34="yes"),W34*X34,"")</f>
        <v/>
      </c>
    </row>
    <row r="35" customFormat="1" s="59">
      <c r="C35" s="60" t="n"/>
      <c r="D35" s="60" t="n"/>
      <c r="E35" s="61" t="n"/>
      <c r="H35" s="65" t="n"/>
      <c r="I35" s="103" t="n"/>
      <c r="J35" s="103" t="n"/>
      <c r="K35" s="103" t="n"/>
      <c r="L35" s="110" t="n"/>
      <c r="M35" s="103" t="n"/>
      <c r="N35" s="103" t="n"/>
      <c r="O35" s="103" t="n"/>
      <c r="P35" s="103" t="n"/>
      <c r="W35" s="172" t="n"/>
      <c r="X35" s="151">
        <f>1</f>
        <v/>
      </c>
      <c r="Y35" s="152">
        <f>IF(W35&lt;&gt;"",W35*X35,"")</f>
        <v/>
      </c>
      <c r="Z35" s="152">
        <f>IF(AND(W35&lt;&gt;"",U35="yes"),W35*X35,"")</f>
        <v/>
      </c>
      <c r="AA35" s="398" t="n"/>
    </row>
    <row r="36" ht="16.25" customHeight="1">
      <c r="A36" s="57" t="inlineStr">
        <is>
          <t>select_one admin1</t>
        </is>
      </c>
      <c r="B36" s="57" t="inlineStr">
        <is>
          <t>adm1_pcode</t>
        </is>
      </c>
      <c r="C36" s="35" t="inlineStr">
        <is>
          <t>Currently, in which Province  does your household reside?</t>
        </is>
      </c>
      <c r="D36" s="197" t="inlineStr">
        <is>
          <t>Actuellement, dans quel Province  votre ménage vit-il ?</t>
        </is>
      </c>
      <c r="E36" s="70" t="n"/>
      <c r="F36" s="57" t="inlineStr">
        <is>
          <t>[HINT: HOUSEHOLD CONSISTS OF ALL MEMBERS LIVING TOGETHER, SHARING RESOURCES &amp; EATING FROM THE SAME POT.]</t>
        </is>
      </c>
      <c r="G36" s="57" t="inlineStr">
        <is>
          <t>[NOTE : LE MÉNAGE EST COMPOSÉ DE TOUTES LES PERSONNES VIVANT ENSEMBLE, PARTAGEANT LEURS RESSOURCES ET MANGEANT DANS UNE MARMITE COMMUNE.]</t>
        </is>
      </c>
      <c r="H36" s="71" t="n"/>
      <c r="I36" s="102" t="inlineStr">
        <is>
          <t>true</t>
        </is>
      </c>
      <c r="J36" s="102" t="inlineStr">
        <is>
          <t>autocomplete</t>
        </is>
      </c>
      <c r="K36" s="102" t="n"/>
      <c r="L36" s="111" t="n"/>
      <c r="M36" s="102" t="n"/>
      <c r="N36" s="102" t="n"/>
      <c r="O36" s="102" t="n"/>
      <c r="P36" s="102" t="n"/>
      <c r="U36" s="36" t="inlineStr">
        <is>
          <t>yes</t>
        </is>
      </c>
      <c r="W36" s="172" t="n">
        <v>8.800000000000001</v>
      </c>
      <c r="X36" s="151">
        <f>1</f>
        <v/>
      </c>
      <c r="Y36" s="152">
        <f>IF(W36&lt;&gt;"",W36*X36,"")</f>
        <v/>
      </c>
      <c r="Z36" s="152">
        <f>IF(AND(W36&lt;&gt;"",U36="yes"),W36*X36,"")</f>
        <v/>
      </c>
    </row>
    <row r="37">
      <c r="A37" s="57" t="inlineStr">
        <is>
          <t>calculate</t>
        </is>
      </c>
      <c r="B37" s="57" t="inlineStr">
        <is>
          <t>adm1_name</t>
        </is>
      </c>
      <c r="C37" s="35" t="n"/>
      <c r="D37" s="57" t="n"/>
      <c r="E37" s="70" t="n"/>
      <c r="F37" s="57" t="n"/>
      <c r="G37" s="57" t="n"/>
      <c r="H37" s="71" t="n"/>
      <c r="I37" s="102" t="n"/>
      <c r="J37" s="102" t="n"/>
      <c r="K37" s="102" t="n"/>
      <c r="L37" s="102" t="n"/>
      <c r="M37" s="102" t="n"/>
      <c r="N37" s="102" t="n"/>
      <c r="O37" s="102" t="n"/>
      <c r="P37" s="102" t="inlineStr">
        <is>
          <t>jr:choice-name(${adm1_pcode},'${adm1_pcode}')</t>
        </is>
      </c>
      <c r="U37" s="36" t="inlineStr">
        <is>
          <t>yes</t>
        </is>
      </c>
      <c r="W37" s="172" t="n"/>
      <c r="X37" s="151">
        <f>1</f>
        <v/>
      </c>
      <c r="Y37" s="152">
        <f>IF(W37&lt;&gt;"",W37*X37,"")</f>
        <v/>
      </c>
      <c r="Z37" s="152">
        <f>IF(AND(W37&lt;&gt;"",U37="yes"),W37*X37,"")</f>
        <v/>
      </c>
    </row>
    <row r="38" ht="16.25" customHeight="1">
      <c r="A38" s="57" t="inlineStr">
        <is>
          <t>select_one admin2</t>
        </is>
      </c>
      <c r="B38" s="57" t="inlineStr">
        <is>
          <t xml:space="preserve">adm2_pcode </t>
        </is>
      </c>
      <c r="C38" s="35" t="inlineStr">
        <is>
          <t>Currently, in which Département does your household reside?</t>
        </is>
      </c>
      <c r="D38" s="198" t="inlineStr">
        <is>
          <t>Actuellement, dans quel Département votre ménage vit-il ?</t>
        </is>
      </c>
      <c r="E38" s="70" t="n"/>
      <c r="F38" s="57" t="n"/>
      <c r="G38" s="35" t="n"/>
      <c r="H38" s="71" t="n"/>
      <c r="I38" s="102" t="inlineStr">
        <is>
          <t>true</t>
        </is>
      </c>
      <c r="J38" s="102" t="inlineStr">
        <is>
          <t>autocomplete</t>
        </is>
      </c>
      <c r="K38" s="102" t="n"/>
      <c r="L38" s="102" t="n"/>
      <c r="M38" s="102" t="n"/>
      <c r="N38" s="102" t="inlineStr">
        <is>
          <t>my_filter_admin=${adm1_pcode}</t>
        </is>
      </c>
      <c r="O38" s="102" t="n"/>
      <c r="P38" s="102" t="n"/>
      <c r="U38" s="36" t="inlineStr">
        <is>
          <t>yes</t>
        </is>
      </c>
      <c r="W38" s="172" t="n">
        <v>10.4</v>
      </c>
      <c r="X38" s="151">
        <f>1</f>
        <v/>
      </c>
      <c r="Y38" s="152">
        <f>IF(W38&lt;&gt;"",W38*X38,"")</f>
        <v/>
      </c>
      <c r="Z38" s="152">
        <f>IF(AND(W38&lt;&gt;"",U38="yes"),W38*X38,"")</f>
        <v/>
      </c>
    </row>
    <row r="39">
      <c r="A39" s="57" t="inlineStr">
        <is>
          <t>calculate</t>
        </is>
      </c>
      <c r="B39" s="57" t="inlineStr">
        <is>
          <t>adm2_name</t>
        </is>
      </c>
      <c r="C39" s="35" t="n"/>
      <c r="D39" s="35" t="n"/>
      <c r="E39" s="70" t="n"/>
      <c r="F39" s="57" t="n"/>
      <c r="G39" s="57" t="n"/>
      <c r="H39" s="71" t="n"/>
      <c r="I39" s="102" t="n"/>
      <c r="J39" s="102" t="n"/>
      <c r="K39" s="102" t="n"/>
      <c r="L39" s="102" t="n"/>
      <c r="M39" s="102" t="n"/>
      <c r="N39" s="102" t="n"/>
      <c r="O39" s="102" t="n"/>
      <c r="P39" s="102" t="inlineStr">
        <is>
          <t>jr:choice-name(${adm2_pcode},'${adm2_pcode}')</t>
        </is>
      </c>
      <c r="U39" s="36" t="inlineStr">
        <is>
          <t>yes</t>
        </is>
      </c>
      <c r="W39" s="172" t="n"/>
      <c r="X39" s="151">
        <f>1</f>
        <v/>
      </c>
      <c r="Y39" s="152">
        <f>IF(W39&lt;&gt;"",W39*X39,"")</f>
        <v/>
      </c>
      <c r="Z39" s="152">
        <f>IF(AND(W39&lt;&gt;"",U39="yes"),W39*X39,"")</f>
        <v/>
      </c>
    </row>
    <row r="40" ht="16" customFormat="1" customHeight="1" s="351">
      <c r="A40" s="351" t="inlineStr">
        <is>
          <t>text</t>
        </is>
      </c>
      <c r="B40" s="351" t="inlineStr">
        <is>
          <t>cluster</t>
        </is>
      </c>
      <c r="C40" s="352" t="inlineStr">
        <is>
          <t>Currently, in which village/cité does your household reside?</t>
        </is>
      </c>
      <c r="D40" s="352" t="inlineStr">
        <is>
          <t>Actuellement, dans quel village/quartier votre ménage vit-il ?</t>
        </is>
      </c>
      <c r="G40" s="353" t="inlineStr">
        <is>
          <t>true</t>
        </is>
      </c>
      <c r="H40" s="353" t="n"/>
      <c r="I40" s="353" t="n"/>
      <c r="J40" s="353" t="n"/>
      <c r="K40" s="353" t="n"/>
      <c r="L40" s="353" t="n"/>
      <c r="M40" s="353" t="n"/>
      <c r="N40" s="353" t="n"/>
      <c r="U40" s="354" t="n"/>
      <c r="V40" s="355" t="n"/>
      <c r="W40" s="356" t="n"/>
      <c r="X40" s="356" t="n"/>
      <c r="Y40" s="357" t="n"/>
    </row>
    <row r="41">
      <c r="E41" s="70" t="n"/>
      <c r="H41" s="71" t="n"/>
      <c r="W41" s="172" t="n"/>
      <c r="X41" s="151">
        <f>1</f>
        <v/>
      </c>
      <c r="Y41" s="152">
        <f>IF(W41&lt;&gt;"",W41*X41,"")</f>
        <v/>
      </c>
      <c r="Z41" s="152">
        <f>IF(AND(W41&lt;&gt;"",U41="yes"),W41*X41,"")</f>
        <v/>
      </c>
    </row>
    <row r="42" ht="48" customFormat="1" customHeight="1" s="37">
      <c r="A42" s="35" t="inlineStr">
        <is>
          <t>select_one agricactivity</t>
        </is>
      </c>
      <c r="B42" s="35" t="inlineStr">
        <is>
          <t>hh_agricactivity</t>
        </is>
      </c>
      <c r="C42" s="35" t="inlineStr">
        <is>
          <t>Has anybody in your household produced crops or livestock for household consumption or for sale in the past 12 months, including household members currently away for transhumance?</t>
        </is>
      </c>
      <c r="D42" s="197" t="inlineStr">
        <is>
          <t>Est-ce que quelqu'un dans votre ménage a produit des cultures ou du bétail pour la consommation du ménage ou pour la vente au cours des 12 derniers mois, y compris des membres du ménage actuellement partis pour la transhumance ?</t>
        </is>
      </c>
      <c r="E42" s="70" t="n"/>
      <c r="F42"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2"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2" s="70" t="n"/>
      <c r="I42" s="34" t="inlineStr">
        <is>
          <t>true</t>
        </is>
      </c>
      <c r="J42" s="34" t="n"/>
      <c r="K42" s="34" t="n"/>
      <c r="L42" s="34" t="n"/>
      <c r="M42" s="34" t="n"/>
      <c r="N42" s="34" t="n"/>
      <c r="O42" s="34" t="n"/>
      <c r="P42" s="34" t="n"/>
      <c r="U42" s="37" t="inlineStr">
        <is>
          <t>yes</t>
        </is>
      </c>
      <c r="W42" s="175" t="n">
        <v>31.37237739562988</v>
      </c>
      <c r="X42" s="151">
        <f>1</f>
        <v/>
      </c>
      <c r="Y42" s="153">
        <f>IF(W42&lt;&gt;"",W42*X42,"")</f>
        <v/>
      </c>
      <c r="Z42" s="153">
        <f>IF(AND(W42&lt;&gt;"",U42="yes"),W42*X42,"")</f>
        <v/>
      </c>
      <c r="AA42" s="38" t="n"/>
    </row>
    <row r="43" ht="48" customFormat="1" customHeight="1" s="37">
      <c r="A43" s="59" t="inlineStr">
        <is>
          <t>select_one yes_no</t>
        </is>
      </c>
      <c r="B43" s="59" t="inlineStr">
        <is>
          <t>hh_fish</t>
        </is>
      </c>
      <c r="C43" s="60" t="inlineStr">
        <is>
          <t xml:space="preserve">Has anybody in your household been engaged in aquatic production [fish catch or aquaculture farming] for household consumption or for sales in the past 12 months? </t>
        </is>
      </c>
      <c r="D43" s="263" t="inlineStr">
        <is>
          <t>Quelqu'un dans votre ménage a-t-il été impliqué dans la production aquatique [prise de poisson ou aquaculture] pour la consommation du ménage ou pour la vente au cours des 12 derniers mois?</t>
        </is>
      </c>
      <c r="E43" s="70" t="n"/>
      <c r="F43" s="59" t="inlineStr">
        <is>
          <t>[HINT FOR PROBING: It should not include sports fishing. It should be about production of aquatic products [fish catch or aquaculture farming] for household consumption or sales.]</t>
        </is>
      </c>
      <c r="G43" s="264" t="inlineStr">
        <is>
          <t>[CONSEIL LORS DU SONDAGE : cette question et réponse ne devraient pas inclure la pêche sportive. Il s'agit plutôt de la production de produits aquatiques [prise de poisson ou aquaculture] pour la consommation ou la vente des ménages.]</t>
        </is>
      </c>
      <c r="H43" s="70" t="n"/>
      <c r="I43" s="103" t="inlineStr">
        <is>
          <t>true</t>
        </is>
      </c>
      <c r="J43" s="103" t="n"/>
      <c r="K43" s="103" t="n"/>
      <c r="L43" s="103" t="n"/>
      <c r="M43" s="103" t="n"/>
      <c r="N43" s="103" t="n"/>
      <c r="O43" s="103" t="n"/>
      <c r="P43" s="103" t="n"/>
      <c r="Q43" s="59" t="n"/>
      <c r="R43" s="59" t="n"/>
      <c r="S43" s="59" t="n"/>
      <c r="T43" s="59" t="n"/>
      <c r="U43" s="59" t="inlineStr">
        <is>
          <t>no</t>
        </is>
      </c>
      <c r="V43" s="59" t="n"/>
      <c r="W43" s="172" t="n">
        <v>17</v>
      </c>
      <c r="X43" s="151">
        <f>1</f>
        <v/>
      </c>
      <c r="Y43" s="152">
        <f>IF(W43&lt;&gt;"",W43*X43,"")</f>
        <v/>
      </c>
      <c r="Z43" s="153" t="n"/>
      <c r="AA43" s="38" t="n"/>
    </row>
    <row r="44">
      <c r="E44" s="70" t="n"/>
      <c r="H44" s="71" t="n"/>
      <c r="W44" s="172" t="n"/>
      <c r="X44" s="151">
        <f>1</f>
        <v/>
      </c>
      <c r="Y44" s="152">
        <f>IF(W44&lt;&gt;"",W44*X44,"")</f>
        <v/>
      </c>
      <c r="Z44" s="152">
        <f>IF(AND(W44&lt;&gt;"",U44="yes"),W44*X44,"")</f>
        <v/>
      </c>
    </row>
    <row r="45" ht="16.25" customFormat="1" customHeight="1" s="398" thickBot="1">
      <c r="A45" s="79" t="inlineStr">
        <is>
          <t>end_group</t>
        </is>
      </c>
      <c r="B45" s="79" t="n"/>
      <c r="C45" s="80" t="n"/>
      <c r="D45" s="80" t="n"/>
      <c r="E45" s="74" t="n"/>
      <c r="F45" s="79" t="n"/>
      <c r="G45" s="79" t="n"/>
      <c r="H45" s="75" t="n"/>
      <c r="I45" s="113" t="n"/>
      <c r="J45" s="113" t="n"/>
      <c r="K45" s="113" t="n"/>
      <c r="L45" s="113" t="n"/>
      <c r="M45" s="113" t="n"/>
      <c r="N45" s="113" t="n"/>
      <c r="O45" s="113" t="n"/>
      <c r="P45" s="113" t="n"/>
      <c r="W45" s="172" t="n"/>
      <c r="X45" s="151" t="n"/>
      <c r="Y45" s="152">
        <f>IF(W45&lt;&gt;"",W45*X45,"")</f>
        <v/>
      </c>
      <c r="Z45" s="152">
        <f>IF(AND(W45&lt;&gt;"",U45="yes"),W45*X45,"")</f>
        <v/>
      </c>
    </row>
    <row r="46" ht="17" customFormat="1" customHeight="1" s="55" thickTop="1">
      <c r="A46" s="52" t="inlineStr">
        <is>
          <t>begin_group</t>
        </is>
      </c>
      <c r="B46" s="52" t="inlineStr">
        <is>
          <t>generalInfo</t>
        </is>
      </c>
      <c r="C46" s="76" t="inlineStr">
        <is>
          <t>GENERAL INFORMATION</t>
        </is>
      </c>
      <c r="D46" s="76" t="inlineStr">
        <is>
          <t>INFORMATIONS GÉNÉRALES</t>
        </is>
      </c>
      <c r="E46" s="53" t="n"/>
      <c r="F46" s="52" t="n"/>
      <c r="G46" s="52" t="n"/>
      <c r="H46" s="54" t="n"/>
      <c r="I46" s="107" t="inlineStr">
        <is>
          <t>false</t>
        </is>
      </c>
      <c r="J46" s="107" t="n"/>
      <c r="K46" s="107" t="n"/>
      <c r="L46" s="107" t="n"/>
      <c r="M46" s="108" t="inlineStr">
        <is>
          <t>${resp_agree} = '1' and ${hh_agricactivity} != '5' and ${hh_agricactivity} != '6'</t>
        </is>
      </c>
      <c r="N46" s="107" t="n"/>
      <c r="O46" s="107" t="n"/>
      <c r="P46" s="107" t="n"/>
      <c r="U46" s="36" t="inlineStr">
        <is>
          <t>yes</t>
        </is>
      </c>
      <c r="W46" s="172" t="n"/>
      <c r="X46" s="151" t="n"/>
      <c r="Y46" s="152">
        <f>IF(W46&lt;&gt;"",W46*X46,"")</f>
        <v/>
      </c>
      <c r="Z46" s="152">
        <f>IF(AND(W46&lt;&gt;"",U46="yes"),W46*X46,"")</f>
        <v/>
      </c>
      <c r="AA46" s="56" t="n"/>
    </row>
    <row r="47">
      <c r="E47" s="70" t="n"/>
      <c r="H47" s="71" t="n"/>
      <c r="W47" s="172" t="n"/>
      <c r="X47" s="151">
        <f>1</f>
        <v/>
      </c>
      <c r="Y47" s="152">
        <f>IF(W47&lt;&gt;"",W47*X47,"")</f>
        <v/>
      </c>
      <c r="Z47" s="152">
        <f>IF(AND(W47&lt;&gt;"",U47="yes"),W47*X47,"")</f>
        <v/>
      </c>
    </row>
    <row r="48" ht="16.25" customHeight="1">
      <c r="A48" s="57" t="inlineStr">
        <is>
          <t>select_one yes_no</t>
        </is>
      </c>
      <c r="B48" s="57" t="inlineStr">
        <is>
          <t>resp_id</t>
        </is>
      </c>
      <c r="C48" s="35" t="inlineStr">
        <is>
          <t>Are you the head of household?</t>
        </is>
      </c>
      <c r="D48" s="35" t="inlineStr">
        <is>
          <t>Êtes-vous le chef de ménage ?</t>
        </is>
      </c>
      <c r="E48" s="70" t="n"/>
      <c r="F48" s="57" t="n"/>
      <c r="G48" s="57" t="n"/>
      <c r="H48" s="71" t="n"/>
      <c r="I48" s="102" t="inlineStr">
        <is>
          <t>true</t>
        </is>
      </c>
      <c r="J48" s="102" t="n"/>
      <c r="K48" s="102" t="n"/>
      <c r="L48" s="102" t="n"/>
      <c r="M48" s="102" t="n"/>
      <c r="N48" s="102" t="n"/>
      <c r="O48" s="102" t="n"/>
      <c r="P48" s="102" t="n"/>
      <c r="U48" s="36" t="inlineStr">
        <is>
          <t>yes</t>
        </is>
      </c>
      <c r="W48" s="192" t="n"/>
      <c r="X48" s="193" t="n"/>
      <c r="Y48" s="194" t="n"/>
      <c r="Z48" s="152" t="n"/>
    </row>
    <row r="49" ht="16.25" customHeight="1">
      <c r="A49" s="57" t="inlineStr">
        <is>
          <t>select_one gender</t>
        </is>
      </c>
      <c r="B49" s="57" t="inlineStr">
        <is>
          <t>hh_gender</t>
        </is>
      </c>
      <c r="C49" s="35" t="inlineStr">
        <is>
          <t xml:space="preserve">Is the head of your household male or female? </t>
        </is>
      </c>
      <c r="D49" s="197" t="inlineStr">
        <is>
          <t>Le chef de votre ménage est-il un homme ou une femme ?</t>
        </is>
      </c>
      <c r="E49" s="70" t="n"/>
      <c r="F49" s="57" t="n"/>
      <c r="G49" s="57" t="n"/>
      <c r="H49" s="71" t="n"/>
      <c r="I49" s="102" t="inlineStr">
        <is>
          <t>true</t>
        </is>
      </c>
      <c r="J49" s="102" t="n"/>
      <c r="K49" s="102" t="n"/>
      <c r="L49" s="102" t="n"/>
      <c r="M49" s="102" t="inlineStr">
        <is>
          <t>${resp_id} != '1'</t>
        </is>
      </c>
      <c r="N49" s="102" t="n"/>
      <c r="O49" s="102" t="n"/>
      <c r="P49" s="102" t="n"/>
      <c r="U49" s="36" t="inlineStr">
        <is>
          <t>yes</t>
        </is>
      </c>
      <c r="W49" s="172" t="n">
        <v>10.08573150634766</v>
      </c>
      <c r="X49" s="151">
        <f>1</f>
        <v/>
      </c>
      <c r="Y49" s="152">
        <f>IF(W49&lt;&gt;"",W49*X49,"")</f>
        <v/>
      </c>
      <c r="Z49" s="152">
        <f>IF(AND(W49&lt;&gt;"",U49="yes"),W49*X49,"")</f>
        <v/>
      </c>
    </row>
    <row r="50">
      <c r="D50" s="199" t="n"/>
      <c r="E50" s="70" t="n"/>
      <c r="H50" s="71" t="n"/>
      <c r="W50" s="172" t="n"/>
      <c r="X50" s="151">
        <f>1</f>
        <v/>
      </c>
      <c r="Y50" s="152">
        <f>IF(W50&lt;&gt;"",W50*X50,"")</f>
        <v/>
      </c>
      <c r="Z50" s="152">
        <f>IF(AND(W50&lt;&gt;"",U50="yes"),W50*X50,"")</f>
        <v/>
      </c>
    </row>
    <row r="51" ht="16.25" customHeight="1">
      <c r="A51" s="57" t="inlineStr">
        <is>
          <t>select_one edu</t>
        </is>
      </c>
      <c r="B51" s="57" t="inlineStr">
        <is>
          <t>hh_education</t>
        </is>
      </c>
      <c r="C51" s="35" t="inlineStr">
        <is>
          <t xml:space="preserve">What is the educational level attained by the head of household? </t>
        </is>
      </c>
      <c r="D51" s="197" t="inlineStr">
        <is>
          <t>Quel est le niveau d'éducation du chef de votre ménage ?</t>
        </is>
      </c>
      <c r="E51" s="70" t="n"/>
      <c r="F51" s="57" t="n"/>
      <c r="G51" s="57" t="n"/>
      <c r="H51" s="71" t="n"/>
      <c r="I51" s="102" t="inlineStr">
        <is>
          <t>true</t>
        </is>
      </c>
      <c r="J51" s="102" t="n"/>
      <c r="K51" s="102" t="n"/>
      <c r="L51" s="102" t="n"/>
      <c r="M51" s="102" t="n"/>
      <c r="N51" s="102" t="n"/>
      <c r="O51" s="102" t="n"/>
      <c r="P51" s="102" t="n"/>
      <c r="U51" s="36" t="inlineStr">
        <is>
          <t>yes</t>
        </is>
      </c>
      <c r="W51" s="172" t="n">
        <v>12.89403438568115</v>
      </c>
      <c r="X51" s="151">
        <f>1</f>
        <v/>
      </c>
      <c r="Y51" s="152">
        <f>IF(W51&lt;&gt;"",W51*X51,"")</f>
        <v/>
      </c>
      <c r="Z51" s="152">
        <f>IF(AND(W51&lt;&gt;"",U51="yes"),W51*X51,"")</f>
        <v/>
      </c>
    </row>
    <row r="52">
      <c r="E52" s="70" t="n"/>
      <c r="H52" s="71" t="n"/>
      <c r="W52" s="172" t="n"/>
      <c r="X52" s="151">
        <f>1</f>
        <v/>
      </c>
      <c r="Y52" s="152">
        <f>IF(W52&lt;&gt;"",W52*X52,"")</f>
        <v/>
      </c>
      <c r="Z52" s="152">
        <f>IF(AND(W52&lt;&gt;"",U52="yes"),W52*X52,"")</f>
        <v/>
      </c>
    </row>
    <row r="53" ht="16.25" customFormat="1" customHeight="1" s="398">
      <c r="A53" s="398" t="inlineStr">
        <is>
          <t>select_one water</t>
        </is>
      </c>
      <c r="B53" s="398" t="inlineStr">
        <is>
          <t>hh_wealth_water</t>
        </is>
      </c>
      <c r="C53" s="38" t="inlineStr">
        <is>
          <t>Where does the water that you drink at home come from?</t>
        </is>
      </c>
      <c r="D53" s="38" t="inlineStr">
        <is>
          <t>Où procurez-vous habituellement l'eau que vous buvez dans votre foyer ?</t>
        </is>
      </c>
      <c r="E53" s="81" t="n"/>
      <c r="F53" s="82" t="n"/>
      <c r="G53" s="82" t="n"/>
      <c r="H53" s="83" t="n"/>
      <c r="I53" s="109" t="inlineStr">
        <is>
          <t>true</t>
        </is>
      </c>
      <c r="J53" s="397" t="n"/>
      <c r="K53" s="397" t="n"/>
      <c r="L53" s="397" t="n"/>
      <c r="M53" s="397" t="n"/>
      <c r="N53" s="397" t="n"/>
      <c r="O53" s="397" t="n"/>
      <c r="P53" s="397" t="n"/>
      <c r="U53" s="398" t="inlineStr">
        <is>
          <t>yes</t>
        </is>
      </c>
      <c r="W53" s="172" t="n">
        <v>15.26582908630371</v>
      </c>
      <c r="X53" s="151">
        <f>1</f>
        <v/>
      </c>
      <c r="Y53" s="152">
        <f>IF(W53&lt;&gt;"",W53*X53,"")</f>
        <v/>
      </c>
      <c r="Z53" s="152">
        <f>IF(AND(W53&lt;&gt;"",U53="yes"),W53*X53,"")</f>
        <v/>
      </c>
    </row>
    <row r="54" ht="16.25" customFormat="1" customHeight="1" s="398">
      <c r="A54" s="398" t="inlineStr">
        <is>
          <t>select_one toilet</t>
        </is>
      </c>
      <c r="B54" s="398" t="inlineStr">
        <is>
          <t>hh_wealth_toilet</t>
        </is>
      </c>
      <c r="C54" s="38" t="inlineStr">
        <is>
          <t>Where do household members typically go to use the toilet?</t>
        </is>
      </c>
      <c r="D54" s="38" t="inlineStr">
        <is>
          <t>Quel genre de toilettes les membres de votre ménage utilisent-ils?</t>
        </is>
      </c>
      <c r="E54" s="81" t="n"/>
      <c r="F54" s="82" t="n"/>
      <c r="G54" s="82" t="n"/>
      <c r="H54" s="83" t="n"/>
      <c r="I54" s="109" t="inlineStr">
        <is>
          <t>true</t>
        </is>
      </c>
      <c r="J54" s="397" t="n"/>
      <c r="K54" s="397" t="n"/>
      <c r="L54" s="397" t="n"/>
      <c r="M54" s="397" t="n"/>
      <c r="N54" s="397" t="n"/>
      <c r="O54" s="397" t="n"/>
      <c r="P54" s="397" t="n"/>
      <c r="U54" s="398" t="inlineStr">
        <is>
          <t>yes</t>
        </is>
      </c>
      <c r="W54" s="172" t="n">
        <v>15.12371826171875</v>
      </c>
      <c r="X54" s="151">
        <f>1</f>
        <v/>
      </c>
      <c r="Y54" s="152">
        <f>IF(W54&lt;&gt;"",W54*X54,"")</f>
        <v/>
      </c>
      <c r="Z54" s="152">
        <f>IF(AND(W54&lt;&gt;"",U54="yes"),W54*X54,"")</f>
        <v/>
      </c>
    </row>
    <row r="55" ht="16.25" customFormat="1" customHeight="1" s="398">
      <c r="A55" s="398" t="inlineStr">
        <is>
          <t>select_one light</t>
        </is>
      </c>
      <c r="B55" s="398" t="inlineStr">
        <is>
          <t>hh_wealth_light</t>
        </is>
      </c>
      <c r="C55" s="38" t="inlineStr">
        <is>
          <t>What is the main source of light in your dwelling?</t>
        </is>
      </c>
      <c r="D55" s="38" t="inlineStr">
        <is>
          <t>Quelle est la principale source de lumière de votre logement ?</t>
        </is>
      </c>
      <c r="E55" s="81" t="n"/>
      <c r="F55" s="82" t="n"/>
      <c r="G55" s="82" t="n"/>
      <c r="H55" s="83" t="n"/>
      <c r="I55" s="109" t="inlineStr">
        <is>
          <t>true</t>
        </is>
      </c>
      <c r="J55" s="397" t="n"/>
      <c r="K55" s="397" t="n"/>
      <c r="L55" s="397" t="n"/>
      <c r="M55" s="397" t="n"/>
      <c r="N55" s="397" t="n"/>
      <c r="O55" s="397" t="n"/>
      <c r="P55" s="397" t="n"/>
      <c r="U55" s="398" t="inlineStr">
        <is>
          <t>yes</t>
        </is>
      </c>
      <c r="W55" s="172" t="n">
        <v>13.76013851165771</v>
      </c>
      <c r="X55" s="151">
        <f>1</f>
        <v/>
      </c>
      <c r="Y55" s="152">
        <f>IF(W55&lt;&gt;"",W55*X55,"")</f>
        <v/>
      </c>
      <c r="Z55" s="152">
        <f>IF(AND(W55&lt;&gt;"",U55="yes"),W55*X55,"")</f>
        <v/>
      </c>
    </row>
    <row r="56" customFormat="1" s="398">
      <c r="C56" s="38" t="n"/>
      <c r="D56" s="38" t="n"/>
      <c r="E56" s="81" t="n"/>
      <c r="F56" s="82" t="n"/>
      <c r="G56" s="82" t="n"/>
      <c r="H56" s="83" t="n"/>
      <c r="I56" s="397" t="n"/>
      <c r="J56" s="397" t="n"/>
      <c r="K56" s="397" t="n"/>
      <c r="L56" s="397" t="n"/>
      <c r="M56" s="397" t="n"/>
      <c r="N56" s="397" t="n"/>
      <c r="O56" s="397" t="n"/>
      <c r="P56" s="397" t="n"/>
      <c r="W56" s="172" t="n"/>
      <c r="X56" s="151">
        <f>1</f>
        <v/>
      </c>
      <c r="Y56" s="152">
        <f>IF(W56&lt;&gt;"",W56*X56,"")</f>
        <v/>
      </c>
      <c r="Z56" s="152">
        <f>IF(AND(W56&lt;&gt;"",U56="yes"),W56*X56,"")</f>
        <v/>
      </c>
    </row>
    <row r="57" ht="16.25" customFormat="1" customHeight="1" s="59">
      <c r="A57" s="59" t="inlineStr">
        <is>
          <t>select_one residence</t>
        </is>
      </c>
      <c r="B57" s="59" t="inlineStr">
        <is>
          <t>hh_residencetype</t>
        </is>
      </c>
      <c r="C57" s="60" t="inlineStr">
        <is>
          <t>Which in the following types of residence best describes your residence?</t>
        </is>
      </c>
      <c r="D57" s="59" t="inlineStr">
        <is>
          <t>Parmi les propositions suivantes, laquelle décrit le mieux votre résidence ?</t>
        </is>
      </c>
      <c r="E57" s="61" t="n"/>
      <c r="F57" s="59" t="inlineStr">
        <is>
          <t>[INSTRUCTIONS: READ OUT THE OPTIONS.]
[HINT: IF RESPONDENT IS ONLY AWAY FROM THE HOUSEHOLD FOR SHORT SEASONAL WORK (&lt;6 MONTHS) OR TRANSHUMANCE, MAKE SURE TO REFER TO THEIR HOUSEHOLD BACK WHERE THEY TYPICALLY ARE LOCATED.]</t>
        </is>
      </c>
      <c r="G57" s="59"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7" s="65" t="n"/>
      <c r="I57" s="103" t="inlineStr">
        <is>
          <t>true</t>
        </is>
      </c>
      <c r="J57" s="103" t="n"/>
      <c r="K57" s="103" t="n"/>
      <c r="L57" s="103" t="n"/>
      <c r="M57" s="103" t="n"/>
      <c r="N57" s="103" t="n"/>
      <c r="O57" s="103" t="n"/>
      <c r="P57" s="103" t="n"/>
      <c r="U57" s="59" t="inlineStr">
        <is>
          <t>no</t>
        </is>
      </c>
      <c r="W57" s="172" t="n">
        <v>30.64618873596191</v>
      </c>
      <c r="X57" s="151">
        <f>1</f>
        <v/>
      </c>
      <c r="Y57" s="152">
        <f>IF(W57&lt;&gt;"",W57*X57,"")</f>
        <v/>
      </c>
      <c r="Z57" s="152">
        <f>IF(AND(W57&lt;&gt;"",U57="yes"),W57*X57,"")</f>
        <v/>
      </c>
      <c r="AA57" s="398" t="n"/>
    </row>
    <row r="58" ht="16.25" customFormat="1" customHeight="1" s="59">
      <c r="A58" s="59" t="inlineStr">
        <is>
          <t>integer</t>
        </is>
      </c>
      <c r="B58" s="59" t="inlineStr">
        <is>
          <t>hh_size</t>
        </is>
      </c>
      <c r="C58" s="60" t="inlineStr">
        <is>
          <t>How many people are part of the household?</t>
        </is>
      </c>
      <c r="D58" s="60" t="inlineStr">
        <is>
          <t>De combien de personnes est composé votre ménage ?</t>
        </is>
      </c>
      <c r="E58" s="61" t="n"/>
      <c r="F58" s="59" t="inlineStr">
        <is>
          <t>[INSTRUCTIONS: RECORD NUMBER OF MEMBERS IN HOUSEHOLD. ENTER 888 FOR DON'T KNOW &amp; 999 FOR REFUSED.]
[HINT: TO BE A PART OF THE SAME HOUSEHOLD, MEMBERS MUST LIVE UNDER THE SAME ROOF, SHARE THE SAME RESOURCES &amp; EAT FROM THE SAME POT.]</t>
        </is>
      </c>
      <c r="G58" s="59" t="inlineStr">
        <is>
          <t>[OPÉRATEUR/OPÉRATRICE: ENREGISTRER LE NOMBRE DE MEMBRES DU MÉNAGE. ENTRER 888 POUR «NE SAIT PAS» ET 999 POUR «REFUSÉ».]
[CONSEIL: POUR FAIRE PARTIE D'UN MÊME MÉNAGE, LES MEMBRES DOIVENT VIVRE ENSEMBLE, METTRE EN COMMUN LEURS RESSOURCES ET PARTAGER LEURS REPAS.]</t>
        </is>
      </c>
      <c r="H58" s="65" t="n"/>
      <c r="I58" s="103" t="inlineStr">
        <is>
          <t>true</t>
        </is>
      </c>
      <c r="J58" s="103" t="n"/>
      <c r="K58" s="103" t="inlineStr">
        <is>
          <t xml:space="preserve">(. &gt;= 1 and . &lt;= 50) or . = 888 or . = 999 </t>
        </is>
      </c>
      <c r="L58" s="103" t="n"/>
      <c r="M58" s="103" t="n"/>
      <c r="N58" s="103" t="n"/>
      <c r="O58" s="103" t="n"/>
      <c r="P58" s="103" t="n"/>
      <c r="U58" s="59" t="inlineStr">
        <is>
          <t>no</t>
        </is>
      </c>
      <c r="W58" s="172" t="n">
        <v>15.21184825897217</v>
      </c>
      <c r="X58" s="151">
        <f>1</f>
        <v/>
      </c>
      <c r="Y58" s="152">
        <f>IF(W58&lt;&gt;"",W58*X58,"")</f>
        <v/>
      </c>
      <c r="Z58" s="152">
        <f>IF(AND(W58&lt;&gt;"",U58="yes"),W58*X58,"")</f>
        <v/>
      </c>
      <c r="AA58" s="398" t="n"/>
    </row>
    <row r="59" ht="16.25" customFormat="1" customHeight="1" s="59">
      <c r="A59" s="59" t="inlineStr">
        <is>
          <t>select_multiple asset_prod</t>
        </is>
      </c>
      <c r="B59" s="59" t="inlineStr">
        <is>
          <t>hh_asset_prod</t>
        </is>
      </c>
      <c r="C59" s="60" t="inlineStr">
        <is>
          <t xml:space="preserve">Does your household own any of the following productive assets? </t>
        </is>
      </c>
      <c r="D59" s="60" t="inlineStr">
        <is>
          <t>Votre ménage possède-t-il l'un des actifs productifs suivants ?</t>
        </is>
      </c>
      <c r="E59" s="61" t="n"/>
      <c r="F59" s="59" t="inlineStr">
        <is>
          <t>[INSTRUCTIONS: MULTIPLE RESPONSES POSSIBLE. READ ANSWER OPTIONS OUT LOUD.]</t>
        </is>
      </c>
      <c r="G59" s="59" t="inlineStr">
        <is>
          <t>[OPÉRATEUR / OPÉRATRICE : PLUSIEURS RÉPONSES POSSIBLES. LIRE LES OPTIONS DE RÉPONSE À HAUTE VOIX.]</t>
        </is>
      </c>
      <c r="H59" s="65" t="n"/>
      <c r="I59" s="103" t="inlineStr">
        <is>
          <t>true</t>
        </is>
      </c>
      <c r="J59" s="103" t="n"/>
      <c r="K59" s="103" t="inlineStr">
        <is>
          <t>if(selected(.,'none') or selected(.,'dk') or selected(.,'ref'), count-selected(.) = 1, count-selected(.) &gt;= 1)</t>
        </is>
      </c>
      <c r="L59" s="103" t="n"/>
      <c r="M59" s="103" t="n"/>
      <c r="N59" s="103" t="n"/>
      <c r="O59" s="103" t="n"/>
      <c r="P59" s="103" t="n"/>
      <c r="U59" s="59" t="inlineStr">
        <is>
          <t>no</t>
        </is>
      </c>
      <c r="W59" s="172" t="n">
        <v>17</v>
      </c>
      <c r="X59" s="151">
        <f>1</f>
        <v/>
      </c>
      <c r="Y59" s="152">
        <f>IF(W59&lt;&gt;"",W59*X59,"")</f>
        <v/>
      </c>
      <c r="Z59" s="152">
        <f>IF(AND(W59&lt;&gt;"",U59="yes"),W59*X59,"")</f>
        <v/>
      </c>
      <c r="AA59" s="398" t="n"/>
    </row>
    <row r="60" ht="16.25" customFormat="1" customHeight="1" s="59">
      <c r="A60" s="59" t="inlineStr">
        <is>
          <t>select_multiple asset_transp</t>
        </is>
      </c>
      <c r="B60" s="59" t="inlineStr">
        <is>
          <t>hh_asset_transp</t>
        </is>
      </c>
      <c r="C60" s="60" t="inlineStr">
        <is>
          <t xml:space="preserve">Do you or any member of household own any of the following transportation assets? </t>
        </is>
      </c>
      <c r="D60" s="60" t="inlineStr">
        <is>
          <t>Est-ce que vous ou un membre de votre ménage possède un des véhicules suivants ?</t>
        </is>
      </c>
      <c r="E60" s="61" t="n"/>
      <c r="F60" s="59" t="inlineStr">
        <is>
          <t>[INSTRUCTIONS: MULTIPLE RESPONSES POSSIBLE. READ ANSWER OPTIONS OUT LOUD.]</t>
        </is>
      </c>
      <c r="G60" s="59" t="inlineStr">
        <is>
          <t>[OPÉRATEUR / OPÉRATRICE : PLUSIEURS RÉPONSES POSSIBLES. LIRE LES OPTIONS DE RÉPONSE À HAUTE VOIX.]</t>
        </is>
      </c>
      <c r="H60" s="65" t="n"/>
      <c r="I60" s="103" t="inlineStr">
        <is>
          <t>true</t>
        </is>
      </c>
      <c r="J60" s="103" t="n"/>
      <c r="K60" s="103" t="inlineStr">
        <is>
          <t>if(selected(.,'none') or selected(.,'dk') or selected(.,'ref'), count-selected(.) = 1, count-selected(.) &gt;= 1)</t>
        </is>
      </c>
      <c r="L60" s="103" t="n"/>
      <c r="M60" s="103" t="n"/>
      <c r="N60" s="103" t="n"/>
      <c r="O60" s="103" t="n"/>
      <c r="P60" s="103" t="n"/>
      <c r="U60" s="59" t="inlineStr">
        <is>
          <t>no</t>
        </is>
      </c>
      <c r="W60" s="172" t="n">
        <v>17</v>
      </c>
      <c r="X60" s="151">
        <f>1</f>
        <v/>
      </c>
      <c r="Y60" s="152">
        <f>IF(W60&lt;&gt;"",W60*X60,"")</f>
        <v/>
      </c>
      <c r="Z60" s="152">
        <f>IF(AND(W60&lt;&gt;"",U60="yes"),W60*X60,"")</f>
        <v/>
      </c>
      <c r="AA60" s="398" t="n"/>
    </row>
    <row r="61" ht="32" customFormat="1" customHeight="1" s="59">
      <c r="A61" s="398" t="inlineStr">
        <is>
          <t>select_one residence</t>
        </is>
      </c>
      <c r="B61" s="400" t="inlineStr">
        <is>
          <t>resp_residencetype</t>
        </is>
      </c>
      <c r="C61" s="403" t="inlineStr">
        <is>
          <t xml:space="preserve">How would you describe your residence status? Are you a... </t>
        </is>
      </c>
      <c r="D61" s="401" t="inlineStr">
        <is>
          <t xml:space="preserve">Comment décririez-vous votre statut de résident ? Êtes-vous un(e)... </t>
        </is>
      </c>
      <c r="E61" s="404" t="n"/>
      <c r="F61" s="38" t="inlineStr">
        <is>
          <t>[INSTRUCTIONS: READ OUT THE OPTIONS.]</t>
        </is>
      </c>
      <c r="G61" s="398" t="inlineStr">
        <is>
          <t>[OPÉRATEUR/OPÉRATRICE: LIRE LES OPTIONS, RÉPONSE UNIQUE].</t>
        </is>
      </c>
      <c r="H61" s="402" t="n"/>
      <c r="I61" s="397" t="inlineStr">
        <is>
          <t>true</t>
        </is>
      </c>
      <c r="J61" s="397" t="n"/>
      <c r="K61" s="397" t="n"/>
      <c r="L61" s="397" t="n"/>
      <c r="M61" s="397" t="n"/>
      <c r="N61" s="397" t="n"/>
      <c r="O61" s="397" t="n"/>
      <c r="P61" s="397" t="n"/>
      <c r="Q61" s="398" t="n"/>
      <c r="R61" s="398" t="n"/>
      <c r="S61" s="398" t="n"/>
      <c r="T61" s="398" t="n"/>
      <c r="U61" s="398" t="inlineStr">
        <is>
          <t>no</t>
        </is>
      </c>
      <c r="V61" s="398" t="n"/>
      <c r="W61" s="395" t="n">
        <v>30.6</v>
      </c>
      <c r="X61" s="399" t="n">
        <v>1</v>
      </c>
      <c r="Y61" s="398" t="n">
        <v>30.6</v>
      </c>
      <c r="Z61" s="398" t="n"/>
      <c r="AA61" s="398" t="n"/>
    </row>
    <row r="62" ht="112.25" customFormat="1" customHeight="1" s="59">
      <c r="A62" s="396" t="n"/>
      <c r="B62" s="396" t="n"/>
      <c r="C62" s="396" t="n"/>
      <c r="D62" s="396" t="n"/>
      <c r="E62" s="396" t="n"/>
      <c r="F62" s="268" t="inlineStr">
        <is>
          <t>[HINT: IF RESPONDENT IS ONLY AWAY FROM THE HOUSEHOLD FOR SHORT SEASONAL WORK (&lt;6 MONTHS) OR TRANSHUMANCE, MAKE SURE TO REFER TO THEIR HOUSEHOLD BACK WHERE THEY TYPICALLY ARE LOCATED.]</t>
        </is>
      </c>
      <c r="G62" s="269" t="inlineStr">
        <is>
          <t>[CONSEIL: SI LA PERSONNE INTERROGÉE N'EST ÉLOIGNÉE DU FOYER QUE POUR UN TRAVAIL SAISONNIER DE COURTE DURÉE (&lt;6 MOIS) OU POUR LA TRANSHUMANCE,  FAIRE RÉFÉRENCE AU FOYER DE RETOUR OÙ ELLE VIT HABITUELLEMENT].</t>
        </is>
      </c>
      <c r="H62" s="396" t="n"/>
      <c r="I62" s="396" t="n"/>
      <c r="J62" s="396" t="n"/>
      <c r="K62" s="396" t="n"/>
      <c r="L62" s="396" t="n"/>
      <c r="M62" s="396" t="n"/>
      <c r="N62" s="396" t="n"/>
      <c r="O62" s="396" t="n"/>
      <c r="P62" s="396" t="n"/>
      <c r="Q62" s="396" t="n"/>
      <c r="R62" s="396" t="n"/>
      <c r="S62" s="396" t="n"/>
      <c r="T62" s="396" t="n"/>
      <c r="U62" s="396" t="n"/>
      <c r="V62" s="396" t="n"/>
      <c r="W62" s="396" t="n"/>
      <c r="X62" s="396" t="n"/>
      <c r="Y62" s="396" t="n"/>
      <c r="Z62" s="396" t="n"/>
      <c r="AA62" s="396" t="n"/>
    </row>
    <row r="63" ht="16.25" customFormat="1" customHeight="1" s="59">
      <c r="A63" s="271" t="inlineStr">
        <is>
          <t>integer</t>
        </is>
      </c>
      <c r="B63" s="271" t="inlineStr">
        <is>
          <t>hh_arrivaltime</t>
        </is>
      </c>
      <c r="C63" s="272" t="inlineStr">
        <is>
          <t>How long ago did you arrive in this place?</t>
        </is>
      </c>
      <c r="D63" s="273" t="inlineStr">
        <is>
          <t>Depuis quand vivez-vous dans ce lieu?</t>
        </is>
      </c>
      <c r="E63" s="404" t="n"/>
      <c r="F63" s="271" t="inlineStr">
        <is>
          <t>[INSTRUCTIONS: INDICATE THE NUMBER OF MONTHS. YOU MAY NEED TO CALCULATE THIS. ENTER 888 FOR DON'T KNOW &amp; 999 FOR REFUSED.]</t>
        </is>
      </c>
      <c r="G63" s="271" t="inlineStr">
        <is>
          <t>[INSTRUCTIONS: INDIQUER LE NOMBRE DE MOIS, QU'IL FAUDRA PEUT-ETRE CALCULER. SAISIR 888 POUR «NE SAIT PAS» ET 999 POUR «REFUSÉ».]</t>
        </is>
      </c>
      <c r="H63" s="402" t="n"/>
      <c r="I63" s="274" t="inlineStr">
        <is>
          <t>true</t>
        </is>
      </c>
      <c r="J63" s="274" t="n"/>
      <c r="K63" s="274" t="n"/>
      <c r="L63" s="274" t="n"/>
      <c r="M63" s="274" t="inlineStr">
        <is>
          <t>${resp_residencetype} = 2 or ${resp_residencetype} = 3 or ${resp_residencetype} = 4</t>
        </is>
      </c>
      <c r="N63" s="274" t="n"/>
      <c r="O63" s="274" t="n"/>
      <c r="P63" s="274" t="n"/>
      <c r="Q63" s="398" t="n"/>
      <c r="R63" s="398" t="n"/>
      <c r="S63" s="398" t="n"/>
      <c r="T63" s="398" t="n"/>
      <c r="U63" s="398" t="n"/>
      <c r="V63" s="398" t="n"/>
      <c r="W63" s="395" t="n"/>
      <c r="X63" s="398" t="n"/>
      <c r="Y63" s="398" t="n">
        <v>17</v>
      </c>
      <c r="Z63" s="398" t="n">
        <v>17</v>
      </c>
      <c r="AA63" s="398" t="n"/>
    </row>
    <row r="64" ht="32" customFormat="1" customHeight="1" s="59">
      <c r="A64" s="271" t="inlineStr">
        <is>
          <t>integer</t>
        </is>
      </c>
      <c r="B64" s="271" t="inlineStr">
        <is>
          <t>hh_displacementfreq</t>
        </is>
      </c>
      <c r="C64" s="272" t="inlineStr">
        <is>
          <t>How many times have you [respondent] been forced to move due to conflict, insecurity or disaster?</t>
        </is>
      </c>
      <c r="D64" s="273" t="inlineStr">
        <is>
          <t>Combien de fois avez-vous [le répondant] été contraint de déménager en raison d'un conflit, de l'insécurité ou d'une catastrophe ?</t>
        </is>
      </c>
      <c r="E64" s="404" t="n"/>
      <c r="F64" s="271" t="inlineStr">
        <is>
          <t>[INSTRUCTIONS: ENTER 888 FOR DON'T KNOW &amp; 999 FOR REFUSED.]</t>
        </is>
      </c>
      <c r="G64" s="271" t="inlineStr">
        <is>
          <t>[INSTRUCTIONS: SAISIR 888 POUR «NE SAIT PAS» ET 999 POUR «REFUSÉ».]</t>
        </is>
      </c>
      <c r="H64" s="402" t="n"/>
      <c r="I64" s="274" t="inlineStr">
        <is>
          <t>true</t>
        </is>
      </c>
      <c r="J64" s="274" t="n"/>
      <c r="K64" s="274" t="n"/>
      <c r="L64" s="274" t="n"/>
      <c r="M64" s="274" t="inlineStr">
        <is>
          <t>${resp_residencetype} = 2 or ${resp_residencetype} = 3 or ${resp_residencetype} = 4</t>
        </is>
      </c>
      <c r="N64" s="274" t="n"/>
      <c r="O64" s="274" t="n"/>
      <c r="P64" s="274" t="n"/>
      <c r="Q64" s="398" t="n"/>
      <c r="R64" s="398" t="n"/>
      <c r="S64" s="398" t="n"/>
      <c r="T64" s="398" t="n"/>
      <c r="U64" s="398" t="n"/>
      <c r="V64" s="398" t="n"/>
      <c r="W64" s="395" t="n"/>
      <c r="X64" s="398" t="n"/>
      <c r="Y64" s="398" t="n">
        <v>17</v>
      </c>
      <c r="Z64" s="398" t="n">
        <v>17</v>
      </c>
      <c r="AA64" s="398" t="n"/>
    </row>
    <row r="65" ht="32" customFormat="1" customHeight="1" s="59">
      <c r="A65" s="271" t="inlineStr">
        <is>
          <t>select_multiple residencecomp</t>
        </is>
      </c>
      <c r="B65" s="271" t="inlineStr">
        <is>
          <t>hh_residencecomp</t>
        </is>
      </c>
      <c r="C65" s="272" t="inlineStr">
        <is>
          <t>Does your household include members with a different status type than the one you reported? And if so, which one(s)?</t>
        </is>
      </c>
      <c r="D65" s="272" t="inlineStr">
        <is>
          <t>Votre ménage comprend-il des membres dont le statut de résidence est différent du votre ? Si oui, quels sont ces statuts?</t>
        </is>
      </c>
      <c r="E65" s="404" t="n"/>
      <c r="F65" s="271" t="inlineStr">
        <is>
          <t>[INSTRUCTIONS: MULTIPLE RESPONSES POSSIBLE. SELECT ALL THAT APPLY.]</t>
        </is>
      </c>
      <c r="G65" s="271" t="inlineStr">
        <is>
          <t>[INSTRUCTIONS: PLUSIEURS RÉPONSES POSSIBLES. SÉLECTIONNER TOUTES CELLES QUI S'APPLIQUENT].</t>
        </is>
      </c>
      <c r="H65" s="402" t="n"/>
      <c r="I65" s="274" t="inlineStr">
        <is>
          <t>true</t>
        </is>
      </c>
      <c r="J65" s="274" t="n"/>
      <c r="K65" s="274" t="inlineStr">
        <is>
          <t>if(selected(., '0') or selected(., '5') or selected(., '6'), count-selected(.) = 1, count-selected(.) &gt;= 1)</t>
        </is>
      </c>
      <c r="L65" s="274" t="n"/>
      <c r="M65" s="274" t="inlineStr">
        <is>
          <t>${resp_residencetype} != 5 and ${resp_residencetype} != 6</t>
        </is>
      </c>
      <c r="N65" s="274" t="inlineStr">
        <is>
          <t>not(selected(${resp_residencetype}, name))</t>
        </is>
      </c>
      <c r="O65" s="274" t="n"/>
      <c r="P65" s="274" t="n"/>
      <c r="Q65" s="398" t="n"/>
      <c r="R65" s="398" t="n"/>
      <c r="S65" s="398" t="n"/>
      <c r="T65" s="398" t="n"/>
      <c r="U65" s="398" t="n"/>
      <c r="V65" s="398" t="n"/>
      <c r="W65" s="395" t="n"/>
      <c r="X65" s="398" t="n"/>
      <c r="Y65" s="398" t="n">
        <v>17</v>
      </c>
      <c r="Z65" s="398" t="n">
        <v>17</v>
      </c>
      <c r="AA65" s="398" t="n"/>
    </row>
    <row r="66" ht="16.25" customFormat="1" customHeight="1" s="59">
      <c r="A66" s="275" t="inlineStr">
        <is>
          <t>select_multiple dispimpact</t>
        </is>
      </c>
      <c r="B66" s="275" t="inlineStr">
        <is>
          <t>hh_disp_imp</t>
        </is>
      </c>
      <c r="C66" s="276" t="inlineStr">
        <is>
          <t>What has been the most significant impact of displacement on your household?</t>
        </is>
      </c>
      <c r="D66" s="276" t="inlineStr">
        <is>
          <t>Quel a été l'impact le plus important du déplacement sur votre ménage ?</t>
        </is>
      </c>
      <c r="E66" s="277" t="n"/>
      <c r="F66" s="275" t="inlineStr">
        <is>
          <t>[INSTRUCTIONS: UP TO THREE RESPONSES ALLOWED.]</t>
        </is>
      </c>
      <c r="G66" s="275" t="inlineStr">
        <is>
          <t xml:space="preserve">[INSTRUCTIONS: JUSQU'À TROIS RÉPONSES POSSIBLES.] </t>
        </is>
      </c>
      <c r="H66" s="278" t="n"/>
      <c r="I66" s="279" t="inlineStr">
        <is>
          <t>true</t>
        </is>
      </c>
      <c r="J66" s="279" t="n"/>
      <c r="K66" s="279" t="inlineStr">
        <is>
          <t>if(selected(., 'none') or selected(., 'dk') or selected(., 'ref'), count-selected(.) = 1, count-selected(.) &lt;= 3)</t>
        </is>
      </c>
      <c r="L66" s="279" t="n"/>
      <c r="M66" s="279" t="inlineStr">
        <is>
          <t>${resp_residencetype} != 5 and ${resp_residencetype} != 6</t>
        </is>
      </c>
      <c r="N66" s="279" t="n"/>
      <c r="O66" s="279" t="n"/>
      <c r="P66" s="279" t="n"/>
      <c r="Q66" s="400" t="n"/>
      <c r="R66" s="400" t="n"/>
      <c r="S66" s="400" t="n"/>
      <c r="T66" s="400" t="n"/>
      <c r="U66" s="400" t="n"/>
      <c r="V66" s="400" t="n"/>
      <c r="W66" s="280" t="n"/>
      <c r="X66" s="400" t="n"/>
      <c r="Y66" s="400" t="n"/>
      <c r="Z66" s="400" t="n"/>
      <c r="AA66" s="400" t="n"/>
    </row>
    <row r="67" ht="16.25" customFormat="1" customHeight="1" s="59">
      <c r="A67" s="275" t="inlineStr">
        <is>
          <t>text</t>
        </is>
      </c>
      <c r="B67" s="275" t="inlineStr">
        <is>
          <t>hh_disp_imp_otherspecify</t>
        </is>
      </c>
      <c r="C67" s="276" t="inlineStr">
        <is>
          <t>If other, specify.</t>
        </is>
      </c>
      <c r="D67" s="276" t="inlineStr">
        <is>
          <t>Si autre, précisez.</t>
        </is>
      </c>
      <c r="E67" s="277" t="n"/>
      <c r="F67" s="275" t="inlineStr">
        <is>
          <t>[INSTRUCTIONS: RECORD THE OPEN RESPONSE GIVEN IN FEW WORDS. ENTER 888 FOR DON'T KNOW AND 999 FOR REFUSED]</t>
        </is>
      </c>
      <c r="G67" s="275" t="inlineStr">
        <is>
          <t>[INSTRUCTIONS :  DÉCRIVEZ LA RÉPONSE DONNÉE PAR LE RÉPONDANT EN QUELQUES MOTS. ENTREZ 888 POUR NE SAIT PAS ET 999 POUR REFUS.]</t>
        </is>
      </c>
      <c r="H67" s="278" t="n"/>
      <c r="I67" s="279" t="inlineStr">
        <is>
          <t>true</t>
        </is>
      </c>
      <c r="J67" s="279" t="n"/>
      <c r="K67" s="279" t="n"/>
      <c r="L67" s="279" t="n"/>
      <c r="M67" s="279" t="inlineStr">
        <is>
          <t>selected(${hh_disp_imp}, 'other')</t>
        </is>
      </c>
      <c r="N67" s="279" t="n"/>
      <c r="O67" s="279" t="n"/>
      <c r="P67" s="279" t="n"/>
      <c r="Q67" s="400" t="n"/>
      <c r="R67" s="400" t="n"/>
      <c r="S67" s="400" t="n"/>
      <c r="T67" s="400" t="n"/>
      <c r="U67" s="400" t="n"/>
      <c r="V67" s="400" t="n"/>
      <c r="W67" s="280" t="n"/>
      <c r="X67" s="400" t="n"/>
      <c r="Y67" s="400" t="n"/>
      <c r="Z67" s="400" t="n"/>
      <c r="AA67" s="400" t="n"/>
    </row>
    <row r="68" customFormat="1" s="59">
      <c r="A68" s="281" t="inlineStr">
        <is>
          <t>select_one hhsite</t>
        </is>
      </c>
      <c r="B68" s="281" t="inlineStr">
        <is>
          <t>hh_site</t>
        </is>
      </c>
      <c r="C68" s="281" t="inlineStr">
        <is>
          <t xml:space="preserve">Which of the following best describes where you live? </t>
        </is>
      </c>
      <c r="D68" s="281" t="inlineStr">
        <is>
          <t>Laquelle de ces propositions décrit le mieux l'endroit où vous vivez?</t>
        </is>
      </c>
      <c r="E68" s="283" t="n"/>
      <c r="F68" s="281" t="inlineStr">
        <is>
          <t>[INSTRUCTIONS: READ OUT THE OPTIONS.]</t>
        </is>
      </c>
      <c r="G68" s="281" t="inlineStr">
        <is>
          <t>[INSTRUCTIONS: LIRE LES RÉPONSES À HAUTE VOIX.]</t>
        </is>
      </c>
      <c r="H68" s="284" t="n"/>
      <c r="I68" s="285" t="inlineStr">
        <is>
          <t>true</t>
        </is>
      </c>
      <c r="J68" s="285" t="n"/>
      <c r="K68" s="285" t="n"/>
      <c r="L68" s="285" t="n"/>
      <c r="M68" s="285" t="inlineStr">
        <is>
          <t>${resp_residencetype} = 2 or ${resp_residencetype} = 3 or ${resp_residencetype} = 4</t>
        </is>
      </c>
      <c r="N68" s="285" t="n"/>
      <c r="O68" s="285" t="n"/>
      <c r="P68" s="285" t="n"/>
      <c r="Q68" s="286" t="n"/>
      <c r="R68" s="286" t="n"/>
      <c r="S68" s="286" t="n"/>
      <c r="T68" s="286" t="n"/>
      <c r="U68" s="286" t="n"/>
      <c r="V68" s="286" t="n"/>
      <c r="W68" s="287" t="n"/>
      <c r="X68" s="286" t="n"/>
      <c r="Y68" s="286" t="n">
        <v>17</v>
      </c>
      <c r="Z68" s="286" t="n"/>
      <c r="AA68" s="286" t="n"/>
    </row>
    <row r="69" customFormat="1" s="59">
      <c r="A69" s="281" t="inlineStr">
        <is>
          <t>select_one hhshelter</t>
        </is>
      </c>
      <c r="B69" s="281" t="inlineStr">
        <is>
          <t>hh_shelter</t>
        </is>
      </c>
      <c r="C69" s="281" t="inlineStr">
        <is>
          <t>What kind of shelter is your household living in?</t>
        </is>
      </c>
      <c r="D69" s="281" t="inlineStr">
        <is>
          <t>Dans quel type d'abri vit votre ménage?</t>
        </is>
      </c>
      <c r="E69" s="283" t="n"/>
      <c r="F69" s="281" t="n"/>
      <c r="G69" s="281" t="n"/>
      <c r="H69" s="284" t="n"/>
      <c r="I69" s="285" t="inlineStr">
        <is>
          <t>true</t>
        </is>
      </c>
      <c r="J69" s="285" t="n"/>
      <c r="K69" s="285" t="n"/>
      <c r="L69" s="285" t="n"/>
      <c r="M69" s="274" t="n"/>
      <c r="N69" s="285" t="n"/>
      <c r="O69" s="285" t="n"/>
      <c r="P69" s="285" t="n"/>
      <c r="Q69" s="286" t="n"/>
      <c r="R69" s="286" t="n"/>
      <c r="S69" s="286" t="n"/>
      <c r="T69" s="286" t="n"/>
      <c r="U69" s="286" t="n"/>
      <c r="V69" s="286" t="n"/>
      <c r="W69" s="287" t="n"/>
      <c r="X69" s="286" t="n"/>
      <c r="Y69" s="286" t="n">
        <v>17</v>
      </c>
      <c r="Z69" s="286" t="n"/>
      <c r="AA69" s="286" t="n"/>
    </row>
    <row r="70" ht="32" customFormat="1" customHeight="1" s="59">
      <c r="A70" s="281" t="inlineStr">
        <is>
          <t>select_one yes_no</t>
        </is>
      </c>
      <c r="B70" s="281" t="inlineStr">
        <is>
          <t>hh_predisp_agricactivity</t>
        </is>
      </c>
      <c r="C70" s="288" t="inlineStr">
        <is>
          <t>Did you or other displaced persons in your household engage in agricultural activities prior to your/their displacement?</t>
        </is>
      </c>
      <c r="D70" s="281" t="inlineStr">
        <is>
          <t>Avez-vous, vous ou d'autres membres déplacés de votre ménage, été impliqué dans des activités agricoles avant votre déplacement ?</t>
        </is>
      </c>
      <c r="E70" s="283" t="n"/>
      <c r="F70" s="281" t="inlineStr">
        <is>
          <t>[INSTRUCTIONS: MULTIPLE RESPONSES POSSIBLE.]</t>
        </is>
      </c>
      <c r="G70" s="281" t="inlineStr">
        <is>
          <t>[INSTRUCTIONS: PLUSIEURS RÉPONSES POSSIBLES].</t>
        </is>
      </c>
      <c r="H70" s="284" t="n"/>
      <c r="I70" s="285" t="n"/>
      <c r="J70" s="285" t="n"/>
      <c r="K70" s="285" t="n"/>
      <c r="L70" s="285" t="n"/>
      <c r="M70" s="285" t="inlineStr">
        <is>
          <t>${resp_residencetype} = 2 or ${resp_residencetype} = 3 or ${resp_residencetype} = 4 or selected(${hh_residencecomp}, '2') or selected(${hh_residencecomp}, '3') or selected(${hh_residencecomp}, '4')</t>
        </is>
      </c>
      <c r="N70" s="285" t="n"/>
      <c r="O70" s="285" t="n"/>
      <c r="P70" s="285" t="n"/>
      <c r="Q70" s="286" t="n"/>
      <c r="R70" s="286" t="n"/>
      <c r="S70" s="286" t="n"/>
      <c r="T70" s="286" t="n"/>
      <c r="U70" s="286" t="n"/>
      <c r="V70" s="286" t="n"/>
      <c r="W70" s="287" t="n"/>
      <c r="X70" s="286" t="n"/>
      <c r="Y70" s="286" t="n">
        <v>17</v>
      </c>
      <c r="Z70" s="286" t="n"/>
      <c r="AA70" s="286" t="n"/>
    </row>
    <row r="71" customFormat="1" s="59">
      <c r="A71" s="281" t="inlineStr">
        <is>
          <t>select_multiple hhagricpredisp</t>
        </is>
      </c>
      <c r="B71" s="281" t="inlineStr">
        <is>
          <t>hh_predisp</t>
        </is>
      </c>
      <c r="C71" s="281" t="inlineStr">
        <is>
          <t xml:space="preserve">What type of agricultural activities were they? </t>
        </is>
      </c>
      <c r="D71" s="281" t="inlineStr">
        <is>
          <t xml:space="preserve">De quel type d'activités agricoles s'agissait-il ? </t>
        </is>
      </c>
      <c r="E71" s="283" t="n"/>
      <c r="F71" s="281" t="n"/>
      <c r="G71" s="281" t="n"/>
      <c r="H71" s="284" t="n"/>
      <c r="I71" s="285" t="n"/>
      <c r="J71" s="285" t="n"/>
      <c r="K71" s="285" t="inlineStr">
        <is>
          <t>if(selected(., 'dk') or selected(., 'ref'), count-selected(.) = 1, count-selected(.) &gt;= 1)</t>
        </is>
      </c>
      <c r="L71" s="285" t="n"/>
      <c r="M71" s="285" t="inlineStr">
        <is>
          <t>${hh_predisp_agricactivity} = '1'</t>
        </is>
      </c>
      <c r="N71" s="285" t="n"/>
      <c r="O71" s="285" t="n"/>
      <c r="P71" s="285" t="n"/>
      <c r="Q71" s="286" t="n"/>
      <c r="R71" s="286" t="n"/>
      <c r="S71" s="286" t="n"/>
      <c r="T71" s="286" t="n"/>
      <c r="U71" s="286" t="n"/>
      <c r="V71" s="286" t="n"/>
      <c r="W71" s="287" t="n"/>
      <c r="X71" s="286" t="n"/>
      <c r="Y71" s="286" t="n">
        <v>17</v>
      </c>
      <c r="Z71" s="286" t="n"/>
      <c r="AA71" s="286" t="n"/>
    </row>
    <row r="72" ht="32" customFormat="1" customHeight="1" s="59">
      <c r="A72" s="281" t="inlineStr">
        <is>
          <t>select_one plotaccess</t>
        </is>
      </c>
      <c r="B72" s="275" t="inlineStr">
        <is>
          <t>hh_agri_plotaccess</t>
        </is>
      </c>
      <c r="C72" s="289" t="inlineStr">
        <is>
          <t>Can you or anyone in your household access land or water to grow food, raise animals, or raise/catch fish?</t>
        </is>
      </c>
      <c r="D72" s="289" t="inlineStr">
        <is>
          <t>Est-ce que vous ou quelqu'un de votre ménage peut avoir accès à la terre ou à l'eau pour les cultures, élever des animaux ou élever/pêcher des poissons ?</t>
        </is>
      </c>
      <c r="E72" s="284" t="n"/>
      <c r="F72" s="281" t="n"/>
      <c r="G72" s="281" t="n"/>
      <c r="H72" s="284" t="n"/>
      <c r="I72" s="285" t="inlineStr">
        <is>
          <t>true</t>
        </is>
      </c>
      <c r="J72" s="285" t="n"/>
      <c r="K72" s="285" t="n"/>
      <c r="L72" s="285" t="n"/>
      <c r="M72" s="279" t="inlineStr">
        <is>
          <t>${hh_agricactivity} = 1 or ${hh_agricactivity} = 2 or ${hh_agricactivity} = 3 or ${hh_fish} = 1 or ${hh_predisp_agricactivity} = 1</t>
        </is>
      </c>
      <c r="N72" s="285" t="n"/>
      <c r="O72" s="285" t="n"/>
      <c r="P72" s="285" t="n"/>
      <c r="Q72" s="286" t="n"/>
      <c r="R72" s="286" t="n"/>
      <c r="S72" s="286" t="n"/>
      <c r="T72" s="286" t="n"/>
      <c r="U72" s="286" t="n"/>
      <c r="V72" s="286" t="n"/>
      <c r="W72" s="287" t="n"/>
      <c r="X72" s="286" t="n"/>
      <c r="Y72" s="286" t="n"/>
      <c r="Z72" s="286" t="n"/>
      <c r="AA72" s="286" t="n"/>
    </row>
    <row r="73" ht="32" customFormat="1" customHeight="1" s="59">
      <c r="A73" s="281" t="inlineStr">
        <is>
          <t>select_multiple plot_noaccess</t>
        </is>
      </c>
      <c r="B73" s="275" t="inlineStr">
        <is>
          <t>hh_plotaccess</t>
        </is>
      </c>
      <c r="C73" s="289" t="inlineStr">
        <is>
          <t>Why are you unable to access land or water for agricultural, livestock or fishing?</t>
        </is>
      </c>
      <c r="D73" s="276" t="inlineStr">
        <is>
          <t>Pourquoi n'avez-vous pas accès à la terre ou à l'eau pour l'agriculture, l'élevage ou la pêche ?</t>
        </is>
      </c>
      <c r="E73" s="283" t="n"/>
      <c r="F73" s="281" t="inlineStr">
        <is>
          <t>[INSTRUCTIONS: MULTIPLE RESPONSES POSSIBLE.]</t>
        </is>
      </c>
      <c r="G73" s="281" t="inlineStr">
        <is>
          <t>[INSTRUCTIONS: PLUSIEURS RÉPONSES POSSIBLES].</t>
        </is>
      </c>
      <c r="H73" s="284" t="n"/>
      <c r="I73" s="285" t="inlineStr">
        <is>
          <t>true</t>
        </is>
      </c>
      <c r="J73" s="285" t="n"/>
      <c r="K73" s="285" t="inlineStr">
        <is>
          <t>if(selected(., 'ref') or selected(., 'dk'), count-selected(.) = 1, count-selected(.) &gt;= 1)</t>
        </is>
      </c>
      <c r="L73" s="285" t="n"/>
      <c r="M73" s="285" t="inlineStr">
        <is>
          <t>${hh_agri_plotaccess} = 2</t>
        </is>
      </c>
      <c r="N73" s="285" t="n"/>
      <c r="O73" s="285" t="n"/>
      <c r="P73" s="285" t="n"/>
      <c r="Q73" s="286" t="n"/>
      <c r="R73" s="286" t="n"/>
      <c r="S73" s="286" t="n"/>
      <c r="T73" s="286" t="n"/>
      <c r="U73" s="286" t="n"/>
      <c r="V73" s="286" t="n"/>
      <c r="W73" s="287" t="n"/>
      <c r="X73" s="286" t="n"/>
      <c r="Y73" s="286" t="n">
        <v>17</v>
      </c>
      <c r="Z73" s="286" t="n"/>
      <c r="AA73" s="286" t="n"/>
    </row>
    <row r="74" ht="16.25" customFormat="1" customHeight="1" s="59">
      <c r="A74" s="281" t="inlineStr">
        <is>
          <t>text</t>
        </is>
      </c>
      <c r="B74" s="275" t="inlineStr">
        <is>
          <t>hh_plotaccess_otherspecify</t>
        </is>
      </c>
      <c r="C74" s="288" t="inlineStr">
        <is>
          <t>If other, specify.</t>
        </is>
      </c>
      <c r="D74" s="288" t="inlineStr">
        <is>
          <t>Si autre, précisez.</t>
        </is>
      </c>
      <c r="E74" s="283" t="n"/>
      <c r="F74" s="281" t="inlineStr">
        <is>
          <t>[INSTRUCTIONS: RECORD THE OPEN RESPONSE GIVEN IN FEW WORDS. ENTER 888 FOR DON'T KNOW AND 999 FOR REFUSED]</t>
        </is>
      </c>
      <c r="G74" s="281" t="inlineStr">
        <is>
          <t>[INSTRUCTIONS :  DÉCRIVEZ LA RÉPONSE DONNÉE PAR LE RÉPONDANT EN QUELQUES MOTS. ENTREZ 888 POUR NE SAIT PAS ET 999 POUR REFUS.]</t>
        </is>
      </c>
      <c r="H74" s="284" t="n"/>
      <c r="I74" s="285" t="inlineStr">
        <is>
          <t>true</t>
        </is>
      </c>
      <c r="J74" s="285" t="n"/>
      <c r="K74" s="285" t="n"/>
      <c r="L74" s="285" t="n"/>
      <c r="M74" s="285" t="inlineStr">
        <is>
          <t>selected(${hh_plotaccess}, 'other')</t>
        </is>
      </c>
      <c r="N74" s="285" t="n"/>
      <c r="O74" s="285" t="n"/>
      <c r="P74" s="285" t="n"/>
      <c r="Q74" s="286" t="n"/>
      <c r="R74" s="286" t="n"/>
      <c r="S74" s="286" t="n"/>
      <c r="T74" s="286" t="n"/>
      <c r="U74" s="286" t="inlineStr">
        <is>
          <t>yes</t>
        </is>
      </c>
      <c r="V74" s="286" t="n"/>
      <c r="W74" s="287" t="n"/>
      <c r="X74" s="290" t="n">
        <v>0.05</v>
      </c>
      <c r="Y74" s="286" t="n"/>
      <c r="Z74" s="286" t="n"/>
      <c r="AA74" s="286" t="n"/>
    </row>
    <row r="75" customFormat="1" s="78">
      <c r="A75" s="343" t="inlineStr">
        <is>
          <t>select_multiple hh_agri_activity</t>
        </is>
      </c>
      <c r="B75" s="343" t="inlineStr">
        <is>
          <t>hh_agri_activity</t>
        </is>
      </c>
      <c r="C75" s="350" t="inlineStr">
        <is>
          <t>What type of agricultural activity are you currently interested in?</t>
        </is>
      </c>
      <c r="D75" s="344" t="inlineStr">
        <is>
          <t>Actuellement quel type d'activité agricole etes vous interessez?</t>
        </is>
      </c>
      <c r="E75" s="345" t="n"/>
      <c r="F75" s="343" t="inlineStr">
        <is>
          <t>[INSTRUCTIONS: MULTIPLE RESPONSES POSSIBLE.]</t>
        </is>
      </c>
      <c r="G75" s="343" t="inlineStr">
        <is>
          <t>[INSTRUCTIONS: PLUSIEURS RÉPONSES POSSIBLES].</t>
        </is>
      </c>
      <c r="H75" s="346" t="n"/>
      <c r="I75" s="347" t="inlineStr">
        <is>
          <t>true</t>
        </is>
      </c>
      <c r="J75" s="347" t="n"/>
      <c r="K75" s="347" t="inlineStr">
        <is>
          <t>if(selected(., 'ref') or selected(., 'dk'), count-selected(.) = 1, count-selected(.) &gt;= 1)</t>
        </is>
      </c>
      <c r="L75" s="347" t="n"/>
      <c r="M75" s="347" t="inlineStr">
        <is>
          <t>${resp_residencetype} = 2 or ${resp_residencetype} = 3 or ${resp_residencetype} = 4</t>
        </is>
      </c>
      <c r="N75" s="347" t="n"/>
      <c r="O75" s="347" t="n"/>
      <c r="P75" s="347" t="n"/>
      <c r="W75" s="348" t="n"/>
      <c r="Y75" s="78" t="n">
        <v>17</v>
      </c>
    </row>
    <row r="76" customFormat="1" s="78">
      <c r="A76" s="343" t="inlineStr">
        <is>
          <t>text</t>
        </is>
      </c>
      <c r="B76" s="343" t="inlineStr">
        <is>
          <t>hh_Agri_activity_otherspecify</t>
        </is>
      </c>
      <c r="C76" s="344" t="inlineStr">
        <is>
          <t>If other, specify.</t>
        </is>
      </c>
      <c r="D76" s="344" t="inlineStr">
        <is>
          <t>Si autre, précisez.</t>
        </is>
      </c>
      <c r="E76" s="345" t="n"/>
      <c r="F76" s="343" t="inlineStr">
        <is>
          <t>[INSTRUCTIONS: RECORD THE OPEN RESPONSE GIVEN IN FEW WORDS. ENTER 888 FOR DON'T KNOW AND 999 FOR REFUSED]</t>
        </is>
      </c>
      <c r="G76" s="343" t="inlineStr">
        <is>
          <t>[INSTRUCTIONS :  DÉCRIVEZ LA RÉPONSE DONNÉE PAR LE RÉPONDANT EN QUELQUES MOTS. ENTREZ 888 POUR NE SAIT PAS ET 999 POUR REFUS.]</t>
        </is>
      </c>
      <c r="H76" s="346" t="n"/>
      <c r="I76" s="347" t="inlineStr">
        <is>
          <t>true</t>
        </is>
      </c>
      <c r="J76" s="347" t="n"/>
      <c r="K76" s="347" t="n"/>
      <c r="L76" s="347" t="n"/>
      <c r="M76" s="347" t="inlineStr">
        <is>
          <t>selected(${hh_plotaccess}, 'other')</t>
        </is>
      </c>
      <c r="N76" s="347" t="n"/>
      <c r="O76" s="347" t="n"/>
      <c r="P76" s="347" t="n"/>
      <c r="U76" s="78" t="inlineStr">
        <is>
          <t>yes</t>
        </is>
      </c>
      <c r="W76" s="348" t="n"/>
      <c r="X76" s="349" t="n">
        <v>0.05</v>
      </c>
    </row>
    <row r="77" ht="29" customFormat="1" customHeight="1" s="78">
      <c r="A77" s="343" t="inlineStr">
        <is>
          <t>select_multiple hh_agri_input_needs</t>
        </is>
      </c>
      <c r="B77" s="343" t="inlineStr">
        <is>
          <t>hh_agri_input_needs</t>
        </is>
      </c>
      <c r="C77" s="350" t="inlineStr">
        <is>
          <t>What agricultural inputs do you need for this agricultural activity?</t>
        </is>
      </c>
      <c r="D77" s="344" t="inlineStr">
        <is>
          <t>quels sont les intrants agricoles dont vous avez besoin pour cette activité agricole?</t>
        </is>
      </c>
      <c r="E77" s="345" t="n"/>
      <c r="F77" s="343" t="inlineStr">
        <is>
          <t>[INSTRUCTIONS: MULTIPLE RESPONSES POSSIBLE.]</t>
        </is>
      </c>
      <c r="G77" s="343" t="inlineStr">
        <is>
          <t>[INSTRUCTIONS: PLUSIEURS RÉPONSES POSSIBLES].</t>
        </is>
      </c>
      <c r="H77" s="346" t="n"/>
      <c r="I77" s="347" t="inlineStr">
        <is>
          <t>true</t>
        </is>
      </c>
      <c r="J77" s="347" t="n"/>
      <c r="K77" s="347" t="inlineStr">
        <is>
          <t>if(selected(., 'ref') or selected(., 'dk'), count-selected(.) = 1, count-selected(.) &gt;= 1)</t>
        </is>
      </c>
      <c r="L77" s="347" t="n"/>
      <c r="M77" s="347" t="inlineStr">
        <is>
          <t>${resp_residencetype} = 2 or ${resp_residencetype} = 3 or ${resp_residencetype} = 4</t>
        </is>
      </c>
      <c r="N77" s="347" t="n"/>
      <c r="O77" s="347" t="n"/>
      <c r="P77" s="347" t="n"/>
      <c r="W77" s="348" t="n"/>
      <c r="Y77" s="78" t="n">
        <v>17</v>
      </c>
    </row>
    <row r="78" customFormat="1" s="78">
      <c r="A78" s="343" t="inlineStr">
        <is>
          <t>text</t>
        </is>
      </c>
      <c r="B78" s="343" t="inlineStr">
        <is>
          <t>hh_Agri_input_needs_otherspecify</t>
        </is>
      </c>
      <c r="C78" s="344" t="inlineStr">
        <is>
          <t>If other, specify.</t>
        </is>
      </c>
      <c r="D78" s="344" t="inlineStr">
        <is>
          <t>Si autre, précisez.</t>
        </is>
      </c>
      <c r="E78" s="345" t="n"/>
      <c r="F78" s="343" t="inlineStr">
        <is>
          <t>[INSTRUCTIONS: RECORD THE OPEN RESPONSE GIVEN IN FEW WORDS. ENTER 888 FOR DON'T KNOW AND 999 FOR REFUSED]</t>
        </is>
      </c>
      <c r="G78" s="343" t="inlineStr">
        <is>
          <t>[INSTRUCTIONS :  DÉCRIVEZ LA RÉPONSE DONNÉE PAR LE RÉPONDANT EN QUELQUES MOTS. ENTREZ 888 POUR NE SAIT PAS ET 999 POUR REFUS.]</t>
        </is>
      </c>
      <c r="H78" s="346" t="n"/>
      <c r="I78" s="347" t="inlineStr">
        <is>
          <t>true</t>
        </is>
      </c>
      <c r="J78" s="347" t="n"/>
      <c r="K78" s="347" t="n"/>
      <c r="L78" s="347" t="n"/>
      <c r="M78" s="347" t="inlineStr">
        <is>
          <t>selected(${hh_plotaccess}, 'other')</t>
        </is>
      </c>
      <c r="N78" s="347" t="n"/>
      <c r="O78" s="347" t="n"/>
      <c r="P78" s="347" t="n"/>
      <c r="U78" s="78" t="inlineStr">
        <is>
          <t>yes</t>
        </is>
      </c>
      <c r="W78" s="348" t="n"/>
      <c r="X78" s="349" t="n">
        <v>0.05</v>
      </c>
    </row>
    <row r="79" customFormat="1" s="78">
      <c r="A79" s="343" t="inlineStr">
        <is>
          <t>select_multiple crop</t>
        </is>
      </c>
      <c r="B79" s="343" t="inlineStr">
        <is>
          <t>hh_agri_crop_interresed</t>
        </is>
      </c>
      <c r="C79" s="350" t="inlineStr">
        <is>
          <t>What agricultural commodities are you interested in?</t>
        </is>
      </c>
      <c r="D79" s="344" t="inlineStr">
        <is>
          <t>quels sont les spéculations agricoles qui vous intéresse pour l'agricole?</t>
        </is>
      </c>
      <c r="E79" s="345" t="n"/>
      <c r="F79" s="343" t="inlineStr">
        <is>
          <t>[INSTRUCTIONS: MULTIPLE RESPONSES POSSIBLE.]</t>
        </is>
      </c>
      <c r="G79" s="343" t="inlineStr">
        <is>
          <t>[INSTRUCTIONS: PLUSIEURS RÉPONSES POSSIBLES].</t>
        </is>
      </c>
      <c r="H79" s="346" t="n"/>
      <c r="I79" s="347" t="inlineStr">
        <is>
          <t>true</t>
        </is>
      </c>
      <c r="J79" s="347" t="n"/>
      <c r="K79" s="347" t="inlineStr">
        <is>
          <t>if(selected(., 'ref') or selected(., 'dk'), count-selected(.) = 1, count-selected(.) &gt;= 1)</t>
        </is>
      </c>
      <c r="L79" s="347" t="n"/>
      <c r="M79" s="347" t="inlineStr">
        <is>
          <t>${resp_residencetype} = 2 or ${resp_residencetype} = 3 or ${resp_residencetype} = 4</t>
        </is>
      </c>
      <c r="N79" s="347" t="n"/>
      <c r="O79" s="347" t="n"/>
      <c r="P79" s="347" t="n"/>
      <c r="W79" s="348" t="n"/>
      <c r="Y79" s="78" t="n">
        <v>17</v>
      </c>
    </row>
    <row r="80" ht="16.25" customFormat="1" customHeight="1" s="59">
      <c r="A80" s="281" t="n"/>
      <c r="B80" s="275" t="n"/>
      <c r="C80" s="288" t="n"/>
      <c r="D80" s="288" t="n"/>
      <c r="E80" s="283" t="n"/>
      <c r="F80" s="281" t="n"/>
      <c r="G80" s="281" t="n"/>
      <c r="H80" s="284" t="n"/>
      <c r="I80" s="285" t="n"/>
      <c r="J80" s="285" t="n"/>
      <c r="K80" s="285" t="n"/>
      <c r="L80" s="285" t="n"/>
      <c r="M80" s="285" t="n"/>
      <c r="N80" s="285" t="n"/>
      <c r="O80" s="285" t="n"/>
      <c r="P80" s="285" t="n"/>
      <c r="Q80" s="286" t="n"/>
      <c r="R80" s="286" t="n"/>
      <c r="S80" s="286" t="n"/>
      <c r="T80" s="286" t="n"/>
      <c r="U80" s="286" t="n"/>
      <c r="V80" s="286" t="n"/>
      <c r="W80" s="287" t="n"/>
      <c r="X80" s="290" t="n"/>
      <c r="Y80" s="286" t="n"/>
      <c r="Z80" s="286" t="n"/>
      <c r="AA80" s="286" t="n"/>
    </row>
    <row r="81" ht="16.25" customFormat="1" customHeight="1" s="59">
      <c r="A81" s="281" t="n"/>
      <c r="B81" s="275" t="n"/>
      <c r="C81" s="288" t="n"/>
      <c r="D81" s="288" t="n"/>
      <c r="E81" s="283" t="n"/>
      <c r="F81" s="281" t="n"/>
      <c r="G81" s="281" t="n"/>
      <c r="H81" s="284" t="n"/>
      <c r="I81" s="285" t="n"/>
      <c r="J81" s="285" t="n"/>
      <c r="K81" s="285" t="n"/>
      <c r="L81" s="285" t="n"/>
      <c r="M81" s="285" t="n"/>
      <c r="N81" s="285" t="n"/>
      <c r="O81" s="285" t="n"/>
      <c r="P81" s="285" t="n"/>
      <c r="Q81" s="286" t="n"/>
      <c r="R81" s="286" t="n"/>
      <c r="S81" s="286" t="n"/>
      <c r="T81" s="286" t="n"/>
      <c r="U81" s="286" t="n"/>
      <c r="V81" s="286" t="n"/>
      <c r="W81" s="287" t="n"/>
      <c r="X81" s="290" t="n"/>
      <c r="Y81" s="286" t="n"/>
      <c r="Z81" s="286" t="n"/>
      <c r="AA81" s="286" t="n"/>
    </row>
    <row r="82" ht="16.25" customFormat="1" customHeight="1" s="59">
      <c r="A82" s="59" t="inlineStr">
        <is>
          <t>select_one maritalstat</t>
        </is>
      </c>
      <c r="B82" s="59" t="inlineStr">
        <is>
          <t>hh_maritalstat</t>
        </is>
      </c>
      <c r="C82" s="60" t="inlineStr">
        <is>
          <t xml:space="preserve">What is the head of household’s current marital status? </t>
        </is>
      </c>
      <c r="D82" s="60" t="inlineStr">
        <is>
          <t>Quel est le status marital actuel du chef de ménage ?</t>
        </is>
      </c>
      <c r="E82" s="61" t="n"/>
      <c r="H82" s="65" t="n"/>
      <c r="I82" s="103" t="inlineStr">
        <is>
          <t>true</t>
        </is>
      </c>
      <c r="J82" s="103" t="n"/>
      <c r="K82" s="103" t="n"/>
      <c r="L82" s="103" t="n"/>
      <c r="M82" s="103" t="n"/>
      <c r="N82" s="103" t="n"/>
      <c r="O82" s="103" t="n"/>
      <c r="P82" s="103" t="n"/>
      <c r="U82" s="59" t="inlineStr">
        <is>
          <t>no</t>
        </is>
      </c>
      <c r="W82" s="172" t="n">
        <v>17</v>
      </c>
      <c r="X82" s="151">
        <f>1</f>
        <v/>
      </c>
      <c r="Y82" s="152">
        <f>IF(W82&lt;&gt;"",W82*X82,"")</f>
        <v/>
      </c>
      <c r="Z82" s="152">
        <f>IF(AND(W82&lt;&gt;"",U82="yes"),W82*X82,"")</f>
        <v/>
      </c>
      <c r="AA82" s="398" t="n"/>
    </row>
    <row r="83" ht="16.25" customFormat="1" customHeight="1" s="59">
      <c r="A83" s="59" t="inlineStr">
        <is>
          <t>select_one agegroup</t>
        </is>
      </c>
      <c r="B83" s="59" t="inlineStr">
        <is>
          <t>hh_age</t>
        </is>
      </c>
      <c r="C83" s="60" t="inlineStr">
        <is>
          <t xml:space="preserve">How old is the head of household? </t>
        </is>
      </c>
      <c r="D83" s="60" t="inlineStr">
        <is>
          <t>Quel âge a le chef de famille ?</t>
        </is>
      </c>
      <c r="E83" s="61" t="n"/>
      <c r="H83" s="65" t="n"/>
      <c r="I83" s="103" t="inlineStr">
        <is>
          <t>true</t>
        </is>
      </c>
      <c r="J83" s="103" t="n"/>
      <c r="K83" s="103" t="n"/>
      <c r="L83" s="103" t="n"/>
      <c r="M83" s="103" t="inlineStr">
        <is>
          <t>${resp_id} != '1'</t>
        </is>
      </c>
      <c r="N83" s="103" t="n"/>
      <c r="O83" s="103" t="n"/>
      <c r="P83" s="103" t="n"/>
      <c r="U83" s="59" t="inlineStr">
        <is>
          <t>no</t>
        </is>
      </c>
      <c r="W83" s="172" t="n">
        <v>8.228806495666504</v>
      </c>
      <c r="X83" s="151">
        <f>1</f>
        <v/>
      </c>
      <c r="Y83" s="152">
        <f>IF(W83&lt;&gt;"",W83*X83,"")</f>
        <v/>
      </c>
      <c r="Z83" s="152">
        <f>IF(AND(W83&lt;&gt;"",U83="yes"),W83*X83,"")</f>
        <v/>
      </c>
      <c r="AA83" s="398" t="n"/>
    </row>
    <row r="84" customFormat="1" s="59">
      <c r="C84" s="60" t="n"/>
      <c r="D84" s="60" t="n"/>
      <c r="E84" s="61" t="n"/>
      <c r="H84" s="65" t="n"/>
      <c r="I84" s="103" t="n"/>
      <c r="J84" s="103" t="n"/>
      <c r="K84" s="103" t="n"/>
      <c r="L84" s="103" t="n"/>
      <c r="M84" s="103" t="n"/>
      <c r="N84" s="103" t="n"/>
      <c r="O84" s="103" t="n"/>
      <c r="P84" s="103" t="n"/>
      <c r="W84" s="172" t="n"/>
      <c r="X84" s="151">
        <f>1</f>
        <v/>
      </c>
      <c r="Y84" s="152">
        <f>IF(W84&lt;&gt;"",W84*X84,"")</f>
        <v/>
      </c>
      <c r="Z84" s="152">
        <f>IF(AND(W84&lt;&gt;"",U84="yes"),W84*X84,"")</f>
        <v/>
      </c>
      <c r="AA84" s="398" t="n"/>
    </row>
    <row r="85" ht="16.25" customHeight="1" thickBot="1">
      <c r="A85" s="84" t="inlineStr">
        <is>
          <t>end_group</t>
        </is>
      </c>
      <c r="B85" s="84" t="n"/>
      <c r="C85" s="85" t="n"/>
      <c r="D85" s="85" t="n"/>
      <c r="E85" s="94" t="n"/>
      <c r="F85" s="84" t="n"/>
      <c r="G85" s="84" t="n"/>
      <c r="H85" s="95" t="n"/>
      <c r="I85" s="115" t="n"/>
      <c r="J85" s="115" t="n"/>
      <c r="K85" s="115" t="n"/>
      <c r="L85" s="115" t="n"/>
      <c r="M85" s="115" t="n"/>
      <c r="N85" s="115" t="n"/>
      <c r="O85" s="115" t="n"/>
      <c r="P85" s="115" t="n"/>
      <c r="W85" s="172" t="n"/>
      <c r="X85" s="151">
        <f>1</f>
        <v/>
      </c>
      <c r="Y85" s="152">
        <f>IF(W85&lt;&gt;"",W85*X85,"")</f>
        <v/>
      </c>
      <c r="Z85" s="152">
        <f>IF(AND(W85&lt;&gt;"",U85="yes"),W85*X85,"")</f>
        <v/>
      </c>
    </row>
    <row r="86" ht="17" customFormat="1" customHeight="1" s="55" thickTop="1">
      <c r="A86" s="64" t="inlineStr">
        <is>
          <t>begin_group</t>
        </is>
      </c>
      <c r="B86" s="64" t="inlineStr">
        <is>
          <t>Income_Shocks_group</t>
        </is>
      </c>
      <c r="C86" s="86" t="inlineStr">
        <is>
          <t>INCOME SOURCES, LIVELIHOODS AND SHOCKS</t>
        </is>
      </c>
      <c r="D86" s="86" t="inlineStr">
        <is>
          <t>SOURCES DE REVENUS, MOYENS DE SUBSISTANCE ET CHOCS</t>
        </is>
      </c>
      <c r="E86" s="159" t="n"/>
      <c r="F86" s="64" t="n"/>
      <c r="G86" s="64" t="n"/>
      <c r="H86" s="160" t="n"/>
      <c r="I86" s="116" t="inlineStr">
        <is>
          <t>false</t>
        </is>
      </c>
      <c r="J86" s="116" t="n"/>
      <c r="K86" s="116" t="n"/>
      <c r="L86" s="116" t="n"/>
      <c r="M86" s="265" t="inlineStr">
        <is>
          <t>${resp_agree} = '1' and ${hh_agricactivity} != '5' and ${hh_agricactivity} != '6'</t>
        </is>
      </c>
      <c r="N86" s="116" t="n"/>
      <c r="O86" s="116" t="n"/>
      <c r="P86" s="116" t="n"/>
      <c r="U86" s="36" t="inlineStr">
        <is>
          <t>yes</t>
        </is>
      </c>
      <c r="W86" s="172" t="n"/>
      <c r="X86" s="151">
        <f>1</f>
        <v/>
      </c>
      <c r="Y86" s="152">
        <f>IF(W86&lt;&gt;"",W86*X86,"")</f>
        <v/>
      </c>
      <c r="Z86" s="152">
        <f>IF(AND(W86&lt;&gt;"",U86="yes"),W86*X86,"")</f>
        <v/>
      </c>
      <c r="AA86" s="56" t="n"/>
    </row>
    <row r="87">
      <c r="E87" s="70" t="n"/>
      <c r="H87" s="71" t="n"/>
      <c r="W87" s="172" t="n"/>
      <c r="X87" s="151">
        <f>1</f>
        <v/>
      </c>
      <c r="Y87" s="152">
        <f>IF(W87&lt;&gt;"",W87*X87,"")</f>
        <v/>
      </c>
      <c r="Z87" s="152">
        <f>IF(AND(W87&lt;&gt;"",U87="yes"),W87*X87,"")</f>
        <v/>
      </c>
    </row>
    <row r="88" ht="32" customHeight="1">
      <c r="A88" s="62" t="inlineStr">
        <is>
          <t>select_one incomesource1</t>
        </is>
      </c>
      <c r="B88" s="62" t="inlineStr">
        <is>
          <t>income_main</t>
        </is>
      </c>
      <c r="C88" s="63" t="inlineStr">
        <is>
          <t>What was your household's main source of income in the past 3 months?</t>
        </is>
      </c>
      <c r="D88" s="201" t="inlineStr">
        <is>
          <t>Quelle était la principale source de revenu de votre ménage au cours des trois derniers mois ?</t>
        </is>
      </c>
      <c r="E88" s="81" t="n"/>
      <c r="F88" s="398" t="inlineStr">
        <is>
          <t>[INSTRUCTIONS: REFUSED OPTIONS SHOULD BE AVOIDED AS MUCH AS POSSIBLE.]</t>
        </is>
      </c>
      <c r="G88" s="36" t="inlineStr">
        <is>
          <t>[INSTRUCTIONS :  L'OPTION «REFUSÉ» DOIT ÊTRE, AUTANT QUE POSSIBLE, ÉVITÉE.]</t>
        </is>
      </c>
      <c r="H88" s="83" t="n"/>
      <c r="I88" s="104" t="inlineStr">
        <is>
          <t>true</t>
        </is>
      </c>
      <c r="J88" s="104" t="inlineStr">
        <is>
          <t>minimal</t>
        </is>
      </c>
      <c r="K88" s="104" t="n"/>
      <c r="L88" s="104" t="n"/>
      <c r="M88" s="104" t="n"/>
      <c r="N88" s="104" t="n"/>
      <c r="O88" s="104" t="n"/>
      <c r="P88" s="104" t="n"/>
      <c r="U88" s="36" t="inlineStr">
        <is>
          <t>yes</t>
        </is>
      </c>
      <c r="W88" s="172" t="n">
        <v>36.92873382568359</v>
      </c>
      <c r="X88" s="151">
        <f>1</f>
        <v/>
      </c>
      <c r="Y88" s="152">
        <f>IF(W88&lt;&gt;"",W88*X88,"")</f>
        <v/>
      </c>
      <c r="Z88" s="152">
        <f>IF(AND(W88&lt;&gt;"",U88="yes"),W88*X88,"")</f>
        <v/>
      </c>
    </row>
    <row r="89">
      <c r="A89" s="62" t="inlineStr">
        <is>
          <t>calculate</t>
        </is>
      </c>
      <c r="B89" s="62" t="inlineStr">
        <is>
          <t>incomemain</t>
        </is>
      </c>
      <c r="C89" s="63" t="n"/>
      <c r="D89" s="57" t="n"/>
      <c r="E89" s="81" t="n"/>
      <c r="F89" s="398" t="n"/>
      <c r="G89" s="398" t="n"/>
      <c r="H89" s="83" t="n"/>
      <c r="I89" s="104" t="n"/>
      <c r="J89" s="104" t="n"/>
      <c r="K89" s="104" t="n"/>
      <c r="L89" s="104" t="n"/>
      <c r="M89" s="104" t="n"/>
      <c r="N89" s="104" t="n"/>
      <c r="O89" s="104" t="n"/>
      <c r="P89" s="104" t="inlineStr">
        <is>
          <t>jr:choice-name(${income_main},'${income_main}')</t>
        </is>
      </c>
      <c r="U89" s="36" t="inlineStr">
        <is>
          <t>yes</t>
        </is>
      </c>
      <c r="W89" s="172" t="n"/>
      <c r="X89" s="151">
        <f>1</f>
        <v/>
      </c>
      <c r="Y89" s="152">
        <f>IF(W89&lt;&gt;"",W89*X89,"")</f>
        <v/>
      </c>
      <c r="Z89" s="152">
        <f>IF(AND(W89&lt;&gt;"",U89="yes"),W89*X89,"")</f>
        <v/>
      </c>
    </row>
    <row r="90" ht="32" customHeight="1">
      <c r="A90" s="62" t="inlineStr">
        <is>
          <t>select_one yes_no</t>
        </is>
      </c>
      <c r="B90" s="62" t="inlineStr">
        <is>
          <t>income_main_crop_check</t>
        </is>
      </c>
      <c r="C90" s="63" t="inlineStr">
        <is>
          <t>Are the crops sold also produced by you or anyone in your household?</t>
        </is>
      </c>
      <c r="D90" s="202" t="inlineStr">
        <is>
          <t>Les cultures vendues sont-elles également produites par vous ou quelqu'un de votre ménage?</t>
        </is>
      </c>
      <c r="E90" s="81" t="n"/>
      <c r="F90" s="398" t="n"/>
      <c r="G90" s="398" t="n"/>
      <c r="H90" s="83" t="n"/>
      <c r="I90" s="104" t="inlineStr">
        <is>
          <t>true</t>
        </is>
      </c>
      <c r="J90" s="104" t="n"/>
      <c r="K90" s="104" t="n"/>
      <c r="L90" s="104" t="n"/>
      <c r="M90" s="104" t="inlineStr">
        <is>
          <t xml:space="preserve">${income_main} = '1' or ${income_main} = '2' or ${income_main} = '3' </t>
        </is>
      </c>
      <c r="N90" s="104" t="n"/>
      <c r="O90" s="104" t="n"/>
      <c r="P90" s="104" t="n"/>
      <c r="U90" s="36" t="inlineStr">
        <is>
          <t>yes</t>
        </is>
      </c>
      <c r="W90" s="172" t="n">
        <v>0</v>
      </c>
      <c r="X90" s="151">
        <f>1</f>
        <v/>
      </c>
      <c r="Y90" s="152">
        <f>IF(W90&lt;&gt;"",W90*X90,"")</f>
        <v/>
      </c>
      <c r="Z90" s="152">
        <f>IF(AND(W90&lt;&gt;"",U90="yes"),W90*X90,"")</f>
        <v/>
      </c>
    </row>
    <row r="91" ht="32" customHeight="1">
      <c r="A91" s="62" t="inlineStr">
        <is>
          <t>select_one yes_no</t>
        </is>
      </c>
      <c r="B91" s="62" t="inlineStr">
        <is>
          <t>income_main_ls_check</t>
        </is>
      </c>
      <c r="C91" s="63" t="inlineStr">
        <is>
          <t>Are the livestock or livestock products sold also produced by you or anyone in your household?</t>
        </is>
      </c>
      <c r="D91" s="202" t="inlineStr">
        <is>
          <t>Le bétail ou les produits du bétail vendus sont-ils également produits par vous ou quelqu'un de votre ménage?</t>
        </is>
      </c>
      <c r="E91" s="81" t="n"/>
      <c r="F91" s="398" t="n"/>
      <c r="G91" s="398" t="n"/>
      <c r="H91" s="83" t="n"/>
      <c r="I91" s="104" t="inlineStr">
        <is>
          <t>true</t>
        </is>
      </c>
      <c r="J91" s="104" t="n"/>
      <c r="K91" s="104" t="n"/>
      <c r="L91" s="104" t="n"/>
      <c r="M91" s="104" t="inlineStr">
        <is>
          <t>${income_main} = '4'</t>
        </is>
      </c>
      <c r="N91" s="104" t="n"/>
      <c r="O91" s="104" t="n"/>
      <c r="P91" s="104" t="n"/>
      <c r="U91" s="36" t="inlineStr">
        <is>
          <t>yes</t>
        </is>
      </c>
      <c r="W91" s="172" t="n">
        <v>0</v>
      </c>
      <c r="X91" s="151">
        <f>1</f>
        <v/>
      </c>
      <c r="Y91" s="152">
        <f>IF(W91&lt;&gt;"",W91*X91,"")</f>
        <v/>
      </c>
      <c r="Z91" s="152">
        <f>IF(AND(W91&lt;&gt;"",U91="yes"),W91*X91,"")</f>
        <v/>
      </c>
    </row>
    <row r="92" ht="32" customHeight="1">
      <c r="A92" s="62" t="inlineStr">
        <is>
          <t>select_one yes_no</t>
        </is>
      </c>
      <c r="B92" s="62" t="inlineStr">
        <is>
          <t>income_main_fish_check</t>
        </is>
      </c>
      <c r="C92" s="63" t="inlineStr">
        <is>
          <t>Are the fish or aquatic products sold also captured/harvested by you or anyone in your household?</t>
        </is>
      </c>
      <c r="D92" s="202" t="inlineStr">
        <is>
          <t>Le poisson ou les produits aquatiques vendus sont-ils également capturés/récoltés par vous ou un membre de votre ménage?</t>
        </is>
      </c>
      <c r="E92" s="81" t="n"/>
      <c r="F92" s="398" t="n"/>
      <c r="G92" s="398" t="n"/>
      <c r="H92" s="83" t="n"/>
      <c r="I92" s="104" t="inlineStr">
        <is>
          <t>true</t>
        </is>
      </c>
      <c r="J92" s="104" t="n"/>
      <c r="K92" s="104" t="n"/>
      <c r="L92" s="104" t="n"/>
      <c r="M92" s="104" t="inlineStr">
        <is>
          <t>${income_main} = '6'</t>
        </is>
      </c>
      <c r="N92" s="104" t="n"/>
      <c r="O92" s="104" t="n"/>
      <c r="P92" s="104" t="n"/>
      <c r="U92" s="36" t="inlineStr">
        <is>
          <t>yes</t>
        </is>
      </c>
      <c r="W92" s="172" t="n">
        <v>0</v>
      </c>
      <c r="X92" s="151">
        <f>1</f>
        <v/>
      </c>
      <c r="Y92" s="152">
        <f>IF(W92&lt;&gt;"",W92*X92,"")</f>
        <v/>
      </c>
      <c r="Z92" s="152">
        <f>IF(AND(W92&lt;&gt;"",U92="yes"),W92*X92,"")</f>
        <v/>
      </c>
    </row>
    <row r="93">
      <c r="D93" s="36" t="n"/>
      <c r="E93" s="70" t="n"/>
      <c r="H93" s="71" t="n"/>
      <c r="W93" s="172" t="n"/>
      <c r="X93" s="151">
        <f>1</f>
        <v/>
      </c>
      <c r="Y93" s="152">
        <f>IF(W93&lt;&gt;"",W93*X93,"")</f>
        <v/>
      </c>
      <c r="Z93" s="152">
        <f>IF(AND(W93&lt;&gt;"",U93="yes"),W93*X93,"")</f>
        <v/>
      </c>
    </row>
    <row r="94" ht="32" customFormat="1" customHeight="1" s="59">
      <c r="A94" s="59" t="inlineStr">
        <is>
          <t>decimal</t>
        </is>
      </c>
      <c r="B94" s="59" t="inlineStr">
        <is>
          <t>income_main_amount</t>
        </is>
      </c>
      <c r="C94" s="60" t="inlineStr">
        <is>
          <t>How much was earned (in CFA) from your main income source, ${incomemain}, in the past 3 months ?</t>
        </is>
      </c>
      <c r="D94" s="204" t="inlineStr">
        <is>
          <t>Quelle somme (en CFA a rapporté votre principale source de revenu, ${incomemain}, au cours des trois derniers mois ?</t>
        </is>
      </c>
      <c r="E94" s="61" t="n"/>
      <c r="F94" s="59" t="inlineStr">
        <is>
          <t>[INSTRUCTIONS: MAKE SURE THE INFORMATION IS RECORDED IN THE CORRECT CURRENCY. ENTER 888 FOR DON'T KNOW AND 999 FOR REFUSED.]</t>
        </is>
      </c>
      <c r="G94" s="59" t="inlineStr">
        <is>
          <t>[INSTRUCTIONS : VÉRIFIER QUE LE MONTANT EST ENREGISTRÉ DANS LA BONNE DEVISE. SAISIR 888 POUR «NE SAIT PAS» ET 999 POUR «REFUSÉ».]</t>
        </is>
      </c>
      <c r="H94" s="65" t="n"/>
      <c r="I94" s="103" t="inlineStr">
        <is>
          <t>true</t>
        </is>
      </c>
      <c r="J94" s="103" t="n"/>
      <c r="K94" s="103" t="inlineStr">
        <is>
          <t>. &gt; 1 or . = 888 or . = 999</t>
        </is>
      </c>
      <c r="L94" s="103" t="n"/>
      <c r="M94" s="103" t="inlineStr">
        <is>
          <t>${income_main} != '19' and ${income_main} != '20'</t>
        </is>
      </c>
      <c r="N94" s="103" t="n"/>
      <c r="O94" s="103" t="n"/>
      <c r="P94" s="103" t="n"/>
      <c r="U94" s="59" t="inlineStr">
        <is>
          <t>no</t>
        </is>
      </c>
      <c r="W94" s="172" t="n">
        <v>40.04731750488281</v>
      </c>
      <c r="X94" s="151">
        <f>1</f>
        <v/>
      </c>
      <c r="Y94" s="152">
        <f>IF(W94&lt;&gt;"",W94*X94,"")</f>
        <v/>
      </c>
      <c r="Z94" s="152">
        <f>IF(AND(W94&lt;&gt;"",U94="yes"),W94*X94,"")</f>
        <v/>
      </c>
      <c r="AA94" s="398" t="n"/>
    </row>
    <row r="95" customFormat="1" s="59">
      <c r="A95" s="59" t="inlineStr">
        <is>
          <t>select_one continue</t>
        </is>
      </c>
      <c r="B95" s="59" t="inlineStr">
        <is>
          <t>income_main_amount_conf</t>
        </is>
      </c>
      <c r="C95" s="59" t="inlineStr">
        <is>
          <t>Can you confirm the amount of income you just stated is correct?</t>
        </is>
      </c>
      <c r="D95" s="205" t="inlineStr">
        <is>
          <t>Pouvez-vous confirmer que le montant que vous venez de déclarer est correct ?</t>
        </is>
      </c>
      <c r="E95" s="65" t="n"/>
      <c r="F95" s="59" t="inlineStr">
        <is>
          <t>[INSTRUCTIONS: IF THE RESPONDENT CONFIRMS THAT THE INCOME AMOUNT EARNED FROM THIS INCOME SOURCE OVER THE PAST 3 MONTH IS INDEED OVER 5000000, CLICK ON CONTINUE. OTHERWISE, GO BACK AND CHANGE THE AMOUNT ENTERED.]</t>
        </is>
      </c>
      <c r="G95" s="59" t="inlineStr">
        <is>
          <t>[INSTRUCTIONS :  SI LE RÉPONDANT CONFIRME QUE LE MONTANT ISSU DE CETTE SOURCE DE REVENU AU COURS DES TROIS DERNIERS MOIS EST BIEN SUPÉRIEUR AU 5000000, CLIQUER SUR CONTINUER. SINON, REVENIR EN ARRIÈRE ET MODIFIER LE MONTANT SAISI.]</t>
        </is>
      </c>
      <c r="H95" s="65" t="n"/>
      <c r="I95" s="103" t="inlineStr">
        <is>
          <t>false</t>
        </is>
      </c>
      <c r="J95" s="103" t="n"/>
      <c r="K95" s="103" t="n"/>
      <c r="L95" s="103" t="n"/>
      <c r="M95" s="103" t="inlineStr">
        <is>
          <t xml:space="preserve">${income_main_amount} &gt;= 5000000 and (${income_main} != '19' and ${income_main} != '20') </t>
        </is>
      </c>
      <c r="N95" s="103" t="n"/>
      <c r="O95" s="103" t="n"/>
      <c r="P95" s="103" t="n"/>
      <c r="U95" s="59" t="inlineStr">
        <is>
          <t>no</t>
        </is>
      </c>
      <c r="W95" s="172" t="n">
        <v>3.687011003494263</v>
      </c>
      <c r="X95" s="151">
        <f>1</f>
        <v/>
      </c>
      <c r="Y95" s="152">
        <f>IF(W95&lt;&gt;"",W95*X95,"")</f>
        <v/>
      </c>
      <c r="Z95" s="152">
        <f>IF(AND(W95&lt;&gt;"",U95="yes"),W95*X95,"")</f>
        <v/>
      </c>
      <c r="AA95" s="398" t="n"/>
    </row>
    <row r="96">
      <c r="D96" s="398" t="n"/>
      <c r="E96" s="65" t="n"/>
      <c r="G96" s="59" t="n"/>
      <c r="H96" s="65" t="n"/>
    </row>
    <row r="97" customFormat="1" s="62">
      <c r="A97" s="62" t="inlineStr">
        <is>
          <t>select_one gender_inc_1</t>
        </is>
      </c>
      <c r="B97" s="62" t="inlineStr">
        <is>
          <t>income_main_gender</t>
        </is>
      </c>
      <c r="C97" s="62" t="inlineStr">
        <is>
          <t xml:space="preserve">What is the gender of the household member(s) generating income from this source? </t>
        </is>
      </c>
      <c r="D97" s="62" t="inlineStr">
        <is>
          <t xml:space="preserve">Quel est le sexe du ou des membres qui génèrent des revenus de cette source ? </t>
        </is>
      </c>
      <c r="E97" s="83" t="n"/>
      <c r="H97" s="83" t="n"/>
      <c r="I97" s="104" t="inlineStr">
        <is>
          <t>true</t>
        </is>
      </c>
      <c r="J97" s="104" t="n"/>
      <c r="K97" s="104" t="n"/>
      <c r="L97" s="104" t="n"/>
      <c r="M97" s="104" t="inlineStr">
        <is>
          <t>${income_main} != '19' and ${income_main} != '20'</t>
        </is>
      </c>
      <c r="N97" s="104" t="n"/>
      <c r="O97" s="104" t="n"/>
      <c r="P97" s="104" t="n"/>
      <c r="U97" s="62" t="inlineStr">
        <is>
          <t>yes</t>
        </is>
      </c>
      <c r="W97" s="173" t="n"/>
      <c r="X97" s="195" t="n"/>
      <c r="Y97" s="196" t="n"/>
      <c r="Z97" s="196" t="n"/>
    </row>
    <row r="98" customFormat="1" s="62">
      <c r="A98" s="62" t="inlineStr">
        <is>
          <t>select_one gender_inc_2</t>
        </is>
      </c>
      <c r="B98" s="62" t="inlineStr">
        <is>
          <t>income_main_control</t>
        </is>
      </c>
      <c r="C98" s="62" t="inlineStr">
        <is>
          <t xml:space="preserve">Who controls the revenue that is earned from this source? </t>
        </is>
      </c>
      <c r="D98" s="62" t="inlineStr">
        <is>
          <t xml:space="preserve">Qui contrôle les revenus qui proviennent de cette source? </t>
        </is>
      </c>
      <c r="E98" s="83" t="n"/>
      <c r="H98" s="83" t="n"/>
      <c r="I98" s="104" t="inlineStr">
        <is>
          <t>true</t>
        </is>
      </c>
      <c r="J98" s="104" t="n"/>
      <c r="K98" s="104" t="n"/>
      <c r="L98" s="104" t="n"/>
      <c r="M98" s="104" t="inlineStr">
        <is>
          <t>${income_main} != '19' and ${income_main} != '20'</t>
        </is>
      </c>
      <c r="N98" s="104" t="n"/>
      <c r="O98" s="104" t="n"/>
      <c r="P98" s="104" t="n"/>
      <c r="U98" s="62" t="inlineStr">
        <is>
          <t>yes</t>
        </is>
      </c>
      <c r="W98" s="173" t="n"/>
      <c r="X98" s="195" t="n"/>
      <c r="Y98" s="196" t="n"/>
      <c r="Z98" s="196" t="n"/>
    </row>
    <row r="99">
      <c r="E99" s="70" t="n"/>
      <c r="H99" s="71" t="n"/>
      <c r="W99" s="172" t="n"/>
      <c r="X99" s="151">
        <f>1</f>
        <v/>
      </c>
      <c r="Y99" s="152">
        <f>IF(W99&lt;&gt;"",W99*X99,"")</f>
        <v/>
      </c>
      <c r="Z99" s="152">
        <f>IF(AND(W99&lt;&gt;"",U99="yes"),W99*X99,"")</f>
        <v/>
      </c>
    </row>
    <row r="100" ht="32" customHeight="1">
      <c r="A100" s="62" t="inlineStr">
        <is>
          <t>select_one change</t>
        </is>
      </c>
      <c r="B100" s="62" t="inlineStr">
        <is>
          <t>income_main_comp</t>
        </is>
      </c>
      <c r="C100" s="63" t="inlineStr">
        <is>
          <t>Has your household's income from ${incomemain} changed in the last 3 months compared to the same period of last year?</t>
        </is>
      </c>
      <c r="D100" s="202" t="inlineStr">
        <is>
          <t>Le revenu de votre ménage provenant de ${incomemain} a-t-il changé au cours des trois derniers mois par rapport à la même periode de l'année dernière ?</t>
        </is>
      </c>
      <c r="E100" s="81" t="n"/>
      <c r="F100" s="62" t="n"/>
      <c r="G100" s="62" t="n"/>
      <c r="H100" s="83" t="n"/>
      <c r="I100" s="104" t="inlineStr">
        <is>
          <t>true</t>
        </is>
      </c>
      <c r="J100" s="104" t="n"/>
      <c r="K100" s="104" t="n"/>
      <c r="L100" s="104" t="n"/>
      <c r="M100" s="104" t="inlineStr">
        <is>
          <t>${income_main} != '19' and ${income_main} != '20'</t>
        </is>
      </c>
      <c r="N100" s="104" t="n"/>
      <c r="O100" s="104" t="n"/>
      <c r="P100" s="104" t="n"/>
      <c r="U100" s="36" t="inlineStr">
        <is>
          <t>yes</t>
        </is>
      </c>
      <c r="W100" s="172" t="n">
        <v>27.24216651916504</v>
      </c>
      <c r="X100" s="151">
        <f>1</f>
        <v/>
      </c>
      <c r="Y100" s="152">
        <f>IF(W100&lt;&gt;"",W100*X100,"")</f>
        <v/>
      </c>
      <c r="Z100" s="152">
        <f>IF(AND(W100&lt;&gt;"",U100="yes"),W100*X100,"")</f>
        <v/>
      </c>
    </row>
    <row r="101">
      <c r="D101" s="206" t="n"/>
      <c r="E101" s="70" t="n"/>
      <c r="H101" s="71" t="n"/>
      <c r="W101" s="172" t="n"/>
      <c r="X101" s="151">
        <f>1</f>
        <v/>
      </c>
      <c r="Y101" s="152">
        <f>IF(W101&lt;&gt;"",W101*X101,"")</f>
        <v/>
      </c>
      <c r="Z101" s="152">
        <f>IF(AND(W101&lt;&gt;"",U101="yes"),W101*X101,"")</f>
        <v/>
      </c>
    </row>
    <row r="102" ht="32" customHeight="1">
      <c r="A102" s="62" t="inlineStr">
        <is>
          <t>select_one incomesource2</t>
        </is>
      </c>
      <c r="B102" s="62" t="inlineStr">
        <is>
          <t>income_sec</t>
        </is>
      </c>
      <c r="C102" s="63" t="inlineStr">
        <is>
          <t>What was your household's second most important source of income in the past 3 months?</t>
        </is>
      </c>
      <c r="D102" s="197" t="inlineStr">
        <is>
          <t>Quelle était la deuxième source principale de revenu de votre ménage au cours des trois derniers mois ?</t>
        </is>
      </c>
      <c r="E102" s="81" t="n"/>
      <c r="F102" s="398" t="inlineStr">
        <is>
          <t>[INSTRUCTIONS: DON'T KNOW AND REFUSED OPTIONS SHOULD BE AVOIDED AS MUCH AS POSSIBLE.]</t>
        </is>
      </c>
      <c r="G102" s="398" t="inlineStr">
        <is>
          <t>[INSTRUCTIONS :  LES OPTIONS «NE SAIT PAS» ET «REFUSÉ» DOIVENT ÊTRE ÉVITÉES AUTANT QUE POSSIBLE].</t>
        </is>
      </c>
      <c r="H102" s="83" t="n"/>
      <c r="I102" s="104" t="inlineStr">
        <is>
          <t>true</t>
        </is>
      </c>
      <c r="J102" s="104" t="inlineStr">
        <is>
          <t>minimal</t>
        </is>
      </c>
      <c r="K102" s="104" t="n"/>
      <c r="L102" s="104" t="n"/>
      <c r="M102" s="104" t="inlineStr">
        <is>
          <t>${income_main} != '19' and ${income_main} != '20'</t>
        </is>
      </c>
      <c r="N102" s="104" t="inlineStr">
        <is>
          <t>not(selected(${income_main}, name))</t>
        </is>
      </c>
      <c r="O102" s="104" t="n"/>
      <c r="P102" s="104" t="n"/>
      <c r="U102" s="36" t="inlineStr">
        <is>
          <t>yes</t>
        </is>
      </c>
      <c r="W102" s="172" t="n">
        <v>25.30800437927246</v>
      </c>
      <c r="X102" s="151">
        <f>1</f>
        <v/>
      </c>
      <c r="Y102" s="152">
        <f>IF(W102&lt;&gt;"",W102*X102,"")</f>
        <v/>
      </c>
      <c r="Z102" s="152">
        <f>IF(AND(W102&lt;&gt;"",U102="yes"),W102*X102,"")</f>
        <v/>
      </c>
    </row>
    <row r="103">
      <c r="A103" s="62" t="inlineStr">
        <is>
          <t>calculate</t>
        </is>
      </c>
      <c r="B103" s="62" t="inlineStr">
        <is>
          <t>incomesec</t>
        </is>
      </c>
      <c r="C103" s="63" t="n"/>
      <c r="D103" s="57" t="n"/>
      <c r="E103" s="81" t="n"/>
      <c r="F103" s="398" t="n"/>
      <c r="G103" s="398" t="n"/>
      <c r="H103" s="83" t="n"/>
      <c r="I103" s="104" t="n"/>
      <c r="J103" s="104" t="n"/>
      <c r="K103" s="104" t="n"/>
      <c r="L103" s="104" t="n"/>
      <c r="M103" s="104" t="n"/>
      <c r="N103" s="104" t="n"/>
      <c r="O103" s="104" t="n"/>
      <c r="P103" s="104" t="inlineStr">
        <is>
          <t>jr:choice-name(${income_sec},'${income_sec}')</t>
        </is>
      </c>
      <c r="U103" s="36" t="inlineStr">
        <is>
          <t>yes</t>
        </is>
      </c>
      <c r="W103" s="172" t="n"/>
      <c r="X103" s="151">
        <f>1</f>
        <v/>
      </c>
      <c r="Y103" s="152">
        <f>IF(W103&lt;&gt;"",W103*X103,"")</f>
        <v/>
      </c>
      <c r="Z103" s="152">
        <f>IF(AND(W103&lt;&gt;"",U103="yes"),W103*X103,"")</f>
        <v/>
      </c>
    </row>
    <row r="104" ht="32" customHeight="1">
      <c r="A104" s="62" t="inlineStr">
        <is>
          <t>select_one yes_no</t>
        </is>
      </c>
      <c r="B104" s="62" t="inlineStr">
        <is>
          <t>income_sec_crop_check</t>
        </is>
      </c>
      <c r="C104" s="63" t="inlineStr">
        <is>
          <t>Are the crops sold also produced by you or anyone in your household?</t>
        </is>
      </c>
      <c r="D104" s="202" t="inlineStr">
        <is>
          <t>Les cultures vendues sont-elles également produites par vous ou quelqu'un de votre ménage?</t>
        </is>
      </c>
      <c r="E104" s="81" t="n"/>
      <c r="F104" s="398" t="n"/>
      <c r="G104" s="398" t="n"/>
      <c r="H104" s="83" t="n"/>
      <c r="I104" s="104" t="inlineStr">
        <is>
          <t>true</t>
        </is>
      </c>
      <c r="J104" s="104" t="n"/>
      <c r="K104" s="104" t="n"/>
      <c r="L104" s="104" t="n"/>
      <c r="M104" s="104" t="inlineStr">
        <is>
          <t xml:space="preserve">${income_sec} = '1' or ${income_sec} = '2' or ${income_sec} = '3' </t>
        </is>
      </c>
      <c r="N104" s="104" t="n"/>
      <c r="O104" s="104" t="n"/>
      <c r="P104" s="104" t="n"/>
      <c r="U104" s="36" t="inlineStr">
        <is>
          <t>yes</t>
        </is>
      </c>
      <c r="W104" s="172" t="n">
        <v>0</v>
      </c>
      <c r="X104" s="151">
        <f>1</f>
        <v/>
      </c>
      <c r="Y104" s="152">
        <f>IF(W104&lt;&gt;"",W104*X104,"")</f>
        <v/>
      </c>
      <c r="Z104" s="152">
        <f>IF(AND(W104&lt;&gt;"",U104="yes"),W104*X104,"")</f>
        <v/>
      </c>
    </row>
    <row r="105" ht="32" customHeight="1">
      <c r="A105" s="62" t="inlineStr">
        <is>
          <t>select_one yes_no</t>
        </is>
      </c>
      <c r="B105" s="62" t="inlineStr">
        <is>
          <t>income_sec_ls_check</t>
        </is>
      </c>
      <c r="C105" s="63" t="inlineStr">
        <is>
          <t>Are the livestock or livestock products sold also produced by you or anyone in your household?</t>
        </is>
      </c>
      <c r="D105" s="202" t="inlineStr">
        <is>
          <t>Le bétail ou les produits du bétail vendus sont-ils également produits par vous ou quelqu'un de votre ménage?</t>
        </is>
      </c>
      <c r="E105" s="81" t="n"/>
      <c r="F105" s="398" t="n"/>
      <c r="G105" s="398" t="n"/>
      <c r="H105" s="83" t="n"/>
      <c r="I105" s="104" t="inlineStr">
        <is>
          <t>true</t>
        </is>
      </c>
      <c r="J105" s="104" t="n"/>
      <c r="K105" s="104" t="n"/>
      <c r="L105" s="104" t="n"/>
      <c r="M105" s="104" t="inlineStr">
        <is>
          <t>${income_sec} = '4'</t>
        </is>
      </c>
      <c r="N105" s="104" t="n"/>
      <c r="O105" s="104" t="n"/>
      <c r="P105" s="104" t="n"/>
      <c r="U105" s="36" t="inlineStr">
        <is>
          <t>yes</t>
        </is>
      </c>
      <c r="W105" s="172" t="n">
        <v>0</v>
      </c>
      <c r="X105" s="151">
        <f>1</f>
        <v/>
      </c>
      <c r="Y105" s="152">
        <f>IF(W105&lt;&gt;"",W105*X105,"")</f>
        <v/>
      </c>
      <c r="Z105" s="152">
        <f>IF(AND(W105&lt;&gt;"",U105="yes"),W105*X105,"")</f>
        <v/>
      </c>
    </row>
    <row r="106" ht="32" customHeight="1">
      <c r="A106" s="62" t="inlineStr">
        <is>
          <t>select_one yes_no</t>
        </is>
      </c>
      <c r="B106" s="62" t="inlineStr">
        <is>
          <t>income_sec_fish_check</t>
        </is>
      </c>
      <c r="C106" s="63" t="inlineStr">
        <is>
          <t>Are the fish or aquatic products sold also captured/harvested by you or anyone in your household?</t>
        </is>
      </c>
      <c r="D106" s="202" t="inlineStr">
        <is>
          <t>Le poisson ou les produits aquatiques vendus sont-ils également capturés/récoltés par vous ou un membre de votre ménage?</t>
        </is>
      </c>
      <c r="E106" s="81" t="n"/>
      <c r="F106" s="398" t="n"/>
      <c r="G106" s="398" t="n"/>
      <c r="H106" s="83" t="n"/>
      <c r="I106" s="104" t="inlineStr">
        <is>
          <t>true</t>
        </is>
      </c>
      <c r="J106" s="104" t="n"/>
      <c r="K106" s="104" t="n"/>
      <c r="L106" s="104" t="n"/>
      <c r="M106" s="104" t="inlineStr">
        <is>
          <t>${income_sec} = '6'</t>
        </is>
      </c>
      <c r="N106" s="104" t="n"/>
      <c r="O106" s="104" t="n"/>
      <c r="P106" s="104" t="n"/>
      <c r="U106" s="36" t="inlineStr">
        <is>
          <t>yes</t>
        </is>
      </c>
      <c r="W106" s="172" t="n">
        <v>0</v>
      </c>
      <c r="X106" s="151">
        <f>1</f>
        <v/>
      </c>
      <c r="Y106" s="152">
        <f>IF(W106&lt;&gt;"",W106*X106,"")</f>
        <v/>
      </c>
      <c r="Z106" s="152">
        <f>IF(AND(W106&lt;&gt;"",U106="yes"),W106*X106,"")</f>
        <v/>
      </c>
    </row>
    <row r="107">
      <c r="E107" s="70" t="n"/>
      <c r="H107" s="71" t="n"/>
      <c r="W107" s="172" t="n"/>
      <c r="X107" s="151">
        <f>1</f>
        <v/>
      </c>
      <c r="Y107" s="152">
        <f>IF(W107&lt;&gt;"",W107*X107,"")</f>
        <v/>
      </c>
      <c r="Z107" s="152">
        <f>IF(AND(W107&lt;&gt;"",U107="yes"),W107*X107,"")</f>
        <v/>
      </c>
    </row>
    <row r="108" ht="32" customFormat="1" customHeight="1" s="59">
      <c r="A108" s="59" t="inlineStr">
        <is>
          <t>decimal</t>
        </is>
      </c>
      <c r="B108" s="59" t="inlineStr">
        <is>
          <t>income_sec_amount</t>
        </is>
      </c>
      <c r="C108" s="60" t="inlineStr">
        <is>
          <t>How much was earned (in CFA) from your second main income source, ${incomesec}, in the past 3 months ?</t>
        </is>
      </c>
      <c r="D108" s="204" t="inlineStr">
        <is>
          <t>Quelle somme (en CFA) a rapporté votre deuxième source de revenu, ${incomesec}, au cours des trois derniers mois ?</t>
        </is>
      </c>
      <c r="E108" s="61" t="n"/>
      <c r="F108" s="59" t="inlineStr">
        <is>
          <t>[INSTRUCTIONS: MAKE SURE THE INFORMATION IS RECORDED IN THE CORRECT CURRENCY. ENTER 888 FOR DON'T KNOW AND 999 FOR REFUSED.]</t>
        </is>
      </c>
      <c r="G108" s="59" t="inlineStr">
        <is>
          <t>[INSTRUCTIONS :  VÉRIFIER QUE LE MONTANT EST ENREGISTRÉ DANS LA BONNE DEVISE. SAISIR 888 POUR «NE SAIT PAS» ET 999 POUR «REFUSÉ».]</t>
        </is>
      </c>
      <c r="H108" s="65" t="n"/>
      <c r="I108" s="103" t="inlineStr">
        <is>
          <t>true</t>
        </is>
      </c>
      <c r="J108" s="103" t="n"/>
      <c r="K108" s="103" t="inlineStr">
        <is>
          <t>. &gt; 1 or . = 888 or . = 999</t>
        </is>
      </c>
      <c r="L108" s="103" t="n"/>
      <c r="M108" s="103" t="inlineStr">
        <is>
          <t xml:space="preserve">${income_main} != '19' and ${income_main} != '20' and ${income_sec} != '19' and ${income_sec} != '20' and ${income_sec} != '21' </t>
        </is>
      </c>
      <c r="N108" s="103" t="n"/>
      <c r="O108" s="103" t="n"/>
      <c r="P108" s="103" t="n"/>
      <c r="U108" s="59" t="inlineStr">
        <is>
          <t>no</t>
        </is>
      </c>
      <c r="W108" s="172" t="n">
        <v>30.82847023010254</v>
      </c>
      <c r="X108" s="151">
        <f>1</f>
        <v/>
      </c>
      <c r="Y108" s="152">
        <f>IF(W108&lt;&gt;"",W108*X108,"")</f>
        <v/>
      </c>
      <c r="Z108" s="152">
        <f>IF(AND(W108&lt;&gt;"",U108="yes"),W108*X108,"")</f>
        <v/>
      </c>
      <c r="AA108" s="398" t="n"/>
    </row>
    <row r="109" customFormat="1" s="59">
      <c r="A109" s="59" t="inlineStr">
        <is>
          <t>select_one continue</t>
        </is>
      </c>
      <c r="B109" s="59" t="inlineStr">
        <is>
          <t>income_sec_amount_conf</t>
        </is>
      </c>
      <c r="C109" s="59" t="inlineStr">
        <is>
          <t>Can you confirm the amount of income you just stated is correct?</t>
        </is>
      </c>
      <c r="D109" s="205" t="inlineStr">
        <is>
          <t>Pouvez-vous confirmer que le montant que vous venez de déclarer est correct ?</t>
        </is>
      </c>
      <c r="E109" s="61" t="n"/>
      <c r="F109" s="59" t="inlineStr">
        <is>
          <t>[INSTRUCTIONS: IF THE RESPONDENT CONFIRMS THAT THE INCOME AMOUNT EARNED FROM THIS INCOME SOURCE OVER THE PAST 3 MONTH IS INDEED OVER 5000000, CLICK ON CONTINUE. OTHERWISE, GO BACK AND CHANGE THE AMOUNT ENTERED.]</t>
        </is>
      </c>
      <c r="G109" s="59" t="inlineStr">
        <is>
          <t>[INSTRUCTIONS :  SI LE RÉPONDANT CONFIRME QUE LE MONTANT ISSU DE CETTE SOURCE DE REVENU AU COURS DES TROIS DERNIERS MOIS EST BIEN SUPÉRIEUR AU 5000000, CLIQUER SUR CONTINUER. SINON, REVENIR EN ARRIÈRE ET MODIFIER LE MONTANT SAISI.]</t>
        </is>
      </c>
      <c r="H109" s="65" t="n"/>
      <c r="I109" s="103" t="inlineStr">
        <is>
          <t>false</t>
        </is>
      </c>
      <c r="J109" s="103" t="n"/>
      <c r="K109" s="103" t="n"/>
      <c r="L109" s="103" t="n"/>
      <c r="M109" s="103" t="inlineStr">
        <is>
          <t>${income_sec_amount} &gt;= 5000000 and (${income_main} != '19' and ${income_main} != '20' and ${income_sec} != '19' and ${income_sec} != '20' and ${income_sec} != '21')</t>
        </is>
      </c>
      <c r="N109" s="103" t="n"/>
      <c r="O109" s="103" t="n"/>
      <c r="P109" s="103" t="n"/>
      <c r="U109" s="59" t="inlineStr">
        <is>
          <t>no</t>
        </is>
      </c>
      <c r="W109" s="172" t="n">
        <v>2.29411768913269</v>
      </c>
      <c r="X109" s="151">
        <f>1</f>
        <v/>
      </c>
      <c r="Y109" s="152">
        <f>IF(W109&lt;&gt;"",W109*X109,"")</f>
        <v/>
      </c>
      <c r="Z109" s="152">
        <f>IF(AND(W109&lt;&gt;"",U109="yes"),W109*X109,"")</f>
        <v/>
      </c>
      <c r="AA109" s="398" t="n"/>
    </row>
    <row r="110" customFormat="1" s="59">
      <c r="C110" s="60" t="n"/>
      <c r="D110" s="60" t="n"/>
      <c r="E110" s="61" t="n"/>
      <c r="H110" s="65" t="n"/>
      <c r="I110" s="103" t="n"/>
      <c r="J110" s="103" t="n"/>
      <c r="K110" s="103" t="n"/>
      <c r="L110" s="103" t="n"/>
      <c r="M110" s="103" t="n"/>
      <c r="N110" s="103" t="n"/>
      <c r="O110" s="103" t="n"/>
      <c r="P110" s="103" t="n"/>
      <c r="W110" s="172" t="n"/>
      <c r="X110" s="151">
        <f>1</f>
        <v/>
      </c>
      <c r="Y110" s="152">
        <f>IF(W110&lt;&gt;"",W110*X110,"")</f>
        <v/>
      </c>
      <c r="Z110" s="152">
        <f>IF(AND(W110&lt;&gt;"",U110="yes"),W110*X110,"")</f>
        <v/>
      </c>
      <c r="AA110" s="398" t="n"/>
    </row>
    <row r="111" customFormat="1" s="59">
      <c r="A111" s="59" t="inlineStr">
        <is>
          <t>select_one gender_inc_1</t>
        </is>
      </c>
      <c r="B111" s="59" t="inlineStr">
        <is>
          <t>income_sec_gender</t>
        </is>
      </c>
      <c r="C111" s="59" t="inlineStr">
        <is>
          <t xml:space="preserve">What is the gender of the household member(s) generating income from this source? </t>
        </is>
      </c>
      <c r="D111" s="59" t="inlineStr">
        <is>
          <t xml:space="preserve">Quel est le sexe du ou des membres qui génèrent des revenus de cette source ? </t>
        </is>
      </c>
      <c r="E111" s="65" t="n"/>
      <c r="H111" s="65" t="n"/>
      <c r="I111" s="103" t="inlineStr">
        <is>
          <t>true</t>
        </is>
      </c>
      <c r="J111" s="103" t="n"/>
      <c r="K111" s="103" t="n"/>
      <c r="L111" s="103" t="n"/>
      <c r="M111" s="103" t="inlineStr">
        <is>
          <t xml:space="preserve">${income_main} != '19' and ${income_main} != '20' and ${income_sec} != '19' and ${income_sec} != '20' and ${income_sec} != '21' </t>
        </is>
      </c>
      <c r="N111" s="103" t="n"/>
      <c r="O111" s="103" t="n"/>
      <c r="P111" s="103" t="n"/>
      <c r="U111" s="59" t="inlineStr">
        <is>
          <t>no</t>
        </is>
      </c>
      <c r="W111" s="172" t="n"/>
      <c r="X111" s="151" t="n"/>
      <c r="Y111" s="152" t="n"/>
      <c r="Z111" s="152" t="n"/>
      <c r="AA111" s="398" t="n"/>
    </row>
    <row r="112" customFormat="1" s="59">
      <c r="A112" s="59" t="inlineStr">
        <is>
          <t>select_one gender_inc_2</t>
        </is>
      </c>
      <c r="B112" s="59" t="inlineStr">
        <is>
          <t>income_sec_control</t>
        </is>
      </c>
      <c r="C112" s="59" t="inlineStr">
        <is>
          <t xml:space="preserve">Who controls the revenue that is earned from this source? </t>
        </is>
      </c>
      <c r="D112" s="59" t="inlineStr">
        <is>
          <t xml:space="preserve">Qui contrôle les revenus qui proviennent de cette source? </t>
        </is>
      </c>
      <c r="E112" s="65" t="n"/>
      <c r="H112" s="65" t="n"/>
      <c r="I112" s="103" t="inlineStr">
        <is>
          <t>true</t>
        </is>
      </c>
      <c r="J112" s="103" t="n"/>
      <c r="K112" s="103" t="n"/>
      <c r="L112" s="103" t="n"/>
      <c r="M112" s="103" t="inlineStr">
        <is>
          <t xml:space="preserve">${income_main} != '19' and ${income_main} != '20' and ${income_sec} != '19' and ${income_sec} != '20' and ${income_sec} != '21' </t>
        </is>
      </c>
      <c r="N112" s="103" t="n"/>
      <c r="O112" s="103" t="n"/>
      <c r="P112" s="103" t="n"/>
      <c r="U112" s="59" t="inlineStr">
        <is>
          <t>no</t>
        </is>
      </c>
      <c r="W112" s="172" t="n"/>
      <c r="X112" s="151" t="n"/>
      <c r="Y112" s="152" t="n"/>
      <c r="Z112" s="152" t="n"/>
      <c r="AA112" s="398" t="n"/>
    </row>
    <row r="113" customFormat="1" s="59">
      <c r="C113" s="60" t="n"/>
      <c r="D113" s="60" t="n"/>
      <c r="E113" s="61" t="n"/>
      <c r="H113" s="65" t="n"/>
      <c r="I113" s="103" t="n"/>
      <c r="J113" s="103" t="n"/>
      <c r="K113" s="103" t="n"/>
      <c r="L113" s="103" t="n"/>
      <c r="M113" s="103" t="n"/>
      <c r="N113" s="103" t="n"/>
      <c r="O113" s="103" t="n"/>
      <c r="P113" s="103" t="n"/>
      <c r="W113" s="172" t="n"/>
      <c r="X113" s="151">
        <f>1</f>
        <v/>
      </c>
      <c r="Y113" s="152">
        <f>IF(W113&lt;&gt;"",W113*X113,"")</f>
        <v/>
      </c>
      <c r="Z113" s="152">
        <f>IF(AND(W113&lt;&gt;"",U113="yes"),W113*X113,"")</f>
        <v/>
      </c>
      <c r="AA113" s="398" t="n"/>
    </row>
    <row r="114" ht="32" customHeight="1">
      <c r="A114" s="62" t="inlineStr">
        <is>
          <t>select_one change</t>
        </is>
      </c>
      <c r="B114" s="62" t="inlineStr">
        <is>
          <t>income_sec_comp</t>
        </is>
      </c>
      <c r="C114" s="63" t="inlineStr">
        <is>
          <t>Has your household's income from ${incomesec} changed in the last 3 months compared to the same period of last year?</t>
        </is>
      </c>
      <c r="D114" s="202" t="inlineStr">
        <is>
          <t>Le revenu de votre ménage provenant de ${incomesec} a-t-il changé au cours des trois derniers mois par rapport à la même période de l'année dernière ?</t>
        </is>
      </c>
      <c r="E114" s="81" t="n"/>
      <c r="F114" s="62" t="n"/>
      <c r="G114" s="62" t="n"/>
      <c r="H114" s="83" t="n"/>
      <c r="I114" s="104" t="inlineStr">
        <is>
          <t>true</t>
        </is>
      </c>
      <c r="J114" s="104" t="n"/>
      <c r="K114" s="104" t="n"/>
      <c r="L114" s="104" t="n"/>
      <c r="M114" s="104" t="inlineStr">
        <is>
          <t xml:space="preserve">${income_main} != '19' and ${income_main} != '20' and ${income_sec} != '19' and ${income_sec} != '20' and ${income_sec} != '21' </t>
        </is>
      </c>
      <c r="N114" s="104" t="n"/>
      <c r="O114" s="104" t="n"/>
      <c r="P114" s="104" t="n"/>
      <c r="U114" s="36" t="inlineStr">
        <is>
          <t>yes</t>
        </is>
      </c>
      <c r="W114" s="172" t="n">
        <v>21.19325637817383</v>
      </c>
      <c r="X114" s="151">
        <f>1</f>
        <v/>
      </c>
      <c r="Y114" s="152">
        <f>IF(W114&lt;&gt;"",W114*X114,"")</f>
        <v/>
      </c>
      <c r="Z114" s="152">
        <f>IF(AND(W114&lt;&gt;"",U114="yes"),W114*X114,"")</f>
        <v/>
      </c>
    </row>
    <row r="115">
      <c r="D115" s="206" t="n"/>
      <c r="E115" s="70" t="n"/>
      <c r="H115" s="71" t="n"/>
      <c r="M115" s="397" t="n"/>
      <c r="W115" s="172" t="n"/>
      <c r="X115" s="151">
        <f>1</f>
        <v/>
      </c>
      <c r="Y115" s="152">
        <f>IF(W115&lt;&gt;"",W115*X115,"")</f>
        <v/>
      </c>
      <c r="Z115" s="152">
        <f>IF(AND(W115&lt;&gt;"",U115="yes"),W115*X115,"")</f>
        <v/>
      </c>
    </row>
    <row r="116" ht="32" customHeight="1">
      <c r="A116" s="62" t="inlineStr">
        <is>
          <t>select_one incomesource3</t>
        </is>
      </c>
      <c r="B116" s="62" t="inlineStr">
        <is>
          <t>income_third</t>
        </is>
      </c>
      <c r="C116" s="62" t="inlineStr">
        <is>
          <t>What was your household's third most important source of income in the past 3 months?</t>
        </is>
      </c>
      <c r="D116" s="197" t="inlineStr">
        <is>
          <t>Quelle était la troisième source principale de revenu de votre ménage au cours des trois derniers mois ?</t>
        </is>
      </c>
      <c r="E116" s="83" t="n"/>
      <c r="F116" s="398" t="inlineStr">
        <is>
          <t>[INSTRUCTIONS: DON'T KNOW AND REFUSED OPTIONS SHOULD BE AVOIDED AS MUCH AS POSSIBLE.]</t>
        </is>
      </c>
      <c r="G116" s="398" t="inlineStr">
        <is>
          <t>[INSTRUCTIONS :  LES OPTIONS «NE SAIT PAS» ET «REFUSÉ» DOIVENT ÊTRE ÉVITÉES AUTANT QUE POSSIBLE].</t>
        </is>
      </c>
      <c r="H116" s="83" t="n"/>
      <c r="I116" s="104" t="inlineStr">
        <is>
          <t>true</t>
        </is>
      </c>
      <c r="J116" s="104" t="inlineStr">
        <is>
          <t>minimal</t>
        </is>
      </c>
      <c r="K116" s="104" t="n"/>
      <c r="L116" s="104" t="n"/>
      <c r="M116" s="104" t="inlineStr">
        <is>
          <t xml:space="preserve">${income_main} != '19' and ${income_main} != '20' and ${income_sec} != '19' and ${income_sec} != '20' and ${income_sec} != '21' </t>
        </is>
      </c>
      <c r="N116" s="104" t="inlineStr">
        <is>
          <t>not(selected(${income_main}, name) or selected(${income_sec}, name))</t>
        </is>
      </c>
      <c r="O116" s="104" t="n"/>
      <c r="P116" s="104" t="n"/>
      <c r="U116" s="36" t="inlineStr">
        <is>
          <t>yes</t>
        </is>
      </c>
      <c r="W116" s="172" t="n">
        <v>20.22992706298828</v>
      </c>
      <c r="X116" s="151">
        <f>1</f>
        <v/>
      </c>
      <c r="Y116" s="152">
        <f>IF(W116&lt;&gt;"",W116*X116,"")</f>
        <v/>
      </c>
      <c r="Z116" s="152">
        <f>IF(AND(W116&lt;&gt;"",U116="yes"),W116*X116,"")</f>
        <v/>
      </c>
    </row>
    <row r="117">
      <c r="A117" s="62" t="inlineStr">
        <is>
          <t>calculate</t>
        </is>
      </c>
      <c r="B117" s="62" t="inlineStr">
        <is>
          <t>incomethird</t>
        </is>
      </c>
      <c r="C117" s="63" t="n"/>
      <c r="D117" s="57" t="n"/>
      <c r="E117" s="81" t="n"/>
      <c r="F117" s="398" t="n"/>
      <c r="G117" s="398" t="n"/>
      <c r="H117" s="83" t="n"/>
      <c r="I117" s="104" t="n"/>
      <c r="J117" s="104" t="n"/>
      <c r="K117" s="104" t="n"/>
      <c r="L117" s="104" t="n"/>
      <c r="M117" s="104" t="n"/>
      <c r="N117" s="104" t="n"/>
      <c r="O117" s="104" t="n"/>
      <c r="P117" s="104" t="inlineStr">
        <is>
          <t>jr:choice-name(${income_third},'${income_third}')</t>
        </is>
      </c>
      <c r="U117" s="36" t="inlineStr">
        <is>
          <t>yes</t>
        </is>
      </c>
      <c r="W117" s="172" t="n"/>
      <c r="X117" s="151">
        <f>1</f>
        <v/>
      </c>
      <c r="Y117" s="152">
        <f>IF(W117&lt;&gt;"",W117*X117,"")</f>
        <v/>
      </c>
      <c r="Z117" s="152">
        <f>IF(AND(W117&lt;&gt;"",U117="yes"),W117*X117,"")</f>
        <v/>
      </c>
    </row>
    <row r="118" ht="32" customHeight="1">
      <c r="A118" s="62" t="inlineStr">
        <is>
          <t>select_one yes_no</t>
        </is>
      </c>
      <c r="B118" s="62" t="inlineStr">
        <is>
          <t>income_third_crop_check</t>
        </is>
      </c>
      <c r="C118" s="63" t="inlineStr">
        <is>
          <t>Are the crops sold also produced by you or anyone in your household?</t>
        </is>
      </c>
      <c r="D118" s="202" t="inlineStr">
        <is>
          <t>Les cultures vendues sont-elles également produites par vous ou quelqu'un de votre ménage?</t>
        </is>
      </c>
      <c r="E118" s="81" t="n"/>
      <c r="F118" s="398" t="n"/>
      <c r="G118" s="398" t="n"/>
      <c r="H118" s="83" t="n"/>
      <c r="I118" s="104" t="inlineStr">
        <is>
          <t>true</t>
        </is>
      </c>
      <c r="J118" s="104" t="n"/>
      <c r="K118" s="104" t="n"/>
      <c r="L118" s="104" t="n"/>
      <c r="M118" s="104" t="inlineStr">
        <is>
          <t xml:space="preserve">${income_third} = '1' or ${income_third} = '2' or ${income_third} = '3' </t>
        </is>
      </c>
      <c r="N118" s="104" t="n"/>
      <c r="O118" s="104" t="n"/>
      <c r="P118" s="104" t="n"/>
      <c r="U118" s="36" t="inlineStr">
        <is>
          <t>yes</t>
        </is>
      </c>
      <c r="W118" s="172" t="n">
        <v>0</v>
      </c>
      <c r="X118" s="151">
        <f>1</f>
        <v/>
      </c>
      <c r="Y118" s="152">
        <f>IF(W118&lt;&gt;"",W118*X118,"")</f>
        <v/>
      </c>
      <c r="Z118" s="152">
        <f>IF(AND(W118&lt;&gt;"",U118="yes"),W118*X118,"")</f>
        <v/>
      </c>
    </row>
    <row r="119" ht="32" customHeight="1">
      <c r="A119" s="62" t="inlineStr">
        <is>
          <t>select_one yes_no</t>
        </is>
      </c>
      <c r="B119" s="62" t="inlineStr">
        <is>
          <t>income_third_ls_check</t>
        </is>
      </c>
      <c r="C119" s="63" t="inlineStr">
        <is>
          <t>Are the livestock or livestock products sold also produced by you or anyone in your household?</t>
        </is>
      </c>
      <c r="D119" s="202" t="inlineStr">
        <is>
          <t>Le bétail ou les produits du bétail vendus sont-ils également produits par vous ou quelqu'un de votre ménage?</t>
        </is>
      </c>
      <c r="E119" s="81" t="n"/>
      <c r="F119" s="398" t="n"/>
      <c r="G119" s="398" t="n"/>
      <c r="H119" s="83" t="n"/>
      <c r="I119" s="104" t="inlineStr">
        <is>
          <t>true</t>
        </is>
      </c>
      <c r="J119" s="104" t="n"/>
      <c r="K119" s="104" t="n"/>
      <c r="L119" s="104" t="n"/>
      <c r="M119" s="104" t="inlineStr">
        <is>
          <t>${income_third} = '4'</t>
        </is>
      </c>
      <c r="N119" s="104" t="n"/>
      <c r="O119" s="104" t="n"/>
      <c r="P119" s="104" t="n"/>
      <c r="U119" s="36" t="inlineStr">
        <is>
          <t>yes</t>
        </is>
      </c>
      <c r="W119" s="172" t="n">
        <v>0</v>
      </c>
      <c r="X119" s="151">
        <f>1</f>
        <v/>
      </c>
      <c r="Y119" s="152">
        <f>IF(W119&lt;&gt;"",W119*X119,"")</f>
        <v/>
      </c>
      <c r="Z119" s="152">
        <f>IF(AND(W119&lt;&gt;"",U119="yes"),W119*X119,"")</f>
        <v/>
      </c>
    </row>
    <row r="120" ht="32" customHeight="1">
      <c r="A120" s="62" t="inlineStr">
        <is>
          <t>select_one yes_no</t>
        </is>
      </c>
      <c r="B120" s="62" t="inlineStr">
        <is>
          <t>income_third_fish_check</t>
        </is>
      </c>
      <c r="C120" s="63" t="inlineStr">
        <is>
          <t>Are the fish or aquatic products sold also captured/harvested by you or anyone in your household?</t>
        </is>
      </c>
      <c r="D120" s="202" t="inlineStr">
        <is>
          <t>Le poisson ou les produits aquatiques vendus sont-ils également capturés/récoltés par vous ou un membre de votre ménage?</t>
        </is>
      </c>
      <c r="E120" s="81" t="n"/>
      <c r="F120" s="398" t="n"/>
      <c r="G120" s="398" t="n"/>
      <c r="H120" s="83" t="n"/>
      <c r="I120" s="104" t="inlineStr">
        <is>
          <t>true</t>
        </is>
      </c>
      <c r="J120" s="104" t="n"/>
      <c r="K120" s="104" t="n"/>
      <c r="L120" s="104" t="n"/>
      <c r="M120" s="104" t="inlineStr">
        <is>
          <t>${income_third} = '6'</t>
        </is>
      </c>
      <c r="N120" s="104" t="n"/>
      <c r="O120" s="104" t="n"/>
      <c r="P120" s="104" t="n"/>
      <c r="U120" s="36" t="inlineStr">
        <is>
          <t>yes</t>
        </is>
      </c>
      <c r="W120" s="172" t="n">
        <v>0</v>
      </c>
      <c r="X120" s="151">
        <f>1</f>
        <v/>
      </c>
      <c r="Y120" s="152">
        <f>IF(W120&lt;&gt;"",W120*X120,"")</f>
        <v/>
      </c>
      <c r="Z120" s="152">
        <f>IF(AND(W120&lt;&gt;"",U120="yes"),W120*X120,"")</f>
        <v/>
      </c>
    </row>
    <row r="121">
      <c r="E121" s="70" t="n"/>
      <c r="H121" s="71" t="n"/>
      <c r="W121" s="172" t="n"/>
      <c r="X121" s="151">
        <f>1</f>
        <v/>
      </c>
      <c r="Y121" s="152">
        <f>IF(W121&lt;&gt;"",W121*X121,"")</f>
        <v/>
      </c>
      <c r="Z121" s="152">
        <f>IF(AND(W121&lt;&gt;"",U121="yes"),W121*X121,"")</f>
        <v/>
      </c>
    </row>
    <row r="122" ht="32" customFormat="1" customHeight="1" s="59">
      <c r="A122" s="59" t="inlineStr">
        <is>
          <t>decimal</t>
        </is>
      </c>
      <c r="B122" s="59" t="inlineStr">
        <is>
          <t>income_third_amount</t>
        </is>
      </c>
      <c r="C122" s="60" t="inlineStr">
        <is>
          <t>How much was earned (in CFA) from your third main income source, ${incomethird}, in the past 3 months ?</t>
        </is>
      </c>
      <c r="D122" s="204" t="inlineStr">
        <is>
          <t>Quelle somme (en CFA) a rapporté votre troisième source de revenu, ${incomethird}, au cours des trois derniers mois ?</t>
        </is>
      </c>
      <c r="E122" s="61" t="n"/>
      <c r="F122" s="59" t="inlineStr">
        <is>
          <t>[INSTRUCTIONS: MAKE SURE THE INFORMATION IS RECORDED IN THE CORRECT CURRENCY. ENTER 888 FOR DON'T KNOW AND 999 FOR REFUSED.]</t>
        </is>
      </c>
      <c r="G122" s="59" t="inlineStr">
        <is>
          <t>[INSTRUCTIONS :  VÉRIFIER QUE LE MONTANT EST ENREGISTRÉ DANS LA BONNE DEVISE. SAISIR 888 POUR «NE SAIT PAS» ET 999 POUR «REFUSÉ».]</t>
        </is>
      </c>
      <c r="H122" s="65" t="n"/>
      <c r="I122" s="103" t="inlineStr">
        <is>
          <t>true</t>
        </is>
      </c>
      <c r="J122" s="103" t="n"/>
      <c r="K122" s="103" t="inlineStr">
        <is>
          <t>. &gt; 1 or . = 888 or . = 999</t>
        </is>
      </c>
      <c r="L122" s="103" t="n"/>
      <c r="M122" s="103" t="inlineStr">
        <is>
          <t xml:space="preserve">${income_main} != '19' and ${income_main} != '20' and ${income_sec} != '19' and ${income_sec} != '20' and ${income_sec} != '21' and ${income_third} != '19' and ${income_third} != '20' and ${income_third} != '21' </t>
        </is>
      </c>
      <c r="N122" s="103" t="n"/>
      <c r="O122" s="103" t="n"/>
      <c r="P122" s="103" t="n"/>
      <c r="U122" s="59" t="inlineStr">
        <is>
          <t>no</t>
        </is>
      </c>
      <c r="W122" s="172" t="n">
        <v>29.42983245849609</v>
      </c>
      <c r="X122" s="151">
        <f>1</f>
        <v/>
      </c>
      <c r="Y122" s="152">
        <f>IF(W122&lt;&gt;"",W122*X122,"")</f>
        <v/>
      </c>
      <c r="Z122" s="152">
        <f>IF(AND(W122&lt;&gt;"",U122="yes"),W122*X122,"")</f>
        <v/>
      </c>
      <c r="AA122" s="398" t="n"/>
    </row>
    <row r="123" customFormat="1" s="59">
      <c r="A123" s="59" t="inlineStr">
        <is>
          <t>select_one continue</t>
        </is>
      </c>
      <c r="B123" s="59" t="inlineStr">
        <is>
          <t>income_third_amount_conf</t>
        </is>
      </c>
      <c r="C123" s="59" t="inlineStr">
        <is>
          <t>Can you confirm the amount of income you just stated is correct?</t>
        </is>
      </c>
      <c r="D123" s="205" t="inlineStr">
        <is>
          <t>Pouvez-vous confirmer que le montant que vous venez de déclarer est correct ?</t>
        </is>
      </c>
      <c r="E123" s="61" t="n"/>
      <c r="F123" s="59" t="inlineStr">
        <is>
          <t>[INSTRUCTIONS: IF THE RESPONDENT CONFIRMS THAT THE INCOME AMOUNT EARNED FROM THIS INCOME SOURCE OVER THE PAST 3 MONTH IS INDEED OVER 5000000, CLICK ON CONTINUE. OTHERWISE, GO BACK AND CHANGE THE AMOUNT ENTERED.]</t>
        </is>
      </c>
      <c r="G123" s="59" t="inlineStr">
        <is>
          <t>[INSTRUCTIONS :  SI LE RÉPONDANT CONFIRME QUE LE MONTANT ISSU DE CETTE SOURCE DE REVENU AU COURS DES TROIS DERNIERS MOIS EST BIEN SUPÉRIEUR AU 5000000, CLIQUER SUR CONTINUER. SINON, REVENIR EN ARRIÈRE ET MODIFIER LE MONTANT SAISI.]</t>
        </is>
      </c>
      <c r="H123" s="87" t="n"/>
      <c r="I123" s="103" t="inlineStr">
        <is>
          <t>false</t>
        </is>
      </c>
      <c r="J123" s="103" t="n"/>
      <c r="K123" s="103" t="n"/>
      <c r="L123" s="103" t="n"/>
      <c r="M123" s="117" t="inlineStr">
        <is>
          <t>${income_third_amount} &gt;= 5000000 and (${income_main} != '19' and ${income_main} != '20' and ${income_sec} != '19' and ${income_sec} != '20' and ${income_sec} != '21' and ${income_third} != '19' and ${income_third} != '20' and ${income_third} != '21' )</t>
        </is>
      </c>
      <c r="N123" s="103" t="n"/>
      <c r="O123" s="103" t="n"/>
      <c r="P123" s="103" t="n"/>
      <c r="U123" s="59" t="inlineStr">
        <is>
          <t>no</t>
        </is>
      </c>
      <c r="W123" s="172" t="n">
        <v>1.555555582046509</v>
      </c>
      <c r="X123" s="151">
        <f>1</f>
        <v/>
      </c>
      <c r="Y123" s="152">
        <f>IF(W123&lt;&gt;"",W123*X123,"")</f>
        <v/>
      </c>
      <c r="Z123" s="152">
        <f>IF(AND(W123&lt;&gt;"",U123="yes"),W123*X123,"")</f>
        <v/>
      </c>
      <c r="AA123" s="398" t="n"/>
    </row>
    <row r="124" customFormat="1" s="59">
      <c r="C124" s="60" t="n"/>
      <c r="D124" s="60" t="n"/>
      <c r="E124" s="61" t="n"/>
      <c r="H124" s="65" t="n"/>
      <c r="I124" s="103" t="n"/>
      <c r="J124" s="103" t="n"/>
      <c r="K124" s="103" t="n"/>
      <c r="L124" s="103" t="n"/>
      <c r="M124" s="103" t="n"/>
      <c r="N124" s="103" t="n"/>
      <c r="O124" s="103" t="n"/>
      <c r="P124" s="103" t="n"/>
      <c r="W124" s="172" t="n"/>
      <c r="X124" s="151">
        <f>1</f>
        <v/>
      </c>
      <c r="Y124" s="152">
        <f>IF(W124&lt;&gt;"",W124*X124,"")</f>
        <v/>
      </c>
      <c r="Z124" s="152">
        <f>IF(AND(W124&lt;&gt;"",U124="yes"),W124*X124,"")</f>
        <v/>
      </c>
      <c r="AA124" s="398" t="n"/>
    </row>
    <row r="125" customFormat="1" s="59">
      <c r="A125" s="59" t="inlineStr">
        <is>
          <t>select_one gender_inc_1</t>
        </is>
      </c>
      <c r="B125" s="59" t="inlineStr">
        <is>
          <t>income_third_gender</t>
        </is>
      </c>
      <c r="C125" s="59" t="inlineStr">
        <is>
          <t xml:space="preserve">What is the gender of the household member(s) generating income from this source? </t>
        </is>
      </c>
      <c r="D125" s="59" t="inlineStr">
        <is>
          <t xml:space="preserve">Quel est le sexe du ou des membres qui génèrent des revenus de cette source ? </t>
        </is>
      </c>
      <c r="E125" s="65" t="n"/>
      <c r="H125" s="65" t="n"/>
      <c r="I125" s="103" t="inlineStr">
        <is>
          <t>true</t>
        </is>
      </c>
      <c r="J125" s="103" t="n"/>
      <c r="K125" s="103" t="n"/>
      <c r="L125" s="103" t="n"/>
      <c r="M125" s="103" t="inlineStr">
        <is>
          <t xml:space="preserve">${income_main} != '19' and ${income_main} != '20' and ${income_sec} != '19' and ${income_sec} != '20' and ${income_sec} != '21' and ${income_third} != '19' and ${income_third} != '20' and ${income_third} != '21' </t>
        </is>
      </c>
      <c r="N125" s="103" t="n"/>
      <c r="O125" s="103" t="n"/>
      <c r="P125" s="103" t="n"/>
      <c r="U125" s="59" t="inlineStr">
        <is>
          <t>no</t>
        </is>
      </c>
      <c r="W125" s="172" t="n"/>
      <c r="X125" s="151" t="n"/>
      <c r="Y125" s="152" t="n"/>
      <c r="Z125" s="152" t="n"/>
      <c r="AA125" s="398" t="n"/>
    </row>
    <row r="126" customFormat="1" s="59">
      <c r="A126" s="59" t="inlineStr">
        <is>
          <t>select_one gender_inc_2</t>
        </is>
      </c>
      <c r="B126" s="59" t="inlineStr">
        <is>
          <t>income_third_control</t>
        </is>
      </c>
      <c r="C126" s="59" t="inlineStr">
        <is>
          <t xml:space="preserve">Who controls the revenue that is earned from this source? </t>
        </is>
      </c>
      <c r="D126" s="59" t="inlineStr">
        <is>
          <t xml:space="preserve">Qui contrôle les revenus qui proviennent de cette source? </t>
        </is>
      </c>
      <c r="E126" s="65" t="n"/>
      <c r="H126" s="65" t="n"/>
      <c r="I126" s="103" t="inlineStr">
        <is>
          <t>true</t>
        </is>
      </c>
      <c r="J126" s="103" t="n"/>
      <c r="K126" s="103" t="n"/>
      <c r="L126" s="103" t="n"/>
      <c r="M126" s="103" t="inlineStr">
        <is>
          <t xml:space="preserve">${income_main} != '19' and ${income_main} != '20' and ${income_sec} != '19' and ${income_sec} != '20' and ${income_sec} != '21' and ${income_third} != '19' and ${income_third} != '20' and ${income_third} != '21' </t>
        </is>
      </c>
      <c r="N126" s="103" t="n"/>
      <c r="O126" s="103" t="n"/>
      <c r="P126" s="103" t="n"/>
      <c r="U126" s="59" t="inlineStr">
        <is>
          <t>no</t>
        </is>
      </c>
      <c r="W126" s="172" t="n"/>
      <c r="X126" s="151" t="n"/>
      <c r="Y126" s="152" t="n"/>
      <c r="Z126" s="152" t="n"/>
      <c r="AA126" s="398" t="n"/>
    </row>
    <row r="127" customFormat="1" s="59">
      <c r="C127" s="60" t="n"/>
      <c r="D127" s="60" t="n"/>
      <c r="E127" s="61" t="n"/>
      <c r="H127" s="87" t="n"/>
      <c r="I127" s="103" t="n"/>
      <c r="J127" s="103" t="n"/>
      <c r="K127" s="103" t="n"/>
      <c r="L127" s="103" t="n"/>
      <c r="M127" s="117" t="n"/>
      <c r="N127" s="103" t="n"/>
      <c r="O127" s="103" t="n"/>
      <c r="P127" s="103" t="n"/>
      <c r="W127" s="172" t="n"/>
      <c r="X127" s="151">
        <f>1</f>
        <v/>
      </c>
      <c r="Y127" s="152">
        <f>IF(W127&lt;&gt;"",W127*X127,"")</f>
        <v/>
      </c>
      <c r="Z127" s="152">
        <f>IF(AND(W127&lt;&gt;"",U127="yes"),W127*X127,"")</f>
        <v/>
      </c>
      <c r="AA127" s="398" t="n"/>
    </row>
    <row r="128" ht="32" customHeight="1">
      <c r="A128" s="62" t="inlineStr">
        <is>
          <t>select_one change</t>
        </is>
      </c>
      <c r="B128" s="62" t="inlineStr">
        <is>
          <t>income_third_comp</t>
        </is>
      </c>
      <c r="C128" s="63" t="inlineStr">
        <is>
          <t>Has your household's income from ${incomethird} changed in the last 3 months compared to the same period of last year?</t>
        </is>
      </c>
      <c r="D128" s="202" t="inlineStr">
        <is>
          <t>Le revenu de votre ménage provenant de ${incomethird} a-t-il changé au cours des trois derniers mois par rapport à la même période de l'année dernière ?</t>
        </is>
      </c>
      <c r="E128" s="81" t="n"/>
      <c r="F128" s="62" t="n"/>
      <c r="G128" s="62" t="n"/>
      <c r="H128" s="83" t="n"/>
      <c r="I128" s="104" t="inlineStr">
        <is>
          <t>true</t>
        </is>
      </c>
      <c r="J128" s="104" t="n"/>
      <c r="K128" s="104" t="n"/>
      <c r="L128" s="104" t="n"/>
      <c r="M128" s="104" t="inlineStr">
        <is>
          <t xml:space="preserve">${income_main} != '19' and ${income_main} != '20' and ${income_sec} != '19' and ${income_sec} != '20' and ${income_sec} != '21' and ${income_third} != '19' and ${income_third} != '20' and ${income_third} != '21' </t>
        </is>
      </c>
      <c r="N128" s="104" t="n"/>
      <c r="O128" s="104" t="n"/>
      <c r="P128" s="104" t="n"/>
      <c r="U128" s="36" t="inlineStr">
        <is>
          <t>yes</t>
        </is>
      </c>
      <c r="W128" s="172" t="n">
        <v>16.34839630126953</v>
      </c>
      <c r="X128" s="151">
        <f>1</f>
        <v/>
      </c>
      <c r="Y128" s="152">
        <f>IF(W128&lt;&gt;"",W128*X128,"")</f>
        <v/>
      </c>
      <c r="Z128" s="152">
        <f>IF(AND(W128&lt;&gt;"",U128="yes"),W128*X128,"")</f>
        <v/>
      </c>
    </row>
    <row r="129" customFormat="1" s="59">
      <c r="C129" s="60" t="n"/>
      <c r="D129" s="60" t="n"/>
      <c r="E129" s="61" t="n"/>
      <c r="H129" s="65" t="n"/>
      <c r="I129" s="103" t="n"/>
      <c r="J129" s="103" t="n"/>
      <c r="K129" s="103" t="n"/>
      <c r="L129" s="103" t="n"/>
      <c r="M129" s="103" t="n"/>
      <c r="N129" s="103" t="n"/>
      <c r="O129" s="103" t="n"/>
      <c r="P129" s="103" t="n"/>
      <c r="W129" s="172" t="n"/>
      <c r="X129" s="151">
        <f>1</f>
        <v/>
      </c>
      <c r="Y129" s="152">
        <f>IF(W129&lt;&gt;"",W129*X129,"")</f>
        <v/>
      </c>
      <c r="Z129" s="152">
        <f>IF(AND(W129&lt;&gt;"",U129="yes"),W129*X129,"")</f>
        <v/>
      </c>
      <c r="AA129" s="398" t="n"/>
    </row>
    <row r="130" ht="64.25" customHeight="1">
      <c r="A130" s="62" t="inlineStr">
        <is>
          <t>select_multiple shock</t>
        </is>
      </c>
      <c r="B130" s="62" t="inlineStr">
        <is>
          <t>shock</t>
        </is>
      </c>
      <c r="C130" s="63" t="inlineStr">
        <is>
          <t xml:space="preserve">Has your household or community faced any particular disaster or crisis affecting your household's ability to raise an income and/or to produce food for self consumption in the last 3 months, and if so, which ones? </t>
        </is>
      </c>
      <c r="D130" s="20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130" s="81" t="n"/>
      <c r="F130" s="62" t="inlineStr">
        <is>
          <t>[INSTRUCTIONS: SELECT RELEVANT SHOCKS EXPERIENCED BY THE HOUSEHOLD. MULTIPLE RESPONSES POSSIBLE. REFER TO ECONOMIC SHOCKS, CROP AND LIVESTOCK SHOCKS, INTRA-HOUSEHOLD SHOCK, NATURAL HAZARDS AND HUMAN-INDUCED HAZARDS.]</t>
        </is>
      </c>
      <c r="G130"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130" s="83" t="n"/>
      <c r="I130" s="104" t="inlineStr">
        <is>
          <t>true</t>
        </is>
      </c>
      <c r="J130" s="104" t="n"/>
      <c r="K130" s="104" t="inlineStr">
        <is>
          <t>if(selected(.,'noshock') or selected(.,'dk') or selected(.,'ref'), count-selected(.) = 1, count-selected(.) &gt;= 1)</t>
        </is>
      </c>
      <c r="L130" s="104" t="n"/>
      <c r="M130" s="104" t="n"/>
      <c r="N130" s="104" t="n"/>
      <c r="O130" s="104" t="n"/>
      <c r="P130" s="104" t="n"/>
      <c r="U130" s="36" t="inlineStr">
        <is>
          <t>yes</t>
        </is>
      </c>
      <c r="W130" s="172" t="n">
        <v>46.24752807617188</v>
      </c>
      <c r="X130" s="151">
        <f>1</f>
        <v/>
      </c>
      <c r="Y130" s="152">
        <f>IF(W130&lt;&gt;"",W130*X130,"")</f>
        <v/>
      </c>
      <c r="Z130" s="152">
        <f>IF(AND(W130&lt;&gt;"",U130="yes"),W130*X130,"")</f>
        <v/>
      </c>
    </row>
    <row r="131">
      <c r="D131" s="36" t="n"/>
      <c r="E131" s="70" t="n"/>
      <c r="H131" s="71" t="n"/>
      <c r="W131" s="172" t="n"/>
      <c r="X131" s="151">
        <f>1</f>
        <v/>
      </c>
      <c r="Y131" s="152">
        <f>IF(W131&lt;&gt;"",W131*X131,"")</f>
        <v/>
      </c>
      <c r="Z131" s="152">
        <f>IF(AND(W131&lt;&gt;"",U131="yes"),W131*X131,"")</f>
        <v/>
      </c>
    </row>
    <row r="132" ht="64.25" customFormat="1" customHeight="1" s="59">
      <c r="A132" s="59" t="inlineStr">
        <is>
          <t>text</t>
        </is>
      </c>
      <c r="B132" s="59" t="inlineStr">
        <is>
          <t>hh_explanation</t>
        </is>
      </c>
      <c r="C132" s="60" t="inlineStr">
        <is>
          <t>If the household was affected by a major recent shock as indicated in this assessment [for example, an earthquake], what are the [expected] consequences for your household, in your own words?</t>
        </is>
      </c>
      <c r="D132" s="60" t="inlineStr">
        <is>
          <t>Si votre ménage a récemment été concerné par un choc majeur mentionné dans cette évaluation [par exemple, un tremblement de terre], quelles en sont, selon vous et dans vos propres mots, les conséquences [déjà ressenties ou attendues] pour votre ménage?</t>
        </is>
      </c>
      <c r="E132" s="61" t="n"/>
      <c r="F132" s="59" t="inlineStr">
        <is>
          <t>[INSTRUCTIONS: RECORD IN FEW WORDS THE MAIN CONSEQUENCE OF THE RECENT SHOCKS. ENTER 888 FOR DON'T KNOW AND 999 FOR REFUSED.]</t>
        </is>
      </c>
      <c r="G132" s="59" t="inlineStr">
        <is>
          <t>[INSTRUCTIONS :  SAISIR EN QUELQUES MOTS LA PRINCIPALE CONSÉQUENCE DES RÉCENTS CHOCS. SAISIR 888 POUR «NE SAIT PAS» ET 999 POUR «REFUSÉ»].</t>
        </is>
      </c>
      <c r="H132" s="65" t="n"/>
      <c r="I132" s="103" t="inlineStr">
        <is>
          <t>false</t>
        </is>
      </c>
      <c r="J132" s="103" t="n"/>
      <c r="K132" s="109" t="n"/>
      <c r="L132" s="103" t="n"/>
      <c r="M132" s="103" t="inlineStr">
        <is>
          <t>${shock} != 'noshock' and ${shock} != 'dk' and ${shock} != 'ref'</t>
        </is>
      </c>
      <c r="N132" s="103" t="n"/>
      <c r="O132" s="103" t="n"/>
      <c r="P132" s="103" t="n"/>
      <c r="U132" s="59" t="inlineStr">
        <is>
          <t>no</t>
        </is>
      </c>
      <c r="W132" s="172" t="n">
        <v>26.11878204345703</v>
      </c>
      <c r="X132" s="151">
        <f>1</f>
        <v/>
      </c>
      <c r="Y132" s="152">
        <f>IF(W132&lt;&gt;"",W132*X132,"")</f>
        <v/>
      </c>
      <c r="Z132" s="152">
        <f>IF(AND(W132&lt;&gt;"",U132="yes"),W132*X132,"")</f>
        <v/>
      </c>
      <c r="AA132" s="398" t="n"/>
    </row>
    <row r="133" customFormat="1" s="59">
      <c r="C133" s="60" t="n"/>
      <c r="D133" s="60" t="n"/>
      <c r="E133" s="61" t="n"/>
      <c r="H133" s="65" t="n"/>
      <c r="I133" s="103" t="n"/>
      <c r="J133" s="103" t="n"/>
      <c r="K133" s="109" t="n"/>
      <c r="L133" s="103" t="n"/>
      <c r="M133" s="103" t="n"/>
      <c r="N133" s="103" t="n"/>
      <c r="O133" s="103" t="n"/>
      <c r="P133" s="103" t="n"/>
      <c r="W133" s="172" t="n"/>
      <c r="X133" s="151" t="n"/>
      <c r="Y133" s="152" t="n"/>
      <c r="Z133" s="152" t="n"/>
      <c r="AA133" s="398" t="n"/>
    </row>
    <row r="134" customFormat="1" s="78">
      <c r="A134" s="78" t="inlineStr">
        <is>
          <t>select_one yes_no</t>
        </is>
      </c>
      <c r="B134" s="78" t="inlineStr">
        <is>
          <t>Impact_inondation</t>
        </is>
      </c>
      <c r="C134" s="337" t="inlineStr">
        <is>
          <t xml:space="preserve">Avez-vous été affecté par les inondations de 2024 ?  </t>
        </is>
      </c>
      <c r="D134" s="337" t="inlineStr">
        <is>
          <t xml:space="preserve">Avez-vous été affecté par les inondations de 2024 ?  </t>
        </is>
      </c>
      <c r="E134" s="338" t="n"/>
      <c r="F134" s="78" t="inlineStr">
        <is>
          <t>[INSTRUCTIONS: SELECT RELEVANT SHOCKS EXPERIENCED BY THE HOUSEHOLD. MULTIPLE RESPONSES POSSIBLE. REFER TO ECONOMIC SHOCKS, CROP AND LIVESTOCK SHOCKS, INTRA-HOUSEHOLD SHOCK, NATURAL HAZARDS AND HUMAN-INDUCED HAZARDS.]</t>
        </is>
      </c>
      <c r="H134" s="339" t="n"/>
      <c r="I134" s="110" t="inlineStr">
        <is>
          <t>true</t>
        </is>
      </c>
      <c r="J134" s="110" t="n"/>
      <c r="K134" s="110" t="n"/>
      <c r="L134" s="110" t="n"/>
      <c r="M134" s="110" t="n"/>
      <c r="N134" s="110" t="n"/>
      <c r="O134" s="110" t="n"/>
      <c r="P134" s="110" t="n"/>
      <c r="U134" s="78" t="inlineStr">
        <is>
          <t>yes</t>
        </is>
      </c>
      <c r="W134" s="340" t="n">
        <v>46.24752807617188</v>
      </c>
      <c r="X134" s="341">
        <f>1</f>
        <v/>
      </c>
      <c r="Y134" s="342">
        <f>IF(W134&lt;&gt;"",W134*X134,"")</f>
        <v/>
      </c>
      <c r="Z134" s="342">
        <f>IF(AND(W134&lt;&gt;"",U134="yes"),W134*X134,"")</f>
        <v/>
      </c>
    </row>
    <row r="135" ht="29" customFormat="1" customHeight="1" s="78">
      <c r="A135" s="78" t="inlineStr">
        <is>
          <t>select_multiple cons_inondation</t>
        </is>
      </c>
      <c r="B135" s="78" t="inlineStr">
        <is>
          <t>consequence_inondation</t>
        </is>
      </c>
      <c r="C135" s="337" t="inlineStr">
        <is>
          <t xml:space="preserve">Quels sont les conséquences les plus importantes des inondations sur vos moyens d’existence </t>
        </is>
      </c>
      <c r="D135" s="337" t="inlineStr">
        <is>
          <t xml:space="preserve">Quels sont les conséquences les plus importantes des inondations sur vos moyens d’existence </t>
        </is>
      </c>
      <c r="E135" s="338" t="n"/>
      <c r="F135" s="78" t="inlineStr">
        <is>
          <t>[INSTRUCTIONS: SELECT RELEVANT SHOCKS EXPERIENCED BY THE HOUSEHOLD. MULTIPLE RESPONSES POSSIBLE. REFER TO ECONOMIC SHOCKS, CROP AND LIVESTOCK SHOCKS, INTRA-HOUSEHOLD SHOCK, NATURAL HAZARDS AND HUMAN-INDUCED HAZARDS.]</t>
        </is>
      </c>
      <c r="H135" s="339" t="n"/>
      <c r="I135" s="110" t="inlineStr">
        <is>
          <t>true</t>
        </is>
      </c>
      <c r="J135" s="110" t="n"/>
      <c r="K135" s="110" t="n"/>
      <c r="L135" s="110" t="n"/>
      <c r="M135" s="110" t="inlineStr">
        <is>
          <t>${Impact_inondation} = '1'</t>
        </is>
      </c>
      <c r="N135" s="110" t="n"/>
      <c r="O135" s="110" t="n"/>
      <c r="P135" s="110" t="n"/>
      <c r="U135" s="78" t="inlineStr">
        <is>
          <t>yes</t>
        </is>
      </c>
      <c r="W135" s="340" t="n">
        <v>46.24752807617188</v>
      </c>
      <c r="X135" s="341">
        <f>1</f>
        <v/>
      </c>
      <c r="Y135" s="342">
        <f>IF(W135&lt;&gt;"",W135*X135,"")</f>
        <v/>
      </c>
      <c r="Z135" s="342">
        <f>IF(AND(W135&lt;&gt;"",U135="yes"),W135*X135,"")</f>
        <v/>
      </c>
    </row>
    <row r="136" customFormat="1" s="78">
      <c r="A136" s="343" t="inlineStr">
        <is>
          <t>text</t>
        </is>
      </c>
      <c r="B136" s="343" t="inlineStr">
        <is>
          <t>Impact_inondation_otherspecify</t>
        </is>
      </c>
      <c r="C136" s="344" t="inlineStr">
        <is>
          <t>If other, specify.</t>
        </is>
      </c>
      <c r="D136" s="344" t="inlineStr">
        <is>
          <t>Si autre, précisez.</t>
        </is>
      </c>
      <c r="E136" s="345" t="n"/>
      <c r="F136" s="343" t="inlineStr">
        <is>
          <t>[INSTRUCTIONS: RECORD THE OPEN RESPONSE GIVEN IN FEW WORDS. ENTER 888 FOR DON'T KNOW AND 999 FOR REFUSED]</t>
        </is>
      </c>
      <c r="G136" s="343" t="inlineStr">
        <is>
          <t xml:space="preserve">[INSTRUCTIONS :  DÉCRIVEZ LA RÉPONSE DONNÉE PAR LE RÉPONDANT EN QUELQUES MOTS. </t>
        </is>
      </c>
      <c r="H136" s="346" t="n"/>
      <c r="I136" s="347" t="inlineStr">
        <is>
          <t>true</t>
        </is>
      </c>
      <c r="J136" s="347" t="n"/>
      <c r="K136" s="347" t="n"/>
      <c r="L136" s="347" t="n"/>
      <c r="M136" s="110" t="inlineStr">
        <is>
          <t>${consequence_inondation} = 'Autres'</t>
        </is>
      </c>
      <c r="N136" s="347" t="n"/>
      <c r="O136" s="347" t="n"/>
      <c r="P136" s="347" t="n"/>
      <c r="U136" s="78" t="inlineStr">
        <is>
          <t>yes</t>
        </is>
      </c>
      <c r="W136" s="348" t="n"/>
      <c r="X136" s="349" t="n">
        <v>0.05</v>
      </c>
    </row>
    <row r="137" ht="29" customFormat="1" customHeight="1" s="78">
      <c r="A137" s="78" t="inlineStr">
        <is>
          <t>select_one mesure_inondation</t>
        </is>
      </c>
      <c r="B137" s="78" t="inlineStr">
        <is>
          <t>Mesure_inondation</t>
        </is>
      </c>
      <c r="C137" s="337" t="inlineStr">
        <is>
          <t xml:space="preserve">Dans quelle mesure vous êtes-vous senti capable de faire face aux conséquences des inondations ?  </t>
        </is>
      </c>
      <c r="D137" s="337" t="inlineStr">
        <is>
          <t xml:space="preserve">Dans quelle mesure vous êtes-vous senti capable de faire face aux conséquences des inondations ?  </t>
        </is>
      </c>
      <c r="E137" s="338" t="n"/>
      <c r="F137" s="78" t="inlineStr">
        <is>
          <t>[INSTRUCTIONS: SELECT RELEVANT SHOCKS EXPERIENCED BY THE HOUSEHOLD. MULTIPLE RESPONSES POSSIBLE. REFER TO ECONOMIC SHOCKS, CROP AND LIVESTOCK SHOCKS, INTRA-HOUSEHOLD SHOCK, NATURAL HAZARDS AND HUMAN-INDUCED HAZARDS.]</t>
        </is>
      </c>
      <c r="H137" s="339" t="n"/>
      <c r="I137" s="110" t="inlineStr">
        <is>
          <t>true</t>
        </is>
      </c>
      <c r="J137" s="110" t="n"/>
      <c r="K137" s="110" t="n"/>
      <c r="L137" s="110" t="n"/>
      <c r="M137" s="110" t="inlineStr">
        <is>
          <t>${Impact_inondation} = '1'</t>
        </is>
      </c>
      <c r="N137" s="110" t="n"/>
      <c r="O137" s="110" t="n"/>
      <c r="P137" s="110" t="n"/>
      <c r="U137" s="78" t="inlineStr">
        <is>
          <t>yes</t>
        </is>
      </c>
      <c r="W137" s="340" t="n">
        <v>46.24752807617188</v>
      </c>
      <c r="X137" s="341">
        <f>1</f>
        <v/>
      </c>
      <c r="Y137" s="342">
        <f>IF(W137&lt;&gt;"",W137*X137,"")</f>
        <v/>
      </c>
      <c r="Z137" s="342">
        <f>IF(AND(W137&lt;&gt;"",U137="yes"),W137*X137,"")</f>
        <v/>
      </c>
    </row>
    <row r="138" ht="29" customFormat="1" customHeight="1" s="78">
      <c r="A138" s="78" t="inlineStr">
        <is>
          <t>select_one capacite_inondation</t>
        </is>
      </c>
      <c r="B138" s="78" t="inlineStr">
        <is>
          <t>capacite_inondation</t>
        </is>
      </c>
      <c r="C138" s="337" t="inlineStr">
        <is>
          <t>Comment votre capacité à faire face aux conséquences des inondations a-t-elle évoluée au cours des dernières années ?</t>
        </is>
      </c>
      <c r="D138" s="337" t="inlineStr">
        <is>
          <t>Comment votre capacité à faire face aux conséquences des inondations a-t-elle évoluée au cours des dernières années ?</t>
        </is>
      </c>
      <c r="E138" s="338" t="n"/>
      <c r="F138" s="78" t="inlineStr">
        <is>
          <t>[INSTRUCTIONS: SELECT RELEVANT SHOCKS EXPERIENCED BY THE HOUSEHOLD. MULTIPLE RESPONSES POSSIBLE. REFER TO ECONOMIC SHOCKS, CROP AND LIVESTOCK SHOCKS, INTRA-HOUSEHOLD SHOCK, NATURAL HAZARDS AND HUMAN-INDUCED HAZARDS.]</t>
        </is>
      </c>
      <c r="H138" s="339" t="n"/>
      <c r="I138" s="110" t="inlineStr">
        <is>
          <t>true</t>
        </is>
      </c>
      <c r="J138" s="110" t="n"/>
      <c r="K138" s="110" t="n"/>
      <c r="L138" s="110" t="n"/>
      <c r="M138" s="110" t="inlineStr">
        <is>
          <t>${Impact_inondation} = '1'</t>
        </is>
      </c>
      <c r="N138" s="110" t="n"/>
      <c r="O138" s="110" t="n"/>
      <c r="P138" s="110" t="n"/>
      <c r="U138" s="78" t="inlineStr">
        <is>
          <t>yes</t>
        </is>
      </c>
      <c r="W138" s="340" t="n">
        <v>46.24752807617188</v>
      </c>
      <c r="X138" s="341">
        <f>1</f>
        <v/>
      </c>
      <c r="Y138" s="342">
        <f>IF(W138&lt;&gt;"",W138*X138,"")</f>
        <v/>
      </c>
      <c r="Z138" s="342">
        <f>IF(AND(W138&lt;&gt;"",U138="yes"),W138*X138,"")</f>
        <v/>
      </c>
    </row>
    <row r="139" customFormat="1" s="78">
      <c r="A139" s="343" t="inlineStr">
        <is>
          <t>text</t>
        </is>
      </c>
      <c r="B139" s="78" t="inlineStr">
        <is>
          <t>contri_changement</t>
        </is>
      </c>
      <c r="C139" s="337" t="inlineStr">
        <is>
          <t xml:space="preserve">Qu'est-ce qui a contribué à ce changement ?  </t>
        </is>
      </c>
      <c r="D139" s="337" t="inlineStr">
        <is>
          <t xml:space="preserve">Qu'est-ce qui a contribué à ce changement ?  </t>
        </is>
      </c>
      <c r="E139" s="338" t="n"/>
      <c r="F139" s="78" t="inlineStr">
        <is>
          <t>[INSTRUCTIONS: SELECT RELEVANT SHOCKS EXPERIENCED BY THE HOUSEHOLD. MULTIPLE RESPONSES POSSIBLE. REFER TO ECONOMIC SHOCKS, CROP AND LIVESTOCK SHOCKS, INTRA-HOUSEHOLD SHOCK, NATURAL HAZARDS AND HUMAN-INDUCED HAZARDS.]</t>
        </is>
      </c>
      <c r="H139" s="339" t="n"/>
      <c r="I139" s="110" t="inlineStr">
        <is>
          <t>true</t>
        </is>
      </c>
      <c r="J139" s="110" t="n"/>
      <c r="K139" s="110" t="n"/>
      <c r="L139" s="110" t="n"/>
      <c r="M139" s="110" t="inlineStr">
        <is>
          <t>${Impact_inondation} = '1'</t>
        </is>
      </c>
      <c r="N139" s="110" t="n"/>
      <c r="O139" s="110" t="n"/>
      <c r="P139" s="110" t="n"/>
      <c r="U139" s="78" t="inlineStr">
        <is>
          <t>yes</t>
        </is>
      </c>
      <c r="W139" s="340" t="n">
        <v>46.24752807617188</v>
      </c>
      <c r="X139" s="341">
        <f>1</f>
        <v/>
      </c>
      <c r="Y139" s="342">
        <f>IF(W139&lt;&gt;"",W139*X139,"")</f>
        <v/>
      </c>
      <c r="Z139" s="342">
        <f>IF(AND(W139&lt;&gt;"",U139="yes"),W139*X139,"")</f>
        <v/>
      </c>
    </row>
    <row r="140" customFormat="1" s="78">
      <c r="A140" s="78" t="inlineStr">
        <is>
          <t>select_one yes_no</t>
        </is>
      </c>
      <c r="B140" s="78" t="inlineStr">
        <is>
          <t>alerte_inondation</t>
        </is>
      </c>
      <c r="C140" s="337" t="inlineStr">
        <is>
          <t xml:space="preserve">Avez-vous été alerté qu’il va avoir les inondations en 2024 </t>
        </is>
      </c>
      <c r="D140" s="337" t="inlineStr">
        <is>
          <t xml:space="preserve">Avez-vous été alerté qu’il va avoir les inondations en 2024 </t>
        </is>
      </c>
      <c r="E140" s="338" t="n"/>
      <c r="F140" s="78" t="inlineStr">
        <is>
          <t>[INSTRUCTIONS: SELECT RELEVANT SHOCKS EXPERIENCED BY THE HOUSEHOLD. MULTIPLE RESPONSES POSSIBLE. REFER TO ECONOMIC SHOCKS, CROP AND LIVESTOCK SHOCKS, INTRA-HOUSEHOLD SHOCK, NATURAL HAZARDS AND HUMAN-INDUCED HAZARDS.]</t>
        </is>
      </c>
      <c r="H140" s="339" t="n"/>
      <c r="I140" s="110" t="inlineStr">
        <is>
          <t>true</t>
        </is>
      </c>
      <c r="J140" s="110" t="n"/>
      <c r="K140" s="110" t="n"/>
      <c r="L140" s="110" t="n"/>
      <c r="M140" s="110" t="inlineStr">
        <is>
          <t>${Impact_inondation} = '1'</t>
        </is>
      </c>
      <c r="N140" s="110" t="n"/>
      <c r="O140" s="110" t="n"/>
      <c r="P140" s="110" t="n"/>
      <c r="U140" s="78" t="inlineStr">
        <is>
          <t>yes</t>
        </is>
      </c>
      <c r="W140" s="340" t="n">
        <v>46.24752807617188</v>
      </c>
      <c r="X140" s="341">
        <f>1</f>
        <v/>
      </c>
      <c r="Y140" s="342">
        <f>IF(W140&lt;&gt;"",W140*X140,"")</f>
        <v/>
      </c>
      <c r="Z140" s="342">
        <f>IF(AND(W140&lt;&gt;"",U140="yes"),W140*X140,"")</f>
        <v/>
      </c>
    </row>
    <row r="141" customFormat="1" s="78">
      <c r="A141" s="78" t="inlineStr">
        <is>
          <t>select_multiple prev_inondation</t>
        </is>
      </c>
      <c r="B141" s="78" t="inlineStr">
        <is>
          <t>prevision_inondation</t>
        </is>
      </c>
      <c r="C141" s="337" t="inlineStr">
        <is>
          <t xml:space="preserve">Qui vous fournit des prévisions météorologiques ? </t>
        </is>
      </c>
      <c r="D141" s="337" t="inlineStr">
        <is>
          <t xml:space="preserve">Sui oui ! Qui vous fournit des prévisions météorologiques ? </t>
        </is>
      </c>
      <c r="E141" s="338" t="n"/>
      <c r="F141" s="78" t="inlineStr">
        <is>
          <t>[INSTRUCTIONS: SELECT RELEVANT SHOCKS EXPERIENCED BY THE HOUSEHOLD. MULTIPLE RESPONSES POSSIBLE. REFER TO ECONOMIC SHOCKS, CROP AND LIVESTOCK SHOCKS, INTRA-HOUSEHOLD SHOCK, NATURAL HAZARDS AND HUMAN-INDUCED HAZARDS.]</t>
        </is>
      </c>
      <c r="H141" s="339" t="n"/>
      <c r="I141" s="110" t="inlineStr">
        <is>
          <t>true</t>
        </is>
      </c>
      <c r="J141" s="110" t="n"/>
      <c r="K141" s="110" t="n"/>
      <c r="L141" s="110" t="n"/>
      <c r="M141" s="110" t="inlineStr">
        <is>
          <t>${alerte_inondation} = '1'</t>
        </is>
      </c>
      <c r="N141" s="110" t="n"/>
      <c r="O141" s="110" t="n"/>
      <c r="P141" s="110" t="n"/>
      <c r="U141" s="78" t="inlineStr">
        <is>
          <t>yes</t>
        </is>
      </c>
      <c r="W141" s="340" t="n">
        <v>46.24752807617188</v>
      </c>
      <c r="X141" s="341">
        <f>1</f>
        <v/>
      </c>
      <c r="Y141" s="342">
        <f>IF(W141&lt;&gt;"",W141*X141,"")</f>
        <v/>
      </c>
      <c r="Z141" s="342">
        <f>IF(AND(W141&lt;&gt;"",U141="yes"),W141*X141,"")</f>
        <v/>
      </c>
    </row>
    <row r="142" customFormat="1" s="78">
      <c r="A142" s="78" t="inlineStr">
        <is>
          <t>text</t>
        </is>
      </c>
      <c r="B142" s="78" t="inlineStr">
        <is>
          <t>prevision_inondation_otherspecify</t>
        </is>
      </c>
      <c r="C142" s="337" t="inlineStr">
        <is>
          <t>If other, specify.</t>
        </is>
      </c>
      <c r="D142" s="337" t="inlineStr">
        <is>
          <t>Si autre, précisez.</t>
        </is>
      </c>
      <c r="E142" s="338" t="n"/>
      <c r="F142" s="78" t="inlineStr">
        <is>
          <t>[INSTRUCTIONS: RECORD THE OPEN RESPONSE GIVEN IN FEW WORDS. ENTER 888 FOR DON'T KNOW AND 999 FOR REFUSED]</t>
        </is>
      </c>
      <c r="G142" s="78" t="inlineStr">
        <is>
          <t xml:space="preserve">[INSTRUCTIONS :  DÉCRIVEZ LA RÉPONSE DONNÉE PAR LE RÉPONDANT EN QUELQUES MOTS. </t>
        </is>
      </c>
      <c r="H142" s="339" t="n"/>
      <c r="I142" s="110" t="inlineStr">
        <is>
          <t>true</t>
        </is>
      </c>
      <c r="J142" s="110" t="n"/>
      <c r="K142" s="110" t="n"/>
      <c r="L142" s="110" t="n"/>
      <c r="M142" s="110" t="inlineStr">
        <is>
          <t>${prevision_inondation} = '14'</t>
        </is>
      </c>
      <c r="N142" s="110" t="n"/>
      <c r="O142" s="110" t="n"/>
      <c r="P142" s="110" t="n"/>
      <c r="U142" s="78" t="inlineStr">
        <is>
          <t>yes</t>
        </is>
      </c>
      <c r="W142" s="340" t="n"/>
      <c r="X142" s="341" t="n">
        <v>0.05</v>
      </c>
      <c r="Y142" s="342" t="n"/>
      <c r="Z142" s="342" t="n"/>
    </row>
    <row r="143" ht="29" customFormat="1" customHeight="1" s="78">
      <c r="A143" s="78" t="inlineStr">
        <is>
          <t>select_multiple action_inondation</t>
        </is>
      </c>
      <c r="B143" s="78" t="inlineStr">
        <is>
          <t>action_inondation</t>
        </is>
      </c>
      <c r="C143" s="337" t="inlineStr">
        <is>
          <t>Quelles sont les actions que vous et votre communauté mettez en place avant les prochaines inondations?</t>
        </is>
      </c>
      <c r="D143" s="337" t="inlineStr">
        <is>
          <t xml:space="preserve">Quelles sont les actions que vous et votre communauté mettez en place avant les prochaines inondations ?  </t>
        </is>
      </c>
      <c r="E143" s="338" t="n"/>
      <c r="F143" s="78" t="inlineStr">
        <is>
          <t>[INSTRUCTIONS: SELECT RELEVANT SHOCKS EXPERIENCED BY THE HOUSEHOLD. MULTIPLE RESPONSES POSSIBLE. REFER TO ECONOMIC SHOCKS, CROP AND LIVESTOCK SHOCKS, INTRA-HOUSEHOLD SHOCK, NATURAL HAZARDS AND HUMAN-INDUCED HAZARDS.]</t>
        </is>
      </c>
      <c r="H143" s="339" t="n"/>
      <c r="I143" s="110" t="inlineStr">
        <is>
          <t>true</t>
        </is>
      </c>
      <c r="J143" s="110" t="n"/>
      <c r="K143" s="110" t="n"/>
      <c r="L143" s="110" t="n"/>
      <c r="M143" s="110" t="inlineStr">
        <is>
          <t>${Impact_inondation} = '1'</t>
        </is>
      </c>
      <c r="N143" s="110" t="n"/>
      <c r="O143" s="110" t="n"/>
      <c r="P143" s="110" t="n"/>
      <c r="U143" s="78" t="inlineStr">
        <is>
          <t>yes</t>
        </is>
      </c>
      <c r="W143" s="340" t="n">
        <v>46.24752807617188</v>
      </c>
      <c r="X143" s="341">
        <f>1</f>
        <v/>
      </c>
      <c r="Y143" s="342">
        <f>IF(W143&lt;&gt;"",W143*X143,"")</f>
        <v/>
      </c>
      <c r="Z143" s="342">
        <f>IF(AND(W143&lt;&gt;"",U143="yes"),W143*X143,"")</f>
        <v/>
      </c>
    </row>
    <row r="144" customFormat="1" s="78">
      <c r="A144" s="343" t="inlineStr">
        <is>
          <t>text</t>
        </is>
      </c>
      <c r="B144" s="343" t="inlineStr">
        <is>
          <t>action_inondation_otherspecify</t>
        </is>
      </c>
      <c r="C144" s="344" t="inlineStr">
        <is>
          <t>If other, specify.</t>
        </is>
      </c>
      <c r="D144" s="344" t="inlineStr">
        <is>
          <t>Si autre, précisez.</t>
        </is>
      </c>
      <c r="E144" s="345" t="n"/>
      <c r="F144" s="343" t="inlineStr">
        <is>
          <t>[INSTRUCTIONS: RECORD THE OPEN RESPONSE GIVEN IN FEW WORDS. ENTER 888 FOR DON'T KNOW AND 999 FOR REFUSED]</t>
        </is>
      </c>
      <c r="G144" s="343" t="inlineStr">
        <is>
          <t xml:space="preserve">[INSTRUCTIONS :  DÉCRIVEZ LA RÉPONSE DONNÉE PAR LE RÉPONDANT EN QUELQUES MOTS. </t>
        </is>
      </c>
      <c r="H144" s="346" t="n"/>
      <c r="I144" s="347" t="inlineStr">
        <is>
          <t>true</t>
        </is>
      </c>
      <c r="J144" s="347" t="n"/>
      <c r="K144" s="347" t="n"/>
      <c r="L144" s="347" t="n"/>
      <c r="M144" s="110" t="inlineStr">
        <is>
          <t>${action_inondation} = '13'</t>
        </is>
      </c>
      <c r="N144" s="347" t="n"/>
      <c r="O144" s="347" t="n"/>
      <c r="P144" s="347" t="n"/>
      <c r="U144" s="78" t="inlineStr">
        <is>
          <t>yes</t>
        </is>
      </c>
      <c r="W144" s="348" t="n"/>
      <c r="X144" s="349" t="n">
        <v>0.05</v>
      </c>
    </row>
    <row r="145">
      <c r="D145" s="36" t="n"/>
      <c r="E145" s="70" t="n"/>
      <c r="H145" s="71" t="n"/>
      <c r="M145" s="397" t="n"/>
      <c r="W145" s="172" t="n"/>
      <c r="X145" s="151">
        <f>1</f>
        <v/>
      </c>
      <c r="Y145" s="152">
        <f>IF(W145&lt;&gt;"",W145*X145,"")</f>
        <v/>
      </c>
      <c r="Z145" s="152">
        <f>IF(AND(W145&lt;&gt;"",U145="yes"),W145*X145,"")</f>
        <v/>
      </c>
    </row>
    <row r="146" ht="16.25" customFormat="1" customHeight="1" s="310" thickBot="1">
      <c r="A146" s="309" t="inlineStr">
        <is>
          <t>end_group</t>
        </is>
      </c>
      <c r="C146" s="311" t="n"/>
      <c r="D146" s="311" t="n"/>
      <c r="E146" s="312" t="n"/>
      <c r="H146" s="313" t="n"/>
      <c r="I146" s="314" t="n"/>
      <c r="J146" s="314" t="n"/>
      <c r="K146" s="314" t="n"/>
      <c r="L146" s="314" t="n"/>
      <c r="M146" s="314" t="n"/>
      <c r="N146" s="314" t="n"/>
      <c r="O146" s="314" t="n"/>
      <c r="P146" s="314" t="n"/>
      <c r="W146" s="315" t="n"/>
      <c r="X146" s="316" t="n"/>
      <c r="Y146" s="317" t="n"/>
      <c r="Z146" s="317" t="n"/>
    </row>
    <row r="147" ht="16.25" customFormat="1" customHeight="1" s="59">
      <c r="A147" s="291" t="inlineStr">
        <is>
          <t>begin_group</t>
        </is>
      </c>
      <c r="B147" s="291" t="inlineStr">
        <is>
          <t>Conflict_group</t>
        </is>
      </c>
      <c r="C147" s="292" t="inlineStr">
        <is>
          <t>CONFLICT</t>
        </is>
      </c>
      <c r="D147" s="293" t="inlineStr">
        <is>
          <t>CONFLIT</t>
        </is>
      </c>
      <c r="E147" s="294" t="n"/>
      <c r="F147" s="291" t="n"/>
      <c r="G147" s="291" t="n"/>
      <c r="H147" s="295" t="n"/>
      <c r="I147" s="296" t="inlineStr">
        <is>
          <t>false</t>
        </is>
      </c>
      <c r="J147" s="296" t="n"/>
      <c r="K147" s="296" t="n"/>
      <c r="L147" s="296" t="n"/>
      <c r="M147" s="297" t="inlineStr">
        <is>
          <t>${resp_agree} = '1' and ${hh_agricactivity} != '5' and ${hh_agricactivity} != '6'</t>
        </is>
      </c>
      <c r="N147" s="296" t="n"/>
      <c r="O147" s="296" t="n"/>
      <c r="P147" s="296" t="n"/>
      <c r="Q147" s="82" t="n"/>
      <c r="R147" s="298" t="n"/>
      <c r="S147" s="298" t="n"/>
      <c r="T147" s="298" t="n"/>
      <c r="U147" s="82" t="inlineStr">
        <is>
          <t>yes</t>
        </is>
      </c>
      <c r="V147" s="298" t="n"/>
      <c r="W147" s="395" t="n"/>
      <c r="X147" s="398" t="n"/>
      <c r="Y147" s="398" t="n"/>
      <c r="Z147" s="398" t="n"/>
      <c r="AA147" s="56" t="n"/>
    </row>
    <row r="148" customFormat="1" s="59">
      <c r="A148" s="291" t="n"/>
      <c r="B148" s="291" t="n"/>
      <c r="C148" s="292" t="n"/>
      <c r="D148" s="292" t="n"/>
      <c r="E148" s="294" t="n"/>
      <c r="F148" s="291" t="n"/>
      <c r="G148" s="291" t="n"/>
      <c r="H148" s="295" t="n"/>
      <c r="I148" s="296" t="n"/>
      <c r="J148" s="296" t="n"/>
      <c r="K148" s="296" t="n"/>
      <c r="L148" s="296" t="n"/>
      <c r="M148" s="297" t="n"/>
      <c r="N148" s="296" t="n"/>
      <c r="O148" s="296" t="n"/>
      <c r="P148" s="296" t="n"/>
      <c r="Q148" s="82" t="n"/>
      <c r="R148" s="298" t="n"/>
      <c r="S148" s="298" t="n"/>
      <c r="T148" s="298" t="n"/>
      <c r="U148" s="82" t="n"/>
      <c r="V148" s="298" t="n"/>
      <c r="W148" s="395" t="n"/>
      <c r="X148" s="398" t="n"/>
      <c r="Y148" s="398" t="n"/>
      <c r="Z148" s="398" t="n"/>
      <c r="AA148" s="56" t="n"/>
    </row>
    <row r="149" ht="16.25" customFormat="1" customHeight="1" s="59">
      <c r="A149" s="281" t="inlineStr">
        <is>
          <t>select_multiple wellbeing</t>
        </is>
      </c>
      <c r="B149" s="281" t="inlineStr">
        <is>
          <t>confl_wb</t>
        </is>
      </c>
      <c r="C149" s="288" t="inlineStr">
        <is>
          <t>What are the main problems affecting your household's  wellbeing?</t>
        </is>
      </c>
      <c r="D149" s="288" t="inlineStr">
        <is>
          <t>Quels sont les principaux problèmes qui affectent le bien-être de votre ménage ?</t>
        </is>
      </c>
      <c r="E149" s="283" t="n"/>
      <c r="F149" s="281" t="inlineStr">
        <is>
          <t>[INSTRUCTIONS: UP TO THREE RESPONSES ALLOWED]</t>
        </is>
      </c>
      <c r="G149" s="281" t="inlineStr">
        <is>
          <t>[INSTRUCTIONS: JUSQU'À TROIS RÉPONSES AUTORISÉES]</t>
        </is>
      </c>
      <c r="H149" s="284" t="n"/>
      <c r="I149" s="285" t="inlineStr">
        <is>
          <t>true</t>
        </is>
      </c>
      <c r="J149" s="285" t="n"/>
      <c r="K149" s="285" t="inlineStr">
        <is>
          <t>if(selected(., 'ref') or selected(., 'dk') or selected(.,'none'), count-selected(.) = 1, count-selected(.) &lt;= 3)</t>
        </is>
      </c>
      <c r="L149" s="285" t="n"/>
      <c r="M149" s="285" t="n"/>
      <c r="N149" s="281" t="n"/>
      <c r="O149" s="285" t="n"/>
      <c r="P149" s="285" t="n"/>
      <c r="Q149" s="82" t="n"/>
      <c r="R149" s="286" t="n"/>
      <c r="S149" s="286" t="n"/>
      <c r="T149" s="286" t="n"/>
      <c r="U149" s="286" t="inlineStr">
        <is>
          <t>yes</t>
        </is>
      </c>
      <c r="V149" s="286" t="n"/>
      <c r="W149" s="287" t="n">
        <v>13.6</v>
      </c>
      <c r="X149" s="299" t="n">
        <v>0.91</v>
      </c>
      <c r="Y149" s="286" t="n">
        <v>12.3</v>
      </c>
      <c r="Z149" s="286" t="n"/>
      <c r="AA149" s="286" t="n"/>
    </row>
    <row r="150" ht="16.25" customFormat="1" customHeight="1" s="59">
      <c r="A150" s="281" t="inlineStr">
        <is>
          <t>text</t>
        </is>
      </c>
      <c r="B150" s="281" t="inlineStr">
        <is>
          <t>confl_wb_otherspecify</t>
        </is>
      </c>
      <c r="C150" s="288" t="inlineStr">
        <is>
          <t>If other, specify.</t>
        </is>
      </c>
      <c r="D150" s="288" t="inlineStr">
        <is>
          <t>Si autre, précisez.</t>
        </is>
      </c>
      <c r="E150" s="283" t="n"/>
      <c r="F150" s="281" t="inlineStr">
        <is>
          <t>[INSTRUCTIONS: RECORD THE OPEN RESPONSE GIVEN IN FEW WORDS. ENTER 888 FOR DON'T KNOW AND 999 FOR REFUSED]</t>
        </is>
      </c>
      <c r="G150" s="281" t="inlineStr">
        <is>
          <t>[INSTRUCTIONS :  DÉCRIVEZ LA RÉPONSE DONNÉE PAR LE RÉPONDANT EN QUELQUES MOTS. ENTREZ 888 POUR NE SAIT PAS ET 999 POUR REFUS.]</t>
        </is>
      </c>
      <c r="H150" s="284" t="n"/>
      <c r="I150" s="285" t="inlineStr">
        <is>
          <t>true</t>
        </is>
      </c>
      <c r="J150" s="285" t="n"/>
      <c r="K150" s="285" t="n"/>
      <c r="L150" s="285" t="n"/>
      <c r="M150" s="285" t="inlineStr">
        <is>
          <t>selected(${confl_wb}, 'other')</t>
        </is>
      </c>
      <c r="N150" s="281" t="n"/>
      <c r="O150" s="285" t="n"/>
      <c r="P150" s="285" t="n"/>
      <c r="Q150" s="82" t="n"/>
      <c r="R150" s="286" t="n"/>
      <c r="S150" s="286" t="n"/>
      <c r="T150" s="286" t="n"/>
      <c r="U150" s="286" t="inlineStr">
        <is>
          <t>no</t>
        </is>
      </c>
      <c r="V150" s="286" t="n"/>
      <c r="W150" s="287" t="n"/>
      <c r="X150" s="299" t="n">
        <v>1</v>
      </c>
      <c r="Y150" s="286" t="n"/>
      <c r="Z150" s="286" t="n"/>
      <c r="AA150" s="286" t="n"/>
    </row>
    <row r="151" ht="16.25" customFormat="1" customHeight="1" s="59">
      <c r="A151" s="300" t="inlineStr">
        <is>
          <t>select_one confl_relation</t>
        </is>
      </c>
      <c r="B151" s="300" t="inlineStr">
        <is>
          <t>confl_internal_relations</t>
        </is>
      </c>
      <c r="C151" s="301" t="inlineStr">
        <is>
          <t>Could you describe the relations between members of your community?</t>
        </is>
      </c>
      <c r="D151" s="301" t="inlineStr">
        <is>
          <t>Pouvez-vous décrire les relations entre les membres de votre communauté ?</t>
        </is>
      </c>
      <c r="E151" s="302" t="n"/>
      <c r="F151" s="300" t="n"/>
      <c r="G151" s="300" t="n"/>
      <c r="H151" s="303" t="n"/>
      <c r="I151" s="285" t="inlineStr">
        <is>
          <t>true</t>
        </is>
      </c>
      <c r="J151" s="300" t="n"/>
      <c r="K151" s="300" t="inlineStr">
        <is>
          <t>if(selected(., 'ref') or selected(., 'dk') or selected(.,'none'), count-selected(.) = 1, count-selected(.) &lt;= 3)</t>
        </is>
      </c>
      <c r="L151" s="300" t="n"/>
      <c r="M151" s="300" t="n"/>
      <c r="N151" s="300" t="n"/>
      <c r="O151" s="300" t="n"/>
      <c r="P151" s="300" t="n"/>
      <c r="Q151" s="10" t="n"/>
      <c r="R151" s="282" t="n"/>
      <c r="S151" s="282" t="n"/>
      <c r="T151" s="282" t="n"/>
      <c r="U151" s="282" t="n"/>
      <c r="V151" s="282" t="n"/>
      <c r="W151" s="282" t="n"/>
      <c r="X151" s="286" t="n"/>
      <c r="Y151" s="286" t="n"/>
      <c r="Z151" s="286" t="n"/>
      <c r="AA151" s="286" t="n"/>
    </row>
    <row r="152" ht="32" customFormat="1" customHeight="1" s="59">
      <c r="A152" s="300" t="inlineStr">
        <is>
          <t>select_one confl_relation</t>
        </is>
      </c>
      <c r="B152" s="300" t="inlineStr">
        <is>
          <t>confl_external_relations</t>
        </is>
      </c>
      <c r="C152" s="301" t="inlineStr">
        <is>
          <t>Could you describe the relations between your community and nearby or neigbhouring communities?</t>
        </is>
      </c>
      <c r="D152" s="301" t="inlineStr">
        <is>
          <t>Pouvez-vous décrire les relations entre votre communauté et les communautés voisines ou proches ?</t>
        </is>
      </c>
      <c r="E152" s="302" t="n"/>
      <c r="F152" s="300" t="n"/>
      <c r="G152" s="300" t="n"/>
      <c r="H152" s="303" t="n"/>
      <c r="I152" s="285" t="inlineStr">
        <is>
          <t>true</t>
        </is>
      </c>
      <c r="J152" s="300" t="n"/>
      <c r="K152" s="300" t="inlineStr">
        <is>
          <t>if(selected(., 'ref') or selected(., 'dk') or selected(.,'none'), count-selected(.) = 1, count-selected(.) &lt;= 3)</t>
        </is>
      </c>
      <c r="L152" s="300" t="n"/>
      <c r="M152" s="300" t="n"/>
      <c r="N152" s="300" t="n"/>
      <c r="O152" s="300" t="n"/>
      <c r="P152" s="300" t="n"/>
      <c r="Q152" s="10" t="n"/>
      <c r="R152" s="282" t="n"/>
      <c r="S152" s="282" t="n"/>
      <c r="T152" s="282" t="n"/>
      <c r="U152" s="282" t="n"/>
      <c r="V152" s="282" t="n"/>
      <c r="W152" s="282" t="n"/>
      <c r="X152" s="286" t="n"/>
      <c r="Y152" s="286" t="n"/>
      <c r="Z152" s="286" t="n"/>
      <c r="AA152" s="286" t="n"/>
    </row>
    <row r="153" ht="32" customFormat="1" customHeight="1" s="59">
      <c r="A153" s="304" t="inlineStr">
        <is>
          <t>select_one yes_no</t>
        </is>
      </c>
      <c r="B153" s="304" t="inlineStr">
        <is>
          <t>confl_yn</t>
        </is>
      </c>
      <c r="C153" s="305" t="inlineStr">
        <is>
          <t>Have you or anyone within your household been exposed to any form of insecurity or conflict during the past 12 months?</t>
        </is>
      </c>
      <c r="D153" s="305" t="inlineStr">
        <is>
          <t>Est-ce que vous ou un membre de votre ménage avez été exposé à une quelconque forme d'insécurité ou de conflit au cours des 12 derniers mois?</t>
        </is>
      </c>
      <c r="E153" s="306" t="n"/>
      <c r="F153" s="304" t="n"/>
      <c r="G153" s="304" t="n"/>
      <c r="H153" s="307" t="n"/>
      <c r="I153" s="274" t="inlineStr">
        <is>
          <t>true</t>
        </is>
      </c>
      <c r="J153" s="308" t="n"/>
      <c r="K153" s="274" t="n"/>
      <c r="L153" s="304" t="n"/>
      <c r="M153" s="285" t="n"/>
      <c r="N153" s="274" t="n"/>
      <c r="O153" s="274" t="n"/>
      <c r="P153" s="274" t="n"/>
      <c r="Q153" s="82" t="n"/>
      <c r="R153" s="82" t="n"/>
      <c r="S153" s="82" t="n"/>
      <c r="T153" s="82" t="n"/>
      <c r="U153" s="82" t="inlineStr">
        <is>
          <t>yes</t>
        </is>
      </c>
      <c r="V153" s="82" t="n"/>
      <c r="W153" s="395" t="n">
        <v>13.6</v>
      </c>
      <c r="X153" s="399" t="n">
        <v>0.91</v>
      </c>
      <c r="Y153" s="398" t="n">
        <v>12.3</v>
      </c>
      <c r="Z153" s="398" t="n"/>
      <c r="AA153" s="398" t="n"/>
    </row>
    <row r="154" ht="16.25" customFormat="1" customHeight="1" s="59">
      <c r="A154" s="281" t="inlineStr">
        <is>
          <t>select_one prim_insec</t>
        </is>
      </c>
      <c r="B154" s="281" t="inlineStr">
        <is>
          <t>confl_prim_insec</t>
        </is>
      </c>
      <c r="C154" s="288" t="inlineStr">
        <is>
          <t>What has been the primary type of insecurity affecting your household?</t>
        </is>
      </c>
      <c r="D154" s="288" t="inlineStr">
        <is>
          <t>Quel a été le principal type d'insécurité affectant votre ménage?</t>
        </is>
      </c>
      <c r="E154" s="283" t="n"/>
      <c r="F154" s="281" t="n"/>
      <c r="G154" s="281" t="n"/>
      <c r="H154" s="284" t="n"/>
      <c r="I154" s="285" t="n"/>
      <c r="J154" s="285" t="n"/>
      <c r="K154" s="285" t="n"/>
      <c r="L154" s="285" t="n"/>
      <c r="M154" s="285" t="inlineStr">
        <is>
          <t>${confl_yn} = '1'</t>
        </is>
      </c>
      <c r="N154" s="285" t="n"/>
      <c r="O154" s="285" t="n"/>
      <c r="P154" s="285" t="n"/>
      <c r="Q154" s="82" t="n"/>
      <c r="R154" s="286" t="n"/>
      <c r="S154" s="286" t="n"/>
      <c r="T154" s="286" t="n"/>
      <c r="U154" s="286" t="inlineStr">
        <is>
          <t>yes</t>
        </is>
      </c>
      <c r="V154" s="286" t="n"/>
      <c r="W154" s="287" t="n"/>
      <c r="X154" s="299" t="n">
        <v>0.91</v>
      </c>
      <c r="Y154" s="286" t="n"/>
      <c r="Z154" s="286" t="n"/>
      <c r="AA154" s="286" t="n"/>
    </row>
    <row r="155" ht="16.25" customFormat="1" customHeight="1" s="59">
      <c r="A155" s="281" t="inlineStr">
        <is>
          <t>text</t>
        </is>
      </c>
      <c r="B155" s="281" t="inlineStr">
        <is>
          <t>confl_prim_insec_otherspecify</t>
        </is>
      </c>
      <c r="C155" s="288" t="inlineStr">
        <is>
          <t>If other, specify.</t>
        </is>
      </c>
      <c r="D155" s="288" t="inlineStr">
        <is>
          <t>Si autre, précisez.</t>
        </is>
      </c>
      <c r="E155" s="283" t="n"/>
      <c r="F155" s="281" t="inlineStr">
        <is>
          <t>[INSTRUCTIONS: RECORD THE OPEN RESPONSE GIVEN IN FEW WORDS. ENTER 888 FOR DON'T KNOW AND 999 FOR REFUSED]</t>
        </is>
      </c>
      <c r="G155" s="281" t="inlineStr">
        <is>
          <t>[INSTRUCTIONS :  DÉCRIVEZ LA RÉPONSE DONNÉE PAR LE RÉPONDANT EN QUELQUES MOTS. ENTREZ 888 POUR NE SAIT PAS ET 999 POUR REFUS.]</t>
        </is>
      </c>
      <c r="H155" s="284" t="n"/>
      <c r="I155" s="285" t="inlineStr">
        <is>
          <t>true</t>
        </is>
      </c>
      <c r="J155" s="285" t="n"/>
      <c r="K155" s="285" t="n"/>
      <c r="L155" s="285" t="n"/>
      <c r="M155" s="285" t="inlineStr">
        <is>
          <t>${confl_prim_insec} = '6'</t>
        </is>
      </c>
      <c r="N155" s="281" t="n"/>
      <c r="O155" s="285" t="n"/>
      <c r="P155" s="285" t="n"/>
      <c r="Q155" s="82" t="n"/>
      <c r="R155" s="286" t="n"/>
      <c r="S155" s="286" t="n"/>
      <c r="T155" s="286" t="n"/>
      <c r="U155" s="286" t="inlineStr">
        <is>
          <t>no</t>
        </is>
      </c>
      <c r="V155" s="286" t="n"/>
      <c r="W155" s="287" t="n"/>
      <c r="X155" s="299" t="n">
        <v>1</v>
      </c>
      <c r="Y155" s="286" t="n"/>
      <c r="Z155" s="286" t="n"/>
      <c r="AA155" s="286" t="n"/>
    </row>
    <row r="156" ht="32" customFormat="1" customHeight="1" s="59">
      <c r="A156" s="271" t="inlineStr">
        <is>
          <t>select_multiple agri_impact</t>
        </is>
      </c>
      <c r="B156" s="271" t="inlineStr">
        <is>
          <t>confl_agri</t>
        </is>
      </c>
      <c r="C156" s="272" t="inlineStr">
        <is>
          <t xml:space="preserve">How has broader impacts of conflict or insecurity affected your household's farming, livestock or fishing activities? </t>
        </is>
      </c>
      <c r="D156" s="272" t="inlineStr">
        <is>
          <t xml:space="preserve">Comment l'insécurité ou le conflit généralisé ont-ils affecté les activités agricoles, d'élevage ou de pêche de votre ménage? </t>
        </is>
      </c>
      <c r="E156" s="404" t="n"/>
      <c r="F156" s="271" t="inlineStr">
        <is>
          <t>[INSTRUCTIONS: UP TO THREE RESPONSES ALLOWED]</t>
        </is>
      </c>
      <c r="G156" s="271" t="inlineStr">
        <is>
          <t>[INSTRUCTIONS: JUSQU'À TROIS RÉPONSES AUTORISÉES]</t>
        </is>
      </c>
      <c r="H156" s="402" t="n"/>
      <c r="I156" s="274" t="inlineStr">
        <is>
          <t>true</t>
        </is>
      </c>
      <c r="J156" s="274" t="n"/>
      <c r="K156" s="274" t="inlineStr">
        <is>
          <t>if(selected(., 'ref') or selected(., 'dk') or selected(.,'none'), count-selected(.) = 1, count-selected(.) &lt;= 3)</t>
        </is>
      </c>
      <c r="L156" s="274" t="n"/>
      <c r="M156" s="279" t="inlineStr">
        <is>
          <t xml:space="preserve">${hh_agricactivity} = '1' or ${hh_agricactivity} = '2' or ${hh_agricactivity} = '3' or ${hh_fish} = '1' </t>
        </is>
      </c>
      <c r="N156" s="274" t="n"/>
      <c r="O156" s="274" t="n"/>
      <c r="P156" s="274" t="n"/>
      <c r="Q156" s="82" t="n"/>
      <c r="R156" s="398" t="n"/>
      <c r="S156" s="398" t="n"/>
      <c r="T156" s="398" t="n"/>
      <c r="U156" s="398" t="inlineStr">
        <is>
          <t>yes</t>
        </is>
      </c>
      <c r="V156" s="398" t="n"/>
      <c r="W156" s="395" t="n"/>
      <c r="X156" s="399" t="n">
        <v>0.91</v>
      </c>
      <c r="Y156" s="398" t="n"/>
      <c r="Z156" s="398" t="n"/>
      <c r="AA156" s="398" t="n"/>
    </row>
    <row r="157" ht="16.25" customFormat="1" customHeight="1" s="59">
      <c r="A157" s="271" t="inlineStr">
        <is>
          <t>text</t>
        </is>
      </c>
      <c r="B157" s="271" t="inlineStr">
        <is>
          <t>confl_agri_otherspecify</t>
        </is>
      </c>
      <c r="C157" s="272" t="inlineStr">
        <is>
          <t>If other, specify.</t>
        </is>
      </c>
      <c r="D157" s="272" t="inlineStr">
        <is>
          <t>Si autre, précisez.</t>
        </is>
      </c>
      <c r="E157" s="404" t="n"/>
      <c r="F157" s="271" t="inlineStr">
        <is>
          <t>[INSTRUCTIONS: RECORD THE OPEN RESPONSE GIVEN IN FEW WORDS. ENTER 888 FOR DON'T KNOW AND 999 FOR REFUSED]</t>
        </is>
      </c>
      <c r="G157" s="271" t="inlineStr">
        <is>
          <t>[INSTRUCTIONS :  DÉCRIVEZ LA RÉPONSE DONNÉE PAR LE RÉPONDANT EN QUELQUES MOTS. ENTREZ 888 POUR NE SAIT PAS ET 999 POUR REFUS.]</t>
        </is>
      </c>
      <c r="H157" s="402" t="n"/>
      <c r="I157" s="274" t="inlineStr">
        <is>
          <t>true</t>
        </is>
      </c>
      <c r="J157" s="274" t="n"/>
      <c r="K157" s="274" t="n"/>
      <c r="L157" s="274" t="n"/>
      <c r="M157" s="279" t="inlineStr">
        <is>
          <t>selected(${confl_agri}, 'other')</t>
        </is>
      </c>
      <c r="N157" s="271" t="n"/>
      <c r="O157" s="274" t="n"/>
      <c r="P157" s="274" t="n"/>
      <c r="Q157" s="82" t="n"/>
      <c r="R157" s="398" t="n"/>
      <c r="S157" s="398" t="n"/>
      <c r="T157" s="398" t="n"/>
      <c r="U157" s="398" t="inlineStr">
        <is>
          <t>no</t>
        </is>
      </c>
      <c r="V157" s="398" t="n"/>
      <c r="W157" s="395" t="n"/>
      <c r="X157" s="399" t="n">
        <v>1</v>
      </c>
      <c r="Y157" s="398" t="n"/>
      <c r="Z157" s="398" t="n"/>
      <c r="AA157" s="398" t="n"/>
    </row>
    <row r="158" ht="16.25" customFormat="1" customHeight="1" s="59">
      <c r="A158" s="281" t="inlineStr">
        <is>
          <t>select_multiple fs_impact</t>
        </is>
      </c>
      <c r="B158" s="281" t="inlineStr">
        <is>
          <t>confl_fs</t>
        </is>
      </c>
      <c r="C158" s="288" t="inlineStr">
        <is>
          <t>How has insecurity  affected your household's access to food?</t>
        </is>
      </c>
      <c r="D158" s="288" t="inlineStr">
        <is>
          <t>Comment l'insécurité a-t-elle impacté l'accès de votre ménage à la nourriture?</t>
        </is>
      </c>
      <c r="E158" s="283" t="n"/>
      <c r="F158" s="281" t="inlineStr">
        <is>
          <t>[INSTRUCTIONS: UP TO THREE RESPONSES ALLOWED]</t>
        </is>
      </c>
      <c r="G158" s="281" t="inlineStr">
        <is>
          <t>[INSTRUCTIONS: JUSQU'À TROIS RÉPONSES AUTORISÉES]</t>
        </is>
      </c>
      <c r="H158" s="284" t="n"/>
      <c r="I158" s="285" t="inlineStr">
        <is>
          <t>true</t>
        </is>
      </c>
      <c r="J158" s="285" t="n"/>
      <c r="K158" s="285" t="inlineStr">
        <is>
          <t>if(selected(., 'ref') or selected(., 'dk') or selected(.,'none'), count-selected(.) = 1, count-selected(.) &lt;= 3)</t>
        </is>
      </c>
      <c r="L158" s="285" t="n"/>
      <c r="M158" s="279" t="n"/>
      <c r="N158" s="285" t="n"/>
      <c r="O158" s="285" t="n"/>
      <c r="P158" s="285" t="n"/>
      <c r="Q158" s="82" t="n"/>
      <c r="R158" s="286" t="n"/>
      <c r="S158" s="286" t="n"/>
      <c r="T158" s="286" t="n"/>
      <c r="U158" s="286" t="n"/>
      <c r="V158" s="286" t="n"/>
      <c r="W158" s="287" t="n"/>
      <c r="X158" s="299" t="n">
        <v>0.91</v>
      </c>
      <c r="Y158" s="286" t="n"/>
      <c r="Z158" s="286" t="n"/>
      <c r="AA158" s="286" t="n"/>
    </row>
    <row r="159" ht="16.25" customFormat="1" customHeight="1" s="59">
      <c r="A159" s="281" t="inlineStr">
        <is>
          <t>text</t>
        </is>
      </c>
      <c r="B159" s="281" t="inlineStr">
        <is>
          <t>confl_fs_otherspecify</t>
        </is>
      </c>
      <c r="C159" s="288" t="inlineStr">
        <is>
          <t>If other, specify.</t>
        </is>
      </c>
      <c r="D159" s="288" t="inlineStr">
        <is>
          <t>Si autre, précisez.</t>
        </is>
      </c>
      <c r="E159" s="283" t="n"/>
      <c r="F159" s="281" t="inlineStr">
        <is>
          <t>[INSTRUCTIONS: RECORD THE OPEN RESPONSE GIVEN IN FEW WORDS. ENTER 888 FOR DON'T KNOW AND 999 FOR REFUSED]</t>
        </is>
      </c>
      <c r="G159" s="281" t="inlineStr">
        <is>
          <t>[INSTRUCTIONS :  DÉCRIVEZ LA RÉPONSE DONNÉE PAR LE RÉPONDANT EN QUELQUES MOTS. ENTREZ 888 POUR NE SAIT PAS ET 999 POUR REFUS.]</t>
        </is>
      </c>
      <c r="H159" s="284" t="n"/>
      <c r="I159" s="285" t="inlineStr">
        <is>
          <t>true</t>
        </is>
      </c>
      <c r="J159" s="285" t="n"/>
      <c r="K159" s="285" t="n"/>
      <c r="L159" s="285" t="n"/>
      <c r="M159" s="279" t="inlineStr">
        <is>
          <t>selected(${confl_fs}, 'other')</t>
        </is>
      </c>
      <c r="N159" s="281" t="n"/>
      <c r="O159" s="285" t="n"/>
      <c r="P159" s="285" t="n"/>
      <c r="Q159" s="82" t="n"/>
      <c r="R159" s="286" t="n"/>
      <c r="S159" s="286" t="n"/>
      <c r="T159" s="286" t="n"/>
      <c r="U159" s="286" t="inlineStr">
        <is>
          <t>no</t>
        </is>
      </c>
      <c r="V159" s="286" t="n"/>
      <c r="W159" s="287" t="n"/>
      <c r="X159" s="299" t="n">
        <v>1</v>
      </c>
      <c r="Y159" s="286" t="n"/>
      <c r="Z159" s="286" t="n"/>
      <c r="AA159" s="286" t="n"/>
    </row>
    <row r="160" customFormat="1" s="59">
      <c r="A160" s="304" t="n"/>
      <c r="B160" s="304" t="n"/>
      <c r="C160" s="305" t="n"/>
      <c r="D160" s="273" t="n"/>
      <c r="E160" s="306" t="n"/>
      <c r="F160" s="304" t="n"/>
      <c r="G160" s="304" t="n"/>
      <c r="H160" s="307" t="n"/>
      <c r="I160" s="308" t="n"/>
      <c r="J160" s="308" t="n"/>
      <c r="K160" s="308" t="n"/>
      <c r="L160" s="308" t="n"/>
      <c r="M160" s="274" t="n"/>
      <c r="N160" s="308" t="n"/>
      <c r="O160" s="308" t="n"/>
      <c r="P160" s="308" t="n"/>
      <c r="Q160" s="82" t="n"/>
      <c r="R160" s="82" t="n"/>
      <c r="S160" s="82" t="n"/>
      <c r="T160" s="82" t="n"/>
      <c r="U160" s="82" t="inlineStr">
        <is>
          <t>yes</t>
        </is>
      </c>
      <c r="V160" s="82" t="n"/>
      <c r="W160" s="395" t="n">
        <v>12.7</v>
      </c>
      <c r="X160" s="399" t="n">
        <v>0.91</v>
      </c>
      <c r="Y160" s="398" t="n">
        <v>11.5</v>
      </c>
      <c r="Z160" s="398" t="n">
        <v>11.5</v>
      </c>
      <c r="AA160" s="398" t="n"/>
    </row>
    <row r="161" ht="16.25" customHeight="1" thickBot="1">
      <c r="A161" s="79" t="inlineStr">
        <is>
          <t>end_group</t>
        </is>
      </c>
      <c r="B161" s="79" t="n"/>
      <c r="C161" s="80" t="n"/>
      <c r="D161" s="80" t="n"/>
      <c r="E161" s="74" t="n"/>
      <c r="F161" s="79" t="n"/>
      <c r="G161" s="79" t="n"/>
      <c r="H161" s="75" t="n"/>
      <c r="I161" s="113" t="n"/>
      <c r="J161" s="113" t="n"/>
      <c r="K161" s="113" t="n"/>
      <c r="L161" s="113" t="n"/>
      <c r="M161" s="113" t="n"/>
      <c r="N161" s="113" t="n"/>
      <c r="O161" s="113" t="n"/>
      <c r="P161" s="113" t="n"/>
      <c r="W161" s="172" t="n"/>
      <c r="X161" s="398" t="n"/>
      <c r="Y161" s="152">
        <f>IF(W161&lt;&gt;"",W161*X161,"")</f>
        <v/>
      </c>
      <c r="Z161" s="152">
        <f>IF(AND(W161&lt;&gt;"",U161="yes"),W161*X161,"")</f>
        <v/>
      </c>
    </row>
    <row r="162" ht="17" customFormat="1" customHeight="1" s="55" thickTop="1">
      <c r="A162" s="52" t="inlineStr">
        <is>
          <t>begin_group</t>
        </is>
      </c>
      <c r="B162" s="52" t="inlineStr">
        <is>
          <t>CropProduction_group</t>
        </is>
      </c>
      <c r="C162" s="76" t="inlineStr">
        <is>
          <t>CROP PRODUCTION</t>
        </is>
      </c>
      <c r="D162" s="208" t="inlineStr">
        <is>
          <t>PRODUCTION DE CULTURES</t>
        </is>
      </c>
      <c r="E162" s="53" t="n"/>
      <c r="F162" s="52" t="n"/>
      <c r="G162" s="52" t="n"/>
      <c r="H162" s="54" t="n"/>
      <c r="I162" s="107" t="inlineStr">
        <is>
          <t>false</t>
        </is>
      </c>
      <c r="J162" s="107" t="n"/>
      <c r="K162" s="107" t="n"/>
      <c r="L162" s="107" t="n"/>
      <c r="M162" s="108" t="inlineStr">
        <is>
          <t>${resp_agree} = '1' and (${hh_agricactivity}='1' or ${hh_agricactivity} = '3' or ${income_main_crop_check}='1' or ${income_sec_crop_check}='1' or ${income_third_crop_check}='1')</t>
        </is>
      </c>
      <c r="N162" s="107" t="n"/>
      <c r="O162" s="107" t="n"/>
      <c r="P162" s="107" t="n"/>
      <c r="U162" s="36" t="inlineStr">
        <is>
          <t>yes</t>
        </is>
      </c>
      <c r="W162" s="172" t="n"/>
      <c r="X162" s="56" t="n"/>
      <c r="Y162" s="152">
        <f>IF(W162&lt;&gt;"",W162*X162,"")</f>
        <v/>
      </c>
      <c r="Z162" s="152">
        <f>IF(AND(W162&lt;&gt;"",U162="yes"),W162*X162,"")</f>
        <v/>
      </c>
      <c r="AA162" s="56" t="n"/>
    </row>
    <row r="163" ht="64.25" customFormat="1" customHeight="1" s="37">
      <c r="A163" s="35" t="inlineStr">
        <is>
          <t>note</t>
        </is>
      </c>
      <c r="B163" s="35" t="inlineStr">
        <is>
          <t>crp_intro</t>
        </is>
      </c>
      <c r="C163" s="35" t="inlineStr">
        <is>
          <t>We will now ask you some questions about crop production which apply to you and anyone in your household that is involved in crop production or sales. All questions refer to the crops grown during nan.</t>
        </is>
      </c>
      <c r="D163" s="20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culture . </t>
        </is>
      </c>
      <c r="E163" s="70" t="n"/>
      <c r="F163" s="35" t="n"/>
      <c r="G163" s="35" t="n"/>
      <c r="H163" s="70" t="n"/>
      <c r="I163" s="34" t="n"/>
      <c r="J163" s="34" t="n"/>
      <c r="K163" s="34" t="n"/>
      <c r="L163" s="34" t="n"/>
      <c r="M163" s="34" t="n"/>
      <c r="N163" s="34" t="n"/>
      <c r="O163" s="34" t="n"/>
      <c r="P163" s="34" t="n"/>
      <c r="U163" s="37" t="inlineStr">
        <is>
          <t>yes</t>
        </is>
      </c>
      <c r="W163" s="175" t="n">
        <v>7.5</v>
      </c>
      <c r="X163" s="154">
        <f>'Additional information'!$D$18</f>
        <v/>
      </c>
      <c r="Y163" s="153">
        <f>IF(W163&lt;&gt;"",W163*X163,"")</f>
        <v/>
      </c>
      <c r="Z163" s="153">
        <f>IF(AND(W163&lt;&gt;"",U163="yes"),W163*X163,"")</f>
        <v/>
      </c>
      <c r="AA163" s="38" t="n"/>
    </row>
    <row r="164">
      <c r="D164" s="206" t="n"/>
      <c r="E164" s="70" t="n"/>
      <c r="H164" s="71" t="n"/>
      <c r="W164" s="172" t="n"/>
      <c r="X164" s="151">
        <f>'Additional information'!$D$18</f>
        <v/>
      </c>
      <c r="Y164" s="152">
        <f>IF(W164&lt;&gt;"",W164*X164,"")</f>
        <v/>
      </c>
      <c r="Z164" s="152">
        <f>IF(AND(W164&lt;&gt;"",U164="yes"),W164*X164,"")</f>
        <v/>
      </c>
    </row>
    <row r="165" ht="16.25" customFormat="1" customHeight="1" s="398">
      <c r="A165" s="62" t="inlineStr">
        <is>
          <t>decimal</t>
        </is>
      </c>
      <c r="B165" s="62" t="inlineStr">
        <is>
          <t>crp_landsize_num</t>
        </is>
      </c>
      <c r="C165" s="63" t="inlineStr">
        <is>
          <t>What is the total size of the land you can cultivate?</t>
        </is>
      </c>
      <c r="D165" s="197" t="inlineStr">
        <is>
          <t>Quelle superficie totale pouvez-vous cultiver ?</t>
        </is>
      </c>
      <c r="E165" s="81" t="n"/>
      <c r="F165" s="62" t="inlineStr">
        <is>
          <t>[INSTRUCTIONS: RECORD THE TOTAL LAND SIZE PROVIDED BY THE RESPONDENT. WRITE 888 FOR DON'T KNOW AND 999 FOR REFUSED. MEASUREMENT UNIT WILL BE SPECIFIED IN THE FOLLOWING QUESTION.]</t>
        </is>
      </c>
      <c r="G165" s="62" t="inlineStr">
        <is>
          <t>[INSTRUCTIONS :  SAISIR LA TAILLE TOTALE DU TERRAIN ANNONCÉE PAR LE RÉPONDANT. ENTRER 888 POUR «NE SAIT PAS» ET 999 POUR «REFUSÉ» . L'UNITÉ DE MESURE SERA PRÉCISÉE À LA QUESTION SUIVANTE].</t>
        </is>
      </c>
      <c r="H165" s="83" t="n"/>
      <c r="I165" s="104" t="inlineStr">
        <is>
          <t>true</t>
        </is>
      </c>
      <c r="J165" s="104" t="n"/>
      <c r="K165" s="104" t="inlineStr">
        <is>
          <t>. &gt;= 0</t>
        </is>
      </c>
      <c r="L165" s="104" t="n"/>
      <c r="M165" s="104" t="n"/>
      <c r="N165" s="104" t="n"/>
      <c r="O165" s="104" t="n"/>
      <c r="P165" s="104" t="n"/>
      <c r="U165" s="398" t="inlineStr">
        <is>
          <t>yes</t>
        </is>
      </c>
      <c r="W165" s="172" t="n">
        <v>17</v>
      </c>
      <c r="X165" s="151">
        <f>'Additional information'!$D$18</f>
        <v/>
      </c>
      <c r="Y165" s="152">
        <f>IF(W165&lt;&gt;"",W165*X165,"")</f>
        <v/>
      </c>
      <c r="Z165" s="152">
        <f>IF(AND(W165&lt;&gt;"",U165="yes"),W165*X165,"")</f>
        <v/>
      </c>
    </row>
    <row r="166" ht="16.25" customFormat="1" customHeight="1" s="398">
      <c r="A166" s="62" t="inlineStr">
        <is>
          <t>select_one landsize_unit</t>
        </is>
      </c>
      <c r="B166" s="62" t="inlineStr">
        <is>
          <t>crp_landsize_unit</t>
        </is>
      </c>
      <c r="C166" s="63" t="inlineStr">
        <is>
          <t xml:space="preserve">Unit of measurement for land size: </t>
        </is>
      </c>
      <c r="D166" s="202" t="inlineStr">
        <is>
          <t>Unité de mesure des terrains cultivés:</t>
        </is>
      </c>
      <c r="E166" s="81" t="n"/>
      <c r="F166" s="62" t="inlineStr">
        <is>
          <t>[INSTRUCTIONS: DO NOT READ QUESTION. SELECT UNIT OF MEASUREMENT IN WHICH LAND SIZE WAS PROVIDED.]</t>
        </is>
      </c>
      <c r="G166" s="210" t="inlineStr">
        <is>
          <t xml:space="preserve">[INSTRUCTIONS :  NE PAS LIRE LA QUESTION. SÉLECTIONNEZ L'UNITÉ DE MESURE UTILISÉE POUR LA SUPERFICIE TOTALE.] </t>
        </is>
      </c>
      <c r="H166" s="83" t="n"/>
      <c r="I166" s="104" t="inlineStr">
        <is>
          <t>true</t>
        </is>
      </c>
      <c r="J166" s="104" t="n"/>
      <c r="K166" s="104" t="n"/>
      <c r="L166" s="104" t="n"/>
      <c r="M166" s="104" t="inlineStr">
        <is>
          <t>${crp_landsize_num} != 888 and ${crp_landsize_num} != 999</t>
        </is>
      </c>
      <c r="N166" s="104" t="n"/>
      <c r="O166" s="104" t="n"/>
      <c r="P166" s="104" t="n"/>
      <c r="U166" s="398" t="inlineStr">
        <is>
          <t>yes</t>
        </is>
      </c>
      <c r="W166" s="172" t="n">
        <v>0</v>
      </c>
      <c r="X166" s="151">
        <f>'Additional information'!$D$18</f>
        <v/>
      </c>
      <c r="Y166" s="152">
        <f>IF(W166&lt;&gt;"",W166*X166,"")</f>
        <v/>
      </c>
      <c r="Z166" s="152">
        <f>IF(AND(W166&lt;&gt;"",U166="yes"),W166*X166,"")</f>
        <v/>
      </c>
    </row>
    <row r="167" customFormat="1" s="55">
      <c r="C167" s="77" t="n"/>
      <c r="E167" s="53" t="n"/>
      <c r="H167" s="54" t="n"/>
      <c r="I167" s="108" t="n"/>
      <c r="J167" s="108" t="n"/>
      <c r="K167" s="108" t="n"/>
      <c r="L167" s="108" t="n"/>
      <c r="M167" s="108" t="n"/>
      <c r="N167" s="108" t="n"/>
      <c r="O167" s="108" t="n"/>
      <c r="P167" s="108" t="n"/>
      <c r="U167" s="36" t="n"/>
      <c r="W167" s="172" t="n"/>
      <c r="X167" s="151">
        <f>'Additional information'!$D$18</f>
        <v/>
      </c>
      <c r="Y167" s="152">
        <f>IF(W167&lt;&gt;"",W167*X167,"")</f>
        <v/>
      </c>
      <c r="Z167" s="152">
        <f>IF(AND(W167&lt;&gt;"",U167="yes"),W167*X167,"")</f>
        <v/>
      </c>
      <c r="AA167" s="56" t="n"/>
    </row>
    <row r="168" ht="32" customHeight="1">
      <c r="A168" s="57" t="inlineStr">
        <is>
          <t>select_one crop</t>
        </is>
      </c>
      <c r="B168" s="57" t="inlineStr">
        <is>
          <t>crp_main</t>
        </is>
      </c>
      <c r="C168" s="35" t="inlineStr">
        <is>
          <t>What is the main crop that your household grows for food or income generation in nan, if any?</t>
        </is>
      </c>
      <c r="D168" s="197" t="inlineStr">
        <is>
          <t>Quelle est la principale culture pratiquée par votre ménage pour se nourrir ou générer des revenus pendant la saison de culture , si applicable ?</t>
        </is>
      </c>
      <c r="E168" s="70" t="n"/>
      <c r="F168" s="57" t="inlineStr">
        <is>
          <t>[INSTRUCTIONS: "NO CROP PRODUCTION" APPEARS AT THE END OF THE LIST OF OPTIONS.]</t>
        </is>
      </c>
      <c r="G168" s="57" t="inlineStr">
        <is>
          <t>[INSTRUCTIONS :  L'OPTION « AUCUNE PRODUCTION VÉGÉTALE » SE TROUVE À LA FIN DE LA LISTE.]</t>
        </is>
      </c>
      <c r="H168" s="71" t="n"/>
      <c r="I168" s="102" t="inlineStr">
        <is>
          <t>true</t>
        </is>
      </c>
      <c r="J168" s="102" t="inlineStr">
        <is>
          <t>autocomplete</t>
        </is>
      </c>
      <c r="K168" s="102" t="n"/>
      <c r="L168" s="102" t="n"/>
      <c r="M168" s="102" t="n"/>
      <c r="N168" s="102" t="n"/>
      <c r="O168" s="102" t="n"/>
      <c r="P168" s="102" t="n"/>
      <c r="U168" s="36" t="inlineStr">
        <is>
          <t>yes</t>
        </is>
      </c>
      <c r="W168" s="172" t="n">
        <v>27.05755233764648</v>
      </c>
      <c r="X168" s="151">
        <f>'Additional information'!$D$18</f>
        <v/>
      </c>
      <c r="Y168" s="152">
        <f>IF(W168&lt;&gt;"",W168*X168,"")</f>
        <v/>
      </c>
      <c r="Z168" s="152">
        <f>IF(AND(W168&lt;&gt;"",U168="yes"),W168*X168,"")</f>
        <v/>
      </c>
    </row>
    <row r="169">
      <c r="A169" s="57" t="inlineStr">
        <is>
          <t>calculate</t>
        </is>
      </c>
      <c r="B169" s="57" t="inlineStr">
        <is>
          <t>crpmain</t>
        </is>
      </c>
      <c r="C169" s="35" t="n"/>
      <c r="D169" s="57" t="n"/>
      <c r="E169" s="70" t="n"/>
      <c r="H169" s="71" t="n"/>
      <c r="I169" s="102" t="n"/>
      <c r="J169" s="102" t="n"/>
      <c r="K169" s="102" t="n"/>
      <c r="L169" s="102" t="n"/>
      <c r="M169" s="102" t="n"/>
      <c r="N169" s="102" t="n"/>
      <c r="O169" s="102" t="n"/>
      <c r="P169" s="102" t="inlineStr">
        <is>
          <t>jr:choice-name(${crp_main},'${crp_main}')</t>
        </is>
      </c>
      <c r="U169" s="36" t="inlineStr">
        <is>
          <t>yes</t>
        </is>
      </c>
      <c r="W169" s="172" t="n"/>
      <c r="X169" s="151">
        <f>'Additional information'!$D$18</f>
        <v/>
      </c>
      <c r="Y169" s="152">
        <f>IF(W169&lt;&gt;"",W169*X169,"")</f>
        <v/>
      </c>
      <c r="Z169" s="152">
        <f>IF(AND(W169&lt;&gt;"",U169="yes"),W169*X169,"")</f>
        <v/>
      </c>
    </row>
    <row r="170" ht="16.25" customHeight="1">
      <c r="A170" s="57" t="inlineStr">
        <is>
          <t>select_one cropcheck</t>
        </is>
      </c>
      <c r="B170" s="57" t="inlineStr">
        <is>
          <t>crp_main_check</t>
        </is>
      </c>
      <c r="C170" s="35" t="inlineStr">
        <is>
          <t>Why did you not produce any crops in nan?</t>
        </is>
      </c>
      <c r="D170" s="202" t="inlineStr">
        <is>
          <t>Pourquoi n'avez-vous pas produit de cultures pendant la saison de culture  ?</t>
        </is>
      </c>
      <c r="E170" s="70" t="n"/>
      <c r="H170" s="71" t="n"/>
      <c r="I170" s="102" t="inlineStr">
        <is>
          <t>true</t>
        </is>
      </c>
      <c r="J170" s="102" t="n"/>
      <c r="K170" s="102" t="n"/>
      <c r="L170" s="102" t="n"/>
      <c r="M170" s="102" t="inlineStr">
        <is>
          <t>${crp_main}='777'</t>
        </is>
      </c>
      <c r="N170" s="102" t="n"/>
      <c r="O170" s="102" t="n"/>
      <c r="P170" s="102" t="n"/>
      <c r="U170" s="36" t="inlineStr">
        <is>
          <t>yes</t>
        </is>
      </c>
      <c r="W170" s="172" t="n">
        <v>0</v>
      </c>
      <c r="X170" s="151">
        <f>'Additional information'!$D$18</f>
        <v/>
      </c>
      <c r="Y170" s="152">
        <f>IF(W170&lt;&gt;"",W170*X170,"")</f>
        <v/>
      </c>
      <c r="Z170" s="152">
        <f>IF(AND(W170&lt;&gt;"",U170="yes"),W170*X170,"")</f>
        <v/>
      </c>
    </row>
    <row r="171" customFormat="1" s="398">
      <c r="C171" s="38" t="n"/>
      <c r="D171" s="206" t="n"/>
      <c r="E171" s="81" t="n"/>
      <c r="H171" s="83" t="n"/>
      <c r="I171" s="397" t="n"/>
      <c r="J171" s="397" t="n"/>
      <c r="K171" s="397" t="n"/>
      <c r="L171" s="397" t="n"/>
      <c r="M171" s="397" t="n"/>
      <c r="N171" s="397" t="n"/>
      <c r="O171" s="397" t="n"/>
      <c r="P171" s="397" t="n"/>
      <c r="W171" s="172" t="n"/>
      <c r="X171" s="151">
        <f>'Additional information'!$D$18</f>
        <v/>
      </c>
      <c r="Y171" s="152">
        <f>IF(W171&lt;&gt;"",W171*X171,"")</f>
        <v/>
      </c>
      <c r="Z171" s="152">
        <f>IF(AND(W171&lt;&gt;"",U171="yes"),W171*X171,"")</f>
        <v/>
      </c>
    </row>
    <row r="172" ht="32" customHeight="1">
      <c r="A172" s="57" t="inlineStr">
        <is>
          <t>select_one irrigation</t>
        </is>
      </c>
      <c r="B172" s="57" t="inlineStr">
        <is>
          <t>crp_irrig_source</t>
        </is>
      </c>
      <c r="C172" s="57" t="inlineStr">
        <is>
          <t xml:space="preserve">Where do you normally and mainly obtain water for the production of ${crpmain}? </t>
        </is>
      </c>
      <c r="D172" s="197" t="inlineStr">
        <is>
          <t>Quel est normalement votre principale source d'eau pour la production de ${crpmain} ?</t>
        </is>
      </c>
      <c r="E172" s="71" t="n"/>
      <c r="H172" s="71" t="n"/>
      <c r="I172" s="102" t="inlineStr">
        <is>
          <t>true</t>
        </is>
      </c>
      <c r="J172" s="102" t="n"/>
      <c r="K172" s="102" t="n"/>
      <c r="L172" s="102" t="n"/>
      <c r="M172" s="102" t="inlineStr">
        <is>
          <t>${crp_main} != '777' and ${crp_main} != '888' and ${crp_main} != '999'</t>
        </is>
      </c>
      <c r="N172" s="102" t="n"/>
      <c r="O172" s="102" t="n"/>
      <c r="P172" s="102" t="n"/>
      <c r="U172" s="36" t="inlineStr">
        <is>
          <t>yes</t>
        </is>
      </c>
      <c r="W172" s="172" t="n">
        <v>15.95429515838623</v>
      </c>
      <c r="X172" s="151">
        <f>'Additional information'!$D$18</f>
        <v/>
      </c>
      <c r="Y172" s="152">
        <f>IF(W172&lt;&gt;"",W172*X172,"")</f>
        <v/>
      </c>
      <c r="Z172" s="152">
        <f>IF(AND(W172&lt;&gt;"",U172="yes"),W172*X172,"")</f>
        <v/>
      </c>
    </row>
    <row r="173" ht="15.75" customHeight="1">
      <c r="A173" s="57" t="inlineStr">
        <is>
          <t>text</t>
        </is>
      </c>
      <c r="B173" s="57" t="inlineStr">
        <is>
          <t>crp_irrig_source_otherspecify</t>
        </is>
      </c>
      <c r="C173" s="63" t="inlineStr">
        <is>
          <t>If other, specify.</t>
        </is>
      </c>
      <c r="D173" s="35" t="inlineStr">
        <is>
          <t>Si autre, précisez.</t>
        </is>
      </c>
      <c r="E173" s="81" t="n"/>
      <c r="F173" s="398" t="inlineStr">
        <is>
          <t>[INSTRUCTIONS: RECORD THE OPEN RESPONSE GIVEN IN FEW WORDS. ENTER 888 FOR DON'T KNOW AND 999 FOR REFUSED]</t>
        </is>
      </c>
      <c r="G173" s="398" t="inlineStr">
        <is>
          <t>[INSTRUCTIONS :  DÉCRIVEZ LA RÉPONSE DONNÉE PAR LE RÉPONDANT EN QUELQUES MOTS. ENTREZ 888 POUR NE SAIT PAS ET 999 POUR REFUS.]</t>
        </is>
      </c>
      <c r="H173" s="71" t="n"/>
      <c r="I173" s="102" t="inlineStr">
        <is>
          <t>true</t>
        </is>
      </c>
      <c r="J173" s="102" t="n"/>
      <c r="K173" s="102" t="n"/>
      <c r="L173" s="102" t="n"/>
      <c r="M173" s="102" t="inlineStr">
        <is>
          <t>${crp_irrig_source}='6' and (${crp_main} != '777' and ${crp_main} != '888' and ${crp_main} != '999')</t>
        </is>
      </c>
      <c r="N173" s="102" t="n"/>
      <c r="O173" s="102" t="n"/>
      <c r="P173" s="102" t="n"/>
      <c r="U173" s="36" t="inlineStr">
        <is>
          <t>yes</t>
        </is>
      </c>
      <c r="W173" s="172" t="n"/>
      <c r="X173" s="151">
        <f>'Additional information'!$D$18</f>
        <v/>
      </c>
      <c r="Y173" s="152">
        <f>IF(W173&lt;&gt;"",W173*X173,"")</f>
        <v/>
      </c>
      <c r="Z173" s="152">
        <f>IF(AND(W173&lt;&gt;"",U173="yes"),W173*X173,"")</f>
        <v/>
      </c>
    </row>
    <row r="174" ht="15.75" customFormat="1" customHeight="1" s="59">
      <c r="C174" s="60" t="n"/>
      <c r="E174" s="61" t="n"/>
      <c r="H174" s="65" t="n"/>
      <c r="I174" s="103" t="n"/>
      <c r="J174" s="103" t="n"/>
      <c r="K174" s="103" t="n"/>
      <c r="L174" s="103" t="n"/>
      <c r="M174" s="103" t="n"/>
      <c r="N174" s="103" t="n"/>
      <c r="O174" s="103" t="n"/>
      <c r="P174" s="103" t="n"/>
      <c r="W174" s="172" t="n"/>
      <c r="X174" s="151">
        <f>'Additional information'!$D$18</f>
        <v/>
      </c>
      <c r="Y174" s="152">
        <f>IF(W174&lt;&gt;"",W174*X174,"")</f>
        <v/>
      </c>
      <c r="Z174" s="152">
        <f>IF(AND(W174&lt;&gt;"",U174="yes"),W174*X174,"")</f>
        <v/>
      </c>
      <c r="AA174" s="398" t="n"/>
    </row>
    <row r="175" ht="15.75" customFormat="1" customHeight="1" s="59">
      <c r="A175" s="59" t="inlineStr">
        <is>
          <t>select_one irrigpump</t>
        </is>
      </c>
      <c r="B175" s="59" t="inlineStr">
        <is>
          <t>crp_irrig_system</t>
        </is>
      </c>
      <c r="C175" s="60" t="inlineStr">
        <is>
          <t>Do you [your community] use a pump for your own [the communal] irrigation system?</t>
        </is>
      </c>
      <c r="D175" s="59" t="inlineStr">
        <is>
          <t>Utilisez-vous [ou votre communauté] une pompe pour votre propre système d'irrigation ?</t>
        </is>
      </c>
      <c r="E175" s="61" t="n"/>
      <c r="H175" s="65" t="n"/>
      <c r="I175" s="103" t="n"/>
      <c r="J175" s="103" t="n"/>
      <c r="K175" s="103" t="n"/>
      <c r="L175" s="103" t="n"/>
      <c r="M175" s="103" t="inlineStr">
        <is>
          <t>not(${crp_irrig_source}='7' or ${crp_irrig_source}='8') and (${crp_main} != '777' and ${crp_main} != '888' and ${crp_main} != '999')</t>
        </is>
      </c>
      <c r="N175" s="103" t="n"/>
      <c r="O175" s="103" t="n"/>
      <c r="P175" s="103" t="n"/>
      <c r="U175" s="59" t="inlineStr">
        <is>
          <t>no</t>
        </is>
      </c>
      <c r="W175" s="172" t="n"/>
      <c r="X175" s="151" t="n"/>
      <c r="Y175" s="152" t="n"/>
      <c r="Z175" s="152" t="n"/>
      <c r="AA175" s="398" t="n"/>
    </row>
    <row r="176" ht="15.75" customFormat="1" customHeight="1" s="59">
      <c r="A176" s="59" t="inlineStr">
        <is>
          <t>select_one yes_no</t>
        </is>
      </c>
      <c r="B176" s="59" t="inlineStr">
        <is>
          <t>crp_irrig_pay</t>
        </is>
      </c>
      <c r="C176" s="60" t="inlineStr">
        <is>
          <t xml:space="preserve">Do you have to pay for water rights [e.g. water rights, communal infrastructure maintenance, gas for communal pump, etc.]? </t>
        </is>
      </c>
      <c r="D176" s="59" t="inlineStr">
        <is>
          <t>Devez-vous payer pour avoir accès à l'eau [par exemple, droits à l'eau, entretien des infrastructures communes, gaz pour la pompe commune, etc.] ?</t>
        </is>
      </c>
      <c r="E176" s="61" t="n"/>
      <c r="H176" s="65" t="n"/>
      <c r="I176" s="103" t="n"/>
      <c r="J176" s="103" t="n"/>
      <c r="K176" s="103" t="n"/>
      <c r="L176" s="103" t="n"/>
      <c r="M176" s="103" t="inlineStr">
        <is>
          <t>not(${crp_irrig_source}='7' or ${crp_irrig_source}='8') and (${crp_main} != '777' and ${crp_main} != '888' and ${crp_main} != '999')</t>
        </is>
      </c>
      <c r="N176" s="103" t="n"/>
      <c r="O176" s="103" t="n"/>
      <c r="P176" s="103" t="n"/>
      <c r="U176" s="59" t="inlineStr">
        <is>
          <t>no</t>
        </is>
      </c>
      <c r="W176" s="172" t="n"/>
      <c r="X176" s="151" t="n"/>
      <c r="Y176" s="152" t="n"/>
      <c r="Z176" s="152" t="n"/>
      <c r="AA176" s="398" t="n"/>
    </row>
    <row r="177" ht="16.25" customFormat="1" customHeight="1" s="59">
      <c r="A177" s="59" t="inlineStr">
        <is>
          <t xml:space="preserve">select_multiple seedsupply </t>
        </is>
      </c>
      <c r="B177" s="59" t="inlineStr">
        <is>
          <t>crp_seed</t>
        </is>
      </c>
      <c r="C177" s="60" t="inlineStr">
        <is>
          <t xml:space="preserve">Who do you normally procure your seeds from? </t>
        </is>
      </c>
      <c r="D177" s="209" t="inlineStr">
        <is>
          <t>Où vous procurez-vous habituellement vos semences ?</t>
        </is>
      </c>
      <c r="E177" s="61" t="n"/>
      <c r="F177" s="59" t="inlineStr">
        <is>
          <t>[INSTRUCTIONS: MULTIPLE RESPONSES POSSIBLE.]</t>
        </is>
      </c>
      <c r="G177" s="59" t="inlineStr">
        <is>
          <t>[INSTRUCTIONS :  PLUSIEURS RÉPONSES POSSIBLES.]</t>
        </is>
      </c>
      <c r="H177" s="65" t="n"/>
      <c r="I177" s="103" t="inlineStr">
        <is>
          <t>true</t>
        </is>
      </c>
      <c r="J177" s="103" t="n"/>
      <c r="K177" s="103" t="inlineStr">
        <is>
          <t>if(selected(., 'ref') or selected(., 'dk'), count-selected(.) = 1, count-selected(.) &gt;= 1)</t>
        </is>
      </c>
      <c r="L177" s="103" t="n"/>
      <c r="M177" s="103" t="inlineStr">
        <is>
          <t>${crp_main} != '777' and ${crp_main} != '888' and ${crp_main} != '999'</t>
        </is>
      </c>
      <c r="N177" s="103" t="n"/>
      <c r="O177" s="103" t="n"/>
      <c r="P177" s="103" t="n"/>
      <c r="U177" s="59" t="inlineStr">
        <is>
          <t>no</t>
        </is>
      </c>
      <c r="W177" s="172" t="n">
        <v>17.92890930175781</v>
      </c>
      <c r="X177" s="151">
        <f>'Additional information'!$D$18</f>
        <v/>
      </c>
      <c r="Y177" s="152">
        <f>IF(W177&lt;&gt;"",W177*X177,"")</f>
        <v/>
      </c>
      <c r="Z177" s="152">
        <f>IF(AND(W177&lt;&gt;"",U177="yes"),W177*X177,"")</f>
        <v/>
      </c>
      <c r="AA177" s="398" t="n"/>
    </row>
    <row r="178" customFormat="1" s="59">
      <c r="C178" s="60" t="n"/>
      <c r="E178" s="61" t="n"/>
      <c r="G178" s="36" t="n"/>
      <c r="H178" s="65" t="n"/>
      <c r="I178" s="103" t="n"/>
      <c r="J178" s="103" t="n"/>
      <c r="K178" s="103" t="n"/>
      <c r="L178" s="103" t="n"/>
      <c r="M178" s="103" t="n"/>
      <c r="N178" s="103" t="n"/>
      <c r="O178" s="103" t="n"/>
      <c r="P178" s="103" t="n"/>
      <c r="W178" s="172" t="n"/>
      <c r="X178" s="151">
        <f>'Additional information'!$D$18</f>
        <v/>
      </c>
      <c r="Y178" s="152">
        <f>IF(W178&lt;&gt;"",W178*X178,"")</f>
        <v/>
      </c>
      <c r="Z178" s="152">
        <f>IF(AND(W178&lt;&gt;"",U178="yes"),W178*X178,"")</f>
        <v/>
      </c>
      <c r="AA178" s="398" t="n"/>
    </row>
    <row r="179" ht="32" customHeight="1">
      <c r="A179" s="57" t="inlineStr">
        <is>
          <t>select_one change</t>
        </is>
      </c>
      <c r="B179" s="57" t="inlineStr">
        <is>
          <t>crp_area_change</t>
        </is>
      </c>
      <c r="C179" s="35" t="inlineStr">
        <is>
          <t>How did the ***area planted*** for ${crpmain} from nan compare to last year?</t>
        </is>
      </c>
      <c r="D179" s="197" t="inlineStr">
        <is>
          <t>Comment estimez-vous la **superficie plantée** de  ${crpmain} pour la saison de culture  par rapport à l'année dernière ?</t>
        </is>
      </c>
      <c r="E179" s="70" t="n"/>
      <c r="F179" s="57" t="n"/>
      <c r="G179" s="57" t="n"/>
      <c r="H179" s="71" t="n"/>
      <c r="I179" s="102" t="inlineStr">
        <is>
          <t>true</t>
        </is>
      </c>
      <c r="J179" s="102" t="n"/>
      <c r="K179" s="102" t="n"/>
      <c r="L179" s="102" t="n"/>
      <c r="M179" s="104" t="inlineStr">
        <is>
          <t>${crp_main} != '777' and ${crp_main} != '888' and ${crp_main} != '999'</t>
        </is>
      </c>
      <c r="N179" s="102" t="n"/>
      <c r="O179" s="102" t="n"/>
      <c r="P179" s="102" t="n"/>
      <c r="U179" s="36" t="inlineStr">
        <is>
          <t>yes</t>
        </is>
      </c>
      <c r="W179" s="172" t="n">
        <v>25.43687438964844</v>
      </c>
      <c r="X179" s="151">
        <f>'Additional information'!$D$18</f>
        <v/>
      </c>
      <c r="Y179" s="152">
        <f>IF(W179&lt;&gt;"",W179*X179,"")</f>
        <v/>
      </c>
      <c r="Z179" s="152">
        <f>IF(AND(W179&lt;&gt;"",U179="yes"),W179*X179,"")</f>
        <v/>
      </c>
    </row>
    <row r="180">
      <c r="D180" s="206" t="n"/>
      <c r="E180" s="70" t="n"/>
      <c r="H180" s="71" t="n"/>
      <c r="M180" s="397" t="n"/>
      <c r="W180" s="172" t="n"/>
      <c r="X180" s="151">
        <f>'Additional information'!$D$18</f>
        <v/>
      </c>
      <c r="Y180" s="152">
        <f>IF(W180&lt;&gt;"",W180*X180,"")</f>
        <v/>
      </c>
      <c r="Z180" s="152">
        <f>IF(AND(W180&lt;&gt;"",U180="yes"),W180*X180,"")</f>
        <v/>
      </c>
    </row>
    <row r="181" ht="32" customHeight="1">
      <c r="A181" s="57" t="inlineStr">
        <is>
          <t>select_one change</t>
        </is>
      </c>
      <c r="B181" s="57" t="inlineStr">
        <is>
          <t>crp_harv_change</t>
        </is>
      </c>
      <c r="C181" s="35" t="inlineStr">
        <is>
          <t xml:space="preserve">How does the expected ***harvest*** of ${crpmain} in the nan compare to last year? </t>
        </is>
      </c>
      <c r="D181" s="197" t="inlineStr">
        <is>
          <t>Comment estimez-vous la **récolte** attendue de ${crpmain} pour la saison de culture  par rapport à l'année dernière ?</t>
        </is>
      </c>
      <c r="E181" s="70" t="n"/>
      <c r="G181" s="59" t="n"/>
      <c r="H181" s="71" t="n"/>
      <c r="I181" s="102" t="inlineStr">
        <is>
          <t>true</t>
        </is>
      </c>
      <c r="J181" s="102" t="n"/>
      <c r="K181" s="102" t="n"/>
      <c r="L181" s="102" t="n"/>
      <c r="M181" s="104" t="inlineStr">
        <is>
          <t>${crp_main} != '777' and ${crp_main} != '888' and ${crp_main} != '999'</t>
        </is>
      </c>
      <c r="N181" s="102" t="n"/>
      <c r="O181" s="102" t="n"/>
      <c r="P181" s="102" t="n"/>
      <c r="U181" s="36" t="inlineStr">
        <is>
          <t>yes</t>
        </is>
      </c>
      <c r="W181" s="172" t="n">
        <v>19.36494636535645</v>
      </c>
      <c r="X181" s="151">
        <f>'Additional information'!$D$18</f>
        <v/>
      </c>
      <c r="Y181" s="152">
        <f>IF(W181&lt;&gt;"",W181*X181,"")</f>
        <v/>
      </c>
      <c r="Z181" s="152">
        <f>IF(AND(W181&lt;&gt;"",U181="yes"),W181*X181,"")</f>
        <v/>
      </c>
    </row>
    <row r="182" ht="16.25" customFormat="1" customHeight="1" s="59">
      <c r="A182" s="59" t="inlineStr">
        <is>
          <t>decimal</t>
        </is>
      </c>
      <c r="B182" s="59" t="inlineStr">
        <is>
          <t>crp_harv_vol</t>
        </is>
      </c>
      <c r="C182" s="60" t="inlineStr">
        <is>
          <t>How much (threshed) ${crpmain} did you harvest this nan?</t>
        </is>
      </c>
      <c r="D182" s="199" t="inlineStr">
        <is>
          <t>Quelle quantité (battue) de ${crpmain} avez-vous récoltée cette saison de culture  ?</t>
        </is>
      </c>
      <c r="E182" s="61" t="n"/>
      <c r="F182" s="59" t="inlineStr">
        <is>
          <t>[INSTRUCTIONS: RECORD THE RESPONSE GIVEN. UNIT OF MEASUREMENT TO BE SPECIFIED IN NEXT QUESTION. ENTER 888 FOR DON'T KNOW &amp; 999 FOR REFUSED, TO BE USED RARELY - PROBE!]</t>
        </is>
      </c>
      <c r="G182" s="59" t="inlineStr">
        <is>
          <t>[INSTRUCTIONS :  ENREGISTRER LA RÉPONSE DONNÉE. L'UNITÉ DE MESURE DOIT ÊTRE SPÉCIFIÉE À LA QUESTION SUIVANTE. SAISIR 888 POUR «NE SAIT PAS» ET 999 POUR «REFUSÉ», À UTILISER LE MOINS POSSIBLE - DEMANDER DES PRÉCISIONS!]</t>
        </is>
      </c>
      <c r="H182" s="65" t="n"/>
      <c r="I182" s="103" t="inlineStr">
        <is>
          <t>true</t>
        </is>
      </c>
      <c r="J182" s="397" t="n"/>
      <c r="K182" s="117" t="inlineStr">
        <is>
          <t>. &gt;= 0</t>
        </is>
      </c>
      <c r="L182" s="103" t="n"/>
      <c r="M182" s="103" t="inlineStr">
        <is>
          <t>${crp_main} != '777' and ${crp_main} != '888' and ${crp_main} != '999'</t>
        </is>
      </c>
      <c r="N182" s="103" t="n"/>
      <c r="O182" s="103" t="n"/>
      <c r="P182" s="103" t="n"/>
      <c r="U182" s="59" t="inlineStr">
        <is>
          <t>no</t>
        </is>
      </c>
      <c r="W182" s="172" t="n">
        <v>17</v>
      </c>
      <c r="X182" s="151">
        <f>'Additional information'!$D$18</f>
        <v/>
      </c>
      <c r="Y182" s="152">
        <f>IF(W182&lt;&gt;"",W182*X182,"")</f>
        <v/>
      </c>
      <c r="Z182" s="152">
        <f>IF(AND(W182&lt;&gt;"",U182="yes"),W182*X182,"")</f>
        <v/>
      </c>
      <c r="AA182" s="398" t="n"/>
    </row>
    <row r="183" ht="16.25" customFormat="1" customHeight="1" s="59">
      <c r="A183" s="59" t="inlineStr">
        <is>
          <t>select_one harv_unit</t>
        </is>
      </c>
      <c r="B183" s="59" t="inlineStr">
        <is>
          <t>crp_harv_unit</t>
        </is>
      </c>
      <c r="C183" s="60" t="inlineStr">
        <is>
          <t>Unit of measurement for harvested ${crpmain}:</t>
        </is>
      </c>
      <c r="D183" s="207" t="inlineStr">
        <is>
          <t xml:space="preserve">Unité de mesure pour la/le ${crpmain} récolté(e) : </t>
        </is>
      </c>
      <c r="E183" s="61" t="n"/>
      <c r="H183" s="65" t="n"/>
      <c r="I183" s="103" t="inlineStr">
        <is>
          <t>true</t>
        </is>
      </c>
      <c r="J183" s="397" t="n"/>
      <c r="K183" s="103" t="n"/>
      <c r="L183" s="103" t="n"/>
      <c r="M183" s="103" t="inlineStr">
        <is>
          <t>${crp_harv_vol} != '888' and ${crp_harv_vol} != '999'</t>
        </is>
      </c>
      <c r="N183" s="103" t="n"/>
      <c r="O183" s="103" t="n"/>
      <c r="P183" s="103" t="n"/>
      <c r="U183" s="59" t="inlineStr">
        <is>
          <t>no</t>
        </is>
      </c>
      <c r="W183" s="172" t="n">
        <v>17</v>
      </c>
      <c r="X183" s="151">
        <f>'Additional information'!$D$18</f>
        <v/>
      </c>
      <c r="Y183" s="152">
        <f>IF(W183&lt;&gt;"",W183*X183,"")</f>
        <v/>
      </c>
      <c r="Z183" s="152">
        <f>IF(AND(W183&lt;&gt;"",U183="yes"),W183*X183,"")</f>
        <v/>
      </c>
      <c r="AA183" s="398" t="n"/>
    </row>
    <row r="184" customFormat="1" s="59">
      <c r="A184" s="59" t="inlineStr">
        <is>
          <t>calculate</t>
        </is>
      </c>
      <c r="B184" s="59" t="inlineStr">
        <is>
          <t>crp_harvunit</t>
        </is>
      </c>
      <c r="C184" s="60" t="n"/>
      <c r="E184" s="61" t="n"/>
      <c r="H184" s="65" t="n"/>
      <c r="I184" s="103" t="n"/>
      <c r="J184" s="103" t="n"/>
      <c r="K184" s="103" t="n"/>
      <c r="L184" s="103" t="n"/>
      <c r="M184" s="103" t="n"/>
      <c r="N184" s="103" t="n"/>
      <c r="O184" s="103" t="n"/>
      <c r="P184" s="103" t="inlineStr">
        <is>
          <t>jr:choice-name(${crp_harv_unit},'${crp_harv_unit}')</t>
        </is>
      </c>
      <c r="U184" s="59" t="inlineStr">
        <is>
          <t>no</t>
        </is>
      </c>
      <c r="W184" s="172" t="n"/>
      <c r="X184" s="151">
        <f>'Additional information'!$D$18</f>
        <v/>
      </c>
      <c r="Y184" s="152">
        <f>IF(W184&lt;&gt;"",W184*X184,"")</f>
        <v/>
      </c>
      <c r="Z184" s="152">
        <f>IF(AND(W184&lt;&gt;"",U184="yes"),W184*X184,"")</f>
        <v/>
      </c>
      <c r="AA184" s="398" t="n"/>
    </row>
    <row r="185" ht="16.25" customFormat="1" customHeight="1" s="59">
      <c r="A185" s="59" t="inlineStr">
        <is>
          <t>decimal</t>
        </is>
      </c>
      <c r="B185" s="59" t="inlineStr">
        <is>
          <t>crp_harv_unit_kg</t>
        </is>
      </c>
      <c r="C185" s="60" t="inlineStr">
        <is>
          <t>How many kilograms [kgs] in each unit?</t>
        </is>
      </c>
      <c r="D185" s="207" t="inlineStr">
        <is>
          <t>Combien de kilogrammes [kg] chaque unité contient-elle ?</t>
        </is>
      </c>
      <c r="E185" s="61" t="n"/>
      <c r="F185" s="59" t="inlineStr">
        <is>
          <t>[INSTRUCTIONS: RECORD THE RESPONSE GIVEN. ENTER 888 FOR DON'T KNOW &amp; 999 FOR REFUSED, TO BE USED RARELY - PROBE!]</t>
        </is>
      </c>
      <c r="G185" s="59" t="inlineStr">
        <is>
          <t>[INSTRUCTIONS :   SAISIR LA QUANTITÉ ANNONCÉE. SAISIR 888 POUR «NE SAIT PAS» ET 999 POUR «REFUSÉ».]</t>
        </is>
      </c>
      <c r="H185" s="65" t="n"/>
      <c r="I185" s="103" t="inlineStr">
        <is>
          <t>true</t>
        </is>
      </c>
      <c r="J185" s="397" t="n"/>
      <c r="K185" s="103" t="n"/>
      <c r="L185" s="103" t="n"/>
      <c r="M185" s="103" t="inlineStr">
        <is>
          <t>(${crp_harv_vol} != '888' and ${crp_harv_vol} != '999') and (${crp_harv_unit}='5' or ${crp_harv_unit}='6' or ${crp_harv_unit}='7' or ${crp_harv_unit}='8' or ${crp_harv_unit}='9')</t>
        </is>
      </c>
      <c r="N185" s="103" t="n"/>
      <c r="O185" s="103" t="n"/>
      <c r="P185" s="103" t="n"/>
      <c r="U185" s="59" t="inlineStr">
        <is>
          <t>no</t>
        </is>
      </c>
      <c r="W185" s="172" t="n">
        <v>17</v>
      </c>
      <c r="X185" s="151">
        <f>'Additional information'!$D$18</f>
        <v/>
      </c>
      <c r="Y185" s="152">
        <f>IF(W185&lt;&gt;"",W185*X185,"")</f>
        <v/>
      </c>
      <c r="Z185" s="152">
        <f>IF(AND(W185&lt;&gt;"",U185="yes"),W185*X185,"")</f>
        <v/>
      </c>
      <c r="AA185" s="398" t="n"/>
    </row>
    <row r="186" ht="32" customFormat="1" customHeight="1" s="59">
      <c r="A186" s="59" t="inlineStr">
        <is>
          <t>integer</t>
        </is>
      </c>
      <c r="B186" s="59" t="inlineStr">
        <is>
          <t>crp_harv_lastyr</t>
        </is>
      </c>
      <c r="C186" s="60" t="inlineStr">
        <is>
          <t>How many ${crp_harvunit} of (threshed) ${crpmain} did you harvest last year during the same season?</t>
        </is>
      </c>
      <c r="D186" s="203" t="inlineStr">
        <is>
          <t>Combien de ${crp_harvunit} de ${crpmain} (battu) avez-vous récolté l'année dernière au cours de la même saison ?</t>
        </is>
      </c>
      <c r="E186" s="61" t="n"/>
      <c r="F186" s="59" t="inlineStr">
        <is>
          <t>[INSTRUCTIONS: RECORD THE RESPONSE GIVEN. ENTER 888 FOR DON'T KNOW &amp; 999 FOR REFUSED, TO BE USED RARELY - PROBE!]</t>
        </is>
      </c>
      <c r="G186" s="59" t="inlineStr">
        <is>
          <t>[INSTRUCTIONS :  SAISIR LA RÉPONSE DONNÉE. ENTRER 888 POUR «NE SAIT PAS» ET 999 POUR «REFUSÉ», À UTILISER LE MOINS POSSIBLE - DEMANDER DES PRÉCISIONS!]</t>
        </is>
      </c>
      <c r="H186" s="65" t="n"/>
      <c r="I186" s="103" t="inlineStr">
        <is>
          <t>true</t>
        </is>
      </c>
      <c r="J186" s="397" t="n"/>
      <c r="K186" s="117" t="inlineStr">
        <is>
          <t>. &gt;= 0</t>
        </is>
      </c>
      <c r="L186" s="103" t="n"/>
      <c r="M186" s="103" t="inlineStr">
        <is>
          <t>${crp_harv_vol} != '888' and ${crp_harv_vol} != '999' and (${crp_main} != '777' and ${crp_main} != '888' and ${crp_main} != '999')</t>
        </is>
      </c>
      <c r="N186" s="103" t="n"/>
      <c r="O186" s="103" t="n"/>
      <c r="P186" s="103" t="n"/>
      <c r="U186" s="59" t="inlineStr">
        <is>
          <t>no</t>
        </is>
      </c>
      <c r="W186" s="172" t="n">
        <v>17</v>
      </c>
      <c r="X186" s="151">
        <f>'Additional information'!$D$18</f>
        <v/>
      </c>
      <c r="Y186" s="152">
        <f>IF(W186&lt;&gt;"",W186*X186,"")</f>
        <v/>
      </c>
      <c r="Z186" s="152">
        <f>IF(AND(W186&lt;&gt;"",U186="yes"),W186*X186,"")</f>
        <v/>
      </c>
      <c r="AA186" s="398" t="n"/>
    </row>
    <row r="187" customFormat="1" s="59">
      <c r="C187" s="60" t="n"/>
      <c r="E187" s="61" t="n"/>
      <c r="G187" s="36" t="n"/>
      <c r="H187" s="65" t="n"/>
      <c r="I187" s="103" t="n"/>
      <c r="J187" s="103" t="n"/>
      <c r="K187" s="103" t="n"/>
      <c r="L187" s="103" t="n"/>
      <c r="M187" s="103" t="n"/>
      <c r="N187" s="103" t="n"/>
      <c r="O187" s="103" t="n"/>
      <c r="P187" s="103" t="n"/>
      <c r="W187" s="172" t="n"/>
      <c r="X187" s="151">
        <f>'Additional information'!$D$18</f>
        <v/>
      </c>
      <c r="Y187" s="152">
        <f>IF(W187&lt;&gt;"",W187*X187,"")</f>
        <v/>
      </c>
      <c r="Z187" s="152">
        <f>IF(AND(W187&lt;&gt;"",U187="yes"),W187*X187,"")</f>
        <v/>
      </c>
      <c r="AA187" s="398" t="n"/>
    </row>
    <row r="188" ht="32" customHeight="1">
      <c r="A188" s="57" t="inlineStr">
        <is>
          <t>select_one yes_no</t>
        </is>
      </c>
      <c r="B188" s="57" t="inlineStr">
        <is>
          <t>crp_proddif</t>
        </is>
      </c>
      <c r="C188" s="35" t="inlineStr">
        <is>
          <t>Has your household faced any significant difficulty ***in terms of crop production*** in nan?</t>
        </is>
      </c>
      <c r="D188" s="197" t="inlineStr">
        <is>
          <t>Votre ménage a-t-il rencontré des difficultés importantes en matière de **production végétale** au cours de saison de culture  ?</t>
        </is>
      </c>
      <c r="E188" s="70" t="n"/>
      <c r="H188" s="71" t="n"/>
      <c r="I188" s="102" t="inlineStr">
        <is>
          <t>true</t>
        </is>
      </c>
      <c r="J188" s="102" t="n"/>
      <c r="K188" s="102" t="n"/>
      <c r="L188" s="102" t="n"/>
      <c r="M188" s="104" t="inlineStr">
        <is>
          <t>${crp_main} != '888' and ${crp_main} != '999' and ${crp_main_check} != 1</t>
        </is>
      </c>
      <c r="N188" s="102" t="n"/>
      <c r="O188" s="102" t="n"/>
      <c r="P188" s="102" t="n"/>
      <c r="U188" s="36" t="inlineStr">
        <is>
          <t>yes</t>
        </is>
      </c>
      <c r="W188" s="172" t="n">
        <v>13.45886421203613</v>
      </c>
      <c r="X188" s="151">
        <f>'Additional information'!$D$18</f>
        <v/>
      </c>
      <c r="Y188" s="152">
        <f>IF(W188&lt;&gt;"",W188*X188,"")</f>
        <v/>
      </c>
      <c r="Z188" s="152">
        <f>IF(AND(W188&lt;&gt;"",U188="yes"),W188*X188,"")</f>
        <v/>
      </c>
    </row>
    <row r="189" ht="32" customHeight="1">
      <c r="A189" s="57" t="inlineStr">
        <is>
          <t>select_multiple cropproddiff</t>
        </is>
      </c>
      <c r="B189" s="57" t="inlineStr">
        <is>
          <t>crp_proddif_</t>
        </is>
      </c>
      <c r="C189" s="35" t="inlineStr">
        <is>
          <t>Which difficulties has your household faced with crop production in nan?</t>
        </is>
      </c>
      <c r="D189" s="197" t="inlineStr">
        <is>
          <t>Quelles difficultés votre ménage a-t-il rencontrées dans la production végétale au cours de saison de culture  ?</t>
        </is>
      </c>
      <c r="E189" s="70" t="n"/>
      <c r="F189" s="36" t="inlineStr">
        <is>
          <t>[INSTRUCTIONS: MULTIPLE RESPONSES POSSIBLE. SELECT OPTION(S) THAT BEST FIT THE INFORMATION PROVIDED BY THE RESPONDENTS.]</t>
        </is>
      </c>
      <c r="G189" s="36" t="inlineStr">
        <is>
          <t>[INSTRUCTIONS :  PLUSIEURS RÉPONSES POSSIBLES. SÉLECTIONNER LES OPTIONS QUI CORRESPONDENT LE MIEUX AUX INFORMATIONS PROPOSÉES PAR LE RÉPONDANT.]</t>
        </is>
      </c>
      <c r="H189" s="71" t="n"/>
      <c r="I189" s="102" t="inlineStr">
        <is>
          <t>true</t>
        </is>
      </c>
      <c r="J189" s="102" t="n"/>
      <c r="K189" s="104" t="inlineStr">
        <is>
          <t>if(selected(., 'ref') or selected(., 'dk'), count-selected(.) = 1, count-selected(.) &gt;= 1)</t>
        </is>
      </c>
      <c r="L189" s="102" t="n"/>
      <c r="M189" s="104" t="inlineStr">
        <is>
          <t>${crp_proddif} = '1' and (${crp_main} != '888' and ${crp_main} != '999' and ${crp_main_check} != 1)</t>
        </is>
      </c>
      <c r="N189" s="102" t="n"/>
      <c r="O189" s="102" t="n"/>
      <c r="P189" s="102" t="n"/>
      <c r="U189" s="36" t="inlineStr">
        <is>
          <t>yes</t>
        </is>
      </c>
      <c r="W189" s="172" t="n">
        <v>37.52328872680664</v>
      </c>
      <c r="X189" s="151">
        <f>'Additional information'!$D$18</f>
        <v/>
      </c>
      <c r="Y189" s="152">
        <f>IF(W189&lt;&gt;"",W189*X189,"")</f>
        <v/>
      </c>
      <c r="Z189" s="152">
        <f>IF(AND(W189&lt;&gt;"",U189="yes"),W189*X189,"")</f>
        <v/>
      </c>
    </row>
    <row r="190" ht="48" customHeight="1">
      <c r="A190" s="286" t="inlineStr">
        <is>
          <t>select_one storage</t>
        </is>
      </c>
      <c r="B190" s="286" t="inlineStr">
        <is>
          <t>crp_storage</t>
        </is>
      </c>
      <c r="C190" s="318" t="inlineStr">
        <is>
          <t>Last year, what proportion of your ${crpmain} stock did you lose [to pests, rotting, mould, theft, conflict, etc.] after the harvest?</t>
        </is>
      </c>
      <c r="D190" s="319" t="inlineStr">
        <is>
          <t>L'année dernière, quelle part du stock de votre ${crpmain} avez-vous perdue (en raison des parasites, de la pourriture, de la moisissure, des vols, des conflits, etc.) après la récolte ?</t>
        </is>
      </c>
      <c r="E190" s="283" t="n"/>
      <c r="F190" s="286" t="n"/>
      <c r="G190" s="286" t="n"/>
      <c r="H190" s="284" t="n"/>
      <c r="I190" s="117" t="inlineStr">
        <is>
          <t>true</t>
        </is>
      </c>
      <c r="J190" s="117" t="n"/>
      <c r="K190" s="117" t="n"/>
      <c r="L190" s="117" t="n"/>
      <c r="M190" s="117" t="inlineStr">
        <is>
          <t>${crp_main} != '888' and ${crp_main} != '999' and ${crp_main} != '777'</t>
        </is>
      </c>
      <c r="N190" s="117" t="n"/>
      <c r="O190" s="117" t="n"/>
      <c r="P190" s="117" t="n"/>
      <c r="Q190" s="286" t="n"/>
      <c r="R190" s="286" t="n"/>
      <c r="S190" s="286" t="n"/>
      <c r="T190" s="286" t="n"/>
      <c r="U190" s="286" t="inlineStr">
        <is>
          <t>no</t>
        </is>
      </c>
      <c r="V190" s="286" t="n"/>
      <c r="W190" s="395" t="n">
        <v>17</v>
      </c>
      <c r="X190" s="399" t="n">
        <v>0.91</v>
      </c>
      <c r="Y190" s="398" t="n">
        <v>15.5</v>
      </c>
    </row>
    <row r="191" ht="16.25" customHeight="1">
      <c r="A191" s="281" t="inlineStr">
        <is>
          <t>select_multiple storage_reason</t>
        </is>
      </c>
      <c r="B191" s="281" t="inlineStr">
        <is>
          <t>crp_storage_</t>
        </is>
      </c>
      <c r="C191" s="288" t="inlineStr">
        <is>
          <t>What was the reason for your stock loss after the harvest</t>
        </is>
      </c>
      <c r="D191" s="320" t="inlineStr">
        <is>
          <t>Pour quelles raisons avez vous perdu du stock après la récolte?</t>
        </is>
      </c>
      <c r="E191" s="283" t="n"/>
      <c r="F191" s="281" t="inlineStr">
        <is>
          <t>[INSTRUCTIONS: MULTIPLE RESPONSES POSSIBLE.]</t>
        </is>
      </c>
      <c r="G191" s="281" t="inlineStr">
        <is>
          <t>[INSTRUCTIONS : PLUSIEURS RÉPONSES POSSIBLES.]</t>
        </is>
      </c>
      <c r="H191" s="284" t="n"/>
      <c r="I191" s="285" t="n"/>
      <c r="J191" s="285" t="n"/>
      <c r="K191" s="285" t="inlineStr">
        <is>
          <t>if(selected(., 'ref') or selected(., 'dk'), count-selected(.) = 1, count-selected(.) &gt;= 1)</t>
        </is>
      </c>
      <c r="L191" s="285" t="n"/>
      <c r="M191" s="285" t="inlineStr">
        <is>
          <t>${crp_storage} &gt; 1 and ${crp_storage} &lt; 7</t>
        </is>
      </c>
      <c r="N191" s="285" t="n"/>
      <c r="O191" s="285" t="n"/>
      <c r="P191" s="285" t="n"/>
      <c r="Q191" s="286" t="n"/>
      <c r="R191" s="286" t="n"/>
      <c r="S191" s="286" t="n"/>
      <c r="T191" s="286" t="n"/>
      <c r="U191" s="286" t="n"/>
      <c r="V191" s="286" t="n"/>
      <c r="X191" s="398" t="n"/>
    </row>
    <row r="192" ht="16.25" customHeight="1">
      <c r="A192" s="281" t="inlineStr">
        <is>
          <t>text</t>
        </is>
      </c>
      <c r="B192" s="281" t="inlineStr">
        <is>
          <t>crp_storage_otherspecify</t>
        </is>
      </c>
      <c r="C192" s="288" t="inlineStr">
        <is>
          <t>If other, specify.</t>
        </is>
      </c>
      <c r="D192" s="288" t="inlineStr">
        <is>
          <t>Si autre, précisez.</t>
        </is>
      </c>
      <c r="E192" s="283" t="n"/>
      <c r="F192" s="281" t="inlineStr">
        <is>
          <t>[INSTRUCTIONS: RECORD THE OPEN RESPONSE GIVEN IN FEW WORDS. ENTER 888 FOR DON'T KNOW AND 999 FOR REFUSED]</t>
        </is>
      </c>
      <c r="G192" s="281" t="inlineStr">
        <is>
          <t>[INSTRUCTIONS :  DÉCRIVEZ LA RÉPONSE DONNÉE PAR LE RÉPONDANT EN QUELQUES MOTS. ENTREZ 888 POUR NE SAIT PAS ET 999 POUR REFUS.]</t>
        </is>
      </c>
      <c r="H192" s="284" t="n"/>
      <c r="I192" s="285" t="inlineStr">
        <is>
          <t>true</t>
        </is>
      </c>
      <c r="J192" s="285" t="n"/>
      <c r="K192" s="285" t="n"/>
      <c r="L192" s="285" t="n"/>
      <c r="M192" s="285" t="inlineStr">
        <is>
          <t>selected(${crp_storage_}, 'other')</t>
        </is>
      </c>
      <c r="N192" s="281" t="n"/>
      <c r="O192" s="285" t="n"/>
      <c r="P192" s="285" t="n"/>
      <c r="Q192" s="82" t="n"/>
      <c r="R192" s="286" t="n"/>
      <c r="S192" s="286" t="n"/>
      <c r="T192" s="286" t="n"/>
      <c r="U192" s="286" t="inlineStr">
        <is>
          <t>no</t>
        </is>
      </c>
      <c r="V192" s="286" t="n"/>
      <c r="W192" s="287" t="n"/>
      <c r="X192" s="299" t="n">
        <v>1</v>
      </c>
      <c r="Y192" s="286" t="n"/>
      <c r="Z192" s="286" t="n"/>
      <c r="AA192" s="286" t="n"/>
    </row>
    <row r="193" ht="16.25" customFormat="1" customHeight="1" s="59">
      <c r="A193" s="59" t="inlineStr">
        <is>
          <t>select_multiple crop2</t>
        </is>
      </c>
      <c r="B193" s="59" t="inlineStr">
        <is>
          <t>crp_all</t>
        </is>
      </c>
      <c r="C193" s="60" t="inlineStr">
        <is>
          <t>Do you cultivate any other crops aside from ${crpmain}, and if so which ones?</t>
        </is>
      </c>
      <c r="D193" s="207" t="inlineStr">
        <is>
          <t>Pratiquez-vous d'autres cultures en dehors de ${crpmain}, et si oui, lesquelles ?</t>
        </is>
      </c>
      <c r="E193" s="61" t="n"/>
      <c r="F193" s="59" t="inlineStr">
        <is>
          <t>[INSTRUCTIONS: "No other crops" APPEARS AT THE END OF THE LIST OF OPTIONS. SELECT ALL CROPS LISTED BY THE RESPONDENT.]</t>
        </is>
      </c>
      <c r="G193" s="59" t="inlineStr">
        <is>
          <t>[INSTRUCTIONS :  "Pas d'autre culture" FIGURE DANS LES DERNIÈRES OPTIONS DE RÉPONSE. SÉLECTIONNER TOUTES LES CULTURES LISTÉES PAR LE RÉPONDANT.]</t>
        </is>
      </c>
      <c r="H193" s="65" t="n"/>
      <c r="I193" s="103" t="inlineStr">
        <is>
          <t>true</t>
        </is>
      </c>
      <c r="J193" s="103" t="inlineStr">
        <is>
          <t>autocomplete</t>
        </is>
      </c>
      <c r="K193" s="103" t="inlineStr">
        <is>
          <t>if(selected(., '888') or selected(., '999') or selected(.,'666'), count-selected(.) = 1, count-selected(.) &gt;= 1)</t>
        </is>
      </c>
      <c r="L193" s="103" t="n"/>
      <c r="M193" s="103" t="inlineStr">
        <is>
          <t>${crp_main} != '888' and ${crp_main} != '999' and ${crp_main} != '777'</t>
        </is>
      </c>
      <c r="N193" s="103" t="inlineStr">
        <is>
          <t>not(selected(${crp_main}, name))</t>
        </is>
      </c>
      <c r="O193" s="109" t="n"/>
      <c r="P193" s="109" t="n"/>
      <c r="Q193" s="36" t="n"/>
      <c r="U193" s="59" t="inlineStr">
        <is>
          <t>no</t>
        </is>
      </c>
      <c r="W193" s="172" t="n">
        <v>17</v>
      </c>
      <c r="X193" s="151">
        <f>'Additional information'!$D$18</f>
        <v/>
      </c>
      <c r="Y193" s="152">
        <f>IF(W193&lt;&gt;"",W193*X193,"")</f>
        <v/>
      </c>
      <c r="Z193" s="152">
        <f>IF(AND(W193&lt;&gt;"",U193="yes"),W193*X193,"")</f>
        <v/>
      </c>
      <c r="AA193" s="398" t="n"/>
    </row>
    <row r="194">
      <c r="E194" s="70" t="n"/>
      <c r="H194" s="71" t="n"/>
      <c r="M194" s="397" t="n"/>
      <c r="W194" s="172" t="n"/>
      <c r="X194" s="151">
        <f>'Additional information'!$D$18</f>
        <v/>
      </c>
      <c r="Y194" s="152">
        <f>IF(W194&lt;&gt;"",W194*X194,"")</f>
        <v/>
      </c>
      <c r="Z194" s="152">
        <f>IF(AND(W194&lt;&gt;"",U194="yes"),W194*X194,"")</f>
        <v/>
      </c>
    </row>
    <row r="195" ht="16.25" customHeight="1" thickBot="1">
      <c r="A195" s="84" t="inlineStr">
        <is>
          <t>end_group</t>
        </is>
      </c>
      <c r="B195" s="84" t="n"/>
      <c r="C195" s="85" t="n"/>
      <c r="D195" s="85" t="n"/>
      <c r="E195" s="94" t="n"/>
      <c r="F195" s="211" t="n"/>
      <c r="G195" s="211" t="n"/>
      <c r="H195" s="95" t="n"/>
      <c r="I195" s="115" t="n"/>
      <c r="J195" s="115" t="n"/>
      <c r="K195" s="115" t="n"/>
      <c r="L195" s="115" t="n"/>
      <c r="M195" s="115" t="n"/>
      <c r="N195" s="115" t="n"/>
      <c r="O195" s="115" t="n"/>
      <c r="P195" s="115" t="n"/>
      <c r="W195" s="172" t="n"/>
      <c r="Y195" s="152">
        <f>IF(W195&lt;&gt;"",W195*X195,"")</f>
        <v/>
      </c>
      <c r="Z195" s="152">
        <f>IF(AND(W195&lt;&gt;"",U195="yes"),W195*X195,"")</f>
        <v/>
      </c>
    </row>
    <row r="196" ht="17" customFormat="1" customHeight="1" s="55" thickTop="1">
      <c r="A196" s="52" t="inlineStr">
        <is>
          <t>begin_group</t>
        </is>
      </c>
      <c r="B196" s="52" t="inlineStr">
        <is>
          <t>CropSales_group</t>
        </is>
      </c>
      <c r="C196" s="76" t="inlineStr">
        <is>
          <t>CROP MARKETING</t>
        </is>
      </c>
      <c r="D196" s="208" t="inlineStr">
        <is>
          <t>VENTES DES RÉCOLTES</t>
        </is>
      </c>
      <c r="E196" s="53" t="n"/>
      <c r="F196" s="52" t="n"/>
      <c r="G196" s="52" t="n"/>
      <c r="H196" s="54" t="n"/>
      <c r="I196" s="107" t="inlineStr">
        <is>
          <t>false</t>
        </is>
      </c>
      <c r="J196" s="107" t="n"/>
      <c r="K196" s="107" t="n"/>
      <c r="L196" s="107" t="n"/>
      <c r="M196" s="108" t="inlineStr">
        <is>
          <t>${resp_agree} = '1' and (${income_main}='1' or ${income_sec}='1' or ${income_third}='1' or ${income_main}='2' or ${income_sec}='2' or ${income_third}='2' or ${income_main}='3' or ${income_sec}='3' or ${income_third}='3')</t>
        </is>
      </c>
      <c r="N196" s="107" t="n"/>
      <c r="O196" s="107" t="n"/>
      <c r="P196" s="107" t="n"/>
      <c r="U196" s="36" t="inlineStr">
        <is>
          <t>yes</t>
        </is>
      </c>
      <c r="W196" s="172" t="n"/>
      <c r="X196" s="151" t="n"/>
      <c r="Y196" s="152">
        <f>IF(W196&lt;&gt;"",W196*X196,"")</f>
        <v/>
      </c>
      <c r="Z196" s="152">
        <f>IF(AND(W196&lt;&gt;"",U196="yes"),W196*X196,"")</f>
        <v/>
      </c>
      <c r="AA196" s="56" t="n"/>
    </row>
    <row r="197">
      <c r="E197" s="70" t="n"/>
      <c r="H197" s="71" t="n"/>
      <c r="W197" s="172" t="n"/>
      <c r="X197" s="151">
        <f>'Additional information'!$D$18</f>
        <v/>
      </c>
      <c r="Y197" s="152" t="n"/>
      <c r="Z197" s="152" t="n"/>
    </row>
    <row r="198" ht="32" customHeight="1">
      <c r="A198" s="57" t="inlineStr">
        <is>
          <t>select_one yes_no</t>
        </is>
      </c>
      <c r="B198" s="57" t="inlineStr">
        <is>
          <t>crp_sales_main_1</t>
        </is>
      </c>
      <c r="C198" s="63" t="inlineStr">
        <is>
          <t xml:space="preserve">Was ${crpmain} the main crop that you sold over the *last 3 months*? </t>
        </is>
      </c>
      <c r="D198" s="35" t="inlineStr">
        <is>
          <t xml:space="preserve">Est-ce que le/la ${crpmain} est la principale récolte que vous avez vendue au cours des *3 derniers mois* ? </t>
        </is>
      </c>
      <c r="E198" s="70" t="n"/>
      <c r="H198" s="71" t="n"/>
      <c r="I198" s="104" t="inlineStr">
        <is>
          <t>true</t>
        </is>
      </c>
      <c r="K198" s="104" t="n"/>
      <c r="L198" s="104" t="n"/>
      <c r="M198" s="104" t="inlineStr">
        <is>
          <t>${crp_main} != '' and ${crp_main} != '888' and ${crp_main} != '999' and ${crp_main} != '777'</t>
        </is>
      </c>
      <c r="N198" s="62" t="n"/>
      <c r="O198" s="104" t="n"/>
      <c r="P198" s="104" t="n"/>
      <c r="U198" s="36" t="inlineStr">
        <is>
          <t>yes</t>
        </is>
      </c>
      <c r="W198" s="172" t="n">
        <v>13.55</v>
      </c>
      <c r="X198" s="151">
        <f>'Additional information'!$D$18</f>
        <v/>
      </c>
      <c r="Y198" s="152">
        <f>IF(W198&lt;&gt;"",W198*X198,"")</f>
        <v/>
      </c>
      <c r="Z198" s="152" t="n"/>
    </row>
    <row r="199" ht="16.25" customHeight="1">
      <c r="A199" s="57" t="inlineStr">
        <is>
          <t>select_one crop3</t>
        </is>
      </c>
      <c r="B199" s="57" t="inlineStr">
        <is>
          <t>crp_sales_main_2</t>
        </is>
      </c>
      <c r="C199" s="35" t="inlineStr">
        <is>
          <t>What was the main crop that you sold over the *last 3 months*?</t>
        </is>
      </c>
      <c r="D199" s="35" t="inlineStr">
        <is>
          <t>Quelle principale récolte avez-vous vendue au cours des *3 derniers mois* ?</t>
        </is>
      </c>
      <c r="E199" s="70" t="n"/>
      <c r="H199" s="71" t="n"/>
      <c r="I199" s="104" t="inlineStr">
        <is>
          <t>true</t>
        </is>
      </c>
      <c r="J199" s="261" t="inlineStr">
        <is>
          <t>autocomplete</t>
        </is>
      </c>
      <c r="K199" s="104" t="n"/>
      <c r="L199" s="104" t="n"/>
      <c r="M199" s="104" t="inlineStr">
        <is>
          <t>${crp_sales_main_1}='2' or ${crp_sales_main_1}=''</t>
        </is>
      </c>
      <c r="N199" s="104" t="inlineStr">
        <is>
          <t>not(selected(${crp_main}, name))</t>
        </is>
      </c>
      <c r="O199" s="104" t="n"/>
      <c r="P199" s="104" t="n"/>
      <c r="U199" s="36" t="inlineStr">
        <is>
          <t>yes</t>
        </is>
      </c>
      <c r="W199" s="172" t="n">
        <v>13.55</v>
      </c>
      <c r="X199" s="151">
        <f>'Additional information'!$D$18</f>
        <v/>
      </c>
      <c r="Y199" s="152">
        <f>IF(W199&lt;&gt;"",W199*X199,"")</f>
        <v/>
      </c>
      <c r="Z199" s="152" t="n"/>
    </row>
    <row r="200">
      <c r="A200" s="57" t="inlineStr">
        <is>
          <t>calculate</t>
        </is>
      </c>
      <c r="B200" s="57" t="inlineStr">
        <is>
          <t>crp_salesmain</t>
        </is>
      </c>
      <c r="C200" s="35" t="n"/>
      <c r="D200" s="35" t="n"/>
      <c r="E200" s="70" t="n"/>
      <c r="H200" s="71" t="n"/>
      <c r="I200" s="104" t="n"/>
      <c r="J200" s="104" t="n"/>
      <c r="K200" s="104" t="n"/>
      <c r="L200" s="104" t="n"/>
      <c r="M200" s="104" t="n"/>
      <c r="N200" s="104" t="n"/>
      <c r="O200" s="104" t="n"/>
      <c r="P200" s="104" t="inlineStr">
        <is>
          <t>if(${crp_sales_main_1}='1',${crp_main},${crp_sales_main_2})</t>
        </is>
      </c>
      <c r="U200" s="36" t="inlineStr">
        <is>
          <t>yes</t>
        </is>
      </c>
      <c r="W200" s="172" t="n"/>
      <c r="X200" s="151">
        <f>'Additional information'!$D$18</f>
        <v/>
      </c>
      <c r="Y200" s="152" t="n"/>
      <c r="Z200" s="152" t="n"/>
    </row>
    <row r="201">
      <c r="A201" s="57" t="inlineStr">
        <is>
          <t>calculate</t>
        </is>
      </c>
      <c r="B201" s="57" t="inlineStr">
        <is>
          <t>crp_sales_main</t>
        </is>
      </c>
      <c r="C201" s="35" t="n"/>
      <c r="D201" s="35" t="n"/>
      <c r="E201" s="70" t="n"/>
      <c r="H201" s="71" t="n"/>
      <c r="I201" s="104" t="n"/>
      <c r="J201" s="104" t="n"/>
      <c r="K201" s="104" t="n"/>
      <c r="L201" s="104" t="n"/>
      <c r="M201" s="104" t="n"/>
      <c r="N201" s="104" t="n"/>
      <c r="O201" s="104" t="n"/>
      <c r="P201" s="104" t="inlineStr">
        <is>
          <t>if(${crp_sales_main_1}='1',${crpmain},jr:choice-name(${crp_sales_main_2},'${crp_sales_main_2}'))</t>
        </is>
      </c>
      <c r="U201" s="36" t="inlineStr">
        <is>
          <t>yes</t>
        </is>
      </c>
      <c r="W201" s="172" t="n"/>
      <c r="X201" s="151">
        <f>'Additional information'!$D$18</f>
        <v/>
      </c>
      <c r="Y201" s="152" t="n"/>
      <c r="Z201" s="152" t="n"/>
    </row>
    <row r="202">
      <c r="E202" s="70" t="n"/>
      <c r="H202" s="71" t="n"/>
      <c r="W202" s="172" t="n"/>
      <c r="X202" s="151">
        <f>'Additional information'!$D$18</f>
        <v/>
      </c>
      <c r="Y202" s="152" t="n"/>
      <c r="Z202" s="152" t="n"/>
    </row>
    <row r="203" ht="32" customHeight="1">
      <c r="A203" s="57" t="inlineStr">
        <is>
          <t>select_one yes_no</t>
        </is>
      </c>
      <c r="B203" s="57" t="inlineStr">
        <is>
          <t>crp_salesdif</t>
        </is>
      </c>
      <c r="C203" s="35" t="inlineStr">
        <is>
          <t>Has your household faced any significant difficulty in the last 3 months **selling** your ${crp_sales_main}?</t>
        </is>
      </c>
      <c r="D203" s="212" t="inlineStr">
        <is>
          <t>Au cours des trois derniers mois, votre ménage a-t-il rencontré d'importantes difficultés pour **vendre** ses récoltes de ${crp_sales_main} ?</t>
        </is>
      </c>
      <c r="E203" s="70" t="n"/>
      <c r="F203" s="82" t="n"/>
      <c r="G203" s="82" t="n"/>
      <c r="H203" s="88" t="n"/>
      <c r="I203" s="102" t="inlineStr">
        <is>
          <t>true</t>
        </is>
      </c>
      <c r="J203" s="102" t="n"/>
      <c r="K203" s="102" t="n"/>
      <c r="L203" s="102" t="n"/>
      <c r="M203" s="104" t="inlineStr">
        <is>
          <t>${crp_salesmain}!='888' and ${crp_salesmain}!='999'</t>
        </is>
      </c>
      <c r="N203" s="102" t="n"/>
      <c r="O203" s="102" t="n"/>
      <c r="P203" s="102" t="n"/>
      <c r="U203" s="36" t="inlineStr">
        <is>
          <t>yes</t>
        </is>
      </c>
      <c r="W203" s="172" t="n">
        <v>12.68148708343506</v>
      </c>
      <c r="X203" s="151">
        <f>'Additional information'!$D$18</f>
        <v/>
      </c>
      <c r="Y203" s="152">
        <f>IF(W203&lt;&gt;"",W203*X203,"")</f>
        <v/>
      </c>
      <c r="Z203" s="152">
        <f>IF(AND(W203&lt;&gt;"",U203="yes"),W203*X203,"")</f>
        <v/>
      </c>
    </row>
    <row r="204" ht="32" customHeight="1">
      <c r="A204" s="57" t="inlineStr">
        <is>
          <t>select_multiple cropsalesdiff</t>
        </is>
      </c>
      <c r="B204" s="57" t="inlineStr">
        <is>
          <t>crp_saledif</t>
        </is>
      </c>
      <c r="C204" s="63" t="inlineStr">
        <is>
          <t xml:space="preserve">Which difficulties has your household faced in the last 3 months selling your ${crp_sales_main}? </t>
        </is>
      </c>
      <c r="D204" s="212" t="inlineStr">
        <is>
          <t>Quelles difficultés votre ménage a-t-il rencontrées au cours des trois derniers mois pour vendre ses cultures principales, ${crp_sales_main} ?</t>
        </is>
      </c>
      <c r="E204" s="81" t="n"/>
      <c r="F204" s="36" t="inlineStr">
        <is>
          <t>[INSTRUCTIONS: MULTIPLE RESPONSES POSSIBLE. SELECT OPTION(S) THAT BEST FIT THE INFORMATION PROVIDED BY THE RESPONDENTS.]</t>
        </is>
      </c>
      <c r="G204" s="36" t="inlineStr">
        <is>
          <t>[INSTRUCTIONS : PLUSIEURS RÉPONSES POSSIBLES. SÉLECTIONNER LA OU LES OPTIONS QUI CORRESPONDENT LE MIEUX AUX INFORMATIONS PROPOSÉES PAR LE RÉPONDANT.]</t>
        </is>
      </c>
      <c r="H204" s="71" t="n"/>
      <c r="I204" s="102" t="inlineStr">
        <is>
          <t>true</t>
        </is>
      </c>
      <c r="J204" s="102" t="n"/>
      <c r="K204" s="104" t="inlineStr">
        <is>
          <t>if(selected(., 'dk') or selected(., 'ref'), count-selected(.) = 1, count-selected(.) &gt;= 1)</t>
        </is>
      </c>
      <c r="L204" s="102" t="n"/>
      <c r="M204" s="104" t="inlineStr">
        <is>
          <t xml:space="preserve">${crp_salesdif} = '1' </t>
        </is>
      </c>
      <c r="N204" s="102" t="n"/>
      <c r="O204" s="102" t="n"/>
      <c r="P204" s="102" t="n"/>
      <c r="U204" s="36" t="inlineStr">
        <is>
          <t>yes</t>
        </is>
      </c>
      <c r="W204" s="172" t="n">
        <v>22.61360931396484</v>
      </c>
      <c r="X204" s="151">
        <f>'Additional information'!$D$18</f>
        <v/>
      </c>
      <c r="Y204" s="152">
        <f>IF(W204&lt;&gt;"",W204*X204,"")</f>
        <v/>
      </c>
      <c r="Z204" s="152">
        <f>IF(AND(W204&lt;&gt;"",U204="yes"),W204*X204,"")</f>
        <v/>
      </c>
    </row>
    <row r="205">
      <c r="D205" s="213" t="n"/>
      <c r="E205" s="70" t="n"/>
      <c r="H205" s="71" t="n"/>
      <c r="M205" s="397" t="n"/>
      <c r="W205" s="172" t="n"/>
      <c r="X205" s="151">
        <f>'Additional information'!$D$18</f>
        <v/>
      </c>
      <c r="Y205" s="152">
        <f>IF(W205&lt;&gt;"",W205*X205,"")</f>
        <v/>
      </c>
      <c r="Z205" s="152">
        <f>IF(AND(W205&lt;&gt;"",U205="yes"),W205*X205,"")</f>
        <v/>
      </c>
    </row>
    <row r="206" ht="32" customHeight="1">
      <c r="A206" s="57" t="inlineStr">
        <is>
          <t>select_one change</t>
        </is>
      </c>
      <c r="B206" s="57" t="inlineStr">
        <is>
          <t>crp_salesprice</t>
        </is>
      </c>
      <c r="C206" s="63" t="inlineStr">
        <is>
          <t>How does the current price of your household's ${crp_sales_main} compare to the average price in the same period of last year?</t>
        </is>
      </c>
      <c r="D206" s="212" t="inlineStr">
        <is>
          <t>Comment évaluez-vous le prix actuel de ${crp_sales_main} par rapport au prix moyen de la même periode de l'année dernière ?</t>
        </is>
      </c>
      <c r="E206" s="81" t="n"/>
      <c r="F206" s="89" t="inlineStr">
        <is>
          <t>[INSTRUCTIONS: INSIST ON THE MAIN PRODUCT MENTIONED.]</t>
        </is>
      </c>
      <c r="G206" s="89" t="inlineStr">
        <is>
          <t>[INSTRUCTIONS : INSISTER SUR LA PRINCIPALE CULTURE MENTIONNÉE AUPARAVANT.]</t>
        </is>
      </c>
      <c r="H206" s="88" t="n"/>
      <c r="I206" s="102" t="inlineStr">
        <is>
          <t>true</t>
        </is>
      </c>
      <c r="J206" s="102" t="n"/>
      <c r="K206" s="102" t="n"/>
      <c r="L206" s="102" t="n"/>
      <c r="M206" s="104" t="inlineStr">
        <is>
          <t>${crp_salesmain}!='888' and ${crp_salesmain}!='999'</t>
        </is>
      </c>
      <c r="N206" s="102" t="n"/>
      <c r="O206" s="102" t="n"/>
      <c r="P206" s="102" t="n"/>
      <c r="U206" s="36" t="inlineStr">
        <is>
          <t>yes</t>
        </is>
      </c>
      <c r="W206" s="172" t="n">
        <v>21.70190811157227</v>
      </c>
      <c r="X206" s="151">
        <f>'Additional information'!$D$18</f>
        <v/>
      </c>
      <c r="Y206" s="152">
        <f>IF(W206&lt;&gt;"",W206*X206,"")</f>
        <v/>
      </c>
      <c r="Z206" s="152">
        <f>IF(AND(W206&lt;&gt;"",U206="yes"),W206*X206,"")</f>
        <v/>
      </c>
    </row>
    <row r="207">
      <c r="C207" s="38" t="n"/>
      <c r="D207" s="38" t="n"/>
      <c r="E207" s="81" t="n"/>
      <c r="F207" s="82" t="n"/>
      <c r="G207" s="82" t="n"/>
      <c r="H207" s="88" t="n"/>
      <c r="M207" s="397" t="n"/>
      <c r="W207" s="172" t="n"/>
      <c r="X207" s="151">
        <f>'Additional information'!$D$18</f>
        <v/>
      </c>
      <c r="Y207" s="152">
        <f>IF(W207&lt;&gt;"",W207*X207,"")</f>
        <v/>
      </c>
      <c r="Z207" s="152">
        <f>IF(AND(W207&lt;&gt;"",U207="yes"),W207*X207,"")</f>
        <v/>
      </c>
    </row>
    <row r="208" ht="16.25" customHeight="1" thickBot="1">
      <c r="A208" s="84" t="inlineStr">
        <is>
          <t>end_group</t>
        </is>
      </c>
      <c r="B208" s="84" t="n"/>
      <c r="C208" s="85" t="n"/>
      <c r="D208" s="85" t="n"/>
      <c r="E208" s="94" t="n"/>
      <c r="F208" s="84" t="n"/>
      <c r="G208" s="84" t="n"/>
      <c r="H208" s="95" t="n"/>
      <c r="I208" s="115" t="n"/>
      <c r="J208" s="115" t="n"/>
      <c r="K208" s="115" t="n"/>
      <c r="L208" s="115" t="n"/>
      <c r="M208" s="115" t="n"/>
      <c r="N208" s="115" t="n"/>
      <c r="O208" s="115" t="n"/>
      <c r="P208" s="115" t="n"/>
      <c r="W208" s="172" t="n"/>
      <c r="Y208" s="152">
        <f>IF(W208&lt;&gt;"",W208*X208,"")</f>
        <v/>
      </c>
      <c r="Z208" s="152">
        <f>IF(AND(W208&lt;&gt;"",U208="yes"),W208*X208,"")</f>
        <v/>
      </c>
    </row>
    <row r="209" ht="17" customFormat="1" customHeight="1" s="55" thickTop="1">
      <c r="A209" s="52" t="inlineStr">
        <is>
          <t>begin_group</t>
        </is>
      </c>
      <c r="B209" s="52" t="inlineStr">
        <is>
          <t>Livestock_group</t>
        </is>
      </c>
      <c r="C209" s="76" t="inlineStr">
        <is>
          <t>LIVESTOCK PRODUCTION</t>
        </is>
      </c>
      <c r="D209" s="208" t="inlineStr">
        <is>
          <t>PRODUCTION DE BÉTAIL</t>
        </is>
      </c>
      <c r="E209" s="53" t="n"/>
      <c r="F209" s="52" t="n"/>
      <c r="G209" s="52" t="n"/>
      <c r="H209" s="54" t="n"/>
      <c r="I209" s="107" t="inlineStr">
        <is>
          <t>false</t>
        </is>
      </c>
      <c r="J209" s="107" t="n"/>
      <c r="K209" s="107" t="n"/>
      <c r="L209" s="107" t="n"/>
      <c r="M209" s="108" t="inlineStr">
        <is>
          <t>${resp_agree} = '1' and (${hh_agricactivity}='2' or ${hh_agricactivity} = '3' or ${income_main_ls_check}='1' or ${income_sec_ls_check}='1' or ${income_third_ls_check}='1')</t>
        </is>
      </c>
      <c r="N209" s="107" t="n"/>
      <c r="O209" s="107" t="n"/>
      <c r="P209" s="107" t="n"/>
      <c r="U209" s="36" t="inlineStr">
        <is>
          <t>yes</t>
        </is>
      </c>
      <c r="W209" s="172" t="n"/>
      <c r="X209" s="56" t="n"/>
      <c r="Y209" s="152">
        <f>IF(W209&lt;&gt;"",W209*X209,"")</f>
        <v/>
      </c>
      <c r="Z209" s="152">
        <f>IF(AND(W209&lt;&gt;"",U209="yes"),W209*X209,"")</f>
        <v/>
      </c>
      <c r="AA209" s="56" t="n"/>
    </row>
    <row r="210" ht="48" customHeight="1">
      <c r="A210" s="57" t="inlineStr">
        <is>
          <t>note</t>
        </is>
      </c>
      <c r="B210" s="57" t="inlineStr">
        <is>
          <t>ls_intro</t>
        </is>
      </c>
      <c r="C210" s="35" t="inlineStr">
        <is>
          <t xml:space="preserve">We will now ask you some questions about livestock production which apply to you and anyone in your household that is involved in livestock production or sales. </t>
        </is>
      </c>
      <c r="D210" s="34" t="inlineStr">
        <is>
          <t>Nous allons maintenant vous poser quelques questions sur la production animale. Ces questions  s'appliquent à vous et à toute personne de votre ménage impliquée dans la production ou la vente de bétail.</t>
        </is>
      </c>
      <c r="E210" s="70" t="n"/>
      <c r="F210" s="57" t="n"/>
      <c r="G210" s="57" t="n"/>
      <c r="H210" s="71" t="n"/>
      <c r="I210" s="102" t="n"/>
      <c r="J210" s="102" t="n"/>
      <c r="K210" s="102" t="n"/>
      <c r="L210" s="102" t="n"/>
      <c r="M210" s="102" t="n"/>
      <c r="N210" s="102" t="n"/>
      <c r="O210" s="102" t="n"/>
      <c r="P210" s="102" t="n"/>
      <c r="U210" s="36" t="inlineStr">
        <is>
          <t>yes</t>
        </is>
      </c>
      <c r="W210" s="172" t="n">
        <v>7.5</v>
      </c>
      <c r="X210" s="90">
        <f>'Additional information'!$D$19</f>
        <v/>
      </c>
      <c r="Y210" s="152">
        <f>IF(W210&lt;&gt;"",W210*X210,"")</f>
        <v/>
      </c>
      <c r="Z210" s="152">
        <f>IF(AND(W210&lt;&gt;"",U210="yes"),W210*X210,"")</f>
        <v/>
      </c>
    </row>
    <row r="211" customFormat="1" s="55">
      <c r="C211" s="77" t="n"/>
      <c r="D211" s="213" t="n"/>
      <c r="E211" s="53" t="n"/>
      <c r="H211" s="54" t="n"/>
      <c r="I211" s="108" t="n"/>
      <c r="J211" s="108" t="n"/>
      <c r="K211" s="108" t="n"/>
      <c r="L211" s="108" t="n"/>
      <c r="M211" s="108" t="n"/>
      <c r="N211" s="108" t="n"/>
      <c r="O211" s="108" t="n"/>
      <c r="P211" s="108" t="n"/>
      <c r="U211" s="36" t="n"/>
      <c r="W211" s="172" t="n"/>
      <c r="X211" s="90">
        <f>'Additional information'!$D$19</f>
        <v/>
      </c>
      <c r="Y211" s="152">
        <f>IF(W211&lt;&gt;"",W211*X211,"")</f>
        <v/>
      </c>
      <c r="Z211" s="152">
        <f>IF(AND(W211&lt;&gt;"",U211="yes"),W211*X211,"")</f>
        <v/>
      </c>
      <c r="AA211" s="56" t="n"/>
    </row>
    <row r="212" ht="32" customHeight="1">
      <c r="A212" s="57" t="inlineStr">
        <is>
          <t>select_one lsmain</t>
        </is>
      </c>
      <c r="B212" s="57" t="inlineStr">
        <is>
          <t>ls_main</t>
        </is>
      </c>
      <c r="C212" s="35" t="inlineStr">
        <is>
          <t>What was the main animal raised by your household for food or income generation in the last 12 months?</t>
        </is>
      </c>
      <c r="D212" s="212" t="inlineStr">
        <is>
          <t>Quel  animal votre ménage a-t-il principalement élevé pour se nourrir ou générer des revenus au cours des 12 derniers mois ?</t>
        </is>
      </c>
      <c r="E212" s="70" t="n"/>
      <c r="F212" s="36" t="inlineStr">
        <is>
          <t>[INSTRUCTIONS: ASK ABOUT THE MOST IMPORTANT ANIMAL ONLY.] [HINT: DON'T FORGET TO PROBE ABOUT TRANSHUMANCE - MOVING LIVESTOCK FROM ONE GRAZING GROUND TO ANOTHER.]</t>
        </is>
      </c>
      <c r="G212" s="36" t="inlineStr">
        <is>
          <t>[INSTRUCTIONS : NE RETENIR QUE L'ANIMAL PRINCIPAL.]
[CONSEIL: N'OUBLIEZ PAS DE POSER DES QUESTIONS SUR LA TRANSHUMANCE - LE DÉPLACEMENT DU BÉTAIL D'UN PÂTURAGE À UN AUTRE.]</t>
        </is>
      </c>
      <c r="H212" s="71" t="n"/>
      <c r="I212" s="102" t="inlineStr">
        <is>
          <t>true</t>
        </is>
      </c>
      <c r="J212" s="102" t="inlineStr">
        <is>
          <t>minimal</t>
        </is>
      </c>
      <c r="K212" s="102" t="n"/>
      <c r="L212" s="102" t="n"/>
      <c r="M212" s="102" t="n"/>
      <c r="N212" s="102" t="n"/>
      <c r="O212" s="102" t="n"/>
      <c r="P212" s="102" t="n"/>
      <c r="U212" s="36" t="inlineStr">
        <is>
          <t>yes</t>
        </is>
      </c>
      <c r="W212" s="172" t="n">
        <v>20.2944221496582</v>
      </c>
      <c r="X212" s="90">
        <f>'Additional information'!$D$19</f>
        <v/>
      </c>
      <c r="Y212" s="152">
        <f>IF(W212&lt;&gt;"",W212*X212,"")</f>
        <v/>
      </c>
      <c r="Z212" s="152">
        <f>IF(AND(W212&lt;&gt;"",U212="yes"),W212*X212,"")</f>
        <v/>
      </c>
    </row>
    <row r="213">
      <c r="A213" s="57" t="inlineStr">
        <is>
          <t>calculate</t>
        </is>
      </c>
      <c r="B213" s="57" t="inlineStr">
        <is>
          <t>lsmain</t>
        </is>
      </c>
      <c r="C213" s="35" t="n"/>
      <c r="D213" s="214" t="n"/>
      <c r="E213" s="70" t="n"/>
      <c r="H213" s="71" t="n"/>
      <c r="I213" s="102" t="n"/>
      <c r="J213" s="102" t="n"/>
      <c r="K213" s="102" t="n"/>
      <c r="L213" s="102" t="n"/>
      <c r="M213" s="102" t="n"/>
      <c r="N213" s="102" t="n"/>
      <c r="O213" s="102" t="n"/>
      <c r="P213" s="102" t="inlineStr">
        <is>
          <t>jr:choice-name(${ls_main},'${ls_main}')</t>
        </is>
      </c>
      <c r="U213" s="36" t="inlineStr">
        <is>
          <t>yes</t>
        </is>
      </c>
      <c r="W213" s="172" t="n"/>
      <c r="X213" s="90">
        <f>'Additional information'!$D$19</f>
        <v/>
      </c>
      <c r="Y213" s="152">
        <f>IF(W213&lt;&gt;"",W213*X213,"")</f>
        <v/>
      </c>
      <c r="Z213" s="152">
        <f>IF(AND(W213&lt;&gt;"",U213="yes"),W213*X213,"")</f>
        <v/>
      </c>
    </row>
    <row r="214">
      <c r="D214" s="36" t="n"/>
      <c r="E214" s="70" t="n"/>
      <c r="H214" s="71" t="n"/>
      <c r="M214" s="397" t="n"/>
      <c r="W214" s="172" t="n"/>
      <c r="X214" s="90">
        <f>'Additional information'!$D$19</f>
        <v/>
      </c>
      <c r="Y214" s="152">
        <f>IF(W214&lt;&gt;"",W214*X214,"")</f>
        <v/>
      </c>
      <c r="Z214" s="152">
        <f>IF(AND(W214&lt;&gt;"",U214="yes"),W214*X214,"")</f>
        <v/>
      </c>
    </row>
    <row r="215" ht="16.25" customHeight="1">
      <c r="A215" s="57" t="inlineStr">
        <is>
          <t>integer</t>
        </is>
      </c>
      <c r="B215" s="57" t="inlineStr">
        <is>
          <t>ls_num_lastyr</t>
        </is>
      </c>
      <c r="C215" s="35" t="inlineStr">
        <is>
          <t>How many ${lsmain} did you have at the same time last year?</t>
        </is>
      </c>
      <c r="D215" s="212" t="inlineStr">
        <is>
          <t>Combien de ${lsmain} possédiez-vous à la même period il y a un an ?</t>
        </is>
      </c>
      <c r="E215" s="70" t="n"/>
      <c r="F215" s="57" t="inlineStr">
        <is>
          <t>[INSTRUCTIONS: RECORD THE NUMBER OF ANIMALS. ENTER 888 FOR DON'T KNOW AND 999 FOR REFUSED.]</t>
        </is>
      </c>
      <c r="G215" s="57" t="inlineStr">
        <is>
          <t>[INSTRUCTIONS :  SAISIR LE NOMBRE D'ANIMAUX. ENTREZ 888 POUR «NE SAIT PAS» ET 999 POUR «REFUSÉ».]</t>
        </is>
      </c>
      <c r="H215" s="71" t="n"/>
      <c r="I215" s="102" t="inlineStr">
        <is>
          <t>true</t>
        </is>
      </c>
      <c r="J215" s="102" t="n"/>
      <c r="K215" s="102" t="inlineStr">
        <is>
          <t xml:space="preserve">. &gt;= 0 </t>
        </is>
      </c>
      <c r="L215" s="102" t="n"/>
      <c r="M215" s="102" t="inlineStr">
        <is>
          <t>${ls_main} != '10' and ${ls_main} != '11'</t>
        </is>
      </c>
      <c r="N215" s="102" t="n"/>
      <c r="O215" s="102" t="n"/>
      <c r="P215" s="102" t="n"/>
      <c r="U215" s="36" t="inlineStr">
        <is>
          <t>yes</t>
        </is>
      </c>
      <c r="W215" s="172" t="n">
        <v>18.53907775878906</v>
      </c>
      <c r="X215" s="90">
        <f>'Additional information'!$D$19</f>
        <v/>
      </c>
      <c r="Y215" s="152">
        <f>IF(W215&lt;&gt;"",W215*X215,"")</f>
        <v/>
      </c>
      <c r="Z215" s="152">
        <f>IF(AND(W215&lt;&gt;"",U215="yes"),W215*X215,"")</f>
        <v/>
      </c>
    </row>
    <row r="216" ht="16.25" customHeight="1">
      <c r="A216" s="57" t="inlineStr">
        <is>
          <t>integer</t>
        </is>
      </c>
      <c r="B216" s="57" t="inlineStr">
        <is>
          <t>ls_num_now</t>
        </is>
      </c>
      <c r="C216" s="35" t="inlineStr">
        <is>
          <t>How many ${lsmain} do you have now?</t>
        </is>
      </c>
      <c r="D216" s="212" t="inlineStr">
        <is>
          <t>Combien de ${lsmain} avez-vous maintenant ?</t>
        </is>
      </c>
      <c r="E216" s="70" t="n"/>
      <c r="F216" s="57" t="inlineStr">
        <is>
          <t>[INSTRUCTIONS: RECORD THE NUMBER OF ANIMALS. ENTER 888 FOR DON'T KNOW AND 999 FOR REFUSED.]</t>
        </is>
      </c>
      <c r="G216" s="57" t="inlineStr">
        <is>
          <t>[INSTRUCTIONS :  SAISIR LE NOMBRE D'ANIMAUX. ENTREZ 888 POUR «NE SAIT PAS» ET 999 POUR «REFUSÉ».]</t>
        </is>
      </c>
      <c r="H216" s="71" t="n"/>
      <c r="I216" s="102" t="inlineStr">
        <is>
          <t>true</t>
        </is>
      </c>
      <c r="J216" s="102" t="n"/>
      <c r="K216" s="102" t="inlineStr">
        <is>
          <t xml:space="preserve">. &gt;= 0 </t>
        </is>
      </c>
      <c r="L216" s="102" t="n"/>
      <c r="M216" s="102" t="inlineStr">
        <is>
          <t>${ls_main} != '10' and ${ls_main} != '11'</t>
        </is>
      </c>
      <c r="N216" s="102" t="n"/>
      <c r="O216" s="102" t="n"/>
      <c r="P216" s="102" t="n"/>
      <c r="U216" s="36" t="inlineStr">
        <is>
          <t>yes</t>
        </is>
      </c>
      <c r="W216" s="172" t="n">
        <v>8.915891647338867</v>
      </c>
      <c r="X216" s="90">
        <f>'Additional information'!$D$19</f>
        <v/>
      </c>
      <c r="Y216" s="152">
        <f>IF(W216&lt;&gt;"",W216*X216,"")</f>
        <v/>
      </c>
      <c r="Z216" s="152">
        <f>IF(AND(W216&lt;&gt;"",U216="yes"),W216*X216,"")</f>
        <v/>
      </c>
    </row>
    <row r="217" ht="16.25" customHeight="1">
      <c r="A217" s="57" t="inlineStr">
        <is>
          <t>calculate</t>
        </is>
      </c>
      <c r="B217" s="57" t="inlineStr">
        <is>
          <t>ls_num_diff</t>
        </is>
      </c>
      <c r="C217" s="35" t="inlineStr">
        <is>
          <t xml:space="preserve">Change in ${lsmain}: </t>
        </is>
      </c>
      <c r="D217" s="57" t="inlineStr">
        <is>
          <t xml:space="preserve">Différence de ${lsmain}: </t>
        </is>
      </c>
      <c r="E217" s="70" t="n"/>
      <c r="F217" s="57" t="n"/>
      <c r="G217" s="57" t="n"/>
      <c r="H217" s="71" t="n"/>
      <c r="I217" s="102" t="inlineStr">
        <is>
          <t>true</t>
        </is>
      </c>
      <c r="J217" s="102" t="n"/>
      <c r="K217" s="102" t="n"/>
      <c r="L217" s="102" t="n"/>
      <c r="M217" s="102" t="inlineStr">
        <is>
          <t>(${ls_main} != '10' and ${ls_main} != '11') and (${ls_num_lastyr} != '888' and ${ls_num_lastyr} != '999' and ${ls_num_now} != '888' and ${ls_num_now} != '999')</t>
        </is>
      </c>
      <c r="N217" s="102" t="n"/>
      <c r="O217" s="102" t="n"/>
      <c r="P217" s="102" t="inlineStr">
        <is>
          <t>${ls_num_now} - ${ls_num_lastyr}</t>
        </is>
      </c>
      <c r="U217" s="36" t="inlineStr">
        <is>
          <t>yes</t>
        </is>
      </c>
      <c r="W217" s="172" t="n"/>
      <c r="X217" s="90">
        <f>'Additional information'!$D$19</f>
        <v/>
      </c>
      <c r="Y217" s="152">
        <f>IF(W217&lt;&gt;"",W217*X217,"")</f>
        <v/>
      </c>
      <c r="Z217" s="152">
        <f>IF(AND(W217&lt;&gt;"",U217="yes"),W217*X217,"")</f>
        <v/>
      </c>
    </row>
    <row r="218">
      <c r="D218" s="36" t="n"/>
      <c r="E218" s="70" t="n"/>
      <c r="H218" s="71" t="n"/>
      <c r="W218" s="172" t="n"/>
      <c r="X218" s="90">
        <f>'Additional information'!$D$19</f>
        <v/>
      </c>
      <c r="Y218" s="152">
        <f>IF(W218&lt;&gt;"",W218*X218,"")</f>
        <v/>
      </c>
      <c r="Z218" s="152">
        <f>IF(AND(W218&lt;&gt;"",U218="yes"),W218*X218,"")</f>
        <v/>
      </c>
    </row>
    <row r="219" ht="16.25" customHeight="1">
      <c r="A219" s="57" t="inlineStr">
        <is>
          <t>select_multiple lsnum</t>
        </is>
      </c>
      <c r="B219" s="57" t="inlineStr">
        <is>
          <t>ls_num</t>
        </is>
      </c>
      <c r="C219" s="35" t="inlineStr">
        <is>
          <t>Why did the number of livestock change?</t>
        </is>
      </c>
      <c r="D219" s="212" t="inlineStr">
        <is>
          <t>Pourquoi le nombre d’animaux que vous possédez a-t-il varié ?</t>
        </is>
      </c>
      <c r="E219" s="70" t="n"/>
      <c r="F219" s="36" t="inlineStr">
        <is>
          <t>[INSTRUCTIONS: MULTIPLE RESPONSES POSSIBLE.]</t>
        </is>
      </c>
      <c r="G219" s="36" t="inlineStr">
        <is>
          <t xml:space="preserve">[INSTRUCTIONS :  PLUSIEURS RÉPONSES POSSIBLES.] </t>
        </is>
      </c>
      <c r="H219" s="71" t="n"/>
      <c r="I219" s="102" t="inlineStr">
        <is>
          <t>true</t>
        </is>
      </c>
      <c r="J219" s="102" t="n"/>
      <c r="K219" s="102" t="inlineStr">
        <is>
          <t>if(selected(., 'inc_dec_dk') or selected(., 'inc_dec_ref'), count-selected(.) = 1, count-selected(.) &gt;= 1)</t>
        </is>
      </c>
      <c r="L219" s="102" t="n"/>
      <c r="M219" s="102" t="inlineStr">
        <is>
          <t>${ls_main} != '10' and ${ls_main} != '11'</t>
        </is>
      </c>
      <c r="N219" s="102" t="n"/>
      <c r="O219" s="102" t="n"/>
      <c r="P219" s="102" t="n"/>
      <c r="U219" s="36" t="inlineStr">
        <is>
          <t>yes</t>
        </is>
      </c>
      <c r="W219" s="172" t="n">
        <v>25.81001091003418</v>
      </c>
      <c r="X219" s="90">
        <f>'Additional information'!$D$19</f>
        <v/>
      </c>
      <c r="Y219" s="152">
        <f>IF(W219&lt;&gt;"",W219*X219,"")</f>
        <v/>
      </c>
      <c r="Z219" s="152">
        <f>IF(AND(W219&lt;&gt;"",U219="yes"),W219*X219,"")</f>
        <v/>
      </c>
    </row>
    <row r="220" ht="16.25" customHeight="1">
      <c r="A220" s="281" t="inlineStr">
        <is>
          <t>select_multiple lsgone</t>
        </is>
      </c>
      <c r="B220" s="281" t="inlineStr">
        <is>
          <t>ls_gone</t>
        </is>
      </c>
      <c r="C220" s="288" t="inlineStr">
        <is>
          <t xml:space="preserve">Can you specify whether your animals escaped, were lost, stolen or killed? </t>
        </is>
      </c>
      <c r="D220" s="321" t="inlineStr">
        <is>
          <t xml:space="preserve">Pouvez-vous préciser si vos animaux se sont échappés, ont été perdus, volés ou tués ? </t>
        </is>
      </c>
      <c r="E220" s="283" t="n"/>
      <c r="F220" s="281" t="inlineStr">
        <is>
          <t>[INSTRUCTIONS: MULTIPLE RESPONSES POSSIBLE.]</t>
        </is>
      </c>
      <c r="G220" s="281" t="inlineStr">
        <is>
          <t xml:space="preserve">[INSTRUCTIONS :  PLUSIEURS RÉPONSES POSSIBLES.] </t>
        </is>
      </c>
      <c r="H220" s="284" t="n"/>
      <c r="I220" s="285" t="inlineStr">
        <is>
          <t>true</t>
        </is>
      </c>
      <c r="J220" s="285" t="n"/>
      <c r="K220" s="285" t="inlineStr">
        <is>
          <t>if(selected(., 'dk') or selected(., 'ref'), count-selected(.) = 1, count-selected(.) &gt;= 1)</t>
        </is>
      </c>
      <c r="L220" s="285" t="n"/>
      <c r="M220" s="285" t="inlineStr">
        <is>
          <t>selected(${ls_num}, 'dec_escape_stolen')</t>
        </is>
      </c>
      <c r="N220" s="285" t="n"/>
      <c r="O220" s="285" t="n"/>
      <c r="P220" s="285" t="n"/>
      <c r="Q220" s="286" t="n"/>
      <c r="R220" s="286" t="n"/>
      <c r="S220" s="286" t="n"/>
      <c r="T220" s="286" t="n"/>
      <c r="U220" s="286" t="n"/>
      <c r="V220" s="286" t="n"/>
      <c r="W220" s="287" t="n"/>
      <c r="X220" s="286" t="n"/>
      <c r="Y220" s="286" t="n"/>
      <c r="Z220" s="286" t="n"/>
      <c r="AA220" s="286" t="n"/>
    </row>
    <row r="221" ht="16.25" customFormat="1" customHeight="1" s="59">
      <c r="A221" s="59" t="inlineStr">
        <is>
          <t>select_multiple lsfood</t>
        </is>
      </c>
      <c r="B221" s="59" t="inlineStr">
        <is>
          <t>ls_feed</t>
        </is>
      </c>
      <c r="C221" s="60" t="inlineStr">
        <is>
          <t xml:space="preserve">Where do you usually access feed for your ${lsmain}? </t>
        </is>
      </c>
      <c r="D221" s="215" t="inlineStr">
        <is>
          <t>Où vous procurez-vous habituellement l'alimentation pour votre ${lsmain} ?</t>
        </is>
      </c>
      <c r="E221" s="61" t="n"/>
      <c r="F221" s="59" t="inlineStr">
        <is>
          <t>[INSTRUCTIONS: MULTIPLE RESPONSES POSSIBLE.]</t>
        </is>
      </c>
      <c r="G221" s="59" t="inlineStr">
        <is>
          <t xml:space="preserve">[INSTRUCTIONS :  PLUSIEURS RÉPONSES POSSIBLES.] </t>
        </is>
      </c>
      <c r="H221" s="65" t="n"/>
      <c r="I221" s="103" t="inlineStr">
        <is>
          <t>true</t>
        </is>
      </c>
      <c r="J221" s="103" t="n"/>
      <c r="K221" s="103" t="inlineStr">
        <is>
          <t>if(selected(., 'dk') or selected(., 'ref'), count-selected(.) = 1, count-selected(.) &gt;= 1)</t>
        </is>
      </c>
      <c r="L221" s="103" t="n"/>
      <c r="M221" s="103" t="inlineStr">
        <is>
          <t>${ls_main} != '10' and ${ls_main} != '11'</t>
        </is>
      </c>
      <c r="N221" s="103" t="n"/>
      <c r="O221" s="103" t="n"/>
      <c r="P221" s="103" t="n"/>
      <c r="U221" s="59" t="inlineStr">
        <is>
          <t>no</t>
        </is>
      </c>
      <c r="W221" s="172" t="n">
        <v>19.55319786071777</v>
      </c>
      <c r="X221" s="90">
        <f>'Additional information'!$D$19</f>
        <v/>
      </c>
      <c r="Y221" s="152">
        <f>IF(W221&lt;&gt;"",W221*X221,"")</f>
        <v/>
      </c>
      <c r="Z221" s="152">
        <f>IF(AND(W221&lt;&gt;"",U221="yes"),W221*X221,"")</f>
        <v/>
      </c>
      <c r="AA221" s="398" t="n"/>
    </row>
    <row r="222" customFormat="1" s="59">
      <c r="C222" s="60" t="n"/>
      <c r="E222" s="61" t="n"/>
      <c r="H222" s="65" t="n"/>
      <c r="I222" s="103" t="n"/>
      <c r="J222" s="103" t="n"/>
      <c r="K222" s="103" t="n"/>
      <c r="L222" s="103" t="n"/>
      <c r="M222" s="103" t="n"/>
      <c r="N222" s="103" t="n"/>
      <c r="O222" s="103" t="n"/>
      <c r="P222" s="103" t="n"/>
      <c r="W222" s="172" t="n"/>
      <c r="X222" s="90">
        <f>'Additional information'!$D$19</f>
        <v/>
      </c>
      <c r="Y222" s="152">
        <f>IF(W222&lt;&gt;"",W222*X222,"")</f>
        <v/>
      </c>
      <c r="Z222" s="152">
        <f>IF(AND(W222&lt;&gt;"",U222="yes"),W222*X222,"")</f>
        <v/>
      </c>
      <c r="AA222" s="398" t="n"/>
    </row>
    <row r="223" ht="32" customHeight="1">
      <c r="A223" s="57" t="inlineStr">
        <is>
          <t>select_one yes_no</t>
        </is>
      </c>
      <c r="B223" s="57" t="inlineStr">
        <is>
          <t>ls_proddif</t>
        </is>
      </c>
      <c r="C223" s="35" t="inlineStr">
        <is>
          <t>Has your household faced any significant difficulty with livestock production over the last 3 months?</t>
        </is>
      </c>
      <c r="D223" s="212" t="inlineStr">
        <is>
          <t>Votre ménage a-t-il rencontré d'importantes difficultés en matière d'élevage au cours des trois derniers mois ?</t>
        </is>
      </c>
      <c r="E223" s="70" t="n"/>
      <c r="H223" s="71" t="n"/>
      <c r="I223" s="102" t="inlineStr">
        <is>
          <t>true</t>
        </is>
      </c>
      <c r="J223" s="102" t="n"/>
      <c r="K223" s="102" t="n"/>
      <c r="L223" s="102" t="n"/>
      <c r="M223" s="104" t="inlineStr">
        <is>
          <t>${ls_main} != '10' and ${ls_main} != '11'</t>
        </is>
      </c>
      <c r="N223" s="102" t="n"/>
      <c r="O223" s="102" t="n"/>
      <c r="P223" s="102" t="n"/>
      <c r="U223" s="36" t="inlineStr">
        <is>
          <t>yes</t>
        </is>
      </c>
      <c r="W223" s="172" t="n">
        <v>13.61331653594971</v>
      </c>
      <c r="X223" s="90">
        <f>'Additional information'!$D$19</f>
        <v/>
      </c>
      <c r="Y223" s="152">
        <f>IF(W223&lt;&gt;"",W223*X223,"")</f>
        <v/>
      </c>
      <c r="Z223" s="152">
        <f>IF(AND(W223&lt;&gt;"",U223="yes"),W223*X223,"")</f>
        <v/>
      </c>
    </row>
    <row r="224" ht="32" customHeight="1">
      <c r="A224" s="57" t="inlineStr">
        <is>
          <t>select_multiple lsproddiff</t>
        </is>
      </c>
      <c r="B224" s="57" t="inlineStr">
        <is>
          <t>ls_proddif_</t>
        </is>
      </c>
      <c r="C224" s="35" t="inlineStr">
        <is>
          <t>Which difficulties has your household faced with livestock production in the last 3 months?</t>
        </is>
      </c>
      <c r="D224" s="212" t="inlineStr">
        <is>
          <t>Quelles difficultés votre ménage a-t-il rencontrées en matière d'élevage au cours des trois derniers mois ?</t>
        </is>
      </c>
      <c r="E224" s="70" t="n"/>
      <c r="F224" s="36" t="inlineStr">
        <is>
          <t>[INSTRUCTIONS: MULTIPLE RESPONSES POSSIBLE. SELECT OPTION(S) THAT BEST FIT THE INFORMATION PROVIDED BY THE RESPONDENTS.]</t>
        </is>
      </c>
      <c r="G224" s="36" t="inlineStr">
        <is>
          <t>[INSTRUCTIONS : PLUSIEURS RÉPONSES POSSIBLES. SÉLECTIONNER LA OU LES OPTIONS QUI CORRESPONDENT LE MIEUX AUX INFORMATIONS PROPOSÉES PAR LES RÉPONDANTS]</t>
        </is>
      </c>
      <c r="H224" s="71" t="n"/>
      <c r="I224" s="102" t="inlineStr">
        <is>
          <t>true</t>
        </is>
      </c>
      <c r="J224" s="102" t="n"/>
      <c r="K224" s="104" t="inlineStr">
        <is>
          <t>if(selected(., 'dk') or selected(., 'ref'), count-selected(.) = 1, count-selected(.) &gt;= 1)</t>
        </is>
      </c>
      <c r="L224" s="102" t="n"/>
      <c r="M224" s="104" t="inlineStr">
        <is>
          <t>${ls_proddif}='1'</t>
        </is>
      </c>
      <c r="N224" s="102" t="n"/>
      <c r="O224" s="102" t="n"/>
      <c r="P224" s="102" t="n"/>
      <c r="U224" s="36" t="inlineStr">
        <is>
          <t>yes</t>
        </is>
      </c>
      <c r="W224" s="172" t="n">
        <v>27.75464820861816</v>
      </c>
      <c r="X224" s="90">
        <f>'Additional information'!$D$19</f>
        <v/>
      </c>
      <c r="Y224" s="152">
        <f>IF(W224&lt;&gt;"",W224*X224,"")</f>
        <v/>
      </c>
      <c r="Z224" s="152">
        <f>IF(AND(W224&lt;&gt;"",U224="yes"),W224*X224,"")</f>
        <v/>
      </c>
    </row>
    <row r="225">
      <c r="D225" s="36" t="n"/>
      <c r="E225" s="70" t="n"/>
      <c r="H225" s="71" t="n"/>
      <c r="M225" s="397" t="n"/>
      <c r="W225" s="172" t="n"/>
      <c r="X225" s="90">
        <f>'Additional information'!$D$19</f>
        <v/>
      </c>
      <c r="Y225" s="152">
        <f>IF(W225&lt;&gt;"",W225*X225,"")</f>
        <v/>
      </c>
      <c r="Z225" s="152">
        <f>IF(AND(W225&lt;&gt;"",U225="yes"),W225*X225,"")</f>
        <v/>
      </c>
    </row>
    <row r="226" ht="16.25" customFormat="1" customHeight="1" s="59">
      <c r="A226" s="59" t="inlineStr">
        <is>
          <t>select_multiple lsmain2</t>
        </is>
      </c>
      <c r="B226" s="59" t="inlineStr">
        <is>
          <t>ls_all</t>
        </is>
      </c>
      <c r="C226" s="60" t="inlineStr">
        <is>
          <t>Do you own any other livestock aside from ${lsmain}, and if so which ones?</t>
        </is>
      </c>
      <c r="D226" s="215" t="inlineStr">
        <is>
          <t>Possédez-vous d'autres animaux d'élevage en dehors de ${lsmain}, et si oui, lesquels ?</t>
        </is>
      </c>
      <c r="E226" s="61" t="n"/>
      <c r="F226" s="59" t="inlineStr">
        <is>
          <t>[INSTRUCTIONS: "No other livestock" APPEARS AT THE END OF THE LIST OF OPTIONS. SELECT ALL LIVESTOCK LISTED BY THE RESPONDENT.]</t>
        </is>
      </c>
      <c r="G226" s="59" t="inlineStr">
        <is>
          <t>[INSTRUCTIONS :  "Pas d'autre bétail" FIGURE DANS LES DERNIÈRES OPTIONS DE RÉPONSE. SAISIR TOUS LES ANIMAUX ÉNUMÉRÉS PAR LE RÉPONDANT.]</t>
        </is>
      </c>
      <c r="H226" s="65" t="n"/>
      <c r="I226" s="103" t="inlineStr">
        <is>
          <t>true</t>
        </is>
      </c>
      <c r="J226" s="103" t="inlineStr">
        <is>
          <t>minimal</t>
        </is>
      </c>
      <c r="K226" s="103" t="inlineStr">
        <is>
          <t>if(selected(., '10') or selected(., '11') or selected(.,'666'), count-selected(.) = 1, count-selected(.) &gt;= 1)</t>
        </is>
      </c>
      <c r="L226" s="103" t="n"/>
      <c r="M226" s="103" t="inlineStr">
        <is>
          <t>${ls_main} != '10' and ${ls_main} != '11'</t>
        </is>
      </c>
      <c r="N226" s="103" t="inlineStr">
        <is>
          <t>not(selected(${ls_main}, name))</t>
        </is>
      </c>
      <c r="O226" s="109" t="n"/>
      <c r="P226" s="109" t="n"/>
      <c r="Q226" s="36" t="n"/>
      <c r="U226" s="59" t="inlineStr">
        <is>
          <t>no</t>
        </is>
      </c>
      <c r="W226" s="172" t="n">
        <v>17</v>
      </c>
      <c r="X226" s="90">
        <f>'Additional information'!$D$19</f>
        <v/>
      </c>
      <c r="Y226" s="152">
        <f>IF(W226&lt;&gt;"",W226*X226,"")</f>
        <v/>
      </c>
      <c r="Z226" s="152">
        <f>IF(AND(W226&lt;&gt;"",U226="yes"),W226*X226,"")</f>
        <v/>
      </c>
      <c r="AA226" s="398" t="n"/>
    </row>
    <row r="227">
      <c r="E227" s="70" t="n"/>
      <c r="H227" s="71" t="n"/>
      <c r="M227" s="397" t="n"/>
      <c r="W227" s="172" t="n"/>
      <c r="X227" s="90">
        <f>'Additional information'!$D$19</f>
        <v/>
      </c>
      <c r="Y227" s="152">
        <f>IF(W227&lt;&gt;"",W227*X227,"")</f>
        <v/>
      </c>
      <c r="Z227" s="152">
        <f>IF(AND(W227&lt;&gt;"",U227="yes"),W227*X227,"")</f>
        <v/>
      </c>
    </row>
    <row r="228" ht="16.25" customHeight="1" thickBot="1">
      <c r="A228" s="84" t="inlineStr">
        <is>
          <t>end_group</t>
        </is>
      </c>
      <c r="B228" s="84" t="n"/>
      <c r="C228" s="85" t="n"/>
      <c r="D228" s="85" t="n"/>
      <c r="E228" s="94" t="n"/>
      <c r="F228" s="84" t="n"/>
      <c r="G228" s="84" t="n"/>
      <c r="H228" s="95" t="n"/>
      <c r="I228" s="115" t="n"/>
      <c r="J228" s="115" t="n"/>
      <c r="K228" s="115" t="n"/>
      <c r="L228" s="115" t="n"/>
      <c r="M228" s="115" t="n"/>
      <c r="N228" s="115" t="n"/>
      <c r="O228" s="115" t="n"/>
      <c r="P228" s="115" t="n"/>
      <c r="W228" s="172" t="n"/>
      <c r="Y228" s="152">
        <f>IF(W228&lt;&gt;"",W228*X228,"")</f>
        <v/>
      </c>
      <c r="Z228" s="152">
        <f>IF(AND(W228&lt;&gt;"",U228="yes"),W228*X228,"")</f>
        <v/>
      </c>
    </row>
    <row r="229" ht="17" customFormat="1" customHeight="1" s="55" thickTop="1">
      <c r="A229" s="52" t="inlineStr">
        <is>
          <t>begin_group</t>
        </is>
      </c>
      <c r="B229" s="52" t="inlineStr">
        <is>
          <t>LivestockSales_group</t>
        </is>
      </c>
      <c r="C229" s="76" t="inlineStr">
        <is>
          <t xml:space="preserve">LIVESTOCK &amp; LIVESTOCK PRODUCT MARKETING </t>
        </is>
      </c>
      <c r="D229" s="208" t="inlineStr">
        <is>
          <t>VENTE DE BÉTAIL ET DE PRODUITS D'ÉLEVAGE</t>
        </is>
      </c>
      <c r="E229" s="53" t="n"/>
      <c r="F229" s="52" t="n"/>
      <c r="G229" s="52" t="n"/>
      <c r="H229" s="54" t="n"/>
      <c r="I229" s="107" t="inlineStr">
        <is>
          <t>false</t>
        </is>
      </c>
      <c r="J229" s="107" t="n"/>
      <c r="K229" s="107" t="n"/>
      <c r="L229" s="107" t="n"/>
      <c r="M229" s="108" t="inlineStr">
        <is>
          <t>${resp_agree} = '1' and (${income_main}='4' or ${income_sec}='4' or ${income_third}='4')</t>
        </is>
      </c>
      <c r="N229" s="107" t="n"/>
      <c r="O229" s="107" t="n"/>
      <c r="P229" s="107" t="n"/>
      <c r="U229" s="36" t="inlineStr">
        <is>
          <t>yes</t>
        </is>
      </c>
      <c r="W229" s="172" t="n"/>
      <c r="X229" s="151" t="n"/>
      <c r="Y229" s="152">
        <f>IF(W229&lt;&gt;"",W229*X229,"")</f>
        <v/>
      </c>
      <c r="Z229" s="152">
        <f>IF(AND(W229&lt;&gt;"",U229="yes"),W229*X229,"")</f>
        <v/>
      </c>
      <c r="AA229" s="56" t="n"/>
    </row>
    <row r="230" customFormat="1" s="55">
      <c r="C230" s="77" t="n"/>
      <c r="D230" s="77" t="n"/>
      <c r="E230" s="53" t="n"/>
      <c r="H230" s="54" t="n"/>
      <c r="I230" s="108" t="n"/>
      <c r="J230" s="108" t="n"/>
      <c r="K230" s="108" t="n"/>
      <c r="L230" s="108" t="n"/>
      <c r="M230" s="108" t="n"/>
      <c r="N230" s="108" t="n"/>
      <c r="O230" s="108" t="n"/>
      <c r="P230" s="108" t="n"/>
      <c r="U230" s="36" t="n"/>
      <c r="W230" s="172" t="n"/>
      <c r="X230" s="90">
        <f>'Additional information'!$D$19</f>
        <v/>
      </c>
      <c r="Y230" s="152">
        <f>IF(W230&lt;&gt;"",W230*X230,"")</f>
        <v/>
      </c>
      <c r="Z230" s="152">
        <f>IF(AND(W230&lt;&gt;"",U230="yes"),W230*X230,"")</f>
        <v/>
      </c>
      <c r="AA230" s="56" t="n"/>
    </row>
    <row r="231" ht="32" customFormat="1" customHeight="1" s="55">
      <c r="A231" s="57" t="inlineStr">
        <is>
          <t>select_one salesmain</t>
        </is>
      </c>
      <c r="B231" s="57" t="inlineStr">
        <is>
          <t>ls_salesmain</t>
        </is>
      </c>
      <c r="C231" s="35" t="inlineStr">
        <is>
          <t>What was the main livestock or livestock product sold by the household in the last 3 months?</t>
        </is>
      </c>
      <c r="D231" s="212" t="inlineStr">
        <is>
          <t>Quel était le principal animal ou produit animal vendu par votre ménage au cours des trois derniers mois ?</t>
        </is>
      </c>
      <c r="E231" s="70" t="n"/>
      <c r="F231" s="89" t="n"/>
      <c r="G231" s="89" t="n"/>
      <c r="H231" s="71" t="n"/>
      <c r="I231" s="102" t="inlineStr">
        <is>
          <t>true</t>
        </is>
      </c>
      <c r="J231" s="102" t="inlineStr">
        <is>
          <t>minimal</t>
        </is>
      </c>
      <c r="K231" s="107" t="n"/>
      <c r="L231" s="107" t="n"/>
      <c r="M231" s="107" t="n"/>
      <c r="N231" s="107" t="n"/>
      <c r="O231" s="107" t="n"/>
      <c r="P231" s="107" t="n"/>
      <c r="U231" s="36" t="inlineStr">
        <is>
          <t>yes</t>
        </is>
      </c>
      <c r="W231" s="172" t="n">
        <v>13.99939060211182</v>
      </c>
      <c r="X231" s="90">
        <f>'Additional information'!$D$19</f>
        <v/>
      </c>
      <c r="Y231" s="152">
        <f>IF(W231&lt;&gt;"",W231*X231,"")</f>
        <v/>
      </c>
      <c r="Z231" s="152">
        <f>IF(AND(W231&lt;&gt;"",U231="yes"),W231*X231,"")</f>
        <v/>
      </c>
      <c r="AA231" s="56" t="n"/>
    </row>
    <row r="232">
      <c r="A232" s="57" t="inlineStr">
        <is>
          <t>calculate</t>
        </is>
      </c>
      <c r="B232" s="57" t="inlineStr">
        <is>
          <t>lssalesmain</t>
        </is>
      </c>
      <c r="C232" s="35" t="n"/>
      <c r="D232" s="216" t="n"/>
      <c r="E232" s="70" t="n"/>
      <c r="H232" s="71" t="n"/>
      <c r="I232" s="102" t="n"/>
      <c r="J232" s="102" t="n"/>
      <c r="K232" s="102" t="n"/>
      <c r="L232" s="102" t="n"/>
      <c r="M232" s="102" t="n"/>
      <c r="N232" s="102" t="n"/>
      <c r="O232" s="102" t="n"/>
      <c r="P232" s="102" t="inlineStr">
        <is>
          <t>jr:choice-name(${ls_salesmain},'${ls_salesmain}')</t>
        </is>
      </c>
      <c r="U232" s="36" t="inlineStr">
        <is>
          <t>yes</t>
        </is>
      </c>
      <c r="W232" s="172" t="n"/>
      <c r="X232" s="90">
        <f>'Additional information'!$D$19</f>
        <v/>
      </c>
      <c r="Y232" s="152">
        <f>IF(W232&lt;&gt;"",W232*X232,"")</f>
        <v/>
      </c>
      <c r="Z232" s="152">
        <f>IF(AND(W232&lt;&gt;"",U232="yes"),W232*X232,"")</f>
        <v/>
      </c>
    </row>
    <row r="233">
      <c r="D233" s="36" t="n"/>
      <c r="E233" s="70" t="n"/>
      <c r="H233" s="71" t="n"/>
      <c r="W233" s="172" t="n"/>
      <c r="X233" s="90">
        <f>'Additional information'!$D$19</f>
        <v/>
      </c>
      <c r="Y233" s="152">
        <f>IF(W233&lt;&gt;"",W233*X233,"")</f>
        <v/>
      </c>
      <c r="Z233" s="152">
        <f>IF(AND(W233&lt;&gt;"",U233="yes"),W233*X233,"")</f>
        <v/>
      </c>
    </row>
    <row r="234" ht="32" customHeight="1">
      <c r="A234" s="57" t="inlineStr">
        <is>
          <t>select_one yes_no</t>
        </is>
      </c>
      <c r="B234" s="57" t="inlineStr">
        <is>
          <t>ls_salesdif</t>
        </is>
      </c>
      <c r="C234" s="35" t="inlineStr">
        <is>
          <t>Has your household faced any significant difficulty in the last 3 months selling your ${lssalesmain}?</t>
        </is>
      </c>
      <c r="D234" s="212" t="inlineStr">
        <is>
          <t>Votre ménage a-t-il rencontré d'importantes difficultés pour vendre ses ${ls_salesmain} au cours des trois derniers mois ?</t>
        </is>
      </c>
      <c r="E234" s="70" t="n"/>
      <c r="H234" s="71" t="n"/>
      <c r="I234" s="102" t="inlineStr">
        <is>
          <t>true</t>
        </is>
      </c>
      <c r="J234" s="102" t="n"/>
      <c r="K234" s="102" t="n"/>
      <c r="L234" s="102" t="n"/>
      <c r="M234" s="102" t="inlineStr">
        <is>
          <t>${ls_salesmain} != '12' and ${ls_salesmain} != '13'</t>
        </is>
      </c>
      <c r="N234" s="102" t="n"/>
      <c r="O234" s="102" t="n"/>
      <c r="P234" s="102" t="n"/>
      <c r="U234" s="36" t="inlineStr">
        <is>
          <t>yes</t>
        </is>
      </c>
      <c r="W234" s="172" t="n">
        <v>10.25279426574707</v>
      </c>
      <c r="X234" s="90">
        <f>'Additional information'!$D$19</f>
        <v/>
      </c>
      <c r="Y234" s="152">
        <f>IF(W234&lt;&gt;"",W234*X234,"")</f>
        <v/>
      </c>
      <c r="Z234" s="152">
        <f>IF(AND(W234&lt;&gt;"",U234="yes"),W234*X234,"")</f>
        <v/>
      </c>
    </row>
    <row r="235" ht="32" customHeight="1">
      <c r="A235" s="57" t="inlineStr">
        <is>
          <t>select_multiple lssalesdif</t>
        </is>
      </c>
      <c r="B235" s="57" t="inlineStr">
        <is>
          <t>ls_salesdif_</t>
        </is>
      </c>
      <c r="C235" s="35" t="inlineStr">
        <is>
          <t>What difficulties has your household faced in the last 3 months selling your ${lssalesmain}?</t>
        </is>
      </c>
      <c r="D235" s="212" t="inlineStr">
        <is>
          <t>Quelles difficultés votre ménage a-t-il rencontrées au cours des trois derniers mois pour vendre ${lssalesmain} ?</t>
        </is>
      </c>
      <c r="E235" s="70" t="n"/>
      <c r="F235" s="36" t="inlineStr">
        <is>
          <t>[INSTRUCTIONS: MULTIPLE RESPONSES POSSIBLE. SELECT OPTION(S) THAT BEST FIT THE INFORMATION PROVIDED BY THE RESPONDENTS.]</t>
        </is>
      </c>
      <c r="G235" s="36" t="inlineStr">
        <is>
          <t>[INSTRUCTIONS : PLUSIEURS RÉPONSES POSSIBLES. SÉLECTIONNER LA OU LES OPTIONS QUI CORRESPONDENT LE MIEUX AUX INFORMATIONS FOURNIES PAR LES PERSONNES INTERROGÉES.]</t>
        </is>
      </c>
      <c r="H235" s="71" t="n"/>
      <c r="I235" s="102" t="inlineStr">
        <is>
          <t>true</t>
        </is>
      </c>
      <c r="J235" s="102" t="n"/>
      <c r="K235" s="104" t="inlineStr">
        <is>
          <t>if(selected(., 'dk') or selected(., 'ref'), count-selected(.) = 1, count-selected(.) &gt;= 1)</t>
        </is>
      </c>
      <c r="L235" s="104" t="n"/>
      <c r="M235" s="104" t="inlineStr">
        <is>
          <t xml:space="preserve">${ls_salesdif} = '1' </t>
        </is>
      </c>
      <c r="N235" s="102" t="n"/>
      <c r="O235" s="102" t="n"/>
      <c r="P235" s="102" t="n"/>
      <c r="U235" s="36" t="inlineStr">
        <is>
          <t>yes</t>
        </is>
      </c>
      <c r="W235" s="172" t="n">
        <v>24.19434356689453</v>
      </c>
      <c r="X235" s="90">
        <f>'Additional information'!$D$19</f>
        <v/>
      </c>
      <c r="Y235" s="152">
        <f>IF(W235&lt;&gt;"",W235*X235,"")</f>
        <v/>
      </c>
      <c r="Z235" s="152">
        <f>IF(AND(W235&lt;&gt;"",U235="yes"),W235*X235,"")</f>
        <v/>
      </c>
    </row>
    <row r="236">
      <c r="D236" s="217" t="n"/>
      <c r="E236" s="70" t="n"/>
      <c r="H236" s="71" t="n"/>
      <c r="M236" s="397" t="n"/>
      <c r="W236" s="172" t="n"/>
      <c r="X236" s="90">
        <f>'Additional information'!$D$19</f>
        <v/>
      </c>
      <c r="Y236" s="152">
        <f>IF(W236&lt;&gt;"",W236*X236,"")</f>
        <v/>
      </c>
      <c r="Z236" s="152">
        <f>IF(AND(W236&lt;&gt;"",U236="yes"),W236*X236,"")</f>
        <v/>
      </c>
    </row>
    <row r="237" ht="32" customHeight="1">
      <c r="A237" s="57" t="inlineStr">
        <is>
          <t>select_one change</t>
        </is>
      </c>
      <c r="B237" s="57" t="inlineStr">
        <is>
          <t>ls_salesprice</t>
        </is>
      </c>
      <c r="C237" s="63" t="inlineStr">
        <is>
          <t>How does the current price of your household's ${lssalesmain} compare to the average price in the same period of last year?</t>
        </is>
      </c>
      <c r="D237" s="212" t="inlineStr">
        <is>
          <t>Comment évaluez-vous le prix actuel de ${lssalesmain} par rapport au prix moyen sur la même période de l'année dernière ?</t>
        </is>
      </c>
      <c r="E237" s="70" t="n"/>
      <c r="F237" s="57" t="inlineStr">
        <is>
          <t>[INSTRUCTIONS: INSIST ON THE MAIN PRODUCT MENTIONED.]</t>
        </is>
      </c>
      <c r="G237" s="89" t="inlineStr">
        <is>
          <t>[INSTRUCTIONS : INSISTER SUR LE PRINCIPAL PRODUIT MENTIONNÉ AUPARAVANT.]</t>
        </is>
      </c>
      <c r="H237" s="71" t="n"/>
      <c r="I237" s="102" t="inlineStr">
        <is>
          <t>true</t>
        </is>
      </c>
      <c r="J237" s="102" t="n"/>
      <c r="K237" s="102" t="n"/>
      <c r="L237" s="102" t="n"/>
      <c r="M237" s="102" t="inlineStr">
        <is>
          <t>${ls_salesmain} != '12' and ${ls_salesmain} != '13'</t>
        </is>
      </c>
      <c r="N237" s="102" t="n"/>
      <c r="O237" s="102" t="n"/>
      <c r="P237" s="102" t="n"/>
      <c r="U237" s="36" t="inlineStr">
        <is>
          <t>yes</t>
        </is>
      </c>
      <c r="W237" s="172" t="n">
        <v>19.32173728942871</v>
      </c>
      <c r="X237" s="90">
        <f>'Additional information'!$D$19</f>
        <v/>
      </c>
      <c r="Y237" s="152">
        <f>IF(W237&lt;&gt;"",W237*X237,"")</f>
        <v/>
      </c>
      <c r="Z237" s="152">
        <f>IF(AND(W237&lt;&gt;"",U237="yes"),W237*X237,"")</f>
        <v/>
      </c>
    </row>
    <row r="238">
      <c r="C238" s="38" t="n"/>
      <c r="D238" s="38" t="n"/>
      <c r="E238" s="70" t="n"/>
      <c r="H238" s="71" t="n"/>
      <c r="M238" s="397" t="n"/>
      <c r="W238" s="172" t="n"/>
      <c r="X238" s="90">
        <f>'Additional information'!$D$19</f>
        <v/>
      </c>
      <c r="Y238" s="152">
        <f>IF(W238&lt;&gt;"",W238*X238,"")</f>
        <v/>
      </c>
      <c r="Z238" s="152">
        <f>IF(AND(W238&lt;&gt;"",U238="yes"),W238*X238,"")</f>
        <v/>
      </c>
    </row>
    <row r="239" ht="16.25" customHeight="1" thickBot="1">
      <c r="A239" s="84" t="inlineStr">
        <is>
          <t>end_group</t>
        </is>
      </c>
      <c r="B239" s="84" t="n"/>
      <c r="C239" s="85" t="n"/>
      <c r="D239" s="85" t="n"/>
      <c r="E239" s="94" t="n"/>
      <c r="F239" s="84" t="n"/>
      <c r="G239" s="84" t="n"/>
      <c r="H239" s="95" t="n"/>
      <c r="I239" s="115" t="n"/>
      <c r="J239" s="115" t="n"/>
      <c r="K239" s="115" t="n"/>
      <c r="L239" s="115" t="n"/>
      <c r="M239" s="115" t="n"/>
      <c r="N239" s="115" t="n"/>
      <c r="O239" s="115" t="n"/>
      <c r="P239" s="115" t="n"/>
      <c r="W239" s="172" t="n"/>
      <c r="Y239" s="152">
        <f>IF(W239&lt;&gt;"",W239*X239,"")</f>
        <v/>
      </c>
      <c r="Z239" s="152">
        <f>IF(AND(W239&lt;&gt;"",U239="yes"),W239*X239,"")</f>
        <v/>
      </c>
    </row>
    <row r="240" ht="16.25" customFormat="1" customHeight="1" s="55">
      <c r="A240" s="52" t="inlineStr">
        <is>
          <t>begin_group</t>
        </is>
      </c>
      <c r="B240" s="52" t="inlineStr">
        <is>
          <t>Fishing_group</t>
        </is>
      </c>
      <c r="C240" s="76" t="inlineStr">
        <is>
          <t>FISHING / AQUACULTURE PRODUCTION</t>
        </is>
      </c>
      <c r="D240" s="208" t="inlineStr">
        <is>
          <t>PRODUCTION PISCICOLE / AQUACOLE</t>
        </is>
      </c>
      <c r="E240" s="53" t="n"/>
      <c r="F240" s="52" t="n"/>
      <c r="G240" s="52" t="n"/>
      <c r="H240" s="54" t="n"/>
      <c r="I240" s="107" t="inlineStr">
        <is>
          <t>false</t>
        </is>
      </c>
      <c r="J240" s="107" t="n"/>
      <c r="K240" s="107" t="n"/>
      <c r="L240" s="107" t="n"/>
      <c r="M240" s="108" t="inlineStr">
        <is>
          <t>${resp_agree} = '1' and (${income_main_fish_check}='1' or ${income_sec_fish_check}='1' or ${income_third_fish_check}='1' or ${hh_fish}='1')</t>
        </is>
      </c>
      <c r="N240" s="107" t="n"/>
      <c r="O240" s="107" t="n"/>
      <c r="P240" s="107" t="n"/>
      <c r="U240" s="36" t="inlineStr">
        <is>
          <t>yes</t>
        </is>
      </c>
      <c r="W240" s="172" t="n"/>
      <c r="X240" s="56" t="n"/>
      <c r="Y240" s="152">
        <f>IF(W240&lt;&gt;"",W240*X240,"")</f>
        <v/>
      </c>
      <c r="Z240" s="152">
        <f>IF(AND(W240&lt;&gt;"",U240="yes"),W240*X240,"")</f>
        <v/>
      </c>
      <c r="AA240" s="56" t="n"/>
    </row>
    <row r="241" ht="64.25" customFormat="1" customHeight="1" s="398">
      <c r="A241" s="62" t="inlineStr">
        <is>
          <t>note</t>
        </is>
      </c>
      <c r="B241" s="62" t="inlineStr">
        <is>
          <t>fish_intro</t>
        </is>
      </c>
      <c r="C241" s="63" t="inlineStr">
        <is>
          <t>We will now ask you some questions about fishing and aquaculture production which apply to you and anyone in your household that is involved in the capture, culture, or harvest of fish and aquatic products.</t>
        </is>
      </c>
      <c r="D241" s="21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241" s="81" t="n"/>
      <c r="H241" s="83" t="n"/>
      <c r="I241" s="104" t="n"/>
      <c r="J241" s="104" t="n"/>
      <c r="K241" s="104" t="n"/>
      <c r="L241" s="104" t="n"/>
      <c r="M241" s="104" t="n"/>
      <c r="N241" s="104" t="n"/>
      <c r="O241" s="104" t="n"/>
      <c r="P241" s="104" t="n"/>
      <c r="U241" s="398" t="inlineStr">
        <is>
          <t>yes</t>
        </is>
      </c>
      <c r="W241" s="172" t="n">
        <v>7.5</v>
      </c>
      <c r="X241" s="90">
        <f>'Additional information'!$D$20</f>
        <v/>
      </c>
      <c r="Y241" s="152">
        <f>IF(W241&lt;&gt;"",W241*X241,"")</f>
        <v/>
      </c>
      <c r="Z241" s="152">
        <f>IF(AND(W241&lt;&gt;"",U241="yes"),W241*X241,"")</f>
        <v/>
      </c>
    </row>
    <row r="242" customFormat="1" s="55">
      <c r="C242" s="77" t="n"/>
      <c r="D242" s="217" t="n"/>
      <c r="E242" s="53" t="n"/>
      <c r="H242" s="54" t="n"/>
      <c r="I242" s="108" t="n"/>
      <c r="J242" s="108" t="n"/>
      <c r="K242" s="108" t="n"/>
      <c r="L242" s="108" t="n"/>
      <c r="M242" s="108" t="n"/>
      <c r="N242" s="108" t="n"/>
      <c r="O242" s="108" t="n"/>
      <c r="P242" s="108" t="n"/>
      <c r="U242" s="36" t="n"/>
      <c r="W242" s="172" t="n"/>
      <c r="X242" s="90">
        <f>'Additional information'!$D$20</f>
        <v/>
      </c>
      <c r="Y242" s="152">
        <f>IF(W242&lt;&gt;"",W242*X242,"")</f>
        <v/>
      </c>
      <c r="Z242" s="152">
        <f>IF(AND(W242&lt;&gt;"",U242="yes"),W242*X242,"")</f>
        <v/>
      </c>
      <c r="AA242" s="56" t="n"/>
    </row>
    <row r="243" ht="16.25" customHeight="1">
      <c r="A243" s="57" t="inlineStr">
        <is>
          <t>select_multiple fishactivity</t>
        </is>
      </c>
      <c r="B243" s="57" t="inlineStr">
        <is>
          <t>fish_main</t>
        </is>
      </c>
      <c r="C243" s="35" t="inlineStr">
        <is>
          <t>What type of fishing activity does your household generally practice?</t>
        </is>
      </c>
      <c r="D243" s="212" t="inlineStr">
        <is>
          <t>Quel type de pêche votre ménage pratique-t-il généralement ?</t>
        </is>
      </c>
      <c r="E243" s="70" t="n"/>
      <c r="F243" s="36" t="inlineStr">
        <is>
          <t>[INSTRUCTIONS: MUTIPLE RESPONSES POSSIBLE.]</t>
        </is>
      </c>
      <c r="G243" s="36" t="inlineStr">
        <is>
          <t xml:space="preserve">[INSTRUCTIONS :  PLUSIEURS RÉPONSES POSSIBLES.] </t>
        </is>
      </c>
      <c r="H243" s="71" t="n"/>
      <c r="I243" s="102" t="inlineStr">
        <is>
          <t>true</t>
        </is>
      </c>
      <c r="J243" s="102" t="n"/>
      <c r="K243" s="102" t="inlineStr">
        <is>
          <t>if(selected(., 'dk') or selected(., 'ref'), count-selected(.) = 1, count-selected(.) &gt;= 1)</t>
        </is>
      </c>
      <c r="L243" s="102" t="n"/>
      <c r="M243" s="102" t="n"/>
      <c r="N243" s="102" t="n"/>
      <c r="O243" s="102" t="n"/>
      <c r="P243" s="102" t="n"/>
      <c r="U243" s="36" t="inlineStr">
        <is>
          <t>yes</t>
        </is>
      </c>
      <c r="W243" s="172" t="n">
        <v>19.09011650085449</v>
      </c>
      <c r="X243" s="90">
        <f>'Additional information'!$D$20</f>
        <v/>
      </c>
      <c r="Y243" s="152">
        <f>IF(W243&lt;&gt;"",W243*X243,"")</f>
        <v/>
      </c>
      <c r="Z243" s="152">
        <f>IF(AND(W243&lt;&gt;"",U243="yes"),W243*X243,"")</f>
        <v/>
      </c>
    </row>
    <row r="244">
      <c r="D244" s="213" t="n"/>
      <c r="E244" s="70" t="n"/>
      <c r="H244" s="71" t="n"/>
      <c r="W244" s="172" t="n"/>
      <c r="X244" s="90">
        <f>'Additional information'!$D$20</f>
        <v/>
      </c>
      <c r="Y244" s="152">
        <f>IF(W244&lt;&gt;"",W244*X244,"")</f>
        <v/>
      </c>
      <c r="Z244" s="152">
        <f>IF(AND(W244&lt;&gt;"",U244="yes"),W244*X244,"")</f>
        <v/>
      </c>
    </row>
    <row r="245" ht="32" customHeight="1">
      <c r="A245" s="57" t="inlineStr">
        <is>
          <t>select_one change</t>
        </is>
      </c>
      <c r="B245" s="57" t="inlineStr">
        <is>
          <t>fish_change</t>
        </is>
      </c>
      <c r="C245" s="35" t="inlineStr">
        <is>
          <t>How does your fish catch [farmed] in the last 3 months [last harvest] compare to the same period [harvest] last year?</t>
        </is>
      </c>
      <c r="D245" s="212" t="inlineStr">
        <is>
          <t>Comment évaluez-vous votre prise de poisson [d'élevage] au cours des 3 derniers mois [dernière récolte] par rapport à la même période [récolte] l'année dernière?</t>
        </is>
      </c>
      <c r="E245" s="70" t="n"/>
      <c r="H245" s="71" t="n"/>
      <c r="I245" s="102" t="inlineStr">
        <is>
          <t>true</t>
        </is>
      </c>
      <c r="J245" s="102" t="n"/>
      <c r="K245" s="102" t="n"/>
      <c r="L245" s="102" t="n"/>
      <c r="M245" s="102" t="inlineStr">
        <is>
          <t>not(${fish_main}='dk' or ${fish_main}='ref')</t>
        </is>
      </c>
      <c r="N245" s="102" t="n"/>
      <c r="O245" s="102" t="n"/>
      <c r="P245" s="102" t="n"/>
      <c r="U245" s="36" t="inlineStr">
        <is>
          <t>yes</t>
        </is>
      </c>
      <c r="W245" s="172" t="n">
        <v>17.6569766998291</v>
      </c>
      <c r="X245" s="90">
        <f>'Additional information'!$D$20</f>
        <v/>
      </c>
      <c r="Y245" s="152">
        <f>IF(W245&lt;&gt;"",W245*X245,"")</f>
        <v/>
      </c>
      <c r="Z245" s="152">
        <f>IF(AND(W245&lt;&gt;"",U245="yes"),W245*X245,"")</f>
        <v/>
      </c>
    </row>
    <row r="246">
      <c r="D246" s="217" t="n"/>
      <c r="E246" s="70" t="n"/>
      <c r="H246" s="71" t="n"/>
      <c r="W246" s="172" t="n"/>
      <c r="X246" s="90">
        <f>'Additional information'!$D$20</f>
        <v/>
      </c>
      <c r="Y246" s="152">
        <f>IF(W246&lt;&gt;"",W246*X246,"")</f>
        <v/>
      </c>
      <c r="Z246" s="152">
        <f>IF(AND(W246&lt;&gt;"",U246="yes"),W246*X246,"")</f>
        <v/>
      </c>
    </row>
    <row r="247" ht="32" customHeight="1">
      <c r="A247" s="57" t="inlineStr">
        <is>
          <t>select_one yes_no</t>
        </is>
      </c>
      <c r="B247" s="57" t="inlineStr">
        <is>
          <t>fish_proddif</t>
        </is>
      </c>
      <c r="C247" s="35" t="inlineStr">
        <is>
          <t>Has your household faced any significant difficulty with fish catch / harvest / farming in the last 3 months?</t>
        </is>
      </c>
      <c r="D247" s="212" t="inlineStr">
        <is>
          <t>Votre ménage a-t-il rencontré d’importantes difficultés avec la pêche / la récolte / l'élevage au cours des 3 derniers mois?</t>
        </is>
      </c>
      <c r="E247" s="70" t="n"/>
      <c r="H247" s="71" t="n"/>
      <c r="I247" s="102" t="inlineStr">
        <is>
          <t>true</t>
        </is>
      </c>
      <c r="J247" s="102" t="n"/>
      <c r="K247" s="102" t="n"/>
      <c r="L247" s="102" t="n"/>
      <c r="M247" s="102" t="inlineStr">
        <is>
          <t>not(${fish_main}='dk' or ${fish_main}='ref')</t>
        </is>
      </c>
      <c r="N247" s="102" t="n"/>
      <c r="O247" s="102" t="n"/>
      <c r="P247" s="102" t="n"/>
      <c r="U247" s="36" t="inlineStr">
        <is>
          <t>yes</t>
        </is>
      </c>
      <c r="W247" s="173" t="n">
        <v>8.764705657958984</v>
      </c>
      <c r="X247" s="90">
        <f>'Additional information'!$D$20</f>
        <v/>
      </c>
      <c r="Y247" s="152">
        <f>IF(W247&lt;&gt;"",W247*X247,"")</f>
        <v/>
      </c>
      <c r="Z247" s="152">
        <f>IF(AND(W247&lt;&gt;"",U247="yes"),W247*X247,"")</f>
        <v/>
      </c>
    </row>
    <row r="248" ht="32" customHeight="1">
      <c r="A248" s="57" t="inlineStr">
        <is>
          <t>select_multiple fishproddiff</t>
        </is>
      </c>
      <c r="B248" s="57" t="inlineStr">
        <is>
          <t>fish_proddif_</t>
        </is>
      </c>
      <c r="C248" s="35" t="inlineStr">
        <is>
          <t>Which difficulties has your household faced with fish catch / harvest / farming in the last 3 months?</t>
        </is>
      </c>
      <c r="D248" s="212" t="inlineStr">
        <is>
          <t>Quelles difficultés votre ménage a-t-il rencontrées dans la capture/récolte/élevage de poisson au cours des trois derniers mois?</t>
        </is>
      </c>
      <c r="E248" s="70" t="n"/>
      <c r="F248" s="36" t="inlineStr">
        <is>
          <t>[INSTRUCTIONS: MULTIPLE RESPONSES POSSIBLE. SELECT OPTION(S) THAT BEST FIT THE INFORMATION PROVIDED BY THE RESPONDENTS.]</t>
        </is>
      </c>
      <c r="G248" s="36" t="inlineStr">
        <is>
          <t>[INSTRUCTIONS :  PLUSIEURS RÉPONSES POSSIBLES. SÉLECTIONNER LA OU LES OPTIONS QUI CORRESPONDENT LE MIEUX AUX INFORMATIONS PROPOSÉES PAR LES RÉPONDANTS].</t>
        </is>
      </c>
      <c r="H248" s="71" t="n"/>
      <c r="I248" s="102" t="n"/>
      <c r="J248" s="102" t="n"/>
      <c r="K248" s="104" t="inlineStr">
        <is>
          <t>if(selected(., 'dk') or selected(., 'ref'), count-selected(.) = 1, count-selected(.) &gt;= 1)</t>
        </is>
      </c>
      <c r="L248" s="102" t="n"/>
      <c r="M248" s="104" t="inlineStr">
        <is>
          <t>${fish_proddif}='1'</t>
        </is>
      </c>
      <c r="N248" s="102" t="n"/>
      <c r="O248" s="102" t="n"/>
      <c r="P248" s="102" t="n"/>
      <c r="U248" s="36" t="inlineStr">
        <is>
          <t>yes</t>
        </is>
      </c>
      <c r="W248" s="173" t="n">
        <v>27.9538459777832</v>
      </c>
      <c r="X248" s="90">
        <f>'Additional information'!$D$20</f>
        <v/>
      </c>
      <c r="Y248" s="152">
        <f>IF(W248&lt;&gt;"",W248*X248,"")</f>
        <v/>
      </c>
      <c r="Z248" s="152">
        <f>IF(AND(W248&lt;&gt;"",U248="yes"),W248*X248,"")</f>
        <v/>
      </c>
    </row>
    <row r="249" ht="16.25" customHeight="1">
      <c r="A249" s="57" t="inlineStr">
        <is>
          <t>text</t>
        </is>
      </c>
      <c r="B249" s="57" t="inlineStr">
        <is>
          <t>fish_proddif_otherspecify</t>
        </is>
      </c>
      <c r="C249" s="63" t="inlineStr">
        <is>
          <t>If other, specify.</t>
        </is>
      </c>
      <c r="D249" s="35" t="inlineStr">
        <is>
          <t>Si autre, précisez.</t>
        </is>
      </c>
      <c r="E249" s="81" t="n"/>
      <c r="F249" s="398" t="inlineStr">
        <is>
          <t>[INSTRUCTIONS: RECORD THE OPEN RESPONSE GIVEN IN FEW WORDS. ENTER 888 FOR DON'T KNOW AND 999 FOR REFUSED]</t>
        </is>
      </c>
      <c r="G249" s="398" t="inlineStr">
        <is>
          <t>[INSTRUCTIONS :  DÉCRIVEZ LA RÉPONSE DONNÉE PAR LE RÉPONDANT EN QUELQUES MOTS. ENTREZ 888 POUR NE SAIT PAS ET 999 POUR REFUS.]</t>
        </is>
      </c>
      <c r="H249" s="71" t="n"/>
      <c r="I249" s="102" t="inlineStr">
        <is>
          <t>true</t>
        </is>
      </c>
      <c r="J249" s="102" t="n"/>
      <c r="K249" s="102" t="n"/>
      <c r="L249" s="102" t="n"/>
      <c r="M249" s="102" t="inlineStr">
        <is>
          <t>${fish_proddif} = '1' and selected(${fish_proddif_}, 'other')</t>
        </is>
      </c>
      <c r="N249" s="102" t="n"/>
      <c r="O249" s="102" t="n"/>
      <c r="P249" s="102" t="n"/>
      <c r="U249" s="36" t="inlineStr">
        <is>
          <t>yes</t>
        </is>
      </c>
      <c r="W249" s="172" t="n"/>
      <c r="X249" s="90">
        <f>'Additional information'!$D$20</f>
        <v/>
      </c>
      <c r="Y249" s="152">
        <f>IF(W249&lt;&gt;"",W249*X249,"")</f>
        <v/>
      </c>
      <c r="Z249" s="152">
        <f>IF(AND(W249&lt;&gt;"",U249="yes"),W249*X249,"")</f>
        <v/>
      </c>
    </row>
    <row r="250">
      <c r="E250" s="70" t="n"/>
      <c r="H250" s="71" t="n"/>
      <c r="W250" s="172" t="n"/>
      <c r="X250" s="90">
        <f>'Additional information'!$D$20</f>
        <v/>
      </c>
      <c r="Y250" s="152">
        <f>IF(W250&lt;&gt;"",W250*X250,"")</f>
        <v/>
      </c>
      <c r="Z250" s="152">
        <f>IF(AND(W250&lt;&gt;"",U250="yes"),W250*X250,"")</f>
        <v/>
      </c>
    </row>
    <row r="251" ht="32" customFormat="1" customHeight="1" s="59">
      <c r="A251" s="59" t="inlineStr">
        <is>
          <t>select_multiple fishinput</t>
        </is>
      </c>
      <c r="B251" s="59" t="inlineStr">
        <is>
          <t>fish_inputdif</t>
        </is>
      </c>
      <c r="C251" s="60" t="inlineStr">
        <is>
          <t>Which fishing [culture] input material has your household had difficulties accessing in the last 3 months?</t>
        </is>
      </c>
      <c r="D251" s="60" t="inlineStr">
        <is>
          <t>Quel matériel de pêche [pour la culture] votre ménage a-t-il eu des difficultés à se procurer au cours des trois derniers mois ?</t>
        </is>
      </c>
      <c r="E251" s="61" t="n"/>
      <c r="F251" s="59" t="inlineStr">
        <is>
          <t>[INSTRUCTIONS: MUTIPLE RESPONSES POSSIBLE.]</t>
        </is>
      </c>
      <c r="G251" s="59" t="inlineStr">
        <is>
          <t>[INSTRUCTIONS :  PLUSIEURS RÉPONSES POSSIBLES.]</t>
        </is>
      </c>
      <c r="H251" s="65" t="n"/>
      <c r="I251" s="103" t="inlineStr">
        <is>
          <t>true</t>
        </is>
      </c>
      <c r="J251" s="103" t="n"/>
      <c r="K251" s="103" t="inlineStr">
        <is>
          <t>if(selected(., 'dk') or selected(., 'ref'), count-selected(.) = 1, count-selected(.) &gt;= 1)</t>
        </is>
      </c>
      <c r="L251" s="103" t="n"/>
      <c r="M251" s="103" t="inlineStr">
        <is>
          <t>${fish_proddif} = '1' and selected(${fish_proddif_}, 'input_access')</t>
        </is>
      </c>
      <c r="N251" s="103" t="n"/>
      <c r="O251" s="103" t="n"/>
      <c r="P251" s="103" t="n"/>
      <c r="U251" s="59" t="inlineStr">
        <is>
          <t>no</t>
        </is>
      </c>
      <c r="W251" s="172" t="n">
        <v>21.25</v>
      </c>
      <c r="X251" s="90">
        <f>'Additional information'!$D$20</f>
        <v/>
      </c>
      <c r="Y251" s="152">
        <f>IF(W251&lt;&gt;"",W251*X251,"")</f>
        <v/>
      </c>
      <c r="Z251" s="152">
        <f>IF(AND(W251&lt;&gt;"",U251="yes"),W251*X251,"")</f>
        <v/>
      </c>
      <c r="AA251" s="398" t="n"/>
    </row>
    <row r="252" ht="16.25" customFormat="1" customHeight="1" s="59">
      <c r="A252" s="59" t="inlineStr">
        <is>
          <t>text</t>
        </is>
      </c>
      <c r="B252" s="59" t="inlineStr">
        <is>
          <t>fish_inputdif_otherspecify</t>
        </is>
      </c>
      <c r="C252" s="60" t="inlineStr">
        <is>
          <t>If other, specify.</t>
        </is>
      </c>
      <c r="D252" s="60" t="inlineStr">
        <is>
          <t>Si autre, précisez.</t>
        </is>
      </c>
      <c r="E252" s="61" t="n"/>
      <c r="F252" s="59" t="inlineStr">
        <is>
          <t>[INSTRUCTIONS: RECORD THE OPEN RESPONSE GIVEN IN FEW WORDS. ENTER 888 FOR DON'T KNOW AND 999 FOR REFUSED]</t>
        </is>
      </c>
      <c r="G252" s="59" t="inlineStr">
        <is>
          <t>[INSTRUCTIONS :  DÉCRIVEZ LA RÉPONSE DONNÉE PAR LE RÉPONDANT EN QUELQUES MOTS. ENTREZ 888 POUR NE SAIT PAS ET 999 POUR REFUS.]</t>
        </is>
      </c>
      <c r="H252" s="65" t="n"/>
      <c r="I252" s="103" t="inlineStr">
        <is>
          <t>true</t>
        </is>
      </c>
      <c r="J252" s="103" t="n"/>
      <c r="K252" s="103" t="n"/>
      <c r="L252" s="103" t="n"/>
      <c r="M252" s="103" t="inlineStr">
        <is>
          <t>${fish_inputdif} = 'other'</t>
        </is>
      </c>
      <c r="N252" s="103" t="n"/>
      <c r="O252" s="103" t="n"/>
      <c r="P252" s="103" t="n"/>
      <c r="U252" s="59" t="inlineStr">
        <is>
          <t>no</t>
        </is>
      </c>
      <c r="W252" s="172" t="n"/>
      <c r="X252" s="90">
        <f>'Additional information'!$D$20</f>
        <v/>
      </c>
      <c r="Y252" s="152">
        <f>IF(W252&lt;&gt;"",W252*X252,"")</f>
        <v/>
      </c>
      <c r="Z252" s="152">
        <f>IF(AND(W252&lt;&gt;"",U252="yes"),W252*X252,"")</f>
        <v/>
      </c>
      <c r="AA252" s="398" t="n"/>
    </row>
    <row r="253" customFormat="1" s="59">
      <c r="C253" s="60" t="n"/>
      <c r="D253" s="60" t="n"/>
      <c r="E253" s="61" t="n"/>
      <c r="H253" s="65" t="n"/>
      <c r="I253" s="103" t="n"/>
      <c r="J253" s="103" t="n"/>
      <c r="K253" s="103" t="n"/>
      <c r="L253" s="103" t="n"/>
      <c r="M253" s="103" t="n"/>
      <c r="N253" s="103" t="n"/>
      <c r="O253" s="103" t="n"/>
      <c r="P253" s="103" t="n"/>
      <c r="W253" s="172" t="n"/>
      <c r="X253" s="90">
        <f>'Additional information'!$D$20</f>
        <v/>
      </c>
      <c r="Y253" s="152">
        <f>IF(W253&lt;&gt;"",W253*X253,"")</f>
        <v/>
      </c>
      <c r="Z253" s="152">
        <f>IF(AND(W253&lt;&gt;"",U253="yes"),W253*X253,"")</f>
        <v/>
      </c>
      <c r="AA253" s="398" t="n"/>
    </row>
    <row r="254" ht="16.25" customHeight="1" thickBot="1">
      <c r="A254" s="79" t="inlineStr">
        <is>
          <t>end_group</t>
        </is>
      </c>
      <c r="B254" s="79" t="n"/>
      <c r="C254" s="80" t="n"/>
      <c r="D254" s="80" t="n"/>
      <c r="E254" s="74" t="n"/>
      <c r="F254" s="79" t="n"/>
      <c r="G254" s="79" t="n"/>
      <c r="H254" s="75" t="n"/>
      <c r="I254" s="113" t="n"/>
      <c r="J254" s="113" t="n"/>
      <c r="K254" s="113" t="n"/>
      <c r="L254" s="113" t="n"/>
      <c r="M254" s="113" t="n"/>
      <c r="N254" s="113" t="n"/>
      <c r="O254" s="113" t="n"/>
      <c r="P254" s="113" t="n"/>
      <c r="W254" s="172" t="n"/>
      <c r="Y254" s="152">
        <f>IF(W254&lt;&gt;"",W254*X254,"")</f>
        <v/>
      </c>
      <c r="Z254" s="152">
        <f>IF(AND(W254&lt;&gt;"",U254="yes"),W254*X254,"")</f>
        <v/>
      </c>
    </row>
    <row r="255" ht="17" customFormat="1" customHeight="1" s="55" thickTop="1">
      <c r="A255" s="52" t="inlineStr">
        <is>
          <t>begin_group</t>
        </is>
      </c>
      <c r="B255" s="52" t="inlineStr">
        <is>
          <t>FishSales_group</t>
        </is>
      </c>
      <c r="C255" s="76" t="inlineStr">
        <is>
          <t xml:space="preserve">FISHING / AQUACULTURE MARKETING </t>
        </is>
      </c>
      <c r="D255" s="208" t="inlineStr">
        <is>
          <t>VENTES DE POISSON</t>
        </is>
      </c>
      <c r="E255" s="53" t="n"/>
      <c r="F255" s="52" t="n"/>
      <c r="G255" s="52" t="n"/>
      <c r="H255" s="54" t="n"/>
      <c r="I255" s="107" t="inlineStr">
        <is>
          <t>false</t>
        </is>
      </c>
      <c r="J255" s="107" t="n"/>
      <c r="K255" s="107" t="n"/>
      <c r="L255" s="107" t="n"/>
      <c r="M255" s="108" t="inlineStr">
        <is>
          <t>${resp_agree} = '1' and (${income_main}='6' or ${income_sec}='6' or ${income_third}='6')</t>
        </is>
      </c>
      <c r="N255" s="107" t="n"/>
      <c r="O255" s="107" t="n"/>
      <c r="P255" s="107" t="n"/>
      <c r="U255" s="36" t="inlineStr">
        <is>
          <t>yes</t>
        </is>
      </c>
      <c r="W255" s="172" t="n"/>
      <c r="X255" s="56" t="n"/>
      <c r="Y255" s="152">
        <f>IF(W255&lt;&gt;"",W255*X255,"")</f>
        <v/>
      </c>
      <c r="Z255" s="152">
        <f>IF(AND(W255&lt;&gt;"",U255="yes"),W255*X255,"")</f>
        <v/>
      </c>
      <c r="AA255" s="56" t="n"/>
    </row>
    <row r="256" customFormat="1" s="55">
      <c r="C256" s="77" t="n"/>
      <c r="D256" s="77" t="n"/>
      <c r="E256" s="53" t="n"/>
      <c r="H256" s="54" t="n"/>
      <c r="I256" s="108" t="n"/>
      <c r="J256" s="108" t="n"/>
      <c r="K256" s="108" t="n"/>
      <c r="L256" s="108" t="n"/>
      <c r="M256" s="108" t="n"/>
      <c r="N256" s="108" t="n"/>
      <c r="O256" s="108" t="n"/>
      <c r="P256" s="108" t="n"/>
      <c r="U256" s="36" t="n"/>
      <c r="W256" s="172" t="n"/>
      <c r="X256" s="90">
        <f>'Additional information'!$D$20</f>
        <v/>
      </c>
      <c r="Y256" s="152">
        <f>IF(W256&lt;&gt;"",W256*X256,"")</f>
        <v/>
      </c>
      <c r="Z256" s="152">
        <f>IF(AND(W256&lt;&gt;"",U256="yes"),W256*X256,"")</f>
        <v/>
      </c>
      <c r="AA256" s="56" t="n"/>
    </row>
    <row r="257" ht="32" customFormat="1" customHeight="1" s="55">
      <c r="A257" s="57" t="inlineStr">
        <is>
          <t>select_one fishsales</t>
        </is>
      </c>
      <c r="B257" s="57" t="inlineStr">
        <is>
          <t>fish_salesmain</t>
        </is>
      </c>
      <c r="C257" s="35" t="inlineStr">
        <is>
          <t>What was the main fish or aquatic product sold by your household in the last 3 months?</t>
        </is>
      </c>
      <c r="D257" s="35" t="inlineStr">
        <is>
          <t>Quel était le principal produit piscicole ou aquatique vendu par votre ménage au cours des 3 derniers mois?</t>
        </is>
      </c>
      <c r="E257" s="70" t="n"/>
      <c r="F257" s="57" t="n"/>
      <c r="G257" s="57" t="n"/>
      <c r="H257" s="71" t="n"/>
      <c r="I257" s="102" t="inlineStr">
        <is>
          <t>true</t>
        </is>
      </c>
      <c r="J257" s="107" t="n"/>
      <c r="K257" s="107" t="n"/>
      <c r="L257" s="107" t="n"/>
      <c r="M257" s="107" t="n"/>
      <c r="N257" s="107" t="n"/>
      <c r="O257" s="107" t="n"/>
      <c r="P257" s="107" t="n"/>
      <c r="U257" s="36" t="inlineStr">
        <is>
          <t>yes</t>
        </is>
      </c>
      <c r="W257" s="172" t="n">
        <v>14.38495540618896</v>
      </c>
      <c r="X257" s="90">
        <f>'Additional information'!$D$20</f>
        <v/>
      </c>
      <c r="Y257" s="152">
        <f>IF(W257&lt;&gt;"",W257*X257,"")</f>
        <v/>
      </c>
      <c r="Z257" s="152">
        <f>IF(AND(W257&lt;&gt;"",U257="yes"),W257*X257,"")</f>
        <v/>
      </c>
      <c r="AA257" s="56" t="n"/>
    </row>
    <row r="258">
      <c r="A258" s="57" t="inlineStr">
        <is>
          <t>calculate</t>
        </is>
      </c>
      <c r="B258" s="57" t="inlineStr">
        <is>
          <t>fishsalesmain</t>
        </is>
      </c>
      <c r="C258" s="35" t="n"/>
      <c r="D258" s="35" t="n"/>
      <c r="E258" s="70" t="n"/>
      <c r="F258" s="57" t="n"/>
      <c r="G258" s="57" t="n"/>
      <c r="H258" s="71" t="n"/>
      <c r="I258" s="102" t="n"/>
      <c r="J258" s="102" t="n"/>
      <c r="K258" s="102" t="n"/>
      <c r="L258" s="102" t="n"/>
      <c r="M258" s="102" t="n"/>
      <c r="N258" s="102" t="n"/>
      <c r="O258" s="102" t="n"/>
      <c r="P258" s="102" t="inlineStr">
        <is>
          <t>jr:choice-name(${fish_salesmain},'${fish_salesmain}')</t>
        </is>
      </c>
      <c r="U258" s="36" t="inlineStr">
        <is>
          <t>yes</t>
        </is>
      </c>
      <c r="W258" s="172" t="n"/>
      <c r="X258" s="90">
        <f>'Additional information'!$D$20</f>
        <v/>
      </c>
      <c r="Y258" s="152">
        <f>IF(W258&lt;&gt;"",W258*X258,"")</f>
        <v/>
      </c>
      <c r="Z258" s="152">
        <f>IF(AND(W258&lt;&gt;"",U258="yes"),W258*X258,"")</f>
        <v/>
      </c>
    </row>
    <row r="259" ht="16.25" customHeight="1">
      <c r="A259" s="57" t="inlineStr">
        <is>
          <t>text</t>
        </is>
      </c>
      <c r="B259" s="57" t="inlineStr">
        <is>
          <t>fish_salesmain_otherspecify</t>
        </is>
      </c>
      <c r="C259" s="63" t="inlineStr">
        <is>
          <t>If other, specify.</t>
        </is>
      </c>
      <c r="D259" s="35" t="inlineStr">
        <is>
          <t>Si autre, précisez.</t>
        </is>
      </c>
      <c r="E259" s="81" t="n"/>
      <c r="F259" s="398" t="inlineStr">
        <is>
          <t>[INSTRUCTIONS: RECORD THE OPEN RESPONSE GIVEN IN FEW WORDS. ENTER 888 FOR DON'T KNOW AND 999 FOR REFUSED]</t>
        </is>
      </c>
      <c r="G259" s="398" t="inlineStr">
        <is>
          <t>[INSTRUCTIONS : DÉCRIVEZ LA RÉPONSE DONNÉE PAR LE RÉPONDANT EN QUELQUES MOTS. ENTREZ 888 POUR NE SAIT PAS ET 999 POUR REFUS.]</t>
        </is>
      </c>
      <c r="H259" s="71" t="n"/>
      <c r="I259" s="102" t="inlineStr">
        <is>
          <t>true</t>
        </is>
      </c>
      <c r="J259" s="102" t="n"/>
      <c r="K259" s="102" t="n"/>
      <c r="L259" s="102" t="n"/>
      <c r="M259" s="104" t="inlineStr">
        <is>
          <t>selected(${fish_salesmain} , '5')</t>
        </is>
      </c>
      <c r="N259" s="102" t="n"/>
      <c r="O259" s="102" t="n"/>
      <c r="P259" s="102" t="n"/>
      <c r="U259" s="36" t="inlineStr">
        <is>
          <t>yes</t>
        </is>
      </c>
      <c r="W259" s="172" t="n"/>
      <c r="X259" s="90">
        <f>'Additional information'!$D$20</f>
        <v/>
      </c>
      <c r="Y259" s="152">
        <f>IF(W259&lt;&gt;"",W259*X259,"")</f>
        <v/>
      </c>
      <c r="Z259" s="152">
        <f>IF(AND(W259&lt;&gt;"",U259="yes"),W259*X259,"")</f>
        <v/>
      </c>
    </row>
    <row r="260">
      <c r="D260" s="36" t="n"/>
      <c r="E260" s="70" t="n"/>
      <c r="H260" s="71" t="n"/>
      <c r="M260" s="397" t="n"/>
      <c r="W260" s="172" t="n"/>
      <c r="X260" s="90">
        <f>'Additional information'!$D$20</f>
        <v/>
      </c>
      <c r="Y260" s="152">
        <f>IF(W260&lt;&gt;"",W260*X260,"")</f>
        <v/>
      </c>
      <c r="Z260" s="152">
        <f>IF(AND(W260&lt;&gt;"",U260="yes"),W260*X260,"")</f>
        <v/>
      </c>
    </row>
    <row r="261" ht="32" customHeight="1">
      <c r="A261" s="57" t="inlineStr">
        <is>
          <t>select_one yes_no</t>
        </is>
      </c>
      <c r="B261" s="57" t="inlineStr">
        <is>
          <t>fish_salesdif</t>
        </is>
      </c>
      <c r="C261" s="35" t="inlineStr">
        <is>
          <t>Has your household faced any significant difficulty marketing / selling your ${fishsalesmain} in the last 3 months?</t>
        </is>
      </c>
      <c r="D261" s="35" t="inlineStr">
        <is>
          <t>Votre ménage a-t-il rencontré d'importantes difficultés pour commercialiser ou vendre ses ${fishsalesmain} au cours des trois derniers mois ?</t>
        </is>
      </c>
      <c r="E261" s="70" t="n"/>
      <c r="F261" s="57" t="n"/>
      <c r="G261" s="57" t="n"/>
      <c r="H261" s="71" t="n"/>
      <c r="I261" s="102" t="inlineStr">
        <is>
          <t>true</t>
        </is>
      </c>
      <c r="J261" s="102" t="n"/>
      <c r="K261" s="102" t="n"/>
      <c r="L261" s="102" t="n"/>
      <c r="M261" s="102" t="inlineStr">
        <is>
          <t>${fish_salesmain} != '6' and ${fish_salesmain} != '7'</t>
        </is>
      </c>
      <c r="N261" s="102" t="n"/>
      <c r="O261" s="102" t="n"/>
      <c r="P261" s="102" t="n"/>
      <c r="U261" s="36" t="inlineStr">
        <is>
          <t>yes</t>
        </is>
      </c>
      <c r="W261" s="172" t="n">
        <v>9.438053131103516</v>
      </c>
      <c r="X261" s="90">
        <f>'Additional information'!$D$20</f>
        <v/>
      </c>
      <c r="Y261" s="152">
        <f>IF(W261&lt;&gt;"",W261*X261,"")</f>
        <v/>
      </c>
      <c r="Z261" s="152">
        <f>IF(AND(W261&lt;&gt;"",U261="yes"),W261*X261,"")</f>
        <v/>
      </c>
    </row>
    <row r="262" ht="32" customHeight="1">
      <c r="A262" s="57" t="inlineStr">
        <is>
          <t>select_multiple fishsalesdif</t>
        </is>
      </c>
      <c r="B262" s="57" t="inlineStr">
        <is>
          <t>fish_saledif</t>
        </is>
      </c>
      <c r="C262" s="35" t="inlineStr">
        <is>
          <t>What difficulties has your household faced in the last 3 months selling your ${fishsalesmain}?</t>
        </is>
      </c>
      <c r="D262" s="35" t="inlineStr">
        <is>
          <t>Quelles difficultés votre ménage a-t-il rencontrées au cours des trois derniers mois pour vendre ses ${fishsalesmain} ?</t>
        </is>
      </c>
      <c r="E262" s="70" t="n"/>
      <c r="F262" s="57" t="inlineStr">
        <is>
          <t>[INSTRUCTIONS: MULTIPLE RESPONSES POSSIBLE.]</t>
        </is>
      </c>
      <c r="G262" s="57" t="inlineStr">
        <is>
          <t>[INSTRUCTIONS :  PLUSIEURS RÉPONSES POSSIBLES. SÉLECTIONNEZ LA OU LES OPTIONS QUI CORRESPONDENT LE MIEUX AUX INFORMATIONS FOURNIES PAR LES PERSONNES INTERROGÉES.]</t>
        </is>
      </c>
      <c r="H262" s="71" t="n"/>
      <c r="I262" s="102" t="inlineStr">
        <is>
          <t>true</t>
        </is>
      </c>
      <c r="J262" s="102" t="n"/>
      <c r="K262" s="104" t="inlineStr">
        <is>
          <t>if(selected(., 'dk') or selected(., 'ref'), count-selected(.) = 1, count-selected(.) &gt;= 1)</t>
        </is>
      </c>
      <c r="L262" s="102" t="n"/>
      <c r="M262" s="104" t="inlineStr">
        <is>
          <t xml:space="preserve">${fish_salesdif} = '1' </t>
        </is>
      </c>
      <c r="N262" s="102" t="n"/>
      <c r="O262" s="102" t="n"/>
      <c r="P262" s="102" t="n"/>
      <c r="U262" s="36" t="inlineStr">
        <is>
          <t>yes</t>
        </is>
      </c>
      <c r="W262" s="172" t="n">
        <v>27.76699066162109</v>
      </c>
      <c r="X262" s="90">
        <f>'Additional information'!$D$20</f>
        <v/>
      </c>
      <c r="Y262" s="152">
        <f>IF(W262&lt;&gt;"",W262*X262,"")</f>
        <v/>
      </c>
      <c r="Z262" s="152">
        <f>IF(AND(W262&lt;&gt;"",U262="yes"),W262*X262,"")</f>
        <v/>
      </c>
    </row>
    <row r="263" ht="16.25" customHeight="1">
      <c r="A263" s="57" t="inlineStr">
        <is>
          <t>text</t>
        </is>
      </c>
      <c r="B263" s="57" t="inlineStr">
        <is>
          <t>fish_salesdif_otherspecify</t>
        </is>
      </c>
      <c r="C263" s="63" t="inlineStr">
        <is>
          <t>If other, specify.</t>
        </is>
      </c>
      <c r="D263" s="35" t="inlineStr">
        <is>
          <t>Si autre, précisez.</t>
        </is>
      </c>
      <c r="E263" s="81" t="n"/>
      <c r="F263" s="398" t="inlineStr">
        <is>
          <t>[INSTRUCTIONS: RECORD THE OPEN RESPONSE GIVEN IN FEW WORDS. ENTER 888 FOR DON'T KNOW AND 999 FOR REFUSED]</t>
        </is>
      </c>
      <c r="G263" s="398" t="inlineStr">
        <is>
          <t>[INSTRUCTIONS :  DÉCRIVEZ LA RÉPONSE DONNÉE PAR LE RÉPONDANT EN QUELQUES MOTS. ENTREZ 888 POUR NE SAIT PAS ET 999 POUR REFUS.]</t>
        </is>
      </c>
      <c r="H263" s="71" t="n"/>
      <c r="I263" s="102" t="inlineStr">
        <is>
          <t>true</t>
        </is>
      </c>
      <c r="J263" s="102" t="n"/>
      <c r="K263" s="102" t="n"/>
      <c r="L263" s="102" t="n"/>
      <c r="M263" s="104" t="inlineStr">
        <is>
          <t>selected(${fish_saledif}, 'other')</t>
        </is>
      </c>
      <c r="N263" s="102" t="n"/>
      <c r="O263" s="102" t="n"/>
      <c r="P263" s="102" t="n"/>
      <c r="U263" s="36" t="inlineStr">
        <is>
          <t>yes</t>
        </is>
      </c>
      <c r="W263" s="172" t="n"/>
      <c r="X263" s="90">
        <f>'Additional information'!$D$20</f>
        <v/>
      </c>
      <c r="Y263" s="152">
        <f>IF(W263&lt;&gt;"",W263*X263,"")</f>
        <v/>
      </c>
      <c r="Z263" s="152">
        <f>IF(AND(W263&lt;&gt;"",U263="yes"),W263*X263,"")</f>
        <v/>
      </c>
    </row>
    <row r="264">
      <c r="E264" s="70" t="n"/>
      <c r="H264" s="71" t="n"/>
      <c r="M264" s="397" t="n"/>
      <c r="W264" s="172" t="n"/>
      <c r="X264" s="90">
        <f>'Additional information'!$D$20</f>
        <v/>
      </c>
      <c r="Y264" s="152">
        <f>IF(W264&lt;&gt;"",W264*X264,"")</f>
        <v/>
      </c>
      <c r="Z264" s="152">
        <f>IF(AND(W264&lt;&gt;"",U264="yes"),W264*X264,"")</f>
        <v/>
      </c>
    </row>
    <row r="265" ht="48" customHeight="1">
      <c r="A265" s="57" t="inlineStr">
        <is>
          <t>select_one change</t>
        </is>
      </c>
      <c r="B265" s="57" t="inlineStr">
        <is>
          <t>fish_salesprice</t>
        </is>
      </c>
      <c r="C265" s="63" t="inlineStr">
        <is>
          <t xml:space="preserve">How does the current price of your household's ${fishsalesmain} compare to the average price in the same period/harvest of last year? </t>
        </is>
      </c>
      <c r="D265" s="35" t="inlineStr">
        <is>
          <t xml:space="preserve">Comment évaluez-vous le prix actuel de vos ${fishsalesmain} vendus par votre ménage par rapport au prix moyen sur la même période [récolte] de l'année dernière ? </t>
        </is>
      </c>
      <c r="E265" s="70" t="n"/>
      <c r="F265" s="57" t="inlineStr">
        <is>
          <t>[INSTRUCTIONS: INSIST ON THE MAIN PRODUCT MENTIONED.]</t>
        </is>
      </c>
      <c r="G265" s="57" t="inlineStr">
        <is>
          <t>[INSTRUCTIONS : INSISTER SUR LE PRINCIPAL PRODUIT MENTIONNÉ AUPARAVANT.]</t>
        </is>
      </c>
      <c r="H265" s="71" t="n"/>
      <c r="I265" s="102" t="inlineStr">
        <is>
          <t>true</t>
        </is>
      </c>
      <c r="J265" s="102" t="n"/>
      <c r="K265" s="102" t="n"/>
      <c r="L265" s="102" t="n"/>
      <c r="M265" s="102" t="inlineStr">
        <is>
          <t>${fish_salesmain} != '6' and ${fish_salesmain} != '7'</t>
        </is>
      </c>
      <c r="N265" s="102" t="n"/>
      <c r="O265" s="102" t="n"/>
      <c r="P265" s="102" t="n"/>
      <c r="U265" s="36" t="inlineStr">
        <is>
          <t>yes</t>
        </is>
      </c>
      <c r="W265" s="172" t="n">
        <v>13.7057523727417</v>
      </c>
      <c r="X265" s="90">
        <f>'Additional information'!$D$20</f>
        <v/>
      </c>
      <c r="Y265" s="152">
        <f>IF(W265&lt;&gt;"",W265*X265,"")</f>
        <v/>
      </c>
      <c r="Z265" s="152">
        <f>IF(AND(W265&lt;&gt;"",U265="yes"),W265*X265,"")</f>
        <v/>
      </c>
    </row>
    <row r="266">
      <c r="C266" s="38" t="n"/>
      <c r="D266" s="38" t="n"/>
      <c r="E266" s="70" t="n"/>
      <c r="H266" s="71" t="n"/>
      <c r="M266" s="397" t="n"/>
      <c r="W266" s="172" t="n"/>
      <c r="X266" s="90">
        <f>'Additional information'!$D$20</f>
        <v/>
      </c>
      <c r="Y266" s="152">
        <f>IF(W266&lt;&gt;"",W266*X266,"")</f>
        <v/>
      </c>
      <c r="Z266" s="152">
        <f>IF(AND(W266&lt;&gt;"",U266="yes"),W266*X266,"")</f>
        <v/>
      </c>
    </row>
    <row r="267" ht="16.25" customHeight="1" thickBot="1">
      <c r="A267" s="84" t="inlineStr">
        <is>
          <t>end_group</t>
        </is>
      </c>
      <c r="B267" s="84" t="n"/>
      <c r="C267" s="85" t="n"/>
      <c r="D267" s="85" t="n"/>
      <c r="E267" s="94" t="n"/>
      <c r="F267" s="84" t="n"/>
      <c r="G267" s="84" t="n"/>
      <c r="H267" s="95" t="n"/>
      <c r="I267" s="115" t="n"/>
      <c r="J267" s="115" t="n"/>
      <c r="K267" s="115" t="n"/>
      <c r="L267" s="115" t="n"/>
      <c r="M267" s="115" t="n"/>
      <c r="N267" s="115" t="n"/>
      <c r="O267" s="115" t="n"/>
      <c r="P267" s="115" t="n"/>
      <c r="W267" s="172" t="n"/>
      <c r="Y267" s="152">
        <f>IF(W267&lt;&gt;"",W267*X267,"")</f>
        <v/>
      </c>
      <c r="Z267" s="152">
        <f>IF(AND(W267&lt;&gt;"",U267="yes"),W267*X267,"")</f>
        <v/>
      </c>
    </row>
    <row r="268" ht="17" customFormat="1" customHeight="1" s="55" thickTop="1">
      <c r="A268" s="52" t="inlineStr">
        <is>
          <t>begin_group</t>
        </is>
      </c>
      <c r="B268" s="52" t="inlineStr">
        <is>
          <t>FSI</t>
        </is>
      </c>
      <c r="C268" s="76" t="inlineStr">
        <is>
          <t>FOOD SECURITY INDICATORS</t>
        </is>
      </c>
      <c r="D268" s="208" t="inlineStr">
        <is>
          <t>INDICATEURS DE SÉCURITÉ ALIMENTAIRE</t>
        </is>
      </c>
      <c r="E268" s="53" t="n"/>
      <c r="F268" s="52" t="n"/>
      <c r="G268" s="52" t="n"/>
      <c r="H268" s="54" t="n"/>
      <c r="I268" s="107" t="inlineStr">
        <is>
          <t>false</t>
        </is>
      </c>
      <c r="J268" s="107" t="n"/>
      <c r="K268" s="107" t="n"/>
      <c r="L268" s="107" t="n"/>
      <c r="M268" s="108" t="inlineStr">
        <is>
          <t>${resp_agree} = '1' and ${hh_agricactivity} != '5' and ${hh_agricactivity} != '6'</t>
        </is>
      </c>
      <c r="N268" s="107" t="n"/>
      <c r="O268" s="107" t="n"/>
      <c r="P268" s="107" t="n"/>
      <c r="U268" s="36" t="inlineStr">
        <is>
          <t>yes</t>
        </is>
      </c>
      <c r="W268" s="172" t="n"/>
      <c r="X268" s="56" t="n"/>
      <c r="Y268" s="152">
        <f>IF(W268&lt;&gt;"",W268*X268,"")</f>
        <v/>
      </c>
      <c r="Z268" s="152">
        <f>IF(AND(W268&lt;&gt;"",U268="yes"),W268*X268,"")</f>
        <v/>
      </c>
      <c r="AA268" s="56" t="n"/>
    </row>
    <row r="269">
      <c r="C269" s="38" t="n"/>
      <c r="D269" s="38" t="n"/>
      <c r="E269" s="70" t="n"/>
      <c r="H269" s="71" t="n"/>
      <c r="M269" s="397" t="n"/>
      <c r="W269" s="172" t="n"/>
      <c r="X269" s="90" t="n">
        <v>1</v>
      </c>
      <c r="Y269" s="152">
        <f>IF(W269&lt;&gt;"",W269*X269,"")</f>
        <v/>
      </c>
      <c r="Z269" s="152">
        <f>IF(AND(W269&lt;&gt;"",U269="yes"),W269*X269,"")</f>
        <v/>
      </c>
    </row>
    <row r="270" ht="48" customFormat="1" customHeight="1" s="55">
      <c r="A270" s="57" t="inlineStr">
        <is>
          <t>note</t>
        </is>
      </c>
      <c r="B270" s="57" t="inlineStr">
        <is>
          <t>intro_foodsec</t>
        </is>
      </c>
      <c r="C270" s="35" t="inlineStr">
        <is>
          <t>Now I would like to ask you some questions about food consumption, food utilization and coping mechanisms. Make sure to refer to the correct time period for each set of questions.</t>
        </is>
      </c>
      <c r="D270" s="214" t="inlineStr">
        <is>
          <t>Je vais maintenant vous poser quelques questions sur votre consommation de nourriture, l'utilisation de la nourriture et les mécanismes d'adaptation. Attention: il faut vous référer à la bonne période pour chaque série de questions.</t>
        </is>
      </c>
      <c r="E270" s="53" t="n"/>
      <c r="H270" s="54" t="n"/>
      <c r="I270" s="107" t="n"/>
      <c r="J270" s="107" t="n"/>
      <c r="K270" s="107" t="n"/>
      <c r="L270" s="107" t="n"/>
      <c r="M270" s="107" t="n"/>
      <c r="N270" s="107" t="n"/>
      <c r="O270" s="107" t="n"/>
      <c r="P270" s="107" t="n"/>
      <c r="U270" s="36" t="inlineStr">
        <is>
          <t>no</t>
        </is>
      </c>
      <c r="W270" s="172" t="n"/>
      <c r="X270" s="399" t="n">
        <v>1</v>
      </c>
      <c r="Y270" s="152">
        <f>IF(W270&lt;&gt;"",W270*X270,"")</f>
        <v/>
      </c>
      <c r="Z270" s="152">
        <f>IF(AND(W270&lt;&gt;"",U270="yes"),W270*X270,"")</f>
        <v/>
      </c>
      <c r="AA270" s="56" t="n"/>
    </row>
    <row r="271">
      <c r="C271" s="38" t="n"/>
      <c r="D271" s="38" t="n"/>
      <c r="E271" s="70" t="n"/>
      <c r="H271" s="71" t="n"/>
      <c r="M271" s="397" t="n"/>
      <c r="W271" s="172" t="n"/>
      <c r="X271" s="90" t="n">
        <v>1</v>
      </c>
      <c r="Y271" s="152">
        <f>IF(W271&lt;&gt;"",W271*X271,"")</f>
        <v/>
      </c>
      <c r="Z271" s="152">
        <f>IF(AND(W271&lt;&gt;"",U271="yes"),W271*X271,"")</f>
        <v/>
      </c>
    </row>
    <row r="272" ht="16.25" customFormat="1" customHeight="1" s="55">
      <c r="A272" s="57" t="inlineStr">
        <is>
          <t>begin_group</t>
        </is>
      </c>
      <c r="B272" s="57" t="inlineStr">
        <is>
          <t>grp_fies</t>
        </is>
      </c>
      <c r="C272" s="76" t="inlineStr">
        <is>
          <t>FIES</t>
        </is>
      </c>
      <c r="D272" s="6" t="inlineStr">
        <is>
          <t>FIES</t>
        </is>
      </c>
      <c r="E272" s="53" t="n"/>
      <c r="F272" s="52" t="n"/>
      <c r="G272" s="52" t="n"/>
      <c r="H272" s="54" t="n"/>
      <c r="I272" s="107" t="n"/>
      <c r="J272" s="107" t="n"/>
      <c r="K272" s="107" t="n"/>
      <c r="L272" s="107" t="n"/>
      <c r="M272" s="107" t="n"/>
      <c r="N272" s="107" t="n"/>
      <c r="O272" s="107" t="n"/>
      <c r="P272" s="107" t="n"/>
      <c r="U272" s="36" t="n"/>
      <c r="W272" s="172" t="n"/>
      <c r="X272" s="399" t="n">
        <v>1</v>
      </c>
      <c r="Y272" s="152">
        <f>IF(W272&lt;&gt;"",W272*X272,"")</f>
        <v/>
      </c>
      <c r="Z272" s="152">
        <f>IF(AND(W272&lt;&gt;"",U272="yes"),W272*X272,"")</f>
        <v/>
      </c>
      <c r="AA272" s="56" t="n"/>
    </row>
    <row r="273" ht="32" customHeight="1">
      <c r="A273" s="57" t="inlineStr">
        <is>
          <t>note</t>
        </is>
      </c>
      <c r="B273" s="57" t="inlineStr">
        <is>
          <t>fies_intro</t>
        </is>
      </c>
      <c r="C273" s="35" t="inlineStr">
        <is>
          <t xml:space="preserve">The first set of questions refers to experiences faced by your or any of your household members over the past 30 days. </t>
        </is>
      </c>
      <c r="D273" s="35" t="inlineStr">
        <is>
          <t xml:space="preserve">La première série de questions concerne les expériences auxquelles vous ou les membres de votre foyer avez été confrontés au cours des 30 derniers jours. </t>
        </is>
      </c>
      <c r="E273" s="70" t="n"/>
      <c r="F273" s="57" t="n"/>
      <c r="G273" s="57" t="n"/>
      <c r="H273" s="71" t="n"/>
      <c r="I273" s="102" t="inlineStr">
        <is>
          <t>false</t>
        </is>
      </c>
      <c r="J273" s="102" t="n"/>
      <c r="K273" s="102" t="n"/>
      <c r="L273" s="102" t="n"/>
      <c r="M273" s="102" t="n"/>
      <c r="N273" s="102" t="n"/>
      <c r="O273" s="102" t="n"/>
      <c r="P273" s="102" t="n"/>
      <c r="U273" s="36" t="inlineStr">
        <is>
          <t>yes</t>
        </is>
      </c>
      <c r="W273" s="172" t="n">
        <v>12.77690315246582</v>
      </c>
      <c r="X273" s="399" t="n">
        <v>1</v>
      </c>
      <c r="Y273" s="152">
        <f>IF(W273&lt;&gt;"",W273*X273,"")</f>
        <v/>
      </c>
      <c r="Z273" s="152">
        <f>IF(AND(W273&lt;&gt;"",U273="yes"),W273*X273,"")</f>
        <v/>
      </c>
    </row>
    <row r="274" ht="48" customHeight="1">
      <c r="A274" s="57" t="inlineStr">
        <is>
          <t>select_one yes_no</t>
        </is>
      </c>
      <c r="B274" s="57" t="inlineStr">
        <is>
          <t>fies_worried</t>
        </is>
      </c>
      <c r="C274" s="35" t="inlineStr">
        <is>
          <t>During the *last 30 days*, was there a time when you or others in your household were **worried about not having enough food to eat** because of lack of money or other resources?</t>
        </is>
      </c>
      <c r="D274" s="212" t="inlineStr">
        <is>
          <t>Au cours de ces *30 derniers jours*, vous ou un autre membre de votre ménage avez-vous été **inquiet(e)s de ne pas avoir suffisamment de nourriture** par manque d’argent ou d’autres ressources ?</t>
        </is>
      </c>
      <c r="E274" s="70" t="n"/>
      <c r="F274" s="57" t="n"/>
      <c r="G274" s="57" t="n"/>
      <c r="H274" s="71" t="n"/>
      <c r="I274" s="102" t="inlineStr">
        <is>
          <t>true</t>
        </is>
      </c>
      <c r="J274" s="102" t="n"/>
      <c r="K274" s="102" t="n"/>
      <c r="L274" s="102" t="n"/>
      <c r="M274" s="102" t="n"/>
      <c r="N274" s="102" t="n"/>
      <c r="O274" s="102" t="n"/>
      <c r="P274" s="102" t="n"/>
      <c r="U274" s="36" t="inlineStr">
        <is>
          <t>yes</t>
        </is>
      </c>
      <c r="W274" s="172" t="n">
        <v>21.39860534667969</v>
      </c>
      <c r="X274" s="399" t="n">
        <v>1</v>
      </c>
      <c r="Y274" s="152">
        <f>IF(W274&lt;&gt;"",W274*X274,"")</f>
        <v/>
      </c>
      <c r="Z274" s="152">
        <f>IF(AND(W274&lt;&gt;"",U274="yes"),W274*X274,"")</f>
        <v/>
      </c>
    </row>
    <row r="275" ht="48" customHeight="1">
      <c r="A275" s="57" t="inlineStr">
        <is>
          <t>select_one yes_no</t>
        </is>
      </c>
      <c r="B275" s="57" t="inlineStr">
        <is>
          <t>fies_healthy</t>
        </is>
      </c>
      <c r="C275" s="35" t="inlineStr">
        <is>
          <t>During the *last 30 days*, was there a time when you or others in your household were **unable to eat healthy and nutritious food** because of lack of money or other resources?</t>
        </is>
      </c>
      <c r="D275" s="212" t="inlineStr">
        <is>
          <t>Au cours des *30 derniers jours*, vous ou un autre membre de votre ménage n'avez-vous **pas pu manger une nourriture saine et nutritive** par manque d’argent ou d’autres ressources ?</t>
        </is>
      </c>
      <c r="E275" s="70" t="n"/>
      <c r="F275" s="57" t="n"/>
      <c r="G275" s="57" t="n"/>
      <c r="H275" s="71" t="n"/>
      <c r="I275" s="102" t="inlineStr">
        <is>
          <t>true</t>
        </is>
      </c>
      <c r="J275" s="102" t="n"/>
      <c r="K275" s="102" t="n"/>
      <c r="L275" s="102" t="n"/>
      <c r="M275" s="102" t="n"/>
      <c r="N275" s="102" t="n"/>
      <c r="O275" s="102" t="n"/>
      <c r="P275" s="102" t="n"/>
      <c r="U275" s="36" t="inlineStr">
        <is>
          <t>yes</t>
        </is>
      </c>
      <c r="W275" s="172" t="n">
        <v>14.98074054718018</v>
      </c>
      <c r="X275" s="399" t="n">
        <v>1</v>
      </c>
      <c r="Y275" s="152">
        <f>IF(W275&lt;&gt;"",W275*X275,"")</f>
        <v/>
      </c>
      <c r="Z275" s="152">
        <f>IF(AND(W275&lt;&gt;"",U275="yes"),W275*X275,"")</f>
        <v/>
      </c>
    </row>
    <row r="276" ht="48" customHeight="1">
      <c r="A276" s="57" t="inlineStr">
        <is>
          <t>select_one yes_no</t>
        </is>
      </c>
      <c r="B276" s="57" t="inlineStr">
        <is>
          <t>fies_fewfoods</t>
        </is>
      </c>
      <c r="C276" s="35" t="inlineStr">
        <is>
          <t>During the *last 30 days*, was there a time when you or others in your household **ate only a few kinds of foods** because of lack of money or other resources?</t>
        </is>
      </c>
      <c r="D276" s="212" t="inlineStr">
        <is>
          <t>Au cours des *30 derniers jours*, vous ou un autre membre de votre ménage avez-vous **mangé une nourriture peu variée** par manque d’argent ou d’autres ressources ?</t>
        </is>
      </c>
      <c r="E276" s="70" t="n"/>
      <c r="F276" s="57" t="n"/>
      <c r="G276" s="57" t="n"/>
      <c r="H276" s="71" t="n"/>
      <c r="I276" s="102" t="inlineStr">
        <is>
          <t>true</t>
        </is>
      </c>
      <c r="J276" s="102" t="n"/>
      <c r="K276" s="102" t="n"/>
      <c r="L276" s="102" t="n"/>
      <c r="M276" s="102" t="n"/>
      <c r="N276" s="102" t="n"/>
      <c r="O276" s="102" t="n"/>
      <c r="P276" s="102" t="n"/>
      <c r="U276" s="36" t="inlineStr">
        <is>
          <t>yes</t>
        </is>
      </c>
      <c r="W276" s="172" t="n">
        <v>13.72302150726318</v>
      </c>
      <c r="X276" s="399" t="n">
        <v>1</v>
      </c>
      <c r="Y276" s="152">
        <f>IF(W276&lt;&gt;"",W276*X276,"")</f>
        <v/>
      </c>
      <c r="Z276" s="152">
        <f>IF(AND(W276&lt;&gt;"",U276="yes"),W276*X276,"")</f>
        <v/>
      </c>
    </row>
    <row r="277" ht="48" customHeight="1">
      <c r="A277" s="57" t="inlineStr">
        <is>
          <t>select_one yes_no</t>
        </is>
      </c>
      <c r="B277" s="57" t="inlineStr">
        <is>
          <t>fies_skipped</t>
        </is>
      </c>
      <c r="C277" s="35" t="inlineStr">
        <is>
          <t>During the *last 30 days*, was there a time when you or others in your household **had to skip a meal** because of lack of money or other resources to get food?</t>
        </is>
      </c>
      <c r="D277" s="212" t="inlineStr">
        <is>
          <t>Au cours des *30 derniers jours*, vous ou un autre membre de votre ménage avez-vous **dû sauter un repas** parce que vous n’aviez pas assez d’argent ou d’autres ressources pour vous procurer à manger ?</t>
        </is>
      </c>
      <c r="E277" s="70" t="n"/>
      <c r="F277" s="57" t="n"/>
      <c r="G277" s="57" t="n"/>
      <c r="H277" s="71" t="n"/>
      <c r="I277" s="102" t="inlineStr">
        <is>
          <t>true</t>
        </is>
      </c>
      <c r="J277" s="102" t="n"/>
      <c r="K277" s="102" t="n"/>
      <c r="L277" s="102" t="n"/>
      <c r="M277" s="102" t="n"/>
      <c r="N277" s="102" t="n"/>
      <c r="O277" s="102" t="n"/>
      <c r="P277" s="102" t="n"/>
      <c r="U277" s="36" t="inlineStr">
        <is>
          <t>yes</t>
        </is>
      </c>
      <c r="W277" s="172" t="n">
        <v>13.06220054626465</v>
      </c>
      <c r="X277" s="399" t="n">
        <v>1</v>
      </c>
      <c r="Y277" s="152">
        <f>IF(W277&lt;&gt;"",W277*X277,"")</f>
        <v/>
      </c>
      <c r="Z277" s="152">
        <f>IF(AND(W277&lt;&gt;"",U277="yes"),W277*X277,"")</f>
        <v/>
      </c>
    </row>
    <row r="278" ht="48" customHeight="1">
      <c r="A278" s="57" t="inlineStr">
        <is>
          <t>select_one yes_no</t>
        </is>
      </c>
      <c r="B278" s="57" t="inlineStr">
        <is>
          <t>fies_ateless</t>
        </is>
      </c>
      <c r="C278" s="35" t="inlineStr">
        <is>
          <t>During the *last 30 days*, was there a time when you or others in your household **ate less than you thought you should** because of lack of money or other resources?</t>
        </is>
      </c>
      <c r="D278" s="212" t="inlineStr">
        <is>
          <t>Au cours des *30 derniers jours*, y-a-t-il eu des moments lors desquels vous ou d'autre membre de votre ménage avez **mangé moins que ce que vous pensiez que vous auriez dû manger** à cause d'un manque d'argent ou d'autres ressources ?</t>
        </is>
      </c>
      <c r="E278" s="70" t="n"/>
      <c r="F278" s="57" t="n"/>
      <c r="G278" s="57" t="n"/>
      <c r="H278" s="71" t="n"/>
      <c r="I278" s="102" t="inlineStr">
        <is>
          <t>true</t>
        </is>
      </c>
      <c r="J278" s="102" t="n"/>
      <c r="K278" s="102" t="n"/>
      <c r="L278" s="102" t="n"/>
      <c r="M278" s="102" t="n"/>
      <c r="N278" s="102" t="n"/>
      <c r="O278" s="102" t="n"/>
      <c r="P278" s="102" t="n"/>
      <c r="U278" s="36" t="inlineStr">
        <is>
          <t>yes</t>
        </is>
      </c>
      <c r="W278" s="172" t="n">
        <v>13.09532356262207</v>
      </c>
      <c r="X278" s="399" t="n">
        <v>1</v>
      </c>
      <c r="Y278" s="152">
        <f>IF(W278&lt;&gt;"",W278*X278,"")</f>
        <v/>
      </c>
      <c r="Z278" s="152">
        <f>IF(AND(W278&lt;&gt;"",U278="yes"),W278*X278,"")</f>
        <v/>
      </c>
    </row>
    <row r="279" ht="48" customHeight="1">
      <c r="A279" s="57" t="inlineStr">
        <is>
          <t>select_one yes_no</t>
        </is>
      </c>
      <c r="B279" s="57" t="inlineStr">
        <is>
          <t>fies_ranout</t>
        </is>
      </c>
      <c r="C279" s="35" t="inlineStr">
        <is>
          <t>In the *past 30 days*, was there ever **no food to eat of any kind** in your house because of lack of resources to get food?</t>
        </is>
      </c>
      <c r="D279" s="216" t="inlineStr">
        <is>
          <t>Au cours des *30 derniers jours*, n'y avait-il **aucun aliment à manger**, de quelque nature que ce soit, dans votre foyer, en raison du manque de ressources pour se procurer de la nourriture ?</t>
        </is>
      </c>
      <c r="E279" s="70" t="n"/>
      <c r="F279" s="57" t="n"/>
      <c r="G279" s="57" t="n"/>
      <c r="H279" s="71" t="n"/>
      <c r="I279" s="102" t="inlineStr">
        <is>
          <t>true</t>
        </is>
      </c>
      <c r="J279" s="102" t="n"/>
      <c r="K279" s="102" t="n"/>
      <c r="L279" s="102" t="n"/>
      <c r="M279" s="102" t="n"/>
      <c r="N279" s="102" t="n"/>
      <c r="O279" s="102" t="n"/>
      <c r="P279" s="102" t="n"/>
      <c r="U279" s="36" t="inlineStr">
        <is>
          <t>yes</t>
        </is>
      </c>
      <c r="W279" s="172" t="n">
        <v>16.10101918465228</v>
      </c>
      <c r="X279" s="399" t="n">
        <v>1</v>
      </c>
      <c r="Y279" s="152">
        <f>IF(W279&lt;&gt;"",W279*X279,"")</f>
        <v/>
      </c>
      <c r="Z279" s="152">
        <f>IF(AND(W279&lt;&gt;"",U279="yes"),W279*X279,"")</f>
        <v/>
      </c>
    </row>
    <row r="280" ht="16.25" customFormat="1" customHeight="1" s="398">
      <c r="A280" s="62" t="inlineStr">
        <is>
          <t>select_one frequency</t>
        </is>
      </c>
      <c r="B280" s="62" t="inlineStr">
        <is>
          <t>fies_ranout_hhs</t>
        </is>
      </c>
      <c r="C280" s="63" t="inlineStr">
        <is>
          <t xml:space="preserve">How often did this happen? </t>
        </is>
      </c>
      <c r="D280" s="212" t="inlineStr">
        <is>
          <t>Combien de fois cela s'est-il produit ?</t>
        </is>
      </c>
      <c r="E280" s="81" t="n"/>
      <c r="F280" s="62" t="n"/>
      <c r="G280" s="62" t="n"/>
      <c r="H280" s="83" t="n"/>
      <c r="I280" s="104" t="inlineStr">
        <is>
          <t>true</t>
        </is>
      </c>
      <c r="J280" s="104" t="n"/>
      <c r="K280" s="104" t="n"/>
      <c r="L280" s="104" t="n"/>
      <c r="M280" s="104" t="inlineStr">
        <is>
          <t>${fies_ranout} = '1'</t>
        </is>
      </c>
      <c r="N280" s="104" t="n"/>
      <c r="O280" s="104" t="n"/>
      <c r="P280" s="104" t="n"/>
      <c r="U280" s="398" t="inlineStr">
        <is>
          <t>yes</t>
        </is>
      </c>
      <c r="W280" s="172" t="n">
        <v>11.76504325866699</v>
      </c>
      <c r="X280" s="399" t="n">
        <v>1</v>
      </c>
      <c r="Y280" s="152">
        <f>IF(W280&lt;&gt;"",W280*X280,"")</f>
        <v/>
      </c>
      <c r="Z280" s="152">
        <f>IF(AND(W280&lt;&gt;"",U280="yes"),W280*X280,"")</f>
        <v/>
      </c>
    </row>
    <row r="281" ht="32" customFormat="1" customHeight="1" s="398">
      <c r="A281" s="62" t="inlineStr">
        <is>
          <t>select_one yes_no</t>
        </is>
      </c>
      <c r="B281" s="62" t="inlineStr">
        <is>
          <t>fies_hungry</t>
        </is>
      </c>
      <c r="C281" s="63" t="inlineStr">
        <is>
          <t>In the *past 30 days*, did you or any household member ever **go to sleep at night hungry** because there was not enough food?</t>
        </is>
      </c>
      <c r="D281" s="216" t="inlineStr">
        <is>
          <t>Au cours des *30 derniers jours*, êtiez-vous ou tout membre de votre ménage **obligé de dormir affamé le soir** parce qu'il n'y avait pas assez de nourriture ?</t>
        </is>
      </c>
      <c r="E281" s="81" t="n"/>
      <c r="F281" s="62" t="n"/>
      <c r="G281" s="62" t="n"/>
      <c r="H281" s="83" t="n"/>
      <c r="I281" s="104" t="inlineStr">
        <is>
          <t>true</t>
        </is>
      </c>
      <c r="J281" s="104" t="n"/>
      <c r="K281" s="104" t="n"/>
      <c r="L281" s="104" t="n"/>
      <c r="M281" s="104" t="n"/>
      <c r="N281" s="104" t="n"/>
      <c r="O281" s="104" t="n"/>
      <c r="P281" s="104" t="n"/>
      <c r="U281" s="398" t="inlineStr">
        <is>
          <t>yes</t>
        </is>
      </c>
      <c r="W281" s="172" t="n">
        <v>12.43247890472412</v>
      </c>
      <c r="X281" s="399" t="n">
        <v>1</v>
      </c>
      <c r="Y281" s="152">
        <f>IF(W281&lt;&gt;"",W281*X281,"")</f>
        <v/>
      </c>
      <c r="Z281" s="152">
        <f>IF(AND(W281&lt;&gt;"",U281="yes"),W281*X281,"")</f>
        <v/>
      </c>
    </row>
    <row r="282" ht="16.25" customFormat="1" customHeight="1" s="398">
      <c r="A282" s="62" t="inlineStr">
        <is>
          <t>select_one frequency</t>
        </is>
      </c>
      <c r="B282" s="62" t="inlineStr">
        <is>
          <t>fies_hungry_hhs</t>
        </is>
      </c>
      <c r="C282" s="63" t="inlineStr">
        <is>
          <t xml:space="preserve">How often did this happen? </t>
        </is>
      </c>
      <c r="D282" s="212" t="inlineStr">
        <is>
          <t>Combien de fois cela s'est-il produit ?</t>
        </is>
      </c>
      <c r="E282" s="81" t="n"/>
      <c r="F282" s="62" t="n"/>
      <c r="G282" s="62" t="n"/>
      <c r="H282" s="83" t="n"/>
      <c r="I282" s="104" t="inlineStr">
        <is>
          <t>true</t>
        </is>
      </c>
      <c r="J282" s="104" t="n"/>
      <c r="K282" s="104" t="n"/>
      <c r="L282" s="104" t="n"/>
      <c r="M282" s="104" t="inlineStr">
        <is>
          <t>${fies_hungry} = '1'</t>
        </is>
      </c>
      <c r="N282" s="104" t="n"/>
      <c r="O282" s="104" t="n"/>
      <c r="P282" s="104" t="n"/>
      <c r="U282" s="398" t="inlineStr">
        <is>
          <t>yes</t>
        </is>
      </c>
      <c r="W282" s="172" t="n">
        <v>8.980183601379395</v>
      </c>
      <c r="X282" s="399" t="n">
        <v>1</v>
      </c>
      <c r="Y282" s="152">
        <f>IF(W282&lt;&gt;"",W282*X282,"")</f>
        <v/>
      </c>
      <c r="Z282" s="152">
        <f>IF(AND(W282&lt;&gt;"",U282="yes"),W282*X282,"")</f>
        <v/>
      </c>
    </row>
    <row r="283" ht="48" customFormat="1" customHeight="1" s="398">
      <c r="A283" s="62" t="inlineStr">
        <is>
          <t>select_one yes_no</t>
        </is>
      </c>
      <c r="B283" s="62" t="inlineStr">
        <is>
          <t>fies_whlday</t>
        </is>
      </c>
      <c r="C283" s="63" t="inlineStr">
        <is>
          <t>In the *past 30 days*, did you or any household member ever **go a whole day and night without eating anything at all** because there was not enough food?</t>
        </is>
      </c>
      <c r="D283" s="216" t="inlineStr">
        <is>
          <t>Au cours des *30 derniers jours*, avez-vous ou tout membre de votre ménage passé **un jour et une nuit entière sans rien manger** parce qu'il n'y avait pas assez de nourriture ?</t>
        </is>
      </c>
      <c r="E283" s="81" t="n"/>
      <c r="F283" s="62" t="n"/>
      <c r="G283" s="62" t="n"/>
      <c r="H283" s="83" t="n"/>
      <c r="I283" s="104" t="inlineStr">
        <is>
          <t>true</t>
        </is>
      </c>
      <c r="J283" s="104" t="n"/>
      <c r="K283" s="104" t="n"/>
      <c r="L283" s="104" t="n"/>
      <c r="M283" s="104" t="n"/>
      <c r="N283" s="104" t="n"/>
      <c r="O283" s="104" t="n"/>
      <c r="P283" s="104" t="n"/>
      <c r="U283" s="398" t="inlineStr">
        <is>
          <t>yes</t>
        </is>
      </c>
      <c r="W283" s="172" t="n">
        <v>11.08932876586914</v>
      </c>
      <c r="X283" s="399" t="n">
        <v>1</v>
      </c>
      <c r="Y283" s="152">
        <f>IF(W283&lt;&gt;"",W283*X283,"")</f>
        <v/>
      </c>
      <c r="Z283" s="152">
        <f>IF(AND(W283&lt;&gt;"",U283="yes"),W283*X283,"")</f>
        <v/>
      </c>
    </row>
    <row r="284" ht="16.25" customFormat="1" customHeight="1" s="398">
      <c r="A284" s="62" t="inlineStr">
        <is>
          <t>select_one frequency</t>
        </is>
      </c>
      <c r="B284" s="62" t="inlineStr">
        <is>
          <t>fies_whlday_hhs</t>
        </is>
      </c>
      <c r="C284" s="63" t="inlineStr">
        <is>
          <t xml:space="preserve">How often did this happen? </t>
        </is>
      </c>
      <c r="D284" s="212" t="inlineStr">
        <is>
          <t>Combien de fois cela s'est-il produit ?</t>
        </is>
      </c>
      <c r="E284" s="81" t="n"/>
      <c r="F284" s="62" t="n"/>
      <c r="G284" s="62" t="n"/>
      <c r="H284" s="83" t="n"/>
      <c r="I284" s="104" t="inlineStr">
        <is>
          <t>true</t>
        </is>
      </c>
      <c r="J284" s="104" t="n"/>
      <c r="K284" s="104" t="n"/>
      <c r="L284" s="104" t="n"/>
      <c r="M284" s="104" t="inlineStr">
        <is>
          <t>${fies_whlday} = '1'</t>
        </is>
      </c>
      <c r="N284" s="104" t="n"/>
      <c r="O284" s="104" t="n"/>
      <c r="P284" s="104" t="n"/>
      <c r="U284" s="398" t="inlineStr">
        <is>
          <t>yes</t>
        </is>
      </c>
      <c r="W284" s="172" t="n">
        <v>8.06833553314209</v>
      </c>
      <c r="X284" s="399" t="n">
        <v>1</v>
      </c>
      <c r="Y284" s="152">
        <f>IF(W284&lt;&gt;"",W284*X284,"")</f>
        <v/>
      </c>
      <c r="Z284" s="152">
        <f>IF(AND(W284&lt;&gt;"",U284="yes"),W284*X284,"")</f>
        <v/>
      </c>
    </row>
    <row r="285">
      <c r="A285" s="62" t="inlineStr">
        <is>
          <t>end_group</t>
        </is>
      </c>
      <c r="B285" s="62" t="n"/>
      <c r="C285" s="35" t="n"/>
      <c r="D285" s="35" t="n"/>
      <c r="E285" s="70" t="n"/>
      <c r="F285" s="57" t="n"/>
      <c r="G285" s="57" t="n"/>
      <c r="H285" s="71" t="n"/>
      <c r="I285" s="102" t="n"/>
      <c r="J285" s="102" t="n"/>
      <c r="K285" s="102" t="n"/>
      <c r="L285" s="102" t="n"/>
      <c r="M285" s="102" t="n"/>
      <c r="N285" s="102" t="n"/>
      <c r="O285" s="102" t="n"/>
      <c r="P285" s="102" t="n"/>
      <c r="W285" s="172" t="n"/>
      <c r="X285" s="399" t="n">
        <v>1</v>
      </c>
      <c r="Y285" s="152">
        <f>IF(W285&lt;&gt;"",W285*X285,"")</f>
        <v/>
      </c>
      <c r="Z285" s="152">
        <f>IF(AND(W285&lt;&gt;"",U285="yes"),W285*X285,"")</f>
        <v/>
      </c>
    </row>
    <row r="286">
      <c r="A286" s="398" t="n"/>
      <c r="B286" s="398" t="n"/>
      <c r="E286" s="70" t="n"/>
      <c r="H286" s="71" t="n"/>
      <c r="W286" s="172" t="n"/>
      <c r="X286" s="399" t="n">
        <v>1</v>
      </c>
      <c r="Y286" s="152">
        <f>IF(W286&lt;&gt;"",W286*X286,"")</f>
        <v/>
      </c>
      <c r="Z286" s="152">
        <f>IF(AND(W286&lt;&gt;"",U286="yes"),W286*X286,"")</f>
        <v/>
      </c>
    </row>
    <row r="287" ht="16.25" customFormat="1" customHeight="1" s="59">
      <c r="A287" s="59" t="inlineStr">
        <is>
          <t>begin_group</t>
        </is>
      </c>
      <c r="B287" s="59" t="inlineStr">
        <is>
          <t>grp_lcsi</t>
        </is>
      </c>
      <c r="C287" s="147" t="inlineStr">
        <is>
          <t>LCSI</t>
        </is>
      </c>
      <c r="D287" s="147" t="inlineStr">
        <is>
          <t>LCSI</t>
        </is>
      </c>
      <c r="E287" s="61" t="n"/>
      <c r="H287" s="65" t="n"/>
      <c r="I287" s="103" t="n"/>
      <c r="J287" s="103" t="inlineStr">
        <is>
          <t>field-list</t>
        </is>
      </c>
      <c r="K287" s="103" t="n"/>
      <c r="L287" s="103" t="n"/>
      <c r="M287" s="103" t="n"/>
      <c r="N287" s="103" t="n"/>
      <c r="O287" s="103" t="n"/>
      <c r="P287" s="103" t="n"/>
      <c r="W287" s="176" t="n"/>
      <c r="X287" s="148" t="n">
        <v>1</v>
      </c>
      <c r="Y287" s="155">
        <f>IF(W287&lt;&gt;"",W287*X287,"")</f>
        <v/>
      </c>
      <c r="Z287" s="155">
        <f>IF(AND(W287&lt;&gt;"",U287="yes"),W287*X287,"")</f>
        <v/>
      </c>
    </row>
    <row r="288" ht="80" customFormat="1" customHeight="1" s="59">
      <c r="A288" s="59" t="inlineStr">
        <is>
          <t>note</t>
        </is>
      </c>
      <c r="B288" s="59" t="inlineStr">
        <is>
          <t>lcsi_intro</t>
        </is>
      </c>
      <c r="C288" s="6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8" s="219"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88" s="61" t="n"/>
      <c r="H288" s="65" t="n"/>
      <c r="I288" s="103" t="n"/>
      <c r="J288" s="103" t="n"/>
      <c r="K288" s="103" t="n"/>
      <c r="L288" s="103" t="n"/>
      <c r="M288" s="103" t="n"/>
      <c r="N288" s="103" t="n"/>
      <c r="O288" s="103" t="n"/>
      <c r="P288" s="103" t="n"/>
      <c r="U288" s="59" t="inlineStr">
        <is>
          <t>no</t>
        </is>
      </c>
      <c r="W288" s="176" t="n">
        <v>5.711253643035889</v>
      </c>
      <c r="X288" s="148" t="n">
        <v>1</v>
      </c>
      <c r="Y288" s="155">
        <f>IF(W288&lt;&gt;"",W288*X288,"")</f>
        <v/>
      </c>
      <c r="Z288" s="155">
        <f>IF(AND(W288&lt;&gt;"",U288="yes"),W288*X288,"")</f>
        <v/>
      </c>
    </row>
    <row r="289" ht="16.25" customFormat="1" customHeight="1" s="149">
      <c r="A289" s="59" t="inlineStr">
        <is>
          <t>select_one coping</t>
        </is>
      </c>
      <c r="B289" s="59" t="inlineStr">
        <is>
          <t>cs_stress_hh_assets</t>
        </is>
      </c>
      <c r="C289" s="60" t="inlineStr">
        <is>
          <t>**Sell household assets/goods** (radio, furniture, television, jewelry etc.)</t>
        </is>
      </c>
      <c r="D289" s="60" t="inlineStr">
        <is>
          <t>**Vendre des actifs/biens ménagers** (radio, meubles, télévision, bijoux, etc.)</t>
        </is>
      </c>
      <c r="E289" s="92" t="n"/>
      <c r="H289" s="93" t="n"/>
      <c r="I289" s="103" t="inlineStr">
        <is>
          <t>true</t>
        </is>
      </c>
      <c r="J289" s="103" t="inlineStr">
        <is>
          <t>minimal</t>
        </is>
      </c>
      <c r="K289" s="150" t="n"/>
      <c r="L289" s="150" t="n"/>
      <c r="M289" s="150" t="n"/>
      <c r="N289" s="150" t="n"/>
      <c r="O289" s="150" t="n"/>
      <c r="P289" s="150" t="n"/>
      <c r="U289" s="59" t="inlineStr">
        <is>
          <t>no</t>
        </is>
      </c>
      <c r="W289" s="172" t="n">
        <v>19.85153007507324</v>
      </c>
      <c r="X289" s="399" t="n">
        <v>1</v>
      </c>
      <c r="Y289" s="152">
        <f>IF(W289&lt;&gt;"",W289*X289,"")</f>
        <v/>
      </c>
      <c r="Z289" s="152">
        <f>IF(AND(W289&lt;&gt;"",U289="yes"),W289*X289,"")</f>
        <v/>
      </c>
      <c r="AA289" s="398" t="n"/>
    </row>
    <row r="290" ht="16.25" customFormat="1" customHeight="1" s="149">
      <c r="A290" s="59" t="inlineStr">
        <is>
          <t>select_one coping</t>
        </is>
      </c>
      <c r="B290" s="59" t="inlineStr">
        <is>
          <t>cs_stress_spent_savings</t>
        </is>
      </c>
      <c r="C290" s="60" t="inlineStr">
        <is>
          <t>**Spend savings**</t>
        </is>
      </c>
      <c r="D290" s="60" t="inlineStr">
        <is>
          <t>**Dépenser les économies**</t>
        </is>
      </c>
      <c r="E290" s="92" t="n"/>
      <c r="H290" s="93" t="n"/>
      <c r="I290" s="103" t="inlineStr">
        <is>
          <t>true</t>
        </is>
      </c>
      <c r="J290" s="103" t="inlineStr">
        <is>
          <t>minimal</t>
        </is>
      </c>
      <c r="K290" s="150" t="n"/>
      <c r="L290" s="150" t="n"/>
      <c r="M290" s="150" t="n"/>
      <c r="N290" s="150" t="n"/>
      <c r="O290" s="150" t="n"/>
      <c r="P290" s="150" t="n"/>
      <c r="U290" s="59" t="inlineStr">
        <is>
          <t>no</t>
        </is>
      </c>
      <c r="W290" s="172" t="n">
        <v>15.43667125701904</v>
      </c>
      <c r="X290" s="399" t="n">
        <v>1</v>
      </c>
      <c r="Y290" s="152">
        <f>IF(W290&lt;&gt;"",W290*X290,"")</f>
        <v/>
      </c>
      <c r="Z290" s="152">
        <f>IF(AND(W290&lt;&gt;"",U290="yes"),W290*X290,"")</f>
        <v/>
      </c>
      <c r="AA290" s="398" t="n"/>
    </row>
    <row r="291" ht="16.25" customFormat="1" customHeight="1" s="149">
      <c r="A291" s="59" t="inlineStr">
        <is>
          <t>select_one coping</t>
        </is>
      </c>
      <c r="B291" s="59" t="inlineStr">
        <is>
          <t>cs_stress_sold_more_animals</t>
        </is>
      </c>
      <c r="C291" s="60" t="inlineStr">
        <is>
          <t>**Sell more animals (non-reproductive) than usual**</t>
        </is>
      </c>
      <c r="D291" s="60" t="inlineStr">
        <is>
          <t>**Vendre plus d'animaux (non producteurs) que d'habitude**</t>
        </is>
      </c>
      <c r="E291" s="92" t="n"/>
      <c r="H291" s="93" t="n"/>
      <c r="I291" s="103" t="inlineStr">
        <is>
          <t>true</t>
        </is>
      </c>
      <c r="J291" s="103" t="inlineStr">
        <is>
          <t>minimal</t>
        </is>
      </c>
      <c r="K291" s="150" t="n"/>
      <c r="L291" s="150" t="n"/>
      <c r="M291" s="150" t="n"/>
      <c r="N291" s="150" t="n"/>
      <c r="O291" s="150" t="n"/>
      <c r="P291" s="150" t="n"/>
      <c r="U291" s="59" t="inlineStr">
        <is>
          <t>no</t>
        </is>
      </c>
      <c r="W291" s="172" t="n">
        <v>13.39993858337402</v>
      </c>
      <c r="X291" s="399" t="n">
        <v>1</v>
      </c>
      <c r="Y291" s="152">
        <f>IF(W291&lt;&gt;"",W291*X291,"")</f>
        <v/>
      </c>
      <c r="Z291" s="152">
        <f>IF(AND(W291&lt;&gt;"",U291="yes"),W291*X291,"")</f>
        <v/>
      </c>
      <c r="AA291" s="398" t="n"/>
    </row>
    <row r="292" ht="16.25" customFormat="1" customHeight="1" s="149">
      <c r="A292" s="59" t="inlineStr">
        <is>
          <t>select_one coping</t>
        </is>
      </c>
      <c r="B292" s="59" t="inlineStr">
        <is>
          <t>cs_stress_eat_elsewhere</t>
        </is>
      </c>
      <c r="C292" s="60" t="inlineStr">
        <is>
          <t>**Send household members to eat elsewhere**</t>
        </is>
      </c>
      <c r="D292" s="60" t="inlineStr">
        <is>
          <t>**Envoyer certains membres du ménage manger ailleurs**</t>
        </is>
      </c>
      <c r="E292" s="92" t="n"/>
      <c r="H292" s="93" t="n"/>
      <c r="I292" s="103" t="inlineStr">
        <is>
          <t>true</t>
        </is>
      </c>
      <c r="J292" s="103" t="inlineStr">
        <is>
          <t>minimal</t>
        </is>
      </c>
      <c r="K292" s="150" t="n"/>
      <c r="L292" s="150" t="n"/>
      <c r="M292" s="150" t="n"/>
      <c r="N292" s="150" t="n"/>
      <c r="O292" s="150" t="n"/>
      <c r="P292" s="150" t="n"/>
      <c r="U292" s="59" t="inlineStr">
        <is>
          <t>no</t>
        </is>
      </c>
      <c r="W292" s="172" t="n">
        <v>14.62593364715576</v>
      </c>
      <c r="X292" s="399" t="n">
        <v>1</v>
      </c>
      <c r="Y292" s="152">
        <f>IF(W292&lt;&gt;"",W292*X292,"")</f>
        <v/>
      </c>
      <c r="Z292" s="152">
        <f>IF(AND(W292&lt;&gt;"",U292="yes"),W292*X292,"")</f>
        <v/>
      </c>
      <c r="AA292" s="398" t="n"/>
    </row>
    <row r="293" ht="16.25" customFormat="1" customHeight="1" s="149">
      <c r="A293" s="59" t="inlineStr">
        <is>
          <t>select_one coping</t>
        </is>
      </c>
      <c r="B293" s="59" t="inlineStr">
        <is>
          <t>cs_stress_borrowed_or_helped</t>
        </is>
      </c>
      <c r="C293" s="60" t="inlineStr">
        <is>
          <t>**Borrow food or relied on help from friends or relatives **</t>
        </is>
      </c>
      <c r="D293" s="220" t="inlineStr">
        <is>
          <t>**Emprunter de la nourriture ou compter sur l'aide d'amis ou de parents **</t>
        </is>
      </c>
      <c r="E293" s="92" t="n"/>
      <c r="H293" s="93" t="n"/>
      <c r="I293" s="103" t="inlineStr">
        <is>
          <t>true</t>
        </is>
      </c>
      <c r="J293" s="103" t="inlineStr">
        <is>
          <t>minimal</t>
        </is>
      </c>
      <c r="K293" s="150" t="n"/>
      <c r="L293" s="150" t="n"/>
      <c r="M293" s="150" t="n"/>
      <c r="N293" s="150" t="n"/>
      <c r="O293" s="150" t="n"/>
      <c r="P293" s="150" t="n"/>
      <c r="U293" s="59" t="inlineStr">
        <is>
          <t>no</t>
        </is>
      </c>
      <c r="W293" s="172" t="n">
        <v>11.78780174255371</v>
      </c>
      <c r="X293" s="399" t="n">
        <v>1</v>
      </c>
      <c r="Y293" s="152">
        <f>IF(W293&lt;&gt;"",W293*X293,"")</f>
        <v/>
      </c>
      <c r="Z293" s="152">
        <f>IF(AND(W293&lt;&gt;"",U293="yes"),W293*X293,"")</f>
        <v/>
      </c>
      <c r="AA293" s="398" t="n"/>
    </row>
    <row r="294" ht="16.25" customFormat="1" customHeight="1" s="149">
      <c r="A294" s="59" t="inlineStr">
        <is>
          <t>select_one coping</t>
        </is>
      </c>
      <c r="B294" s="59" t="inlineStr">
        <is>
          <t>cs_stress_credit</t>
        </is>
      </c>
      <c r="C294" s="60" t="inlineStr">
        <is>
          <t>**Purchase food on credit or borrowed food**</t>
        </is>
      </c>
      <c r="D294" s="60" t="inlineStr">
        <is>
          <t>**Acheter de la nourriture à crédit ou emprunter de la nourriture**</t>
        </is>
      </c>
      <c r="E294" s="92" t="n"/>
      <c r="H294" s="93" t="n"/>
      <c r="I294" s="103" t="inlineStr">
        <is>
          <t>true</t>
        </is>
      </c>
      <c r="J294" s="103" t="inlineStr">
        <is>
          <t>minimal</t>
        </is>
      </c>
      <c r="K294" s="150" t="n"/>
      <c r="L294" s="150" t="n"/>
      <c r="M294" s="150" t="n"/>
      <c r="N294" s="150" t="n"/>
      <c r="O294" s="150" t="n"/>
      <c r="P294" s="150" t="n"/>
      <c r="U294" s="59" t="inlineStr">
        <is>
          <t>no</t>
        </is>
      </c>
      <c r="W294" s="172" t="n">
        <v>12.4080867767334</v>
      </c>
      <c r="X294" s="399" t="n">
        <v>1</v>
      </c>
      <c r="Y294" s="152">
        <f>IF(W294&lt;&gt;"",W294*X294,"")</f>
        <v/>
      </c>
      <c r="Z294" s="152">
        <f>IF(AND(W294&lt;&gt;"",U294="yes"),W294*X294,"")</f>
        <v/>
      </c>
      <c r="AA294" s="398" t="n"/>
    </row>
    <row r="295" ht="32" customFormat="1" customHeight="1" s="149">
      <c r="A295" s="59" t="inlineStr">
        <is>
          <t>select_one coping</t>
        </is>
      </c>
      <c r="B295" s="59" t="inlineStr">
        <is>
          <t>cs_crisis_sold_prod_assets</t>
        </is>
      </c>
      <c r="C295" s="60" t="inlineStr">
        <is>
          <t>**Sell productive assets or means of transport** (sewing machine, wheelbarrow, bicycle, car, etc.)</t>
        </is>
      </c>
      <c r="D295" s="60" t="inlineStr">
        <is>
          <t>**Vendre des actifs productifs ou des véhicules** (machine à coudre, charrette vélo, voiture, etc.)</t>
        </is>
      </c>
      <c r="E295" s="92" t="n"/>
      <c r="H295" s="93" t="n"/>
      <c r="I295" s="103" t="inlineStr">
        <is>
          <t>true</t>
        </is>
      </c>
      <c r="J295" s="103" t="inlineStr">
        <is>
          <t>minimal</t>
        </is>
      </c>
      <c r="K295" s="150" t="n"/>
      <c r="L295" s="150" t="n"/>
      <c r="M295" s="150" t="n"/>
      <c r="N295" s="150" t="n"/>
      <c r="O295" s="150" t="n"/>
      <c r="P295" s="150" t="n"/>
      <c r="U295" s="59" t="inlineStr">
        <is>
          <t>no</t>
        </is>
      </c>
      <c r="W295" s="172" t="n">
        <v>14.41095890410959</v>
      </c>
      <c r="X295" s="399" t="n">
        <v>1</v>
      </c>
      <c r="Y295" s="152">
        <f>IF(W295&lt;&gt;"",W295*X295,"")</f>
        <v/>
      </c>
      <c r="Z295" s="152">
        <f>IF(AND(W295&lt;&gt;"",U295="yes"),W295*X295,"")</f>
        <v/>
      </c>
      <c r="AA295" s="398" t="n"/>
    </row>
    <row r="296" ht="16.25" customFormat="1" customHeight="1" s="149">
      <c r="A296" s="59" t="inlineStr">
        <is>
          <t>select_one coping</t>
        </is>
      </c>
      <c r="B296" s="59" t="inlineStr">
        <is>
          <t>cs_crisis_harv_immature_crops</t>
        </is>
      </c>
      <c r="C296" s="60" t="inlineStr">
        <is>
          <t>**Harvest immature crops** (e.g. green maize) **to eat**</t>
        </is>
      </c>
      <c r="D296" s="60" t="inlineStr">
        <is>
          <t>**Récolter des cultures immatures** (par exemple, le maïs vert) pour les manger</t>
        </is>
      </c>
      <c r="E296" s="92" t="n"/>
      <c r="H296" s="93" t="n"/>
      <c r="I296" s="103" t="inlineStr">
        <is>
          <t>true</t>
        </is>
      </c>
      <c r="J296" s="103" t="inlineStr">
        <is>
          <t>minimal</t>
        </is>
      </c>
      <c r="K296" s="150" t="n"/>
      <c r="L296" s="150" t="n"/>
      <c r="M296" s="150" t="n"/>
      <c r="N296" s="150" t="n"/>
      <c r="O296" s="150" t="n"/>
      <c r="P296" s="150" t="n"/>
      <c r="U296" s="59" t="inlineStr">
        <is>
          <t>no</t>
        </is>
      </c>
      <c r="W296" s="172" t="n">
        <v>12</v>
      </c>
      <c r="X296" s="399" t="n">
        <v>1</v>
      </c>
      <c r="Y296" s="152">
        <f>IF(W296&lt;&gt;"",W296*X296,"")</f>
        <v/>
      </c>
      <c r="Z296" s="152">
        <f>IF(AND(W296&lt;&gt;"",U296="yes"),W296*X296,"")</f>
        <v/>
      </c>
      <c r="AA296" s="398" t="n"/>
    </row>
    <row r="297" ht="32" customFormat="1" customHeight="1" s="149">
      <c r="A297" s="59" t="inlineStr">
        <is>
          <t>select_one coping</t>
        </is>
      </c>
      <c r="B297" s="59" t="inlineStr">
        <is>
          <t>cs_crisis_consume_seed_stock</t>
        </is>
      </c>
      <c r="C297" s="60" t="inlineStr">
        <is>
          <t>**Consume seed stocks that were to be saved for the next planting season**</t>
        </is>
      </c>
      <c r="D297" s="60" t="inlineStr">
        <is>
          <t>**Consommer les stocks de semence qui devaient être gardés pour la prochaine campagne de semis**</t>
        </is>
      </c>
      <c r="E297" s="92" t="n"/>
      <c r="H297" s="93" t="n"/>
      <c r="I297" s="103" t="inlineStr">
        <is>
          <t>true</t>
        </is>
      </c>
      <c r="J297" s="103" t="inlineStr">
        <is>
          <t>minimal</t>
        </is>
      </c>
      <c r="K297" s="150" t="n"/>
      <c r="L297" s="150" t="n"/>
      <c r="M297" s="150" t="n"/>
      <c r="N297" s="150" t="n"/>
      <c r="O297" s="150" t="n"/>
      <c r="P297" s="150" t="n"/>
      <c r="U297" s="59" t="inlineStr">
        <is>
          <t>no</t>
        </is>
      </c>
      <c r="W297" s="172" t="n">
        <v>12.99618148803711</v>
      </c>
      <c r="X297" s="399" t="n">
        <v>1</v>
      </c>
      <c r="Y297" s="152">
        <f>IF(W297&lt;&gt;"",W297*X297,"")</f>
        <v/>
      </c>
      <c r="Z297" s="152">
        <f>IF(AND(W297&lt;&gt;"",U297="yes"),W297*X297,"")</f>
        <v/>
      </c>
      <c r="AA297" s="398" t="n"/>
    </row>
    <row r="298" ht="32" customFormat="1" customHeight="1" s="149">
      <c r="A298" s="59" t="inlineStr">
        <is>
          <t>select_one coping</t>
        </is>
      </c>
      <c r="B298" s="59" t="inlineStr">
        <is>
          <t>cs_crisis_decrease_input_exp</t>
        </is>
      </c>
      <c r="C298" s="60" t="inlineStr">
        <is>
          <t>**Decrease expenditures on fertilizer, pesticide, fodder, animal feed, veterinary care, etc.**</t>
        </is>
      </c>
      <c r="D298" s="60" t="inlineStr">
        <is>
          <t>**Diminuer les dépenses d'engrais, pesticides, fourrages,aliments pour animaux, soins vétérinaires, etc.**</t>
        </is>
      </c>
      <c r="E298" s="92" t="n"/>
      <c r="H298" s="93" t="n"/>
      <c r="I298" s="103" t="inlineStr">
        <is>
          <t>true</t>
        </is>
      </c>
      <c r="J298" s="103" t="inlineStr">
        <is>
          <t>minimal</t>
        </is>
      </c>
      <c r="K298" s="150" t="n"/>
      <c r="L298" s="150" t="n"/>
      <c r="M298" s="150" t="n"/>
      <c r="N298" s="150" t="n"/>
      <c r="O298" s="150" t="n"/>
      <c r="P298" s="150" t="n"/>
      <c r="U298" s="59" t="inlineStr">
        <is>
          <t>no</t>
        </is>
      </c>
      <c r="W298" s="172" t="n">
        <v>14.75238990783691</v>
      </c>
      <c r="X298" s="399" t="n">
        <v>1</v>
      </c>
      <c r="Y298" s="152">
        <f>IF(W298&lt;&gt;"",W298*X298,"")</f>
        <v/>
      </c>
      <c r="Z298" s="152">
        <f>IF(AND(W298&lt;&gt;"",U298="yes"),W298*X298,"")</f>
        <v/>
      </c>
      <c r="AA298" s="398" t="n"/>
    </row>
    <row r="299" ht="16.25" customFormat="1" customHeight="1" s="149">
      <c r="A299" s="59" t="inlineStr">
        <is>
          <t>select_one coping</t>
        </is>
      </c>
      <c r="B299" s="59" t="inlineStr">
        <is>
          <t>cs_emergency_sold_house</t>
        </is>
      </c>
      <c r="C299" s="60" t="inlineStr">
        <is>
          <t>**Sell a house or land**</t>
        </is>
      </c>
      <c r="D299" s="60" t="inlineStr">
        <is>
          <t>**Vendre sa maison ou ses terres**</t>
        </is>
      </c>
      <c r="E299" s="92" t="n"/>
      <c r="H299" s="93" t="n"/>
      <c r="I299" s="103" t="inlineStr">
        <is>
          <t>true</t>
        </is>
      </c>
      <c r="J299" s="103" t="inlineStr">
        <is>
          <t>minimal</t>
        </is>
      </c>
      <c r="K299" s="150" t="n"/>
      <c r="L299" s="150" t="n"/>
      <c r="M299" s="150" t="n"/>
      <c r="N299" s="150" t="n"/>
      <c r="O299" s="150" t="n"/>
      <c r="P299" s="150" t="n"/>
      <c r="U299" s="59" t="inlineStr">
        <is>
          <t>no</t>
        </is>
      </c>
      <c r="W299" s="172" t="n">
        <v>10.66811275482178</v>
      </c>
      <c r="X299" s="399" t="n">
        <v>1</v>
      </c>
      <c r="Y299" s="152">
        <f>IF(W299&lt;&gt;"",W299*X299,"")</f>
        <v/>
      </c>
      <c r="Z299" s="152">
        <f>IF(AND(W299&lt;&gt;"",U299="yes"),W299*X299,"")</f>
        <v/>
      </c>
      <c r="AA299" s="398" t="n"/>
    </row>
    <row r="300" ht="16.25" customFormat="1" customHeight="1" s="149">
      <c r="A300" s="59" t="inlineStr">
        <is>
          <t>select_one coping</t>
        </is>
      </c>
      <c r="B300" s="59" t="inlineStr">
        <is>
          <t>cs_emergency_begged</t>
        </is>
      </c>
      <c r="C300" s="60" t="inlineStr">
        <is>
          <t>**Beg**</t>
        </is>
      </c>
      <c r="D300" s="60" t="inlineStr">
        <is>
          <t>**Mendier**</t>
        </is>
      </c>
      <c r="E300" s="92" t="n"/>
      <c r="H300" s="93" t="n"/>
      <c r="I300" s="103" t="inlineStr">
        <is>
          <t>true</t>
        </is>
      </c>
      <c r="J300" s="103" t="inlineStr">
        <is>
          <t>minimal</t>
        </is>
      </c>
      <c r="K300" s="150" t="n"/>
      <c r="L300" s="150" t="n"/>
      <c r="M300" s="150" t="n"/>
      <c r="N300" s="150" t="n"/>
      <c r="O300" s="150" t="n"/>
      <c r="P300" s="150" t="n"/>
      <c r="U300" s="59" t="inlineStr">
        <is>
          <t>no</t>
        </is>
      </c>
      <c r="W300" s="172" t="n">
        <v>9.716710090637207</v>
      </c>
      <c r="X300" s="399" t="n">
        <v>1</v>
      </c>
      <c r="Y300" s="152">
        <f>IF(W300&lt;&gt;"",W300*X300,"")</f>
        <v/>
      </c>
      <c r="Z300" s="152">
        <f>IF(AND(W300&lt;&gt;"",U300="yes"),W300*X300,"")</f>
        <v/>
      </c>
      <c r="AA300" s="398" t="n"/>
    </row>
    <row r="301" ht="16.25" customFormat="1" customHeight="1" s="149">
      <c r="A301" s="59" t="inlineStr">
        <is>
          <t>select_one coping</t>
        </is>
      </c>
      <c r="B301" s="59" t="inlineStr">
        <is>
          <t>cs_emergency_sold_last_female</t>
        </is>
      </c>
      <c r="C301" s="60" t="inlineStr">
        <is>
          <t>**Sell your last female animals**</t>
        </is>
      </c>
      <c r="D301" s="60" t="inlineStr">
        <is>
          <t>**Vendre votre dernières femelles animales**</t>
        </is>
      </c>
      <c r="E301" s="92" t="n"/>
      <c r="H301" s="93" t="n"/>
      <c r="I301" s="103" t="inlineStr">
        <is>
          <t>true</t>
        </is>
      </c>
      <c r="J301" s="103" t="inlineStr">
        <is>
          <t>minimal</t>
        </is>
      </c>
      <c r="K301" s="150" t="n"/>
      <c r="L301" s="150" t="n"/>
      <c r="M301" s="150" t="n"/>
      <c r="N301" s="150" t="n"/>
      <c r="O301" s="150" t="n"/>
      <c r="P301" s="150" t="n"/>
      <c r="U301" s="59" t="inlineStr">
        <is>
          <t>no</t>
        </is>
      </c>
      <c r="W301" s="172" t="n">
        <v>10.11413192749023</v>
      </c>
      <c r="X301" s="399" t="n">
        <v>1</v>
      </c>
      <c r="Y301" s="152">
        <f>IF(W301&lt;&gt;"",W301*X301,"")</f>
        <v/>
      </c>
      <c r="Z301" s="152">
        <f>IF(AND(W301&lt;&gt;"",U301="yes"),W301*X301,"")</f>
        <v/>
      </c>
      <c r="AA301" s="398" t="n"/>
    </row>
    <row r="302" ht="16.25" customFormat="1" customHeight="1" s="149">
      <c r="A302" s="59" t="inlineStr">
        <is>
          <t>select_one coping</t>
        </is>
      </c>
      <c r="B302" s="59" t="inlineStr">
        <is>
          <t>cs_emergency_hh_migration</t>
        </is>
      </c>
      <c r="C302" s="60" t="inlineStr">
        <is>
          <t>**Migrate with the entire household**</t>
        </is>
      </c>
      <c r="D302" s="60" t="inlineStr">
        <is>
          <t>**Migration de l'entièreté du ménage**</t>
        </is>
      </c>
      <c r="E302" s="92" t="n"/>
      <c r="H302" s="93" t="n"/>
      <c r="I302" s="103" t="inlineStr">
        <is>
          <t>true</t>
        </is>
      </c>
      <c r="J302" s="103" t="inlineStr">
        <is>
          <t>minimal</t>
        </is>
      </c>
      <c r="K302" s="150" t="n"/>
      <c r="L302" s="150" t="n"/>
      <c r="M302" s="150" t="n"/>
      <c r="N302" s="150" t="n"/>
      <c r="O302" s="150" t="n"/>
      <c r="P302" s="150" t="n"/>
      <c r="U302" s="59" t="inlineStr">
        <is>
          <t>no</t>
        </is>
      </c>
      <c r="W302" s="172" t="n">
        <v>10.86770534515381</v>
      </c>
      <c r="X302" s="399" t="n">
        <v>1</v>
      </c>
      <c r="Y302" s="152">
        <f>IF(W302&lt;&gt;"",W302*X302,"")</f>
        <v/>
      </c>
      <c r="Z302" s="152">
        <f>IF(AND(W302&lt;&gt;"",U302="yes"),W302*X302,"")</f>
        <v/>
      </c>
      <c r="AA302" s="398" t="n"/>
    </row>
    <row r="303">
      <c r="A303" s="59" t="inlineStr">
        <is>
          <t>end_group</t>
        </is>
      </c>
      <c r="B303" s="59" t="n"/>
      <c r="C303" s="60" t="n"/>
      <c r="D303" s="60" t="n"/>
      <c r="E303" s="70" t="n"/>
      <c r="H303" s="71" t="n"/>
      <c r="I303" s="103" t="n"/>
      <c r="W303" s="172" t="n"/>
      <c r="X303" s="399" t="n">
        <v>1</v>
      </c>
      <c r="Y303" s="152">
        <f>IF(W303&lt;&gt;"",W303*X303,"")</f>
        <v/>
      </c>
      <c r="Z303" s="152">
        <f>IF(AND(W303&lt;&gt;"",U303="yes"),W303*X303,"")</f>
        <v/>
      </c>
    </row>
    <row r="304">
      <c r="A304" s="398" t="n"/>
      <c r="B304" s="398" t="n"/>
      <c r="E304" s="70" t="n"/>
      <c r="H304" s="71" t="n"/>
      <c r="W304" s="172" t="n"/>
      <c r="X304" s="399" t="n">
        <v>1</v>
      </c>
      <c r="Y304" s="152">
        <f>IF(W304&lt;&gt;"",W304*X304,"")</f>
        <v/>
      </c>
      <c r="Z304" s="152">
        <f>IF(AND(W304&lt;&gt;"",U304="yes"),W304*X304,"")</f>
        <v/>
      </c>
    </row>
    <row r="305" ht="16.25" customHeight="1">
      <c r="A305" s="62" t="inlineStr">
        <is>
          <t>begin_group</t>
        </is>
      </c>
      <c r="B305" s="62" t="inlineStr">
        <is>
          <t>grp_hdds</t>
        </is>
      </c>
      <c r="C305" s="76" t="inlineStr">
        <is>
          <t>HDDS</t>
        </is>
      </c>
      <c r="D305" s="76" t="inlineStr">
        <is>
          <t>SDAM</t>
        </is>
      </c>
      <c r="E305" s="70" t="n"/>
      <c r="F305" s="57" t="n"/>
      <c r="G305" s="57" t="n"/>
      <c r="H305" s="71" t="n"/>
      <c r="I305" s="102" t="n"/>
      <c r="J305" s="102" t="n"/>
      <c r="K305" s="102" t="n"/>
      <c r="L305" s="102" t="n"/>
      <c r="M305" s="102" t="n"/>
      <c r="N305" s="102" t="n"/>
      <c r="O305" s="102" t="n"/>
      <c r="P305" s="102" t="n"/>
      <c r="W305" s="172" t="n"/>
      <c r="X305" s="399" t="n">
        <v>1</v>
      </c>
      <c r="Y305" s="152">
        <f>IF(W305&lt;&gt;"",W305*X305,"")</f>
        <v/>
      </c>
      <c r="Z305" s="152">
        <f>IF(AND(W305&lt;&gt;"",U305="yes"),W305*X305,"")</f>
        <v/>
      </c>
    </row>
    <row r="306" ht="32" customHeight="1">
      <c r="A306" s="57" t="inlineStr">
        <is>
          <t>note</t>
        </is>
      </c>
      <c r="B306" s="57" t="inlineStr">
        <is>
          <t>hdds_intro</t>
        </is>
      </c>
      <c r="C306" s="35" t="inlineStr">
        <is>
          <t>Now I would like to ask you about a set of questions on food consumption, referring to the *24 hours of yesterday*.</t>
        </is>
      </c>
      <c r="D306" s="35" t="inlineStr">
        <is>
          <t xml:space="preserve">Je voudrais maintenant vous poser une série de questions sur votre consommation alimentaire, avec comme référence les *24 dernières heures de la journée d'hier*. </t>
        </is>
      </c>
      <c r="E306" s="70" t="n"/>
      <c r="F306" s="57" t="n"/>
      <c r="G306" s="57" t="n"/>
      <c r="H306" s="71" t="n"/>
      <c r="I306" s="102" t="inlineStr">
        <is>
          <t>false</t>
        </is>
      </c>
      <c r="J306" s="102" t="n"/>
      <c r="K306" s="102" t="n"/>
      <c r="L306" s="102" t="n"/>
      <c r="M306" s="102" t="n"/>
      <c r="N306" s="102" t="n"/>
      <c r="O306" s="102" t="n"/>
      <c r="P306" s="102" t="n"/>
      <c r="U306" s="36" t="inlineStr">
        <is>
          <t>yes</t>
        </is>
      </c>
      <c r="W306" s="172" t="n"/>
      <c r="X306" s="399" t="n">
        <v>1</v>
      </c>
      <c r="Y306" s="152">
        <f>IF(W306&lt;&gt;"",W306*X306,"")</f>
        <v/>
      </c>
      <c r="Z306" s="152">
        <f>IF(AND(W306&lt;&gt;"",U306="yes"),W306*X306,"")</f>
        <v/>
      </c>
    </row>
    <row r="307" ht="48" customHeight="1">
      <c r="A307" s="57" t="inlineStr">
        <is>
          <t>select_multiple hdds</t>
        </is>
      </c>
      <c r="B307" s="57" t="inlineStr">
        <is>
          <t>hdds</t>
        </is>
      </c>
      <c r="C307" s="35" t="inlineStr">
        <is>
          <t>Please describe the foods (meals and snacks) that you or any household member ate or drank at home yesterday (in the *24 hours of yesterday*: breakfast, lunch, dinner and snacks).</t>
        </is>
      </c>
      <c r="D307" s="35" t="inlineStr">
        <is>
          <t>Veuillez décrire les aliments [repas et collations] que vous ou tout membre du ménage avez consommés ou bus à la maison au cours de la journée d’hier [dans les *24 dernières heures*: petit-déjeuner, déjeuner, dîner et collations].</t>
        </is>
      </c>
      <c r="E307" s="70" t="n"/>
      <c r="F307" s="57" t="inlineStr">
        <is>
          <t>[INSTRUCTIONS: SELECT ALL FOOD GROUPS CONSUMED IN THE 24 HOURS OF YESTERDAY AS THE RESPONDENT ANSWERS. MULTIPLE RESPONSES POSSIBLE.]</t>
        </is>
      </c>
      <c r="G307" s="57" t="inlineStr">
        <is>
          <t>[INSTRUCTIONS :  SÉLECTIONNER TOUS LES GROUPES D'ALIMENTS CONSOMMÉS AU COURS DES 24 HEURES DE LA JOURNÉE PASSÉE DANS LES RÉPONSES DE LA PERSONNE INTERROGÉE. PLUSIEURS RÉPONSES POSSIBLES.]</t>
        </is>
      </c>
      <c r="H307" s="71" t="n"/>
      <c r="I307" s="102" t="inlineStr">
        <is>
          <t>true</t>
        </is>
      </c>
      <c r="J307" s="102" t="n"/>
      <c r="K307" s="102" t="n"/>
      <c r="L307" s="102" t="n"/>
      <c r="M307" s="102" t="n"/>
      <c r="N307" s="102" t="n"/>
      <c r="O307" s="102" t="n"/>
      <c r="P307" s="102" t="n"/>
      <c r="U307" s="36" t="inlineStr">
        <is>
          <t>yes</t>
        </is>
      </c>
      <c r="W307" s="172" t="n">
        <v>72.29513549804688</v>
      </c>
      <c r="X307" s="399" t="n">
        <v>1</v>
      </c>
      <c r="Y307" s="152">
        <f>IF(W307&lt;&gt;"",W307*X307,"")</f>
        <v/>
      </c>
      <c r="Z307" s="152">
        <f>IF(AND(W307&lt;&gt;"",U307="yes"),W307*X307,"")</f>
        <v/>
      </c>
    </row>
    <row r="308" ht="64.25" customHeight="1">
      <c r="A308" s="57" t="inlineStr">
        <is>
          <t>note</t>
        </is>
      </c>
      <c r="B308" s="57" t="inlineStr">
        <is>
          <t>hdds_confirmation</t>
        </is>
      </c>
      <c r="C308" s="35" t="inlineStr">
        <is>
          <t>[INSTRUCTIONS: Remember to probe for snacks, special foods given to children or pregnant women, ingredients in mixed dishes. At the end, probe for any food groups not specified.]</t>
        </is>
      </c>
      <c r="D308"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308" s="70" t="n"/>
      <c r="F308" s="57" t="n"/>
      <c r="G308" s="57" t="n"/>
      <c r="H308" s="71" t="n"/>
      <c r="I308" s="102" t="inlineStr">
        <is>
          <t>false</t>
        </is>
      </c>
      <c r="J308" s="102" t="n"/>
      <c r="K308" s="102" t="n"/>
      <c r="L308" s="102" t="n"/>
      <c r="M308" s="102" t="n"/>
      <c r="N308" s="102" t="n"/>
      <c r="O308" s="102" t="n"/>
      <c r="P308" s="102" t="n"/>
      <c r="U308" s="36" t="inlineStr">
        <is>
          <t>yes</t>
        </is>
      </c>
      <c r="W308" s="172" t="n">
        <v>3.705221891403198</v>
      </c>
      <c r="X308" s="399" t="n">
        <v>1</v>
      </c>
      <c r="Y308" s="152">
        <f>IF(W308&lt;&gt;"",W308*X308,"")</f>
        <v/>
      </c>
      <c r="Z308" s="152">
        <f>IF(AND(W308&lt;&gt;"",U308="yes"),W308*X308,"")</f>
        <v/>
      </c>
    </row>
    <row r="309" ht="16.25" customHeight="1">
      <c r="A309" s="57" t="inlineStr">
        <is>
          <t>end_group</t>
        </is>
      </c>
      <c r="B309" s="57" t="n"/>
      <c r="C309" s="35" t="n"/>
      <c r="D309" s="35" t="n"/>
      <c r="E309" s="70" t="n"/>
      <c r="F309" s="57" t="n"/>
      <c r="G309" s="57" t="n"/>
      <c r="H309" s="71" t="n"/>
      <c r="I309" s="102" t="n"/>
      <c r="J309" s="102" t="n"/>
      <c r="K309" s="102" t="n"/>
      <c r="L309" s="102" t="n"/>
      <c r="M309" s="102" t="n"/>
      <c r="N309" s="102" t="n"/>
      <c r="O309" s="102" t="n"/>
      <c r="P309" s="102" t="n"/>
      <c r="W309" s="172" t="n"/>
      <c r="X309" s="399" t="n">
        <v>1</v>
      </c>
      <c r="Y309" s="152">
        <f>IF(W309&lt;&gt;"",W309*X309,"")</f>
        <v/>
      </c>
      <c r="Z309" s="152">
        <f>IF(AND(W309&lt;&gt;"",U309="yes"),W309*X309,"")</f>
        <v/>
      </c>
    </row>
    <row r="310">
      <c r="A310" s="398" t="n"/>
      <c r="B310" s="398" t="n"/>
      <c r="E310" s="70" t="n"/>
      <c r="H310" s="71" t="n"/>
      <c r="W310" s="172" t="n"/>
      <c r="X310" s="399" t="n">
        <v>1</v>
      </c>
      <c r="Y310" s="152">
        <f>IF(W310&lt;&gt;"",W310*X310,"")</f>
        <v/>
      </c>
      <c r="Z310" s="152">
        <f>IF(AND(W310&lt;&gt;"",U310="yes"),W310*X310,"")</f>
        <v/>
      </c>
    </row>
    <row r="311" ht="16.25" customFormat="1" customHeight="1" s="59">
      <c r="A311" s="59" t="inlineStr">
        <is>
          <t>begin_group</t>
        </is>
      </c>
      <c r="B311" s="59" t="inlineStr">
        <is>
          <t>grp_fcs</t>
        </is>
      </c>
      <c r="C311" s="147" t="inlineStr">
        <is>
          <t>FCS</t>
        </is>
      </c>
      <c r="D311" s="147" t="inlineStr">
        <is>
          <t>SCA</t>
        </is>
      </c>
      <c r="E311" s="61" t="n"/>
      <c r="H311" s="65" t="n"/>
      <c r="I311" s="103" t="n"/>
      <c r="J311" s="103" t="n"/>
      <c r="K311" s="103" t="n"/>
      <c r="L311" s="103" t="n"/>
      <c r="M311" s="103" t="n"/>
      <c r="N311" s="103" t="n"/>
      <c r="O311" s="103" t="n"/>
      <c r="P311" s="103" t="n"/>
      <c r="U311" s="59" t="inlineStr">
        <is>
          <t>no</t>
        </is>
      </c>
      <c r="W311" s="172" t="n"/>
      <c r="X311" s="399" t="n">
        <v>1</v>
      </c>
      <c r="Y311" s="152">
        <f>IF(W311&lt;&gt;"",W311*X311,"")</f>
        <v/>
      </c>
      <c r="Z311" s="152">
        <f>IF(AND(W311&lt;&gt;"",U311="yes"),W311*X311,"")</f>
        <v/>
      </c>
    </row>
    <row r="312" ht="48" customFormat="1" customHeight="1" s="60">
      <c r="A312" s="60" t="inlineStr">
        <is>
          <t>note</t>
        </is>
      </c>
      <c r="B312" s="60" t="inlineStr">
        <is>
          <t>fcs_intro</t>
        </is>
      </c>
      <c r="C312" s="60" t="inlineStr">
        <is>
          <t>Now I would like to ask you about the foods and drinks your household ate or drank in  *the last 7 days* during the day and at night [breakfast, lunch, dinner, snacks].</t>
        </is>
      </c>
      <c r="D312" s="221" t="inlineStr">
        <is>
          <t>Je voudrais maintenant vous interroger sur les aliments et les boissons consommés dans votre ménage au cours des *7 derniers jours* pendant la journée et la nuit [petit-déjeuner, déjeuner, dîner, collations].</t>
        </is>
      </c>
      <c r="E312" s="61" t="n"/>
      <c r="H312" s="61" t="n"/>
      <c r="I312" s="103" t="inlineStr">
        <is>
          <t>false</t>
        </is>
      </c>
      <c r="J312" s="118" t="n"/>
      <c r="K312" s="118" t="n"/>
      <c r="L312" s="103" t="n"/>
      <c r="M312" s="118" t="n"/>
      <c r="N312" s="118" t="n"/>
      <c r="O312" s="118" t="n"/>
      <c r="P312" s="118" t="n"/>
      <c r="U312" s="60" t="inlineStr">
        <is>
          <t>no</t>
        </is>
      </c>
      <c r="W312" s="172" t="n">
        <v>0</v>
      </c>
      <c r="X312" s="399" t="n">
        <v>1</v>
      </c>
      <c r="Y312" s="152">
        <f>IF(W312&lt;&gt;"",W312*X312,"")</f>
        <v/>
      </c>
      <c r="Z312" s="152">
        <f>IF(AND(W312&lt;&gt;"",U312="yes"),W312*X312,"")</f>
        <v/>
      </c>
    </row>
    <row r="313" ht="64.25" customFormat="1" customHeight="1" s="60">
      <c r="A313" s="60" t="inlineStr">
        <is>
          <t>integer</t>
        </is>
      </c>
      <c r="B313" s="60" t="inlineStr">
        <is>
          <t>fcs_staple_days</t>
        </is>
      </c>
      <c r="C313" s="60" t="inlineStr">
        <is>
          <t>How many days over *the last 7 days*, did members of your household eat **starches, roots and tubers** such as rice, maize, pasta, bread, sorghum, millet, potato, yam, cassava, white sweet potato?</t>
        </is>
      </c>
      <c r="D313" s="22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313" s="61" t="n"/>
      <c r="F313" s="59" t="inlineStr">
        <is>
          <t>[INSTRUCTIONS: RECORD NUMBER OF DAYS 0 - 7. IF CONSUMED ONLY IN SMALL QUANTITY, DO NOT INCLUDE.]</t>
        </is>
      </c>
      <c r="G313" s="59" t="inlineStr">
        <is>
          <t>[INSTRUCTIONS :  SAISIR LE NOMBRE DE JOURS DE 0 À 7. SI CONSOMMÉ UNIQUEMENT EN PETITE QUANTITÉ, NE PAS INCLURE.]</t>
        </is>
      </c>
      <c r="H313" s="61" t="n"/>
      <c r="I313" s="103" t="inlineStr">
        <is>
          <t>true</t>
        </is>
      </c>
      <c r="J313" s="118" t="n"/>
      <c r="K313" s="118" t="inlineStr">
        <is>
          <t>.&gt;= 0 and .&lt;=7</t>
        </is>
      </c>
      <c r="L313" s="103" t="inlineStr">
        <is>
          <t>The answer must be between 0 and 7 days</t>
        </is>
      </c>
      <c r="M313" s="118" t="n"/>
      <c r="N313" s="118" t="n"/>
      <c r="O313" s="118" t="n"/>
      <c r="P313" s="118" t="n"/>
      <c r="U313" s="60" t="inlineStr">
        <is>
          <t>no</t>
        </is>
      </c>
      <c r="W313" s="172" t="n">
        <v>17</v>
      </c>
      <c r="X313" s="399" t="n">
        <v>1</v>
      </c>
      <c r="Y313" s="152">
        <f>IF(W313&lt;&gt;"",W313*X313,"")</f>
        <v/>
      </c>
      <c r="Z313" s="152">
        <f>IF(AND(W313&lt;&gt;"",U313="yes"),W313*X313,"")</f>
        <v/>
      </c>
    </row>
    <row r="314" ht="64.25" customFormat="1" customHeight="1" s="60">
      <c r="A314" s="60" t="inlineStr">
        <is>
          <t>integer</t>
        </is>
      </c>
      <c r="B314" s="60" t="inlineStr">
        <is>
          <t>fcs_pulses_days</t>
        </is>
      </c>
      <c r="C314" s="60" t="inlineStr">
        <is>
          <t>How many days over *the last 7 days*, did members of your household eat** pulses and nuts such as beans, lentils, cowpeas, soybean, pigeon peas and peanuts or other nuts**?</t>
        </is>
      </c>
      <c r="D314" s="22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314" s="61" t="n"/>
      <c r="F314" s="59" t="inlineStr">
        <is>
          <t>[INSTRUCTIONS: RECORD NUMBER OF DAYS 0 - 7. IF CONSUMED ONLY IN SMALL QUANTITY, DO NOT INCLUDE.]</t>
        </is>
      </c>
      <c r="G314" s="59" t="inlineStr">
        <is>
          <t>[INSTRUCTIONS :  SAISIR LE NOMBRE DE JOURS DE 0 À 7. SI CONSOMMÉ UNIQUEMENT EN PETITE QUANTITÉ, NE PAS INCLURE.]</t>
        </is>
      </c>
      <c r="H314" s="61" t="n"/>
      <c r="I314" s="103" t="inlineStr">
        <is>
          <t>true</t>
        </is>
      </c>
      <c r="J314" s="118" t="n"/>
      <c r="K314" s="118" t="inlineStr">
        <is>
          <t>.&gt;= 0 and .&lt;=7</t>
        </is>
      </c>
      <c r="L314" s="103" t="inlineStr">
        <is>
          <t>The answer must be between 0 and 7 days</t>
        </is>
      </c>
      <c r="M314" s="118" t="n"/>
      <c r="N314" s="118" t="n"/>
      <c r="O314" s="118" t="n"/>
      <c r="P314" s="118" t="n"/>
      <c r="U314" s="60" t="inlineStr">
        <is>
          <t>no</t>
        </is>
      </c>
      <c r="W314" s="172" t="n">
        <v>17</v>
      </c>
      <c r="X314" s="399" t="n">
        <v>1</v>
      </c>
      <c r="Y314" s="152">
        <f>IF(W314&lt;&gt;"",W314*X314,"")</f>
        <v/>
      </c>
      <c r="Z314" s="152">
        <f>IF(AND(W314&lt;&gt;"",U314="yes"),W314*X314,"")</f>
        <v/>
      </c>
    </row>
    <row r="315" ht="48" customFormat="1" customHeight="1" s="60">
      <c r="A315" s="60" t="inlineStr">
        <is>
          <t>integer</t>
        </is>
      </c>
      <c r="B315" s="60" t="inlineStr">
        <is>
          <t>fcs_vegetables_days</t>
        </is>
      </c>
      <c r="C315" s="60" t="inlineStr">
        <is>
          <t>How many days over *the last 7 days*, did members of your household eat **vegetables or leaves** such as Tomato, spinach, cabbage, carrot, onion, sorrel, eggplant, bean, cucumber, eggplant and/or other leaves/vegetables?</t>
        </is>
      </c>
      <c r="D315" s="222" t="inlineStr">
        <is>
          <t>Combien de fois (en nombre de jours) au cours des *7 derniers jours*, les membres de votre foyer ont-ils mangé des **légumes ou des feuilles** tels que des Tomate, épinard, choux, carottes, oignons, oseille, aubergines, haricot, concombre, aubergine et/ou d'autres feuilles/légumes ?</t>
        </is>
      </c>
      <c r="E315" s="61" t="n"/>
      <c r="F315" s="59" t="inlineStr">
        <is>
          <t>[INSTRUCTIONS: RECORD NUMBER OF DAYS 0 - 7. IF CONSUMED ONLY IN SMALL QUANTITY, DO NOT INCLUDE.]</t>
        </is>
      </c>
      <c r="G315" s="59" t="inlineStr">
        <is>
          <t>[INSTRUCTIONS :  SAISIR LE NOMBRE DE JOURS DE 0 À 7. SI CONSOMMÉ UNIQUEMENT EN PETITE QUANTITÉ, NE PAS INCLURE.]</t>
        </is>
      </c>
      <c r="H315" s="61" t="n"/>
      <c r="I315" s="103" t="inlineStr">
        <is>
          <t>true</t>
        </is>
      </c>
      <c r="J315" s="118" t="n"/>
      <c r="K315" s="118" t="inlineStr">
        <is>
          <t>.&gt;= 0 and .&lt;=7</t>
        </is>
      </c>
      <c r="L315" s="103" t="inlineStr">
        <is>
          <t>The answer must be between 0 and 7 days</t>
        </is>
      </c>
      <c r="M315" s="118" t="n"/>
      <c r="N315" s="118" t="n"/>
      <c r="O315" s="118" t="n"/>
      <c r="P315" s="118" t="n"/>
      <c r="U315" s="60" t="inlineStr">
        <is>
          <t>no</t>
        </is>
      </c>
      <c r="W315" s="172" t="n">
        <v>17</v>
      </c>
      <c r="X315" s="399" t="n">
        <v>1</v>
      </c>
      <c r="Y315" s="152">
        <f>IF(W315&lt;&gt;"",W315*X315,"")</f>
        <v/>
      </c>
      <c r="Z315" s="152">
        <f>IF(AND(W315&lt;&gt;"",U315="yes"),W315*X315,"")</f>
        <v/>
      </c>
    </row>
    <row r="316" ht="48" customFormat="1" customHeight="1" s="60">
      <c r="A316" s="60" t="inlineStr">
        <is>
          <t>integer</t>
        </is>
      </c>
      <c r="B316" s="60" t="inlineStr">
        <is>
          <t>fcs_fruit_days</t>
        </is>
      </c>
      <c r="C316" s="60" t="inlineStr">
        <is>
          <t>How many days over *the last 7 days*, did members of your household eat **fruit** such as mango, orange, papaya, guava, banana and/or other fruits?</t>
        </is>
      </c>
      <c r="D316" s="222" t="inlineStr">
        <is>
          <t>Combien de fois (en nombre de jours) au cours des *7 derniers jours*, les membres de votre foyer ont-ils mangé des **fruits** tels que des mangue, orange, papaye, goyave, banane et/ou d'autres fruits ?</t>
        </is>
      </c>
      <c r="E316" s="61" t="n"/>
      <c r="F316" s="59" t="inlineStr">
        <is>
          <t>[INSTRUCTIONS: RECORD NUMBER OF DAYS 0 - 7. IF CONSUMED ONLY IN SMALL QUANTITY, DO NOT INCLUDE.]</t>
        </is>
      </c>
      <c r="G316" s="59" t="inlineStr">
        <is>
          <t>[INSTRUCTIONS :  SAISIR LE NOMBRE DE JOURS DE 0 À 7. SI CONSOMMÉ UNIQUEMENT EN PETITE QUANTITÉ, NE PAS INCLURE.]</t>
        </is>
      </c>
      <c r="H316" s="61" t="n"/>
      <c r="I316" s="103" t="inlineStr">
        <is>
          <t>true</t>
        </is>
      </c>
      <c r="J316" s="118" t="n"/>
      <c r="K316" s="118" t="inlineStr">
        <is>
          <t>.&gt;= 0 and .&lt;=7</t>
        </is>
      </c>
      <c r="L316" s="103" t="inlineStr">
        <is>
          <t>The answer must be between 0 and 7 days</t>
        </is>
      </c>
      <c r="M316" s="118" t="n"/>
      <c r="N316" s="118" t="n"/>
      <c r="O316" s="118" t="n"/>
      <c r="P316" s="118" t="n"/>
      <c r="U316" s="60" t="inlineStr">
        <is>
          <t>no</t>
        </is>
      </c>
      <c r="W316" s="172" t="n">
        <v>17</v>
      </c>
      <c r="X316" s="399" t="n">
        <v>1</v>
      </c>
      <c r="Y316" s="152">
        <f>IF(W316&lt;&gt;"",W316*X316,"")</f>
        <v/>
      </c>
      <c r="Z316" s="152">
        <f>IF(AND(W316&lt;&gt;"",U316="yes"),W316*X316,"")</f>
        <v/>
      </c>
    </row>
    <row r="317" ht="64.25" customFormat="1" customHeight="1" s="60">
      <c r="A317" s="60" t="inlineStr">
        <is>
          <t>integer</t>
        </is>
      </c>
      <c r="B317" s="60" t="inlineStr">
        <is>
          <t>fcs_meat_fish_days</t>
        </is>
      </c>
      <c r="C317" s="60" t="inlineStr">
        <is>
          <t>How many days over *the last 7 days*, did members of your household eat **meat, eggs or fish** [any type of meat or fish including insects, birds, bush meat, seafood, or organs]?</t>
        </is>
      </c>
      <c r="D317" s="221" t="inlineStr">
        <is>
          <t>Combien de fois (en nombre de jours) au cours des *7 derniers jours*, les membres de votre foyer ont-ils mangé de** la viande, des œufs ou du poisson** [tout type de viande ou  poisson, y compris des insectes, oiseaux, viande de brousse, fruits de mer ou abats]?</t>
        </is>
      </c>
      <c r="E317" s="61" t="n"/>
      <c r="F317" s="59" t="inlineStr">
        <is>
          <t>[INSTRUCTIONS: RECORD NUMBER OF DAYS 0 - 7. IF CONSUMED ONLY IN SMALL QUANTITY, DO NOT INCLUDE.]</t>
        </is>
      </c>
      <c r="G317" s="59" t="inlineStr">
        <is>
          <t>[INSTRUCTIONS :  SAISIR LE NOMBRE DE JOURS DE 0 À 7. SI CONSOMMÉ UNIQUEMENT EN PETITE QUANTITÉ, NE PAS INCLURE.]</t>
        </is>
      </c>
      <c r="H317" s="61" t="n"/>
      <c r="I317" s="103" t="inlineStr">
        <is>
          <t>true</t>
        </is>
      </c>
      <c r="J317" s="118" t="n"/>
      <c r="K317" s="118" t="inlineStr">
        <is>
          <t>.&gt;= 0 and .&lt;=7</t>
        </is>
      </c>
      <c r="L317" s="103" t="inlineStr">
        <is>
          <t>The answer must be between 0 and 7 days</t>
        </is>
      </c>
      <c r="M317" s="118" t="n"/>
      <c r="N317" s="118" t="n"/>
      <c r="O317" s="118" t="n"/>
      <c r="P317" s="118" t="n"/>
      <c r="U317" s="60" t="inlineStr">
        <is>
          <t>no</t>
        </is>
      </c>
      <c r="W317" s="172" t="n">
        <v>17</v>
      </c>
      <c r="X317" s="399" t="n">
        <v>1</v>
      </c>
      <c r="Y317" s="152">
        <f>IF(W317&lt;&gt;"",W317*X317,"")</f>
        <v/>
      </c>
      <c r="Z317" s="152">
        <f>IF(AND(W317&lt;&gt;"",U317="yes"),W317*X317,"")</f>
        <v/>
      </c>
    </row>
    <row r="318" ht="64.25" customFormat="1" customHeight="1" s="60">
      <c r="A318" s="60" t="inlineStr">
        <is>
          <t>integer</t>
        </is>
      </c>
      <c r="B318" s="60" t="inlineStr">
        <is>
          <t>fcs_dairy_days</t>
        </is>
      </c>
      <c r="C318" s="60" t="inlineStr">
        <is>
          <t>How many days over *the last 7 days*, did members of your household consume fresh milk, sour milk, yogurt, cheese or other **dairy products** [excluding margarine/butter or small amounts of milk for tea/ coffee]?</t>
        </is>
      </c>
      <c r="D318" s="22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318" s="61" t="n"/>
      <c r="F318" s="59" t="inlineStr">
        <is>
          <t>[INSTRUCTIONS: RECORD NUMBER OF DAYS 0 - 7. IF CONSUMED ONLY IN SMALL QUANTITY, DO NOT INCLUDE.]</t>
        </is>
      </c>
      <c r="G318" s="59" t="inlineStr">
        <is>
          <t>[INSTRUCTIONS :  SAISIR LE NOMBRE DE JOURS DE 0 À 7. SI CONSOMMÉ UNIQUEMENT EN PETITE QUANTITÉ, NE PAS INCLURE.]</t>
        </is>
      </c>
      <c r="H318" s="61" t="n"/>
      <c r="I318" s="103" t="inlineStr">
        <is>
          <t>true</t>
        </is>
      </c>
      <c r="J318" s="118" t="n"/>
      <c r="K318" s="118" t="inlineStr">
        <is>
          <t>.&gt;= 0 and .&lt;=7</t>
        </is>
      </c>
      <c r="L318" s="103" t="inlineStr">
        <is>
          <t>The answer must be between 0 and 7 days</t>
        </is>
      </c>
      <c r="M318" s="118" t="n"/>
      <c r="N318" s="118" t="n"/>
      <c r="O318" s="118" t="n"/>
      <c r="P318" s="118" t="n"/>
      <c r="U318" s="60" t="inlineStr">
        <is>
          <t>no</t>
        </is>
      </c>
      <c r="W318" s="172" t="n">
        <v>17</v>
      </c>
      <c r="X318" s="399" t="n">
        <v>1</v>
      </c>
      <c r="Y318" s="152">
        <f>IF(W318&lt;&gt;"",W318*X318,"")</f>
        <v/>
      </c>
      <c r="Z318" s="152">
        <f>IF(AND(W318&lt;&gt;"",U318="yes"),W318*X318,"")</f>
        <v/>
      </c>
    </row>
    <row r="319" ht="64.25" customFormat="1" customHeight="1" s="60">
      <c r="A319" s="60" t="inlineStr">
        <is>
          <t>integer</t>
        </is>
      </c>
      <c r="B319" s="60" t="inlineStr">
        <is>
          <t>fcs_sugar_days</t>
        </is>
      </c>
      <c r="C319" s="60" t="inlineStr">
        <is>
          <t>How many days over *the last 7 days*, did members of your household consume **sugar or sweets** such as sugar, honey, jam, cakes, candy, cookies, pastries, cakes and other sweets and sugary drinks?</t>
        </is>
      </c>
      <c r="D319" s="22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319" s="61" t="n"/>
      <c r="F319" s="59" t="inlineStr">
        <is>
          <t>[INSTRUCTIONS: RECORD NUMBER OF DAYS 0 - 7. IF CONSUMED ONLY IN SMALL QUANTITY, DO NOT INCLUDE.]</t>
        </is>
      </c>
      <c r="G319" s="59" t="inlineStr">
        <is>
          <t>[INSTRUCTIONS :  SAISIR LE NOMBRE DE JOURS DE 0 À 7. SI CONSOMMÉ UNIQUEMENT EN PETITE QUANTITÉ, NE PAS INCLURE.]</t>
        </is>
      </c>
      <c r="H319" s="61" t="n"/>
      <c r="I319" s="103" t="inlineStr">
        <is>
          <t>true</t>
        </is>
      </c>
      <c r="J319" s="118" t="n"/>
      <c r="K319" s="118" t="inlineStr">
        <is>
          <t>.&gt;= 0 and .&lt;=7</t>
        </is>
      </c>
      <c r="L319" s="103" t="inlineStr">
        <is>
          <t>The answer must be between 0 and 7 days</t>
        </is>
      </c>
      <c r="M319" s="118" t="n"/>
      <c r="N319" s="118" t="n"/>
      <c r="O319" s="118" t="n"/>
      <c r="P319" s="118" t="n"/>
      <c r="U319" s="60" t="inlineStr">
        <is>
          <t>no</t>
        </is>
      </c>
      <c r="W319" s="172" t="n">
        <v>17</v>
      </c>
      <c r="X319" s="399" t="n">
        <v>1</v>
      </c>
      <c r="Y319" s="152">
        <f>IF(W319&lt;&gt;"",W319*X319,"")</f>
        <v/>
      </c>
      <c r="Z319" s="152">
        <f>IF(AND(W319&lt;&gt;"",U319="yes"),W319*X319,"")</f>
        <v/>
      </c>
    </row>
    <row r="320" ht="64.25" customFormat="1" customHeight="1" s="60">
      <c r="A320" s="60" t="inlineStr">
        <is>
          <t>integer</t>
        </is>
      </c>
      <c r="B320" s="60" t="inlineStr">
        <is>
          <t>fcs_oil_days</t>
        </is>
      </c>
      <c r="C320" s="60" t="inlineStr">
        <is>
          <t>How many days over *the last 7 days*, did members of your household eat **oil/fat/butter** such as vegetable oil, palm oil, groundnut oil, margarine, other fats / oil?</t>
        </is>
      </c>
      <c r="D320" s="221" t="inlineStr">
        <is>
          <t>Combien de fois (en nombre de jours) au cours des *7 derniers jours*, les membres de votre foyer ont-ils consommé de **l'huile/de la graisse/du beurre** tels que des huiles végétales, de l'huile de palme, de l'huile d'arachide, de la margarine, d'autres graisses/huiles ?</t>
        </is>
      </c>
      <c r="E320" s="61" t="n"/>
      <c r="F320" s="59" t="inlineStr">
        <is>
          <t>[INSTRUCTIONS: RECORD NUMBER OF DAYS 0 - 7. IF CONSUMED ONLY IN SMALL QUANTITY, DO NOT INCLUDE.]</t>
        </is>
      </c>
      <c r="G320" s="59" t="inlineStr">
        <is>
          <t>[INSTRUCTIONS :  SAISIR LE NOMBRE DE JOURS DE 0 À 7. SI CONSOMMÉ UNIQUEMENT EN PETITE QUANTITÉ, NE PAS INCLURE.]</t>
        </is>
      </c>
      <c r="H320" s="61" t="n"/>
      <c r="I320" s="103" t="inlineStr">
        <is>
          <t>true</t>
        </is>
      </c>
      <c r="J320" s="118" t="n"/>
      <c r="K320" s="118" t="inlineStr">
        <is>
          <t>.&gt;= 0 and .&lt;=7</t>
        </is>
      </c>
      <c r="L320" s="103" t="inlineStr">
        <is>
          <t>The answer must be between 0 and 7 days</t>
        </is>
      </c>
      <c r="M320" s="118" t="n"/>
      <c r="N320" s="118" t="n"/>
      <c r="O320" s="118" t="n"/>
      <c r="P320" s="118" t="n"/>
      <c r="U320" s="60" t="inlineStr">
        <is>
          <t>no</t>
        </is>
      </c>
      <c r="W320" s="172" t="n">
        <v>17</v>
      </c>
      <c r="X320" s="399" t="n">
        <v>1</v>
      </c>
      <c r="Y320" s="152">
        <f>IF(W320&lt;&gt;"",W320*X320,"")</f>
        <v/>
      </c>
      <c r="Z320" s="152">
        <f>IF(AND(W320&lt;&gt;"",U320="yes"),W320*X320,"")</f>
        <v/>
      </c>
    </row>
    <row r="321" ht="64.25" customFormat="1" customHeight="1" s="60">
      <c r="A321" s="60" t="inlineStr">
        <is>
          <t>integer</t>
        </is>
      </c>
      <c r="B321" s="60" t="inlineStr">
        <is>
          <t>fcs_condiments_days</t>
        </is>
      </c>
      <c r="C321" s="60" t="inlineStr">
        <is>
          <t>How many days over *the last 7 days*, did members of your household eat **spices or condiments** such as tea, coffee, cocoa, salt, garlic, spices, yeast, meat fish as a condiment or small amounts of milk for tea or coffee?</t>
        </is>
      </c>
      <c r="D321" s="22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321" s="61" t="n"/>
      <c r="F321" s="59" t="inlineStr">
        <is>
          <t>[INSTRUCTIONS: RECORD NUMBER OF DAYS 0 - 7. IF CONSUMED ONLY IN SMALL QUANTITY, DO NOT INCLUDE.]</t>
        </is>
      </c>
      <c r="G321" s="59" t="inlineStr">
        <is>
          <t>[INSTRUCTIONS :  SAISIR LE NOMBRE DE JOURS DE 0 À 7. SI CONSOMMÉ UNIQUEMENT EN PETITE QUANTITÉ, NE PAS INCLURE.]</t>
        </is>
      </c>
      <c r="H321" s="61" t="n"/>
      <c r="I321" s="103" t="inlineStr">
        <is>
          <t>true</t>
        </is>
      </c>
      <c r="J321" s="118" t="n"/>
      <c r="K321" s="118" t="inlineStr">
        <is>
          <t>.&gt;= 0 and .&lt;=7</t>
        </is>
      </c>
      <c r="L321" s="103" t="inlineStr">
        <is>
          <t>The answer must be between 0 and 7 days</t>
        </is>
      </c>
      <c r="M321" s="118" t="n"/>
      <c r="N321" s="118" t="n"/>
      <c r="O321" s="118" t="n"/>
      <c r="P321" s="118" t="n"/>
      <c r="U321" s="60" t="inlineStr">
        <is>
          <t>no</t>
        </is>
      </c>
      <c r="W321" s="172" t="n">
        <v>17</v>
      </c>
      <c r="X321" s="399" t="n">
        <v>1</v>
      </c>
      <c r="Y321" s="152">
        <f>IF(W321&lt;&gt;"",W321*X321,"")</f>
        <v/>
      </c>
      <c r="Z321" s="152">
        <f>IF(AND(W321&lt;&gt;"",U321="yes"),W321*X321,"")</f>
        <v/>
      </c>
    </row>
    <row r="322" customFormat="1" s="59">
      <c r="A322" s="59" t="inlineStr">
        <is>
          <t>end_group</t>
        </is>
      </c>
      <c r="C322" s="60" t="n"/>
      <c r="D322" s="60" t="n"/>
      <c r="E322" s="61" t="n"/>
      <c r="H322" s="65" t="n"/>
      <c r="I322" s="103" t="n"/>
      <c r="J322" s="103" t="n"/>
      <c r="K322" s="103" t="n"/>
      <c r="L322" s="103" t="n"/>
      <c r="M322" s="103" t="n"/>
      <c r="N322" s="103" t="n"/>
      <c r="O322" s="103" t="n"/>
      <c r="P322" s="103" t="n"/>
      <c r="W322" s="172" t="n">
        <v>17</v>
      </c>
      <c r="X322" s="399" t="n">
        <v>1</v>
      </c>
      <c r="Y322" s="152">
        <f>IF(W322&lt;&gt;"",W322*X322,"")</f>
        <v/>
      </c>
      <c r="Z322" s="152">
        <f>IF(AND(W322&lt;&gt;"",U322="yes"),W322*X322,"")</f>
        <v/>
      </c>
      <c r="AA322" s="398" t="n"/>
    </row>
    <row r="323" customFormat="1" s="59">
      <c r="C323" s="60" t="n"/>
      <c r="D323" s="60" t="n"/>
      <c r="E323" s="61" t="n"/>
      <c r="H323" s="65" t="n"/>
      <c r="I323" s="103" t="n"/>
      <c r="J323" s="103" t="n"/>
      <c r="K323" s="103" t="n"/>
      <c r="L323" s="103" t="n"/>
      <c r="M323" s="103" t="n"/>
      <c r="N323" s="103" t="n"/>
      <c r="O323" s="103" t="n"/>
      <c r="P323" s="103" t="n"/>
      <c r="W323" s="172" t="n">
        <v>17</v>
      </c>
      <c r="X323" s="399" t="n">
        <v>1</v>
      </c>
      <c r="Y323" s="152">
        <f>IF(W323&lt;&gt;"",W323*X323,"")</f>
        <v/>
      </c>
      <c r="Z323" s="152">
        <f>IF(AND(W323&lt;&gt;"",U323="yes"),W323*X323,"")</f>
        <v/>
      </c>
      <c r="AA323" s="398" t="n"/>
    </row>
    <row r="324" ht="16.25" customFormat="1" customHeight="1" s="59">
      <c r="A324" s="59" t="inlineStr">
        <is>
          <t>begin_group</t>
        </is>
      </c>
      <c r="B324" s="59" t="inlineStr">
        <is>
          <t>grp_rcsi</t>
        </is>
      </c>
      <c r="C324" s="147" t="inlineStr">
        <is>
          <t>rCSI</t>
        </is>
      </c>
      <c r="D324" s="147" t="inlineStr">
        <is>
          <t>rCSI</t>
        </is>
      </c>
      <c r="E324" s="61" t="n"/>
      <c r="H324" s="65" t="n"/>
      <c r="I324" s="103" t="n"/>
      <c r="J324" s="103" t="n"/>
      <c r="K324" s="103" t="n"/>
      <c r="L324" s="103" t="n"/>
      <c r="M324" s="103" t="n"/>
      <c r="N324" s="103" t="n"/>
      <c r="O324" s="103" t="n"/>
      <c r="P324" s="103" t="n"/>
      <c r="U324" s="59" t="inlineStr">
        <is>
          <t>no</t>
        </is>
      </c>
      <c r="W324" s="172" t="n"/>
      <c r="X324" s="399" t="n">
        <v>1</v>
      </c>
      <c r="Y324" s="152">
        <f>IF(W324&lt;&gt;"",W324*X324,"")</f>
        <v/>
      </c>
      <c r="Z324" s="152">
        <f>IF(AND(W324&lt;&gt;"",U324="yes"),W324*X324,"")</f>
        <v/>
      </c>
    </row>
    <row r="325" ht="48" customFormat="1" customHeight="1" s="59">
      <c r="A325" s="59" t="inlineStr">
        <is>
          <t>note</t>
        </is>
      </c>
      <c r="B325" s="59" t="inlineStr">
        <is>
          <t>rcsi_intro</t>
        </is>
      </c>
      <c r="C325" s="60" t="inlineStr">
        <is>
          <t>Now I will ask you about the number of days, in *the last 7 days*, during which the household has done some of the actions that I will mention to cope with the lack of food or money to buy food.</t>
        </is>
      </c>
      <c r="D325" s="221" t="inlineStr">
        <is>
          <t>Je vais maintenant vous demander combien de fois (en nombre de jours), au cours des *7 derniers jours*, votre ménage a du recourir à certaines mesures pour faire face au manque de nourriture ou d'argent pour acheter de la nourriture.</t>
        </is>
      </c>
      <c r="E325" s="61" t="n"/>
      <c r="H325" s="65" t="n"/>
      <c r="I325" s="103" t="inlineStr">
        <is>
          <t>false</t>
        </is>
      </c>
      <c r="J325" s="103" t="n"/>
      <c r="K325" s="103" t="n"/>
      <c r="L325" s="103" t="n"/>
      <c r="M325" s="103" t="n"/>
      <c r="N325" s="103" t="n"/>
      <c r="O325" s="103" t="n"/>
      <c r="P325" s="103" t="n"/>
      <c r="U325" s="59" t="inlineStr">
        <is>
          <t>no</t>
        </is>
      </c>
      <c r="W325" s="172" t="n">
        <v>17</v>
      </c>
      <c r="X325" s="399" t="n">
        <v>1</v>
      </c>
      <c r="Y325" s="152">
        <f>IF(W325&lt;&gt;"",W325*X325,"")</f>
        <v/>
      </c>
      <c r="Z325" s="152">
        <f>IF(AND(W325&lt;&gt;"",U325="yes"),W325*X325,"")</f>
        <v/>
      </c>
    </row>
    <row r="326" ht="48" customFormat="1" customHeight="1" s="59">
      <c r="A326" s="59" t="inlineStr">
        <is>
          <t>integer</t>
        </is>
      </c>
      <c r="B326" s="59" t="inlineStr">
        <is>
          <t>rcsi_less_preferred_foods</t>
        </is>
      </c>
      <c r="C326" s="60" t="inlineStr">
        <is>
          <t xml:space="preserve">In *the past 7 days*, how many days did your household **rely on less preferred or less expensive food** due to lack of food/money?  </t>
        </is>
      </c>
      <c r="D326" s="221" t="inlineStr">
        <is>
          <t>Au cours des *7 derniers jours*, combien de fois (en nombre de jours) votre ménage s'est-il **rabattu sur des aliments qu'il aime moins ou moins chers** par manque de nourriture/argent ?</t>
        </is>
      </c>
      <c r="E326" s="61" t="n"/>
      <c r="F326" s="59" t="inlineStr">
        <is>
          <t>[INSTRUCTIONS: RECORD NUMBER OF DAYS 0 - 7]</t>
        </is>
      </c>
      <c r="G326" s="59" t="inlineStr">
        <is>
          <t>[INSTRUCTIONS :  SAISIR LE NOMBRE DE JOURS DE 0 À 7]</t>
        </is>
      </c>
      <c r="H326" s="65" t="n"/>
      <c r="I326" s="103" t="inlineStr">
        <is>
          <t>true</t>
        </is>
      </c>
      <c r="J326" s="103" t="n"/>
      <c r="K326" s="103" t="inlineStr">
        <is>
          <t>.&gt;= 0 and .&lt;=7</t>
        </is>
      </c>
      <c r="L326" s="103" t="inlineStr">
        <is>
          <t>The answer must be between 0 and 7 days</t>
        </is>
      </c>
      <c r="M326" s="103" t="n"/>
      <c r="N326" s="103" t="n"/>
      <c r="O326" s="103" t="n"/>
      <c r="P326" s="103" t="n"/>
      <c r="U326" s="59" t="inlineStr">
        <is>
          <t>no</t>
        </is>
      </c>
      <c r="W326" s="172" t="n">
        <v>17</v>
      </c>
      <c r="X326" s="399" t="n">
        <v>1</v>
      </c>
      <c r="Y326" s="152">
        <f>IF(W326&lt;&gt;"",W326*X326,"")</f>
        <v/>
      </c>
      <c r="Z326" s="152">
        <f>IF(AND(W326&lt;&gt;"",U326="yes"),W326*X326,"")</f>
        <v/>
      </c>
    </row>
    <row r="327" ht="48" customFormat="1" customHeight="1" s="59">
      <c r="A327" s="59" t="inlineStr">
        <is>
          <t>integer</t>
        </is>
      </c>
      <c r="B327" s="59" t="inlineStr">
        <is>
          <t>rcsi_borrowed_food</t>
        </is>
      </c>
      <c r="C327" s="60" t="inlineStr">
        <is>
          <t xml:space="preserve">In the *past 7 days*, how many days did your household **borrow food, or rely on help from a friend or relative** due to lack of food or money to buy food? </t>
        </is>
      </c>
      <c r="D327" s="221" t="inlineStr">
        <is>
          <t>Au cours des *7 derniers jours*, combien de fois (en nombre de jours) votre ménage a-t-il **emprunté de la nourriture ou demandé l'aide d'un ami ou d'un parent** en raison du manque de nourriture ou d'argent pour acheter de la nourriture ?</t>
        </is>
      </c>
      <c r="E327" s="61" t="n"/>
      <c r="F327" s="59" t="inlineStr">
        <is>
          <t>[INSTRUCTIONS: RECORD NUMBER OF DAYS 0 - 7]</t>
        </is>
      </c>
      <c r="G327" s="59" t="inlineStr">
        <is>
          <t>[INSTRUCTIONS :  SAISIR LE NOMBRE DE JOURS DE 0 À 7]</t>
        </is>
      </c>
      <c r="H327" s="65" t="n"/>
      <c r="I327" s="103" t="inlineStr">
        <is>
          <t>true</t>
        </is>
      </c>
      <c r="J327" s="103" t="n"/>
      <c r="K327" s="103" t="inlineStr">
        <is>
          <t>.&gt;= 0 and .&lt;=7</t>
        </is>
      </c>
      <c r="L327" s="103" t="inlineStr">
        <is>
          <t>The answer must be between 0 and 7 days</t>
        </is>
      </c>
      <c r="M327" s="103" t="n"/>
      <c r="N327" s="103" t="n"/>
      <c r="O327" s="103" t="n"/>
      <c r="P327" s="103" t="n"/>
      <c r="U327" s="59" t="inlineStr">
        <is>
          <t>no</t>
        </is>
      </c>
      <c r="W327" s="172" t="n">
        <v>17</v>
      </c>
      <c r="X327" s="399" t="n">
        <v>1</v>
      </c>
      <c r="Y327" s="152">
        <f>IF(W327&lt;&gt;"",W327*X327,"")</f>
        <v/>
      </c>
      <c r="Z327" s="152">
        <f>IF(AND(W327&lt;&gt;"",U327="yes"),W327*X327,"")</f>
        <v/>
      </c>
    </row>
    <row r="328" ht="48" customFormat="1" customHeight="1" s="59">
      <c r="A328" s="59" t="inlineStr">
        <is>
          <t>integer</t>
        </is>
      </c>
      <c r="B328" s="59" t="inlineStr">
        <is>
          <t>rcsi_reduce_number_meals</t>
        </is>
      </c>
      <c r="C328" s="60" t="inlineStr">
        <is>
          <t>In the past 7 days, how many days did your household **reduce the number of meals eaten in a day** due to lack of food or money to buy food?</t>
        </is>
      </c>
      <c r="D328" s="221" t="inlineStr">
        <is>
          <t>Au cours des *7 derniers jours*, combien de fois (en nombre de jours) votre ménage a-t-il **réduit le nombre de repas pris dans une journée** par manque de nourriture ou d'argent pour acheter de la nourriture ?</t>
        </is>
      </c>
      <c r="E328" s="61" t="n"/>
      <c r="F328" s="59" t="inlineStr">
        <is>
          <t>[INSTRUCTIONS: RECORD NUMBER OF DAYS 0 - 7]</t>
        </is>
      </c>
      <c r="G328" s="59" t="inlineStr">
        <is>
          <t>[INSTRUCTIONS :  SAISIR LE NOMBRE DE JOURS DE 0 À 7]</t>
        </is>
      </c>
      <c r="H328" s="65" t="n"/>
      <c r="I328" s="103" t="inlineStr">
        <is>
          <t>true</t>
        </is>
      </c>
      <c r="J328" s="103" t="n"/>
      <c r="K328" s="103" t="inlineStr">
        <is>
          <t>.&gt;= 0 and .&lt;=7</t>
        </is>
      </c>
      <c r="L328" s="103" t="inlineStr">
        <is>
          <t>The answer must be between 0 and 7 days</t>
        </is>
      </c>
      <c r="M328" s="103" t="n"/>
      <c r="N328" s="103" t="n"/>
      <c r="O328" s="103" t="n"/>
      <c r="P328" s="103" t="n"/>
      <c r="U328" s="59" t="inlineStr">
        <is>
          <t>no</t>
        </is>
      </c>
      <c r="W328" s="172" t="n">
        <v>17</v>
      </c>
      <c r="X328" s="399" t="n">
        <v>1</v>
      </c>
      <c r="Y328" s="152">
        <f>IF(W328&lt;&gt;"",W328*X328,"")</f>
        <v/>
      </c>
      <c r="Z328" s="152">
        <f>IF(AND(W328&lt;&gt;"",U328="yes"),W328*X328,"")</f>
        <v/>
      </c>
    </row>
    <row r="329" ht="48" customFormat="1" customHeight="1" s="59">
      <c r="A329" s="59" t="inlineStr">
        <is>
          <t>integer</t>
        </is>
      </c>
      <c r="B329" s="59" t="inlineStr">
        <is>
          <t>rcsi_limit_portions</t>
        </is>
      </c>
      <c r="C329" s="60" t="inlineStr">
        <is>
          <t xml:space="preserve">In the *past 7 days*, how many days did your household **limit portion sizes at mealtime** due to lack of food or money to buy food? </t>
        </is>
      </c>
      <c r="D329" s="221" t="inlineStr">
        <is>
          <t>Au cours des *7 derniers jours*, combien de fois (en nombre de jours) votre ménage a-t-il **limité la taille des portions consommées pour le repas** en raison du manque de nourriture ou d'argent pour acheter de la nourriture ?</t>
        </is>
      </c>
      <c r="E329" s="61" t="n"/>
      <c r="F329" s="59" t="inlineStr">
        <is>
          <t>[INSTRUCTIONS: RECORD NUMBER OF DAYS 0 - 7]</t>
        </is>
      </c>
      <c r="G329" s="59" t="inlineStr">
        <is>
          <t>[INSTRUCTIONS :  SAISIR LE NOMBRE DE JOURS DE 0 À 7]</t>
        </is>
      </c>
      <c r="H329" s="65" t="n"/>
      <c r="I329" s="103" t="inlineStr">
        <is>
          <t>true</t>
        </is>
      </c>
      <c r="J329" s="103" t="n"/>
      <c r="K329" s="103" t="inlineStr">
        <is>
          <t>.&gt;= 0 and .&lt;=7</t>
        </is>
      </c>
      <c r="L329" s="103" t="inlineStr">
        <is>
          <t>The answer must be between 0 and 7 days</t>
        </is>
      </c>
      <c r="M329" s="103" t="n"/>
      <c r="N329" s="103" t="n"/>
      <c r="O329" s="103" t="n"/>
      <c r="P329" s="103" t="n"/>
      <c r="U329" s="59" t="inlineStr">
        <is>
          <t>no</t>
        </is>
      </c>
      <c r="W329" s="172" t="n">
        <v>17</v>
      </c>
      <c r="X329" s="399" t="n">
        <v>1</v>
      </c>
      <c r="Y329" s="152">
        <f>IF(W329&lt;&gt;"",W329*X329,"")</f>
        <v/>
      </c>
      <c r="Z329" s="152">
        <f>IF(AND(W329&lt;&gt;"",U329="yes"),W329*X329,"")</f>
        <v/>
      </c>
    </row>
    <row r="330" ht="64.25" customFormat="1" customHeight="1" s="59">
      <c r="A330" s="59" t="inlineStr">
        <is>
          <t>integer</t>
        </is>
      </c>
      <c r="B330" s="59" t="inlineStr">
        <is>
          <t>rcsi_restrict_adult_consumpt</t>
        </is>
      </c>
      <c r="C330" s="60" t="inlineStr">
        <is>
          <t>In the *past 7 days*, how many days did your household **restrict consumption by adults so children could eat**, due to lack of food or money to buy food?</t>
        </is>
      </c>
      <c r="D330" s="220" t="inlineStr">
        <is>
          <t>Au cours des *7 derniers jours*, combien de fois (en nombre de jours) votre ménage a-t-il **limité les quantités consommées par les adultes pour que les enfants puissent manger**, par manque de nourriture ou d'argent pour acheter de la nourriture ?</t>
        </is>
      </c>
      <c r="E330" s="61" t="n"/>
      <c r="F330" s="59" t="inlineStr">
        <is>
          <t>[INSTRUCTIONS: RECORD NUMBER OF DAYS 0 - 7]</t>
        </is>
      </c>
      <c r="G330" s="59" t="inlineStr">
        <is>
          <t>[INSTRUCTIONS :  SAISIR LE NOMBRE DE JOURS DE 0 À 7]</t>
        </is>
      </c>
      <c r="H330" s="65" t="n"/>
      <c r="I330" s="103" t="inlineStr">
        <is>
          <t>true</t>
        </is>
      </c>
      <c r="J330" s="103" t="n"/>
      <c r="K330" s="103" t="inlineStr">
        <is>
          <t>.&gt;= 0 and .&lt;=7</t>
        </is>
      </c>
      <c r="L330" s="103" t="inlineStr">
        <is>
          <t>The answer must be between 0 and 7 days</t>
        </is>
      </c>
      <c r="M330" s="103" t="n"/>
      <c r="N330" s="103" t="n"/>
      <c r="O330" s="103" t="n"/>
      <c r="P330" s="103" t="n"/>
      <c r="U330" s="59" t="inlineStr">
        <is>
          <t>no</t>
        </is>
      </c>
      <c r="W330" s="172" t="n">
        <v>17</v>
      </c>
      <c r="X330" s="399" t="n">
        <v>1</v>
      </c>
      <c r="Y330" s="152">
        <f>IF(W330&lt;&gt;"",W330*X330,"")</f>
        <v/>
      </c>
      <c r="Z330" s="152">
        <f>IF(AND(W330&lt;&gt;"",U330="yes"),W330*X330,"")</f>
        <v/>
      </c>
    </row>
    <row r="331" customFormat="1" s="59">
      <c r="A331" s="59" t="inlineStr">
        <is>
          <t>end_group</t>
        </is>
      </c>
      <c r="C331" s="60" t="n"/>
      <c r="D331" s="60" t="n"/>
      <c r="E331" s="61" t="n"/>
      <c r="H331" s="65" t="n"/>
      <c r="I331" s="103" t="n"/>
      <c r="J331" s="103" t="n"/>
      <c r="K331" s="103" t="n"/>
      <c r="L331" s="103" t="n"/>
      <c r="M331" s="103" t="n"/>
      <c r="N331" s="103" t="n"/>
      <c r="O331" s="103" t="n"/>
      <c r="P331" s="103" t="n"/>
      <c r="W331" s="172" t="n"/>
      <c r="X331" s="399" t="n">
        <v>1</v>
      </c>
      <c r="Y331" s="152">
        <f>IF(W331&lt;&gt;"",W331*X331,"")</f>
        <v/>
      </c>
      <c r="Z331" s="152">
        <f>IF(AND(W331&lt;&gt;"",U331="yes"),W331*X331,"")</f>
        <v/>
      </c>
    </row>
    <row r="332" customFormat="1" s="59">
      <c r="C332" s="60" t="n"/>
      <c r="D332" s="60" t="n"/>
      <c r="E332" s="61" t="n"/>
      <c r="H332" s="65" t="n"/>
      <c r="I332" s="103" t="n"/>
      <c r="J332" s="103" t="n"/>
      <c r="K332" s="103" t="n"/>
      <c r="L332" s="103" t="n"/>
      <c r="M332" s="103" t="n"/>
      <c r="N332" s="103" t="n"/>
      <c r="O332" s="103" t="n"/>
      <c r="P332" s="103" t="n"/>
      <c r="W332" s="172" t="n"/>
      <c r="X332" s="399" t="n">
        <v>1</v>
      </c>
      <c r="Y332" s="152">
        <f>IF(W332&lt;&gt;"",W332*X332,"")</f>
        <v/>
      </c>
      <c r="Z332" s="152">
        <f>IF(AND(W332&lt;&gt;"",U332="yes"),W332*X332,"")</f>
        <v/>
      </c>
    </row>
    <row r="333" ht="16.25" customHeight="1" thickBot="1">
      <c r="A333" s="84" t="inlineStr">
        <is>
          <t>end_group</t>
        </is>
      </c>
      <c r="B333" s="84" t="n"/>
      <c r="C333" s="85" t="n"/>
      <c r="D333" s="85" t="n"/>
      <c r="E333" s="94" t="n"/>
      <c r="F333" s="84" t="n"/>
      <c r="G333" s="84" t="n"/>
      <c r="H333" s="95" t="n"/>
      <c r="I333" s="115" t="n"/>
      <c r="J333" s="115" t="n"/>
      <c r="K333" s="115" t="n"/>
      <c r="L333" s="115" t="n"/>
      <c r="M333" s="115" t="n"/>
      <c r="N333" s="115" t="n"/>
      <c r="O333" s="115" t="n"/>
      <c r="P333" s="115" t="n"/>
      <c r="W333" s="172" t="n"/>
      <c r="Y333" s="152">
        <f>IF(W333&lt;&gt;"",W333*X333,"")</f>
        <v/>
      </c>
      <c r="Z333" s="152">
        <f>IF(AND(W333&lt;&gt;"",U333="yes"),W333*X333,"")</f>
        <v/>
      </c>
    </row>
    <row r="334" ht="15" customFormat="1" customHeight="1" s="55" thickTop="1">
      <c r="A334" s="52" t="inlineStr">
        <is>
          <t>begin_group</t>
        </is>
      </c>
      <c r="B334" s="52" t="inlineStr">
        <is>
          <t>Assisstance_group</t>
        </is>
      </c>
      <c r="C334" s="76" t="inlineStr">
        <is>
          <t>NEEDS ASSISTANCE</t>
        </is>
      </c>
      <c r="D334" s="76" t="inlineStr">
        <is>
          <t>BESOIN D'ASSISTANCE</t>
        </is>
      </c>
      <c r="E334" s="53" t="n"/>
      <c r="F334" s="52" t="n"/>
      <c r="G334" s="52" t="n"/>
      <c r="H334" s="54" t="n"/>
      <c r="I334" s="107" t="inlineStr">
        <is>
          <t>false</t>
        </is>
      </c>
      <c r="J334" s="107" t="n"/>
      <c r="K334" s="107" t="n"/>
      <c r="L334" s="107" t="n"/>
      <c r="M334" s="108"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34" s="107" t="n"/>
      <c r="O334" s="107" t="n"/>
      <c r="P334" s="107" t="n"/>
      <c r="U334" s="36" t="inlineStr">
        <is>
          <t>yes</t>
        </is>
      </c>
      <c r="W334" s="172" t="n"/>
      <c r="X334" s="56" t="n"/>
      <c r="Y334" s="152">
        <f>IF(W334&lt;&gt;"",W334*X334,"")</f>
        <v/>
      </c>
      <c r="Z334" s="152">
        <f>IF(AND(W334&lt;&gt;"",U334="yes"),W334*X334,"")</f>
        <v/>
      </c>
      <c r="AA334" s="56" t="n"/>
    </row>
    <row r="335" ht="15" customFormat="1" customHeight="1" s="55">
      <c r="C335" s="77" t="n"/>
      <c r="D335" s="77" t="n"/>
      <c r="E335" s="53" t="n"/>
      <c r="H335" s="54" t="n"/>
      <c r="I335" s="108" t="n"/>
      <c r="J335" s="108" t="n"/>
      <c r="K335" s="108" t="n"/>
      <c r="L335" s="108" t="n"/>
      <c r="M335" s="108" t="n"/>
      <c r="N335" s="108" t="n"/>
      <c r="O335" s="108" t="n"/>
      <c r="P335" s="108" t="n"/>
      <c r="U335" s="36" t="n"/>
      <c r="W335" s="172" t="n"/>
      <c r="X335" s="399" t="n">
        <v>1</v>
      </c>
      <c r="Y335" s="152">
        <f>IF(W335&lt;&gt;"",W335*X335,"")</f>
        <v/>
      </c>
      <c r="Z335" s="152">
        <f>IF(AND(W335&lt;&gt;"",U335="yes"),W335*X335,"")</f>
        <v/>
      </c>
      <c r="AA335" s="56" t="n"/>
    </row>
    <row r="336" ht="32" customHeight="1">
      <c r="A336" s="57" t="inlineStr">
        <is>
          <t>select_one yes_no</t>
        </is>
      </c>
      <c r="B336" s="57" t="inlineStr">
        <is>
          <t>need</t>
        </is>
      </c>
      <c r="C336" s="35" t="inlineStr">
        <is>
          <t>Does your household need assistance for agricultural activities [including crop, livestock or fisheries/aquaculture activities] over the next 3 to 6 months?</t>
        </is>
      </c>
      <c r="D336" s="63" t="inlineStr">
        <is>
          <t xml:space="preserve">Votre ménage aura-t-il besoin d'aide pour soutenir son activité agricole [cultures, élevage et pêche/aquaculture] au cours des 3 à 6 prochains mois ? </t>
        </is>
      </c>
      <c r="E336" s="70" t="n"/>
      <c r="F336" s="57" t="n"/>
      <c r="G336" s="57" t="n"/>
      <c r="H336" s="71" t="n"/>
      <c r="I336" s="102" t="inlineStr">
        <is>
          <t>true</t>
        </is>
      </c>
      <c r="J336" s="102" t="n"/>
      <c r="K336" s="102" t="n"/>
      <c r="L336" s="102" t="n"/>
      <c r="M336" s="102" t="n"/>
      <c r="N336" s="102" t="n"/>
      <c r="O336" s="102" t="n"/>
      <c r="P336" s="102" t="n"/>
      <c r="U336" s="36" t="inlineStr">
        <is>
          <t>yes</t>
        </is>
      </c>
      <c r="W336" s="172" t="n">
        <v>19.82824516296387</v>
      </c>
      <c r="X336" s="399" t="n">
        <v>1</v>
      </c>
      <c r="Y336" s="152">
        <f>IF(W336&lt;&gt;"",W336*X336,"")</f>
        <v/>
      </c>
      <c r="Z336" s="152">
        <f>IF(AND(W336&lt;&gt;"",U336="yes"),W336*X336,"")</f>
        <v/>
      </c>
    </row>
    <row r="337" ht="48" customHeight="1">
      <c r="A337" s="57" t="inlineStr">
        <is>
          <t>select_multiple needs</t>
        </is>
      </c>
      <c r="B337" s="57" t="inlineStr">
        <is>
          <t>need_</t>
        </is>
      </c>
      <c r="C337" s="35" t="inlineStr">
        <is>
          <t>What are your household's greatest needs for assistance for your household's agricultural activities [including crop, livestock or fisheries/aquaculture production activities] over the next 3 to 6 months?</t>
        </is>
      </c>
      <c r="D337" s="63" t="inlineStr">
        <is>
          <t>Quels sont les principaux besoins d'assistance de votre ménage pour soutenir son activité agricole [cultures, élevage ou pêche/aquaculture] au cours des 3 à 6 prochains mois ?</t>
        </is>
      </c>
      <c r="E337" s="70" t="n"/>
      <c r="F337" s="57" t="inlineStr">
        <is>
          <t>[INSTRUCTIONS: MULTIPLE RESPONSE. DO NOT READ THE OPTIONS.]</t>
        </is>
      </c>
      <c r="G337" s="62" t="inlineStr">
        <is>
          <t>[INSTRUCTIONS :  PLUSIEURS RÉPONSES POSSILES. NE PAS LIRE LES OPTIONS.]</t>
        </is>
      </c>
      <c r="H337" s="71" t="n"/>
      <c r="I337" s="102" t="inlineStr">
        <is>
          <t>true</t>
        </is>
      </c>
      <c r="J337" s="102" t="n"/>
      <c r="K337" s="104" t="inlineStr">
        <is>
          <t>if(selected(., 'dk') or selected(., 'ref'), count-selected(.) = 1, count-selected(.) &gt;= 1)</t>
        </is>
      </c>
      <c r="L337" s="102" t="n"/>
      <c r="M337" s="102" t="inlineStr">
        <is>
          <t>${need} = 1</t>
        </is>
      </c>
      <c r="N337" s="102" t="n"/>
      <c r="O337" s="102" t="n"/>
      <c r="P337" s="102" t="n"/>
      <c r="U337" s="36" t="inlineStr">
        <is>
          <t>yes</t>
        </is>
      </c>
      <c r="W337" s="172" t="n">
        <v>49.52969360351562</v>
      </c>
      <c r="X337" s="399" t="n">
        <v>1</v>
      </c>
      <c r="Y337" s="152">
        <f>IF(W337&lt;&gt;"",W337*X337,"")</f>
        <v/>
      </c>
      <c r="Z337" s="152">
        <f>IF(AND(W337&lt;&gt;"",U337="yes"),W337*X337,"")</f>
        <v/>
      </c>
    </row>
    <row r="338" ht="16.25" customHeight="1">
      <c r="A338" s="57" t="inlineStr">
        <is>
          <t>text</t>
        </is>
      </c>
      <c r="B338" s="57" t="inlineStr">
        <is>
          <t>need_otherspecify</t>
        </is>
      </c>
      <c r="C338" s="63" t="inlineStr">
        <is>
          <t>If other, specify.</t>
        </is>
      </c>
      <c r="D338" s="63" t="inlineStr">
        <is>
          <t>Si autre, précisez.</t>
        </is>
      </c>
      <c r="E338" s="81" t="n"/>
      <c r="F338" s="398" t="inlineStr">
        <is>
          <t>[INSTRUCTIONS: RECORD THE OPEN RESPONSE GIVEN IN FEW WORDS. ENTER 888 FOR DON'T KNOW AND 999 FOR REFUSED]</t>
        </is>
      </c>
      <c r="G338" s="398" t="inlineStr">
        <is>
          <t>[INSTRUCTIONS :  DÉCRIVEZ LA RÉPONSE DONNÉE PAR LE RÉPONDANT EN QUELQUES MOTS. ENTREZ 888 POUR NE SAIT PAS ET 999 POUR REFUS.]</t>
        </is>
      </c>
      <c r="H338" s="71" t="n"/>
      <c r="I338" s="102" t="inlineStr">
        <is>
          <t>true</t>
        </is>
      </c>
      <c r="J338" s="102" t="n"/>
      <c r="K338" s="102" t="n"/>
      <c r="L338" s="102" t="n"/>
      <c r="M338" s="102" t="inlineStr">
        <is>
          <t>selected(${need_}, 'other')</t>
        </is>
      </c>
      <c r="N338" s="102" t="n"/>
      <c r="O338" s="102" t="n"/>
      <c r="P338" s="102" t="n"/>
      <c r="U338" s="36" t="inlineStr">
        <is>
          <t>yes</t>
        </is>
      </c>
      <c r="W338" s="172" t="n"/>
      <c r="X338" s="399" t="n">
        <v>1</v>
      </c>
      <c r="Y338" s="152">
        <f>IF(W338&lt;&gt;"",W338*X338,"")</f>
        <v/>
      </c>
      <c r="Z338" s="152">
        <f>IF(AND(W338&lt;&gt;"",U338="yes"),W338*X338,"")</f>
        <v/>
      </c>
    </row>
    <row r="339">
      <c r="D339" s="38" t="n"/>
      <c r="E339" s="70" t="n"/>
      <c r="G339" s="398" t="n"/>
      <c r="H339" s="71" t="n"/>
      <c r="W339" s="172" t="n"/>
      <c r="X339" s="399" t="n">
        <v>1</v>
      </c>
      <c r="Y339" s="152">
        <f>IF(W339&lt;&gt;"",W339*X339,"")</f>
        <v/>
      </c>
      <c r="Z339" s="152">
        <f>IF(AND(W339&lt;&gt;"",U339="yes"),W339*X339,"")</f>
        <v/>
      </c>
    </row>
    <row r="340" ht="32" customFormat="1" customHeight="1" s="398">
      <c r="A340" s="62" t="inlineStr">
        <is>
          <t>select_multiple needreceived</t>
        </is>
      </c>
      <c r="B340" s="62" t="inlineStr">
        <is>
          <t>need_received</t>
        </is>
      </c>
      <c r="C340" s="63" t="inlineStr">
        <is>
          <t>Has your household received any assistance in the last 3 months, and if so, which kind?</t>
        </is>
      </c>
      <c r="D340" s="63" t="inlineStr">
        <is>
          <t>Votre ménage a-t-il reçu une aide au cours des 3 derniers mois, et si oui, de quel type ?</t>
        </is>
      </c>
      <c r="E340" s="81" t="n"/>
      <c r="F340" s="62" t="inlineStr">
        <is>
          <t>[INSTRUCTIONS: READ OUT ANSWER OPTIONS. MULTIPLE RESPONSES POSSIBLE.]</t>
        </is>
      </c>
      <c r="G340" s="62" t="inlineStr">
        <is>
          <t>[INSTRUCTIONS :  PLUSIEURS RÉPONSES POSSIBLES. LIRE A VOIX HAUTE LES OPTIONS.]</t>
        </is>
      </c>
      <c r="H340" s="83" t="n"/>
      <c r="I340" s="104" t="inlineStr">
        <is>
          <t>true</t>
        </is>
      </c>
      <c r="J340" s="104" t="n"/>
      <c r="K340" s="104" t="inlineStr">
        <is>
          <t>if(selected(., 'dk') or selected(., 'ref') or selected(., 'none'), count-selected(.) = 1, count-selected(.) &gt;= 1)</t>
        </is>
      </c>
      <c r="L340" s="104" t="n"/>
      <c r="M340" s="104" t="n"/>
      <c r="N340" s="104" t="n"/>
      <c r="O340" s="104" t="n"/>
      <c r="P340" s="104" t="n"/>
      <c r="U340" s="398" t="inlineStr">
        <is>
          <t>yes</t>
        </is>
      </c>
      <c r="W340" s="172" t="n">
        <v>22.02975082397461</v>
      </c>
      <c r="X340" s="399" t="n">
        <v>1</v>
      </c>
      <c r="Y340" s="152">
        <f>IF(W340&lt;&gt;"",W340*X340,"")</f>
        <v/>
      </c>
      <c r="Z340" s="152">
        <f>IF(AND(W340&lt;&gt;"",U340="yes"),W340*X340,"")</f>
        <v/>
      </c>
    </row>
    <row r="341" ht="16.25" customFormat="1" customHeight="1" s="398">
      <c r="A341" s="62" t="inlineStr">
        <is>
          <t>text</t>
        </is>
      </c>
      <c r="B341" s="62" t="inlineStr">
        <is>
          <t>need_received_otherspecify</t>
        </is>
      </c>
      <c r="C341" s="63" t="inlineStr">
        <is>
          <t>If other, specify.</t>
        </is>
      </c>
      <c r="D341" s="63" t="inlineStr">
        <is>
          <t>Si autre, précisez.</t>
        </is>
      </c>
      <c r="E341" s="81" t="n"/>
      <c r="F341" s="62" t="inlineStr">
        <is>
          <t>[INSTRUCTIONS: RECORD THE OPEN RESPONSE GIVEN IN FEW WORDS. ENTER 888 FOR DON'T KNOW AND 999 FOR REFUSED]</t>
        </is>
      </c>
      <c r="G341" s="62" t="inlineStr">
        <is>
          <t>[INSTRUCTIONS :  DÉCRIVEZ LA RÉPONSE DONNÉE PAR LE RÉPONDANT EN QUELQUES MOTS. ENTREZ 888 POUR NE SAIT PAS ET 999 POUR REFUS.]</t>
        </is>
      </c>
      <c r="H341" s="83" t="n"/>
      <c r="I341" s="104" t="inlineStr">
        <is>
          <t>true</t>
        </is>
      </c>
      <c r="J341" s="104" t="n"/>
      <c r="K341" s="104" t="n"/>
      <c r="L341" s="104" t="n"/>
      <c r="M341" s="104" t="inlineStr">
        <is>
          <t>selected(${need_received}, 'other')</t>
        </is>
      </c>
      <c r="N341" s="104" t="n"/>
      <c r="O341" s="104" t="n"/>
      <c r="P341" s="104" t="n"/>
      <c r="U341" s="398" t="inlineStr">
        <is>
          <t>yes</t>
        </is>
      </c>
      <c r="W341" s="172" t="n"/>
      <c r="X341" s="399" t="n">
        <v>1</v>
      </c>
      <c r="Y341" s="152">
        <f>IF(W341&lt;&gt;"",W341*X341,"")</f>
        <v/>
      </c>
      <c r="Z341" s="152">
        <f>IF(AND(W341&lt;&gt;"",U341="yes"),W341*X341,"")</f>
        <v/>
      </c>
    </row>
    <row r="342" ht="16.25" customFormat="1" customHeight="1" s="398">
      <c r="A342" s="62" t="inlineStr">
        <is>
          <t>select_one assist_quality</t>
        </is>
      </c>
      <c r="B342" s="62" t="inlineStr">
        <is>
          <t>assistance_quality</t>
        </is>
      </c>
      <c r="C342" s="63" t="inlineStr">
        <is>
          <t xml:space="preserve">Were you satisfied with the quality of the assistance provided? </t>
        </is>
      </c>
      <c r="D342" s="63" t="inlineStr">
        <is>
          <t>Avez-vous été satisfait de la qualité de l'assistance reçue?</t>
        </is>
      </c>
      <c r="E342" s="81" t="n"/>
      <c r="F342" s="62" t="inlineStr">
        <is>
          <t>[INSTRUCTIONS: QUALITY OF ASSISTANCE IN TERMS OF SUFFICIENT ASSISTANCE FOR PRODUCTION OR SALES DIFFICULTY TO BE OVERCOME.]</t>
        </is>
      </c>
      <c r="G342" s="62" t="inlineStr">
        <is>
          <t>[INSTRUCTIONS : QUALITÉ DE L'ASSISTANCE EN TERMES D'AIDE SUFFISANTE POUR SURMONTER LES DIFFICULTÉS DE PRODUCTION OU DE VENTE.]</t>
        </is>
      </c>
      <c r="H342" s="83" t="n"/>
      <c r="I342" s="104" t="inlineStr">
        <is>
          <t>true</t>
        </is>
      </c>
      <c r="J342" s="104" t="n"/>
      <c r="K342" s="104" t="n"/>
      <c r="L342" s="104" t="n"/>
      <c r="M342" s="104" t="inlineStr">
        <is>
          <t>${need_received} != 'dk' and ${need_received} != 'ref' and ${need_received} != 'none'</t>
        </is>
      </c>
      <c r="N342" s="104" t="n"/>
      <c r="O342" s="104" t="n"/>
      <c r="P342" s="104" t="n"/>
      <c r="U342" s="398" t="inlineStr">
        <is>
          <t>yes</t>
        </is>
      </c>
      <c r="W342" s="172" t="n">
        <v>17</v>
      </c>
      <c r="X342" s="399" t="n">
        <v>1</v>
      </c>
      <c r="Y342" s="152">
        <f>IF(W342&lt;&gt;"",W342*X342,"")</f>
        <v/>
      </c>
      <c r="Z342" s="152">
        <f>IF(AND(W342&lt;&gt;"",U342="yes"),W342*X342,"")</f>
        <v/>
      </c>
    </row>
    <row r="343" customFormat="1" s="59">
      <c r="C343" s="60" t="n"/>
      <c r="D343" s="60" t="n"/>
      <c r="E343" s="61" t="n"/>
      <c r="H343" s="65" t="n"/>
      <c r="I343" s="103" t="n"/>
      <c r="J343" s="103" t="n"/>
      <c r="K343" s="103" t="n"/>
      <c r="L343" s="103" t="n"/>
      <c r="M343" s="103" t="n"/>
      <c r="N343" s="103" t="n"/>
      <c r="O343" s="103" t="n"/>
      <c r="P343" s="103" t="n"/>
      <c r="R343" s="36" t="n"/>
      <c r="W343" s="172" t="n"/>
      <c r="X343" s="399" t="n">
        <v>1</v>
      </c>
      <c r="Y343" s="152">
        <f>IF(W343&lt;&gt;"",W343*X343,"")</f>
        <v/>
      </c>
      <c r="Z343" s="152">
        <f>IF(AND(W343&lt;&gt;"",U343="yes"),W343*X343,"")</f>
        <v/>
      </c>
      <c r="AA343" s="398" t="n"/>
    </row>
    <row r="344" ht="16.25" customFormat="1" customHeight="1" s="59">
      <c r="A344" s="59" t="inlineStr">
        <is>
          <t>select_multiple provider</t>
        </is>
      </c>
      <c r="B344" s="59" t="inlineStr">
        <is>
          <t>assistance</t>
        </is>
      </c>
      <c r="C344" s="60" t="inlineStr">
        <is>
          <t>Who provided your household with this assistance?</t>
        </is>
      </c>
      <c r="D344" s="60" t="inlineStr">
        <is>
          <t xml:space="preserve">Qui a fourni cette aide à votre ménage ? </t>
        </is>
      </c>
      <c r="E344" s="61" t="n"/>
      <c r="F344" s="59" t="inlineStr">
        <is>
          <t>[INSTRUCTIONS: MULTIPLE RESPONSES.]</t>
        </is>
      </c>
      <c r="G344" s="59" t="inlineStr">
        <is>
          <t>[INSTRUCTIONS :  PLUSIEURS RÉPONSES POSSIBLES.]</t>
        </is>
      </c>
      <c r="H344" s="65" t="n"/>
      <c r="I344" s="103" t="inlineStr">
        <is>
          <t>true</t>
        </is>
      </c>
      <c r="J344" s="103" t="n"/>
      <c r="K344" s="397" t="inlineStr">
        <is>
          <t>if(selected(., 'dk') or selected(., 'ref'), count-selected(.) = 1, count-selected(.) &gt;= 1)</t>
        </is>
      </c>
      <c r="L344" s="103" t="n"/>
      <c r="M344" s="397" t="inlineStr">
        <is>
          <t>${need_received} != 'dk' and ${need_received} != 'ref' and ${need_received} != 'none'</t>
        </is>
      </c>
      <c r="N344" s="103" t="n"/>
      <c r="O344" s="103" t="n"/>
      <c r="P344" s="103" t="n"/>
      <c r="R344" s="36" t="n"/>
      <c r="U344" s="59" t="inlineStr">
        <is>
          <t>no</t>
        </is>
      </c>
      <c r="W344" s="172" t="n"/>
      <c r="X344" s="399" t="n"/>
      <c r="Y344" s="152" t="n"/>
      <c r="Z344" s="152" t="n"/>
      <c r="AA344" s="398" t="n"/>
    </row>
    <row r="345" customFormat="1" s="59">
      <c r="C345" s="60" t="n"/>
      <c r="D345" s="60" t="n"/>
      <c r="E345" s="61" t="n"/>
      <c r="H345" s="65" t="n"/>
      <c r="I345" s="103" t="n"/>
      <c r="J345" s="103" t="n"/>
      <c r="K345" s="103" t="n"/>
      <c r="L345" s="103" t="n"/>
      <c r="M345" s="103" t="n"/>
      <c r="N345" s="103" t="n"/>
      <c r="O345" s="103" t="n"/>
      <c r="P345" s="103" t="n"/>
      <c r="R345" s="36" t="n"/>
      <c r="W345" s="172" t="n"/>
      <c r="X345" s="399" t="n"/>
      <c r="Y345" s="152" t="n"/>
      <c r="Z345" s="152" t="n"/>
      <c r="AA345" s="398" t="n"/>
    </row>
    <row r="346" ht="16.25" customHeight="1" thickBot="1">
      <c r="A346" s="84" t="inlineStr">
        <is>
          <t>end_group</t>
        </is>
      </c>
      <c r="B346" s="84" t="n"/>
      <c r="C346" s="85" t="n"/>
      <c r="D346" s="85" t="n"/>
      <c r="E346" s="94" t="n"/>
      <c r="F346" s="84" t="n"/>
      <c r="G346" s="84" t="n"/>
      <c r="H346" s="95" t="n"/>
      <c r="I346" s="115" t="n"/>
      <c r="J346" s="115" t="n"/>
      <c r="K346" s="115" t="n"/>
      <c r="L346" s="115" t="n"/>
      <c r="M346" s="115" t="n"/>
      <c r="N346" s="115" t="n"/>
      <c r="O346" s="115" t="n"/>
      <c r="P346" s="115" t="n"/>
      <c r="W346" s="172" t="n"/>
      <c r="Y346" s="152">
        <f>IF(W346&lt;&gt;"",W346*X346,"")</f>
        <v/>
      </c>
      <c r="Z346" s="152">
        <f>IF(AND(W346&lt;&gt;"",U346="yes"),W346*X346,"")</f>
        <v/>
      </c>
    </row>
    <row r="347" ht="17" customFormat="1" customHeight="1" s="55" thickTop="1">
      <c r="A347" s="52" t="inlineStr">
        <is>
          <t>begin_group</t>
        </is>
      </c>
      <c r="B347" s="52" t="inlineStr">
        <is>
          <t>closing</t>
        </is>
      </c>
      <c r="C347" s="76" t="inlineStr">
        <is>
          <t>CLOSING</t>
        </is>
      </c>
      <c r="D347" s="76" t="inlineStr">
        <is>
          <t>FINALISATION DE L'ENTRETIEN</t>
        </is>
      </c>
      <c r="E347" s="53" t="n"/>
      <c r="F347" s="52" t="n"/>
      <c r="G347" s="52" t="n"/>
      <c r="H347" s="54" t="n"/>
      <c r="I347" s="107" t="inlineStr">
        <is>
          <t>false</t>
        </is>
      </c>
      <c r="J347" s="107" t="n"/>
      <c r="K347" s="107" t="n"/>
      <c r="L347" s="107" t="n"/>
      <c r="M347" s="108" t="inlineStr">
        <is>
          <t>${resp_agree} = '1' and ${hh_agricactivity} != '5' and ${hh_agricactivity} != '6'</t>
        </is>
      </c>
      <c r="N347" s="107" t="n"/>
      <c r="O347" s="107" t="n"/>
      <c r="P347" s="107" t="n"/>
      <c r="U347" s="36" t="inlineStr">
        <is>
          <t>yes</t>
        </is>
      </c>
      <c r="W347" s="172" t="n"/>
      <c r="X347" s="151" t="n"/>
      <c r="Y347" s="152">
        <f>IF(W347&lt;&gt;"",W347*X347,"")</f>
        <v/>
      </c>
      <c r="Z347" s="152">
        <f>IF(AND(W347&lt;&gt;"",U347="yes"),W347*X347,"")</f>
        <v/>
      </c>
      <c r="AA347" s="56" t="n"/>
    </row>
    <row r="348" customFormat="1" s="55">
      <c r="C348" s="77" t="n"/>
      <c r="D348" s="77" t="n"/>
      <c r="E348" s="53" t="n"/>
      <c r="H348" s="54" t="n"/>
      <c r="I348" s="108" t="n"/>
      <c r="J348" s="108" t="n"/>
      <c r="K348" s="108" t="n"/>
      <c r="L348" s="108" t="n"/>
      <c r="M348" s="108" t="n"/>
      <c r="N348" s="108" t="n"/>
      <c r="O348" s="108" t="n"/>
      <c r="P348" s="108" t="n"/>
      <c r="U348" s="36" t="n"/>
      <c r="W348" s="172" t="n"/>
      <c r="X348" s="399" t="n">
        <v>1</v>
      </c>
      <c r="Y348" s="152">
        <f>IF(W348&lt;&gt;"",W348*X348,"")</f>
        <v/>
      </c>
      <c r="Z348" s="152">
        <f>IF(AND(W348&lt;&gt;"",U348="yes"),W348*X348,"")</f>
        <v/>
      </c>
      <c r="AA348" s="56" t="n"/>
    </row>
    <row r="349" ht="32" customHeight="1">
      <c r="A349" s="57" t="inlineStr">
        <is>
          <t>select_one yesno</t>
        </is>
      </c>
      <c r="B349" s="57" t="inlineStr">
        <is>
          <t>callback</t>
        </is>
      </c>
      <c r="C349" s="35" t="inlineStr">
        <is>
          <t>Your answers will help us to understand and respond to your community needs. May we call you in a few months?</t>
        </is>
      </c>
      <c r="D349" s="212" t="inlineStr">
        <is>
          <t>Vos réponses nous aideront à comprendre les besoins de votre communauté et à y répondre. Pouvons-nous vous appeler dans quelques mois ?</t>
        </is>
      </c>
      <c r="E349" s="70" t="n"/>
      <c r="F349" s="57" t="n"/>
      <c r="G349" s="57" t="n"/>
      <c r="H349" s="71" t="n"/>
      <c r="I349" s="102" t="inlineStr">
        <is>
          <t>true</t>
        </is>
      </c>
      <c r="J349" s="102" t="n"/>
      <c r="K349" s="102" t="n"/>
      <c r="L349" s="102" t="n"/>
      <c r="M349" s="102" t="n"/>
      <c r="N349" s="102" t="n"/>
      <c r="O349" s="102" t="n"/>
      <c r="P349" s="102" t="n"/>
      <c r="U349" s="36" t="inlineStr">
        <is>
          <t>yes</t>
        </is>
      </c>
      <c r="W349" s="172" t="n">
        <v>36.78304672241211</v>
      </c>
      <c r="X349" s="399" t="n">
        <v>1</v>
      </c>
      <c r="Y349" s="152">
        <f>IF(W349&lt;&gt;"",W349*X349,"")</f>
        <v/>
      </c>
      <c r="Z349" s="152">
        <f>IF(AND(W349&lt;&gt;"",U349="yes"),W349*X349,"")</f>
        <v/>
      </c>
    </row>
    <row r="350">
      <c r="E350" s="70" t="n"/>
      <c r="H350" s="71" t="n"/>
      <c r="W350" s="172" t="n"/>
      <c r="X350" s="399" t="n">
        <v>1</v>
      </c>
      <c r="Y350" s="152">
        <f>IF(W350&lt;&gt;"",W350*X350,"")</f>
        <v/>
      </c>
      <c r="Z350" s="152">
        <f>IF(AND(W350&lt;&gt;"",U350="yes"),W350*X350,"")</f>
        <v/>
      </c>
    </row>
    <row r="351" ht="16.25" customFormat="1" customHeight="1" s="59">
      <c r="A351" s="142" t="inlineStr">
        <is>
          <t>select_multiple week</t>
        </is>
      </c>
      <c r="B351" s="142" t="inlineStr">
        <is>
          <t>future_int_day</t>
        </is>
      </c>
      <c r="C351" s="161" t="inlineStr">
        <is>
          <t>For future interviews, in which day(s) can I call you?</t>
        </is>
      </c>
      <c r="D351" s="161" t="inlineStr">
        <is>
          <t>Pour les prochains entretiens, quel(s) jour(s) puis-je vous appeler ?</t>
        </is>
      </c>
      <c r="E351" s="145" t="n"/>
      <c r="F351" s="142" t="inlineStr">
        <is>
          <t>[INSTRUCTIONS: MULTIPLE ANSWERS POSSIBLE.]</t>
        </is>
      </c>
      <c r="G351" s="142" t="inlineStr">
        <is>
          <t>[INSTRUCTIONS :  PLUSIEURS RÉPONSES POSSIBLES.]</t>
        </is>
      </c>
      <c r="H351" s="146" t="n"/>
      <c r="I351" s="141" t="inlineStr">
        <is>
          <t>true</t>
        </is>
      </c>
      <c r="J351" s="141" t="n"/>
      <c r="K351" s="119" t="n"/>
      <c r="L351" s="141" t="n"/>
      <c r="M351" s="141" t="inlineStr">
        <is>
          <t>${callback} = '1'</t>
        </is>
      </c>
      <c r="N351" s="112" t="n"/>
      <c r="O351" s="112" t="n"/>
      <c r="P351" s="112" t="n"/>
      <c r="U351" s="144" t="inlineStr">
        <is>
          <t>yes - panel</t>
        </is>
      </c>
      <c r="W351" s="172" t="n">
        <v>10</v>
      </c>
      <c r="X351" s="399" t="n">
        <v>1</v>
      </c>
      <c r="Y351" s="152">
        <f>IF(W351&lt;&gt;"",W351*X351,"")</f>
        <v/>
      </c>
      <c r="Z351" s="152">
        <f>IF(AND(W351&lt;&gt;"",U351="yes"),W351*X351,"")</f>
        <v/>
      </c>
      <c r="AA351" s="398" t="n"/>
    </row>
    <row r="352" ht="32" customFormat="1" customHeight="1" s="59">
      <c r="A352" s="142" t="inlineStr">
        <is>
          <t>select_multiple time</t>
        </is>
      </c>
      <c r="B352" s="142" t="inlineStr">
        <is>
          <t>future_int_time</t>
        </is>
      </c>
      <c r="C352" s="161" t="inlineStr">
        <is>
          <t>For future interviews, at what time(s) can I call you?</t>
        </is>
      </c>
      <c r="D352" s="161" t="inlineStr">
        <is>
          <t>Pour les prochains entretiens, à quel(s) moment(s) de la journée puis-je vous appeler ?</t>
        </is>
      </c>
      <c r="E352" s="145" t="n"/>
      <c r="F352" s="142" t="inlineStr">
        <is>
          <t>[INSTRUCTIONS: MULTIPLE ANSWERS POSSIBLE.]</t>
        </is>
      </c>
      <c r="G352" s="142" t="inlineStr">
        <is>
          <t>[INSTRUCTIONS :  PLUSIEURS RÉPONSES POSSIBLES.]</t>
        </is>
      </c>
      <c r="H352" s="146" t="n"/>
      <c r="I352" s="141" t="inlineStr">
        <is>
          <t>true</t>
        </is>
      </c>
      <c r="J352" s="141" t="n"/>
      <c r="K352" s="119" t="n"/>
      <c r="L352" s="141" t="n"/>
      <c r="M352" s="141" t="inlineStr">
        <is>
          <t>${callback} = '1'</t>
        </is>
      </c>
      <c r="N352" s="112" t="n"/>
      <c r="O352" s="112" t="n"/>
      <c r="P352" s="112" t="n"/>
      <c r="U352" s="144" t="inlineStr">
        <is>
          <t>yes - panel</t>
        </is>
      </c>
      <c r="W352" s="172" t="n">
        <v>10</v>
      </c>
      <c r="X352" s="399" t="n">
        <v>1</v>
      </c>
      <c r="Y352" s="152">
        <f>IF(W352&lt;&gt;"",W352*X352,"")</f>
        <v/>
      </c>
      <c r="Z352" s="152">
        <f>IF(AND(W352&lt;&gt;"",U352="yes"),W352*X352,"")</f>
        <v/>
      </c>
      <c r="AA352" s="398" t="n"/>
    </row>
    <row r="353" customFormat="1" s="59">
      <c r="C353" s="60" t="n"/>
      <c r="D353" s="60" t="n"/>
      <c r="E353" s="61" t="n"/>
      <c r="H353" s="65" t="n"/>
      <c r="I353" s="103" t="n"/>
      <c r="J353" s="103" t="n"/>
      <c r="K353" s="103" t="n"/>
      <c r="L353" s="103" t="n"/>
      <c r="M353" s="103" t="n"/>
      <c r="N353" s="103" t="n"/>
      <c r="O353" s="103" t="n"/>
      <c r="P353" s="103" t="n"/>
      <c r="W353" s="172" t="n"/>
      <c r="X353" s="399" t="n">
        <v>1</v>
      </c>
      <c r="Y353" s="152">
        <f>IF(W353&lt;&gt;"",W353*X353,"")</f>
        <v/>
      </c>
      <c r="Z353" s="152">
        <f>IF(AND(W353&lt;&gt;"",U353="yes"),W353*X353,"")</f>
        <v/>
      </c>
      <c r="AA353" s="398" t="n"/>
    </row>
    <row r="354" ht="16.25" customHeight="1">
      <c r="A354" s="57" t="inlineStr">
        <is>
          <t>select_one language</t>
        </is>
      </c>
      <c r="B354" s="57" t="inlineStr">
        <is>
          <t>language2</t>
        </is>
      </c>
      <c r="C354" s="35" t="inlineStr">
        <is>
          <t xml:space="preserve">Select the language that was mostly used to complete the interview. </t>
        </is>
      </c>
      <c r="D354" s="218" t="inlineStr">
        <is>
          <t>Sélectionner la langue qui a été principalement utilisée pour réaliser l'entretien.</t>
        </is>
      </c>
      <c r="E354" s="70" t="n"/>
      <c r="F354" s="57" t="n"/>
      <c r="G354" s="57" t="n"/>
      <c r="H354" s="71" t="n"/>
      <c r="I354" s="102" t="inlineStr">
        <is>
          <t>true</t>
        </is>
      </c>
      <c r="J354" s="102" t="n"/>
      <c r="K354" s="102" t="n"/>
      <c r="L354" s="102" t="n"/>
      <c r="M354" s="102" t="n"/>
      <c r="N354" s="102" t="n"/>
      <c r="O354" s="102" t="n"/>
      <c r="P354" s="102" t="n"/>
      <c r="U354" s="36" t="inlineStr">
        <is>
          <t>yes</t>
        </is>
      </c>
      <c r="W354" s="172" t="n">
        <v>3</v>
      </c>
      <c r="X354" s="399" t="n">
        <v>1</v>
      </c>
      <c r="Y354" s="152">
        <f>IF(W354&lt;&gt;"",W354*X354,"")</f>
        <v/>
      </c>
      <c r="Z354" s="152">
        <f>IF(AND(W354&lt;&gt;"",U354="yes"),W354*X354,"")</f>
        <v/>
      </c>
    </row>
    <row r="355">
      <c r="D355" s="36" t="n"/>
      <c r="E355" s="70" t="n"/>
      <c r="H355" s="71" t="n"/>
      <c r="W355" s="172" t="n"/>
      <c r="X355" s="399" t="n">
        <v>1</v>
      </c>
      <c r="Y355" s="152">
        <f>IF(W355&lt;&gt;"",W355*X355,"")</f>
        <v/>
      </c>
      <c r="Z355" s="152">
        <f>IF(AND(W355&lt;&gt;"",U355="yes"),W355*X355,"")</f>
        <v/>
      </c>
    </row>
    <row r="356" ht="16.25" customHeight="1">
      <c r="A356" s="57" t="inlineStr">
        <is>
          <t>note</t>
        </is>
      </c>
      <c r="B356" s="57" t="inlineStr">
        <is>
          <t>closeout</t>
        </is>
      </c>
      <c r="C356" s="35" t="inlineStr">
        <is>
          <t xml:space="preserve">Thank you for your time. The interview has come to an end. </t>
        </is>
      </c>
      <c r="D356" s="214" t="inlineStr">
        <is>
          <t xml:space="preserve">Merci de nous avoir accordé votre temps. L'entretien est terminé. </t>
        </is>
      </c>
      <c r="E356" s="70" t="n"/>
      <c r="F356" s="57" t="n"/>
      <c r="G356" s="57" t="n"/>
      <c r="H356" s="71" t="n"/>
      <c r="I356" s="102" t="inlineStr">
        <is>
          <t>false</t>
        </is>
      </c>
      <c r="J356" s="102" t="n"/>
      <c r="K356" s="102" t="n"/>
      <c r="L356" s="102" t="n"/>
      <c r="M356" s="102" t="n"/>
      <c r="N356" s="102" t="n"/>
      <c r="O356" s="102" t="n"/>
      <c r="P356" s="102" t="n"/>
      <c r="U356" s="36" t="inlineStr">
        <is>
          <t>no</t>
        </is>
      </c>
      <c r="W356" s="172" t="n">
        <v>0</v>
      </c>
      <c r="X356" s="399" t="n">
        <v>1</v>
      </c>
      <c r="Y356" s="152">
        <f>IF(W356&lt;&gt;"",W356*X356,"")</f>
        <v/>
      </c>
      <c r="Z356" s="152">
        <f>IF(AND(W356&lt;&gt;"",U356="yes"),W356*X356,"")</f>
        <v/>
      </c>
    </row>
    <row r="357">
      <c r="E357" s="70" t="n"/>
      <c r="H357" s="71" t="n"/>
      <c r="W357" s="172" t="n"/>
      <c r="X357" s="399" t="n">
        <v>1</v>
      </c>
      <c r="Y357" s="152">
        <f>IF(W357&lt;&gt;"",W357*X357,"")</f>
        <v/>
      </c>
      <c r="Z357" s="152">
        <f>IF(AND(W357&lt;&gt;"",U357="yes"),W357*X357,"")</f>
        <v/>
      </c>
    </row>
    <row r="358" ht="16.25" customHeight="1" thickBot="1">
      <c r="A358" s="84" t="inlineStr">
        <is>
          <t>end_group</t>
        </is>
      </c>
      <c r="B358" s="84" t="n"/>
      <c r="C358" s="85" t="n"/>
      <c r="D358" s="85" t="n"/>
      <c r="E358" s="94" t="n"/>
      <c r="F358" s="84" t="n"/>
      <c r="G358" s="84" t="n"/>
      <c r="H358" s="95" t="n"/>
      <c r="I358" s="115" t="n"/>
      <c r="J358" s="115" t="n"/>
      <c r="K358" s="115" t="n"/>
      <c r="L358" s="115" t="n"/>
      <c r="M358" s="115" t="n"/>
      <c r="N358" s="115" t="n"/>
      <c r="O358" s="115" t="n"/>
      <c r="P358" s="115" t="n"/>
      <c r="W358" s="172" t="n"/>
      <c r="Y358" s="152">
        <f>IF(W358&lt;&gt;"",W358*X358,"")</f>
        <v/>
      </c>
      <c r="Z358" s="152">
        <f>IF(AND(W358&lt;&gt;"",U358="yes"),W358*X358,"")</f>
        <v/>
      </c>
    </row>
    <row r="359" ht="16.25" customFormat="1" customHeight="1" s="59" thickTop="1">
      <c r="C359" s="60" t="n"/>
      <c r="D359" s="60" t="n"/>
      <c r="E359" s="60" t="n"/>
      <c r="I359" s="103" t="n"/>
      <c r="J359" s="103" t="n"/>
      <c r="K359" s="103" t="n"/>
      <c r="L359" s="103" t="n"/>
      <c r="M359" s="103" t="n"/>
      <c r="N359" s="103" t="n"/>
      <c r="O359" s="103" t="n"/>
      <c r="P359" s="103" t="n"/>
      <c r="W359" s="172" t="n"/>
      <c r="X359" s="156" t="n"/>
      <c r="Y359" s="155" t="n"/>
    </row>
    <row r="360" ht="16.25" customHeight="1">
      <c r="A360" s="57" t="inlineStr">
        <is>
          <t>time</t>
        </is>
      </c>
      <c r="B360" s="57" t="inlineStr">
        <is>
          <t>Interview_End_Time</t>
        </is>
      </c>
      <c r="C360" s="35" t="inlineStr">
        <is>
          <t>Interview End Time</t>
        </is>
      </c>
      <c r="D360" s="223" t="inlineStr">
        <is>
          <t>Heure de la fin de l'interview</t>
        </is>
      </c>
      <c r="F360" s="57" t="n"/>
      <c r="G360" s="57" t="n"/>
      <c r="I360" s="102" t="inlineStr">
        <is>
          <t>true</t>
        </is>
      </c>
      <c r="J360" s="102" t="n"/>
      <c r="K360" s="102" t="n"/>
      <c r="L360" s="102" t="n"/>
      <c r="M360" s="109" t="inlineStr">
        <is>
          <t>${resp_agree} = '1'</t>
        </is>
      </c>
      <c r="N360" s="102" t="n"/>
      <c r="O360" s="102" t="n"/>
      <c r="P360" s="102" t="n"/>
      <c r="U360" s="36" t="inlineStr">
        <is>
          <t>no</t>
        </is>
      </c>
      <c r="W360" s="172" t="n"/>
      <c r="Y360" s="152" t="n"/>
    </row>
    <row r="361" ht="48" customHeight="1">
      <c r="A361" s="36" t="inlineStr">
        <is>
          <t>geopoint</t>
        </is>
      </c>
      <c r="B361" s="36" t="inlineStr">
        <is>
          <t>gps_2</t>
        </is>
      </c>
      <c r="C361" s="37" t="inlineStr">
        <is>
          <t>GPS INSTRUCTION: You didn't take a measurement earlier. Now walk around the household or go near the main road and try to take a GPS measurement.</t>
        </is>
      </c>
      <c r="D361" s="262" t="inlineStr">
        <is>
          <t>INSTRUCTION GPS : Vous n'avez pas encore enregistré les coordonnées GPS. Déplacez-vous autour de la maison ou allez proche de la route principale et essayez de récupérer les coordonnées GPS de nouveau.</t>
        </is>
      </c>
      <c r="E361" s="168" t="n"/>
      <c r="H361" s="169" t="n"/>
      <c r="I361" s="109" t="inlineStr">
        <is>
          <t xml:space="preserve">false </t>
        </is>
      </c>
      <c r="M361" s="109" t="inlineStr">
        <is>
          <t>${resp_agree} = '1' and ${gps_1} = ''</t>
        </is>
      </c>
      <c r="W361" s="172" t="n"/>
      <c r="Y361" s="152" t="n"/>
    </row>
    <row r="362" ht="16.25" customFormat="1" customHeight="1" s="59">
      <c r="A362" s="59" t="inlineStr">
        <is>
          <t>text</t>
        </is>
      </c>
      <c r="B362" s="59" t="inlineStr">
        <is>
          <t>enum_notes</t>
        </is>
      </c>
      <c r="C362" s="60" t="inlineStr">
        <is>
          <t>Enter any notes or feedback from this survey:</t>
        </is>
      </c>
      <c r="D362" s="60" t="inlineStr">
        <is>
          <t>Saisissez toutes les notes ou commentaires de cet entretien :</t>
        </is>
      </c>
      <c r="E362" s="61" t="n"/>
      <c r="F362" s="59" t="inlineStr">
        <is>
          <t xml:space="preserve">Leave empty if there are no comments. </t>
        </is>
      </c>
      <c r="G362" s="59" t="inlineStr">
        <is>
          <t xml:space="preserve">Laissez vide s'il n'y a pas de commentaires. </t>
        </is>
      </c>
      <c r="H362" s="65" t="n"/>
      <c r="I362" s="103" t="inlineStr">
        <is>
          <t>false</t>
        </is>
      </c>
      <c r="J362" s="103" t="n"/>
      <c r="K362" s="103" t="n"/>
      <c r="L362" s="103" t="n"/>
      <c r="M362" s="103" t="n"/>
      <c r="N362" s="103" t="n"/>
      <c r="O362" s="103" t="n"/>
      <c r="P362" s="103" t="n"/>
      <c r="U362" s="59" t="inlineStr">
        <is>
          <t>no</t>
        </is>
      </c>
      <c r="W362" s="172" t="n"/>
      <c r="X362" s="399" t="n"/>
      <c r="Y362" s="152" t="n"/>
      <c r="Z362" s="152">
        <f>IF(AND(W362&lt;&gt;"",U362="yes"),W362*X362,"")</f>
        <v/>
      </c>
    </row>
    <row r="363">
      <c r="A363" s="57" t="inlineStr">
        <is>
          <t>calculate</t>
        </is>
      </c>
      <c r="B363" s="57" t="inlineStr">
        <is>
          <t>__version__</t>
        </is>
      </c>
      <c r="C363" s="35" t="n"/>
      <c r="D363" s="35" t="n"/>
      <c r="F363" s="57" t="n"/>
      <c r="G363" s="57" t="n"/>
      <c r="I363" s="102" t="inlineStr">
        <is>
          <t>false</t>
        </is>
      </c>
      <c r="J363" s="102" t="n"/>
      <c r="K363" s="102" t="n"/>
      <c r="L363" s="102" t="n"/>
      <c r="M363" s="102" t="n"/>
      <c r="N363" s="102" t="n"/>
      <c r="O363" s="102" t="n"/>
      <c r="P363" s="102" t="inlineStr">
        <is>
          <t>'vfVbKi5bfYAnEzqoBsXTzQ'</t>
        </is>
      </c>
      <c r="U363" s="36" t="inlineStr">
        <is>
          <t>no</t>
        </is>
      </c>
      <c r="W363" s="172" t="n"/>
    </row>
    <row r="364">
      <c r="W364" s="172" t="n"/>
    </row>
    <row r="365"/>
    <row r="366"/>
    <row r="367"/>
    <row r="368" ht="16.25" customHeight="1" thickBot="1"/>
    <row r="369" ht="17" customHeight="1" thickBot="1">
      <c r="S369" s="181" t="inlineStr">
        <is>
          <t xml:space="preserve">AVERAGE ESTIMATED DURATION </t>
        </is>
      </c>
      <c r="T369" s="182" t="n"/>
      <c r="U369" s="182" t="n"/>
      <c r="V369" s="182" t="n"/>
      <c r="W369" s="174" t="n"/>
      <c r="X369" s="157" t="n"/>
      <c r="Y369" s="158">
        <f>(SUM(Y4:Y356)/60)</f>
        <v/>
      </c>
      <c r="Z369" s="158">
        <f>(SUM(Z4:Z52)+AVERAGE(Z53:Z55)+SUM(Z56:Z356))/60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mergeCells count="25">
    <mergeCell ref="A61:A62"/>
    <mergeCell ref="S61:S62"/>
    <mergeCell ref="I61:I62"/>
    <mergeCell ref="U61:U62"/>
    <mergeCell ref="B61:B62"/>
    <mergeCell ref="D61:D62"/>
    <mergeCell ref="N61:N62"/>
    <mergeCell ref="P61:P62"/>
    <mergeCell ref="H61:H62"/>
    <mergeCell ref="T61:T62"/>
    <mergeCell ref="C61:C62"/>
    <mergeCell ref="E61:E62"/>
    <mergeCell ref="K61:K62"/>
    <mergeCell ref="Q61:Q62"/>
    <mergeCell ref="W61:W62"/>
    <mergeCell ref="M61:M62"/>
    <mergeCell ref="Y61:Y62"/>
    <mergeCell ref="O61:O62"/>
    <mergeCell ref="AA61:AA62"/>
    <mergeCell ref="R61:R62"/>
    <mergeCell ref="J61:J62"/>
    <mergeCell ref="V61:V62"/>
    <mergeCell ref="L61:L62"/>
    <mergeCell ref="X61:X62"/>
    <mergeCell ref="Z61:Z62"/>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1212"/>
  <sheetViews>
    <sheetView zoomScaleNormal="100" workbookViewId="0">
      <pane ySplit="1" topLeftCell="A126" activePane="bottomLeft" state="frozen"/>
      <selection pane="bottomLeft" activeCell="A134" sqref="A1:A1048576"/>
    </sheetView>
  </sheetViews>
  <sheetFormatPr baseColWidth="8" defaultColWidth="8.6328125" defaultRowHeight="14.5"/>
  <cols>
    <col width="15" customWidth="1" style="396" min="1" max="1"/>
    <col width="30" customWidth="1" style="396" min="2" max="2"/>
    <col width="27.08984375" customWidth="1" style="396" min="3" max="4"/>
    <col width="20" customWidth="1" style="396" min="5" max="5"/>
    <col width="16.08984375" customWidth="1" style="396" min="6" max="6"/>
    <col width="8.6328125" customWidth="1" style="396" min="7" max="7"/>
    <col width="8.6328125" customWidth="1" style="396"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Kanem</t>
        </is>
      </c>
      <c r="D2" t="inlineStr">
        <is>
          <t>Kanem</t>
        </is>
      </c>
    </row>
    <row r="3" customFormat="1" s="14">
      <c r="A3" t="inlineStr">
        <is>
          <t>enumteam</t>
        </is>
      </c>
      <c r="B3" t="n">
        <v>2</v>
      </c>
      <c r="C3" t="inlineStr">
        <is>
          <t>Lac</t>
        </is>
      </c>
      <c r="D3" t="inlineStr">
        <is>
          <t>Lac</t>
        </is>
      </c>
    </row>
    <row r="4" customFormat="1" s="14">
      <c r="A4" t="inlineStr">
        <is>
          <t>enumteam</t>
        </is>
      </c>
      <c r="B4" t="n">
        <v>3</v>
      </c>
      <c r="C4" t="inlineStr">
        <is>
          <t>Barh El Gazal</t>
        </is>
      </c>
      <c r="D4" t="inlineStr">
        <is>
          <t>Barh El Gazal</t>
        </is>
      </c>
    </row>
    <row r="5" customFormat="1" s="14">
      <c r="A5" t="inlineStr">
        <is>
          <t>enumteam</t>
        </is>
      </c>
      <c r="B5" t="n">
        <v>4</v>
      </c>
      <c r="C5" t="inlineStr">
        <is>
          <t>Wadi Fira</t>
        </is>
      </c>
      <c r="D5" t="inlineStr">
        <is>
          <t>Wadi Fira</t>
        </is>
      </c>
    </row>
    <row r="6">
      <c r="A6" t="inlineStr">
        <is>
          <t>enumteam</t>
        </is>
      </c>
      <c r="B6" t="n">
        <v>5</v>
      </c>
      <c r="C6" t="inlineStr">
        <is>
          <t>Sila</t>
        </is>
      </c>
      <c r="D6" t="inlineStr">
        <is>
          <t>Sila</t>
        </is>
      </c>
    </row>
    <row r="7">
      <c r="A7" t="inlineStr">
        <is>
          <t>enumteam</t>
        </is>
      </c>
      <c r="B7" t="n">
        <v>6</v>
      </c>
      <c r="C7" t="inlineStr">
        <is>
          <t>Ouaddai</t>
        </is>
      </c>
      <c r="D7" t="inlineStr">
        <is>
          <t>Ouaddai</t>
        </is>
      </c>
    </row>
    <row r="8"/>
    <row r="9"/>
    <row r="10"/>
    <row r="11">
      <c r="A11" t="inlineStr">
        <is>
          <t>enumerator</t>
        </is>
      </c>
      <c r="B11" t="n">
        <v>1</v>
      </c>
      <c r="C11" t="inlineStr">
        <is>
          <t>ALKALI ALIFA ABOURAYE</t>
        </is>
      </c>
      <c r="D11" t="inlineStr">
        <is>
          <t>ALKALI ALIFA ABOURAYE</t>
        </is>
      </c>
      <c r="F11" t="n">
        <v>1</v>
      </c>
    </row>
    <row r="12">
      <c r="A12" t="inlineStr">
        <is>
          <t>enumerator</t>
        </is>
      </c>
      <c r="B12" t="n">
        <v>2</v>
      </c>
      <c r="C12" t="inlineStr">
        <is>
          <t>MAHAMAT ELHADJ DJIDDA</t>
        </is>
      </c>
      <c r="D12" t="inlineStr">
        <is>
          <t>MAHAMAT ELHADJ DJIDDA</t>
        </is>
      </c>
      <c r="F12" t="n">
        <v>1</v>
      </c>
    </row>
    <row r="13">
      <c r="A13" t="inlineStr">
        <is>
          <t>enumerator</t>
        </is>
      </c>
      <c r="B13" t="n">
        <v>3</v>
      </c>
      <c r="C13" t="inlineStr">
        <is>
          <t>DINGAMDANDE CHRISTIAN</t>
        </is>
      </c>
      <c r="D13" t="inlineStr">
        <is>
          <t>DINGAMDANDE CHRISTIAN</t>
        </is>
      </c>
      <c r="F13" t="n">
        <v>1</v>
      </c>
    </row>
    <row r="14">
      <c r="A14" t="inlineStr">
        <is>
          <t>enumerator</t>
        </is>
      </c>
      <c r="B14" t="n">
        <v>4</v>
      </c>
      <c r="C14" t="inlineStr">
        <is>
          <t>BACTAR MBABI ACHILE</t>
        </is>
      </c>
      <c r="D14" t="inlineStr">
        <is>
          <t>BACTAR MBABI ACHILE</t>
        </is>
      </c>
      <c r="F14" t="n">
        <v>1</v>
      </c>
    </row>
    <row r="15">
      <c r="A15" t="inlineStr">
        <is>
          <t>enumerator</t>
        </is>
      </c>
      <c r="B15" t="n">
        <v>5</v>
      </c>
      <c r="C15" t="inlineStr">
        <is>
          <t>KOUTOU DJIMADOUMADJI</t>
        </is>
      </c>
      <c r="D15" t="inlineStr">
        <is>
          <t>KOUTOU DJIMADOUMADJI</t>
        </is>
      </c>
      <c r="F15" t="n">
        <v>1</v>
      </c>
    </row>
    <row r="16">
      <c r="A16" t="inlineStr">
        <is>
          <t>enumerator</t>
        </is>
      </c>
      <c r="B16" t="n">
        <v>6</v>
      </c>
      <c r="C16" t="inlineStr">
        <is>
          <t>Mme ZERAH WAÏDOU</t>
        </is>
      </c>
      <c r="D16" t="inlineStr">
        <is>
          <t>Mme ZERAH WAÏDOU</t>
        </is>
      </c>
      <c r="F16" t="n">
        <v>1</v>
      </c>
    </row>
    <row r="17">
      <c r="A17" t="inlineStr">
        <is>
          <t>enumerator</t>
        </is>
      </c>
      <c r="B17" t="n">
        <v>7</v>
      </c>
      <c r="C17" t="inlineStr">
        <is>
          <t>INDABO ELEKE MAXIM</t>
        </is>
      </c>
      <c r="D17" t="inlineStr">
        <is>
          <t>INDABO ELEKE MAXIM</t>
        </is>
      </c>
      <c r="F17" t="n">
        <v>1</v>
      </c>
    </row>
    <row r="18">
      <c r="A18" t="inlineStr">
        <is>
          <t>enumerator</t>
        </is>
      </c>
      <c r="B18" t="n">
        <v>8</v>
      </c>
      <c r="C18" t="inlineStr">
        <is>
          <t>HISSENI HASSAN CHIDI</t>
        </is>
      </c>
      <c r="D18" t="inlineStr">
        <is>
          <t>HISSENI HASSAN CHIDI</t>
        </is>
      </c>
      <c r="F18" t="n">
        <v>1</v>
      </c>
    </row>
    <row r="19">
      <c r="A19" t="inlineStr">
        <is>
          <t>enumerator</t>
        </is>
      </c>
      <c r="B19" t="n">
        <v>9</v>
      </c>
      <c r="C19" t="inlineStr">
        <is>
          <t>MAHAMAT MBODOU MAHAMAT</t>
        </is>
      </c>
      <c r="D19" t="inlineStr">
        <is>
          <t>MAHAMAT MBODOU MAHAMAT</t>
        </is>
      </c>
      <c r="F19" t="n">
        <v>2</v>
      </c>
    </row>
    <row r="20">
      <c r="A20" t="inlineStr">
        <is>
          <t>enumerator</t>
        </is>
      </c>
      <c r="B20" t="n">
        <v>10</v>
      </c>
      <c r="C20" t="inlineStr">
        <is>
          <t>EVELYNE DOHORADE</t>
        </is>
      </c>
      <c r="D20" t="inlineStr">
        <is>
          <t>EVELYNE DOHORADE</t>
        </is>
      </c>
      <c r="F20" t="n">
        <v>2</v>
      </c>
    </row>
    <row r="21">
      <c r="A21" t="inlineStr">
        <is>
          <t>enumerator</t>
        </is>
      </c>
      <c r="B21" t="n">
        <v>11</v>
      </c>
      <c r="C21" t="inlineStr">
        <is>
          <t>TOULA CHRISTINE TAO</t>
        </is>
      </c>
      <c r="D21" t="inlineStr">
        <is>
          <t>TOULA CHRISTINE TAO</t>
        </is>
      </c>
      <c r="F21" t="n">
        <v>2</v>
      </c>
    </row>
    <row r="22">
      <c r="A22" t="inlineStr">
        <is>
          <t>enumerator</t>
        </is>
      </c>
      <c r="B22" t="n">
        <v>12</v>
      </c>
      <c r="C22" t="inlineStr">
        <is>
          <t>MARIUS TAOLAM BALLAH</t>
        </is>
      </c>
      <c r="D22" t="inlineStr">
        <is>
          <t>MARIUS TAOLAM BALLAH</t>
        </is>
      </c>
      <c r="F22" t="n">
        <v>2</v>
      </c>
    </row>
    <row r="23">
      <c r="A23" t="inlineStr">
        <is>
          <t>enumerator</t>
        </is>
      </c>
      <c r="B23" t="n">
        <v>13</v>
      </c>
      <c r="C23" t="inlineStr">
        <is>
          <t>HASSANE MAHAMAT DJIBRINE</t>
        </is>
      </c>
      <c r="D23" t="inlineStr">
        <is>
          <t>HASSANE MAHAMAT DJIBRINE</t>
        </is>
      </c>
      <c r="F23" t="n">
        <v>2</v>
      </c>
    </row>
    <row r="24">
      <c r="A24" t="inlineStr">
        <is>
          <t>enumerator</t>
        </is>
      </c>
      <c r="B24" t="n">
        <v>14</v>
      </c>
      <c r="C24" t="inlineStr">
        <is>
          <t>NOUBARAMADJE BARNABE</t>
        </is>
      </c>
      <c r="D24" t="inlineStr">
        <is>
          <t>NOUBARAMADJE BARNABE</t>
        </is>
      </c>
      <c r="F24" t="n">
        <v>2</v>
      </c>
    </row>
    <row r="25">
      <c r="A25" t="inlineStr">
        <is>
          <t>enumerator</t>
        </is>
      </c>
      <c r="B25" t="n">
        <v>15</v>
      </c>
      <c r="C25" t="inlineStr">
        <is>
          <t>IBRAHIM MAHAMAT ADOUM DJAYA</t>
        </is>
      </c>
      <c r="D25" t="inlineStr">
        <is>
          <t>IBRAHIM MAHAMAT ADOUM DJAYA</t>
        </is>
      </c>
      <c r="F25" t="n">
        <v>2</v>
      </c>
    </row>
    <row r="26">
      <c r="A26" t="inlineStr">
        <is>
          <t>enumerator</t>
        </is>
      </c>
      <c r="B26" t="n">
        <v>16</v>
      </c>
      <c r="C26" t="inlineStr">
        <is>
          <t>FANMBAÏMBO DJABA PROSPER</t>
        </is>
      </c>
      <c r="D26" t="inlineStr">
        <is>
          <t>FANMBAÏMBO DJABA PROSPER</t>
        </is>
      </c>
      <c r="F26" t="n">
        <v>2</v>
      </c>
    </row>
    <row r="27">
      <c r="A27" t="inlineStr">
        <is>
          <t>enumerator</t>
        </is>
      </c>
      <c r="B27" t="n">
        <v>17</v>
      </c>
      <c r="C27" t="inlineStr">
        <is>
          <t>KOUTOU DJIMADOUMADJI</t>
        </is>
      </c>
      <c r="D27" t="inlineStr">
        <is>
          <t>KOUTOU DJIMADOUMADJI</t>
        </is>
      </c>
      <c r="F27" t="n">
        <v>3</v>
      </c>
    </row>
    <row r="28">
      <c r="A28" t="inlineStr">
        <is>
          <t>enumerator</t>
        </is>
      </c>
      <c r="B28" t="n">
        <v>18</v>
      </c>
      <c r="C28" t="inlineStr">
        <is>
          <t>Mme ZERAH WAÏDOU</t>
        </is>
      </c>
      <c r="D28" t="inlineStr">
        <is>
          <t>Mme ZERAH WAÏDOU</t>
        </is>
      </c>
      <c r="F28" t="n">
        <v>3</v>
      </c>
    </row>
    <row r="29">
      <c r="A29" t="inlineStr">
        <is>
          <t>enumerator</t>
        </is>
      </c>
      <c r="B29" t="n">
        <v>19</v>
      </c>
      <c r="C29" t="inlineStr">
        <is>
          <t>INDABO ELEKE MAXIM</t>
        </is>
      </c>
      <c r="D29" t="inlineStr">
        <is>
          <t>INDABO ELEKE MAXIM</t>
        </is>
      </c>
      <c r="F29" t="n">
        <v>3</v>
      </c>
    </row>
    <row r="30">
      <c r="A30" t="inlineStr">
        <is>
          <t>enumerator</t>
        </is>
      </c>
      <c r="B30" t="n">
        <v>20</v>
      </c>
      <c r="C30" t="inlineStr">
        <is>
          <t>HISSENI HASSAN CHIDI</t>
        </is>
      </c>
      <c r="D30" t="inlineStr">
        <is>
          <t>HISSENI HASSAN CHIDI</t>
        </is>
      </c>
      <c r="F30" t="n">
        <v>3</v>
      </c>
    </row>
    <row r="31">
      <c r="A31" t="inlineStr">
        <is>
          <t>enumerator</t>
        </is>
      </c>
      <c r="B31" t="n">
        <v>21</v>
      </c>
      <c r="C31" t="inlineStr">
        <is>
          <t>KOROUA KOSSE NAGUE</t>
        </is>
      </c>
      <c r="D31" t="inlineStr">
        <is>
          <t>KOROUA KOSSE NAGUE</t>
        </is>
      </c>
      <c r="F31" t="n">
        <v>3</v>
      </c>
    </row>
    <row r="32">
      <c r="A32" t="inlineStr">
        <is>
          <t>enumerator</t>
        </is>
      </c>
      <c r="B32" t="n">
        <v>22</v>
      </c>
      <c r="C32" t="inlineStr">
        <is>
          <t>MAHAMAT DJAMALADINE ADOUM</t>
        </is>
      </c>
      <c r="D32" t="inlineStr">
        <is>
          <t>MAHAMAT DJAMALADINE ADOUM</t>
        </is>
      </c>
      <c r="F32" t="n">
        <v>3</v>
      </c>
    </row>
    <row r="33">
      <c r="A33" t="inlineStr">
        <is>
          <t>enumerator</t>
        </is>
      </c>
      <c r="B33" t="n">
        <v>23</v>
      </c>
      <c r="C33" t="inlineStr">
        <is>
          <t>MAHAMAT HASSAN OUSMAN</t>
        </is>
      </c>
      <c r="D33" t="inlineStr">
        <is>
          <t>MAHAMAT HASSAN OUSMAN</t>
        </is>
      </c>
      <c r="F33" t="n">
        <v>3</v>
      </c>
    </row>
    <row r="34">
      <c r="A34" t="inlineStr">
        <is>
          <t>enumerator</t>
        </is>
      </c>
      <c r="B34" t="n">
        <v>24</v>
      </c>
      <c r="C34" t="inlineStr">
        <is>
          <t>DJENGUEMDE ELYSEE</t>
        </is>
      </c>
      <c r="D34" t="inlineStr">
        <is>
          <t>DJENGUEMDE ELYSEE</t>
        </is>
      </c>
      <c r="F34" t="n">
        <v>3</v>
      </c>
    </row>
    <row r="35">
      <c r="A35" t="inlineStr">
        <is>
          <t>enumerator</t>
        </is>
      </c>
      <c r="B35" t="n">
        <v>25</v>
      </c>
      <c r="C35" t="inlineStr">
        <is>
          <t>GAREMGOTO NADJITAMBAYE</t>
        </is>
      </c>
      <c r="D35" t="inlineStr">
        <is>
          <t>GAREMGOTO NADJITAMBAYE</t>
        </is>
      </c>
      <c r="F35" t="n">
        <v>3</v>
      </c>
    </row>
    <row r="36">
      <c r="A36" t="inlineStr">
        <is>
          <t>enumerator</t>
        </is>
      </c>
      <c r="B36" t="n">
        <v>26</v>
      </c>
      <c r="C36" t="inlineStr">
        <is>
          <t>DJAÏNGANGBAYE BAN-HALTA</t>
        </is>
      </c>
      <c r="D36" t="inlineStr">
        <is>
          <t>DJAÏNGANGBAYE BAN-HALTA</t>
        </is>
      </c>
      <c r="F36" t="n">
        <v>4</v>
      </c>
    </row>
    <row r="37">
      <c r="A37" t="inlineStr">
        <is>
          <t>enumerator</t>
        </is>
      </c>
      <c r="B37" t="n">
        <v>27</v>
      </c>
      <c r="C37" t="inlineStr">
        <is>
          <t>YONA CLÔDETTE KEÏTA</t>
        </is>
      </c>
      <c r="D37" t="inlineStr">
        <is>
          <t>YONA CLÔDETTE KEÏTA</t>
        </is>
      </c>
      <c r="F37" t="n">
        <v>4</v>
      </c>
    </row>
    <row r="38">
      <c r="A38" t="inlineStr">
        <is>
          <t>enumerator</t>
        </is>
      </c>
      <c r="B38" t="n">
        <v>28</v>
      </c>
      <c r="C38" t="inlineStr">
        <is>
          <t>MAHAMAT TAHIR ROZZI</t>
        </is>
      </c>
      <c r="D38" t="inlineStr">
        <is>
          <t>MAHAMAT TAHIR ROZZI</t>
        </is>
      </c>
      <c r="F38" t="n">
        <v>4</v>
      </c>
    </row>
    <row r="39">
      <c r="A39" t="inlineStr">
        <is>
          <t>enumerator</t>
        </is>
      </c>
      <c r="B39" t="n">
        <v>29</v>
      </c>
      <c r="C39" t="inlineStr">
        <is>
          <t>ALLARAMADJI FREDERIC</t>
        </is>
      </c>
      <c r="D39" t="inlineStr">
        <is>
          <t>ALLARAMADJI FREDERIC</t>
        </is>
      </c>
      <c r="F39" t="n">
        <v>4</v>
      </c>
    </row>
    <row r="40">
      <c r="A40" t="inlineStr">
        <is>
          <t>enumerator</t>
        </is>
      </c>
      <c r="B40" t="n">
        <v>30</v>
      </c>
      <c r="C40" t="inlineStr">
        <is>
          <t>DJAKOUALNO PENALEYE MARCELIN</t>
        </is>
      </c>
      <c r="D40" t="inlineStr">
        <is>
          <t>DJAKOUALNO PENALEYE MARCELIN</t>
        </is>
      </c>
      <c r="F40" t="n">
        <v>4</v>
      </c>
    </row>
    <row r="41">
      <c r="A41" t="inlineStr">
        <is>
          <t>enumerator</t>
        </is>
      </c>
      <c r="B41" t="n">
        <v>31</v>
      </c>
      <c r="C41" t="inlineStr">
        <is>
          <t>ABDELKERIM FADOUL</t>
        </is>
      </c>
      <c r="D41" t="inlineStr">
        <is>
          <t>ABDELKERIM FADOUL</t>
        </is>
      </c>
      <c r="F41" t="n">
        <v>4</v>
      </c>
    </row>
    <row r="42">
      <c r="A42" t="inlineStr">
        <is>
          <t>enumerator</t>
        </is>
      </c>
      <c r="B42" t="n">
        <v>32</v>
      </c>
      <c r="C42" t="inlineStr">
        <is>
          <t>HASSAN ISSA YOUSSOUBO</t>
        </is>
      </c>
      <c r="D42" t="inlineStr">
        <is>
          <t>HASSAN ISSA YOUSSOUBO</t>
        </is>
      </c>
      <c r="F42" t="n">
        <v>4</v>
      </c>
    </row>
    <row r="43">
      <c r="A43" t="inlineStr">
        <is>
          <t>enumerator</t>
        </is>
      </c>
      <c r="B43" t="n">
        <v>33</v>
      </c>
      <c r="C43" t="inlineStr">
        <is>
          <t>KEMRANGUE DJADINAR</t>
        </is>
      </c>
      <c r="D43" t="inlineStr">
        <is>
          <t>KEMRANGUE DJADINAR</t>
        </is>
      </c>
      <c r="F43" t="n">
        <v>4</v>
      </c>
    </row>
    <row r="44">
      <c r="A44" t="inlineStr">
        <is>
          <t>enumerator</t>
        </is>
      </c>
      <c r="B44" t="n">
        <v>34</v>
      </c>
      <c r="C44" t="inlineStr">
        <is>
          <t>MAHAMAT ALHADI ABDRAMAN AHAMAT</t>
        </is>
      </c>
      <c r="D44" t="inlineStr">
        <is>
          <t>MAHAMAT ALHADI ABDRAMAN AHAMAT</t>
        </is>
      </c>
      <c r="F44" t="n">
        <v>5</v>
      </c>
    </row>
    <row r="45">
      <c r="A45" t="inlineStr">
        <is>
          <t>enumerator</t>
        </is>
      </c>
      <c r="B45" t="n">
        <v>35</v>
      </c>
      <c r="C45" t="inlineStr">
        <is>
          <t>DJIMTOLOUM EVARISTE</t>
        </is>
      </c>
      <c r="D45" t="inlineStr">
        <is>
          <t>DJIMTOLOUM EVARISTE</t>
        </is>
      </c>
      <c r="F45" t="n">
        <v>5</v>
      </c>
    </row>
    <row r="46">
      <c r="A46" t="inlineStr">
        <is>
          <t>enumerator</t>
        </is>
      </c>
      <c r="B46" t="n">
        <v>36</v>
      </c>
      <c r="C46" t="inlineStr">
        <is>
          <t>NTOÏALLAH SOU IV</t>
        </is>
      </c>
      <c r="D46" t="inlineStr">
        <is>
          <t>NTOÏALLAH SOU IV</t>
        </is>
      </c>
      <c r="F46" t="n">
        <v>5</v>
      </c>
    </row>
    <row r="47">
      <c r="A47" t="inlineStr">
        <is>
          <t>enumerator</t>
        </is>
      </c>
      <c r="B47" t="n">
        <v>37</v>
      </c>
      <c r="C47" t="inlineStr">
        <is>
          <t>BARADINE ISSAKHA MAHAMAT</t>
        </is>
      </c>
      <c r="D47" t="inlineStr">
        <is>
          <t>BARADINE ISSAKHA MAHAMAT</t>
        </is>
      </c>
      <c r="F47" t="n">
        <v>5</v>
      </c>
    </row>
    <row r="48">
      <c r="A48" t="inlineStr">
        <is>
          <t>enumerator</t>
        </is>
      </c>
      <c r="B48" t="n">
        <v>38</v>
      </c>
      <c r="C48" t="inlineStr">
        <is>
          <t>OUSMANE MAHAMAT OUMAR</t>
        </is>
      </c>
      <c r="D48" t="inlineStr">
        <is>
          <t>OUSMANE MAHAMAT OUMAR</t>
        </is>
      </c>
      <c r="F48" t="n">
        <v>5</v>
      </c>
    </row>
    <row r="49">
      <c r="A49" t="inlineStr">
        <is>
          <t>enumerator</t>
        </is>
      </c>
      <c r="B49" t="n">
        <v>39</v>
      </c>
      <c r="C49" t="inlineStr">
        <is>
          <t>KOROUA KOSSE NAGUE</t>
        </is>
      </c>
      <c r="D49" t="inlineStr">
        <is>
          <t>KOROUA KOSSE NAGUE</t>
        </is>
      </c>
      <c r="F49" t="n">
        <v>5</v>
      </c>
    </row>
    <row r="50">
      <c r="A50" t="inlineStr">
        <is>
          <t>enumerator</t>
        </is>
      </c>
      <c r="B50" t="n">
        <v>40</v>
      </c>
      <c r="C50" t="inlineStr">
        <is>
          <t>DINGAMNAYAL YASSIK</t>
        </is>
      </c>
      <c r="D50" t="inlineStr">
        <is>
          <t>DINGAMNAYAL YASSIK</t>
        </is>
      </c>
      <c r="F50" t="n">
        <v>5</v>
      </c>
    </row>
    <row r="51">
      <c r="A51" t="inlineStr">
        <is>
          <t>enumerator</t>
        </is>
      </c>
      <c r="B51" t="n">
        <v>41</v>
      </c>
      <c r="C51" t="inlineStr">
        <is>
          <t>MOUARANGUE DJOÏNATA</t>
        </is>
      </c>
      <c r="D51" t="inlineStr">
        <is>
          <t>MOUARANGUE DJOÏNATA</t>
        </is>
      </c>
      <c r="F51" t="n">
        <v>5</v>
      </c>
    </row>
    <row r="52">
      <c r="A52" t="inlineStr">
        <is>
          <t>enumerator</t>
        </is>
      </c>
      <c r="B52" t="n">
        <v>42</v>
      </c>
      <c r="C52" t="inlineStr">
        <is>
          <t>DJIKOLOUM DOUMNAÏBEÏ</t>
        </is>
      </c>
      <c r="D52" t="inlineStr">
        <is>
          <t>DJIKOLOUM DOUMNAÏBEÏ</t>
        </is>
      </c>
      <c r="F52" t="n">
        <v>6</v>
      </c>
    </row>
    <row r="53">
      <c r="A53" t="inlineStr">
        <is>
          <t>enumerator</t>
        </is>
      </c>
      <c r="B53" t="n">
        <v>43</v>
      </c>
      <c r="C53" t="inlineStr">
        <is>
          <t>MAHAMAT ISMAIL MAHAMAT</t>
        </is>
      </c>
      <c r="D53" t="inlineStr">
        <is>
          <t>MAHAMAT ISMAIL MAHAMAT</t>
        </is>
      </c>
      <c r="F53" t="n">
        <v>6</v>
      </c>
    </row>
    <row r="54">
      <c r="A54" t="inlineStr">
        <is>
          <t>enumerator</t>
        </is>
      </c>
      <c r="B54" t="n">
        <v>44</v>
      </c>
      <c r="C54" t="inlineStr">
        <is>
          <t>LUWETA CAROLE</t>
        </is>
      </c>
      <c r="D54" t="inlineStr">
        <is>
          <t>LUWETA CAROLE</t>
        </is>
      </c>
      <c r="F54" t="n">
        <v>6</v>
      </c>
    </row>
    <row r="55">
      <c r="A55" t="inlineStr">
        <is>
          <t>enumerator</t>
        </is>
      </c>
      <c r="B55" t="n">
        <v>45</v>
      </c>
      <c r="C55" t="inlineStr">
        <is>
          <t>HASSANA SOUK</t>
        </is>
      </c>
      <c r="D55" t="inlineStr">
        <is>
          <t>HASSANA SOUK</t>
        </is>
      </c>
      <c r="F55" t="n">
        <v>6</v>
      </c>
    </row>
    <row r="56">
      <c r="A56" t="inlineStr">
        <is>
          <t>enumerator</t>
        </is>
      </c>
      <c r="B56" t="n">
        <v>46</v>
      </c>
      <c r="C56" t="inlineStr">
        <is>
          <t>OUSMANE MAHAMAT OUMAR</t>
        </is>
      </c>
      <c r="D56" t="inlineStr">
        <is>
          <t>OUSMANE MAHAMAT OUMAR</t>
        </is>
      </c>
      <c r="F56" t="n">
        <v>6</v>
      </c>
    </row>
    <row r="57">
      <c r="A57" t="inlineStr">
        <is>
          <t>enumerator</t>
        </is>
      </c>
      <c r="B57" t="n">
        <v>47</v>
      </c>
      <c r="C57" t="inlineStr">
        <is>
          <t>KOROUA KOSSE NAGUE</t>
        </is>
      </c>
      <c r="D57" t="inlineStr">
        <is>
          <t>KOROUA KOSSE NAGUE</t>
        </is>
      </c>
      <c r="F57" t="n">
        <v>6</v>
      </c>
    </row>
    <row r="58">
      <c r="A58" t="inlineStr">
        <is>
          <t>enumerator</t>
        </is>
      </c>
      <c r="B58" t="n">
        <v>48</v>
      </c>
      <c r="C58" t="inlineStr">
        <is>
          <t>DINGAMNAYAL YASSIK</t>
        </is>
      </c>
      <c r="D58" t="inlineStr">
        <is>
          <t>DINGAMNAYAL YASSIK</t>
        </is>
      </c>
      <c r="F58" t="n">
        <v>6</v>
      </c>
    </row>
    <row r="59">
      <c r="A59" t="inlineStr">
        <is>
          <t>enumerator</t>
        </is>
      </c>
      <c r="B59" t="n">
        <v>49</v>
      </c>
      <c r="C59" t="inlineStr">
        <is>
          <t>MOUARANGUE DJOÏNATA</t>
        </is>
      </c>
      <c r="D59" t="inlineStr">
        <is>
          <t>MOUARANGUE DJOÏNATA</t>
        </is>
      </c>
      <c r="F59" t="n">
        <v>6</v>
      </c>
    </row>
    <row r="60"/>
    <row r="61"/>
    <row r="62">
      <c r="A62" t="inlineStr">
        <is>
          <t>yes_no</t>
        </is>
      </c>
      <c r="B62" t="n">
        <v>1</v>
      </c>
      <c r="C62" t="inlineStr">
        <is>
          <t>Yes</t>
        </is>
      </c>
      <c r="D62" t="inlineStr">
        <is>
          <t>Oui</t>
        </is>
      </c>
    </row>
    <row r="63">
      <c r="A63" t="inlineStr">
        <is>
          <t>yes_no</t>
        </is>
      </c>
      <c r="B63" t="n">
        <v>2</v>
      </c>
      <c r="C63" t="inlineStr">
        <is>
          <t>No</t>
        </is>
      </c>
      <c r="D63" t="inlineStr">
        <is>
          <t>Non</t>
        </is>
      </c>
    </row>
    <row r="64">
      <c r="A64" t="inlineStr">
        <is>
          <t>yes_no</t>
        </is>
      </c>
      <c r="B64" t="n">
        <v>3</v>
      </c>
      <c r="C64" t="inlineStr">
        <is>
          <t>DON'T KNOW</t>
        </is>
      </c>
      <c r="D64" t="inlineStr">
        <is>
          <t>NE SAIT PAS</t>
        </is>
      </c>
    </row>
    <row r="65">
      <c r="A65" t="inlineStr">
        <is>
          <t>yes_no</t>
        </is>
      </c>
      <c r="B65" t="n">
        <v>4</v>
      </c>
      <c r="C65" t="inlineStr">
        <is>
          <t>REFUSED</t>
        </is>
      </c>
      <c r="D65" t="inlineStr">
        <is>
          <t>REFUSÉ</t>
        </is>
      </c>
    </row>
    <row r="66"/>
    <row r="67">
      <c r="A67" t="inlineStr">
        <is>
          <t>continue</t>
        </is>
      </c>
      <c r="B67" t="inlineStr">
        <is>
          <t>continue</t>
        </is>
      </c>
      <c r="C67" t="inlineStr">
        <is>
          <t>continue</t>
        </is>
      </c>
      <c r="D67" t="inlineStr">
        <is>
          <t>continuez</t>
        </is>
      </c>
    </row>
    <row r="68"/>
    <row r="69">
      <c r="A69" t="inlineStr">
        <is>
          <t>yesno</t>
        </is>
      </c>
      <c r="B69" t="n">
        <v>1</v>
      </c>
      <c r="C69" t="inlineStr">
        <is>
          <t>Yes</t>
        </is>
      </c>
      <c r="D69" t="inlineStr">
        <is>
          <t>Oui</t>
        </is>
      </c>
    </row>
    <row r="70">
      <c r="A70" t="inlineStr">
        <is>
          <t>yesno</t>
        </is>
      </c>
      <c r="B70" t="n">
        <v>2</v>
      </c>
      <c r="C70" t="inlineStr">
        <is>
          <t>No</t>
        </is>
      </c>
      <c r="D70" t="inlineStr">
        <is>
          <t>Non</t>
        </is>
      </c>
    </row>
    <row r="71"/>
    <row r="72" customFormat="1" s="11">
      <c r="A72" t="inlineStr">
        <is>
          <t>language</t>
        </is>
      </c>
      <c r="B72" t="inlineStr">
        <is>
          <t>en</t>
        </is>
      </c>
      <c r="C72" t="inlineStr">
        <is>
          <t>English</t>
        </is>
      </c>
      <c r="D72" t="inlineStr">
        <is>
          <t>English</t>
        </is>
      </c>
    </row>
    <row r="73" customFormat="1" s="11">
      <c r="A73" t="inlineStr">
        <is>
          <t>language</t>
        </is>
      </c>
      <c r="B73" t="inlineStr">
        <is>
          <t>fr</t>
        </is>
      </c>
      <c r="C73" t="inlineStr">
        <is>
          <t>French</t>
        </is>
      </c>
      <c r="D73" t="inlineStr">
        <is>
          <t>Français</t>
        </is>
      </c>
    </row>
    <row r="74" customFormat="1" s="11">
      <c r="A74" t="inlineStr">
        <is>
          <t>language</t>
        </is>
      </c>
      <c r="B74" t="inlineStr">
        <is>
          <t>…</t>
        </is>
      </c>
      <c r="C74" t="inlineStr">
        <is>
          <t>…</t>
        </is>
      </c>
      <c r="D74" t="inlineStr">
        <is>
          <t>…</t>
        </is>
      </c>
    </row>
    <row r="75"/>
    <row r="76">
      <c r="A76" t="inlineStr">
        <is>
          <t>gender</t>
        </is>
      </c>
      <c r="B76" t="n">
        <v>1</v>
      </c>
      <c r="C76" t="inlineStr">
        <is>
          <t>Male</t>
        </is>
      </c>
      <c r="D76" t="inlineStr">
        <is>
          <t>Homme</t>
        </is>
      </c>
    </row>
    <row r="77">
      <c r="A77" t="inlineStr">
        <is>
          <t>gender</t>
        </is>
      </c>
      <c r="B77" t="n">
        <v>2</v>
      </c>
      <c r="C77" t="inlineStr">
        <is>
          <t>Female</t>
        </is>
      </c>
      <c r="D77" t="inlineStr">
        <is>
          <t>Femme</t>
        </is>
      </c>
    </row>
    <row r="78">
      <c r="A78" t="inlineStr">
        <is>
          <t>gender</t>
        </is>
      </c>
      <c r="B78" t="n">
        <v>3</v>
      </c>
      <c r="C78" t="inlineStr">
        <is>
          <t>DON'T KNOW</t>
        </is>
      </c>
      <c r="D78" t="inlineStr">
        <is>
          <t>NE SAIT PAS</t>
        </is>
      </c>
    </row>
    <row r="79">
      <c r="A79" t="inlineStr">
        <is>
          <t>gender</t>
        </is>
      </c>
      <c r="B79" t="n">
        <v>4</v>
      </c>
      <c r="C79" t="inlineStr">
        <is>
          <t>REFUSED</t>
        </is>
      </c>
      <c r="D79" t="inlineStr">
        <is>
          <t>REFUSÉ</t>
        </is>
      </c>
    </row>
    <row r="80"/>
    <row r="81">
      <c r="A81" t="inlineStr">
        <is>
          <t>contact_info</t>
        </is>
      </c>
      <c r="B81" t="n">
        <v>1</v>
      </c>
      <c r="C81" t="inlineStr">
        <is>
          <t>YES - mine</t>
        </is>
      </c>
      <c r="D81" t="inlineStr">
        <is>
          <t>Oui - le mien</t>
        </is>
      </c>
    </row>
    <row r="82">
      <c r="A82" t="inlineStr">
        <is>
          <t>contact_info</t>
        </is>
      </c>
      <c r="B82" t="n">
        <v>2</v>
      </c>
      <c r="C82" t="inlineStr">
        <is>
          <t>YES - other household member</t>
        </is>
      </c>
      <c r="D82" t="inlineStr">
        <is>
          <t>Oui - un autre membre du ménage</t>
        </is>
      </c>
    </row>
    <row r="83">
      <c r="A83" t="inlineStr">
        <is>
          <t>contact_info</t>
        </is>
      </c>
      <c r="B83" t="n">
        <v>3</v>
      </c>
      <c r="C83" t="inlineStr">
        <is>
          <t>YES - friend or relative [non household member]</t>
        </is>
      </c>
      <c r="D83" t="inlineStr">
        <is>
          <t>Oui - celui d'un ami ou d'un parent [non membre du ménage]</t>
        </is>
      </c>
    </row>
    <row r="84">
      <c r="A84" t="inlineStr">
        <is>
          <t>contact_info</t>
        </is>
      </c>
      <c r="B84" t="n">
        <v>4</v>
      </c>
      <c r="C84" t="inlineStr">
        <is>
          <t>NO</t>
        </is>
      </c>
      <c r="D84" t="inlineStr">
        <is>
          <t>Non</t>
        </is>
      </c>
    </row>
    <row r="85"/>
    <row r="86">
      <c r="A86" t="inlineStr">
        <is>
          <t>agricactivity</t>
        </is>
      </c>
      <c r="B86" t="n">
        <v>1</v>
      </c>
      <c r="C86" t="inlineStr">
        <is>
          <t xml:space="preserve">Yes - crop production </t>
        </is>
      </c>
      <c r="D86" t="inlineStr">
        <is>
          <t xml:space="preserve">Oui - production végétale </t>
        </is>
      </c>
    </row>
    <row r="87">
      <c r="A87" t="inlineStr">
        <is>
          <t>agricactivity</t>
        </is>
      </c>
      <c r="B87" t="n">
        <v>2</v>
      </c>
      <c r="C87" t="inlineStr">
        <is>
          <t>Yes - livestock production</t>
        </is>
      </c>
      <c r="D87" t="inlineStr">
        <is>
          <t>Oui - production animale</t>
        </is>
      </c>
    </row>
    <row r="88">
      <c r="A88" t="inlineStr">
        <is>
          <t>agricactivity</t>
        </is>
      </c>
      <c r="B88" t="n">
        <v>3</v>
      </c>
      <c r="C88" t="inlineStr">
        <is>
          <t xml:space="preserve">Yes - both crop and livestock production </t>
        </is>
      </c>
      <c r="D88" t="inlineStr">
        <is>
          <t xml:space="preserve">Oui - production végétale et animale </t>
        </is>
      </c>
    </row>
    <row r="89">
      <c r="A89" t="inlineStr">
        <is>
          <t>agricactivity</t>
        </is>
      </c>
      <c r="B89" t="n">
        <v>4</v>
      </c>
      <c r="C89" t="inlineStr">
        <is>
          <t>No</t>
        </is>
      </c>
      <c r="D89" t="inlineStr">
        <is>
          <t>Non</t>
        </is>
      </c>
    </row>
    <row r="90">
      <c r="A90" t="inlineStr">
        <is>
          <t>agricactivity</t>
        </is>
      </c>
      <c r="B90" t="n">
        <v>5</v>
      </c>
      <c r="C90" t="inlineStr">
        <is>
          <t>DON'T KNOW</t>
        </is>
      </c>
      <c r="D90" t="inlineStr">
        <is>
          <t>NE SAIT PAS</t>
        </is>
      </c>
    </row>
    <row r="91">
      <c r="A91" t="inlineStr">
        <is>
          <t>agricactivity</t>
        </is>
      </c>
      <c r="B91" t="n">
        <v>6</v>
      </c>
      <c r="C91" t="inlineStr">
        <is>
          <t>REFUSED</t>
        </is>
      </c>
      <c r="D91" t="inlineStr">
        <is>
          <t>REFUSÉ</t>
        </is>
      </c>
    </row>
    <row r="92"/>
    <row r="93">
      <c r="A93" t="inlineStr">
        <is>
          <t>edu</t>
        </is>
      </c>
      <c r="B93" t="n">
        <v>1</v>
      </c>
      <c r="C93" t="inlineStr">
        <is>
          <t>None or did not complete primary school</t>
        </is>
      </c>
      <c r="D93" t="inlineStr">
        <is>
          <t>Aucun ou n'a pas terminé l'école primaire</t>
        </is>
      </c>
    </row>
    <row r="94">
      <c r="A94" t="inlineStr">
        <is>
          <t>edu</t>
        </is>
      </c>
      <c r="B94" t="n">
        <v>2</v>
      </c>
      <c r="C94" t="inlineStr">
        <is>
          <t>Completed primary school</t>
        </is>
      </c>
      <c r="D94" t="inlineStr">
        <is>
          <t>A terminé l'école primaire</t>
        </is>
      </c>
    </row>
    <row r="95">
      <c r="A95" t="inlineStr">
        <is>
          <t>edu</t>
        </is>
      </c>
      <c r="B95" t="n">
        <v>3</v>
      </c>
      <c r="C95" t="inlineStr">
        <is>
          <t>Completed secondary school</t>
        </is>
      </c>
      <c r="D95" t="inlineStr">
        <is>
          <t>A terminé l'école secondaire</t>
        </is>
      </c>
    </row>
    <row r="96">
      <c r="A96" t="inlineStr">
        <is>
          <t>edu</t>
        </is>
      </c>
      <c r="B96" t="n">
        <v>4</v>
      </c>
      <c r="C96" t="inlineStr">
        <is>
          <t>Completed higher education [University / College] degree</t>
        </is>
      </c>
      <c r="D96" t="inlineStr">
        <is>
          <t>Diplôme de l'enseignement supérieur [Université]</t>
        </is>
      </c>
    </row>
    <row r="97">
      <c r="A97" t="inlineStr">
        <is>
          <t>edu</t>
        </is>
      </c>
      <c r="B97" t="n">
        <v>5</v>
      </c>
      <c r="C97" t="inlineStr">
        <is>
          <t>Religious or informal education only</t>
        </is>
      </c>
      <c r="D97" t="inlineStr">
        <is>
          <t>Enseignement religieux ou informel uniquement</t>
        </is>
      </c>
    </row>
    <row r="98">
      <c r="A98" t="inlineStr">
        <is>
          <t>edu</t>
        </is>
      </c>
      <c r="B98" t="n">
        <v>6</v>
      </c>
      <c r="C98" t="inlineStr">
        <is>
          <t>DON'T KNOW</t>
        </is>
      </c>
      <c r="D98" t="inlineStr">
        <is>
          <t>NE SAIT PAS</t>
        </is>
      </c>
    </row>
    <row r="99">
      <c r="A99" t="inlineStr">
        <is>
          <t>edu</t>
        </is>
      </c>
      <c r="B99" t="n">
        <v>7</v>
      </c>
      <c r="C99" t="inlineStr">
        <is>
          <t>REFUSED</t>
        </is>
      </c>
      <c r="D99" t="inlineStr">
        <is>
          <t>REFUSÉ</t>
        </is>
      </c>
    </row>
    <row r="100"/>
    <row r="101">
      <c r="A101" t="inlineStr">
        <is>
          <t>water</t>
        </is>
      </c>
      <c r="B101" t="n">
        <v>1</v>
      </c>
      <c r="C101" t="inlineStr">
        <is>
          <t>Private tap from piped water</t>
        </is>
      </c>
      <c r="D101" t="inlineStr">
        <is>
          <t>Robinet privé avec eau courante</t>
        </is>
      </c>
    </row>
    <row r="102">
      <c r="A102" t="inlineStr">
        <is>
          <t>water</t>
        </is>
      </c>
      <c r="B102" t="n">
        <v>2</v>
      </c>
      <c r="C102" t="inlineStr">
        <is>
          <t>Public tap</t>
        </is>
      </c>
      <c r="D102" t="inlineStr">
        <is>
          <t>Robinet public</t>
        </is>
      </c>
    </row>
    <row r="103">
      <c r="A103" t="inlineStr">
        <is>
          <t>water</t>
        </is>
      </c>
      <c r="B103" t="n">
        <v>3</v>
      </c>
      <c r="C103" t="inlineStr">
        <is>
          <t>Protected well</t>
        </is>
      </c>
      <c r="D103" t="inlineStr">
        <is>
          <t>Puits protégé</t>
        </is>
      </c>
    </row>
    <row r="104">
      <c r="A104" t="inlineStr">
        <is>
          <t>water</t>
        </is>
      </c>
      <c r="B104" t="n">
        <v>4</v>
      </c>
      <c r="C104" t="inlineStr">
        <is>
          <t>Bottled water</t>
        </is>
      </c>
      <c r="D104" t="inlineStr">
        <is>
          <t>Eau en bouteille</t>
        </is>
      </c>
    </row>
    <row r="105">
      <c r="A105" t="inlineStr">
        <is>
          <t>water</t>
        </is>
      </c>
      <c r="B105" t="n">
        <v>5</v>
      </c>
      <c r="C105" t="inlineStr">
        <is>
          <t>Other safe source</t>
        </is>
      </c>
      <c r="D105" t="inlineStr">
        <is>
          <t>Autre source sûre</t>
        </is>
      </c>
    </row>
    <row r="106">
      <c r="A106" t="inlineStr">
        <is>
          <t>water</t>
        </is>
      </c>
      <c r="B106" t="n">
        <v>6</v>
      </c>
      <c r="C106" t="inlineStr">
        <is>
          <t>River</t>
        </is>
      </c>
      <c r="D106" t="inlineStr">
        <is>
          <t>Rivière</t>
        </is>
      </c>
    </row>
    <row r="107">
      <c r="A107" t="inlineStr">
        <is>
          <t>water</t>
        </is>
      </c>
      <c r="B107" t="n">
        <v>7</v>
      </c>
      <c r="C107" t="inlineStr">
        <is>
          <t>Unprotected well</t>
        </is>
      </c>
      <c r="D107" t="inlineStr">
        <is>
          <t>Puits non protégé</t>
        </is>
      </c>
    </row>
    <row r="108">
      <c r="A108" t="inlineStr">
        <is>
          <t>water</t>
        </is>
      </c>
      <c r="B108" t="n">
        <v>8</v>
      </c>
      <c r="C108" t="inlineStr">
        <is>
          <t>Spring water</t>
        </is>
      </c>
      <c r="D108" t="inlineStr">
        <is>
          <t>Eau de source</t>
        </is>
      </c>
    </row>
    <row r="109">
      <c r="A109" t="inlineStr">
        <is>
          <t>water</t>
        </is>
      </c>
      <c r="B109" t="n">
        <v>9</v>
      </c>
      <c r="C109" t="inlineStr">
        <is>
          <t>Surface water [e.g. canal, ponds, dams]</t>
        </is>
      </c>
      <c r="D109" t="inlineStr">
        <is>
          <t>Eaux de surface (par ex. canaux, étangs, barrages)</t>
        </is>
      </c>
    </row>
    <row r="110">
      <c r="A110" t="inlineStr">
        <is>
          <t>water</t>
        </is>
      </c>
      <c r="B110" t="n">
        <v>10</v>
      </c>
      <c r="C110" t="inlineStr">
        <is>
          <t>Other unsafe source</t>
        </is>
      </c>
      <c r="D110" t="inlineStr">
        <is>
          <t>Autre source non sûre</t>
        </is>
      </c>
    </row>
    <row r="111">
      <c r="A111" t="inlineStr">
        <is>
          <t>water</t>
        </is>
      </c>
      <c r="B111" t="n">
        <v>11</v>
      </c>
      <c r="C111" t="inlineStr">
        <is>
          <t>DON'T KNOW</t>
        </is>
      </c>
      <c r="D111" t="inlineStr">
        <is>
          <t>NE SAIT PAS</t>
        </is>
      </c>
    </row>
    <row r="112">
      <c r="A112" t="inlineStr">
        <is>
          <t>water</t>
        </is>
      </c>
      <c r="B112" t="n">
        <v>12</v>
      </c>
      <c r="C112" t="inlineStr">
        <is>
          <t>REFUSED</t>
        </is>
      </c>
      <c r="D112" t="inlineStr">
        <is>
          <t>REFUSÉ</t>
        </is>
      </c>
    </row>
    <row r="113"/>
    <row r="114">
      <c r="A114" t="inlineStr">
        <is>
          <t>toilet</t>
        </is>
      </c>
      <c r="B114" t="n">
        <v>1</v>
      </c>
      <c r="C114" t="inlineStr">
        <is>
          <t>Flush latrine/toilet with water</t>
        </is>
      </c>
      <c r="D114" t="inlineStr">
        <is>
          <t>Latrines à chasse d'eau [toilettes avec eau]</t>
        </is>
      </c>
    </row>
    <row r="115">
      <c r="A115" t="inlineStr">
        <is>
          <t>toilet</t>
        </is>
      </c>
      <c r="B115" t="n">
        <v>2</v>
      </c>
      <c r="C115" t="inlineStr">
        <is>
          <t>Traditional pit latrine [no water]</t>
        </is>
      </c>
      <c r="D115" t="inlineStr">
        <is>
          <t>Latrines traditionnelles à fosse [sans eau]</t>
        </is>
      </c>
    </row>
    <row r="116">
      <c r="A116" t="inlineStr">
        <is>
          <t>toilet</t>
        </is>
      </c>
      <c r="B116" t="n">
        <v>3</v>
      </c>
      <c r="C116" t="inlineStr">
        <is>
          <t>Open pit [hole in the ground for excrement without water, roof or wall]</t>
        </is>
      </c>
      <c r="D116" t="inlineStr">
        <is>
          <t>Fosse ouverte [trou dans le sol pour les excréments, sans eau, toit ni mur]</t>
        </is>
      </c>
    </row>
    <row r="117">
      <c r="A117" t="inlineStr">
        <is>
          <t>toilet</t>
        </is>
      </c>
      <c r="B117" t="n">
        <v>4</v>
      </c>
      <c r="C117" t="inlineStr">
        <is>
          <t>Communal latrine [with or without water]</t>
        </is>
      </c>
      <c r="D117" t="inlineStr">
        <is>
          <t>Latrines communautaires [avec ou sans eau]</t>
        </is>
      </c>
    </row>
    <row r="118">
      <c r="A118" t="inlineStr">
        <is>
          <t>toilet</t>
        </is>
      </c>
      <c r="B118" t="n">
        <v>5</v>
      </c>
      <c r="C118" t="inlineStr">
        <is>
          <t>None – bush</t>
        </is>
      </c>
      <c r="D118" t="inlineStr">
        <is>
          <t>Aucune – brousse</t>
        </is>
      </c>
    </row>
    <row r="119">
      <c r="A119" t="inlineStr">
        <is>
          <t>toilet</t>
        </is>
      </c>
      <c r="B119" t="n">
        <v>6</v>
      </c>
      <c r="C119" t="inlineStr">
        <is>
          <t>DON'T KNOW</t>
        </is>
      </c>
      <c r="D119" t="inlineStr">
        <is>
          <t>NE SAIT PAS</t>
        </is>
      </c>
    </row>
    <row r="120">
      <c r="A120" t="inlineStr">
        <is>
          <t>toilet</t>
        </is>
      </c>
      <c r="B120" t="n">
        <v>7</v>
      </c>
      <c r="C120" t="inlineStr">
        <is>
          <t>REFUSED</t>
        </is>
      </c>
      <c r="D120" t="inlineStr">
        <is>
          <t>REFUSÉ</t>
        </is>
      </c>
    </row>
    <row r="121"/>
    <row r="122">
      <c r="A122" t="inlineStr">
        <is>
          <t>light</t>
        </is>
      </c>
      <c r="B122" t="n">
        <v>1</v>
      </c>
      <c r="C122" t="inlineStr">
        <is>
          <t>Electricity [from generator or electrical grid]</t>
        </is>
      </c>
      <c r="D122" t="inlineStr">
        <is>
          <t>Électricité [à partir d'un générateur, du réseau électrique]</t>
        </is>
      </c>
    </row>
    <row r="123">
      <c r="A123" t="inlineStr">
        <is>
          <t>light</t>
        </is>
      </c>
      <c r="B123" t="n">
        <v>2</v>
      </c>
      <c r="C123" t="inlineStr">
        <is>
          <t>Candle</t>
        </is>
      </c>
      <c r="D123" t="inlineStr">
        <is>
          <t>Bougie</t>
        </is>
      </c>
    </row>
    <row r="124">
      <c r="A124" t="inlineStr">
        <is>
          <t>light</t>
        </is>
      </c>
      <c r="B124" t="n">
        <v>3</v>
      </c>
      <c r="C124" t="inlineStr">
        <is>
          <t>Petrol lamp</t>
        </is>
      </c>
      <c r="D124" t="inlineStr">
        <is>
          <t>Lampe à pétrole</t>
        </is>
      </c>
    </row>
    <row r="125">
      <c r="A125" t="inlineStr">
        <is>
          <t>light</t>
        </is>
      </c>
      <c r="B125" t="n">
        <v>4</v>
      </c>
      <c r="C125" t="inlineStr">
        <is>
          <t>Lamp with batteries</t>
        </is>
      </c>
      <c r="D125" t="inlineStr">
        <is>
          <t>Lampe à piles</t>
        </is>
      </c>
    </row>
    <row r="126">
      <c r="A126" t="inlineStr">
        <is>
          <t>light</t>
        </is>
      </c>
      <c r="B126" t="n">
        <v>5</v>
      </c>
      <c r="C126" t="inlineStr">
        <is>
          <t>Solar panel</t>
        </is>
      </c>
      <c r="D126" t="inlineStr">
        <is>
          <t>Panneaux solaires</t>
        </is>
      </c>
    </row>
    <row r="127">
      <c r="A127" t="inlineStr">
        <is>
          <t>light</t>
        </is>
      </c>
      <c r="B127" t="n">
        <v>6</v>
      </c>
      <c r="C127" t="inlineStr">
        <is>
          <t>Other [no electric supply to the house]</t>
        </is>
      </c>
      <c r="D127" t="inlineStr">
        <is>
          <t>Autre [pas d'alimentation électrique dans la maison]</t>
        </is>
      </c>
    </row>
    <row r="128">
      <c r="A128" t="inlineStr">
        <is>
          <t>light</t>
        </is>
      </c>
      <c r="B128" t="n">
        <v>7</v>
      </c>
      <c r="C128" t="inlineStr">
        <is>
          <t>DON'T KNOW</t>
        </is>
      </c>
      <c r="D128" t="inlineStr">
        <is>
          <t>NE SAIT PAS</t>
        </is>
      </c>
    </row>
    <row r="129">
      <c r="A129" t="inlineStr">
        <is>
          <t>light</t>
        </is>
      </c>
      <c r="B129" t="n">
        <v>8</v>
      </c>
      <c r="C129" t="inlineStr">
        <is>
          <t>REFUSED</t>
        </is>
      </c>
      <c r="D129" t="inlineStr">
        <is>
          <t>REFUSÉ</t>
        </is>
      </c>
    </row>
    <row r="130"/>
    <row r="131">
      <c r="A131" t="inlineStr">
        <is>
          <t>residence</t>
        </is>
      </c>
      <c r="B131" t="n">
        <v>1</v>
      </c>
      <c r="C131" t="inlineStr">
        <is>
          <t>Permanent Resident</t>
        </is>
      </c>
      <c r="D131" t="inlineStr">
        <is>
          <t>Résident[e] permanent[e]</t>
        </is>
      </c>
    </row>
    <row r="132">
      <c r="A132" t="inlineStr">
        <is>
          <t>residence</t>
        </is>
      </c>
      <c r="B132" t="n">
        <v>2</v>
      </c>
      <c r="C132" t="inlineStr">
        <is>
          <t>Returnee</t>
        </is>
      </c>
      <c r="D132" t="inlineStr">
        <is>
          <t>Personne retournée</t>
        </is>
      </c>
    </row>
    <row r="133">
      <c r="A133" t="inlineStr">
        <is>
          <t>residence</t>
        </is>
      </c>
      <c r="B133" t="n">
        <v>3</v>
      </c>
      <c r="C133" t="inlineStr">
        <is>
          <t>Internally displaced person [IDP]</t>
        </is>
      </c>
      <c r="D133" t="inlineStr">
        <is>
          <t>Personne déplacée à l'intérieur de son pays [PDI]</t>
        </is>
      </c>
    </row>
    <row r="134">
      <c r="A134" t="inlineStr">
        <is>
          <t>residence</t>
        </is>
      </c>
      <c r="B134" t="n">
        <v>4</v>
      </c>
      <c r="C134" t="inlineStr">
        <is>
          <t>Refugee</t>
        </is>
      </c>
      <c r="D134" t="inlineStr">
        <is>
          <t>Réfugié[e]</t>
        </is>
      </c>
    </row>
    <row r="135">
      <c r="A135" t="inlineStr">
        <is>
          <t>residence</t>
        </is>
      </c>
      <c r="B135" t="n">
        <v>5</v>
      </c>
      <c r="C135" t="inlineStr">
        <is>
          <t>DON'T KNOW</t>
        </is>
      </c>
      <c r="D135" t="inlineStr">
        <is>
          <t>NE SAIT PAS</t>
        </is>
      </c>
    </row>
    <row r="136">
      <c r="A136" t="inlineStr">
        <is>
          <t>residence</t>
        </is>
      </c>
      <c r="B136" t="n">
        <v>6</v>
      </c>
      <c r="C136" t="inlineStr">
        <is>
          <t>REFUSED</t>
        </is>
      </c>
      <c r="D136" t="inlineStr">
        <is>
          <t>REFUSÉ</t>
        </is>
      </c>
    </row>
    <row r="137"/>
    <row r="138">
      <c r="A138" t="inlineStr">
        <is>
          <t>residencecomp</t>
        </is>
      </c>
      <c r="B138" t="n">
        <v>0</v>
      </c>
      <c r="C138" t="inlineStr">
        <is>
          <t>No other status</t>
        </is>
      </c>
      <c r="D138" t="inlineStr">
        <is>
          <t>Aucun autre statut</t>
        </is>
      </c>
    </row>
    <row r="139">
      <c r="A139" t="inlineStr">
        <is>
          <t>residencecomp</t>
        </is>
      </c>
      <c r="B139" t="n">
        <v>1</v>
      </c>
      <c r="C139" t="inlineStr">
        <is>
          <t>Permanent Resident</t>
        </is>
      </c>
      <c r="D139" t="inlineStr">
        <is>
          <t>Résident[e] permanent[e]</t>
        </is>
      </c>
    </row>
    <row r="140">
      <c r="A140" t="inlineStr">
        <is>
          <t>residencecomp</t>
        </is>
      </c>
      <c r="B140" t="n">
        <v>2</v>
      </c>
      <c r="C140" t="inlineStr">
        <is>
          <t>Returnee</t>
        </is>
      </c>
      <c r="D140" t="inlineStr">
        <is>
          <t>Personne retournée</t>
        </is>
      </c>
    </row>
    <row r="141">
      <c r="A141" t="inlineStr">
        <is>
          <t>residencecomp</t>
        </is>
      </c>
      <c r="B141" t="n">
        <v>3</v>
      </c>
      <c r="C141" t="inlineStr">
        <is>
          <t>Internally displaced person [IDP]</t>
        </is>
      </c>
      <c r="D141" t="inlineStr">
        <is>
          <t>Personne déplacée à l'intérieur de son pays [PDI]</t>
        </is>
      </c>
    </row>
    <row r="142">
      <c r="A142" t="inlineStr">
        <is>
          <t>residencecomp</t>
        </is>
      </c>
      <c r="B142" t="n">
        <v>4</v>
      </c>
      <c r="C142" t="inlineStr">
        <is>
          <t>Refugee</t>
        </is>
      </c>
      <c r="D142" t="inlineStr">
        <is>
          <t>Réfugié[e]</t>
        </is>
      </c>
    </row>
    <row r="143">
      <c r="A143" t="inlineStr">
        <is>
          <t>residencecomp</t>
        </is>
      </c>
      <c r="B143" t="n">
        <v>5</v>
      </c>
      <c r="C143" t="inlineStr">
        <is>
          <t>DON'T KNOW</t>
        </is>
      </c>
      <c r="D143" t="inlineStr">
        <is>
          <t>NE SAIT PAS</t>
        </is>
      </c>
    </row>
    <row r="144">
      <c r="A144" t="inlineStr">
        <is>
          <t>residencecomp</t>
        </is>
      </c>
      <c r="B144" t="n">
        <v>6</v>
      </c>
      <c r="C144" t="inlineStr">
        <is>
          <t>REFUSED</t>
        </is>
      </c>
      <c r="D144" t="inlineStr">
        <is>
          <t>REFUSÉ</t>
        </is>
      </c>
    </row>
    <row r="145"/>
    <row r="146">
      <c r="A146" t="inlineStr">
        <is>
          <t>dispimpact</t>
        </is>
      </c>
      <c r="B146" t="inlineStr">
        <is>
          <t>livelihood</t>
        </is>
      </c>
      <c r="C146" t="inlineStr">
        <is>
          <t>Loss of income, livelihood or productive assets</t>
        </is>
      </c>
      <c r="D146" t="inlineStr">
        <is>
          <t>Perte de revenus, de moyens de subsistance ou de biens de production</t>
        </is>
      </c>
    </row>
    <row r="147">
      <c r="A147" t="inlineStr">
        <is>
          <t>dispimpact</t>
        </is>
      </c>
      <c r="B147" t="inlineStr">
        <is>
          <t>housing</t>
        </is>
      </c>
      <c r="C147" t="inlineStr">
        <is>
          <t>Difficulty accessing adequate housing</t>
        </is>
      </c>
      <c r="D147" t="inlineStr">
        <is>
          <t>Difficultés d'accès à un logement adéquat</t>
        </is>
      </c>
    </row>
    <row r="148">
      <c r="A148" t="inlineStr">
        <is>
          <t>dispimpact</t>
        </is>
      </c>
      <c r="B148" t="inlineStr">
        <is>
          <t>edu</t>
        </is>
      </c>
      <c r="C148" t="inlineStr">
        <is>
          <t>Limited access to education for children</t>
        </is>
      </c>
      <c r="D148" t="inlineStr">
        <is>
          <t>Accès limité à l'éducation pour les enfants</t>
        </is>
      </c>
    </row>
    <row r="149">
      <c r="A149" t="inlineStr">
        <is>
          <t>dispimpact</t>
        </is>
      </c>
      <c r="B149" t="inlineStr">
        <is>
          <t>health</t>
        </is>
      </c>
      <c r="C149" t="inlineStr">
        <is>
          <t>Limited access to healthcare</t>
        </is>
      </c>
      <c r="D149" t="inlineStr">
        <is>
          <t>Accès limité aux soins de santé</t>
        </is>
      </c>
    </row>
    <row r="150">
      <c r="A150" t="inlineStr">
        <is>
          <t>dispimpact</t>
        </is>
      </c>
      <c r="B150" t="inlineStr">
        <is>
          <t>supportnet</t>
        </is>
      </c>
      <c r="C150" t="inlineStr">
        <is>
          <t>Separation from family members or support networks</t>
        </is>
      </c>
      <c r="D150" t="inlineStr">
        <is>
          <t>Séparation des membres de la famille ou des réseaux de soutien</t>
        </is>
      </c>
    </row>
    <row r="151">
      <c r="A151" t="inlineStr">
        <is>
          <t>dispimpact</t>
        </is>
      </c>
      <c r="B151" t="inlineStr">
        <is>
          <t>mentalhealth</t>
        </is>
      </c>
      <c r="C151" t="inlineStr">
        <is>
          <t>Increased stress or mental health challenges</t>
        </is>
      </c>
      <c r="D151" t="inlineStr">
        <is>
          <t>Augmentation du stress ou des problèmes de santé mentale</t>
        </is>
      </c>
    </row>
    <row r="152">
      <c r="A152" t="inlineStr">
        <is>
          <t>dispimpact</t>
        </is>
      </c>
      <c r="B152" t="inlineStr">
        <is>
          <t>community</t>
        </is>
      </c>
      <c r="C152" t="inlineStr">
        <is>
          <t>Loss of broader community or social connections</t>
        </is>
      </c>
      <c r="D152" t="inlineStr">
        <is>
          <t>Perte de liens communautaires ou sociaux</t>
        </is>
      </c>
    </row>
    <row r="153">
      <c r="A153" t="inlineStr">
        <is>
          <t>dispimpact</t>
        </is>
      </c>
      <c r="B153" t="inlineStr">
        <is>
          <t>inc_cost</t>
        </is>
      </c>
      <c r="C153" t="inlineStr">
        <is>
          <t>Increased cost of living</t>
        </is>
      </c>
      <c r="D153" t="inlineStr">
        <is>
          <t>Augmentation du coût de la vie</t>
        </is>
      </c>
    </row>
    <row r="154">
      <c r="A154" t="inlineStr">
        <is>
          <t>dispimpact</t>
        </is>
      </c>
      <c r="B154" t="inlineStr">
        <is>
          <t>essentialserv</t>
        </is>
      </c>
      <c r="C154" t="inlineStr">
        <is>
          <t>Reduced access to essential services [water, electricity, transport]</t>
        </is>
      </c>
      <c r="D154" t="inlineStr">
        <is>
          <t>Accès réduit aux services essentiels [eau, électricité, transport]</t>
        </is>
      </c>
    </row>
    <row r="155">
      <c r="A155" t="inlineStr">
        <is>
          <t>dispimpact</t>
        </is>
      </c>
      <c r="B155" t="inlineStr">
        <is>
          <t>safety</t>
        </is>
      </c>
      <c r="C155" t="inlineStr">
        <is>
          <t>Safety or security concerns</t>
        </is>
      </c>
      <c r="D155" t="inlineStr">
        <is>
          <t>Problèmes de sécurité</t>
        </is>
      </c>
    </row>
    <row r="156">
      <c r="A156" t="inlineStr">
        <is>
          <t>dispimpact</t>
        </is>
      </c>
      <c r="B156" t="inlineStr">
        <is>
          <t>other</t>
        </is>
      </c>
      <c r="C156" t="inlineStr">
        <is>
          <t>Other [specify]</t>
        </is>
      </c>
      <c r="D156" t="inlineStr">
        <is>
          <t>Autre [précisez]</t>
        </is>
      </c>
    </row>
    <row r="157">
      <c r="A157" t="inlineStr">
        <is>
          <t>dispimpact</t>
        </is>
      </c>
      <c r="B157" t="inlineStr">
        <is>
          <t>none</t>
        </is>
      </c>
      <c r="C157" t="inlineStr">
        <is>
          <t>No significant impact felt</t>
        </is>
      </c>
      <c r="D157" t="inlineStr">
        <is>
          <t>Aucun impact ressenti</t>
        </is>
      </c>
    </row>
    <row r="158">
      <c r="A158" t="inlineStr">
        <is>
          <t>dispimpact</t>
        </is>
      </c>
      <c r="B158" t="inlineStr">
        <is>
          <t>dk</t>
        </is>
      </c>
      <c r="C158" t="inlineStr">
        <is>
          <t>DON'T KNOW</t>
        </is>
      </c>
      <c r="D158" t="inlineStr">
        <is>
          <t>NE SAIT PAS</t>
        </is>
      </c>
    </row>
    <row r="159">
      <c r="A159" t="inlineStr">
        <is>
          <t>dispimpact</t>
        </is>
      </c>
      <c r="B159" t="inlineStr">
        <is>
          <t>ref</t>
        </is>
      </c>
      <c r="C159" t="inlineStr">
        <is>
          <t>1REFUSED</t>
        </is>
      </c>
      <c r="D159" t="inlineStr">
        <is>
          <t>REFUS</t>
        </is>
      </c>
    </row>
    <row r="160"/>
    <row r="161">
      <c r="A161" t="inlineStr">
        <is>
          <t>hhsite</t>
        </is>
      </c>
      <c r="B161" t="n">
        <v>1</v>
      </c>
      <c r="C161" t="inlineStr">
        <is>
          <t>Formal camp or settlement</t>
        </is>
      </c>
      <c r="D161" t="inlineStr">
        <is>
          <t>Camp ou campement formel</t>
        </is>
      </c>
    </row>
    <row r="162">
      <c r="A162" t="inlineStr">
        <is>
          <t>hhsite</t>
        </is>
      </c>
      <c r="B162" t="n">
        <v>2</v>
      </c>
      <c r="C162" t="inlineStr">
        <is>
          <t>Informal camp or settlement</t>
        </is>
      </c>
      <c r="D162" t="inlineStr">
        <is>
          <t>Camp ou campement informel</t>
        </is>
      </c>
    </row>
    <row r="163">
      <c r="A163" t="inlineStr">
        <is>
          <t>hhsite</t>
        </is>
      </c>
      <c r="B163" t="n">
        <v>3</v>
      </c>
      <c r="C163" t="inlineStr">
        <is>
          <t>Outside of a camp or settlement, with a host family</t>
        </is>
      </c>
      <c r="D163" t="inlineStr">
        <is>
          <t>En dehors d'un camp ou d'un campement, dans une famille d'accueil</t>
        </is>
      </c>
    </row>
    <row r="164">
      <c r="A164" t="inlineStr">
        <is>
          <t>hhsite</t>
        </is>
      </c>
      <c r="B164" t="n">
        <v>4</v>
      </c>
      <c r="C164" t="inlineStr">
        <is>
          <t>Outside of a camp or settlement, on my own</t>
        </is>
      </c>
      <c r="D164" t="inlineStr">
        <is>
          <t>En dehors d'un camp ou d'un campement, seul[e]</t>
        </is>
      </c>
    </row>
    <row r="165">
      <c r="A165" t="inlineStr">
        <is>
          <t>hhsite</t>
        </is>
      </c>
      <c r="B165" t="n">
        <v>5</v>
      </c>
      <c r="C165" t="inlineStr">
        <is>
          <t>DON'T KNOW</t>
        </is>
      </c>
      <c r="D165" t="inlineStr">
        <is>
          <t xml:space="preserve">NE SAIT PAS </t>
        </is>
      </c>
    </row>
    <row r="166">
      <c r="A166" t="inlineStr">
        <is>
          <t>hhsite</t>
        </is>
      </c>
      <c r="B166" t="n">
        <v>6</v>
      </c>
      <c r="C166" t="inlineStr">
        <is>
          <t>REFUSED</t>
        </is>
      </c>
      <c r="D166" t="inlineStr">
        <is>
          <t>REFUSÉ</t>
        </is>
      </c>
    </row>
    <row r="167"/>
    <row r="168">
      <c r="A168" t="inlineStr">
        <is>
          <t>hhshelter</t>
        </is>
      </c>
      <c r="B168" t="n">
        <v>1</v>
      </c>
      <c r="C168" t="inlineStr">
        <is>
          <t>Apartment/house, good condition</t>
        </is>
      </c>
      <c r="D168" t="inlineStr">
        <is>
          <t>Appartement/maison en bon état</t>
        </is>
      </c>
    </row>
    <row r="169">
      <c r="A169" t="inlineStr">
        <is>
          <t>hhshelter</t>
        </is>
      </c>
      <c r="B169" t="n">
        <v>2</v>
      </c>
      <c r="C169" t="inlineStr">
        <is>
          <t>Apartment/house, damaged/destroyed bad condition</t>
        </is>
      </c>
      <c r="D169" t="inlineStr">
        <is>
          <t>Appartement/maison endommagé/détruit, en mauvais état</t>
        </is>
      </c>
    </row>
    <row r="170">
      <c r="A170" t="inlineStr">
        <is>
          <t>hhshelter</t>
        </is>
      </c>
      <c r="B170" t="n">
        <v>3</v>
      </c>
      <c r="C170" t="inlineStr">
        <is>
          <t>Hotel/motel/short term rental</t>
        </is>
      </c>
      <c r="D170" t="inlineStr">
        <is>
          <t>Hôtel/motel/location à court terme</t>
        </is>
      </c>
    </row>
    <row r="171">
      <c r="A171" t="inlineStr">
        <is>
          <t>hhshelter</t>
        </is>
      </c>
      <c r="B171" t="n">
        <v>4</v>
      </c>
      <c r="C171" t="inlineStr">
        <is>
          <t>Unfinished or abandoned building</t>
        </is>
      </c>
      <c r="D171" t="inlineStr">
        <is>
          <t>Bâtiment inachevé ou abandonné</t>
        </is>
      </c>
    </row>
    <row r="172">
      <c r="A172" t="inlineStr">
        <is>
          <t>hhshelter</t>
        </is>
      </c>
      <c r="B172" t="n">
        <v>5</v>
      </c>
      <c r="C172" t="inlineStr">
        <is>
          <t>Tent/makeshift shelter</t>
        </is>
      </c>
      <c r="D172" t="inlineStr">
        <is>
          <t>Tente/abri de fortune</t>
        </is>
      </c>
    </row>
    <row r="173">
      <c r="A173" t="inlineStr">
        <is>
          <t>hhshelter</t>
        </is>
      </c>
      <c r="B173" t="n">
        <v>6</v>
      </c>
      <c r="C173" t="inlineStr">
        <is>
          <t>Mud or block structure</t>
        </is>
      </c>
      <c r="D173" t="inlineStr">
        <is>
          <t>Structure faite de boue ou de blocs</t>
        </is>
      </c>
    </row>
    <row r="174">
      <c r="A174" t="inlineStr">
        <is>
          <t>hhshelter</t>
        </is>
      </c>
      <c r="B174" t="n">
        <v>7</v>
      </c>
      <c r="C174" t="inlineStr">
        <is>
          <t>Container/caravan</t>
        </is>
      </c>
      <c r="D174" t="inlineStr">
        <is>
          <t>Conteneur/caravane</t>
        </is>
      </c>
    </row>
    <row r="175">
      <c r="A175" t="inlineStr">
        <is>
          <t>hhshelter</t>
        </is>
      </c>
      <c r="B175" t="n">
        <v>8</v>
      </c>
      <c r="C175" t="inlineStr">
        <is>
          <t>Public building or collective shelter</t>
        </is>
      </c>
      <c r="D175" t="inlineStr">
        <is>
          <t>Bâtiment public ou abri collectif</t>
        </is>
      </c>
    </row>
    <row r="176">
      <c r="A176" t="inlineStr">
        <is>
          <t>hhshelter</t>
        </is>
      </c>
      <c r="B176" t="n">
        <v>9</v>
      </c>
      <c r="C176" t="inlineStr">
        <is>
          <t>Other shelter (eg garage, farm building etc)</t>
        </is>
      </c>
      <c r="D176" t="inlineStr">
        <is>
          <t>Autre abri (garage, bâtiment agricole, etc.)</t>
        </is>
      </c>
    </row>
    <row r="177">
      <c r="A177" t="inlineStr">
        <is>
          <t>hhshelter</t>
        </is>
      </c>
      <c r="B177" t="n">
        <v>10</v>
      </c>
      <c r="C177" t="inlineStr">
        <is>
          <t>DON'T KNOW</t>
        </is>
      </c>
      <c r="D177" t="inlineStr">
        <is>
          <t xml:space="preserve">NE SAIT PAS </t>
        </is>
      </c>
    </row>
    <row r="178">
      <c r="A178" t="inlineStr">
        <is>
          <t>hhshelter</t>
        </is>
      </c>
      <c r="B178" t="n">
        <v>11</v>
      </c>
      <c r="C178" t="inlineStr">
        <is>
          <t>REFUSED</t>
        </is>
      </c>
      <c r="D178" t="inlineStr">
        <is>
          <t>REFUSÉ</t>
        </is>
      </c>
    </row>
    <row r="179"/>
    <row r="180">
      <c r="A180" t="inlineStr">
        <is>
          <t>hhagricpredisp</t>
        </is>
      </c>
      <c r="B180" t="inlineStr">
        <is>
          <t>crpprod</t>
        </is>
      </c>
      <c r="C180" t="inlineStr">
        <is>
          <t>Crop production</t>
        </is>
      </c>
      <c r="D180" t="inlineStr">
        <is>
          <t>Production végétale</t>
        </is>
      </c>
    </row>
    <row r="181">
      <c r="A181" t="inlineStr">
        <is>
          <t>hhagricpredisp</t>
        </is>
      </c>
      <c r="B181" t="inlineStr">
        <is>
          <t>lsprod</t>
        </is>
      </c>
      <c r="C181" t="inlineStr">
        <is>
          <t>Livestock production</t>
        </is>
      </c>
      <c r="D181" t="inlineStr">
        <is>
          <t>Production de bétail</t>
        </is>
      </c>
    </row>
    <row r="182">
      <c r="A182" t="inlineStr">
        <is>
          <t>hhagricpredisp</t>
        </is>
      </c>
      <c r="B182" t="inlineStr">
        <is>
          <t>fishprod</t>
        </is>
      </c>
      <c r="C182" t="inlineStr">
        <is>
          <t>Fisheries or aquaculture production</t>
        </is>
      </c>
      <c r="D182" t="inlineStr">
        <is>
          <t>Pêche ou aquaculture</t>
        </is>
      </c>
    </row>
    <row r="183">
      <c r="A183" t="inlineStr">
        <is>
          <t>hhagricpredisp</t>
        </is>
      </c>
      <c r="B183" t="inlineStr">
        <is>
          <t>dk</t>
        </is>
      </c>
      <c r="C183" t="inlineStr">
        <is>
          <t>DON'T KNOW</t>
        </is>
      </c>
      <c r="D183" t="inlineStr">
        <is>
          <t>NE SAIT PAS</t>
        </is>
      </c>
    </row>
    <row r="184">
      <c r="A184" t="inlineStr">
        <is>
          <t>hhagricpredisp</t>
        </is>
      </c>
      <c r="B184" t="inlineStr">
        <is>
          <t>ref</t>
        </is>
      </c>
      <c r="C184" t="inlineStr">
        <is>
          <t>REFUSED</t>
        </is>
      </c>
      <c r="D184" t="inlineStr">
        <is>
          <t>REFUSÉ</t>
        </is>
      </c>
    </row>
    <row r="185"/>
    <row r="186">
      <c r="A186" t="inlineStr">
        <is>
          <t>plotaccess</t>
        </is>
      </c>
      <c r="B186" t="n">
        <v>1</v>
      </c>
      <c r="C186" t="inlineStr">
        <is>
          <t>YES</t>
        </is>
      </c>
      <c r="D186" t="inlineStr">
        <is>
          <t>OUI</t>
        </is>
      </c>
    </row>
    <row r="187">
      <c r="A187" t="inlineStr">
        <is>
          <t>plotaccess</t>
        </is>
      </c>
      <c r="B187" t="n">
        <v>2</v>
      </c>
      <c r="C187" t="inlineStr">
        <is>
          <t>NO</t>
        </is>
      </c>
      <c r="D187" t="inlineStr">
        <is>
          <t>NON</t>
        </is>
      </c>
    </row>
    <row r="188">
      <c r="A188" t="inlineStr">
        <is>
          <t>plotaccess</t>
        </is>
      </c>
      <c r="B188" t="n">
        <v>3</v>
      </c>
      <c r="C188" t="inlineStr">
        <is>
          <t>DON'T KNOW</t>
        </is>
      </c>
      <c r="D188" t="inlineStr">
        <is>
          <t xml:space="preserve">NE SAIT PAS </t>
        </is>
      </c>
    </row>
    <row r="189">
      <c r="A189" t="inlineStr">
        <is>
          <t>plotaccess</t>
        </is>
      </c>
      <c r="B189" t="n">
        <v>4</v>
      </c>
      <c r="C189" t="inlineStr">
        <is>
          <t>REFUSED</t>
        </is>
      </c>
      <c r="D189" t="inlineStr">
        <is>
          <t>REFUSÉ</t>
        </is>
      </c>
    </row>
    <row r="190"/>
    <row r="191">
      <c r="A191" t="inlineStr">
        <is>
          <t>plot_noaccess</t>
        </is>
      </c>
      <c r="B191" t="inlineStr">
        <is>
          <t>high_costs</t>
        </is>
      </c>
      <c r="C191" t="inlineStr">
        <is>
          <t>Too expensive to rent or buy</t>
        </is>
      </c>
      <c r="D191" t="inlineStr">
        <is>
          <t>Location ou achat trop cher</t>
        </is>
      </c>
    </row>
    <row r="192">
      <c r="A192" t="inlineStr">
        <is>
          <t>plot_noaccess</t>
        </is>
      </c>
      <c r="B192" t="inlineStr">
        <is>
          <t>distance</t>
        </is>
      </c>
      <c r="C192" t="inlineStr">
        <is>
          <t>Too remote or far away</t>
        </is>
      </c>
      <c r="D192" t="inlineStr">
        <is>
          <t>Trop éloigné</t>
        </is>
      </c>
    </row>
    <row r="193">
      <c r="A193" t="inlineStr">
        <is>
          <t>plot_noaccess</t>
        </is>
      </c>
      <c r="B193" t="inlineStr">
        <is>
          <t>unsafe_insec</t>
        </is>
      </c>
      <c r="C193" t="inlineStr">
        <is>
          <t>Access to the area is unsafe due to insecurity</t>
        </is>
      </c>
      <c r="D193" t="inlineStr">
        <is>
          <t>L'accès à la zone n'est pas sûr en raison de l'insécurité</t>
        </is>
      </c>
    </row>
    <row r="194">
      <c r="A194" t="inlineStr">
        <is>
          <t>plot_noaccess</t>
        </is>
      </c>
      <c r="B194" t="inlineStr">
        <is>
          <t>unsafe_infra</t>
        </is>
      </c>
      <c r="C194" t="inlineStr">
        <is>
          <t>Access roads and infrastructure is in poor condition</t>
        </is>
      </c>
      <c r="D194" t="inlineStr">
        <is>
          <t>Les routes d'accès et les infrastructures sont en mauvais état</t>
        </is>
      </c>
    </row>
    <row r="195">
      <c r="A195" t="inlineStr">
        <is>
          <t>plot_noaccess</t>
        </is>
      </c>
      <c r="B195" t="inlineStr">
        <is>
          <t>scarcity</t>
        </is>
      </c>
      <c r="C195" t="inlineStr">
        <is>
          <t>Scarcity - there is no land or water available</t>
        </is>
      </c>
      <c r="D195" t="inlineStr">
        <is>
          <t>Pénurie - il n'y a pas de terre ou d'eau disponible</t>
        </is>
      </c>
    </row>
    <row r="196">
      <c r="A196" t="inlineStr">
        <is>
          <t>plot_noaccess</t>
        </is>
      </c>
      <c r="B196" t="inlineStr">
        <is>
          <t>authorities</t>
        </is>
      </c>
      <c r="C196" t="inlineStr">
        <is>
          <t>Authorities [formal or customary] do not allow us to access land or water</t>
        </is>
      </c>
      <c r="D196" t="inlineStr">
        <is>
          <t>Les autorités [officielles ou coutumières] ne nous autorisent pas à accéder à la terre ou à l'eau</t>
        </is>
      </c>
    </row>
    <row r="197">
      <c r="A197" t="inlineStr">
        <is>
          <t>plot_noaccess</t>
        </is>
      </c>
      <c r="B197" t="inlineStr">
        <is>
          <t>poor_resource</t>
        </is>
      </c>
      <c r="C197" t="inlineStr">
        <is>
          <t xml:space="preserve">Land or water is degraded or infertile </t>
        </is>
      </c>
      <c r="D197" t="inlineStr">
        <is>
          <t xml:space="preserve">La terre ou l'eau est dégradée ou infertile </t>
        </is>
      </c>
    </row>
    <row r="198">
      <c r="A198" t="inlineStr">
        <is>
          <t>plot_noaccess</t>
        </is>
      </c>
      <c r="B198" t="inlineStr">
        <is>
          <t>other</t>
        </is>
      </c>
      <c r="C198" t="inlineStr">
        <is>
          <t>Other [specify]</t>
        </is>
      </c>
      <c r="D198" t="inlineStr">
        <is>
          <t>Autre [préciser]</t>
        </is>
      </c>
    </row>
    <row r="199">
      <c r="A199" t="inlineStr">
        <is>
          <t>plot_noaccess</t>
        </is>
      </c>
      <c r="B199" t="inlineStr">
        <is>
          <t>dk</t>
        </is>
      </c>
      <c r="C199" t="inlineStr">
        <is>
          <t>DON’T KNOW</t>
        </is>
      </c>
      <c r="D199" t="inlineStr">
        <is>
          <t>NE SAIT PAS</t>
        </is>
      </c>
    </row>
    <row r="200">
      <c r="A200" t="inlineStr">
        <is>
          <t>plot_noaccess</t>
        </is>
      </c>
      <c r="B200" t="inlineStr">
        <is>
          <t>ref</t>
        </is>
      </c>
      <c r="C200" t="inlineStr">
        <is>
          <t>REFUSED</t>
        </is>
      </c>
      <c r="D200" t="inlineStr">
        <is>
          <t>REFUSÉ</t>
        </is>
      </c>
    </row>
    <row r="201"/>
    <row r="202">
      <c r="A202" t="inlineStr">
        <is>
          <t>hh_agri_activity</t>
        </is>
      </c>
      <c r="B202" t="n">
        <v>1</v>
      </c>
      <c r="D202" t="inlineStr">
        <is>
          <t>Agriculture maraichère</t>
        </is>
      </c>
    </row>
    <row r="203">
      <c r="A203" t="inlineStr">
        <is>
          <t>hh_agri_activity</t>
        </is>
      </c>
      <c r="B203" t="n">
        <v>2</v>
      </c>
      <c r="D203" t="inlineStr">
        <is>
          <t>Agriculture fluviale</t>
        </is>
      </c>
    </row>
    <row r="204">
      <c r="A204" t="inlineStr">
        <is>
          <t>hh_agri_activity</t>
        </is>
      </c>
      <c r="B204" t="n">
        <v>3</v>
      </c>
      <c r="D204" t="inlineStr">
        <is>
          <t>elavge des petits ruminants</t>
        </is>
      </c>
    </row>
    <row r="205">
      <c r="A205" t="inlineStr">
        <is>
          <t>hh_agri_activity</t>
        </is>
      </c>
      <c r="B205" t="n">
        <v>4</v>
      </c>
      <c r="D205" t="inlineStr">
        <is>
          <t>elevage des volailles</t>
        </is>
      </c>
    </row>
    <row r="206">
      <c r="A206" t="inlineStr">
        <is>
          <t>hh_agri_activity</t>
        </is>
      </c>
      <c r="B206" t="n">
        <v>5</v>
      </c>
      <c r="D206" t="inlineStr">
        <is>
          <t>Autre [préciser]</t>
        </is>
      </c>
    </row>
    <row r="207">
      <c r="A207" t="inlineStr">
        <is>
          <t>hh_agri_activity</t>
        </is>
      </c>
      <c r="B207" t="n">
        <v>6</v>
      </c>
      <c r="D207" t="inlineStr">
        <is>
          <t>NE SAIT PAS</t>
        </is>
      </c>
    </row>
    <row r="208">
      <c r="A208" t="inlineStr">
        <is>
          <t>hh_agri_activity</t>
        </is>
      </c>
      <c r="B208" t="n">
        <v>7</v>
      </c>
      <c r="D208" t="inlineStr">
        <is>
          <t>REFUSÉ</t>
        </is>
      </c>
    </row>
    <row r="209"/>
    <row r="210">
      <c r="A210" t="inlineStr">
        <is>
          <t>hh_agri_input_needs</t>
        </is>
      </c>
      <c r="B210" t="n">
        <v>1</v>
      </c>
      <c r="D210" t="inlineStr">
        <is>
          <t>semences maraichère</t>
        </is>
      </c>
    </row>
    <row r="211">
      <c r="A211" t="inlineStr">
        <is>
          <t>hh_agri_input_needs</t>
        </is>
      </c>
      <c r="B211" t="n">
        <v>2</v>
      </c>
      <c r="D211" t="inlineStr">
        <is>
          <t>semences fluviales</t>
        </is>
      </c>
    </row>
    <row r="212">
      <c r="A212" t="inlineStr">
        <is>
          <t>hh_agri_input_needs</t>
        </is>
      </c>
      <c r="B212" t="n">
        <v>3</v>
      </c>
      <c r="D212" t="inlineStr">
        <is>
          <t>petits ruminants</t>
        </is>
      </c>
    </row>
    <row r="213">
      <c r="A213" t="inlineStr">
        <is>
          <t>hh_agri_input_needs</t>
        </is>
      </c>
      <c r="B213" t="n">
        <v>4</v>
      </c>
      <c r="D213" t="inlineStr">
        <is>
          <t>les volailles</t>
        </is>
      </c>
    </row>
    <row r="214">
      <c r="A214" t="inlineStr">
        <is>
          <t>hh_agri_input_needs</t>
        </is>
      </c>
      <c r="B214" t="n">
        <v>5</v>
      </c>
      <c r="D214" t="inlineStr">
        <is>
          <t>aliments pour bétail</t>
        </is>
      </c>
    </row>
    <row r="215">
      <c r="A215" t="inlineStr">
        <is>
          <t>hh_agri_input_needs</t>
        </is>
      </c>
      <c r="B215" t="n">
        <v>6</v>
      </c>
      <c r="D215" t="inlineStr">
        <is>
          <t>aliments pour volaille</t>
        </is>
      </c>
    </row>
    <row r="216">
      <c r="A216" t="inlineStr">
        <is>
          <t>hh_agri_input_needs</t>
        </is>
      </c>
      <c r="B216" t="n">
        <v>7</v>
      </c>
      <c r="D216" t="inlineStr">
        <is>
          <t>Houe</t>
        </is>
      </c>
    </row>
    <row r="217">
      <c r="A217" t="inlineStr">
        <is>
          <t>hh_agri_input_needs</t>
        </is>
      </c>
      <c r="B217" t="n">
        <v>8</v>
      </c>
      <c r="D217" t="inlineStr">
        <is>
          <t>Fourche</t>
        </is>
      </c>
    </row>
    <row r="218">
      <c r="A218" t="inlineStr">
        <is>
          <t>hh_agri_input_needs</t>
        </is>
      </c>
      <c r="B218" t="n">
        <v>9</v>
      </c>
      <c r="D218" t="inlineStr">
        <is>
          <t>Pelle</t>
        </is>
      </c>
    </row>
    <row r="219">
      <c r="A219" t="inlineStr">
        <is>
          <t>hh_agri_input_needs</t>
        </is>
      </c>
      <c r="B219" t="n">
        <v>10</v>
      </c>
      <c r="D219" t="inlineStr">
        <is>
          <t>Arrosoir…</t>
        </is>
      </c>
    </row>
    <row r="220">
      <c r="A220" t="inlineStr">
        <is>
          <t>hh_agri_input_needs</t>
        </is>
      </c>
      <c r="B220" t="n">
        <v>11</v>
      </c>
      <c r="D220" t="inlineStr">
        <is>
          <t>Autre [préciser]</t>
        </is>
      </c>
    </row>
    <row r="221">
      <c r="A221" t="inlineStr">
        <is>
          <t>hh_agri_input_needs</t>
        </is>
      </c>
      <c r="B221" t="n">
        <v>12</v>
      </c>
      <c r="D221" t="inlineStr">
        <is>
          <t>NE SAIT PAS</t>
        </is>
      </c>
    </row>
    <row r="222">
      <c r="A222" t="inlineStr">
        <is>
          <t>hh_agri_input_needs</t>
        </is>
      </c>
      <c r="B222" t="n">
        <v>13</v>
      </c>
      <c r="D222" t="inlineStr">
        <is>
          <t>REFUSÉ</t>
        </is>
      </c>
    </row>
    <row r="223"/>
    <row r="224">
      <c r="A224" t="inlineStr">
        <is>
          <t>asset_prod</t>
        </is>
      </c>
      <c r="B224" t="inlineStr">
        <is>
          <t>process</t>
        </is>
      </c>
      <c r="C224" t="inlineStr">
        <is>
          <t>Processing assets (e.g. grinding/crushing machine, mill, oil press, fish tanks)</t>
        </is>
      </c>
      <c r="D224" t="inlineStr">
        <is>
          <t>Actifs de transformation [par ex. broyeur, moulin, presse à huile, aquarium]</t>
        </is>
      </c>
    </row>
    <row r="225">
      <c r="A225" t="inlineStr">
        <is>
          <t>asset_prod</t>
        </is>
      </c>
      <c r="B225" t="inlineStr">
        <is>
          <t>farmmach</t>
        </is>
      </c>
      <c r="C225" t="inlineStr">
        <is>
          <t>Farm or fishing machinery (e.g. tractor, plough, sickle, boats, engines)</t>
        </is>
      </c>
      <c r="D225" t="inlineStr">
        <is>
          <t>Machine agricole ou de pêche [par ex. tracteur, charrue, faucille, bateaux, moteurs]</t>
        </is>
      </c>
    </row>
    <row r="226">
      <c r="A226" t="inlineStr">
        <is>
          <t>asset_prod</t>
        </is>
      </c>
      <c r="B226" t="inlineStr">
        <is>
          <t>sewing</t>
        </is>
      </c>
      <c r="C226" t="inlineStr">
        <is>
          <t>Sewing machine or weaving tool</t>
        </is>
      </c>
      <c r="D226" t="inlineStr">
        <is>
          <t>Machine à coudre ou métier à tisser</t>
        </is>
      </c>
    </row>
    <row r="227">
      <c r="A227" t="inlineStr">
        <is>
          <t>asset_prod</t>
        </is>
      </c>
      <c r="B227" t="inlineStr">
        <is>
          <t>taxi</t>
        </is>
      </c>
      <c r="C227" t="inlineStr">
        <is>
          <t>Taxi</t>
        </is>
      </c>
      <c r="D227" t="inlineStr">
        <is>
          <t>Taxi</t>
        </is>
      </c>
    </row>
    <row r="228">
      <c r="A228" t="inlineStr">
        <is>
          <t>asset_prod</t>
        </is>
      </c>
      <c r="B228" t="inlineStr">
        <is>
          <t>truck</t>
        </is>
      </c>
      <c r="C228" t="inlineStr">
        <is>
          <t>Truck</t>
        </is>
      </c>
      <c r="D228" t="inlineStr">
        <is>
          <t>Camion</t>
        </is>
      </c>
    </row>
    <row r="229">
      <c r="A229" t="inlineStr">
        <is>
          <t>asset_prod</t>
        </is>
      </c>
      <c r="B229" t="inlineStr">
        <is>
          <t>other</t>
        </is>
      </c>
      <c r="C229" t="inlineStr">
        <is>
          <t>Other productive machines or assets</t>
        </is>
      </c>
      <c r="D229" t="inlineStr">
        <is>
          <t>Autres machines ou actifs productifs</t>
        </is>
      </c>
    </row>
    <row r="230">
      <c r="A230" t="inlineStr">
        <is>
          <t>asset_prod</t>
        </is>
      </c>
      <c r="B230" t="inlineStr">
        <is>
          <t>none</t>
        </is>
      </c>
      <c r="C230" t="inlineStr">
        <is>
          <t>No productive machines or assets</t>
        </is>
      </c>
      <c r="D230" t="inlineStr">
        <is>
          <t>Aucune machine ou actif productif</t>
        </is>
      </c>
    </row>
    <row r="231">
      <c r="A231" t="inlineStr">
        <is>
          <t>asset_prod</t>
        </is>
      </c>
      <c r="B231" t="inlineStr">
        <is>
          <t>dk</t>
        </is>
      </c>
      <c r="C231" t="inlineStr">
        <is>
          <t>DON'T KNOW</t>
        </is>
      </c>
      <c r="D231" t="inlineStr">
        <is>
          <t>NE SAIT PAS</t>
        </is>
      </c>
    </row>
    <row r="232">
      <c r="A232" t="inlineStr">
        <is>
          <t>asset_prod</t>
        </is>
      </c>
      <c r="B232" t="inlineStr">
        <is>
          <t>ref</t>
        </is>
      </c>
      <c r="C232" t="inlineStr">
        <is>
          <t>REFUSED</t>
        </is>
      </c>
      <c r="D232" t="inlineStr">
        <is>
          <t>REFUSÉ</t>
        </is>
      </c>
    </row>
    <row r="233"/>
    <row r="234">
      <c r="A234" t="inlineStr">
        <is>
          <t>asset_transp</t>
        </is>
      </c>
      <c r="B234" t="inlineStr">
        <is>
          <t>bici</t>
        </is>
      </c>
      <c r="C234" t="inlineStr">
        <is>
          <t>Bicycle</t>
        </is>
      </c>
      <c r="D234" t="inlineStr">
        <is>
          <t>Bicyclette</t>
        </is>
      </c>
    </row>
    <row r="235">
      <c r="A235" t="inlineStr">
        <is>
          <t>asset_transp</t>
        </is>
      </c>
      <c r="B235" t="inlineStr">
        <is>
          <t>cart</t>
        </is>
      </c>
      <c r="C235" t="inlineStr">
        <is>
          <t>Cart (animal drawn)</t>
        </is>
      </c>
      <c r="D235" t="inlineStr">
        <is>
          <t>Chariot [tiré par un animal]</t>
        </is>
      </c>
    </row>
    <row r="236">
      <c r="A236" t="inlineStr">
        <is>
          <t>asset_transp</t>
        </is>
      </c>
      <c r="B236" t="inlineStr">
        <is>
          <t>boatmotor</t>
        </is>
      </c>
      <c r="C236" t="inlineStr">
        <is>
          <t>Boat with an engine [inboard or outboard]</t>
        </is>
      </c>
      <c r="D236" t="inlineStr">
        <is>
          <t>Bateau avec moteur [in-bord ou hors-bord]</t>
        </is>
      </c>
    </row>
    <row r="237">
      <c r="A237" t="inlineStr">
        <is>
          <t>asset_transp</t>
        </is>
      </c>
      <c r="B237" t="inlineStr">
        <is>
          <t>boatnomotor</t>
        </is>
      </c>
      <c r="C237" t="inlineStr">
        <is>
          <t>Unmotorized boat [e.g. canoe]</t>
        </is>
      </c>
      <c r="D237" t="inlineStr">
        <is>
          <t>Bateau non motorisé [par ex. canoë]</t>
        </is>
      </c>
    </row>
    <row r="238">
      <c r="A238" t="inlineStr">
        <is>
          <t>asset_transp</t>
        </is>
      </c>
      <c r="B238" t="inlineStr">
        <is>
          <t>motorbike</t>
        </is>
      </c>
      <c r="C238" t="inlineStr">
        <is>
          <t>Motorbike / scooter / auto rickshaw</t>
        </is>
      </c>
      <c r="D238" t="inlineStr">
        <is>
          <t>Moto/scooter/pousse-pousse</t>
        </is>
      </c>
    </row>
    <row r="239">
      <c r="A239" t="inlineStr">
        <is>
          <t>asset_transp</t>
        </is>
      </c>
      <c r="B239" t="inlineStr">
        <is>
          <t>car</t>
        </is>
      </c>
      <c r="C239" t="inlineStr">
        <is>
          <t>Car</t>
        </is>
      </c>
      <c r="D239" t="inlineStr">
        <is>
          <t>Voiture</t>
        </is>
      </c>
    </row>
    <row r="240">
      <c r="A240" t="inlineStr">
        <is>
          <t>asset_transp</t>
        </is>
      </c>
      <c r="B240" t="inlineStr">
        <is>
          <t>van</t>
        </is>
      </c>
      <c r="C240" t="inlineStr">
        <is>
          <t>Van or small truck</t>
        </is>
      </c>
      <c r="D240" t="inlineStr">
        <is>
          <t>Fourgonnette ou petit camion</t>
        </is>
      </c>
    </row>
    <row r="241">
      <c r="A241" t="inlineStr">
        <is>
          <t>asset_transp</t>
        </is>
      </c>
      <c r="B241" t="inlineStr">
        <is>
          <t>other</t>
        </is>
      </c>
      <c r="C241" t="inlineStr">
        <is>
          <t>Other motor vehicle</t>
        </is>
      </c>
      <c r="D241" t="inlineStr">
        <is>
          <t>Autre véhicule motorisé</t>
        </is>
      </c>
    </row>
    <row r="242">
      <c r="A242" t="inlineStr">
        <is>
          <t>asset_transp</t>
        </is>
      </c>
      <c r="B242" t="inlineStr">
        <is>
          <t>none</t>
        </is>
      </c>
      <c r="C242" t="inlineStr">
        <is>
          <t>None of the above</t>
        </is>
      </c>
      <c r="D242" t="inlineStr">
        <is>
          <t>Aucun des véhicules proposés</t>
        </is>
      </c>
    </row>
    <row r="243">
      <c r="A243" t="inlineStr">
        <is>
          <t>asset_transp</t>
        </is>
      </c>
      <c r="B243" t="inlineStr">
        <is>
          <t>dk</t>
        </is>
      </c>
      <c r="C243" t="inlineStr">
        <is>
          <t>DON'T KNOW</t>
        </is>
      </c>
      <c r="D243" t="inlineStr">
        <is>
          <t>NE SAIT PAS</t>
        </is>
      </c>
    </row>
    <row r="244">
      <c r="A244" t="inlineStr">
        <is>
          <t>asset_transp</t>
        </is>
      </c>
      <c r="B244" t="inlineStr">
        <is>
          <t>ref</t>
        </is>
      </c>
      <c r="C244" t="inlineStr">
        <is>
          <t>REFUSED</t>
        </is>
      </c>
      <c r="D244" t="inlineStr">
        <is>
          <t>REFUSÉ</t>
        </is>
      </c>
    </row>
    <row r="245">
      <c r="D245" t="inlineStr">
        <is>
          <t>  </t>
        </is>
      </c>
    </row>
    <row r="246">
      <c r="A246" t="inlineStr">
        <is>
          <t>maritalstat</t>
        </is>
      </c>
      <c r="B246" t="n">
        <v>1</v>
      </c>
      <c r="C246" t="inlineStr">
        <is>
          <t xml:space="preserve">Single / never married </t>
        </is>
      </c>
      <c r="D246" t="inlineStr">
        <is>
          <t xml:space="preserve">Célibataire / jamais marié </t>
        </is>
      </c>
    </row>
    <row r="247">
      <c r="A247" t="inlineStr">
        <is>
          <t>maritalstat</t>
        </is>
      </c>
      <c r="B247" t="n">
        <v>2</v>
      </c>
      <c r="C247" t="inlineStr">
        <is>
          <t>Married</t>
        </is>
      </c>
      <c r="D247" t="inlineStr">
        <is>
          <t>Marié(e)</t>
        </is>
      </c>
    </row>
    <row r="248">
      <c r="A248" t="inlineStr">
        <is>
          <t>maritalstat</t>
        </is>
      </c>
      <c r="B248" t="n">
        <v>3</v>
      </c>
      <c r="C248" t="inlineStr">
        <is>
          <t>Separated</t>
        </is>
      </c>
      <c r="D248" t="inlineStr">
        <is>
          <t>Séparé(e)</t>
        </is>
      </c>
    </row>
    <row r="249">
      <c r="A249" t="inlineStr">
        <is>
          <t>maritalstat</t>
        </is>
      </c>
      <c r="B249" t="n">
        <v>4</v>
      </c>
      <c r="C249" t="inlineStr">
        <is>
          <t>Divorced</t>
        </is>
      </c>
      <c r="D249" t="inlineStr">
        <is>
          <t>Divorcé(e)</t>
        </is>
      </c>
    </row>
    <row r="250">
      <c r="A250" t="inlineStr">
        <is>
          <t>maritalstat</t>
        </is>
      </c>
      <c r="B250" t="n">
        <v>5</v>
      </c>
      <c r="C250" t="inlineStr">
        <is>
          <t>Widowed</t>
        </is>
      </c>
      <c r="D250" t="inlineStr">
        <is>
          <t>Veuf ou veuve</t>
        </is>
      </c>
    </row>
    <row r="251">
      <c r="A251" t="inlineStr">
        <is>
          <t>maritalstat</t>
        </is>
      </c>
      <c r="B251" t="n">
        <v>6</v>
      </c>
      <c r="C251" t="inlineStr">
        <is>
          <t>DON’T KNOW</t>
        </is>
      </c>
      <c r="D251" t="inlineStr">
        <is>
          <t>NE SAIT PAS</t>
        </is>
      </c>
    </row>
    <row r="252">
      <c r="A252" t="inlineStr">
        <is>
          <t>maritalstat</t>
        </is>
      </c>
      <c r="B252" t="n">
        <v>7</v>
      </c>
      <c r="C252" t="inlineStr">
        <is>
          <t xml:space="preserve">REFUSED </t>
        </is>
      </c>
      <c r="D252" t="inlineStr">
        <is>
          <t>REFUSÉ</t>
        </is>
      </c>
    </row>
    <row r="253"/>
    <row r="254">
      <c r="A254" t="inlineStr">
        <is>
          <t>agegroup</t>
        </is>
      </c>
      <c r="B254" t="n">
        <v>1</v>
      </c>
      <c r="C254" t="inlineStr">
        <is>
          <t>Under 18</t>
        </is>
      </c>
      <c r="D254" t="inlineStr">
        <is>
          <t>Moins de 18 ans</t>
        </is>
      </c>
    </row>
    <row r="255">
      <c r="A255" t="inlineStr">
        <is>
          <t>agegroup</t>
        </is>
      </c>
      <c r="B255" t="n">
        <v>2</v>
      </c>
      <c r="C255" t="inlineStr">
        <is>
          <t>18 to 40</t>
        </is>
      </c>
      <c r="D255" t="inlineStr">
        <is>
          <t xml:space="preserve">18 à 40 ans </t>
        </is>
      </c>
    </row>
    <row r="256">
      <c r="A256" t="inlineStr">
        <is>
          <t>agegroup</t>
        </is>
      </c>
      <c r="B256" t="n">
        <v>3</v>
      </c>
      <c r="C256" t="inlineStr">
        <is>
          <t>41 to 65</t>
        </is>
      </c>
      <c r="D256" t="inlineStr">
        <is>
          <t>41 à 65 ans</t>
        </is>
      </c>
    </row>
    <row r="257">
      <c r="A257" t="inlineStr">
        <is>
          <t>agegroup</t>
        </is>
      </c>
      <c r="B257" t="n">
        <v>4</v>
      </c>
      <c r="C257" t="inlineStr">
        <is>
          <t>Over 65</t>
        </is>
      </c>
      <c r="D257" t="inlineStr">
        <is>
          <t>Plus de 65 ans</t>
        </is>
      </c>
    </row>
    <row r="258">
      <c r="A258" t="inlineStr">
        <is>
          <t>agegroup</t>
        </is>
      </c>
      <c r="B258" t="n">
        <v>5</v>
      </c>
      <c r="C258" t="inlineStr">
        <is>
          <t>DON'T KNOW</t>
        </is>
      </c>
      <c r="D258" t="inlineStr">
        <is>
          <t>NE SAIT PAS</t>
        </is>
      </c>
    </row>
    <row r="259">
      <c r="A259" t="inlineStr">
        <is>
          <t>agegroup</t>
        </is>
      </c>
      <c r="B259" t="n">
        <v>6</v>
      </c>
      <c r="C259" t="inlineStr">
        <is>
          <t>REFUSED</t>
        </is>
      </c>
      <c r="D259" t="inlineStr">
        <is>
          <t>REFUSÉ</t>
        </is>
      </c>
    </row>
    <row r="260">
      <c r="D260" t="inlineStr">
        <is>
          <t>REFUSÉ</t>
        </is>
      </c>
    </row>
    <row r="261">
      <c r="A261" t="inlineStr">
        <is>
          <t>incomesource1</t>
        </is>
      </c>
      <c r="B261" t="n">
        <v>1</v>
      </c>
      <c r="C261" t="inlineStr">
        <is>
          <t>Production and sale of staple crops</t>
        </is>
      </c>
      <c r="D261" t="inlineStr">
        <is>
          <t>Production et vente de cultures vivrières</t>
        </is>
      </c>
    </row>
    <row r="262">
      <c r="A262" t="inlineStr">
        <is>
          <t>incomesource1</t>
        </is>
      </c>
      <c r="B262" t="n">
        <v>2</v>
      </c>
      <c r="C262" t="inlineStr">
        <is>
          <t xml:space="preserve">Production and sale of vegetables or fruit </t>
        </is>
      </c>
      <c r="D262" t="inlineStr">
        <is>
          <t xml:space="preserve">Production et vente de légumes ou de fruits </t>
        </is>
      </c>
    </row>
    <row r="263">
      <c r="A263" t="inlineStr">
        <is>
          <t>incomesource1</t>
        </is>
      </c>
      <c r="B263" t="n">
        <v>3</v>
      </c>
      <c r="C263" t="inlineStr">
        <is>
          <t>Production and sale of cashcrops</t>
        </is>
      </c>
      <c r="D263" t="inlineStr">
        <is>
          <t>Production et vente de cultures de rente</t>
        </is>
      </c>
    </row>
    <row r="264">
      <c r="A264" t="inlineStr">
        <is>
          <t>incomesource1</t>
        </is>
      </c>
      <c r="B264" t="n">
        <v>4</v>
      </c>
      <c r="C264" t="inlineStr">
        <is>
          <t xml:space="preserve">Production and sale of livestock or livestock products </t>
        </is>
      </c>
      <c r="D264" t="inlineStr">
        <is>
          <t>Production et vente de bétail ou de produits animaux</t>
        </is>
      </c>
    </row>
    <row r="265">
      <c r="A265" t="inlineStr">
        <is>
          <t>incomesource1</t>
        </is>
      </c>
      <c r="B265" t="n">
        <v>5</v>
      </c>
      <c r="C265" t="inlineStr">
        <is>
          <t>Production and sale of honey and bee products</t>
        </is>
      </c>
      <c r="D265" t="inlineStr">
        <is>
          <t>Production et vente de miel ou de produits apicoles</t>
        </is>
      </c>
    </row>
    <row r="266">
      <c r="A266" t="inlineStr">
        <is>
          <t>incomesource1</t>
        </is>
      </c>
      <c r="B266" t="n">
        <v>6</v>
      </c>
      <c r="C266" t="inlineStr">
        <is>
          <t>Production and sale of fish or aquatic products</t>
        </is>
      </c>
      <c r="D266" t="inlineStr">
        <is>
          <t>Production et vente de poisson ou de produits aquatiques</t>
        </is>
      </c>
    </row>
    <row r="267">
      <c r="A267" t="inlineStr">
        <is>
          <t>incomesource1</t>
        </is>
      </c>
      <c r="B267" t="n">
        <v>7</v>
      </c>
      <c r="C267" t="inlineStr">
        <is>
          <t>Collection and sale of natural resources (including forestry or bush products)</t>
        </is>
      </c>
      <c r="D267" t="inlineStr">
        <is>
          <t>Collecte et vente de produits forestiers ou de brousse</t>
        </is>
      </c>
    </row>
    <row r="268">
      <c r="A268" t="inlineStr">
        <is>
          <t>incomesource1</t>
        </is>
      </c>
      <c r="B268" t="n">
        <v>8</v>
      </c>
      <c r="C268" t="inlineStr">
        <is>
          <t>Agricultural trade EXCLUDING producers (formal or informal)</t>
        </is>
      </c>
      <c r="D268" t="inlineStr">
        <is>
          <t>Commerce agricole EXCLUANT les producteurs [formel ou informel]</t>
        </is>
      </c>
    </row>
    <row r="269">
      <c r="A269" t="inlineStr">
        <is>
          <t>incomesource1</t>
        </is>
      </c>
      <c r="B269" t="n">
        <v>9</v>
      </c>
      <c r="C269" t="inlineStr">
        <is>
          <t xml:space="preserve">Daily wage on farms and other casual employment in agricultural sector </t>
        </is>
      </c>
      <c r="D269" t="inlineStr">
        <is>
          <t>Salaire journalier dans une exploitation et autres emplois occasionnels dans le secteur agricole</t>
        </is>
      </c>
    </row>
    <row r="270">
      <c r="A270" t="inlineStr">
        <is>
          <t>incomesource1</t>
        </is>
      </c>
      <c r="B270" t="n">
        <v>10</v>
      </c>
      <c r="C270" t="inlineStr">
        <is>
          <t xml:space="preserve">Stable employment in agricultural sector </t>
        </is>
      </c>
      <c r="D270" t="inlineStr">
        <is>
          <t xml:space="preserve">Emploi stable dans le secteur agricole </t>
        </is>
      </c>
    </row>
    <row r="271">
      <c r="A271" t="inlineStr">
        <is>
          <t>incomesource1</t>
        </is>
      </c>
      <c r="B271" t="n">
        <v>11</v>
      </c>
      <c r="C271" t="inlineStr">
        <is>
          <t>Non-agricultural self-employed or liberal profession, doctor, architect, lawyer, including restaurant</t>
        </is>
      </c>
      <c r="D271" t="inlineStr">
        <is>
          <t>Indépendant non-agricole ou profession libérale / médecin / architecte / avocat / y compris restaurant</t>
        </is>
      </c>
    </row>
    <row r="272">
      <c r="A272" t="inlineStr">
        <is>
          <t>incomesource1</t>
        </is>
      </c>
      <c r="B272" t="n">
        <v>12</v>
      </c>
      <c r="C272" t="inlineStr">
        <is>
          <t>Off-farm daily wages and other non-agricultural casual employment</t>
        </is>
      </c>
      <c r="D272" t="inlineStr">
        <is>
          <t>Salaire journalier hors exploitation et autres emplois occasionnels non agricoles</t>
        </is>
      </c>
    </row>
    <row r="273">
      <c r="A273" t="inlineStr">
        <is>
          <t>incomesource1</t>
        </is>
      </c>
      <c r="B273" t="n">
        <v>13</v>
      </c>
      <c r="C273" t="inlineStr">
        <is>
          <t>Stable employment in non-agricultural sector</t>
        </is>
      </c>
      <c r="D273" t="inlineStr">
        <is>
          <t>Emploi stable dans le secteur non-agricole</t>
        </is>
      </c>
    </row>
    <row r="274">
      <c r="A274" t="inlineStr">
        <is>
          <t>incomesource1</t>
        </is>
      </c>
      <c r="B274" t="n">
        <v>14</v>
      </c>
      <c r="C274" t="inlineStr">
        <is>
          <t xml:space="preserve">Public employment </t>
        </is>
      </c>
      <c r="D274" t="inlineStr">
        <is>
          <t xml:space="preserve">Emploi public </t>
        </is>
      </c>
    </row>
    <row r="275">
      <c r="A275" t="inlineStr">
        <is>
          <t>incomesource1</t>
        </is>
      </c>
      <c r="B275" t="n">
        <v>15</v>
      </c>
      <c r="C275" t="inlineStr">
        <is>
          <t>Income not derived from work / Charity</t>
        </is>
      </c>
      <c r="D275" t="inlineStr">
        <is>
          <t>Revenu non tiré du travail / Charité</t>
        </is>
      </c>
    </row>
    <row r="276">
      <c r="A276" t="inlineStr">
        <is>
          <t>incomesource1</t>
        </is>
      </c>
      <c r="B276" t="n">
        <v>16</v>
      </c>
      <c r="C276" t="inlineStr">
        <is>
          <t>Income not derived from work / Welfare transfer, pension, humanitarian aid</t>
        </is>
      </c>
      <c r="D276" t="inlineStr">
        <is>
          <t>Revenu non tiré du travail / Transferts sociaux, pension, aide humanitaire</t>
        </is>
      </c>
    </row>
    <row r="277">
      <c r="A277" t="inlineStr">
        <is>
          <t>incomesource1</t>
        </is>
      </c>
      <c r="B277" t="n">
        <v>17</v>
      </c>
      <c r="C277" t="inlineStr">
        <is>
          <t>Income not derived from work / Remittances</t>
        </is>
      </c>
      <c r="D277" t="inlineStr">
        <is>
          <t>Revenu non tiré du travail / Envois de fonds des migrants</t>
        </is>
      </c>
    </row>
    <row r="278">
      <c r="A278" t="inlineStr">
        <is>
          <t>incomesource1</t>
        </is>
      </c>
      <c r="B278" t="n">
        <v>18</v>
      </c>
      <c r="C278" t="inlineStr">
        <is>
          <t xml:space="preserve">Income not derived from work / Income from other rents                                                                                                                                              </t>
        </is>
      </c>
      <c r="D278" t="inlineStr">
        <is>
          <t>Revenu non tiré du travail / Revenu d'autres loyers</t>
        </is>
      </c>
    </row>
    <row r="279">
      <c r="A279" t="inlineStr">
        <is>
          <t>incomesource1</t>
        </is>
      </c>
      <c r="B279" t="n">
        <v>19</v>
      </c>
      <c r="C279" t="inlineStr">
        <is>
          <t>No income source in the last 3 months and used exclusively savings / debts</t>
        </is>
      </c>
      <c r="D279" t="inlineStr">
        <is>
          <t>Aucune source de revenus au cours des trois derniers mois et recours exclusif à l'épargne / création de dettes</t>
        </is>
      </c>
    </row>
    <row r="280">
      <c r="A280" t="inlineStr">
        <is>
          <t>incomesource1</t>
        </is>
      </c>
      <c r="B280" t="n">
        <v>20</v>
      </c>
      <c r="C280" t="inlineStr">
        <is>
          <t>REFUSED</t>
        </is>
      </c>
      <c r="D280" t="inlineStr">
        <is>
          <t>REFUSÉ</t>
        </is>
      </c>
    </row>
    <row r="281"/>
    <row r="282">
      <c r="A282" t="inlineStr">
        <is>
          <t>gender_inc_1</t>
        </is>
      </c>
      <c r="B282" t="n">
        <v>1</v>
      </c>
      <c r="C282" t="inlineStr">
        <is>
          <t>Male</t>
        </is>
      </c>
      <c r="D282" t="inlineStr">
        <is>
          <t>Homme</t>
        </is>
      </c>
    </row>
    <row r="283">
      <c r="A283" t="inlineStr">
        <is>
          <t>gender_inc_1</t>
        </is>
      </c>
      <c r="B283" t="n">
        <v>2</v>
      </c>
      <c r="C283" t="inlineStr">
        <is>
          <t>Female</t>
        </is>
      </c>
      <c r="D283" t="inlineStr">
        <is>
          <t>Femme</t>
        </is>
      </c>
    </row>
    <row r="284">
      <c r="A284" t="inlineStr">
        <is>
          <t>gender_inc_1</t>
        </is>
      </c>
      <c r="B284" t="n">
        <v>3</v>
      </c>
      <c r="C284" t="inlineStr">
        <is>
          <t>Joint (both male &amp; female)</t>
        </is>
      </c>
      <c r="D284" t="inlineStr">
        <is>
          <t>Mixte [homme et femme]</t>
        </is>
      </c>
    </row>
    <row r="285">
      <c r="A285" t="inlineStr">
        <is>
          <t>gender_inc_1</t>
        </is>
      </c>
      <c r="B285" t="n">
        <v>4</v>
      </c>
      <c r="C285" t="inlineStr">
        <is>
          <t>DON'T KNOW</t>
        </is>
      </c>
      <c r="D285" t="inlineStr">
        <is>
          <t>NE SAIT PAS</t>
        </is>
      </c>
    </row>
    <row r="286">
      <c r="A286" t="inlineStr">
        <is>
          <t>gender_inc_1</t>
        </is>
      </c>
      <c r="B286" t="n">
        <v>5</v>
      </c>
      <c r="C286" t="inlineStr">
        <is>
          <t>REFUSED</t>
        </is>
      </c>
      <c r="D286" t="inlineStr">
        <is>
          <t>REFUSÉ</t>
        </is>
      </c>
    </row>
    <row r="287"/>
    <row r="288">
      <c r="A288" t="inlineStr">
        <is>
          <t>gender_inc_2</t>
        </is>
      </c>
      <c r="B288" t="n">
        <v>1</v>
      </c>
      <c r="C288" t="inlineStr">
        <is>
          <t>Male household member(s)</t>
        </is>
      </c>
      <c r="D288" t="inlineStr">
        <is>
          <t>Membre(s) masculin(s) du ménage</t>
        </is>
      </c>
    </row>
    <row r="289">
      <c r="A289" t="inlineStr">
        <is>
          <t>gender_inc_2</t>
        </is>
      </c>
      <c r="B289" t="n">
        <v>2</v>
      </c>
      <c r="C289" t="inlineStr">
        <is>
          <t>Female household member(s)</t>
        </is>
      </c>
      <c r="D289" t="inlineStr">
        <is>
          <t>Membre(s) feminin(s) du ménage</t>
        </is>
      </c>
    </row>
    <row r="290">
      <c r="A290" t="inlineStr">
        <is>
          <t>gender_inc_2</t>
        </is>
      </c>
      <c r="B290" t="n">
        <v>3</v>
      </c>
      <c r="C290" t="inlineStr">
        <is>
          <t>Joint household members (both female &amp; male)</t>
        </is>
      </c>
      <c r="D290" t="inlineStr">
        <is>
          <t>Membres du ménages conjointement (femme et homme)</t>
        </is>
      </c>
    </row>
    <row r="291">
      <c r="A291" t="inlineStr">
        <is>
          <t>gender_inc_2</t>
        </is>
      </c>
      <c r="B291" t="n">
        <v>4</v>
      </c>
      <c r="C291" t="inlineStr">
        <is>
          <t>DON'T KNOW</t>
        </is>
      </c>
      <c r="D291" t="inlineStr">
        <is>
          <t>NE SAIT PAS</t>
        </is>
      </c>
    </row>
    <row r="292">
      <c r="A292" t="inlineStr">
        <is>
          <t>gender_inc_2</t>
        </is>
      </c>
      <c r="B292" t="n">
        <v>5</v>
      </c>
      <c r="C292" t="inlineStr">
        <is>
          <t>REFUSED</t>
        </is>
      </c>
      <c r="D292" t="inlineStr">
        <is>
          <t>REFUSÉ</t>
        </is>
      </c>
    </row>
    <row r="293"/>
    <row r="294">
      <c r="A294" t="inlineStr">
        <is>
          <t>change</t>
        </is>
      </c>
      <c r="B294" t="n">
        <v>1</v>
      </c>
      <c r="C294" t="inlineStr">
        <is>
          <t>A lot more [increased by more than 50%]</t>
        </is>
      </c>
      <c r="D294" t="inlineStr">
        <is>
          <t>Très supérieur [augmentation de plus de 50%]</t>
        </is>
      </c>
    </row>
    <row r="295">
      <c r="A295" t="inlineStr">
        <is>
          <t>change</t>
        </is>
      </c>
      <c r="B295" t="n">
        <v>2</v>
      </c>
      <c r="C295" t="inlineStr">
        <is>
          <t>Slightly more</t>
        </is>
      </c>
      <c r="D295" t="inlineStr">
        <is>
          <t>Supérieur</t>
        </is>
      </c>
    </row>
    <row r="296">
      <c r="A296" t="inlineStr">
        <is>
          <t>change</t>
        </is>
      </c>
      <c r="B296" t="n">
        <v>3</v>
      </c>
      <c r="C296" t="inlineStr">
        <is>
          <t>Same</t>
        </is>
      </c>
      <c r="D296" t="inlineStr">
        <is>
          <t>Identique</t>
        </is>
      </c>
    </row>
    <row r="297">
      <c r="A297" t="inlineStr">
        <is>
          <t>change</t>
        </is>
      </c>
      <c r="B297" t="n">
        <v>4</v>
      </c>
      <c r="C297" t="inlineStr">
        <is>
          <t>Slightly less</t>
        </is>
      </c>
      <c r="D297" t="inlineStr">
        <is>
          <t>Inférieur</t>
        </is>
      </c>
    </row>
    <row r="298">
      <c r="A298" t="inlineStr">
        <is>
          <t>change</t>
        </is>
      </c>
      <c r="B298" t="n">
        <v>5</v>
      </c>
      <c r="C298" t="inlineStr">
        <is>
          <t xml:space="preserve">A lot less [less than half as much] </t>
        </is>
      </c>
      <c r="D298" t="inlineStr">
        <is>
          <t>Très inférieur [moins de la moitié]</t>
        </is>
      </c>
    </row>
    <row r="299">
      <c r="A299" t="inlineStr">
        <is>
          <t>change</t>
        </is>
      </c>
      <c r="B299" t="n">
        <v>6</v>
      </c>
      <c r="C299" t="inlineStr">
        <is>
          <t>DON'T KNOW</t>
        </is>
      </c>
      <c r="D299" t="inlineStr">
        <is>
          <t>NE SAIT PAS</t>
        </is>
      </c>
    </row>
    <row r="300">
      <c r="A300" t="inlineStr">
        <is>
          <t>change</t>
        </is>
      </c>
      <c r="B300" t="n">
        <v>7</v>
      </c>
      <c r="C300" t="inlineStr">
        <is>
          <t>REFUSED</t>
        </is>
      </c>
      <c r="D300" t="inlineStr">
        <is>
          <t>REFUSÉ</t>
        </is>
      </c>
    </row>
    <row r="301"/>
    <row r="302" customFormat="1" s="15">
      <c r="A302" t="inlineStr">
        <is>
          <t>incomesource2</t>
        </is>
      </c>
      <c r="B302" t="n">
        <v>1</v>
      </c>
      <c r="C302" t="inlineStr">
        <is>
          <t>Production and sale of staple crops</t>
        </is>
      </c>
      <c r="D302" t="inlineStr">
        <is>
          <t>Production et vente de cultures vivrières</t>
        </is>
      </c>
    </row>
    <row r="303" customFormat="1" s="15">
      <c r="A303" t="inlineStr">
        <is>
          <t>incomesource2</t>
        </is>
      </c>
      <c r="B303" t="n">
        <v>2</v>
      </c>
      <c r="C303" t="inlineStr">
        <is>
          <t xml:space="preserve">Production and sale of vegetables or fruit </t>
        </is>
      </c>
      <c r="D303" t="inlineStr">
        <is>
          <t>Production et vente de légumes ou de fruits</t>
        </is>
      </c>
    </row>
    <row r="304" customFormat="1" s="15">
      <c r="A304" t="inlineStr">
        <is>
          <t>incomesource2</t>
        </is>
      </c>
      <c r="B304" t="n">
        <v>3</v>
      </c>
      <c r="C304" t="inlineStr">
        <is>
          <t>Production and sale of cashcrops</t>
        </is>
      </c>
      <c r="D304" t="inlineStr">
        <is>
          <t>Production et vente de cultures de rente</t>
        </is>
      </c>
    </row>
    <row r="305" customFormat="1" s="15">
      <c r="A305" t="inlineStr">
        <is>
          <t>incomesource2</t>
        </is>
      </c>
      <c r="B305" t="n">
        <v>4</v>
      </c>
      <c r="C305" t="inlineStr">
        <is>
          <t xml:space="preserve">Production and sale of livestock or livestock products </t>
        </is>
      </c>
      <c r="D305" t="inlineStr">
        <is>
          <t>Production et vente de bétail ou de produits du bétail</t>
        </is>
      </c>
    </row>
    <row r="306" customFormat="1" s="15">
      <c r="A306" t="inlineStr">
        <is>
          <t>incomesource2</t>
        </is>
      </c>
      <c r="B306" t="n">
        <v>5</v>
      </c>
      <c r="C306" t="inlineStr">
        <is>
          <t>Production and sale of honey and bee products</t>
        </is>
      </c>
      <c r="D306" t="inlineStr">
        <is>
          <t>Production et vente de miel ou de produits apicoles</t>
        </is>
      </c>
    </row>
    <row r="307" customFormat="1" s="15">
      <c r="A307" t="inlineStr">
        <is>
          <t>incomesource2</t>
        </is>
      </c>
      <c r="B307" t="n">
        <v>6</v>
      </c>
      <c r="C307" t="inlineStr">
        <is>
          <t>Production and sale of fish or aquatic products</t>
        </is>
      </c>
      <c r="D307" t="inlineStr">
        <is>
          <t>Production et vente de poisson ou de produits aquatiques</t>
        </is>
      </c>
    </row>
    <row r="308" customFormat="1" s="15">
      <c r="A308" t="inlineStr">
        <is>
          <t>incomesource2</t>
        </is>
      </c>
      <c r="B308" t="n">
        <v>7</v>
      </c>
      <c r="C308" t="inlineStr">
        <is>
          <t>Collection and sale of natural resources (including forestry or bush products)</t>
        </is>
      </c>
      <c r="D308" t="inlineStr">
        <is>
          <t>Collecte et vente de ressources naturelles (y compris les produits forestiers ou de la brousse)</t>
        </is>
      </c>
    </row>
    <row r="309" customFormat="1" s="15">
      <c r="A309" t="inlineStr">
        <is>
          <t>incomesource2</t>
        </is>
      </c>
      <c r="B309" t="n">
        <v>8</v>
      </c>
      <c r="C309" t="inlineStr">
        <is>
          <t>Agricultural trade EXCLUDING producers (formal or informal)</t>
        </is>
      </c>
      <c r="D309" t="inlineStr">
        <is>
          <t>Commerce agricole EXCLUANT les producteurs [formel ou informel]</t>
        </is>
      </c>
    </row>
    <row r="310" customFormat="1" s="15">
      <c r="A310" t="inlineStr">
        <is>
          <t>incomesource2</t>
        </is>
      </c>
      <c r="B310" t="n">
        <v>9</v>
      </c>
      <c r="C310" t="inlineStr">
        <is>
          <t xml:space="preserve">Daily wage on farms and other casual employment in agricultural sector </t>
        </is>
      </c>
      <c r="D310" t="inlineStr">
        <is>
          <t>Salaire journalier dans une exploitation et autres emplois occasionnels dans le secteur agricole</t>
        </is>
      </c>
    </row>
    <row r="311" customFormat="1" s="15">
      <c r="A311" t="inlineStr">
        <is>
          <t>incomesource2</t>
        </is>
      </c>
      <c r="B311" t="n">
        <v>10</v>
      </c>
      <c r="C311" t="inlineStr">
        <is>
          <t xml:space="preserve">Stable employment in agricultural sector </t>
        </is>
      </c>
      <c r="D311" t="inlineStr">
        <is>
          <t>Emploi stable dans le secteur agricole</t>
        </is>
      </c>
    </row>
    <row r="312" customFormat="1" s="15">
      <c r="A312" t="inlineStr">
        <is>
          <t>incomesource2</t>
        </is>
      </c>
      <c r="B312" t="n">
        <v>11</v>
      </c>
      <c r="C312" t="inlineStr">
        <is>
          <t>Non-agricultural self-employed or liberal profession, doctor, architect, lawyer, including restaurant</t>
        </is>
      </c>
      <c r="D312" t="inlineStr">
        <is>
          <t>Indépendant non-agricole ou profession libérale, médecin, architecte, avocat, y compris restaurant</t>
        </is>
      </c>
    </row>
    <row r="313" customFormat="1" s="15">
      <c r="A313" t="inlineStr">
        <is>
          <t>incomesource2</t>
        </is>
      </c>
      <c r="B313" t="n">
        <v>12</v>
      </c>
      <c r="C313" t="inlineStr">
        <is>
          <t>Off-farm daily wages and other non-agricultural casual employment</t>
        </is>
      </c>
      <c r="D313" t="inlineStr">
        <is>
          <t>Salaire journalier et autres emplois occasionnels non‑agricoles</t>
        </is>
      </c>
    </row>
    <row r="314" customFormat="1" s="15">
      <c r="A314" t="inlineStr">
        <is>
          <t>incomesource2</t>
        </is>
      </c>
      <c r="B314" t="n">
        <v>13</v>
      </c>
      <c r="C314" t="inlineStr">
        <is>
          <t>Stable employment in non-agricultural sector</t>
        </is>
      </c>
      <c r="D314" t="inlineStr">
        <is>
          <t>Emploi stable dans le secteur non-agricole</t>
        </is>
      </c>
    </row>
    <row r="315" customFormat="1" s="15">
      <c r="A315" t="inlineStr">
        <is>
          <t>incomesource2</t>
        </is>
      </c>
      <c r="B315" t="n">
        <v>14</v>
      </c>
      <c r="C315" t="inlineStr">
        <is>
          <t xml:space="preserve">Public employment </t>
        </is>
      </c>
      <c r="D315" t="inlineStr">
        <is>
          <t>Emploi public</t>
        </is>
      </c>
    </row>
    <row r="316" customFormat="1" s="15">
      <c r="A316" t="inlineStr">
        <is>
          <t>incomesource2</t>
        </is>
      </c>
      <c r="B316" t="n">
        <v>15</v>
      </c>
      <c r="C316" t="inlineStr">
        <is>
          <t>Income not derived from work / Charity</t>
        </is>
      </c>
      <c r="D316" t="inlineStr">
        <is>
          <t>Revenu non tiré du travail / Charité</t>
        </is>
      </c>
    </row>
    <row r="317" customFormat="1" s="15">
      <c r="A317" t="inlineStr">
        <is>
          <t>incomesource2</t>
        </is>
      </c>
      <c r="B317" t="n">
        <v>16</v>
      </c>
      <c r="C317" t="inlineStr">
        <is>
          <t>Income not derived from work / Welfare transfer, pension, humanitarian aid</t>
        </is>
      </c>
      <c r="D317" t="inlineStr">
        <is>
          <t>Revenu non tiré du travail / Transferts sociaux, pension, aide humanitaire</t>
        </is>
      </c>
    </row>
    <row r="318" customFormat="1" s="15">
      <c r="A318" t="inlineStr">
        <is>
          <t>incomesource2</t>
        </is>
      </c>
      <c r="B318" t="n">
        <v>17</v>
      </c>
      <c r="C318" t="inlineStr">
        <is>
          <t>Income not derived from work / Remittances</t>
        </is>
      </c>
      <c r="D318" t="inlineStr">
        <is>
          <t>Revenu non tiré du travail / Envoi de fonds des migrants</t>
        </is>
      </c>
    </row>
    <row r="319" customFormat="1" s="15">
      <c r="A319" t="inlineStr">
        <is>
          <t>incomesource2</t>
        </is>
      </c>
      <c r="B319" t="n">
        <v>18</v>
      </c>
      <c r="C319" t="inlineStr">
        <is>
          <t>Income not derived from work / Income from other rents</t>
        </is>
      </c>
      <c r="D319" t="inlineStr">
        <is>
          <t>Revenu non tiré du travail / Revenu d'autres loyers</t>
        </is>
      </c>
    </row>
    <row r="320" customFormat="1" s="15">
      <c r="A320" t="inlineStr">
        <is>
          <t>incomesource2</t>
        </is>
      </c>
      <c r="B320" t="n">
        <v>19</v>
      </c>
      <c r="C320" t="inlineStr">
        <is>
          <t>No second most important source of income</t>
        </is>
      </c>
      <c r="D320" t="inlineStr">
        <is>
          <t xml:space="preserve">Pas de seconde source de revenu </t>
        </is>
      </c>
    </row>
    <row r="321" customFormat="1" s="15">
      <c r="A321" t="inlineStr">
        <is>
          <t>incomesource2</t>
        </is>
      </c>
      <c r="B321" t="n">
        <v>20</v>
      </c>
      <c r="C321" t="inlineStr">
        <is>
          <t>DON'T KNOW</t>
        </is>
      </c>
      <c r="D321" t="inlineStr">
        <is>
          <t>NE SAIT PAS</t>
        </is>
      </c>
    </row>
    <row r="322" customFormat="1" s="15">
      <c r="A322" t="inlineStr">
        <is>
          <t>incomesource2</t>
        </is>
      </c>
      <c r="B322" t="n">
        <v>21</v>
      </c>
      <c r="C322" t="inlineStr">
        <is>
          <t>REFUSED</t>
        </is>
      </c>
      <c r="D322" t="inlineStr">
        <is>
          <t>REFUSÉ</t>
        </is>
      </c>
    </row>
    <row r="323" customFormat="1" s="15"/>
    <row r="324" customFormat="1" s="15">
      <c r="A324" t="inlineStr">
        <is>
          <t>incomesource3</t>
        </is>
      </c>
      <c r="B324" t="n">
        <v>1</v>
      </c>
      <c r="C324" t="inlineStr">
        <is>
          <t>Production and sale of staple crops</t>
        </is>
      </c>
      <c r="D324" t="inlineStr">
        <is>
          <t>Production et vente de cultures vivrières</t>
        </is>
      </c>
    </row>
    <row r="325" customFormat="1" s="15">
      <c r="A325" t="inlineStr">
        <is>
          <t>incomesource3</t>
        </is>
      </c>
      <c r="B325" t="n">
        <v>2</v>
      </c>
      <c r="C325" t="inlineStr">
        <is>
          <t xml:space="preserve">Production and sale of vegetables or fruit </t>
        </is>
      </c>
      <c r="D325" t="inlineStr">
        <is>
          <t>Production et vente de légumes ou de fruits</t>
        </is>
      </c>
    </row>
    <row r="326" customFormat="1" s="15">
      <c r="A326" t="inlineStr">
        <is>
          <t>incomesource3</t>
        </is>
      </c>
      <c r="B326" t="n">
        <v>3</v>
      </c>
      <c r="C326" t="inlineStr">
        <is>
          <t>Production and sale of cashcrops</t>
        </is>
      </c>
      <c r="D326" t="inlineStr">
        <is>
          <t>Production et vente de cultures de rente</t>
        </is>
      </c>
    </row>
    <row r="327" customFormat="1" s="15">
      <c r="A327" t="inlineStr">
        <is>
          <t>incomesource3</t>
        </is>
      </c>
      <c r="B327" t="n">
        <v>4</v>
      </c>
      <c r="C327" t="inlineStr">
        <is>
          <t xml:space="preserve">Production and sale of livestock or livestock products </t>
        </is>
      </c>
      <c r="D327" t="inlineStr">
        <is>
          <t>Production et vente de bétail ou de produits du bétail</t>
        </is>
      </c>
    </row>
    <row r="328" customFormat="1" s="15">
      <c r="A328" t="inlineStr">
        <is>
          <t>incomesource3</t>
        </is>
      </c>
      <c r="B328" t="n">
        <v>5</v>
      </c>
      <c r="C328" t="inlineStr">
        <is>
          <t>Production and sale of honey and bee products</t>
        </is>
      </c>
      <c r="D328" t="inlineStr">
        <is>
          <t>Production et vente de miel ou de produits apicoles</t>
        </is>
      </c>
    </row>
    <row r="329" customFormat="1" s="15">
      <c r="A329" t="inlineStr">
        <is>
          <t>incomesource3</t>
        </is>
      </c>
      <c r="B329" t="n">
        <v>6</v>
      </c>
      <c r="C329" t="inlineStr">
        <is>
          <t>Production and sale of fish or aquatic products</t>
        </is>
      </c>
      <c r="D329" t="inlineStr">
        <is>
          <t>Production et vente de poisson ou de produits aquatiques</t>
        </is>
      </c>
    </row>
    <row r="330" customFormat="1" s="15">
      <c r="A330" t="inlineStr">
        <is>
          <t>incomesource3</t>
        </is>
      </c>
      <c r="B330" t="n">
        <v>7</v>
      </c>
      <c r="C330" t="inlineStr">
        <is>
          <t>Collection and sale of natural resources (including forestry or bush products)</t>
        </is>
      </c>
      <c r="D330" t="inlineStr">
        <is>
          <t>Collecte et vente de ressources naturelles (y compris les produits forestiers ou de la brousse)</t>
        </is>
      </c>
    </row>
    <row r="331" customFormat="1" s="15">
      <c r="A331" t="inlineStr">
        <is>
          <t>incomesource3</t>
        </is>
      </c>
      <c r="B331" t="n">
        <v>8</v>
      </c>
      <c r="C331" t="inlineStr">
        <is>
          <t>Agricultural trade EXCLUDING producers (formal or informal)</t>
        </is>
      </c>
      <c r="D331" t="inlineStr">
        <is>
          <t>Commerce agricole EXCLUANT les producteurs [formel ou informel]</t>
        </is>
      </c>
    </row>
    <row r="332" customFormat="1" s="15">
      <c r="A332" t="inlineStr">
        <is>
          <t>incomesource3</t>
        </is>
      </c>
      <c r="B332" t="n">
        <v>9</v>
      </c>
      <c r="C332" t="inlineStr">
        <is>
          <t xml:space="preserve">Daily wage on farms and other casual employment in agricultural sector </t>
        </is>
      </c>
      <c r="D332" t="inlineStr">
        <is>
          <t>Salaire journalier dans une exploitation et autres emplois occasionnels dans le secteur agricole</t>
        </is>
      </c>
    </row>
    <row r="333" customFormat="1" s="15">
      <c r="A333" t="inlineStr">
        <is>
          <t>incomesource3</t>
        </is>
      </c>
      <c r="B333" t="n">
        <v>10</v>
      </c>
      <c r="C333" t="inlineStr">
        <is>
          <t xml:space="preserve">Stable employment in agricultural sector </t>
        </is>
      </c>
      <c r="D333" t="inlineStr">
        <is>
          <t>Emploi stable dans le secteur agricole</t>
        </is>
      </c>
    </row>
    <row r="334" customFormat="1" s="15">
      <c r="A334" t="inlineStr">
        <is>
          <t>incomesource3</t>
        </is>
      </c>
      <c r="B334" t="n">
        <v>11</v>
      </c>
      <c r="C334" t="inlineStr">
        <is>
          <t>Non-agricultural self-employed or liberal profession, doctor, architect, lawyer, including restaurant</t>
        </is>
      </c>
      <c r="D334" t="inlineStr">
        <is>
          <t>Indépendant non-agricole ou profession libérale, médecin, architecte, avocat, y compris restaurant</t>
        </is>
      </c>
    </row>
    <row r="335" customFormat="1" s="15">
      <c r="A335" t="inlineStr">
        <is>
          <t>incomesource3</t>
        </is>
      </c>
      <c r="B335" t="n">
        <v>12</v>
      </c>
      <c r="C335" t="inlineStr">
        <is>
          <t>Off-farm daily wages and other non-agricultural casual employment</t>
        </is>
      </c>
      <c r="D335" t="inlineStr">
        <is>
          <t>Salaire journalier et autres emplois occasionnels non‑agricoles</t>
        </is>
      </c>
    </row>
    <row r="336" customFormat="1" s="15">
      <c r="A336" t="inlineStr">
        <is>
          <t>incomesource3</t>
        </is>
      </c>
      <c r="B336" t="n">
        <v>13</v>
      </c>
      <c r="C336" t="inlineStr">
        <is>
          <t>Stable employment in non-agricultural sector</t>
        </is>
      </c>
      <c r="D336" t="inlineStr">
        <is>
          <t>Emploi stable dans le secteur non-agricole</t>
        </is>
      </c>
    </row>
    <row r="337" customFormat="1" s="15">
      <c r="A337" t="inlineStr">
        <is>
          <t>incomesource3</t>
        </is>
      </c>
      <c r="B337" t="n">
        <v>14</v>
      </c>
      <c r="C337" t="inlineStr">
        <is>
          <t xml:space="preserve">Public employment </t>
        </is>
      </c>
      <c r="D337" t="inlineStr">
        <is>
          <t>Emploi public</t>
        </is>
      </c>
    </row>
    <row r="338" customFormat="1" s="15">
      <c r="A338" t="inlineStr">
        <is>
          <t>incomesource3</t>
        </is>
      </c>
      <c r="B338" t="n">
        <v>15</v>
      </c>
      <c r="C338" t="inlineStr">
        <is>
          <t>Income not derived from work / Charity</t>
        </is>
      </c>
      <c r="D338" t="inlineStr">
        <is>
          <t>Revenu non tiré du travail / Charité</t>
        </is>
      </c>
    </row>
    <row r="339" customFormat="1" s="15">
      <c r="A339" t="inlineStr">
        <is>
          <t>incomesource3</t>
        </is>
      </c>
      <c r="B339" t="n">
        <v>16</v>
      </c>
      <c r="C339" t="inlineStr">
        <is>
          <t>Income not derived from work / Welfare transfer, pension, humanitarian aid</t>
        </is>
      </c>
      <c r="D339" t="inlineStr">
        <is>
          <t>Revenu non tiré du travail / Transferts sociaux, pension, aide humanitaire</t>
        </is>
      </c>
    </row>
    <row r="340" customFormat="1" s="15">
      <c r="A340" t="inlineStr">
        <is>
          <t>incomesource3</t>
        </is>
      </c>
      <c r="B340" t="n">
        <v>17</v>
      </c>
      <c r="C340" t="inlineStr">
        <is>
          <t>Income not derived from work / Remittances</t>
        </is>
      </c>
      <c r="D340" t="inlineStr">
        <is>
          <t>Revenu non tiré du travail / Envoi de fonds des migrants</t>
        </is>
      </c>
    </row>
    <row r="341" customFormat="1" s="15">
      <c r="A341" t="inlineStr">
        <is>
          <t>incomesource3</t>
        </is>
      </c>
      <c r="B341" t="n">
        <v>18</v>
      </c>
      <c r="C341" t="inlineStr">
        <is>
          <t xml:space="preserve">Income not derived from work / Income from other rents                                </t>
        </is>
      </c>
      <c r="D341" t="inlineStr">
        <is>
          <t>Revenu non tiré du travail / Revenu d'autres loyers</t>
        </is>
      </c>
    </row>
    <row r="342" customFormat="1" s="15">
      <c r="A342" t="inlineStr">
        <is>
          <t>incomesource3</t>
        </is>
      </c>
      <c r="B342" t="n">
        <v>19</v>
      </c>
      <c r="C342" t="inlineStr">
        <is>
          <t>No third most important source of income</t>
        </is>
      </c>
      <c r="D342" t="inlineStr">
        <is>
          <t xml:space="preserve">Pas de troisième source de revenu </t>
        </is>
      </c>
    </row>
    <row r="343" customFormat="1" s="15">
      <c r="A343" t="inlineStr">
        <is>
          <t>incomesource3</t>
        </is>
      </c>
      <c r="B343" t="n">
        <v>20</v>
      </c>
      <c r="C343" t="inlineStr">
        <is>
          <t>DON'T KNOW</t>
        </is>
      </c>
      <c r="D343" t="inlineStr">
        <is>
          <t>NE SAIT PAS</t>
        </is>
      </c>
    </row>
    <row r="344" customFormat="1" s="15">
      <c r="A344" t="inlineStr">
        <is>
          <t>incomesource3</t>
        </is>
      </c>
      <c r="B344" t="n">
        <v>21</v>
      </c>
      <c r="C344" t="inlineStr">
        <is>
          <t>REFUSED</t>
        </is>
      </c>
      <c r="D344" t="inlineStr">
        <is>
          <t>REFUSÉ</t>
        </is>
      </c>
    </row>
    <row r="345" customFormat="1" s="12"/>
    <row r="346">
      <c r="A346" t="inlineStr">
        <is>
          <t>shock</t>
        </is>
      </c>
      <c r="B346" t="inlineStr">
        <is>
          <t>noshock</t>
        </is>
      </c>
      <c r="C346" t="inlineStr">
        <is>
          <t>No shock</t>
        </is>
      </c>
      <c r="D346" t="inlineStr">
        <is>
          <t>Aucun choc</t>
        </is>
      </c>
    </row>
    <row r="347">
      <c r="A347" t="inlineStr">
        <is>
          <t>shock</t>
        </is>
      </c>
      <c r="B347" t="inlineStr">
        <is>
          <t>sicknessordeathofhh</t>
        </is>
      </c>
      <c r="C347" t="inlineStr">
        <is>
          <t>Sickness or accident or death of household member[s] [sickness of breadwinner / unusually high medical expenditure / funeral expenses / death of breadwinner]</t>
        </is>
      </c>
      <c r="D347" t="inlineStr">
        <is>
          <t>Maladie, accident ou décès d'un ou plusieurs membres du ménage [maladie du soutien de famille / dépenses médicales anormalement élevées / frais funéraires / décès du soutien de famille]</t>
        </is>
      </c>
    </row>
    <row r="348">
      <c r="A348" t="inlineStr">
        <is>
          <t>shock</t>
        </is>
      </c>
      <c r="B348" t="inlineStr">
        <is>
          <t>lostemplorwork</t>
        </is>
      </c>
      <c r="C348" t="inlineStr">
        <is>
          <t>Lost employment or working opportunities [not due to illness/accident]</t>
        </is>
      </c>
      <c r="D348" t="inlineStr">
        <is>
          <t>Perte d'emploi ou d'opportunités de travail [non due à la maladie ou à un accident]</t>
        </is>
      </c>
    </row>
    <row r="349">
      <c r="A349" t="inlineStr">
        <is>
          <t>shock</t>
        </is>
      </c>
      <c r="B349" t="inlineStr">
        <is>
          <t>otherintrahhshock</t>
        </is>
      </c>
      <c r="C349" t="inlineStr">
        <is>
          <t>Other intra-household shock</t>
        </is>
      </c>
      <c r="D349" t="inlineStr">
        <is>
          <t>Autre choc interne au ménage</t>
        </is>
      </c>
    </row>
    <row r="350">
      <c r="A350" t="inlineStr">
        <is>
          <t>shock</t>
        </is>
      </c>
      <c r="B350" t="inlineStr">
        <is>
          <t>higherfoodprices</t>
        </is>
      </c>
      <c r="C350" t="inlineStr">
        <is>
          <t>Unusually high food prices</t>
        </is>
      </c>
      <c r="D350" t="inlineStr">
        <is>
          <t>Prix des denrées alimentaires anormalement élevés</t>
        </is>
      </c>
    </row>
    <row r="351">
      <c r="A351" t="inlineStr">
        <is>
          <t>shock</t>
        </is>
      </c>
      <c r="B351" t="inlineStr">
        <is>
          <t>higherfuelprices</t>
        </is>
      </c>
      <c r="C351" t="inlineStr">
        <is>
          <t>Unusually high fuel prices or transport prices</t>
        </is>
      </c>
      <c r="D351" t="inlineStr">
        <is>
          <t>Prix des carburants ou des transports anormalement élevés</t>
        </is>
      </c>
    </row>
    <row r="352">
      <c r="A352" t="inlineStr">
        <is>
          <t>shock</t>
        </is>
      </c>
      <c r="B352" t="inlineStr">
        <is>
          <t>mvtrestrict</t>
        </is>
      </c>
      <c r="C352" t="inlineStr">
        <is>
          <t>Population movement restrictions [e.g. due to epidemic or infrastructure damage]</t>
        </is>
      </c>
      <c r="D352" t="inlineStr">
        <is>
          <t>Restrictions de mouvements de population [par exemple, en raison d'une épidémie ou de dommages causés aux infrastructures]</t>
        </is>
      </c>
    </row>
    <row r="353">
      <c r="A353" t="inlineStr">
        <is>
          <t>shock</t>
        </is>
      </c>
      <c r="B353" t="inlineStr">
        <is>
          <t>othereconomicshock</t>
        </is>
      </c>
      <c r="C353" t="inlineStr">
        <is>
          <t xml:space="preserve">Other economic shock </t>
        </is>
      </c>
      <c r="D353" t="inlineStr">
        <is>
          <t xml:space="preserve">Autre choc économique </t>
        </is>
      </c>
    </row>
    <row r="354">
      <c r="A354" t="inlineStr">
        <is>
          <t>shock</t>
        </is>
      </c>
      <c r="B354" t="inlineStr">
        <is>
          <t>pestoutbreak</t>
        </is>
      </c>
      <c r="C354" t="inlineStr">
        <is>
          <t>Pest outbreak</t>
        </is>
      </c>
      <c r="D354" t="inlineStr">
        <is>
          <t>Invasion d'organismes nuisibles</t>
        </is>
      </c>
    </row>
    <row r="355">
      <c r="A355" t="inlineStr">
        <is>
          <t>shock</t>
        </is>
      </c>
      <c r="B355" t="inlineStr">
        <is>
          <t>plantdisease</t>
        </is>
      </c>
      <c r="C355" t="inlineStr">
        <is>
          <t>Plant disease</t>
        </is>
      </c>
      <c r="D355" t="inlineStr">
        <is>
          <t>Maladie des plantes</t>
        </is>
      </c>
    </row>
    <row r="356">
      <c r="A356" t="inlineStr">
        <is>
          <t>shock</t>
        </is>
      </c>
      <c r="B356" t="inlineStr">
        <is>
          <t>animaldisease</t>
        </is>
      </c>
      <c r="C356" t="inlineStr">
        <is>
          <t>Animal disease [affecting many animals] or death</t>
        </is>
      </c>
      <c r="D356" t="inlineStr">
        <is>
          <t>Maladie animale [touchant de nombreux animaux] ou mort d'animaux</t>
        </is>
      </c>
    </row>
    <row r="357">
      <c r="A357" t="inlineStr">
        <is>
          <t>shock</t>
        </is>
      </c>
      <c r="B357" t="inlineStr">
        <is>
          <t>napasture</t>
        </is>
      </c>
      <c r="C357" t="inlineStr">
        <is>
          <t>Lack of physical access to pasture</t>
        </is>
      </c>
      <c r="D357" t="inlineStr">
        <is>
          <t>Accès difficile aux pâturages</t>
        </is>
      </c>
    </row>
    <row r="358">
      <c r="A358" t="inlineStr">
        <is>
          <t>shock</t>
        </is>
      </c>
      <c r="B358" t="inlineStr">
        <is>
          <t>othercropandlivests</t>
        </is>
      </c>
      <c r="C358" t="inlineStr">
        <is>
          <t>Other crop and livestock shock</t>
        </is>
      </c>
      <c r="D358" t="inlineStr">
        <is>
          <t>Autre choc touchant les cultures et le bétail</t>
        </is>
      </c>
    </row>
    <row r="359">
      <c r="A359" t="inlineStr">
        <is>
          <t>shock</t>
        </is>
      </c>
      <c r="B359" t="inlineStr">
        <is>
          <t>coldtemporhail</t>
        </is>
      </c>
      <c r="C359" t="inlineStr">
        <is>
          <t>Cold temperatures or hail</t>
        </is>
      </c>
      <c r="D359" t="inlineStr">
        <is>
          <t>Températures froides / grêle</t>
        </is>
      </c>
    </row>
    <row r="360">
      <c r="A360" t="inlineStr">
        <is>
          <t>shock</t>
        </is>
      </c>
      <c r="B360" t="inlineStr">
        <is>
          <t>flood</t>
        </is>
      </c>
      <c r="C360" t="inlineStr">
        <is>
          <t>Flood / riverbank erosion</t>
        </is>
      </c>
      <c r="D360" t="inlineStr">
        <is>
          <t>Inondations / érosion des berges</t>
        </is>
      </c>
    </row>
    <row r="361">
      <c r="A361" t="inlineStr">
        <is>
          <t>shock</t>
        </is>
      </c>
      <c r="B361" t="inlineStr">
        <is>
          <t>hurricane</t>
        </is>
      </c>
      <c r="C361" t="inlineStr">
        <is>
          <t>Hurricane / cyclone / tornado</t>
        </is>
      </c>
      <c r="D361" t="inlineStr">
        <is>
          <t>Ouragan / cyclone / tornade</t>
        </is>
      </c>
    </row>
    <row r="362">
      <c r="A362" t="inlineStr">
        <is>
          <t>shock</t>
        </is>
      </c>
      <c r="B362" t="inlineStr">
        <is>
          <t>drought</t>
        </is>
      </c>
      <c r="C362" t="inlineStr">
        <is>
          <t>Drought / heat stress</t>
        </is>
      </c>
      <c r="D362" t="inlineStr">
        <is>
          <t>Sécheresse / stress dû à la chaleur</t>
        </is>
      </c>
    </row>
    <row r="363">
      <c r="A363" t="inlineStr">
        <is>
          <t>shock</t>
        </is>
      </c>
      <c r="B363" t="inlineStr">
        <is>
          <t>earthquake</t>
        </is>
      </c>
      <c r="C363" t="inlineStr">
        <is>
          <t>Earthquake</t>
        </is>
      </c>
      <c r="D363" t="inlineStr">
        <is>
          <t>Tremblement de terre</t>
        </is>
      </c>
    </row>
    <row r="364">
      <c r="A364" t="inlineStr">
        <is>
          <t>shock</t>
        </is>
      </c>
      <c r="B364" t="inlineStr">
        <is>
          <t>landslides</t>
        </is>
      </c>
      <c r="C364" t="inlineStr">
        <is>
          <t>Landslides</t>
        </is>
      </c>
      <c r="D364" t="inlineStr">
        <is>
          <t>Glissement de terrain</t>
        </is>
      </c>
    </row>
    <row r="365">
      <c r="A365" t="inlineStr">
        <is>
          <t>shock</t>
        </is>
      </c>
      <c r="B365" t="inlineStr">
        <is>
          <t>firenatural</t>
        </is>
      </c>
      <c r="C365" t="inlineStr">
        <is>
          <t>Fire from natural disaster</t>
        </is>
      </c>
      <c r="D365" t="inlineStr">
        <is>
          <t>Incendie dû à une catastrophe naturelle</t>
        </is>
      </c>
    </row>
    <row r="366">
      <c r="A366" t="inlineStr">
        <is>
          <t>shock</t>
        </is>
      </c>
      <c r="B366" t="inlineStr">
        <is>
          <t>othernathazard</t>
        </is>
      </c>
      <c r="C366" t="inlineStr">
        <is>
          <t>Other natural hazard</t>
        </is>
      </c>
      <c r="D366" t="inlineStr">
        <is>
          <t>Autre risque naturel</t>
        </is>
      </c>
    </row>
    <row r="367">
      <c r="A367" t="inlineStr">
        <is>
          <t>shock</t>
        </is>
      </c>
      <c r="B367" t="inlineStr">
        <is>
          <t>violenceinsecconf</t>
        </is>
      </c>
      <c r="C367" t="inlineStr">
        <is>
          <t>Violence and insecurity / conflict</t>
        </is>
      </c>
      <c r="D367" t="inlineStr">
        <is>
          <t>Violence et insécurité / conflit</t>
        </is>
      </c>
    </row>
    <row r="368">
      <c r="A368" t="inlineStr">
        <is>
          <t>shock</t>
        </is>
      </c>
      <c r="B368" t="inlineStr">
        <is>
          <t>theftofprodassets</t>
        </is>
      </c>
      <c r="C368" t="inlineStr">
        <is>
          <t>Theft of production assets [land / livestock / tools / etc]</t>
        </is>
      </c>
      <c r="D368" t="inlineStr">
        <is>
          <t>Vol d'actifs de production [terres/ bétail/ outils/ etc.]</t>
        </is>
      </c>
    </row>
    <row r="369">
      <c r="A369" t="inlineStr">
        <is>
          <t>shock</t>
        </is>
      </c>
      <c r="B369" t="inlineStr">
        <is>
          <t>firemanmade</t>
        </is>
      </c>
      <c r="C369" t="inlineStr">
        <is>
          <t>Fire from man-made disaster</t>
        </is>
      </c>
      <c r="D369" t="inlineStr">
        <is>
          <t>Incendie dû à une catastrophe d'origine humaine</t>
        </is>
      </c>
    </row>
    <row r="370">
      <c r="A370" t="inlineStr">
        <is>
          <t>shock</t>
        </is>
      </c>
      <c r="B370" t="inlineStr">
        <is>
          <t>othermanmadehazard</t>
        </is>
      </c>
      <c r="C370" t="inlineStr">
        <is>
          <t>Other human-induced hazard</t>
        </is>
      </c>
      <c r="D370" t="inlineStr">
        <is>
          <t>Autre risque d'origine humaine</t>
        </is>
      </c>
    </row>
    <row r="371">
      <c r="A371" t="inlineStr">
        <is>
          <t>shock</t>
        </is>
      </c>
      <c r="B371" t="inlineStr">
        <is>
          <t>dk</t>
        </is>
      </c>
      <c r="C371" t="inlineStr">
        <is>
          <t>DON'T KNOW</t>
        </is>
      </c>
      <c r="D371" t="inlineStr">
        <is>
          <t>NE SAIT PAS</t>
        </is>
      </c>
    </row>
    <row r="372">
      <c r="A372" t="inlineStr">
        <is>
          <t>shock</t>
        </is>
      </c>
      <c r="B372" t="inlineStr">
        <is>
          <t>ref</t>
        </is>
      </c>
      <c r="C372" t="inlineStr">
        <is>
          <t>REFUSED</t>
        </is>
      </c>
      <c r="D372" t="inlineStr">
        <is>
          <t>REFUSÉ</t>
        </is>
      </c>
    </row>
    <row r="373"/>
    <row r="374" customFormat="1" s="335">
      <c r="A374" t="inlineStr">
        <is>
          <t>cons_inondation</t>
        </is>
      </c>
      <c r="B374" t="inlineStr">
        <is>
          <t xml:space="preserve">Dommages_cultures </t>
        </is>
      </c>
      <c r="C374" t="inlineStr">
        <is>
          <t xml:space="preserve">Dommages aux cultures </t>
        </is>
      </c>
      <c r="D374" t="inlineStr">
        <is>
          <t xml:space="preserve">Dommages aux cultures </t>
        </is>
      </c>
    </row>
    <row r="375" customFormat="1" s="335">
      <c r="A375" t="inlineStr">
        <is>
          <t>cons_inondation</t>
        </is>
      </c>
      <c r="B375" t="inlineStr">
        <is>
          <t xml:space="preserve">Pertes_animaux </t>
        </is>
      </c>
      <c r="C375" t="inlineStr">
        <is>
          <t xml:space="preserve">Pertes d’animaux </t>
        </is>
      </c>
      <c r="D375" t="inlineStr">
        <is>
          <t xml:space="preserve">Pertes d’animaux </t>
        </is>
      </c>
    </row>
    <row r="376" customFormat="1" s="335">
      <c r="A376" t="inlineStr">
        <is>
          <t>cons_inondation</t>
        </is>
      </c>
      <c r="B376" t="inlineStr">
        <is>
          <t xml:space="preserve">Augmentatio_insécurite_alimentaire </t>
        </is>
      </c>
      <c r="C376" t="inlineStr">
        <is>
          <t xml:space="preserve">Augmentation de l'insécurité alimentaire </t>
        </is>
      </c>
      <c r="D376" t="inlineStr">
        <is>
          <t xml:space="preserve">Augmentation de l'insécurité alimentaire </t>
        </is>
      </c>
    </row>
    <row r="377" customFormat="1" s="335">
      <c r="A377" t="inlineStr">
        <is>
          <t>cons_inondation</t>
        </is>
      </c>
      <c r="B377" t="inlineStr">
        <is>
          <t xml:space="preserve">Perte_moyens_subsistance_revenus </t>
        </is>
      </c>
      <c r="C377" t="inlineStr">
        <is>
          <t xml:space="preserve">Perte de moyens de subsistance/revenus </t>
        </is>
      </c>
      <c r="D377" t="inlineStr">
        <is>
          <t xml:space="preserve">Perte de moyens de subsistance/revenus </t>
        </is>
      </c>
    </row>
    <row r="378" customFormat="1" s="335">
      <c r="A378" t="inlineStr">
        <is>
          <t>cons_inondation</t>
        </is>
      </c>
      <c r="B378" t="inlineStr">
        <is>
          <t xml:space="preserve">Perte_stocks_nourriture </t>
        </is>
      </c>
      <c r="C378" t="inlineStr">
        <is>
          <t xml:space="preserve">Perte de stocks de nourriture </t>
        </is>
      </c>
      <c r="D378" t="inlineStr">
        <is>
          <t xml:space="preserve">Perte de stocks de nourriture </t>
        </is>
      </c>
    </row>
    <row r="379" customFormat="1" s="335">
      <c r="A379" t="inlineStr">
        <is>
          <t>cons_inondation</t>
        </is>
      </c>
      <c r="B379" t="inlineStr">
        <is>
          <t xml:space="preserve">Perte_outils_agricoles  </t>
        </is>
      </c>
      <c r="C379" t="inlineStr">
        <is>
          <t xml:space="preserve">Perte des outils agricoles  </t>
        </is>
      </c>
      <c r="D379" t="inlineStr">
        <is>
          <t xml:space="preserve">Perte des outils agricoles  </t>
        </is>
      </c>
    </row>
    <row r="380" customFormat="1" s="335">
      <c r="A380" t="inlineStr">
        <is>
          <t>cons_inondation</t>
        </is>
      </c>
      <c r="B380" t="inlineStr">
        <is>
          <t xml:space="preserve">Augmentation_conflits </t>
        </is>
      </c>
      <c r="C380" t="inlineStr">
        <is>
          <t xml:space="preserve">Augmentation des conflits </t>
        </is>
      </c>
      <c r="D380" t="inlineStr">
        <is>
          <t xml:space="preserve">Augmentation des conflits </t>
        </is>
      </c>
    </row>
    <row r="381" customFormat="1" s="335">
      <c r="A381" t="inlineStr">
        <is>
          <t>cons_inondation</t>
        </is>
      </c>
      <c r="B381" t="inlineStr">
        <is>
          <t xml:space="preserve">Autres </t>
        </is>
      </c>
      <c r="C381" t="inlineStr">
        <is>
          <t xml:space="preserve">Autres </t>
        </is>
      </c>
      <c r="D381" t="inlineStr">
        <is>
          <t xml:space="preserve">Autres </t>
        </is>
      </c>
    </row>
    <row r="382" customFormat="1" s="335"/>
    <row r="383" customFormat="1" s="335">
      <c r="A383" t="inlineStr">
        <is>
          <t>mesure_inondation</t>
        </is>
      </c>
      <c r="B383" t="n">
        <v>1</v>
      </c>
      <c r="C383" t="inlineStr">
        <is>
          <t xml:space="preserve">Pas du tout </t>
        </is>
      </c>
      <c r="D383" t="inlineStr">
        <is>
          <t xml:space="preserve">Pas du tout </t>
        </is>
      </c>
    </row>
    <row r="384" customFormat="1" s="335">
      <c r="A384" t="inlineStr">
        <is>
          <t>mesure_inondation</t>
        </is>
      </c>
      <c r="B384" t="n">
        <v>2</v>
      </c>
      <c r="C384" t="inlineStr">
        <is>
          <t xml:space="preserve">Pas vraiment </t>
        </is>
      </c>
      <c r="D384" t="inlineStr">
        <is>
          <t xml:space="preserve">Pas vraiment </t>
        </is>
      </c>
    </row>
    <row r="385" customFormat="1" s="335">
      <c r="A385" t="inlineStr">
        <is>
          <t>mesure_inondation</t>
        </is>
      </c>
      <c r="B385" t="n">
        <v>3</v>
      </c>
      <c r="C385" t="inlineStr">
        <is>
          <t xml:space="preserve">Entre les deux/ en partie oui et en partie non </t>
        </is>
      </c>
      <c r="D385" t="inlineStr">
        <is>
          <t xml:space="preserve">Entre les deux/ en partie oui et en partie non </t>
        </is>
      </c>
    </row>
    <row r="386" customFormat="1" s="335">
      <c r="A386" t="inlineStr">
        <is>
          <t>mesure_inondation</t>
        </is>
      </c>
      <c r="B386" t="n">
        <v>4</v>
      </c>
      <c r="C386" t="inlineStr">
        <is>
          <t xml:space="preserve">Plutôt oui </t>
        </is>
      </c>
      <c r="D386" t="inlineStr">
        <is>
          <t xml:space="preserve">Plutôt oui </t>
        </is>
      </c>
    </row>
    <row r="387" customFormat="1" s="335">
      <c r="A387" t="inlineStr">
        <is>
          <t>mesure_inondation</t>
        </is>
      </c>
      <c r="B387" t="n">
        <v>5</v>
      </c>
      <c r="C387" t="inlineStr">
        <is>
          <t xml:space="preserve">Tout à fait </t>
        </is>
      </c>
      <c r="D387" t="inlineStr">
        <is>
          <t xml:space="preserve">Tout à fait </t>
        </is>
      </c>
    </row>
    <row r="388" customFormat="1" s="335">
      <c r="A388" t="inlineStr">
        <is>
          <t>mesure_inondation</t>
        </is>
      </c>
      <c r="B388" t="n">
        <v>6</v>
      </c>
      <c r="C388" t="inlineStr">
        <is>
          <t xml:space="preserve">Je ne sais pas </t>
        </is>
      </c>
      <c r="D388" t="inlineStr">
        <is>
          <t xml:space="preserve">Je ne sais pas </t>
        </is>
      </c>
    </row>
    <row r="389" customFormat="1" s="335"/>
    <row r="390" customFormat="1" s="335">
      <c r="A390" t="inlineStr">
        <is>
          <t>capacite_inondation</t>
        </is>
      </c>
      <c r="B390" t="n">
        <v>1</v>
      </c>
      <c r="C390" t="inlineStr">
        <is>
          <t xml:space="preserve">Elle s'est beaucoup aggravée </t>
        </is>
      </c>
      <c r="D390" t="inlineStr">
        <is>
          <t xml:space="preserve">Elle s'est beaucoup aggravée </t>
        </is>
      </c>
    </row>
    <row r="391" customFormat="1" s="335">
      <c r="A391" t="inlineStr">
        <is>
          <t>capacite_inondation</t>
        </is>
      </c>
      <c r="B391" t="n">
        <v>2</v>
      </c>
      <c r="C391" t="inlineStr">
        <is>
          <t xml:space="preserve">Elle s'est un peu aggravée </t>
        </is>
      </c>
      <c r="D391" t="inlineStr">
        <is>
          <t xml:space="preserve">Elle s'est un peu aggravée </t>
        </is>
      </c>
    </row>
    <row r="392" customFormat="1" s="335">
      <c r="A392" t="inlineStr">
        <is>
          <t>capacite_inondation</t>
        </is>
      </c>
      <c r="B392" t="n">
        <v>3</v>
      </c>
      <c r="C392" t="inlineStr">
        <is>
          <t xml:space="preserve">Pas de changement </t>
        </is>
      </c>
      <c r="D392" t="inlineStr">
        <is>
          <t xml:space="preserve">Pas de changement </t>
        </is>
      </c>
    </row>
    <row r="393" customFormat="1" s="335">
      <c r="A393" t="inlineStr">
        <is>
          <t>capacite_inondation</t>
        </is>
      </c>
      <c r="B393" t="n">
        <v>4</v>
      </c>
      <c r="C393" t="inlineStr">
        <is>
          <t xml:space="preserve">Elle s'est un peu améliorée </t>
        </is>
      </c>
      <c r="D393" t="inlineStr">
        <is>
          <t xml:space="preserve">Elle s'est un peu améliorée </t>
        </is>
      </c>
    </row>
    <row r="394" customFormat="1" s="335">
      <c r="A394" t="inlineStr">
        <is>
          <t>capacite_inondation</t>
        </is>
      </c>
      <c r="B394" t="n">
        <v>5</v>
      </c>
      <c r="C394" t="inlineStr">
        <is>
          <t xml:space="preserve">Elle s'est beaucoup améliorée </t>
        </is>
      </c>
      <c r="D394" t="inlineStr">
        <is>
          <t xml:space="preserve">Elle s'est beaucoup améliorée </t>
        </is>
      </c>
    </row>
    <row r="395" customFormat="1" s="335">
      <c r="A395" t="inlineStr">
        <is>
          <t>capacite_inondation</t>
        </is>
      </c>
      <c r="B395" t="n">
        <v>6</v>
      </c>
      <c r="C395" t="inlineStr">
        <is>
          <t xml:space="preserve">Je ne sais pas </t>
        </is>
      </c>
      <c r="D395" t="inlineStr">
        <is>
          <t xml:space="preserve">Je ne sais pas </t>
        </is>
      </c>
    </row>
    <row r="396" customFormat="1" s="335">
      <c r="A396" t="inlineStr">
        <is>
          <t>capacite_inondation</t>
        </is>
      </c>
      <c r="B396" t="n">
        <v>7</v>
      </c>
      <c r="C396" t="inlineStr">
        <is>
          <t xml:space="preserve">Je ne souhaite pas répondre </t>
        </is>
      </c>
      <c r="D396" t="inlineStr">
        <is>
          <t xml:space="preserve">Je ne souhaite pas répondre </t>
        </is>
      </c>
    </row>
    <row r="397" customFormat="1" s="335"/>
    <row r="398" customFormat="1" s="335">
      <c r="A398" t="inlineStr">
        <is>
          <t>prev_inondation</t>
        </is>
      </c>
      <c r="B398" t="n">
        <v>1</v>
      </c>
      <c r="C398" t="inlineStr">
        <is>
          <t xml:space="preserve">Je fais des prévisions sur la base de mes connaissances et de mon expérience  </t>
        </is>
      </c>
      <c r="D398" t="inlineStr">
        <is>
          <t xml:space="preserve">Je fais des prévisions sur la base de mes connaissances et de mon expérience  </t>
        </is>
      </c>
    </row>
    <row r="399" customFormat="1" s="335">
      <c r="A399" t="inlineStr">
        <is>
          <t>prev_inondation</t>
        </is>
      </c>
      <c r="B399" t="n">
        <v>2</v>
      </c>
      <c r="C399" t="inlineStr">
        <is>
          <t xml:space="preserve">Pêcheurs </t>
        </is>
      </c>
      <c r="D399" t="inlineStr">
        <is>
          <t xml:space="preserve">Pêcheurs </t>
        </is>
      </c>
    </row>
    <row r="400" customFormat="1" s="335">
      <c r="A400" t="inlineStr">
        <is>
          <t>prev_inondation</t>
        </is>
      </c>
      <c r="B400" t="n">
        <v>3</v>
      </c>
      <c r="C400" t="inlineStr">
        <is>
          <t xml:space="preserve">Les agriculteurs </t>
        </is>
      </c>
      <c r="D400" t="inlineStr">
        <is>
          <t xml:space="preserve">Les agriculteurs </t>
        </is>
      </c>
    </row>
    <row r="401" customFormat="1" s="335">
      <c r="A401" t="inlineStr">
        <is>
          <t>prev_inondation</t>
        </is>
      </c>
      <c r="B401" t="n">
        <v>4</v>
      </c>
      <c r="C401" t="inlineStr">
        <is>
          <t xml:space="preserve">Les éleveurs </t>
        </is>
      </c>
      <c r="D401" t="inlineStr">
        <is>
          <t xml:space="preserve">Les éleveurs </t>
        </is>
      </c>
    </row>
    <row r="402" customFormat="1" s="335">
      <c r="A402" t="inlineStr">
        <is>
          <t>prev_inondation</t>
        </is>
      </c>
      <c r="B402" t="n">
        <v>5</v>
      </c>
      <c r="C402" t="inlineStr">
        <is>
          <t xml:space="preserve">Les personnes âgées </t>
        </is>
      </c>
      <c r="D402" t="inlineStr">
        <is>
          <t xml:space="preserve">Les personnes âgées </t>
        </is>
      </c>
    </row>
    <row r="403" customFormat="1" s="335">
      <c r="A403" t="inlineStr">
        <is>
          <t>prev_inondation</t>
        </is>
      </c>
      <c r="B403" t="n">
        <v>6</v>
      </c>
      <c r="C403" t="inlineStr">
        <is>
          <t xml:space="preserve">Comités locaux de gestion des crises et catatrophes, </t>
        </is>
      </c>
      <c r="D403" t="inlineStr">
        <is>
          <t xml:space="preserve">Comités locaux de gestion des crises et catatrophes, </t>
        </is>
      </c>
    </row>
    <row r="404" customFormat="1" s="335">
      <c r="A404" t="inlineStr">
        <is>
          <t>prev_inondation</t>
        </is>
      </c>
      <c r="B404" t="n">
        <v>7</v>
      </c>
      <c r="C404" t="inlineStr">
        <is>
          <t xml:space="preserve">Les organisations non gouvernementales qui travaillent dans la zone </t>
        </is>
      </c>
      <c r="D404" t="inlineStr">
        <is>
          <t xml:space="preserve">Les organisations non gouvernementales qui travaillent dans la zone </t>
        </is>
      </c>
    </row>
    <row r="405" customFormat="1" s="335">
      <c r="A405" t="inlineStr">
        <is>
          <t>prev_inondation</t>
        </is>
      </c>
      <c r="B405" t="n">
        <v>8</v>
      </c>
      <c r="C405" t="inlineStr">
        <is>
          <t xml:space="preserve">Amis et famille dans la communauté </t>
        </is>
      </c>
      <c r="D405" t="inlineStr">
        <is>
          <t xml:space="preserve">Amis et famille dans la communauté </t>
        </is>
      </c>
    </row>
    <row r="406" customFormat="1" s="335">
      <c r="A406" t="inlineStr">
        <is>
          <t>prev_inondation</t>
        </is>
      </c>
      <c r="B406" t="n">
        <v>9</v>
      </c>
      <c r="C406" t="inlineStr">
        <is>
          <t xml:space="preserve">Amis et famille en dehors de la communauté </t>
        </is>
      </c>
      <c r="D406" t="inlineStr">
        <is>
          <t xml:space="preserve">Amis et famille en dehors de la communauté </t>
        </is>
      </c>
    </row>
    <row r="407" customFormat="1" s="335">
      <c r="A407" t="inlineStr">
        <is>
          <t>prev_inondation</t>
        </is>
      </c>
      <c r="B407" t="n">
        <v>10</v>
      </c>
      <c r="C407" t="inlineStr">
        <is>
          <t xml:space="preserve">Autorités (y compris les centres météorologiques, etc.) </t>
        </is>
      </c>
      <c r="D407" t="inlineStr">
        <is>
          <t xml:space="preserve">Autorités (y compris les centres météorologiques, etc.) </t>
        </is>
      </c>
    </row>
    <row r="408" customFormat="1" s="335">
      <c r="A408" t="inlineStr">
        <is>
          <t>prev_inondation</t>
        </is>
      </c>
      <c r="B408" t="n">
        <v>11</v>
      </c>
      <c r="C408" t="inlineStr">
        <is>
          <t xml:space="preserve">Leaders communautaires (chef de village, chef de quartier, chef de carré) </t>
        </is>
      </c>
      <c r="D408" t="inlineStr">
        <is>
          <t xml:space="preserve">Leaders communautaires (chef de village, chef de quartier, chef de carré) </t>
        </is>
      </c>
    </row>
    <row r="409" customFormat="1" s="335">
      <c r="A409" t="inlineStr">
        <is>
          <t>prev_inondation</t>
        </is>
      </c>
      <c r="B409" t="n">
        <v>12</v>
      </c>
      <c r="C409" t="inlineStr">
        <is>
          <t xml:space="preserve">Personnes influentes au sein de la communauté (représentants des jeunes, chefs de groupes de femmes, chefs religieux) </t>
        </is>
      </c>
      <c r="D409" t="inlineStr">
        <is>
          <t xml:space="preserve">Personnes influentes au sein de la communauté (représentants des jeunes, chefs de groupes de femmes, chefs religieux) </t>
        </is>
      </c>
    </row>
    <row r="410" customFormat="1" s="335">
      <c r="A410" t="inlineStr">
        <is>
          <t>prev_inondation</t>
        </is>
      </c>
      <c r="B410" t="n">
        <v>13</v>
      </c>
      <c r="C410" t="inlineStr">
        <is>
          <t xml:space="preserve">Personne  </t>
        </is>
      </c>
      <c r="D410" t="inlineStr">
        <is>
          <t xml:space="preserve">Personne  </t>
        </is>
      </c>
    </row>
    <row r="411" customFormat="1" s="335">
      <c r="A411" t="inlineStr">
        <is>
          <t>prev_inondation</t>
        </is>
      </c>
      <c r="B411" t="n">
        <v>14</v>
      </c>
      <c r="C411" t="inlineStr">
        <is>
          <t xml:space="preserve">Autres </t>
        </is>
      </c>
      <c r="D411" t="inlineStr">
        <is>
          <t xml:space="preserve">Autres </t>
        </is>
      </c>
    </row>
    <row r="412" customFormat="1" s="335"/>
    <row r="413" customFormat="1" s="335">
      <c r="A413" t="inlineStr">
        <is>
          <t>action_inondation</t>
        </is>
      </c>
      <c r="B413" t="n">
        <v>1</v>
      </c>
      <c r="C413" t="inlineStr">
        <is>
          <t xml:space="preserve">Réductions des parcelles cultivables </t>
        </is>
      </c>
      <c r="D413" t="inlineStr">
        <is>
          <t xml:space="preserve">Réductions des parcelles cultivables </t>
        </is>
      </c>
    </row>
    <row r="414" customFormat="1" s="335">
      <c r="A414" t="inlineStr">
        <is>
          <t>action_inondation</t>
        </is>
      </c>
      <c r="B414" t="n">
        <v>2</v>
      </c>
      <c r="C414" t="inlineStr">
        <is>
          <t xml:space="preserve">Utilisations des semences adaptées  </t>
        </is>
      </c>
      <c r="D414" t="inlineStr">
        <is>
          <t xml:space="preserve">Utilisations des semences adaptées  </t>
        </is>
      </c>
    </row>
    <row r="415" customFormat="1" s="335">
      <c r="A415" t="inlineStr">
        <is>
          <t>action_inondation</t>
        </is>
      </c>
      <c r="B415" t="n">
        <v>3</v>
      </c>
      <c r="C415" t="inlineStr">
        <is>
          <t xml:space="preserve">Diffusion d'alertes </t>
        </is>
      </c>
      <c r="D415" t="inlineStr">
        <is>
          <t xml:space="preserve">Diffusion d'alertes </t>
        </is>
      </c>
    </row>
    <row r="416" customFormat="1" s="335">
      <c r="A416" t="inlineStr">
        <is>
          <t>action_inondation</t>
        </is>
      </c>
      <c r="B416" t="n">
        <v>4</v>
      </c>
      <c r="C416" t="inlineStr">
        <is>
          <t xml:space="preserve">Collecte de sacs  </t>
        </is>
      </c>
      <c r="D416" t="inlineStr">
        <is>
          <t xml:space="preserve">Collecte de sacs  </t>
        </is>
      </c>
    </row>
    <row r="417" customFormat="1" s="335">
      <c r="A417" t="inlineStr">
        <is>
          <t>action_inondation</t>
        </is>
      </c>
      <c r="B417" t="n">
        <v>5</v>
      </c>
      <c r="C417" t="inlineStr">
        <is>
          <t xml:space="preserve">Construction de digues et des diguettes contre les inondations </t>
        </is>
      </c>
      <c r="D417" t="inlineStr">
        <is>
          <t xml:space="preserve">Construction de digues et des diguettes contre les inondations </t>
        </is>
      </c>
    </row>
    <row r="418" customFormat="1" s="335">
      <c r="A418" t="inlineStr">
        <is>
          <t>action_inondation</t>
        </is>
      </c>
      <c r="B418" t="n">
        <v>6</v>
      </c>
      <c r="C418" t="inlineStr">
        <is>
          <t xml:space="preserve">Construction de systèmes de drainage </t>
        </is>
      </c>
      <c r="D418" t="inlineStr">
        <is>
          <t xml:space="preserve">Construction de systèmes de drainage </t>
        </is>
      </c>
    </row>
    <row r="419" customFormat="1" s="335">
      <c r="A419" t="inlineStr">
        <is>
          <t>action_inondation</t>
        </is>
      </c>
      <c r="B419" t="n">
        <v>7</v>
      </c>
      <c r="C419" t="inlineStr">
        <is>
          <t xml:space="preserve">Renforcement des maisons </t>
        </is>
      </c>
      <c r="D419" t="inlineStr">
        <is>
          <t xml:space="preserve">Renforcement des maisons </t>
        </is>
      </c>
    </row>
    <row r="420" customFormat="1" s="335">
      <c r="A420" t="inlineStr">
        <is>
          <t>action_inondation</t>
        </is>
      </c>
      <c r="B420" t="n">
        <v>8</v>
      </c>
      <c r="C420" t="inlineStr">
        <is>
          <t xml:space="preserve">Aide à l'évacuation </t>
        </is>
      </c>
      <c r="D420" t="inlineStr">
        <is>
          <t xml:space="preserve">Aide à l'évacuation </t>
        </is>
      </c>
    </row>
    <row r="421" customFormat="1" s="335">
      <c r="A421" t="inlineStr">
        <is>
          <t>action_inondation</t>
        </is>
      </c>
      <c r="B421" t="n">
        <v>9</v>
      </c>
      <c r="C421" t="inlineStr">
        <is>
          <t xml:space="preserve">Stockage de nourriture  </t>
        </is>
      </c>
      <c r="D421" t="inlineStr">
        <is>
          <t xml:space="preserve">Stockage de nourriture  </t>
        </is>
      </c>
    </row>
    <row r="422" customFormat="1" s="335">
      <c r="A422" t="inlineStr">
        <is>
          <t>action_inondation</t>
        </is>
      </c>
      <c r="B422" t="n">
        <v>10</v>
      </c>
      <c r="C422" t="inlineStr">
        <is>
          <t xml:space="preserve">Mesures de protection des champs agricoles   </t>
        </is>
      </c>
      <c r="D422" t="inlineStr">
        <is>
          <t xml:space="preserve">Mesures de protection des champs agricoles   </t>
        </is>
      </c>
    </row>
    <row r="423" customFormat="1" s="335">
      <c r="A423" t="inlineStr">
        <is>
          <t>action_inondation</t>
        </is>
      </c>
      <c r="B423" t="n">
        <v>11</v>
      </c>
      <c r="C423" t="inlineStr">
        <is>
          <t xml:space="preserve">Récolte précoce </t>
        </is>
      </c>
      <c r="D423" t="inlineStr">
        <is>
          <t xml:space="preserve">Récolte précoce </t>
        </is>
      </c>
    </row>
    <row r="424" customFormat="1" s="335">
      <c r="A424" t="inlineStr">
        <is>
          <t>action_inondation</t>
        </is>
      </c>
      <c r="B424" t="n">
        <v>12</v>
      </c>
      <c r="C424" t="inlineStr">
        <is>
          <t xml:space="preserve">Aucune </t>
        </is>
      </c>
      <c r="D424" t="inlineStr">
        <is>
          <t xml:space="preserve">Aucune </t>
        </is>
      </c>
    </row>
    <row r="425" customFormat="1" s="335">
      <c r="A425" t="inlineStr">
        <is>
          <t>action_inondation</t>
        </is>
      </c>
      <c r="B425" t="n">
        <v>13</v>
      </c>
      <c r="C425" t="inlineStr">
        <is>
          <t>Autres</t>
        </is>
      </c>
      <c r="D425" t="inlineStr">
        <is>
          <t>Autres</t>
        </is>
      </c>
    </row>
    <row r="426"/>
    <row r="427"/>
    <row r="428">
      <c r="A428" t="inlineStr">
        <is>
          <t>covidmeasures</t>
        </is>
      </c>
      <c r="B428" t="inlineStr">
        <is>
          <t>goodstransp</t>
        </is>
      </c>
      <c r="C428" t="inlineStr">
        <is>
          <t>Movement restrictions [sometimes producing product scarcity or price hikes]</t>
        </is>
      </c>
      <c r="D428" t="inlineStr">
        <is>
          <t>Restrictions de mouvement [entraînant parfois une raréfaction des produits ou une forte hausse des prix]</t>
        </is>
      </c>
    </row>
    <row r="429">
      <c r="A429" t="inlineStr">
        <is>
          <t>covidmeasures</t>
        </is>
      </c>
      <c r="B429" t="inlineStr">
        <is>
          <t>marketclosed</t>
        </is>
      </c>
      <c r="C429" t="inlineStr">
        <is>
          <t>Closure of food markets or other businesses</t>
        </is>
      </c>
      <c r="D429" t="inlineStr">
        <is>
          <t>Fermeture des marchés alimentaires ou d'autres commerces</t>
        </is>
      </c>
    </row>
    <row r="430">
      <c r="A430" t="inlineStr">
        <is>
          <t>covidmeasures</t>
        </is>
      </c>
      <c r="B430" t="inlineStr">
        <is>
          <t>borderclosed</t>
        </is>
      </c>
      <c r="C430" t="inlineStr">
        <is>
          <t>Closure of international borders [affecting the purchase of imported inputs or the sale of goods for export or transhumance]</t>
        </is>
      </c>
      <c r="D430" t="inlineStr">
        <is>
          <t>Fermeture des frontières internationales [ayant un impact sur l'achat d'intrants importés, la vente de marchandises exportées ou la transhumance]</t>
        </is>
      </c>
    </row>
    <row r="431">
      <c r="A431" t="inlineStr">
        <is>
          <t>covidmeasures</t>
        </is>
      </c>
      <c r="B431" t="inlineStr">
        <is>
          <t>stayhome</t>
        </is>
      </c>
      <c r="C431" t="inlineStr">
        <is>
          <t>Stay at home order</t>
        </is>
      </c>
      <c r="D431" t="inlineStr">
        <is>
          <t>Ordre de confinement</t>
        </is>
      </c>
    </row>
    <row r="432">
      <c r="A432" t="inlineStr">
        <is>
          <t>covidmeasures</t>
        </is>
      </c>
      <c r="B432" t="inlineStr">
        <is>
          <t>gatherings</t>
        </is>
      </c>
      <c r="C432" t="inlineStr">
        <is>
          <t>Ban on gatherings</t>
        </is>
      </c>
      <c r="D432" t="inlineStr">
        <is>
          <t>Interdiction des rassemblements</t>
        </is>
      </c>
    </row>
    <row r="433">
      <c r="A433" t="inlineStr">
        <is>
          <t>covidmeasures</t>
        </is>
      </c>
      <c r="B433" t="inlineStr">
        <is>
          <t>processclosed</t>
        </is>
      </c>
      <c r="C433" t="inlineStr">
        <is>
          <t>Closure of food processors [slaughterhouse / dairy cooperatives / etc] or restaurants</t>
        </is>
      </c>
      <c r="D433" t="inlineStr">
        <is>
          <t>Fermeture des lieux de transformation des aliments (abattoirs, coopératives laitières, etc.) ou des restaurants</t>
        </is>
      </c>
    </row>
    <row r="434">
      <c r="A434" t="inlineStr">
        <is>
          <t>covidmeasures</t>
        </is>
      </c>
      <c r="B434" t="inlineStr">
        <is>
          <t>curfew</t>
        </is>
      </c>
      <c r="C434" t="inlineStr">
        <is>
          <t>Curfews</t>
        </is>
      </c>
      <c r="D434" t="inlineStr">
        <is>
          <t>Couvre-feux</t>
        </is>
      </c>
    </row>
    <row r="435">
      <c r="A435" t="inlineStr">
        <is>
          <t>covidmeasures</t>
        </is>
      </c>
      <c r="B435" t="inlineStr">
        <is>
          <t>school</t>
        </is>
      </c>
      <c r="C435" t="inlineStr">
        <is>
          <t>Closure of schools</t>
        </is>
      </c>
      <c r="D435" t="inlineStr">
        <is>
          <t>Fermeture d'écoles</t>
        </is>
      </c>
    </row>
    <row r="436">
      <c r="A436" t="inlineStr">
        <is>
          <t>covidmeasures</t>
        </is>
      </c>
      <c r="B436" t="inlineStr">
        <is>
          <t>other</t>
        </is>
      </c>
      <c r="C436" t="inlineStr">
        <is>
          <t>Other [specify]</t>
        </is>
      </c>
      <c r="D436" t="inlineStr">
        <is>
          <t>Autre [préciser]</t>
        </is>
      </c>
    </row>
    <row r="437">
      <c r="A437" t="inlineStr">
        <is>
          <t>covidmeasures</t>
        </is>
      </c>
      <c r="B437" t="inlineStr">
        <is>
          <t>none</t>
        </is>
      </c>
      <c r="C437" t="inlineStr">
        <is>
          <t>Not affected by restrictions</t>
        </is>
      </c>
      <c r="D437" t="inlineStr">
        <is>
          <t>Non touché par les restrictions</t>
        </is>
      </c>
    </row>
    <row r="438">
      <c r="A438" t="inlineStr">
        <is>
          <t>covidmeasures</t>
        </is>
      </c>
      <c r="B438" t="inlineStr">
        <is>
          <t>dk</t>
        </is>
      </c>
      <c r="C438" t="inlineStr">
        <is>
          <t>DON'T KNOW</t>
        </is>
      </c>
      <c r="D438" t="inlineStr">
        <is>
          <t>NE SAIT PAS</t>
        </is>
      </c>
    </row>
    <row r="439">
      <c r="A439" t="inlineStr">
        <is>
          <t>covidmeasures</t>
        </is>
      </c>
      <c r="B439" t="inlineStr">
        <is>
          <t>ref</t>
        </is>
      </c>
      <c r="C439" t="inlineStr">
        <is>
          <t>REFUSED</t>
        </is>
      </c>
      <c r="D439" t="inlineStr">
        <is>
          <t>REFUSÉ</t>
        </is>
      </c>
    </row>
    <row r="440"/>
    <row r="441">
      <c r="A441" t="inlineStr">
        <is>
          <t>wellbeing</t>
        </is>
      </c>
      <c r="B441" t="inlineStr">
        <is>
          <t>none</t>
        </is>
      </c>
      <c r="C441" t="inlineStr">
        <is>
          <t>No issues or concerns</t>
        </is>
      </c>
      <c r="D441" t="inlineStr">
        <is>
          <t>Aucun problème / préoccupation</t>
        </is>
      </c>
    </row>
    <row r="442">
      <c r="A442" t="inlineStr">
        <is>
          <t>wellbeing</t>
        </is>
      </c>
      <c r="B442" t="inlineStr">
        <is>
          <t>livelihood</t>
        </is>
      </c>
      <c r="C442" t="inlineStr">
        <is>
          <t>Unemployment / lack of livelihoods options</t>
        </is>
      </c>
      <c r="D442" t="inlineStr">
        <is>
          <t>Chômage / manque d'options de moyens d'existence</t>
        </is>
      </c>
    </row>
    <row r="443">
      <c r="A443" t="inlineStr">
        <is>
          <t>wellbeing</t>
        </is>
      </c>
      <c r="B443" t="inlineStr">
        <is>
          <t>health</t>
        </is>
      </c>
      <c r="C443" t="inlineStr">
        <is>
          <t>Health concerns / health care [lack of or inadequate]</t>
        </is>
      </c>
      <c r="D443" t="inlineStr">
        <is>
          <t>Problèmes de santé / soins de santé [insuffisants ou inadaptés]</t>
        </is>
      </c>
    </row>
    <row r="444">
      <c r="A444" t="inlineStr">
        <is>
          <t>wellbeing</t>
        </is>
      </c>
      <c r="B444" t="inlineStr">
        <is>
          <t>transport</t>
        </is>
      </c>
      <c r="C444" t="inlineStr">
        <is>
          <t>Transportation [lack of or inadequate]</t>
        </is>
      </c>
      <c r="D444" t="inlineStr">
        <is>
          <t>Transports [insuffisants ou inadaptés]</t>
        </is>
      </c>
    </row>
    <row r="445">
      <c r="A445" t="inlineStr">
        <is>
          <t>wellbeing</t>
        </is>
      </c>
      <c r="B445" t="inlineStr">
        <is>
          <t>edu</t>
        </is>
      </c>
      <c r="C445" t="inlineStr">
        <is>
          <t>Education [lack of or inadequate]</t>
        </is>
      </c>
      <c r="D445" t="inlineStr">
        <is>
          <t>Éducation [insuffisante ou inadaptée]</t>
        </is>
      </c>
    </row>
    <row r="446">
      <c r="A446" t="inlineStr">
        <is>
          <t>wellbeing</t>
        </is>
      </c>
      <c r="B446" t="inlineStr">
        <is>
          <t>housing</t>
        </is>
      </c>
      <c r="C446" t="inlineStr">
        <is>
          <t>Access to shelter or housing [lack of or inadequate]</t>
        </is>
      </c>
      <c r="D446" t="inlineStr">
        <is>
          <t>Accès à un abri ou à un logement [insuffisant ou inadéquat]</t>
        </is>
      </c>
    </row>
    <row r="447">
      <c r="A447" t="inlineStr">
        <is>
          <t>wellbeing</t>
        </is>
      </c>
      <c r="B447" t="inlineStr">
        <is>
          <t>food_water</t>
        </is>
      </c>
      <c r="C447" t="inlineStr">
        <is>
          <t>Access to food/water [lack of or inadequate]</t>
        </is>
      </c>
      <c r="D447" t="inlineStr">
        <is>
          <t>Accès à la nourriture et à l'eau [insuffisant ou inadapté]</t>
        </is>
      </c>
    </row>
    <row r="448">
      <c r="A448" t="inlineStr">
        <is>
          <t>wellbeing</t>
        </is>
      </c>
      <c r="B448" t="inlineStr">
        <is>
          <t>safety</t>
        </is>
      </c>
      <c r="C448" t="inlineStr">
        <is>
          <t>Insecurity and the safety of household members</t>
        </is>
      </c>
      <c r="D448" t="inlineStr">
        <is>
          <t>Insécurité et la sécurité des membres du ménage</t>
        </is>
      </c>
    </row>
    <row r="449">
      <c r="A449" t="inlineStr">
        <is>
          <t>wellbeing</t>
        </is>
      </c>
      <c r="B449" t="inlineStr">
        <is>
          <t>land_sec</t>
        </is>
      </c>
      <c r="C449" t="inlineStr">
        <is>
          <t>Security of land or property [lack of or inadequate]</t>
        </is>
      </c>
      <c r="D449" t="inlineStr">
        <is>
          <t>Sécurité des terres ou des biens [insuffisante ou inadaptée]</t>
        </is>
      </c>
    </row>
    <row r="450">
      <c r="A450" t="inlineStr">
        <is>
          <t>wellbeing</t>
        </is>
      </c>
      <c r="B450" t="inlineStr">
        <is>
          <t>disaster</t>
        </is>
      </c>
      <c r="C450" t="inlineStr">
        <is>
          <t>Natural disasters [droughts, floods, fires or erosion]</t>
        </is>
      </c>
      <c r="D450" t="inlineStr">
        <is>
          <t>Catastrophes naturelles [sécheresses, inondations, incendies ou érosion]</t>
        </is>
      </c>
    </row>
    <row r="451">
      <c r="A451" t="inlineStr">
        <is>
          <t>wellbeing</t>
        </is>
      </c>
      <c r="B451" t="inlineStr">
        <is>
          <t>corrupt</t>
        </is>
      </c>
      <c r="C451" t="inlineStr">
        <is>
          <t>Informal payments / corruption</t>
        </is>
      </c>
      <c r="D451" t="inlineStr">
        <is>
          <t>Paiements informels / corruption</t>
        </is>
      </c>
    </row>
    <row r="452">
      <c r="A452" t="inlineStr">
        <is>
          <t>wellbeing</t>
        </is>
      </c>
      <c r="B452" t="inlineStr">
        <is>
          <t>fin_crisis</t>
        </is>
      </c>
      <c r="C452" t="inlineStr">
        <is>
          <t>Economic / financial crisis [poor currency exchange]</t>
        </is>
      </c>
      <c r="D452" t="inlineStr">
        <is>
          <t>Crise économique / financière [mauvais taux de change]</t>
        </is>
      </c>
    </row>
    <row r="453">
      <c r="A453" t="inlineStr">
        <is>
          <t>wellbeing</t>
        </is>
      </c>
      <c r="B453" t="inlineStr">
        <is>
          <t>assistance</t>
        </is>
      </c>
      <c r="C453" t="inlineStr">
        <is>
          <t>Accessing or receiving assistance</t>
        </is>
      </c>
      <c r="D453" t="inlineStr">
        <is>
          <t>Accès à l'aide ou réception de l'aide</t>
        </is>
      </c>
    </row>
    <row r="454">
      <c r="A454" t="inlineStr">
        <is>
          <t>wellbeing</t>
        </is>
      </c>
      <c r="B454" t="inlineStr">
        <is>
          <t>other</t>
        </is>
      </c>
      <c r="C454" t="inlineStr">
        <is>
          <t>Other [specify]</t>
        </is>
      </c>
      <c r="D454" t="inlineStr">
        <is>
          <t>Autre [préciser]</t>
        </is>
      </c>
    </row>
    <row r="455">
      <c r="A455" t="inlineStr">
        <is>
          <t>wellbeing</t>
        </is>
      </c>
      <c r="B455" t="inlineStr">
        <is>
          <t>dk</t>
        </is>
      </c>
      <c r="C455" t="inlineStr">
        <is>
          <t>DON'T KNOW</t>
        </is>
      </c>
      <c r="D455" t="inlineStr">
        <is>
          <t>NE SAIT PAS</t>
        </is>
      </c>
    </row>
    <row r="456">
      <c r="A456" t="inlineStr">
        <is>
          <t>wellbeing</t>
        </is>
      </c>
      <c r="B456" t="inlineStr">
        <is>
          <t>ref</t>
        </is>
      </c>
      <c r="C456" t="inlineStr">
        <is>
          <t>REFUSED</t>
        </is>
      </c>
      <c r="D456" t="inlineStr">
        <is>
          <t>REFUSÉ</t>
        </is>
      </c>
    </row>
    <row r="457"/>
    <row r="458">
      <c r="A458" t="inlineStr">
        <is>
          <t>confl_relation</t>
        </is>
      </c>
      <c r="B458" t="n">
        <v>1</v>
      </c>
      <c r="C458" t="inlineStr">
        <is>
          <t>Excellent</t>
        </is>
      </c>
      <c r="D458" t="inlineStr">
        <is>
          <t>Excellentes</t>
        </is>
      </c>
    </row>
    <row r="459">
      <c r="A459" t="inlineStr">
        <is>
          <t>confl_relation</t>
        </is>
      </c>
      <c r="B459" t="n">
        <v>2</v>
      </c>
      <c r="C459" t="inlineStr">
        <is>
          <t>Good</t>
        </is>
      </c>
      <c r="D459" t="inlineStr">
        <is>
          <t>Bonnes</t>
        </is>
      </c>
    </row>
    <row r="460">
      <c r="A460" t="inlineStr">
        <is>
          <t>confl_relation</t>
        </is>
      </c>
      <c r="B460" t="n">
        <v>3</v>
      </c>
      <c r="C460" t="inlineStr">
        <is>
          <t>Neither good nor bad</t>
        </is>
      </c>
      <c r="D460" t="inlineStr">
        <is>
          <t>Ni bonnes ni mauvaises</t>
        </is>
      </c>
    </row>
    <row r="461">
      <c r="A461" t="inlineStr">
        <is>
          <t>confl_relation</t>
        </is>
      </c>
      <c r="B461" t="n">
        <v>4</v>
      </c>
      <c r="C461" t="inlineStr">
        <is>
          <t>Somewhat bad</t>
        </is>
      </c>
      <c r="D461" t="inlineStr">
        <is>
          <t>Plutôt mauvaises</t>
        </is>
      </c>
    </row>
    <row r="462">
      <c r="A462" t="inlineStr">
        <is>
          <t>confl_relation</t>
        </is>
      </c>
      <c r="B462" t="n">
        <v>5</v>
      </c>
      <c r="C462" t="inlineStr">
        <is>
          <t>Very bad</t>
        </is>
      </c>
      <c r="D462" t="inlineStr">
        <is>
          <t>Très mauvaises</t>
        </is>
      </c>
    </row>
    <row r="463">
      <c r="A463" t="inlineStr">
        <is>
          <t>confl_relation</t>
        </is>
      </c>
      <c r="B463" t="n">
        <v>6</v>
      </c>
      <c r="C463" t="inlineStr">
        <is>
          <t>DON'T KNOW</t>
        </is>
      </c>
      <c r="D463" t="inlineStr">
        <is>
          <t>JE NE SAIS PAS</t>
        </is>
      </c>
    </row>
    <row r="464">
      <c r="A464" t="inlineStr">
        <is>
          <t>confl_relation</t>
        </is>
      </c>
      <c r="B464" t="n">
        <v>7</v>
      </c>
      <c r="C464" t="inlineStr">
        <is>
          <t>REFUSED</t>
        </is>
      </c>
      <c r="D464" t="inlineStr">
        <is>
          <t>REFUS</t>
        </is>
      </c>
    </row>
    <row r="465"/>
    <row r="466">
      <c r="A466" t="inlineStr">
        <is>
          <t>prim_insec</t>
        </is>
      </c>
      <c r="B466" t="n">
        <v>1</v>
      </c>
      <c r="C466" t="inlineStr">
        <is>
          <t>Disputes or conflicts over land, water, pasture or fishing grounds</t>
        </is>
      </c>
      <c r="D466" t="inlineStr">
        <is>
          <t>Disputes ou conflits concernant la terre, l'eau, les pâturages ou les zones de pêche</t>
        </is>
      </c>
    </row>
    <row r="467">
      <c r="A467" t="inlineStr">
        <is>
          <t>prim_insec</t>
        </is>
      </c>
      <c r="B467" t="n">
        <v>2</v>
      </c>
      <c r="C467" t="inlineStr">
        <is>
          <t>Criminality, banditry, or armed groups violence</t>
        </is>
      </c>
      <c r="D467" t="inlineStr">
        <is>
          <t>Criminalité, banditisme, ou violence de groupes armés</t>
        </is>
      </c>
    </row>
    <row r="468">
      <c r="A468" t="inlineStr">
        <is>
          <t>prim_insec</t>
        </is>
      </c>
      <c r="B468" t="n">
        <v>3</v>
      </c>
      <c r="C468" t="inlineStr">
        <is>
          <t>Conflict between community groups</t>
        </is>
      </c>
      <c r="D468" t="inlineStr">
        <is>
          <t>Conflit entre groupes communautaires</t>
        </is>
      </c>
    </row>
    <row r="469">
      <c r="A469" t="inlineStr">
        <is>
          <t>prim_insec</t>
        </is>
      </c>
      <c r="B469" t="n">
        <v>4</v>
      </c>
      <c r="C469" t="inlineStr">
        <is>
          <t>Armed conflict</t>
        </is>
      </c>
      <c r="D469" t="inlineStr">
        <is>
          <t>Conflit armé</t>
        </is>
      </c>
    </row>
    <row r="470">
      <c r="A470" t="inlineStr">
        <is>
          <t>prim_insec</t>
        </is>
      </c>
      <c r="B470" t="n">
        <v>5</v>
      </c>
      <c r="C470" t="inlineStr">
        <is>
          <t>Disputes or conflicts over assistance being provided</t>
        </is>
      </c>
      <c r="D470" t="inlineStr">
        <is>
          <t>Différends ou conflits concernant l'assistance fournie</t>
        </is>
      </c>
    </row>
    <row r="471">
      <c r="A471" t="inlineStr">
        <is>
          <t>prim_insec</t>
        </is>
      </c>
      <c r="B471" t="n">
        <v>6</v>
      </c>
      <c r="C471" t="inlineStr">
        <is>
          <t>Other [specify]</t>
        </is>
      </c>
      <c r="D471" t="inlineStr">
        <is>
          <t>Autre [préciser]</t>
        </is>
      </c>
    </row>
    <row r="472">
      <c r="A472" t="inlineStr">
        <is>
          <t>prim_insec</t>
        </is>
      </c>
      <c r="B472" t="n">
        <v>7</v>
      </c>
      <c r="C472" t="inlineStr">
        <is>
          <t>DON'T KNOW</t>
        </is>
      </c>
      <c r="D472" t="inlineStr">
        <is>
          <t>NE SAIT PAS</t>
        </is>
      </c>
    </row>
    <row r="473">
      <c r="A473" t="inlineStr">
        <is>
          <t>prim_insec</t>
        </is>
      </c>
      <c r="B473" t="n">
        <v>8</v>
      </c>
      <c r="C473" t="inlineStr">
        <is>
          <t>REFUSED</t>
        </is>
      </c>
      <c r="D473" t="inlineStr">
        <is>
          <t>REFUS</t>
        </is>
      </c>
    </row>
    <row r="474"/>
    <row r="475">
      <c r="A475" t="inlineStr">
        <is>
          <t>agri_impact</t>
        </is>
      </c>
      <c r="B475" t="inlineStr">
        <is>
          <t>none</t>
        </is>
      </c>
      <c r="C475" t="inlineStr">
        <is>
          <t>No effect on my household's agricultural activities</t>
        </is>
      </c>
      <c r="D475" t="inlineStr">
        <is>
          <t>Aucune conséquence sur les activités agricoles de mon ménage</t>
        </is>
      </c>
    </row>
    <row r="476">
      <c r="A476" t="inlineStr">
        <is>
          <t>agri_impact</t>
        </is>
      </c>
      <c r="B476" t="inlineStr">
        <is>
          <t>access_field</t>
        </is>
      </c>
      <c r="C476" t="inlineStr">
        <is>
          <t>Unsafe to access fields or fishing areas [risk of violence / injury / theft]</t>
        </is>
      </c>
      <c r="D476" t="inlineStr">
        <is>
          <t>Accès dangereux aux champs ou zones de pêche</t>
        </is>
      </c>
    </row>
    <row r="477">
      <c r="A477" t="inlineStr">
        <is>
          <t>agri_impact</t>
        </is>
      </c>
      <c r="B477" t="inlineStr">
        <is>
          <t>inputs</t>
        </is>
      </c>
      <c r="C477" t="inlineStr">
        <is>
          <t>Could not access [or poor quality] inputs [seeds, fertiliser]</t>
        </is>
      </c>
      <c r="D477" t="inlineStr">
        <is>
          <t>Impossibilité d'accéder aux intrants [semences, engrais] ou mauvaise qualité de ceux-ci</t>
        </is>
      </c>
    </row>
    <row r="478">
      <c r="A478" t="inlineStr">
        <is>
          <t>agri_impact</t>
        </is>
      </c>
      <c r="B478" t="inlineStr">
        <is>
          <t>prod_asset</t>
        </is>
      </c>
      <c r="C478" t="inlineStr">
        <is>
          <t>Damage or destruction of productive assets [tools, machinery]</t>
        </is>
      </c>
      <c r="D478" t="inlineStr">
        <is>
          <t>Dommages ou destruction des biens de production [outils, machines]</t>
        </is>
      </c>
    </row>
    <row r="479">
      <c r="A479" t="inlineStr">
        <is>
          <t>agri_impact</t>
        </is>
      </c>
      <c r="B479" t="inlineStr">
        <is>
          <t>water_infra</t>
        </is>
      </c>
      <c r="C479" t="inlineStr">
        <is>
          <t>Reduced access to agricultral water / damage to irrigation infrastructure</t>
        </is>
      </c>
      <c r="D479" t="inlineStr">
        <is>
          <t>Accès réduit à l'eau agricole / dommages aux infrastructures d'irrigation</t>
        </is>
      </c>
    </row>
    <row r="480">
      <c r="A480" t="inlineStr">
        <is>
          <t>agri_impact</t>
        </is>
      </c>
      <c r="B480" t="inlineStr">
        <is>
          <t>crp_damage</t>
        </is>
      </c>
      <c r="C480" t="inlineStr">
        <is>
          <t>Damage or destruction of crops</t>
        </is>
      </c>
      <c r="D480" t="inlineStr">
        <is>
          <t>Dommages ou destruction des cultures</t>
        </is>
      </c>
    </row>
    <row r="481">
      <c r="A481" t="inlineStr">
        <is>
          <t>agri_impact</t>
        </is>
      </c>
      <c r="B481" t="inlineStr">
        <is>
          <t>crp_theft_occup</t>
        </is>
      </c>
      <c r="C481" t="inlineStr">
        <is>
          <t>Theft/occupation of agricultural land</t>
        </is>
      </c>
      <c r="D481" t="inlineStr">
        <is>
          <t>Vol/occupation de terres agricoles</t>
        </is>
      </c>
    </row>
    <row r="482">
      <c r="A482" t="inlineStr">
        <is>
          <t>agri_impact</t>
        </is>
      </c>
      <c r="B482" t="inlineStr">
        <is>
          <t>ls_reduce_mob</t>
        </is>
      </c>
      <c r="C482" t="inlineStr">
        <is>
          <t>Reduced livestock mobility due to insecurity</t>
        </is>
      </c>
      <c r="D482" t="inlineStr">
        <is>
          <t>Mobilité réduite du bétail en raison de l'insécurité</t>
        </is>
      </c>
    </row>
    <row r="483" ht="17" customHeight="1">
      <c r="A483" t="inlineStr">
        <is>
          <t>agri_impact</t>
        </is>
      </c>
      <c r="B483" t="inlineStr">
        <is>
          <t>ls_damage</t>
        </is>
      </c>
      <c r="C483" t="inlineStr">
        <is>
          <t>Killing or injury of livestock</t>
        </is>
      </c>
      <c r="D483" t="inlineStr">
        <is>
          <t>Meurtre ou blessure du bétail</t>
        </is>
      </c>
    </row>
    <row r="484">
      <c r="A484" t="inlineStr">
        <is>
          <t>agri_impact</t>
        </is>
      </c>
      <c r="B484" t="inlineStr">
        <is>
          <t>ls_theft</t>
        </is>
      </c>
      <c r="C484" t="inlineStr">
        <is>
          <t>Theft of livestock</t>
        </is>
      </c>
      <c r="D484" t="inlineStr">
        <is>
          <t>Vol de bétail</t>
        </is>
      </c>
    </row>
    <row r="485">
      <c r="A485" t="inlineStr">
        <is>
          <t>agri_impact</t>
        </is>
      </c>
      <c r="B485" t="inlineStr">
        <is>
          <t>land_contam</t>
        </is>
      </c>
      <c r="C485" t="inlineStr">
        <is>
          <t>Land contaminated by landmines and/or explosive remnants of war</t>
        </is>
      </c>
      <c r="D485" t="inlineStr">
        <is>
          <t>Terres contaminées par des mines terrestres et/ou des restes explosifs de guerre</t>
        </is>
      </c>
    </row>
    <row r="486">
      <c r="A486" t="inlineStr">
        <is>
          <t>agri_impact</t>
        </is>
      </c>
      <c r="B486" t="inlineStr">
        <is>
          <t>extortion</t>
        </is>
      </c>
      <c r="C486" t="inlineStr">
        <is>
          <t xml:space="preserve">Demands for agricultural produce [livestock, fish, crops] as payment to influential groups </t>
        </is>
      </c>
      <c r="D486" t="inlineStr">
        <is>
          <t>Exigences de produits agricoles [bétail, récoltes, poisson] comme paiement aux groupes influents</t>
        </is>
      </c>
    </row>
    <row r="487">
      <c r="A487" t="inlineStr">
        <is>
          <t>agri_impact</t>
        </is>
      </c>
      <c r="B487" t="inlineStr">
        <is>
          <t>other</t>
        </is>
      </c>
      <c r="C487" t="inlineStr">
        <is>
          <t>Other [specify]</t>
        </is>
      </c>
      <c r="D487" t="inlineStr">
        <is>
          <t>Autre [préciser]</t>
        </is>
      </c>
    </row>
    <row r="488">
      <c r="A488" t="inlineStr">
        <is>
          <t>agri_impact</t>
        </is>
      </c>
      <c r="B488" t="inlineStr">
        <is>
          <t>dk</t>
        </is>
      </c>
      <c r="C488" t="inlineStr">
        <is>
          <t>DON'T KNOW</t>
        </is>
      </c>
      <c r="D488" t="inlineStr">
        <is>
          <t>NE SAIT PAS</t>
        </is>
      </c>
    </row>
    <row r="489">
      <c r="A489" t="inlineStr">
        <is>
          <t>agri_impact</t>
        </is>
      </c>
      <c r="B489" t="inlineStr">
        <is>
          <t>ref</t>
        </is>
      </c>
      <c r="C489" t="inlineStr">
        <is>
          <t>REFUSED</t>
        </is>
      </c>
      <c r="D489" t="inlineStr">
        <is>
          <t>REFUSÉ</t>
        </is>
      </c>
    </row>
    <row r="490"/>
    <row r="491">
      <c r="A491" t="inlineStr">
        <is>
          <t>fs_impact</t>
        </is>
      </c>
      <c r="B491" t="inlineStr">
        <is>
          <t>none</t>
        </is>
      </c>
      <c r="C491" t="inlineStr">
        <is>
          <t>No effect on my access to food</t>
        </is>
      </c>
      <c r="D491" t="inlineStr">
        <is>
          <t>Aucun effet sur mon accès à la nourriture</t>
        </is>
      </c>
    </row>
    <row r="492">
      <c r="A492" t="inlineStr">
        <is>
          <t>fs_impact</t>
        </is>
      </c>
      <c r="B492" t="inlineStr">
        <is>
          <t>high_cost</t>
        </is>
      </c>
      <c r="C492" t="inlineStr">
        <is>
          <t>High food costs</t>
        </is>
      </c>
      <c r="D492" t="inlineStr">
        <is>
          <t>Coût élevé de la nourriture</t>
        </is>
      </c>
    </row>
    <row r="493">
      <c r="A493" t="inlineStr">
        <is>
          <t>fs_impact</t>
        </is>
      </c>
      <c r="B493" t="inlineStr">
        <is>
          <t>lack_food_mkt</t>
        </is>
      </c>
      <c r="C493" t="inlineStr">
        <is>
          <t>Lack of food in the markets</t>
        </is>
      </c>
      <c r="D493" t="inlineStr">
        <is>
          <t>Manque de nourriture sur les marchés</t>
        </is>
      </c>
    </row>
    <row r="494">
      <c r="A494" t="inlineStr">
        <is>
          <t>fs_impact</t>
        </is>
      </c>
      <c r="B494" t="inlineStr">
        <is>
          <t>access_mkt</t>
        </is>
      </c>
      <c r="C494" t="inlineStr">
        <is>
          <t>Unsafe to access markets [risk of violence / injury / theft]</t>
        </is>
      </c>
      <c r="D494" t="inlineStr">
        <is>
          <t>Accès dangereux aux marchés [risque de violence / blessure / vol]</t>
        </is>
      </c>
    </row>
    <row r="495">
      <c r="A495" t="inlineStr">
        <is>
          <t>fs_impact</t>
        </is>
      </c>
      <c r="B495" t="inlineStr">
        <is>
          <t>reduced_income</t>
        </is>
      </c>
      <c r="C495" t="inlineStr">
        <is>
          <t>Reduced income to buy food</t>
        </is>
      </c>
      <c r="D495" t="inlineStr">
        <is>
          <t>Revenu réduit pour acheter de la nourriture</t>
        </is>
      </c>
    </row>
    <row r="496">
      <c r="A496" t="inlineStr">
        <is>
          <t>fs_impact</t>
        </is>
      </c>
      <c r="B496" t="inlineStr">
        <is>
          <t>access_assistance</t>
        </is>
      </c>
      <c r="C496" t="inlineStr">
        <is>
          <t>Difficult to access assistance [food, cash or vouchers]</t>
        </is>
      </c>
      <c r="D496" t="inlineStr">
        <is>
          <t>Difficultés d'accès à l'aide [nourriture, argent ou bons d'achat].</t>
        </is>
      </c>
    </row>
    <row r="497">
      <c r="A497" t="inlineStr">
        <is>
          <t>fs_impact</t>
        </is>
      </c>
      <c r="B497" t="inlineStr">
        <is>
          <t>theft_damage</t>
        </is>
      </c>
      <c r="C497" t="inlineStr">
        <is>
          <t>Theft/damage to household food stores</t>
        </is>
      </c>
      <c r="D497" t="inlineStr">
        <is>
          <t>Vol/dommages aux réserves alimentaires des ménages</t>
        </is>
      </c>
    </row>
    <row r="498" ht="16.25" customHeight="1">
      <c r="A498" t="inlineStr">
        <is>
          <t>fs_impact</t>
        </is>
      </c>
      <c r="B498" t="inlineStr">
        <is>
          <t>illicit_pay</t>
        </is>
      </c>
      <c r="C498" t="inlineStr">
        <is>
          <t>Demands for informal payments or taxes</t>
        </is>
      </c>
      <c r="D498" t="inlineStr">
        <is>
          <t>Demandes de paiements informels ou de taxes</t>
        </is>
      </c>
    </row>
    <row r="499">
      <c r="A499" t="inlineStr">
        <is>
          <t>fs_impact</t>
        </is>
      </c>
      <c r="B499" t="inlineStr">
        <is>
          <t>other</t>
        </is>
      </c>
      <c r="C499" t="inlineStr">
        <is>
          <t>Other [specify]</t>
        </is>
      </c>
      <c r="D499" t="inlineStr">
        <is>
          <t>Autre [préciser]</t>
        </is>
      </c>
    </row>
    <row r="500">
      <c r="A500" t="inlineStr">
        <is>
          <t>fs_impact</t>
        </is>
      </c>
      <c r="B500" t="inlineStr">
        <is>
          <t>dk</t>
        </is>
      </c>
      <c r="C500" t="inlineStr">
        <is>
          <t>DON'T KNOW</t>
        </is>
      </c>
      <c r="D500" t="inlineStr">
        <is>
          <t>NE SAIT PAS</t>
        </is>
      </c>
    </row>
    <row r="501">
      <c r="A501" t="inlineStr">
        <is>
          <t>fs_impact</t>
        </is>
      </c>
      <c r="B501" t="inlineStr">
        <is>
          <t>ref</t>
        </is>
      </c>
      <c r="C501" t="inlineStr">
        <is>
          <t>REFUSED</t>
        </is>
      </c>
      <c r="D501" t="inlineStr">
        <is>
          <t>REFUSÉ</t>
        </is>
      </c>
    </row>
    <row r="502"/>
    <row r="503" customFormat="1" s="14">
      <c r="A503" t="inlineStr">
        <is>
          <t>landsize_unit</t>
        </is>
      </c>
      <c r="B503" t="n">
        <v>1</v>
      </c>
      <c r="C503" t="inlineStr">
        <is>
          <t>Acres</t>
        </is>
      </c>
      <c r="D503" t="inlineStr">
        <is>
          <t>Acres</t>
        </is>
      </c>
    </row>
    <row r="504" customFormat="1" s="14">
      <c r="A504" t="inlineStr">
        <is>
          <t>landsize_unit</t>
        </is>
      </c>
      <c r="B504" t="n">
        <v>2</v>
      </c>
      <c r="C504" t="inlineStr">
        <is>
          <t>Hectares</t>
        </is>
      </c>
      <c r="D504" t="inlineStr">
        <is>
          <t>Hectares</t>
        </is>
      </c>
    </row>
    <row r="505" customFormat="1" s="14">
      <c r="A505" t="inlineStr">
        <is>
          <t>landsize_unit</t>
        </is>
      </c>
      <c r="B505" t="n">
        <v>3</v>
      </c>
      <c r="C505" t="inlineStr">
        <is>
          <t>Square meters</t>
        </is>
      </c>
      <c r="D505" t="inlineStr">
        <is>
          <t>Mètres carrés</t>
        </is>
      </c>
    </row>
    <row r="506" customFormat="1" s="14">
      <c r="A506" t="inlineStr">
        <is>
          <t>landsize_unit</t>
        </is>
      </c>
      <c r="B506" t="n">
        <v>4</v>
      </c>
      <c r="C506" t="inlineStr">
        <is>
          <t>Square feet</t>
        </is>
      </c>
      <c r="D506" t="inlineStr">
        <is>
          <t>Pieds carrés</t>
        </is>
      </c>
    </row>
    <row r="507" customFormat="1" s="14">
      <c r="A507" t="inlineStr">
        <is>
          <t>landsize_unit</t>
        </is>
      </c>
      <c r="B507" t="n">
        <v>5</v>
      </c>
      <c r="C507" t="inlineStr">
        <is>
          <t>corde</t>
        </is>
      </c>
      <c r="D507" t="inlineStr">
        <is>
          <t>corde</t>
        </is>
      </c>
    </row>
    <row r="508" customFormat="1" s="14"/>
    <row r="509" customFormat="1" s="15">
      <c r="A509" t="inlineStr">
        <is>
          <t>cropcheck</t>
        </is>
      </c>
      <c r="B509" t="n">
        <v>1</v>
      </c>
      <c r="C509" t="inlineStr">
        <is>
          <t xml:space="preserve">Don’t usually produce during this season </t>
        </is>
      </c>
      <c r="D509" t="inlineStr">
        <is>
          <t xml:space="preserve">Ne produit habituellement pas pendant cette saison </t>
        </is>
      </c>
    </row>
    <row r="510" customFormat="1" s="15">
      <c r="A510" t="inlineStr">
        <is>
          <t>cropcheck</t>
        </is>
      </c>
      <c r="B510" t="n">
        <v>2</v>
      </c>
      <c r="C510" t="inlineStr">
        <is>
          <t>Wasn't able to produce (e.g. due to difficulties)</t>
        </is>
      </c>
      <c r="D510" t="inlineStr">
        <is>
          <t>N'a pas été en mesure de produire (en raison de difficultés, par exemple)</t>
        </is>
      </c>
    </row>
    <row r="511" customFormat="1" s="14"/>
    <row r="512" customFormat="1" s="14">
      <c r="A512" t="inlineStr">
        <is>
          <t>irrigation</t>
        </is>
      </c>
      <c r="B512" t="n">
        <v>1</v>
      </c>
      <c r="C512" t="inlineStr">
        <is>
          <t>Rainfed</t>
        </is>
      </c>
      <c r="D512" t="inlineStr">
        <is>
          <t>Pluie</t>
        </is>
      </c>
    </row>
    <row r="513" customFormat="1" s="14">
      <c r="A513" t="inlineStr">
        <is>
          <t>irrigation</t>
        </is>
      </c>
      <c r="B513" t="n">
        <v>2</v>
      </c>
      <c r="C513" t="inlineStr">
        <is>
          <t>Groundwater</t>
        </is>
      </c>
      <c r="D513" t="inlineStr">
        <is>
          <t>Eaux souterraines</t>
        </is>
      </c>
    </row>
    <row r="514" customFormat="1" s="14">
      <c r="A514" t="inlineStr">
        <is>
          <t>irrigation</t>
        </is>
      </c>
      <c r="B514" t="n">
        <v>3</v>
      </c>
      <c r="C514" t="inlineStr">
        <is>
          <t>Natural surface water [river, lake, stream, pond, etc.]</t>
        </is>
      </c>
      <c r="D514" t="inlineStr">
        <is>
          <t>Eaux de surface naturelles [rivière / lac / ruisseau / étang / etc.]</t>
        </is>
      </c>
    </row>
    <row r="515" customFormat="1" s="14">
      <c r="A515" t="inlineStr">
        <is>
          <t>irrigation</t>
        </is>
      </c>
      <c r="B515" t="n">
        <v>4</v>
      </c>
      <c r="C515" t="inlineStr">
        <is>
          <t>Constructed water point [canal, dam, etc.]</t>
        </is>
      </c>
      <c r="D515" t="inlineStr">
        <is>
          <t xml:space="preserve">Point d'eau artificiel [canal / barrage /etc.] </t>
        </is>
      </c>
    </row>
    <row r="516" customFormat="1" s="14">
      <c r="A516" t="inlineStr">
        <is>
          <t>irrigation</t>
        </is>
      </c>
      <c r="B516" t="n">
        <v>5</v>
      </c>
      <c r="C516" t="inlineStr">
        <is>
          <t>Public water supply system [e.g. tap water]</t>
        </is>
      </c>
      <c r="D516" t="inlineStr">
        <is>
          <t>Système public d'approvisionnement en eau [par ex. eau du robinet]</t>
        </is>
      </c>
    </row>
    <row r="517" customFormat="1" s="14">
      <c r="A517" t="inlineStr">
        <is>
          <t>irrigation</t>
        </is>
      </c>
      <c r="B517" t="n">
        <v>6</v>
      </c>
      <c r="C517" t="inlineStr">
        <is>
          <t>Other [specify]</t>
        </is>
      </c>
      <c r="D517" t="inlineStr">
        <is>
          <t>Autre [préciser]</t>
        </is>
      </c>
    </row>
    <row r="518" customFormat="1" s="14">
      <c r="A518" t="inlineStr">
        <is>
          <t>irrigation</t>
        </is>
      </c>
      <c r="B518" t="n">
        <v>7</v>
      </c>
      <c r="C518" t="inlineStr">
        <is>
          <t>DON'T KNOW</t>
        </is>
      </c>
      <c r="D518" t="inlineStr">
        <is>
          <t>NE SAIT PAS</t>
        </is>
      </c>
    </row>
    <row r="519" customFormat="1" s="14">
      <c r="A519" t="inlineStr">
        <is>
          <t>irrigation</t>
        </is>
      </c>
      <c r="B519" t="n">
        <v>8</v>
      </c>
      <c r="C519" t="inlineStr">
        <is>
          <t>REFUSED</t>
        </is>
      </c>
      <c r="D519" t="inlineStr">
        <is>
          <t>REFUSÉ</t>
        </is>
      </c>
    </row>
    <row r="520"/>
    <row r="521" customFormat="1" s="14">
      <c r="A521" t="inlineStr">
        <is>
          <t>irrigpump</t>
        </is>
      </c>
      <c r="B521" t="n">
        <v>1</v>
      </c>
      <c r="C521" t="inlineStr">
        <is>
          <t>No, everything works on gravity</t>
        </is>
      </c>
      <c r="D521" t="inlineStr">
        <is>
          <t>Non, tout fonctionne par gravité</t>
        </is>
      </c>
    </row>
    <row r="522" customFormat="1" s="14">
      <c r="A522" t="inlineStr">
        <is>
          <t>irrigpump</t>
        </is>
      </c>
      <c r="B522" t="n">
        <v>2</v>
      </c>
      <c r="C522" t="inlineStr">
        <is>
          <t>Yes, there is a communal diesel/gas pump</t>
        </is>
      </c>
      <c r="D522" t="inlineStr">
        <is>
          <t>Oui, une pompe commune diesel/gaz</t>
        </is>
      </c>
    </row>
    <row r="523" customFormat="1" s="14">
      <c r="A523" t="inlineStr">
        <is>
          <t>irrigpump</t>
        </is>
      </c>
      <c r="B523" t="n">
        <v>3</v>
      </c>
      <c r="C523" t="inlineStr">
        <is>
          <t>Yes, there is a communal manual pump</t>
        </is>
      </c>
      <c r="D523" t="inlineStr">
        <is>
          <t>Oui, une pompe manuelle commune</t>
        </is>
      </c>
    </row>
    <row r="524" customFormat="1" s="14">
      <c r="A524" t="inlineStr">
        <is>
          <t>irrigpump</t>
        </is>
      </c>
      <c r="B524" t="n">
        <v>4</v>
      </c>
      <c r="C524" t="inlineStr">
        <is>
          <t>Yes, there is a manual pump in my field</t>
        </is>
      </c>
      <c r="D524" t="inlineStr">
        <is>
          <t xml:space="preserve"> Oui, une pompe manuelle située dans mon champ</t>
        </is>
      </c>
    </row>
    <row r="525" customFormat="1" s="14">
      <c r="A525" t="inlineStr">
        <is>
          <t>irrigpump</t>
        </is>
      </c>
      <c r="B525" t="n">
        <v>5</v>
      </c>
      <c r="C525" t="inlineStr">
        <is>
          <t>Yes, there is a diesel pump in my field</t>
        </is>
      </c>
      <c r="D525" t="inlineStr">
        <is>
          <t>Oui, une pompe diesel située dans mon champ</t>
        </is>
      </c>
    </row>
    <row r="526" customFormat="1" s="14">
      <c r="A526" t="inlineStr">
        <is>
          <t>irrigpump</t>
        </is>
      </c>
      <c r="B526" t="n">
        <v>6</v>
      </c>
      <c r="C526" t="inlineStr">
        <is>
          <t>DON'T KNOW</t>
        </is>
      </c>
      <c r="D526" t="inlineStr">
        <is>
          <t>NE SAIT PAS</t>
        </is>
      </c>
    </row>
    <row r="527" customFormat="1" s="14">
      <c r="A527" t="inlineStr">
        <is>
          <t>irrigpump</t>
        </is>
      </c>
      <c r="B527" t="n">
        <v>7</v>
      </c>
      <c r="C527" t="inlineStr">
        <is>
          <t>REFUSED</t>
        </is>
      </c>
      <c r="D527" t="inlineStr">
        <is>
          <t>REFUSÉ</t>
        </is>
      </c>
    </row>
    <row r="528"/>
    <row r="529" customFormat="1" s="14">
      <c r="A529" t="inlineStr">
        <is>
          <t>seedsupply</t>
        </is>
      </c>
      <c r="B529" t="inlineStr">
        <is>
          <t>ownprod</t>
        </is>
      </c>
      <c r="C529" t="inlineStr">
        <is>
          <t>Own production</t>
        </is>
      </c>
      <c r="D529" t="inlineStr">
        <is>
          <t>Propre production</t>
        </is>
      </c>
    </row>
    <row r="530" customFormat="1" s="14">
      <c r="A530" t="inlineStr">
        <is>
          <t>seedsupply</t>
        </is>
      </c>
      <c r="B530" t="inlineStr">
        <is>
          <t>market</t>
        </is>
      </c>
      <c r="C530" t="inlineStr">
        <is>
          <t>Local market or agro-input shop / dealer</t>
        </is>
      </c>
      <c r="D530" t="inlineStr">
        <is>
          <t>Marché local ou magasin / négociant d'intrants agricoles</t>
        </is>
      </c>
    </row>
    <row r="531" customFormat="1" s="14">
      <c r="A531" t="inlineStr">
        <is>
          <t>seedsupply</t>
        </is>
      </c>
      <c r="B531" t="inlineStr">
        <is>
          <t>company</t>
        </is>
      </c>
      <c r="C531" t="inlineStr">
        <is>
          <t>Private seed company</t>
        </is>
      </c>
      <c r="D531" t="inlineStr">
        <is>
          <t>Entreprises privées de semences</t>
        </is>
      </c>
    </row>
    <row r="532" customFormat="1" s="14">
      <c r="A532" t="inlineStr">
        <is>
          <t>seedsupply</t>
        </is>
      </c>
      <c r="B532" t="inlineStr">
        <is>
          <t>ngo</t>
        </is>
      </c>
      <c r="C532" t="inlineStr">
        <is>
          <t>NGOs</t>
        </is>
      </c>
      <c r="D532" t="inlineStr">
        <is>
          <t>ONG</t>
        </is>
      </c>
    </row>
    <row r="533" customFormat="1" s="14">
      <c r="A533" t="inlineStr">
        <is>
          <t>seedsupply</t>
        </is>
      </c>
      <c r="B533" t="inlineStr">
        <is>
          <t>organized_community</t>
        </is>
      </c>
      <c r="C533" t="inlineStr">
        <is>
          <t>Community seed banks / farmer networks / farmers' association / etc.</t>
        </is>
      </c>
      <c r="D533" t="inlineStr">
        <is>
          <t>Banques de semences communautaires / réseaux de cultivateurs / associations de cultivateurs / etc.</t>
        </is>
      </c>
    </row>
    <row r="534" customFormat="1" s="14">
      <c r="A534" t="inlineStr">
        <is>
          <t>seedsupply</t>
        </is>
      </c>
      <c r="B534" t="inlineStr">
        <is>
          <t>gov</t>
        </is>
      </c>
      <c r="C534" t="inlineStr">
        <is>
          <t>Government [e.g. MoA]</t>
        </is>
      </c>
      <c r="D534" t="inlineStr">
        <is>
          <t>Gouvernement [par ex., ministère de l'Agriculture]</t>
        </is>
      </c>
    </row>
    <row r="535" customFormat="1" s="14">
      <c r="A535" t="inlineStr">
        <is>
          <t>seedsupply</t>
        </is>
      </c>
      <c r="B535" t="inlineStr">
        <is>
          <t>relatives_friends</t>
        </is>
      </c>
      <c r="C535" t="inlineStr">
        <is>
          <t>Relatives or friends</t>
        </is>
      </c>
      <c r="D535" t="inlineStr">
        <is>
          <t xml:space="preserve">Famille ou amis </t>
        </is>
      </c>
    </row>
    <row r="536" customFormat="1" s="14">
      <c r="A536" t="inlineStr">
        <is>
          <t>seedsupply</t>
        </is>
      </c>
      <c r="B536" t="inlineStr">
        <is>
          <t>other</t>
        </is>
      </c>
      <c r="C536" t="inlineStr">
        <is>
          <t>Other</t>
        </is>
      </c>
      <c r="D536" t="inlineStr">
        <is>
          <t>Autre</t>
        </is>
      </c>
    </row>
    <row r="537" customFormat="1" s="14">
      <c r="A537" t="inlineStr">
        <is>
          <t>seedsupply</t>
        </is>
      </c>
      <c r="B537" t="inlineStr">
        <is>
          <t>dk</t>
        </is>
      </c>
      <c r="C537" t="inlineStr">
        <is>
          <t>DON'T KNOW</t>
        </is>
      </c>
      <c r="D537" t="inlineStr">
        <is>
          <t>NE SAIT PAS</t>
        </is>
      </c>
    </row>
    <row r="538" customFormat="1" s="14">
      <c r="A538" t="inlineStr">
        <is>
          <t>seedsupply</t>
        </is>
      </c>
      <c r="B538" t="inlineStr">
        <is>
          <t>ref</t>
        </is>
      </c>
      <c r="C538" t="inlineStr">
        <is>
          <t>REFUSED</t>
        </is>
      </c>
      <c r="D538" t="inlineStr">
        <is>
          <t>REFUSÉ</t>
        </is>
      </c>
    </row>
    <row r="539"/>
    <row r="540">
      <c r="A540" t="inlineStr">
        <is>
          <t>harv_unit</t>
        </is>
      </c>
      <c r="B540" t="n">
        <v>1</v>
      </c>
      <c r="C540" t="inlineStr">
        <is>
          <t>Kilograms [kgs]</t>
        </is>
      </c>
      <c r="D540" t="inlineStr">
        <is>
          <t>Kilogrammes [kg]</t>
        </is>
      </c>
    </row>
    <row r="541">
      <c r="A541" t="inlineStr">
        <is>
          <t>harv_unit</t>
        </is>
      </c>
      <c r="B541" t="n">
        <v>2</v>
      </c>
      <c r="C541" t="inlineStr">
        <is>
          <t>Tonnes</t>
        </is>
      </c>
      <c r="D541" t="inlineStr">
        <is>
          <t>Tonnes</t>
        </is>
      </c>
    </row>
    <row r="542">
      <c r="A542" t="inlineStr">
        <is>
          <t>harv_unit</t>
        </is>
      </c>
      <c r="B542" t="n">
        <v>3</v>
      </c>
      <c r="C542" t="inlineStr">
        <is>
          <t>Ounces</t>
        </is>
      </c>
      <c r="D542" t="inlineStr">
        <is>
          <t>Onces</t>
        </is>
      </c>
    </row>
    <row r="543">
      <c r="A543" t="inlineStr">
        <is>
          <t>harv_unit</t>
        </is>
      </c>
      <c r="B543" t="n">
        <v>4</v>
      </c>
      <c r="C543" t="inlineStr">
        <is>
          <t>Pounds</t>
        </is>
      </c>
      <c r="D543" t="inlineStr">
        <is>
          <t>Livres</t>
        </is>
      </c>
    </row>
    <row r="544">
      <c r="A544" t="inlineStr">
        <is>
          <t>harv_unit</t>
        </is>
      </c>
      <c r="B544" t="n">
        <v>5</v>
      </c>
      <c r="C544" t="inlineStr">
        <is>
          <t>Bags</t>
        </is>
      </c>
      <c r="D544" t="inlineStr">
        <is>
          <t>Sacs</t>
        </is>
      </c>
    </row>
    <row r="545">
      <c r="A545" t="inlineStr">
        <is>
          <t>harv_unit</t>
        </is>
      </c>
      <c r="B545" t="n">
        <v>6</v>
      </c>
      <c r="C545" t="inlineStr">
        <is>
          <t>Boxes</t>
        </is>
      </c>
      <c r="D545" t="inlineStr">
        <is>
          <t>Boîtes</t>
        </is>
      </c>
    </row>
    <row r="546">
      <c r="A546" t="inlineStr">
        <is>
          <t>harv_unit</t>
        </is>
      </c>
      <c r="B546" t="n">
        <v>7</v>
      </c>
      <c r="C546" t="inlineStr">
        <is>
          <t>Bundles</t>
        </is>
      </c>
      <c r="D546" t="inlineStr">
        <is>
          <t>Fagots</t>
        </is>
      </c>
    </row>
    <row r="547">
      <c r="A547" t="inlineStr">
        <is>
          <t>harv_unit</t>
        </is>
      </c>
      <c r="B547" t="n">
        <v>8</v>
      </c>
      <c r="C547" t="inlineStr">
        <is>
          <t>Packets</t>
        </is>
      </c>
      <c r="D547" t="inlineStr">
        <is>
          <t>Paquets</t>
        </is>
      </c>
    </row>
    <row r="548">
      <c r="A548" t="inlineStr">
        <is>
          <t>harv_unit</t>
        </is>
      </c>
      <c r="B548" t="n">
        <v>9</v>
      </c>
      <c r="C548" t="inlineStr">
        <is>
          <t>Other [specify]</t>
        </is>
      </c>
      <c r="D548" t="inlineStr">
        <is>
          <t>Autre [préciser]</t>
        </is>
      </c>
    </row>
    <row r="549"/>
    <row r="550">
      <c r="A550" t="inlineStr">
        <is>
          <t>cropproddiff</t>
        </is>
      </c>
      <c r="B550" t="inlineStr">
        <is>
          <t>plant_disease</t>
        </is>
      </c>
      <c r="C550" t="inlineStr">
        <is>
          <t xml:space="preserve">Plant disease </t>
        </is>
      </c>
      <c r="D550" t="inlineStr">
        <is>
          <t>Maladie des plantes</t>
        </is>
      </c>
    </row>
    <row r="551">
      <c r="A551" t="inlineStr">
        <is>
          <t>cropproddiff</t>
        </is>
      </c>
      <c r="B551" t="inlineStr">
        <is>
          <t>pest_outbreak</t>
        </is>
      </c>
      <c r="C551" t="inlineStr">
        <is>
          <t>Pest outbreak [including birds]</t>
        </is>
      </c>
      <c r="D551" t="inlineStr">
        <is>
          <t>Invasion d'organismes nuisibles [dont oiseaux]</t>
        </is>
      </c>
    </row>
    <row r="552">
      <c r="A552" t="inlineStr">
        <is>
          <t>cropproddiff</t>
        </is>
      </c>
      <c r="B552" t="inlineStr">
        <is>
          <t>animal_grazing</t>
        </is>
      </c>
      <c r="C552" t="inlineStr">
        <is>
          <t>Uncontrolled animal grazing</t>
        </is>
      </c>
      <c r="D552" t="inlineStr">
        <is>
          <t>Pâturage incontrôlé d'animaux</t>
        </is>
      </c>
    </row>
    <row r="553">
      <c r="A553" t="inlineStr">
        <is>
          <t>cropproddiff</t>
        </is>
      </c>
      <c r="B553" t="inlineStr">
        <is>
          <t>access_plot</t>
        </is>
      </c>
      <c r="C553" t="inlineStr">
        <is>
          <t>Access to plot</t>
        </is>
      </c>
      <c r="D553" t="inlineStr">
        <is>
          <t>Accès à la parcelle</t>
        </is>
      </c>
    </row>
    <row r="554">
      <c r="A554" t="inlineStr">
        <is>
          <t>cropproddiff</t>
        </is>
      </c>
      <c r="B554" t="inlineStr">
        <is>
          <t>access_fertilize</t>
        </is>
      </c>
      <c r="C554" t="inlineStr">
        <is>
          <t>Access to fertilizer [not available on markets or prices too high]</t>
        </is>
      </c>
      <c r="D554" t="inlineStr">
        <is>
          <t>Accès aux engrais [non disponibles sur les marchés ou prix trop élevés]</t>
        </is>
      </c>
    </row>
    <row r="555">
      <c r="A555" t="inlineStr">
        <is>
          <t>cropproddiff</t>
        </is>
      </c>
      <c r="B555" t="inlineStr">
        <is>
          <t>seed_quality</t>
        </is>
      </c>
      <c r="C555" t="inlineStr">
        <is>
          <t>Access to quality seeds</t>
        </is>
      </c>
      <c r="D555" t="inlineStr">
        <is>
          <t>Accès à des semences de qualité</t>
        </is>
      </c>
    </row>
    <row r="556">
      <c r="A556" t="inlineStr">
        <is>
          <t>cropproddiff</t>
        </is>
      </c>
      <c r="B556" t="inlineStr">
        <is>
          <t>seed_quantity</t>
        </is>
      </c>
      <c r="C556" t="inlineStr">
        <is>
          <t>Access to enough seeds [not available on markets or prices too high]</t>
        </is>
      </c>
      <c r="D556" t="inlineStr">
        <is>
          <t>Accès à des semences en quantité suffisante [non disponibles sur les marchés ou prix trop élevés]</t>
        </is>
      </c>
    </row>
    <row r="557">
      <c r="A557" t="inlineStr">
        <is>
          <t>cropproddiff</t>
        </is>
      </c>
      <c r="B557" t="inlineStr">
        <is>
          <t>access_pesticide</t>
        </is>
      </c>
      <c r="C557" t="inlineStr">
        <is>
          <t>Access to pesticides</t>
        </is>
      </c>
      <c r="D557" t="inlineStr">
        <is>
          <t>Accès aux pesticides</t>
        </is>
      </c>
    </row>
    <row r="558">
      <c r="A558" t="inlineStr">
        <is>
          <t>cropproddiff</t>
        </is>
      </c>
      <c r="B558" t="inlineStr">
        <is>
          <t>access_labour</t>
        </is>
      </c>
      <c r="C558" t="inlineStr">
        <is>
          <t>Access to manpower labour</t>
        </is>
      </c>
      <c r="D558" t="inlineStr">
        <is>
          <t>Accès à la main-d'œuvre</t>
        </is>
      </c>
    </row>
    <row r="559">
      <c r="A559" t="inlineStr">
        <is>
          <t>cropproddiff</t>
        </is>
      </c>
      <c r="B559" t="inlineStr">
        <is>
          <t>access_machinery</t>
        </is>
      </c>
      <c r="C559" t="inlineStr">
        <is>
          <t>Access to machinery, tools or animals for ploughing</t>
        </is>
      </c>
      <c r="D559" t="inlineStr">
        <is>
          <t>Accès aux machines, outils ou animaux pour labourer</t>
        </is>
      </c>
    </row>
    <row r="560">
      <c r="A560" t="inlineStr">
        <is>
          <t>cropproddiff</t>
        </is>
      </c>
      <c r="B560" t="inlineStr">
        <is>
          <t>access_fuel</t>
        </is>
      </c>
      <c r="C560" t="inlineStr">
        <is>
          <t>Access to fuel or electricity to power agricultural equipment</t>
        </is>
      </c>
      <c r="D560" t="inlineStr">
        <is>
          <t>Accès au carburant ou à l'électricité pour alimenter les équipements agricoles</t>
        </is>
      </c>
    </row>
    <row r="561">
      <c r="A561" t="inlineStr">
        <is>
          <t>cropproddiff</t>
        </is>
      </c>
      <c r="B561" t="inlineStr">
        <is>
          <t>soil_erosion</t>
        </is>
      </c>
      <c r="C561" t="inlineStr">
        <is>
          <t>Soil erosion</t>
        </is>
      </c>
      <c r="D561" t="inlineStr">
        <is>
          <t>Érosion des sols</t>
        </is>
      </c>
    </row>
    <row r="562">
      <c r="A562" t="inlineStr">
        <is>
          <t>cropproddiff</t>
        </is>
      </c>
      <c r="B562" t="inlineStr">
        <is>
          <t>lack_irrigation</t>
        </is>
      </c>
      <c r="C562" t="inlineStr">
        <is>
          <t xml:space="preserve">Not enough irrigation or rainfall water </t>
        </is>
      </c>
      <c r="D562" t="inlineStr">
        <is>
          <t>Eau d'irrigation ou pluie insuffisante</t>
        </is>
      </c>
    </row>
    <row r="563">
      <c r="A563" t="inlineStr">
        <is>
          <t>cropproddiff</t>
        </is>
      </c>
      <c r="B563" t="inlineStr">
        <is>
          <t>excess_water</t>
        </is>
      </c>
      <c r="C563" t="inlineStr">
        <is>
          <t>Too much irrigation or water</t>
        </is>
      </c>
      <c r="D563" t="inlineStr">
        <is>
          <t>Eau d'irrigation ou pluie trop abondante</t>
        </is>
      </c>
    </row>
    <row r="564">
      <c r="A564" t="inlineStr">
        <is>
          <t>cropproddiff</t>
        </is>
      </c>
      <c r="B564" t="inlineStr">
        <is>
          <t>access_credit</t>
        </is>
      </c>
      <c r="C564" t="inlineStr">
        <is>
          <t>Access to credit</t>
        </is>
      </c>
      <c r="D564" t="inlineStr">
        <is>
          <t>Accès au crédit</t>
        </is>
      </c>
    </row>
    <row r="565">
      <c r="A565" t="inlineStr">
        <is>
          <t>cropproddiff</t>
        </is>
      </c>
      <c r="B565" t="inlineStr">
        <is>
          <t>other</t>
        </is>
      </c>
      <c r="C565" t="inlineStr">
        <is>
          <t>Other</t>
        </is>
      </c>
      <c r="D565" t="inlineStr">
        <is>
          <t>Autre</t>
        </is>
      </c>
    </row>
    <row r="566">
      <c r="A566" t="inlineStr">
        <is>
          <t>cropproddiff</t>
        </is>
      </c>
      <c r="B566" t="inlineStr">
        <is>
          <t>dk</t>
        </is>
      </c>
      <c r="C566" t="inlineStr">
        <is>
          <t>DON'T KNOW</t>
        </is>
      </c>
      <c r="D566" t="inlineStr">
        <is>
          <t>NE SAIT PAS</t>
        </is>
      </c>
    </row>
    <row r="567">
      <c r="A567" t="inlineStr">
        <is>
          <t>cropproddiff</t>
        </is>
      </c>
      <c r="B567" t="inlineStr">
        <is>
          <t>ref</t>
        </is>
      </c>
      <c r="C567" t="inlineStr">
        <is>
          <t>REFUSED</t>
        </is>
      </c>
      <c r="D567" t="inlineStr">
        <is>
          <t>REFUSÉ</t>
        </is>
      </c>
    </row>
    <row r="568"/>
    <row r="569" customFormat="1" s="14">
      <c r="A569" t="inlineStr">
        <is>
          <t>storage</t>
        </is>
      </c>
      <c r="B569" t="n">
        <v>1</v>
      </c>
      <c r="C569" t="inlineStr">
        <is>
          <t>None</t>
        </is>
      </c>
      <c r="D569" t="inlineStr">
        <is>
          <t>Aucune</t>
        </is>
      </c>
    </row>
    <row r="570" customFormat="1" s="14">
      <c r="A570" t="inlineStr">
        <is>
          <t>storage</t>
        </is>
      </c>
      <c r="B570" t="n">
        <v>2</v>
      </c>
      <c r="C570" t="inlineStr">
        <is>
          <t>A little</t>
        </is>
      </c>
      <c r="D570" t="inlineStr">
        <is>
          <t>Une petite part</t>
        </is>
      </c>
    </row>
    <row r="571" customFormat="1" s="14">
      <c r="A571" t="inlineStr">
        <is>
          <t>storage</t>
        </is>
      </c>
      <c r="B571" t="n">
        <v>3</v>
      </c>
      <c r="C571" t="inlineStr">
        <is>
          <t>An important part of it, but less than half</t>
        </is>
      </c>
      <c r="D571" t="inlineStr">
        <is>
          <t>Une part importante, mais moins de la moitié</t>
        </is>
      </c>
    </row>
    <row r="572" customFormat="1" s="14">
      <c r="A572" t="inlineStr">
        <is>
          <t>storage</t>
        </is>
      </c>
      <c r="B572" t="n">
        <v>4</v>
      </c>
      <c r="C572" t="inlineStr">
        <is>
          <t>Most of it [half or more]</t>
        </is>
      </c>
      <c r="D572" t="inlineStr">
        <is>
          <t>Une grande part [la moitié ou plus]</t>
        </is>
      </c>
    </row>
    <row r="573" customFormat="1" s="14">
      <c r="A573" t="inlineStr">
        <is>
          <t>storage</t>
        </is>
      </c>
      <c r="B573" t="n">
        <v>5</v>
      </c>
      <c r="C573" t="inlineStr">
        <is>
          <t>Almost everything</t>
        </is>
      </c>
      <c r="D573" t="inlineStr">
        <is>
          <t>La presque totalité</t>
        </is>
      </c>
    </row>
    <row r="574" customFormat="1" s="14">
      <c r="A574" t="inlineStr">
        <is>
          <t>storage</t>
        </is>
      </c>
      <c r="B574" t="n">
        <v>6</v>
      </c>
      <c r="C574" t="inlineStr">
        <is>
          <t>Everything</t>
        </is>
      </c>
      <c r="D574" t="inlineStr">
        <is>
          <t>La totalité</t>
        </is>
      </c>
    </row>
    <row r="575" customFormat="1" s="14">
      <c r="A575" t="inlineStr">
        <is>
          <t>storage</t>
        </is>
      </c>
      <c r="B575" t="n">
        <v>7</v>
      </c>
      <c r="C575" t="inlineStr">
        <is>
          <t>DON'T KNOW</t>
        </is>
      </c>
      <c r="D575" t="inlineStr">
        <is>
          <t>NE SAIT PAS</t>
        </is>
      </c>
    </row>
    <row r="576">
      <c r="A576" t="inlineStr">
        <is>
          <t>storage</t>
        </is>
      </c>
      <c r="B576" t="n">
        <v>8</v>
      </c>
      <c r="C576" t="inlineStr">
        <is>
          <t>REFUSED</t>
        </is>
      </c>
      <c r="D576" t="inlineStr">
        <is>
          <t>REFUSÉ</t>
        </is>
      </c>
    </row>
    <row r="577"/>
    <row r="578">
      <c r="A578" t="inlineStr">
        <is>
          <t>storage_reason</t>
        </is>
      </c>
      <c r="B578" t="inlineStr">
        <is>
          <t>pests</t>
        </is>
      </c>
      <c r="C578" t="inlineStr">
        <is>
          <t>Pests</t>
        </is>
      </c>
      <c r="D578" t="inlineStr">
        <is>
          <t>Ravageurs</t>
        </is>
      </c>
    </row>
    <row r="579">
      <c r="A579" t="inlineStr">
        <is>
          <t>storage_reason</t>
        </is>
      </c>
      <c r="B579" t="inlineStr">
        <is>
          <t>rot</t>
        </is>
      </c>
      <c r="C579" t="inlineStr">
        <is>
          <t>Rotting</t>
        </is>
      </c>
      <c r="D579" t="inlineStr">
        <is>
          <t>Pourriture</t>
        </is>
      </c>
    </row>
    <row r="580">
      <c r="A580" t="inlineStr">
        <is>
          <t>storage_reason</t>
        </is>
      </c>
      <c r="B580" t="inlineStr">
        <is>
          <t>mould</t>
        </is>
      </c>
      <c r="C580" t="inlineStr">
        <is>
          <t>Mould</t>
        </is>
      </c>
      <c r="D580" t="inlineStr">
        <is>
          <t>Moisissure</t>
        </is>
      </c>
    </row>
    <row r="581">
      <c r="A581" t="inlineStr">
        <is>
          <t>storage_reason</t>
        </is>
      </c>
      <c r="B581" t="inlineStr">
        <is>
          <t>theft</t>
        </is>
      </c>
      <c r="C581" t="inlineStr">
        <is>
          <t>Theft</t>
        </is>
      </c>
      <c r="D581" t="inlineStr">
        <is>
          <t>Vol</t>
        </is>
      </c>
    </row>
    <row r="582">
      <c r="A582" t="inlineStr">
        <is>
          <t>storage_reason</t>
        </is>
      </c>
      <c r="B582" t="inlineStr">
        <is>
          <t>natdisaster</t>
        </is>
      </c>
      <c r="C582" t="inlineStr">
        <is>
          <t>Destruction by disaster [e.g. flood]</t>
        </is>
      </c>
      <c r="D582" t="inlineStr">
        <is>
          <t>Destruction par une catastrophe [par ex, une inondation].</t>
        </is>
      </c>
    </row>
    <row r="583">
      <c r="A583" t="inlineStr">
        <is>
          <t>storage_reason</t>
        </is>
      </c>
      <c r="B583" t="inlineStr">
        <is>
          <t>animals</t>
        </is>
      </c>
      <c r="C583" t="inlineStr">
        <is>
          <t>Destruction by animals</t>
        </is>
      </c>
      <c r="D583" t="inlineStr">
        <is>
          <t>Destruction par des animaux</t>
        </is>
      </c>
    </row>
    <row r="584">
      <c r="A584" t="inlineStr">
        <is>
          <t>storage_reason</t>
        </is>
      </c>
      <c r="B584" t="inlineStr">
        <is>
          <t>intdestruction</t>
        </is>
      </c>
      <c r="C584" t="inlineStr">
        <is>
          <t>Intentional destruction of storage [e.g. burned]</t>
        </is>
      </c>
      <c r="D584" t="inlineStr">
        <is>
          <t>Destruction intentionnelle de l'entrepôt [par ex, incendie].</t>
        </is>
      </c>
    </row>
    <row r="585">
      <c r="A585" t="inlineStr">
        <is>
          <t>storage_reason</t>
        </is>
      </c>
      <c r="B585" t="inlineStr">
        <is>
          <t>other</t>
        </is>
      </c>
      <c r="C585" t="inlineStr">
        <is>
          <t>Other [specify]</t>
        </is>
      </c>
      <c r="D585" t="inlineStr">
        <is>
          <t>Autre [préciser]</t>
        </is>
      </c>
    </row>
    <row r="586">
      <c r="A586" t="inlineStr">
        <is>
          <t>storage_reason</t>
        </is>
      </c>
      <c r="B586" t="inlineStr">
        <is>
          <t>dk</t>
        </is>
      </c>
      <c r="C586" t="inlineStr">
        <is>
          <t>DON'T KNOW</t>
        </is>
      </c>
      <c r="D586" t="inlineStr">
        <is>
          <t>NE SAIT PAS</t>
        </is>
      </c>
    </row>
    <row r="587">
      <c r="A587" t="inlineStr">
        <is>
          <t>storage_reason</t>
        </is>
      </c>
      <c r="B587" t="inlineStr">
        <is>
          <t>ref</t>
        </is>
      </c>
      <c r="C587" t="inlineStr">
        <is>
          <t>REFUSED</t>
        </is>
      </c>
      <c r="D587" t="inlineStr">
        <is>
          <t>REFUSÉ</t>
        </is>
      </c>
    </row>
    <row r="588"/>
    <row r="589">
      <c r="A589" t="inlineStr">
        <is>
          <t>cropsalesdiff</t>
        </is>
      </c>
      <c r="B589" t="inlineStr">
        <is>
          <t>marketing_cost</t>
        </is>
      </c>
      <c r="C589" t="inlineStr">
        <is>
          <t>High transportation or other marketing costs</t>
        </is>
      </c>
      <c r="D589" t="inlineStr">
        <is>
          <t>Coûts de transport ou autres coûts de commercialisation élevés</t>
        </is>
      </c>
    </row>
    <row r="590">
      <c r="A590" t="inlineStr">
        <is>
          <t>cropsalesdiff</t>
        </is>
      </c>
      <c r="B590" t="inlineStr">
        <is>
          <t>damage_losses</t>
        </is>
      </c>
      <c r="C590" t="inlineStr">
        <is>
          <t>Damages and losses due to storage difficulties and/or difficulty accessing the market [e.g. insecurity, poor infrastructure, etc.]</t>
        </is>
      </c>
      <c r="D590" t="inlineStr">
        <is>
          <t>Dommages et pertes dus à des difficultés de stockage et/ou d'accès au marché [par exemple, insécurité, mauvaises infrastructures, etc.]</t>
        </is>
      </c>
    </row>
    <row r="591">
      <c r="A591" t="inlineStr">
        <is>
          <t>cropsalesdiff</t>
        </is>
      </c>
      <c r="B591" t="inlineStr">
        <is>
          <t>low_demand</t>
        </is>
      </c>
      <c r="C591" t="inlineStr">
        <is>
          <t xml:space="preserve">Lack of demand from usual traders or buyers </t>
        </is>
      </c>
      <c r="D591" t="inlineStr">
        <is>
          <t>Baisse de la demande des commerçants ou clients habituels</t>
        </is>
      </c>
    </row>
    <row r="592">
      <c r="A592" t="inlineStr">
        <is>
          <t>cropsalesdiff</t>
        </is>
      </c>
      <c r="B592" t="inlineStr">
        <is>
          <t>pay_delay</t>
        </is>
      </c>
      <c r="C592" t="inlineStr">
        <is>
          <t>Payment delays from traders / buyers</t>
        </is>
      </c>
      <c r="D592" t="inlineStr">
        <is>
          <t>Retards de paiement de la part des négociants/acheteurs</t>
        </is>
      </c>
    </row>
    <row r="593">
      <c r="A593" t="inlineStr">
        <is>
          <t>cropsalesdiff</t>
        </is>
      </c>
      <c r="B593" t="inlineStr">
        <is>
          <t>low_price</t>
        </is>
      </c>
      <c r="C593" t="inlineStr">
        <is>
          <t>Low selling prices [e.g. compared to input prices / inflation]</t>
        </is>
      </c>
      <c r="D593" t="inlineStr">
        <is>
          <t xml:space="preserve">Faible prix de vente [par exemple, par rapport aux prix des intrants / inflation] </t>
        </is>
      </c>
    </row>
    <row r="594">
      <c r="A594" t="inlineStr">
        <is>
          <t>cropsalesdiff</t>
        </is>
      </c>
      <c r="B594" t="inlineStr">
        <is>
          <t>processing</t>
        </is>
      </c>
      <c r="C594" t="inlineStr">
        <is>
          <t>Difficulty processing product [lack of processing inputs / equipment / etc]</t>
        </is>
      </c>
      <c r="D594" t="inlineStr">
        <is>
          <t>Difficulté de transformation de la production [manque d'intrants / d'équipements de transformation / etc.]</t>
        </is>
      </c>
    </row>
    <row r="595">
      <c r="A595" t="inlineStr">
        <is>
          <t>cropsalesdiff</t>
        </is>
      </c>
      <c r="B595" t="inlineStr">
        <is>
          <t>competition</t>
        </is>
      </c>
      <c r="C595" t="inlineStr">
        <is>
          <t>Market flooded with products</t>
        </is>
      </c>
      <c r="D595" t="inlineStr">
        <is>
          <t>Marchés saturés</t>
        </is>
      </c>
    </row>
    <row r="596">
      <c r="A596" t="inlineStr">
        <is>
          <t>cropsalesdiff</t>
        </is>
      </c>
      <c r="B596" t="inlineStr">
        <is>
          <t>other</t>
        </is>
      </c>
      <c r="C596" t="inlineStr">
        <is>
          <t>Other</t>
        </is>
      </c>
      <c r="D596" t="inlineStr">
        <is>
          <t>Autre</t>
        </is>
      </c>
    </row>
    <row r="597">
      <c r="A597" t="inlineStr">
        <is>
          <t>cropsalesdiff</t>
        </is>
      </c>
      <c r="B597" t="inlineStr">
        <is>
          <t>dk</t>
        </is>
      </c>
      <c r="C597" t="inlineStr">
        <is>
          <t>DON'T KNOW</t>
        </is>
      </c>
      <c r="D597" t="inlineStr">
        <is>
          <t>NE SAIT PAS</t>
        </is>
      </c>
    </row>
    <row r="598">
      <c r="A598" t="inlineStr">
        <is>
          <t>cropsalesdiff</t>
        </is>
      </c>
      <c r="B598" t="inlineStr">
        <is>
          <t>ref</t>
        </is>
      </c>
      <c r="C598" t="inlineStr">
        <is>
          <t>REFUSED</t>
        </is>
      </c>
      <c r="D598" t="inlineStr">
        <is>
          <t>REFUSÉ</t>
        </is>
      </c>
    </row>
    <row r="599"/>
    <row r="600">
      <c r="A600" t="inlineStr">
        <is>
          <t>lsmain</t>
        </is>
      </c>
      <c r="B600" t="n">
        <v>1</v>
      </c>
      <c r="C600" t="inlineStr">
        <is>
          <t>Cattle [cow / beef / veal / yak / buffalo]</t>
        </is>
      </c>
      <c r="D600" t="inlineStr">
        <is>
          <t>Bovins [vache / bœuf / veau / yak / buffle]</t>
        </is>
      </c>
    </row>
    <row r="601">
      <c r="A601" t="inlineStr">
        <is>
          <t>lsmain</t>
        </is>
      </c>
      <c r="B601" t="n">
        <v>2</v>
      </c>
      <c r="C601" t="inlineStr">
        <is>
          <t>Goat</t>
        </is>
      </c>
      <c r="D601" t="inlineStr">
        <is>
          <t>Chèvres</t>
        </is>
      </c>
    </row>
    <row r="602">
      <c r="A602" t="inlineStr">
        <is>
          <t>lsmain</t>
        </is>
      </c>
      <c r="B602" t="n">
        <v>3</v>
      </c>
      <c r="C602" t="inlineStr">
        <is>
          <t>Sheep</t>
        </is>
      </c>
      <c r="D602" t="inlineStr">
        <is>
          <t>Moutons</t>
        </is>
      </c>
    </row>
    <row r="603">
      <c r="A603" t="inlineStr">
        <is>
          <t>lsmain</t>
        </is>
      </c>
      <c r="B603" t="n">
        <v>4</v>
      </c>
      <c r="C603" t="inlineStr">
        <is>
          <t>Swine [swine / boar / hog / etc]</t>
        </is>
      </c>
      <c r="D603" t="inlineStr">
        <is>
          <t>Porcins [cochon / sanglier / porc / etc.]</t>
        </is>
      </c>
    </row>
    <row r="604">
      <c r="A604" t="inlineStr">
        <is>
          <t>lsmain</t>
        </is>
      </c>
      <c r="B604" t="n">
        <v>5</v>
      </c>
      <c r="C604" t="inlineStr">
        <is>
          <t>Equine [donkey / horse / etc]</t>
        </is>
      </c>
      <c r="D604" t="inlineStr">
        <is>
          <t>Équidés [âne / cheval / etc]</t>
        </is>
      </c>
    </row>
    <row r="605">
      <c r="A605" t="inlineStr">
        <is>
          <t>lsmain</t>
        </is>
      </c>
      <c r="B605" t="n">
        <v>6</v>
      </c>
      <c r="C605" t="inlineStr">
        <is>
          <t>Small domesticated mammals [rabbits / minks / guinea pigs / etc]</t>
        </is>
      </c>
      <c r="D605" t="inlineStr">
        <is>
          <t>Petits mammifères domestiques [lapins / visons / cochons d'Inde / etc.]</t>
        </is>
      </c>
    </row>
    <row r="606">
      <c r="A606" t="inlineStr">
        <is>
          <t>lsmain</t>
        </is>
      </c>
      <c r="B606" t="n">
        <v>7</v>
      </c>
      <c r="C606" t="inlineStr">
        <is>
          <t>Poultry [chicken / guineafowl / duck / quail / turkey / etc]</t>
        </is>
      </c>
      <c r="D606" t="inlineStr">
        <is>
          <t>Volaille [poulets / pintades / canards / cailles / dindes / etc.]</t>
        </is>
      </c>
    </row>
    <row r="607">
      <c r="A607" t="inlineStr">
        <is>
          <t>lsmain</t>
        </is>
      </c>
      <c r="B607" t="n">
        <v>8</v>
      </c>
      <c r="C607" t="inlineStr">
        <is>
          <t>Camelids</t>
        </is>
      </c>
      <c r="D607" t="inlineStr">
        <is>
          <t>Camélidés</t>
        </is>
      </c>
    </row>
    <row r="608">
      <c r="A608" t="inlineStr">
        <is>
          <t>lsmain</t>
        </is>
      </c>
      <c r="B608" t="n">
        <v>9</v>
      </c>
      <c r="C608" t="inlineStr">
        <is>
          <t>Other</t>
        </is>
      </c>
      <c r="D608" t="inlineStr">
        <is>
          <t>Autre</t>
        </is>
      </c>
    </row>
    <row r="609">
      <c r="A609" t="inlineStr">
        <is>
          <t>lsmain</t>
        </is>
      </c>
      <c r="B609" t="n">
        <v>10</v>
      </c>
      <c r="C609" t="inlineStr">
        <is>
          <t>DON'T KNOW</t>
        </is>
      </c>
      <c r="D609" t="inlineStr">
        <is>
          <t>NE SAIT PAS</t>
        </is>
      </c>
    </row>
    <row r="610">
      <c r="A610" t="inlineStr">
        <is>
          <t>lsmain</t>
        </is>
      </c>
      <c r="B610" t="n">
        <v>11</v>
      </c>
      <c r="C610" t="inlineStr">
        <is>
          <t>REFUSED</t>
        </is>
      </c>
      <c r="D610" t="inlineStr">
        <is>
          <t>REFUSÉ</t>
        </is>
      </c>
    </row>
    <row r="611"/>
    <row r="612">
      <c r="A612" t="inlineStr">
        <is>
          <t>lsnum</t>
        </is>
      </c>
      <c r="B612" t="inlineStr">
        <is>
          <t>no_change</t>
        </is>
      </c>
      <c r="C612" t="inlineStr">
        <is>
          <t>No significant change in livestock number</t>
        </is>
      </c>
      <c r="D612" t="inlineStr">
        <is>
          <t>Pas de changement significatif du nombre de têtes de bétail</t>
        </is>
      </c>
    </row>
    <row r="613">
      <c r="A613" t="inlineStr">
        <is>
          <t>lsnum</t>
        </is>
      </c>
      <c r="B613" t="inlineStr">
        <is>
          <t>inc_less_sales</t>
        </is>
      </c>
      <c r="C613" t="inlineStr">
        <is>
          <t>Did not sell as many</t>
        </is>
      </c>
      <c r="D613" t="inlineStr">
        <is>
          <t>Diminution des ventes</t>
        </is>
      </c>
    </row>
    <row r="614">
      <c r="A614" t="inlineStr">
        <is>
          <t>lsnum</t>
        </is>
      </c>
      <c r="B614" t="inlineStr">
        <is>
          <t>inc_more_birth</t>
        </is>
      </c>
      <c r="C614" t="inlineStr">
        <is>
          <t>Many more were born</t>
        </is>
      </c>
      <c r="D614" t="inlineStr">
        <is>
          <t>Davantage de naissances</t>
        </is>
      </c>
    </row>
    <row r="615">
      <c r="A615" t="inlineStr">
        <is>
          <t>lsnum</t>
        </is>
      </c>
      <c r="B615" t="inlineStr">
        <is>
          <t>inc_more_acquired</t>
        </is>
      </c>
      <c r="C615" t="inlineStr">
        <is>
          <t>Purchased or bartered more animals this year</t>
        </is>
      </c>
      <c r="D615" t="inlineStr">
        <is>
          <t>Davantage d'animaux achetés ou troqués cette année</t>
        </is>
      </c>
    </row>
    <row r="616">
      <c r="A616" t="inlineStr">
        <is>
          <t>lsnum</t>
        </is>
      </c>
      <c r="B616" t="inlineStr">
        <is>
          <t>inc_received_free</t>
        </is>
      </c>
      <c r="C616" t="inlineStr">
        <is>
          <t>Received animals for free [restocking, gift]</t>
        </is>
      </c>
      <c r="D616" t="inlineStr">
        <is>
          <t>Animaux reçus gratuitement [réapprovisionnement / cadeau]</t>
        </is>
      </c>
    </row>
    <row r="617">
      <c r="A617" t="inlineStr">
        <is>
          <t>lsnum</t>
        </is>
      </c>
      <c r="B617" t="inlineStr">
        <is>
          <t>dec_poor_health</t>
        </is>
      </c>
      <c r="C617" t="inlineStr">
        <is>
          <t>Animal death due to malnutrition, drought, lack of feed</t>
        </is>
      </c>
      <c r="D617" t="inlineStr">
        <is>
          <t xml:space="preserve">Mort d'animaux due à la malnutrition, à la sécheresse, au manque de nourriture </t>
        </is>
      </c>
    </row>
    <row r="618">
      <c r="A618" t="inlineStr">
        <is>
          <t>lsnum</t>
        </is>
      </c>
      <c r="B618" t="inlineStr">
        <is>
          <t>dec_death</t>
        </is>
      </c>
      <c r="C618" t="inlineStr">
        <is>
          <t>Animal death due to other factors [e.g. diseases, parasites, injury]</t>
        </is>
      </c>
      <c r="D618" t="inlineStr">
        <is>
          <t>Mort d'animaux due à d'autres facteurs [par ex. maladies, parasites, blessures]</t>
        </is>
      </c>
    </row>
    <row r="619">
      <c r="A619" t="inlineStr">
        <is>
          <t>lsnum</t>
        </is>
      </c>
      <c r="B619" t="inlineStr">
        <is>
          <t>dec_sales_good_price</t>
        </is>
      </c>
      <c r="C619" t="inlineStr">
        <is>
          <t>Sold more than usual because of good prices</t>
        </is>
      </c>
      <c r="D619" t="inlineStr">
        <is>
          <t>Davantage de ventes en raison de bons prix</t>
        </is>
      </c>
    </row>
    <row r="620">
      <c r="A620" t="inlineStr">
        <is>
          <t>lsnum</t>
        </is>
      </c>
      <c r="B620" t="inlineStr">
        <is>
          <t>dec_sales_distress</t>
        </is>
      </c>
      <c r="C620" t="inlineStr">
        <is>
          <t>Sold more than usual because of distress sales [unable to feed animal, need money urgently for household basic needs even if sales were unsustainable]</t>
        </is>
      </c>
      <c r="D620" t="inlineStr">
        <is>
          <t>Davantage de ventes en raison de ventes de détresse [incapacité à nourrir l'animal / besoin urgent d'argent pour les besoins de base du ménage même si les ventes ne sont pas durables]</t>
        </is>
      </c>
    </row>
    <row r="621">
      <c r="A621" t="inlineStr">
        <is>
          <t>lsnum</t>
        </is>
      </c>
      <c r="B621" t="inlineStr">
        <is>
          <t>dec_escape_stolen</t>
        </is>
      </c>
      <c r="C621" t="inlineStr">
        <is>
          <t>Animal escaped or was lost or stolen</t>
        </is>
      </c>
      <c r="D621" t="inlineStr">
        <is>
          <t>Animaux échappés, perdus ou volés</t>
        </is>
      </c>
    </row>
    <row r="622">
      <c r="A622" t="inlineStr">
        <is>
          <t>lsnum</t>
        </is>
      </c>
      <c r="B622" t="inlineStr">
        <is>
          <t>dec_consumed</t>
        </is>
      </c>
      <c r="C622" t="inlineStr">
        <is>
          <t>Killed or gave away more animals than usual for household consumption or celebrations [marriage, funerals, etc]</t>
        </is>
      </c>
      <c r="D622" t="inlineStr">
        <is>
          <t>Davantage d'animaux abattus ou donnés pour la consommation du ménage ou pour des cérémonies [mariage / funérailles / etc.]</t>
        </is>
      </c>
    </row>
    <row r="623">
      <c r="A623" t="inlineStr">
        <is>
          <t>lsnum</t>
        </is>
      </c>
      <c r="B623" t="inlineStr">
        <is>
          <t>inc_dec_other</t>
        </is>
      </c>
      <c r="C623" t="inlineStr">
        <is>
          <t>Other</t>
        </is>
      </c>
      <c r="D623" t="inlineStr">
        <is>
          <t>Autre</t>
        </is>
      </c>
    </row>
    <row r="624">
      <c r="A624" t="inlineStr">
        <is>
          <t>lsnum</t>
        </is>
      </c>
      <c r="B624" t="inlineStr">
        <is>
          <t>inc_dec_dk</t>
        </is>
      </c>
      <c r="C624" t="inlineStr">
        <is>
          <t>DON'T KNOW</t>
        </is>
      </c>
      <c r="D624" t="inlineStr">
        <is>
          <t>NE SAIT PAS</t>
        </is>
      </c>
    </row>
    <row r="625" ht="14.25" customHeight="1">
      <c r="A625" t="inlineStr">
        <is>
          <t>lsnum</t>
        </is>
      </c>
      <c r="B625" t="inlineStr">
        <is>
          <t>inc_dec_ref</t>
        </is>
      </c>
      <c r="C625" t="inlineStr">
        <is>
          <t>REFUSED</t>
        </is>
      </c>
      <c r="D625" t="inlineStr">
        <is>
          <t>REFUSÉ</t>
        </is>
      </c>
    </row>
    <row r="626" ht="14.25" customHeight="1"/>
    <row r="627" ht="14.25" customHeight="1">
      <c r="A627" t="inlineStr">
        <is>
          <t>lsgone</t>
        </is>
      </c>
      <c r="B627" t="inlineStr">
        <is>
          <t>lost</t>
        </is>
      </c>
      <c r="C627" t="inlineStr">
        <is>
          <t>Lost during migration</t>
        </is>
      </c>
      <c r="D627" t="inlineStr">
        <is>
          <t>Perdus pendant la migration</t>
        </is>
      </c>
    </row>
    <row r="628" ht="14.25" customHeight="1">
      <c r="A628" t="inlineStr">
        <is>
          <t>lsgone</t>
        </is>
      </c>
      <c r="B628" t="inlineStr">
        <is>
          <t>escape</t>
        </is>
      </c>
      <c r="C628" t="inlineStr">
        <is>
          <t>Escaped</t>
        </is>
      </c>
      <c r="D628" t="inlineStr">
        <is>
          <t>Échappés</t>
        </is>
      </c>
    </row>
    <row r="629" ht="14.25" customHeight="1">
      <c r="A629" t="inlineStr">
        <is>
          <t>lsgone</t>
        </is>
      </c>
      <c r="B629" t="inlineStr">
        <is>
          <t>stolen</t>
        </is>
      </c>
      <c r="C629" t="inlineStr">
        <is>
          <t>Stolen</t>
        </is>
      </c>
      <c r="D629" t="inlineStr">
        <is>
          <t>Volés</t>
        </is>
      </c>
    </row>
    <row r="630" ht="14.25" customHeight="1">
      <c r="A630" t="inlineStr">
        <is>
          <t>lsgone</t>
        </is>
      </c>
      <c r="B630" t="inlineStr">
        <is>
          <t>killed</t>
        </is>
      </c>
      <c r="C630" t="inlineStr">
        <is>
          <t>Killed</t>
        </is>
      </c>
      <c r="D630" t="inlineStr">
        <is>
          <t>Tués</t>
        </is>
      </c>
    </row>
    <row r="631" ht="14.25" customHeight="1">
      <c r="A631" t="inlineStr">
        <is>
          <t>lsgone</t>
        </is>
      </c>
      <c r="B631" t="inlineStr">
        <is>
          <t>dk</t>
        </is>
      </c>
      <c r="C631" t="inlineStr">
        <is>
          <t>DON'T KNOW</t>
        </is>
      </c>
      <c r="D631" t="inlineStr">
        <is>
          <t>NE SAIT PAS</t>
        </is>
      </c>
    </row>
    <row r="632" ht="14.25" customHeight="1">
      <c r="A632" t="inlineStr">
        <is>
          <t>lsgone</t>
        </is>
      </c>
      <c r="B632" t="inlineStr">
        <is>
          <t>ref</t>
        </is>
      </c>
      <c r="C632" t="inlineStr">
        <is>
          <t>REFUSED</t>
        </is>
      </c>
      <c r="D632" t="inlineStr">
        <is>
          <t>REFUSÉ</t>
        </is>
      </c>
    </row>
    <row r="633" ht="14.25" customHeight="1"/>
    <row r="634" ht="14.25" customFormat="1" customHeight="1" s="14">
      <c r="A634" t="inlineStr">
        <is>
          <t>lsfood</t>
        </is>
      </c>
      <c r="B634" t="inlineStr">
        <is>
          <t>open_pasture</t>
        </is>
      </c>
      <c r="C634" t="inlineStr">
        <is>
          <t>Open pasture</t>
        </is>
      </c>
      <c r="D634" t="inlineStr">
        <is>
          <t>Pâturages ouverts</t>
        </is>
      </c>
    </row>
    <row r="635" ht="14.25" customFormat="1" customHeight="1" s="14">
      <c r="A635" t="inlineStr">
        <is>
          <t>lsfood</t>
        </is>
      </c>
      <c r="B635" t="inlineStr">
        <is>
          <t>common_pasture</t>
        </is>
      </c>
      <c r="C635" t="inlineStr">
        <is>
          <t>Community-managed pasture land</t>
        </is>
      </c>
      <c r="D635" t="inlineStr">
        <is>
          <t>Pâturages gérés par la communauté</t>
        </is>
      </c>
    </row>
    <row r="636" ht="14.25" customFormat="1" customHeight="1" s="14">
      <c r="A636" t="inlineStr">
        <is>
          <t>lsfood</t>
        </is>
      </c>
      <c r="B636" t="inlineStr">
        <is>
          <t>self_produced</t>
        </is>
      </c>
      <c r="C636" t="inlineStr">
        <is>
          <t>Owned or rented field or self-produced fodder</t>
        </is>
      </c>
      <c r="D636" t="inlineStr">
        <is>
          <t>Champ possédé ou loué, ou fourrage auto-produit</t>
        </is>
      </c>
    </row>
    <row r="637" ht="14.25" customFormat="1" customHeight="1" s="14">
      <c r="A637" t="inlineStr">
        <is>
          <t>lsfood</t>
        </is>
      </c>
      <c r="B637" t="inlineStr">
        <is>
          <t>purchased</t>
        </is>
      </c>
      <c r="C637" t="inlineStr">
        <is>
          <t>Purchase feed or fodder at the market</t>
        </is>
      </c>
      <c r="D637" t="inlineStr">
        <is>
          <t>Achat d'aliments/fourrage sur les marchés</t>
        </is>
      </c>
    </row>
    <row r="638" ht="14.25" customFormat="1" customHeight="1" s="14">
      <c r="A638" t="inlineStr">
        <is>
          <t>lsfood</t>
        </is>
      </c>
      <c r="B638" t="inlineStr">
        <is>
          <t>free_dist</t>
        </is>
      </c>
      <c r="C638" t="inlineStr">
        <is>
          <t>Free distribution</t>
        </is>
      </c>
      <c r="D638" t="inlineStr">
        <is>
          <t xml:space="preserve">Distributions gratuites </t>
        </is>
      </c>
    </row>
    <row r="639" ht="14.25" customFormat="1" customHeight="1" s="14">
      <c r="A639" t="inlineStr">
        <is>
          <t>lsfood</t>
        </is>
      </c>
      <c r="B639" t="inlineStr">
        <is>
          <t>other</t>
        </is>
      </c>
      <c r="C639" t="inlineStr">
        <is>
          <t xml:space="preserve">Other </t>
        </is>
      </c>
      <c r="D639" t="inlineStr">
        <is>
          <t>Autre</t>
        </is>
      </c>
    </row>
    <row r="640" ht="14.25" customFormat="1" customHeight="1" s="14">
      <c r="A640" t="inlineStr">
        <is>
          <t>lsfood</t>
        </is>
      </c>
      <c r="B640" t="inlineStr">
        <is>
          <t>dk</t>
        </is>
      </c>
      <c r="C640" t="inlineStr">
        <is>
          <t>DON'T KNOW</t>
        </is>
      </c>
      <c r="D640" t="inlineStr">
        <is>
          <t>NE SAIT PAS</t>
        </is>
      </c>
    </row>
    <row r="641" ht="14.25" customFormat="1" customHeight="1" s="14">
      <c r="A641" t="inlineStr">
        <is>
          <t>lsfood</t>
        </is>
      </c>
      <c r="B641" t="inlineStr">
        <is>
          <t>ref</t>
        </is>
      </c>
      <c r="C641" t="inlineStr">
        <is>
          <t>REFUSED</t>
        </is>
      </c>
      <c r="D641" t="inlineStr">
        <is>
          <t>REFUSÉ</t>
        </is>
      </c>
    </row>
    <row r="642" ht="14.25" customHeight="1"/>
    <row r="643">
      <c r="A643" t="inlineStr">
        <is>
          <t>lsproddiff</t>
        </is>
      </c>
      <c r="B643" t="inlineStr">
        <is>
          <t>feed_purchase</t>
        </is>
      </c>
      <c r="C643" t="inlineStr">
        <is>
          <t>Difficulty to purchase feed [prices or access to market]</t>
        </is>
      </c>
      <c r="D643" t="inlineStr">
        <is>
          <t>Difficulté à acheter des aliments pour animaux [prix ou accès au marché]</t>
        </is>
      </c>
    </row>
    <row r="644">
      <c r="A644" t="inlineStr">
        <is>
          <t>lsproddiff</t>
        </is>
      </c>
      <c r="B644" t="inlineStr">
        <is>
          <t>access_pasture</t>
        </is>
      </c>
      <c r="C644" t="inlineStr">
        <is>
          <t>Access to pasture</t>
        </is>
      </c>
      <c r="D644" t="inlineStr">
        <is>
          <t>Accès aux pâturages</t>
        </is>
      </c>
    </row>
    <row r="645">
      <c r="A645" t="inlineStr">
        <is>
          <t>lsproddiff</t>
        </is>
      </c>
      <c r="B645" t="inlineStr">
        <is>
          <t>access_water</t>
        </is>
      </c>
      <c r="C645" t="inlineStr">
        <is>
          <t>Access to water</t>
        </is>
      </c>
      <c r="D645" t="inlineStr">
        <is>
          <t>Accès à l'eau</t>
        </is>
      </c>
    </row>
    <row r="646">
      <c r="A646" t="inlineStr">
        <is>
          <t>lsproddiff</t>
        </is>
      </c>
      <c r="B646" t="inlineStr">
        <is>
          <t>vet_serv</t>
        </is>
      </c>
      <c r="C646" t="inlineStr">
        <is>
          <t>Access to veterinary services [vaccinations, treatments, spraying, advisory etc]</t>
        </is>
      </c>
      <c r="D646" t="inlineStr">
        <is>
          <t>Accès aux services vétérinaires [vaccins / traitements / pulvérisations / conseils / etc.]</t>
        </is>
      </c>
    </row>
    <row r="647">
      <c r="A647" t="inlineStr">
        <is>
          <t>lsproddiff</t>
        </is>
      </c>
      <c r="B647" t="inlineStr">
        <is>
          <t>vet_input</t>
        </is>
      </c>
      <c r="C647" t="inlineStr">
        <is>
          <t>Access to veterinary inputs [medicine for animals / tools for animal health / etc]</t>
        </is>
      </c>
      <c r="D647" t="inlineStr">
        <is>
          <t>Accès aux intrants vétérinaires [médicaments pour animaux / outils pour la santé animale / etc.]</t>
        </is>
      </c>
    </row>
    <row r="648">
      <c r="A648" t="inlineStr">
        <is>
          <t>lsproddiff</t>
        </is>
      </c>
      <c r="B648" t="inlineStr">
        <is>
          <t>diseases</t>
        </is>
      </c>
      <c r="C648" t="inlineStr">
        <is>
          <t>Livestock diseases or injury</t>
        </is>
      </c>
      <c r="D648" t="inlineStr">
        <is>
          <t>Maladies ou blessures du bétail</t>
        </is>
      </c>
    </row>
    <row r="649">
      <c r="A649" t="inlineStr">
        <is>
          <t>lsproddiff</t>
        </is>
      </c>
      <c r="B649" t="inlineStr">
        <is>
          <t>theft</t>
        </is>
      </c>
      <c r="C649" t="inlineStr">
        <is>
          <t>Livestock theft</t>
        </is>
      </c>
      <c r="D649" t="inlineStr">
        <is>
          <t>Vol de bétail</t>
        </is>
      </c>
    </row>
    <row r="650">
      <c r="A650" t="inlineStr">
        <is>
          <t>lsproddiff</t>
        </is>
      </c>
      <c r="B650" t="inlineStr">
        <is>
          <t>access_market</t>
        </is>
      </c>
      <c r="C650" t="inlineStr">
        <is>
          <t>Access to livestock market to buy young animals</t>
        </is>
      </c>
      <c r="D650" t="inlineStr">
        <is>
          <t>Accès aux marchés de bétail pour acheter de jeunes animaux</t>
        </is>
      </c>
    </row>
    <row r="651">
      <c r="A651" t="inlineStr">
        <is>
          <t>lsproddiff</t>
        </is>
      </c>
      <c r="B651" t="inlineStr">
        <is>
          <t>access_credit</t>
        </is>
      </c>
      <c r="C651" t="inlineStr">
        <is>
          <t>Access to credit</t>
        </is>
      </c>
      <c r="D651" t="inlineStr">
        <is>
          <t>Accès au crédit</t>
        </is>
      </c>
    </row>
    <row r="652">
      <c r="A652" t="inlineStr">
        <is>
          <t>lsproddiff</t>
        </is>
      </c>
      <c r="B652" t="inlineStr">
        <is>
          <t>access_labour</t>
        </is>
      </c>
      <c r="C652" t="inlineStr">
        <is>
          <t>Access to manpower labour</t>
        </is>
      </c>
      <c r="D652" t="inlineStr">
        <is>
          <t>Accès à la main-d'œuvre</t>
        </is>
      </c>
    </row>
    <row r="653">
      <c r="A653" t="inlineStr">
        <is>
          <t>lsproddiff</t>
        </is>
      </c>
      <c r="B653" t="inlineStr">
        <is>
          <t>other</t>
        </is>
      </c>
      <c r="C653" t="inlineStr">
        <is>
          <t>Other</t>
        </is>
      </c>
      <c r="D653" t="inlineStr">
        <is>
          <t>Autre</t>
        </is>
      </c>
    </row>
    <row r="654">
      <c r="A654" t="inlineStr">
        <is>
          <t>lsproddiff</t>
        </is>
      </c>
      <c r="B654" t="inlineStr">
        <is>
          <t>dk</t>
        </is>
      </c>
      <c r="C654" t="inlineStr">
        <is>
          <t>DON'T KNOW</t>
        </is>
      </c>
      <c r="D654" t="inlineStr">
        <is>
          <t>NE SAIT PAS</t>
        </is>
      </c>
    </row>
    <row r="655">
      <c r="A655" t="inlineStr">
        <is>
          <t>lsproddiff</t>
        </is>
      </c>
      <c r="B655" t="inlineStr">
        <is>
          <t>ref</t>
        </is>
      </c>
      <c r="C655" t="inlineStr">
        <is>
          <t>REFUSED</t>
        </is>
      </c>
      <c r="D655" t="inlineStr">
        <is>
          <t>REFUSÉ</t>
        </is>
      </c>
    </row>
    <row r="656"/>
    <row r="657">
      <c r="A657" t="inlineStr">
        <is>
          <t>lsmain2</t>
        </is>
      </c>
      <c r="B657" t="n">
        <v>1</v>
      </c>
      <c r="C657" t="inlineStr">
        <is>
          <t>Cattle [cow / beef / veal / yak / buffalo]</t>
        </is>
      </c>
      <c r="D657" t="inlineStr">
        <is>
          <t>Bovins [vache / bœuf / veau / yak / buffle]</t>
        </is>
      </c>
    </row>
    <row r="658">
      <c r="A658" t="inlineStr">
        <is>
          <t>lsmain2</t>
        </is>
      </c>
      <c r="B658" t="n">
        <v>2</v>
      </c>
      <c r="C658" t="inlineStr">
        <is>
          <t>Goat</t>
        </is>
      </c>
      <c r="D658" t="inlineStr">
        <is>
          <t>Chèvres</t>
        </is>
      </c>
    </row>
    <row r="659">
      <c r="A659" t="inlineStr">
        <is>
          <t>lsmain2</t>
        </is>
      </c>
      <c r="B659" t="n">
        <v>3</v>
      </c>
      <c r="C659" t="inlineStr">
        <is>
          <t>Sheep</t>
        </is>
      </c>
      <c r="D659" t="inlineStr">
        <is>
          <t>Moutons</t>
        </is>
      </c>
    </row>
    <row r="660">
      <c r="A660" t="inlineStr">
        <is>
          <t>lsmain2</t>
        </is>
      </c>
      <c r="B660" t="n">
        <v>4</v>
      </c>
      <c r="C660" t="inlineStr">
        <is>
          <t>Swine [swine / boar / hog / etc]</t>
        </is>
      </c>
      <c r="D660" t="inlineStr">
        <is>
          <t>Porcins [cochon / sanglier / porc / etc.]</t>
        </is>
      </c>
    </row>
    <row r="661">
      <c r="A661" t="inlineStr">
        <is>
          <t>lsmain2</t>
        </is>
      </c>
      <c r="B661" t="n">
        <v>5</v>
      </c>
      <c r="C661" t="inlineStr">
        <is>
          <t>Equine [donkey / horse / etc]</t>
        </is>
      </c>
      <c r="D661" t="inlineStr">
        <is>
          <t>Équidés [âne / cheval / etc]</t>
        </is>
      </c>
    </row>
    <row r="662">
      <c r="A662" t="inlineStr">
        <is>
          <t>lsmain2</t>
        </is>
      </c>
      <c r="B662" t="n">
        <v>6</v>
      </c>
      <c r="C662" t="inlineStr">
        <is>
          <t>Small domesticated mammals [rabbits / minks / guinea pigs / etc]</t>
        </is>
      </c>
      <c r="D662" t="inlineStr">
        <is>
          <t>Petits mammifères domestiques [lapins / visons / cochons d'Inde / etc.]</t>
        </is>
      </c>
    </row>
    <row r="663">
      <c r="A663" t="inlineStr">
        <is>
          <t>lsmain2</t>
        </is>
      </c>
      <c r="B663" t="n">
        <v>7</v>
      </c>
      <c r="C663" t="inlineStr">
        <is>
          <t>Poultry [chicken / guineafowl / duck / quail / turkey / etc]</t>
        </is>
      </c>
      <c r="D663" t="inlineStr">
        <is>
          <t>Volaille [poulets / pintades / canards / cailles / dindes / etc.]</t>
        </is>
      </c>
    </row>
    <row r="664">
      <c r="A664" t="inlineStr">
        <is>
          <t>lsmain2</t>
        </is>
      </c>
      <c r="B664" t="n">
        <v>8</v>
      </c>
      <c r="C664" t="inlineStr">
        <is>
          <t>Camelids</t>
        </is>
      </c>
      <c r="D664" t="inlineStr">
        <is>
          <t>Camélidés</t>
        </is>
      </c>
    </row>
    <row r="665">
      <c r="A665" t="inlineStr">
        <is>
          <t>lsmain2</t>
        </is>
      </c>
      <c r="B665" t="n">
        <v>9</v>
      </c>
      <c r="C665" t="inlineStr">
        <is>
          <t>Other</t>
        </is>
      </c>
      <c r="D665" t="inlineStr">
        <is>
          <t>Autre</t>
        </is>
      </c>
    </row>
    <row r="666">
      <c r="A666" t="inlineStr">
        <is>
          <t>lsmain2</t>
        </is>
      </c>
      <c r="B666" t="n">
        <v>666</v>
      </c>
      <c r="C666" t="inlineStr">
        <is>
          <t>No other livestock</t>
        </is>
      </c>
      <c r="D666" t="inlineStr">
        <is>
          <t>Pas d'autre bétail</t>
        </is>
      </c>
    </row>
    <row r="667">
      <c r="A667" t="inlineStr">
        <is>
          <t>lsmain2</t>
        </is>
      </c>
      <c r="B667" t="n">
        <v>10</v>
      </c>
      <c r="C667" t="inlineStr">
        <is>
          <t>DON'T KNOW</t>
        </is>
      </c>
      <c r="D667" t="inlineStr">
        <is>
          <t>NE SAIT PAS</t>
        </is>
      </c>
    </row>
    <row r="668">
      <c r="A668" t="inlineStr">
        <is>
          <t>lsmain2</t>
        </is>
      </c>
      <c r="B668" t="n">
        <v>11</v>
      </c>
      <c r="C668" t="inlineStr">
        <is>
          <t>REFUSED</t>
        </is>
      </c>
      <c r="D668" t="inlineStr">
        <is>
          <t>REFUSÉ</t>
        </is>
      </c>
    </row>
    <row r="669"/>
    <row r="670">
      <c r="A670" t="inlineStr">
        <is>
          <t>salesmain</t>
        </is>
      </c>
      <c r="B670" t="n">
        <v>1</v>
      </c>
      <c r="C670" t="inlineStr">
        <is>
          <t>Cattle [cow / beef / veal / yak / buffalo]</t>
        </is>
      </c>
      <c r="D670" t="inlineStr">
        <is>
          <t>Bovins [vache / bœuf / veau / yak / buffle]</t>
        </is>
      </c>
    </row>
    <row r="671">
      <c r="A671" t="inlineStr">
        <is>
          <t>salesmain</t>
        </is>
      </c>
      <c r="B671" t="n">
        <v>2</v>
      </c>
      <c r="C671" t="inlineStr">
        <is>
          <t>Goat</t>
        </is>
      </c>
      <c r="D671" t="inlineStr">
        <is>
          <t>Chèvres</t>
        </is>
      </c>
    </row>
    <row r="672">
      <c r="A672" t="inlineStr">
        <is>
          <t>salesmain</t>
        </is>
      </c>
      <c r="B672" t="n">
        <v>3</v>
      </c>
      <c r="C672" t="inlineStr">
        <is>
          <t>Sheep</t>
        </is>
      </c>
      <c r="D672" t="inlineStr">
        <is>
          <t>Moutons</t>
        </is>
      </c>
    </row>
    <row r="673">
      <c r="A673" t="inlineStr">
        <is>
          <t>salesmain</t>
        </is>
      </c>
      <c r="B673" t="n">
        <v>4</v>
      </c>
      <c r="C673" t="inlineStr">
        <is>
          <t>Swine [swine / boar / hog / etc]</t>
        </is>
      </c>
      <c r="D673" t="inlineStr">
        <is>
          <t>Porcins [cochon / sanglier / porc / etc.]</t>
        </is>
      </c>
    </row>
    <row r="674">
      <c r="A674" t="inlineStr">
        <is>
          <t>salesmain</t>
        </is>
      </c>
      <c r="B674" t="n">
        <v>5</v>
      </c>
      <c r="C674" t="inlineStr">
        <is>
          <t>Equine [donkey / horse / etc.]</t>
        </is>
      </c>
      <c r="D674" t="inlineStr">
        <is>
          <t>Équidés [âne / cheval / etc]</t>
        </is>
      </c>
    </row>
    <row r="675">
      <c r="A675" t="inlineStr">
        <is>
          <t>salesmain</t>
        </is>
      </c>
      <c r="B675" t="n">
        <v>6</v>
      </c>
      <c r="C675" t="inlineStr">
        <is>
          <t>Small domesticated mammals [rabbits / minks / guinea pigs / etc]</t>
        </is>
      </c>
      <c r="D675" t="inlineStr">
        <is>
          <t>Petits mammifères domestiques [lapins / visons / cochons d'Inde / etc.]</t>
        </is>
      </c>
    </row>
    <row r="676">
      <c r="A676" t="inlineStr">
        <is>
          <t>salesmain</t>
        </is>
      </c>
      <c r="B676" t="n">
        <v>7</v>
      </c>
      <c r="C676" t="inlineStr">
        <is>
          <t>Poultry [chicken / guineafowl / duck / quail / turkey / etc.]</t>
        </is>
      </c>
      <c r="D676" t="inlineStr">
        <is>
          <t>Volaille [poulets / pintades / canards / cailles / dindes / etc.]</t>
        </is>
      </c>
    </row>
    <row r="677">
      <c r="A677" t="inlineStr">
        <is>
          <t>salesmain</t>
        </is>
      </c>
      <c r="B677" t="n">
        <v>8</v>
      </c>
      <c r="C677" t="inlineStr">
        <is>
          <t>Camelids</t>
        </is>
      </c>
      <c r="D677" t="inlineStr">
        <is>
          <t>Camélidés</t>
        </is>
      </c>
    </row>
    <row r="678">
      <c r="A678" t="inlineStr">
        <is>
          <t>salesmain</t>
        </is>
      </c>
      <c r="B678" t="n">
        <v>9</v>
      </c>
      <c r="C678" t="inlineStr">
        <is>
          <t>Eggs</t>
        </is>
      </c>
      <c r="D678" t="inlineStr">
        <is>
          <t>Œufs</t>
        </is>
      </c>
    </row>
    <row r="679">
      <c r="A679" t="inlineStr">
        <is>
          <t>salesmain</t>
        </is>
      </c>
      <c r="B679" t="n">
        <v>10</v>
      </c>
      <c r="C679" t="inlineStr">
        <is>
          <t>Milk or dairy products</t>
        </is>
      </c>
      <c r="D679" t="inlineStr">
        <is>
          <t>Lait ou produits laitiers</t>
        </is>
      </c>
    </row>
    <row r="680">
      <c r="A680" t="inlineStr">
        <is>
          <t>salesmain</t>
        </is>
      </c>
      <c r="B680" t="n">
        <v>11</v>
      </c>
      <c r="C680" t="inlineStr">
        <is>
          <t>Skin or leather or wool</t>
        </is>
      </c>
      <c r="D680" t="inlineStr">
        <is>
          <t>Peau, cuir ou laine</t>
        </is>
      </c>
    </row>
    <row r="681">
      <c r="A681" t="inlineStr">
        <is>
          <t>salesmain</t>
        </is>
      </c>
      <c r="B681" t="n">
        <v>12</v>
      </c>
      <c r="C681" t="inlineStr">
        <is>
          <t>DON'T KNOW</t>
        </is>
      </c>
      <c r="D681" t="inlineStr">
        <is>
          <t>NE SAIT PAS</t>
        </is>
      </c>
    </row>
    <row r="682">
      <c r="A682" t="inlineStr">
        <is>
          <t>salesmain</t>
        </is>
      </c>
      <c r="B682" t="n">
        <v>13</v>
      </c>
      <c r="C682" t="inlineStr">
        <is>
          <t>REFUSED</t>
        </is>
      </c>
      <c r="D682" t="inlineStr">
        <is>
          <t>REFUSÉ</t>
        </is>
      </c>
    </row>
    <row r="683"/>
    <row r="684" ht="16.25" customHeight="1">
      <c r="A684" t="inlineStr">
        <is>
          <t>lssalesdif</t>
        </is>
      </c>
      <c r="B684" t="inlineStr">
        <is>
          <t>marketing_cost</t>
        </is>
      </c>
      <c r="C684" t="inlineStr">
        <is>
          <t>High transportation or other marketing costs</t>
        </is>
      </c>
      <c r="D684" t="inlineStr">
        <is>
          <t>Coûts de transport ou autres coûts de commercialisation élevés</t>
        </is>
      </c>
    </row>
    <row r="685" ht="16.25" customHeight="1">
      <c r="A685" t="inlineStr">
        <is>
          <t>lssalesdif</t>
        </is>
      </c>
      <c r="B685" t="inlineStr">
        <is>
          <t>damage_losses</t>
        </is>
      </c>
      <c r="C685" t="inlineStr">
        <is>
          <t xml:space="preserve">Damage and losses during transportation or difficulty accessing the market </t>
        </is>
      </c>
      <c r="D685" t="inlineStr">
        <is>
          <t>Dommages et pertes pendant le transport ou difficulté d'accès au marché</t>
        </is>
      </c>
    </row>
    <row r="686" ht="16.25" customHeight="1">
      <c r="A686" t="inlineStr">
        <is>
          <t>lssalesdif</t>
        </is>
      </c>
      <c r="B686" t="inlineStr">
        <is>
          <t>low_demand</t>
        </is>
      </c>
      <c r="C686" t="inlineStr">
        <is>
          <t>Lack of demand from usual traders or buyers</t>
        </is>
      </c>
      <c r="D686" t="inlineStr">
        <is>
          <t>Baisse de la demande des commerçants ou clients habituels</t>
        </is>
      </c>
    </row>
    <row r="687" ht="16.25" customHeight="1">
      <c r="A687" t="inlineStr">
        <is>
          <t>lssalesdif</t>
        </is>
      </c>
      <c r="B687" t="inlineStr">
        <is>
          <t>pay_delay</t>
        </is>
      </c>
      <c r="C687" t="inlineStr">
        <is>
          <t>Payment delays from traders / buyers</t>
        </is>
      </c>
      <c r="D687" t="inlineStr">
        <is>
          <t>Retards de paiement de la part des négociants/acheteurs</t>
        </is>
      </c>
    </row>
    <row r="688" ht="16.25" customHeight="1">
      <c r="A688" t="inlineStr">
        <is>
          <t>lssalesdif</t>
        </is>
      </c>
      <c r="B688" t="inlineStr">
        <is>
          <t>low_price</t>
        </is>
      </c>
      <c r="C688" t="inlineStr">
        <is>
          <t>Low selling prices [e.g. compared to input prices / inflation]</t>
        </is>
      </c>
      <c r="D688" t="inlineStr">
        <is>
          <t>Faibles prix de vente [par exemple, par rapport aux prix des intrants / inflation]</t>
        </is>
      </c>
    </row>
    <row r="689" ht="16.25" customHeight="1">
      <c r="A689" t="inlineStr">
        <is>
          <t>lssalesdif</t>
        </is>
      </c>
      <c r="B689" t="inlineStr">
        <is>
          <t>slaughterhouse</t>
        </is>
      </c>
      <c r="C689" t="inlineStr">
        <is>
          <t>Closure of slaughterhouses or difficulties accessing slaughterhouses</t>
        </is>
      </c>
      <c r="D689" t="inlineStr">
        <is>
          <t>Fermeture des abattoirs ou difficultés d'accès aux abattoirs</t>
        </is>
      </c>
    </row>
    <row r="690" ht="16.25" customHeight="1">
      <c r="A690" t="inlineStr">
        <is>
          <t>lssalesdif</t>
        </is>
      </c>
      <c r="B690" t="inlineStr">
        <is>
          <t>processing</t>
        </is>
      </c>
      <c r="C690" t="inlineStr">
        <is>
          <t>Difficulties processing product other than closure of slaughterhouse [lack of access to processing inputs / equipment / etc]</t>
        </is>
      </c>
      <c r="D690" t="inlineStr">
        <is>
          <t>Difficultés de transformation du produit autres que la fermeture des abattoirs [manque d'accès aux intrants de transformation / aux équipements / etc.]</t>
        </is>
      </c>
    </row>
    <row r="691" ht="16.25" customHeight="1">
      <c r="A691" t="inlineStr">
        <is>
          <t>lssalesdif</t>
        </is>
      </c>
      <c r="B691" t="inlineStr">
        <is>
          <t>competition</t>
        </is>
      </c>
      <c r="C691" t="inlineStr">
        <is>
          <t>Market flooded with products</t>
        </is>
      </c>
      <c r="D691" t="inlineStr">
        <is>
          <t>Marchés saturés</t>
        </is>
      </c>
    </row>
    <row r="692" ht="16.25" customHeight="1">
      <c r="A692" t="inlineStr">
        <is>
          <t>lssalesdif</t>
        </is>
      </c>
      <c r="B692" t="inlineStr">
        <is>
          <t>other</t>
        </is>
      </c>
      <c r="C692" t="inlineStr">
        <is>
          <t>Other</t>
        </is>
      </c>
      <c r="D692" t="inlineStr">
        <is>
          <t>Autre</t>
        </is>
      </c>
    </row>
    <row r="693" ht="16.25" customHeight="1">
      <c r="A693" t="inlineStr">
        <is>
          <t>lssalesdif</t>
        </is>
      </c>
      <c r="B693" t="inlineStr">
        <is>
          <t>dk</t>
        </is>
      </c>
      <c r="C693" t="inlineStr">
        <is>
          <t>DON'T KNOW</t>
        </is>
      </c>
      <c r="D693" t="inlineStr">
        <is>
          <t>NE SAIT PAS</t>
        </is>
      </c>
    </row>
    <row r="694" ht="16.25" customHeight="1">
      <c r="A694" t="inlineStr">
        <is>
          <t>lssalesdif</t>
        </is>
      </c>
      <c r="B694" t="inlineStr">
        <is>
          <t>ref</t>
        </is>
      </c>
      <c r="C694" t="inlineStr">
        <is>
          <t>REFUSED</t>
        </is>
      </c>
      <c r="D694" t="inlineStr">
        <is>
          <t>REFUSÉ</t>
        </is>
      </c>
    </row>
    <row r="695" ht="16.25" customHeight="1"/>
    <row r="696">
      <c r="A696" t="inlineStr">
        <is>
          <t>fishactivity</t>
        </is>
      </c>
      <c r="B696" t="inlineStr">
        <is>
          <t>coastal</t>
        </is>
      </c>
      <c r="C696" t="inlineStr">
        <is>
          <t>Near coastal, delta, lagoon fishing</t>
        </is>
      </c>
      <c r="D696" t="inlineStr">
        <is>
          <t>Pêche côtière, dans les deltas ou les lagunes</t>
        </is>
      </c>
    </row>
    <row r="697">
      <c r="A697" t="inlineStr">
        <is>
          <t>fishactivity</t>
        </is>
      </c>
      <c r="B697" t="inlineStr">
        <is>
          <t>offshore_sea</t>
        </is>
      </c>
      <c r="C697" t="inlineStr">
        <is>
          <t>Offshore sea fishing</t>
        </is>
      </c>
      <c r="D697" t="inlineStr">
        <is>
          <t>Pêche en haute mer</t>
        </is>
      </c>
    </row>
    <row r="698">
      <c r="A698" t="inlineStr">
        <is>
          <t>fishactivity</t>
        </is>
      </c>
      <c r="B698" t="inlineStr">
        <is>
          <t>freshwater</t>
        </is>
      </c>
      <c r="C698" t="inlineStr">
        <is>
          <t>Freshwater fishing [in lakes, reservoirs, ponds, rivers, or wetlands]</t>
        </is>
      </c>
      <c r="D698" t="inlineStr">
        <is>
          <t>Pêche en eau douce [lacs, réservoirs, étangs, rivières ou zones humides]</t>
        </is>
      </c>
    </row>
    <row r="699">
      <c r="A699" t="inlineStr">
        <is>
          <t>fishactivity</t>
        </is>
      </c>
      <c r="B699" t="inlineStr">
        <is>
          <t>aquaculture</t>
        </is>
      </c>
      <c r="C699" t="inlineStr">
        <is>
          <t>Aquaculture</t>
        </is>
      </c>
      <c r="D699" t="inlineStr">
        <is>
          <t>Aquaculture</t>
        </is>
      </c>
    </row>
    <row r="700">
      <c r="A700" t="inlineStr">
        <is>
          <t>fishactivity</t>
        </is>
      </c>
      <c r="B700" t="inlineStr">
        <is>
          <t>dk</t>
        </is>
      </c>
      <c r="C700" t="inlineStr">
        <is>
          <t>DON'T KNOW</t>
        </is>
      </c>
      <c r="D700" t="inlineStr">
        <is>
          <t>NE SAIT PAS</t>
        </is>
      </c>
    </row>
    <row r="701">
      <c r="A701" t="inlineStr">
        <is>
          <t>fishactivity</t>
        </is>
      </c>
      <c r="B701" t="inlineStr">
        <is>
          <t>ref</t>
        </is>
      </c>
      <c r="C701" t="inlineStr">
        <is>
          <t>REFUSED</t>
        </is>
      </c>
      <c r="D701" t="inlineStr">
        <is>
          <t>REFUSÉ</t>
        </is>
      </c>
    </row>
    <row r="702"/>
    <row r="703">
      <c r="A703" t="inlineStr">
        <is>
          <t>fishproddiff</t>
        </is>
      </c>
      <c r="B703" t="inlineStr">
        <is>
          <t>find_fish</t>
        </is>
      </c>
      <c r="C703" t="inlineStr">
        <is>
          <t>Fish is more difficult to find than in previous years in the same season [fishing]</t>
        </is>
      </c>
      <c r="D703" t="inlineStr">
        <is>
          <t>Le poisson est plus difficile à trouver que les années précédentes à la même saison [pêche]</t>
        </is>
      </c>
    </row>
    <row r="704">
      <c r="A704" t="inlineStr">
        <is>
          <t>fishproddiff</t>
        </is>
      </c>
      <c r="B704" t="inlineStr">
        <is>
          <t>pests</t>
        </is>
      </c>
      <c r="C704" t="inlineStr">
        <is>
          <t>Fish pests and diseases [aquaculture]</t>
        </is>
      </c>
      <c r="D704" t="inlineStr">
        <is>
          <t>Parasites et maladies des poissons [aquaculture]</t>
        </is>
      </c>
    </row>
    <row r="705">
      <c r="A705" t="inlineStr">
        <is>
          <t>fishproddiff</t>
        </is>
      </c>
      <c r="B705" t="inlineStr">
        <is>
          <t>access_area</t>
        </is>
      </c>
      <c r="C705" t="inlineStr">
        <is>
          <t>Access to fishing or aquaculture area [e.g. due to weather conditions]</t>
        </is>
      </c>
      <c r="D705" t="inlineStr">
        <is>
          <t>Accès aux zones de pêche ou d'aquaculture [par exemple, en raison des conditions météorologiques ou sécuritaires].</t>
        </is>
      </c>
    </row>
    <row r="706">
      <c r="A706" t="inlineStr">
        <is>
          <t>fishproddiff</t>
        </is>
      </c>
      <c r="B706" t="inlineStr">
        <is>
          <t>fuel</t>
        </is>
      </c>
      <c r="C706" t="inlineStr">
        <is>
          <t>Access to fuel [prices higher or not available]</t>
        </is>
      </c>
      <c r="D706" t="inlineStr">
        <is>
          <t>Accès au carburant [trop cher ou non disponible]</t>
        </is>
      </c>
    </row>
    <row r="707">
      <c r="A707" t="inlineStr">
        <is>
          <t>fishproddiff</t>
        </is>
      </c>
      <c r="B707" t="inlineStr">
        <is>
          <t>input_access</t>
        </is>
      </c>
      <c r="C707" t="inlineStr">
        <is>
          <t>Access to other fishing or culture inputs [prices higher or not available]</t>
        </is>
      </c>
      <c r="D707" t="inlineStr">
        <is>
          <t>Accès à d'autres intrants de pêche ou de culture [trop chers ou non disponibles]</t>
        </is>
      </c>
    </row>
    <row r="708">
      <c r="A708" t="inlineStr">
        <is>
          <t>fishproddiff</t>
        </is>
      </c>
      <c r="B708" t="inlineStr">
        <is>
          <t>labour</t>
        </is>
      </c>
      <c r="C708" t="inlineStr">
        <is>
          <t>Access to labour or crew labour [prices higher or not available]</t>
        </is>
      </c>
      <c r="D708" t="inlineStr">
        <is>
          <t>Accès à la main-d'œuvre ou aux équipages [trop chers ou non disponibles]</t>
        </is>
      </c>
    </row>
    <row r="709">
      <c r="A709" t="inlineStr">
        <is>
          <t>fishproddiff</t>
        </is>
      </c>
      <c r="B709" t="inlineStr">
        <is>
          <t>infrastructure</t>
        </is>
      </c>
      <c r="C709" t="inlineStr">
        <is>
          <t>Damage or destruction of infrastructure [ponds, cages, ports, landing sites]</t>
        </is>
      </c>
      <c r="D709" t="inlineStr">
        <is>
          <t>Dommages ou destruction des infrastructures [étangs, cages, ports, sites de débarquement]</t>
        </is>
      </c>
    </row>
    <row r="710">
      <c r="A710" t="inlineStr">
        <is>
          <t>fishproddiff</t>
        </is>
      </c>
      <c r="B710" t="inlineStr">
        <is>
          <t>damage_equip</t>
        </is>
      </c>
      <c r="C710" t="inlineStr">
        <is>
          <t>Damage or destruction of boats or gears</t>
        </is>
      </c>
      <c r="D710" t="inlineStr">
        <is>
          <t>Dommages ou destruction des bateaux ou du matériel de pêche</t>
        </is>
      </c>
    </row>
    <row r="711">
      <c r="A711" t="inlineStr">
        <is>
          <t>fishproddiff</t>
        </is>
      </c>
      <c r="B711" t="inlineStr">
        <is>
          <t>other</t>
        </is>
      </c>
      <c r="C711" t="inlineStr">
        <is>
          <t>Other [specify]</t>
        </is>
      </c>
      <c r="D711" t="inlineStr">
        <is>
          <t>Autre [spécifiez]</t>
        </is>
      </c>
    </row>
    <row r="712">
      <c r="A712" t="inlineStr">
        <is>
          <t>fishproddiff</t>
        </is>
      </c>
      <c r="B712" t="inlineStr">
        <is>
          <t>dk</t>
        </is>
      </c>
      <c r="C712" t="inlineStr">
        <is>
          <t>DON'T KNOW</t>
        </is>
      </c>
      <c r="D712" t="inlineStr">
        <is>
          <t>NE SAIT PAS</t>
        </is>
      </c>
    </row>
    <row r="713">
      <c r="A713" t="inlineStr">
        <is>
          <t>fishproddiff</t>
        </is>
      </c>
      <c r="B713" t="inlineStr">
        <is>
          <t>ref</t>
        </is>
      </c>
      <c r="C713" t="inlineStr">
        <is>
          <t>REFUSED</t>
        </is>
      </c>
      <c r="D713" t="inlineStr">
        <is>
          <t>REFUSÉ</t>
        </is>
      </c>
    </row>
    <row r="714"/>
    <row r="715" customFormat="1" s="14">
      <c r="A715" t="inlineStr">
        <is>
          <t>fishinput</t>
        </is>
      </c>
      <c r="B715" t="inlineStr">
        <is>
          <t>bait_feed</t>
        </is>
      </c>
      <c r="C715" t="inlineStr">
        <is>
          <t>Feed or bait</t>
        </is>
      </c>
      <c r="D715" t="inlineStr">
        <is>
          <t>Aliments ou appâts</t>
        </is>
      </c>
    </row>
    <row r="716" customFormat="1" s="14">
      <c r="A716" t="inlineStr">
        <is>
          <t>fishinput</t>
        </is>
      </c>
      <c r="B716" t="inlineStr">
        <is>
          <t>fingerling</t>
        </is>
      </c>
      <c r="C716" t="inlineStr">
        <is>
          <t>Fingerling</t>
        </is>
      </c>
      <c r="D716" t="inlineStr">
        <is>
          <t>Alevins</t>
        </is>
      </c>
    </row>
    <row r="717" customFormat="1" s="14">
      <c r="A717" t="inlineStr">
        <is>
          <t>fishinput</t>
        </is>
      </c>
      <c r="B717" t="inlineStr">
        <is>
          <t>gear</t>
        </is>
      </c>
      <c r="C717" t="inlineStr">
        <is>
          <t>Fishing gear [e.g. rods, hooks, nets]</t>
        </is>
      </c>
      <c r="D717" t="inlineStr">
        <is>
          <t>Matériel de pêche [par exemple, cannes à pêche, hameçons, filets]</t>
        </is>
      </c>
    </row>
    <row r="718" customFormat="1" s="14">
      <c r="A718" t="inlineStr">
        <is>
          <t>fishinput</t>
        </is>
      </c>
      <c r="B718" t="inlineStr">
        <is>
          <t>ice</t>
        </is>
      </c>
      <c r="C718" t="inlineStr">
        <is>
          <t>Ice</t>
        </is>
      </c>
      <c r="D718" t="inlineStr">
        <is>
          <t>Glace</t>
        </is>
      </c>
    </row>
    <row r="719" customFormat="1" s="14">
      <c r="A719" t="inlineStr">
        <is>
          <t>fishinput</t>
        </is>
      </c>
      <c r="B719" t="inlineStr">
        <is>
          <t>fuel</t>
        </is>
      </c>
      <c r="C719" t="inlineStr">
        <is>
          <t>Fuel</t>
        </is>
      </c>
      <c r="D719" t="inlineStr">
        <is>
          <t>Carburant</t>
        </is>
      </c>
    </row>
    <row r="720" customFormat="1" s="14">
      <c r="A720" t="inlineStr">
        <is>
          <t>fishinput</t>
        </is>
      </c>
      <c r="B720" t="inlineStr">
        <is>
          <t>boatrepairs</t>
        </is>
      </c>
      <c r="C720" t="inlineStr">
        <is>
          <t>Equipment repairs [including boats] or spare parts</t>
        </is>
      </c>
      <c r="D720" t="inlineStr">
        <is>
          <t>Réparation de l'équipement [y compris bateaux] ou pièces de rechange</t>
        </is>
      </c>
    </row>
    <row r="721" customFormat="1" s="14">
      <c r="A721" t="inlineStr">
        <is>
          <t>fishinput</t>
        </is>
      </c>
      <c r="B721" t="inlineStr">
        <is>
          <t>labour</t>
        </is>
      </c>
      <c r="C721" t="inlineStr">
        <is>
          <t>Labour</t>
        </is>
      </c>
      <c r="D721" t="inlineStr">
        <is>
          <t>Main d'oeuvre</t>
        </is>
      </c>
    </row>
    <row r="722" customFormat="1" s="14">
      <c r="A722" t="inlineStr">
        <is>
          <t>fishinput</t>
        </is>
      </c>
      <c r="B722" t="inlineStr">
        <is>
          <t>other</t>
        </is>
      </c>
      <c r="C722" t="inlineStr">
        <is>
          <t>Other [specify]</t>
        </is>
      </c>
      <c r="D722" t="inlineStr">
        <is>
          <t>Autre [préciser]</t>
        </is>
      </c>
    </row>
    <row r="723" customFormat="1" s="14">
      <c r="A723" t="inlineStr">
        <is>
          <t>fishinput</t>
        </is>
      </c>
      <c r="B723" t="inlineStr">
        <is>
          <t>dk</t>
        </is>
      </c>
      <c r="C723" t="inlineStr">
        <is>
          <t>DON'T KNOW</t>
        </is>
      </c>
      <c r="D723" t="inlineStr">
        <is>
          <t>NE SAIT PAS</t>
        </is>
      </c>
    </row>
    <row r="724" customFormat="1" s="14">
      <c r="A724" t="inlineStr">
        <is>
          <t>fishinput</t>
        </is>
      </c>
      <c r="B724" t="inlineStr">
        <is>
          <t>ref</t>
        </is>
      </c>
      <c r="C724" t="inlineStr">
        <is>
          <t>REFUSED</t>
        </is>
      </c>
      <c r="D724" t="inlineStr">
        <is>
          <t>REFUSÉ</t>
        </is>
      </c>
    </row>
    <row r="725"/>
    <row r="726">
      <c r="A726" t="inlineStr">
        <is>
          <t>fishsales</t>
        </is>
      </c>
      <c r="B726" t="n">
        <v>1</v>
      </c>
      <c r="C726" t="inlineStr">
        <is>
          <t>Fresh product [any kind, including invertebrates]</t>
        </is>
      </c>
      <c r="D726" t="inlineStr">
        <is>
          <t>Produit frais [toutes sortes, y compris invertébrés]</t>
        </is>
      </c>
    </row>
    <row r="727">
      <c r="A727" t="inlineStr">
        <is>
          <t>fishsales</t>
        </is>
      </c>
      <c r="B727" t="n">
        <v>2</v>
      </c>
      <c r="C727" t="inlineStr">
        <is>
          <t>Preserved product [including dry, smoked, fermented, salted]</t>
        </is>
      </c>
      <c r="D727" t="inlineStr">
        <is>
          <t>Produit conservé [y compris poisson séché, fumé, fermenté, salé]</t>
        </is>
      </c>
    </row>
    <row r="728">
      <c r="A728" t="inlineStr">
        <is>
          <t>fishsales</t>
        </is>
      </c>
      <c r="B728" t="n">
        <v>3</v>
      </c>
      <c r="C728" t="inlineStr">
        <is>
          <t>Frozen product</t>
        </is>
      </c>
      <c r="D728" t="inlineStr">
        <is>
          <t>Produit congelé</t>
        </is>
      </c>
    </row>
    <row r="729">
      <c r="A729" t="inlineStr">
        <is>
          <t>fishsales</t>
        </is>
      </c>
      <c r="B729" t="n">
        <v>4</v>
      </c>
      <c r="C729" t="inlineStr">
        <is>
          <t>Canned product</t>
        </is>
      </c>
      <c r="D729" t="inlineStr">
        <is>
          <t>Produit en conserve</t>
        </is>
      </c>
    </row>
    <row r="730">
      <c r="A730" t="inlineStr">
        <is>
          <t>fishsales</t>
        </is>
      </c>
      <c r="B730" t="n">
        <v>5</v>
      </c>
      <c r="C730" t="inlineStr">
        <is>
          <t>Other [specify]</t>
        </is>
      </c>
      <c r="D730" t="inlineStr">
        <is>
          <t>Autre [préciser]</t>
        </is>
      </c>
    </row>
    <row r="731">
      <c r="A731" t="inlineStr">
        <is>
          <t>fishsales</t>
        </is>
      </c>
      <c r="B731" t="n">
        <v>6</v>
      </c>
      <c r="C731" t="inlineStr">
        <is>
          <t>DON'T KNOW</t>
        </is>
      </c>
      <c r="D731" t="inlineStr">
        <is>
          <t>NE SAIT PAS</t>
        </is>
      </c>
    </row>
    <row r="732">
      <c r="A732" t="inlineStr">
        <is>
          <t>fishsales</t>
        </is>
      </c>
      <c r="B732" t="n">
        <v>7</v>
      </c>
      <c r="C732" t="inlineStr">
        <is>
          <t>REFUSED</t>
        </is>
      </c>
      <c r="D732" t="inlineStr">
        <is>
          <t>REFUSÉ</t>
        </is>
      </c>
    </row>
    <row r="733"/>
    <row r="734">
      <c r="A734" t="inlineStr">
        <is>
          <t>fishsalesdif</t>
        </is>
      </c>
      <c r="B734" t="inlineStr">
        <is>
          <t>marketing_cost</t>
        </is>
      </c>
      <c r="C734" t="inlineStr">
        <is>
          <t>High transportation or other marketing costs</t>
        </is>
      </c>
      <c r="D734" t="inlineStr">
        <is>
          <t>Coûts de transport ou autres coûts de commercialisation élevés</t>
        </is>
      </c>
    </row>
    <row r="735">
      <c r="A735" t="inlineStr">
        <is>
          <t>fishsalesdif</t>
        </is>
      </c>
      <c r="B735" t="inlineStr">
        <is>
          <t>damage_losses</t>
        </is>
      </c>
      <c r="C735" t="inlineStr">
        <is>
          <t>Deterioration and losses due to storage difficulties or delays or inability to physically access markets</t>
        </is>
      </c>
      <c r="D735" t="inlineStr">
        <is>
          <t>Dommages et pertes dues à des difficultés ou des retards de stockage ou à l'impossibilité d'accéder physiquement aux marchés</t>
        </is>
      </c>
    </row>
    <row r="736">
      <c r="A736" t="inlineStr">
        <is>
          <t>fishsalesdif</t>
        </is>
      </c>
      <c r="B736" t="inlineStr">
        <is>
          <t>low_demand</t>
        </is>
      </c>
      <c r="C736" t="inlineStr">
        <is>
          <t>Lack of demand from usual buyers/traders</t>
        </is>
      </c>
      <c r="D736" t="inlineStr">
        <is>
          <t>Baisse de la demande des commerçants/clients habituels</t>
        </is>
      </c>
    </row>
    <row r="737">
      <c r="A737" t="inlineStr">
        <is>
          <t>fishsalesdif</t>
        </is>
      </c>
      <c r="B737" t="inlineStr">
        <is>
          <t>pay_delay</t>
        </is>
      </c>
      <c r="C737" t="inlineStr">
        <is>
          <t xml:space="preserve">Payment delays from traders/buyers </t>
        </is>
      </c>
      <c r="D737" t="inlineStr">
        <is>
          <t>Retards de paiement de la part des négociants/acheteurs</t>
        </is>
      </c>
    </row>
    <row r="738">
      <c r="A738" t="inlineStr">
        <is>
          <t>fishsalesdif</t>
        </is>
      </c>
      <c r="B738" t="inlineStr">
        <is>
          <t>low_prices</t>
        </is>
      </c>
      <c r="C738" t="inlineStr">
        <is>
          <t>Low selling prices [e.g. compared to input prices / inflation]</t>
        </is>
      </c>
      <c r="D738" t="inlineStr">
        <is>
          <t>Faibles prix de vente [par exemple, par rapport aux prix des intrants / inflation]</t>
        </is>
      </c>
    </row>
    <row r="739">
      <c r="A739" t="inlineStr">
        <is>
          <t>fishsalesdif</t>
        </is>
      </c>
      <c r="B739" t="inlineStr">
        <is>
          <t>processing</t>
        </is>
      </c>
      <c r="C739" t="inlineStr">
        <is>
          <t>Difficulties processing product [lack of access to processing inputs / equipment / etc]</t>
        </is>
      </c>
      <c r="D739" t="inlineStr">
        <is>
          <t>Difficultés de transformation du produit [manque d'accès aux intrants de transformation / équipements / etc.]</t>
        </is>
      </c>
    </row>
    <row r="740">
      <c r="A740" t="inlineStr">
        <is>
          <t>fishsalesdif</t>
        </is>
      </c>
      <c r="B740" t="inlineStr">
        <is>
          <t>competition</t>
        </is>
      </c>
      <c r="C740" t="inlineStr">
        <is>
          <t>Market flooded with product</t>
        </is>
      </c>
      <c r="D740" t="inlineStr">
        <is>
          <t>Marchés saturés</t>
        </is>
      </c>
    </row>
    <row r="741">
      <c r="A741" t="inlineStr">
        <is>
          <t>fishsalesdif</t>
        </is>
      </c>
      <c r="B741" t="inlineStr">
        <is>
          <t>other</t>
        </is>
      </c>
      <c r="C741" t="inlineStr">
        <is>
          <t>Other</t>
        </is>
      </c>
      <c r="D741" t="inlineStr">
        <is>
          <t>Autre</t>
        </is>
      </c>
    </row>
    <row r="742">
      <c r="A742" t="inlineStr">
        <is>
          <t>fishsalesdif</t>
        </is>
      </c>
      <c r="B742" t="inlineStr">
        <is>
          <t>dk</t>
        </is>
      </c>
      <c r="C742" t="inlineStr">
        <is>
          <t>DON'T KNOW</t>
        </is>
      </c>
      <c r="D742" t="inlineStr">
        <is>
          <t>NE SAIT PAS</t>
        </is>
      </c>
    </row>
    <row r="743">
      <c r="A743" t="inlineStr">
        <is>
          <t>fishsalesdif</t>
        </is>
      </c>
      <c r="B743" t="inlineStr">
        <is>
          <t>ref</t>
        </is>
      </c>
      <c r="C743" t="inlineStr">
        <is>
          <t>REFUSED</t>
        </is>
      </c>
      <c r="D743" t="inlineStr">
        <is>
          <t>REFUSÉ</t>
        </is>
      </c>
    </row>
    <row r="744"/>
    <row r="745">
      <c r="A745" t="inlineStr">
        <is>
          <t>frequency</t>
        </is>
      </c>
      <c r="B745" t="n">
        <v>1</v>
      </c>
      <c r="C745" t="inlineStr">
        <is>
          <t>Rarely (1-2 times in the past 30 days)</t>
        </is>
      </c>
      <c r="D745" t="inlineStr">
        <is>
          <t>Rarement [1 ou 2 fois au cours des 30 derniers jours]</t>
        </is>
      </c>
    </row>
    <row r="746">
      <c r="A746" t="inlineStr">
        <is>
          <t>frequency</t>
        </is>
      </c>
      <c r="B746" t="n">
        <v>2</v>
      </c>
      <c r="C746" t="inlineStr">
        <is>
          <t>Sometimes (3-10 times in the past 30 days)</t>
        </is>
      </c>
      <c r="D746" t="inlineStr">
        <is>
          <t>Parfois [entre 3 et 10 fois au cours des 30 derniers jours]</t>
        </is>
      </c>
    </row>
    <row r="747">
      <c r="A747" t="inlineStr">
        <is>
          <t>frequency</t>
        </is>
      </c>
      <c r="B747" t="n">
        <v>3</v>
      </c>
      <c r="C747" t="inlineStr">
        <is>
          <t>Often (more than 10 times in the last 30 days)</t>
        </is>
      </c>
      <c r="D747" t="inlineStr">
        <is>
          <t>Souvent [plus de 10 fois au cours des 30 derniers jours]</t>
        </is>
      </c>
    </row>
    <row r="748">
      <c r="A748" t="inlineStr">
        <is>
          <t>frequency</t>
        </is>
      </c>
      <c r="B748" t="n">
        <v>4</v>
      </c>
      <c r="C748" t="inlineStr">
        <is>
          <t xml:space="preserve">DON'T KNOW </t>
        </is>
      </c>
      <c r="D748" t="inlineStr">
        <is>
          <t>NE SAIT PAS</t>
        </is>
      </c>
    </row>
    <row r="749">
      <c r="A749" t="inlineStr">
        <is>
          <t>frequency</t>
        </is>
      </c>
      <c r="B749" t="n">
        <v>5</v>
      </c>
      <c r="C749" t="inlineStr">
        <is>
          <t>REFUSED</t>
        </is>
      </c>
      <c r="D749" t="inlineStr">
        <is>
          <t>REFUSÉ</t>
        </is>
      </c>
    </row>
    <row r="750"/>
    <row r="751">
      <c r="A751" t="inlineStr">
        <is>
          <t>coping</t>
        </is>
      </c>
      <c r="B751" t="n">
        <v>1</v>
      </c>
      <c r="C751" t="inlineStr">
        <is>
          <t>Yes</t>
        </is>
      </c>
      <c r="D751" t="inlineStr">
        <is>
          <t>Oui</t>
        </is>
      </c>
    </row>
    <row r="752">
      <c r="A752" t="inlineStr">
        <is>
          <t>coping</t>
        </is>
      </c>
      <c r="B752" t="n">
        <v>2</v>
      </c>
      <c r="C752" t="inlineStr">
        <is>
          <t>No - because it wasn’t necessary</t>
        </is>
      </c>
      <c r="D752" t="inlineStr">
        <is>
          <t>Non - parce que ce n'était pas nécessaire</t>
        </is>
      </c>
    </row>
    <row r="753">
      <c r="A753" t="inlineStr">
        <is>
          <t>coping</t>
        </is>
      </c>
      <c r="B753" t="n">
        <v>3</v>
      </c>
      <c r="C753" t="inlineStr">
        <is>
          <t>No - because you already sold those assets or did this activity within the last 12 months and you cannot continue to do it</t>
        </is>
      </c>
      <c r="D753" t="inlineStr">
        <is>
          <t>Non - parce que vous avez déjà vendu ces biens ou réalisé cette activité au cours des 12 derniers mois et que vous ne pouvez pas continuer à le faire</t>
        </is>
      </c>
    </row>
    <row r="754">
      <c r="A754" t="inlineStr">
        <is>
          <t>coping</t>
        </is>
      </c>
      <c r="B754" t="n">
        <v>4</v>
      </c>
      <c r="C754" t="inlineStr">
        <is>
          <t>Not applicable</t>
        </is>
      </c>
      <c r="D754" t="inlineStr">
        <is>
          <t>Non applicable</t>
        </is>
      </c>
    </row>
    <row r="755">
      <c r="A755" t="inlineStr">
        <is>
          <t>coping</t>
        </is>
      </c>
      <c r="B755" t="n">
        <v>5</v>
      </c>
      <c r="C755" t="inlineStr">
        <is>
          <t>DON'T KNOW</t>
        </is>
      </c>
      <c r="D755" t="inlineStr">
        <is>
          <t>NE SAIT PAS</t>
        </is>
      </c>
    </row>
    <row r="756">
      <c r="A756" t="inlineStr">
        <is>
          <t>coping</t>
        </is>
      </c>
      <c r="B756" t="n">
        <v>6</v>
      </c>
      <c r="C756" t="inlineStr">
        <is>
          <t>REFUSED</t>
        </is>
      </c>
      <c r="D756" t="inlineStr">
        <is>
          <t>REFUSÉ</t>
        </is>
      </c>
    </row>
    <row r="757"/>
    <row r="758">
      <c r="A758" t="inlineStr">
        <is>
          <t>hdds</t>
        </is>
      </c>
      <c r="B758" t="inlineStr">
        <is>
          <t>cereals</t>
        </is>
      </c>
      <c r="C758" t="inlineStr">
        <is>
          <t>Cereals [sorghum / millet / corn / wheat / rice / spaghetti / bread or insert any other locally available grain]</t>
        </is>
      </c>
      <c r="D758" t="inlineStr">
        <is>
          <t>Céréales [sorgho / millet / maïs / blé / riz / spaghettis / pain ou toute autre céréale disponible localement]</t>
        </is>
      </c>
    </row>
    <row r="759">
      <c r="A759" t="inlineStr">
        <is>
          <t>hdds</t>
        </is>
      </c>
      <c r="B759" t="inlineStr">
        <is>
          <t>rootstubers</t>
        </is>
      </c>
      <c r="C759" t="inlineStr">
        <is>
          <t>Roots and tubers [white sweet potato / potato / yam / cassava or other tubers]</t>
        </is>
      </c>
      <c r="D759" t="inlineStr">
        <is>
          <t>Racines et tubercules [patate douce blanche / pomme de terre / igname / manioc ou autres tubercules]</t>
        </is>
      </c>
    </row>
    <row r="760">
      <c r="A760" t="inlineStr">
        <is>
          <t>hdds</t>
        </is>
      </c>
      <c r="B760" t="inlineStr">
        <is>
          <t>vegetables</t>
        </is>
      </c>
      <c r="C760" t="inlineStr">
        <is>
          <t>Vegetables [all]</t>
        </is>
      </c>
      <c r="D760" t="inlineStr">
        <is>
          <t>Légumes [tous]</t>
        </is>
      </c>
    </row>
    <row r="761">
      <c r="A761" t="inlineStr">
        <is>
          <t>hdds</t>
        </is>
      </c>
      <c r="B761" t="inlineStr">
        <is>
          <t>fruits</t>
        </is>
      </c>
      <c r="C761" t="inlineStr">
        <is>
          <t>Fruit [all]</t>
        </is>
      </c>
      <c r="D761" t="inlineStr">
        <is>
          <t>Fruits [tous]</t>
        </is>
      </c>
    </row>
    <row r="762">
      <c r="A762" t="inlineStr">
        <is>
          <t>hdds</t>
        </is>
      </c>
      <c r="B762" t="inlineStr">
        <is>
          <t>meat</t>
        </is>
      </c>
      <c r="C762" t="inlineStr">
        <is>
          <t>Meat, poultry and offal [beef / pork / lamb /goat / rabbit / wild game / chicken / duck or other birds / liver / kidney / heart / or other organ meats]</t>
        </is>
      </c>
      <c r="D762" t="inlineStr">
        <is>
          <t>Viande/ volaille et abats [bœuf / porc / agneau / chèvre/ lapin / gibier / poulet / canard / foie / rein / cœur ou autres abats]</t>
        </is>
      </c>
    </row>
    <row r="763">
      <c r="A763" t="inlineStr">
        <is>
          <t>hdds</t>
        </is>
      </c>
      <c r="B763" t="inlineStr">
        <is>
          <t>eggs</t>
        </is>
      </c>
      <c r="C763" t="inlineStr">
        <is>
          <t>Eggs</t>
        </is>
      </c>
      <c r="D763" t="inlineStr">
        <is>
          <t>Œufs</t>
        </is>
      </c>
    </row>
    <row r="764">
      <c r="A764" t="inlineStr">
        <is>
          <t>hdds</t>
        </is>
      </c>
      <c r="B764" t="inlineStr">
        <is>
          <t>fish</t>
        </is>
      </c>
      <c r="C764" t="inlineStr">
        <is>
          <t>Fish or shellfish [fresh or dried fish / other seafood]</t>
        </is>
      </c>
      <c r="D764" t="inlineStr">
        <is>
          <t>Poissons ou crustacés [poissons frais ou séchés / crustacés]</t>
        </is>
      </c>
    </row>
    <row r="765">
      <c r="A765" t="inlineStr">
        <is>
          <t>hdds</t>
        </is>
      </c>
      <c r="B765" t="inlineStr">
        <is>
          <t>legumes</t>
        </is>
      </c>
      <c r="C765" t="inlineStr">
        <is>
          <t>Legumes, nuts and seeds [beans / peas / peanut / lentils / almond / and/or other nuts]</t>
        </is>
      </c>
      <c r="D765" t="inlineStr">
        <is>
          <t>Légumineuses, fruits à coque et graines [haricots / pois / arachides / lentilles / amandes et/ou autres fruits à coque]</t>
        </is>
      </c>
    </row>
    <row r="766">
      <c r="A766" t="inlineStr">
        <is>
          <t>hdds</t>
        </is>
      </c>
      <c r="B766" t="inlineStr">
        <is>
          <t>milkdairy</t>
        </is>
      </c>
      <c r="C766" t="inlineStr">
        <is>
          <t>Milk and other dairy products [fresh milk / sour / yogurt / cheese / other dairy products]</t>
        </is>
      </c>
      <c r="D766" t="inlineStr">
        <is>
          <t>Lait et autres produits laitiers [lait frais / lait caillé / yaourt / fromage / autres produits laitiers]</t>
        </is>
      </c>
    </row>
    <row r="767">
      <c r="A767" t="inlineStr">
        <is>
          <t>hdds</t>
        </is>
      </c>
      <c r="B767" t="inlineStr">
        <is>
          <t>oils</t>
        </is>
      </c>
      <c r="C767" t="inlineStr">
        <is>
          <t>Oil/fat / butter [cooking / butter / margarine / fat/oil / other oil]</t>
        </is>
      </c>
      <c r="D767" t="inlineStr">
        <is>
          <t>Huiles et graisses [cuisson / beurre / margarine / graisse / huile / autres huiles]</t>
        </is>
      </c>
    </row>
    <row r="768">
      <c r="A768" t="inlineStr">
        <is>
          <t>hdds</t>
        </is>
      </c>
      <c r="B768" t="inlineStr">
        <is>
          <t>sugar</t>
        </is>
      </c>
      <c r="C768" t="inlineStr">
        <is>
          <t>Sugar or sugary products [honey / jam / donuts / candy / biscuits / pastries / cakes and other sweet products]</t>
        </is>
      </c>
      <c r="D768" t="inlineStr">
        <is>
          <t>Sucre ou produits sucrés [miel / confiture / beignets / bonbons / chocolat / biscuits / pâtisseries / gâteaux et autres produits sucrés]</t>
        </is>
      </c>
    </row>
    <row r="769">
      <c r="A769" t="inlineStr">
        <is>
          <t>hdds</t>
        </is>
      </c>
      <c r="B769" t="inlineStr">
        <is>
          <t>condiments</t>
        </is>
      </c>
      <c r="C769" t="inlineStr">
        <is>
          <t>Condiments [cocoa /salt / garlic / spices / yeast or baking powder / tomato or tomato sauce / meat or fish as a condiment] / coffee / tea</t>
        </is>
      </c>
      <c r="D769" t="inlineStr">
        <is>
          <t>Condiments [cacao / sel / ail / épices / levure / levure chimique / tomate ou sauce tomate / viande ou poisson comme condiment] et café / thé</t>
        </is>
      </c>
    </row>
    <row r="770"/>
    <row r="771">
      <c r="A771" t="inlineStr">
        <is>
          <t>needs</t>
        </is>
      </c>
      <c r="B771" t="inlineStr">
        <is>
          <t>food</t>
        </is>
      </c>
      <c r="C771" t="inlineStr">
        <is>
          <t>Food</t>
        </is>
      </c>
      <c r="D771" t="inlineStr">
        <is>
          <t>Nourriture</t>
        </is>
      </c>
    </row>
    <row r="772">
      <c r="A772" t="inlineStr">
        <is>
          <t>needs</t>
        </is>
      </c>
      <c r="B772" t="inlineStr">
        <is>
          <t>cash</t>
        </is>
      </c>
      <c r="C772" t="inlineStr">
        <is>
          <t>Cash</t>
        </is>
      </c>
      <c r="D772" t="inlineStr">
        <is>
          <t>Argent liquide</t>
        </is>
      </c>
    </row>
    <row r="773">
      <c r="A773" t="inlineStr">
        <is>
          <t>needs</t>
        </is>
      </c>
      <c r="B773" t="inlineStr">
        <is>
          <t>vouchers_fair</t>
        </is>
      </c>
      <c r="C773" t="inlineStr">
        <is>
          <t>Vouchers or input trade fairs</t>
        </is>
      </c>
      <c r="D773" t="inlineStr">
        <is>
          <t>Bons d'achat ou foire aux intrants</t>
        </is>
      </c>
    </row>
    <row r="774">
      <c r="A774" t="inlineStr">
        <is>
          <t>needs</t>
        </is>
      </c>
      <c r="B774" t="inlineStr">
        <is>
          <t>crop_inputs</t>
        </is>
      </c>
      <c r="C774" t="inlineStr">
        <is>
          <t>Inputs for crop and/or vegetable production [e.g. seeds, fertilizer, tools]</t>
        </is>
      </c>
      <c r="D774" t="inlineStr">
        <is>
          <t>Intrants pour la production végétale et/ou de légumes [par exemple, semences, engrais, outils]</t>
        </is>
      </c>
    </row>
    <row r="775">
      <c r="A775" t="inlineStr">
        <is>
          <t>needs</t>
        </is>
      </c>
      <c r="B775" t="inlineStr">
        <is>
          <t>crop_infrastructure</t>
        </is>
      </c>
      <c r="C775" t="inlineStr">
        <is>
          <t>Infrastructure for crop and/or vegetable production [e.g. irrigation, canal rehabilitation, pumps]</t>
        </is>
      </c>
      <c r="D775" t="inlineStr">
        <is>
          <t>Infrastructures pour la production végétale et/ou de légumes [par exemple, irrigation, réhabilitation de canaux, pompes]</t>
        </is>
      </c>
    </row>
    <row r="776">
      <c r="A776" t="inlineStr">
        <is>
          <t>needs</t>
        </is>
      </c>
      <c r="B776" t="inlineStr">
        <is>
          <t>crop_knowledge</t>
        </is>
      </c>
      <c r="C776" t="inlineStr">
        <is>
          <t>Training &amp; technical knowledge/advice for crop production</t>
        </is>
      </c>
      <c r="D776" t="inlineStr">
        <is>
          <t>Formations et conseils techniques pour la production végétale</t>
        </is>
      </c>
    </row>
    <row r="777">
      <c r="A777" t="inlineStr">
        <is>
          <t>needs</t>
        </is>
      </c>
      <c r="B777" t="inlineStr">
        <is>
          <t>ls_feed</t>
        </is>
      </c>
      <c r="C777" t="inlineStr">
        <is>
          <t>Livestock feed [fodder or supplementary feed]</t>
        </is>
      </c>
      <c r="D777" t="inlineStr">
        <is>
          <t>Aliments pour le bétail [fourrage ou aliments complémentaires]</t>
        </is>
      </c>
    </row>
    <row r="778">
      <c r="A778" t="inlineStr">
        <is>
          <t>needs</t>
        </is>
      </c>
      <c r="B778" t="inlineStr">
        <is>
          <t>ls_vet_service</t>
        </is>
      </c>
      <c r="C778" t="inlineStr">
        <is>
          <t>Veterinary services [e.g. vaccination, dips, deworming]</t>
        </is>
      </c>
      <c r="D778" t="inlineStr">
        <is>
          <t>Services vétérinaires [par exemple, vaccination, bain antiparasitaire, vermifuges]</t>
        </is>
      </c>
    </row>
    <row r="779">
      <c r="A779" t="inlineStr">
        <is>
          <t>needs</t>
        </is>
      </c>
      <c r="B779" t="inlineStr">
        <is>
          <t>ls_infrastructure</t>
        </is>
      </c>
      <c r="C779" t="inlineStr">
        <is>
          <t>Infrastructure for livestock [e.g. water points, transhumance corridors, shelter, health points]</t>
        </is>
      </c>
      <c r="D779" t="inlineStr">
        <is>
          <t>Infrastructures pour le bétail [par exemple, points d'eau, couloirs de transhumance, abris, points santé]</t>
        </is>
      </c>
    </row>
    <row r="780">
      <c r="A780" t="inlineStr">
        <is>
          <t>needs</t>
        </is>
      </c>
      <c r="B780" t="inlineStr">
        <is>
          <t>ls_knowledge</t>
        </is>
      </c>
      <c r="C780" t="inlineStr">
        <is>
          <t>Training &amp; technical knowledge/advice for livestock production</t>
        </is>
      </c>
      <c r="D780" t="inlineStr">
        <is>
          <t>Formations et conseils techniques pour la production animale</t>
        </is>
      </c>
    </row>
    <row r="781">
      <c r="A781" t="inlineStr">
        <is>
          <t>needs</t>
        </is>
      </c>
      <c r="B781" t="inlineStr">
        <is>
          <t>fish_inputs</t>
        </is>
      </c>
      <c r="C781" t="inlineStr">
        <is>
          <t>Inputs for fishing or aquaculture production</t>
        </is>
      </c>
      <c r="D781" t="inlineStr">
        <is>
          <t>Intrants pour la production de poissons ou l'aquaculture</t>
        </is>
      </c>
    </row>
    <row r="782">
      <c r="A782" t="inlineStr">
        <is>
          <t>needs</t>
        </is>
      </c>
      <c r="B782" t="inlineStr">
        <is>
          <t>fish_infrastructure</t>
        </is>
      </c>
      <c r="C782" t="inlineStr">
        <is>
          <t>Infrastructure for fisheries or aquaculture production [e.g. rehabilitation of port; repair of ponds]</t>
        </is>
      </c>
      <c r="D782" t="inlineStr">
        <is>
          <t>Infrastructures pour la pêche ou l'aquaculture [par exemple, réhabilitation du port, réaménagement des étangs]</t>
        </is>
      </c>
    </row>
    <row r="783">
      <c r="A783" t="inlineStr">
        <is>
          <t>needs</t>
        </is>
      </c>
      <c r="B783" t="inlineStr">
        <is>
          <t>fish_knowledge</t>
        </is>
      </c>
      <c r="C783" t="inlineStr">
        <is>
          <t>Training &amp; technical knowledge/advice for fisheries or aquaculture production</t>
        </is>
      </c>
      <c r="D783" t="inlineStr">
        <is>
          <t>Formations et conseils techniques pour la pêche ou l'aquaculture</t>
        </is>
      </c>
    </row>
    <row r="784">
      <c r="A784" t="inlineStr">
        <is>
          <t>needs</t>
        </is>
      </c>
      <c r="B784" t="inlineStr">
        <is>
          <t>env_infra_rehab</t>
        </is>
      </c>
      <c r="C784" t="inlineStr">
        <is>
          <t>Environmental or infrastructure rehabilitation [community-wide]</t>
        </is>
      </c>
      <c r="D784" t="inlineStr">
        <is>
          <t>Réhabilitation de l'environnement ou des infrastructures [à l'échelle de la communauté]</t>
        </is>
      </c>
    </row>
    <row r="785">
      <c r="A785" t="inlineStr">
        <is>
          <t>needs</t>
        </is>
      </c>
      <c r="B785" t="inlineStr">
        <is>
          <t>cold_storage</t>
        </is>
      </c>
      <c r="C785" t="inlineStr">
        <is>
          <t>Cold storage</t>
        </is>
      </c>
      <c r="D785" t="inlineStr">
        <is>
          <t>Stockage réfrigéré</t>
        </is>
      </c>
    </row>
    <row r="786">
      <c r="A786" t="inlineStr">
        <is>
          <t>needs</t>
        </is>
      </c>
      <c r="B786" t="inlineStr">
        <is>
          <t>marketing_supp</t>
        </is>
      </c>
      <c r="C786" t="inlineStr">
        <is>
          <t>Marketing or sales support [e.g. public procurement]</t>
        </is>
      </c>
      <c r="D786" t="inlineStr">
        <is>
          <t>Soutien à la commercialisation ou aux ventes [par exemple, passation de marchés publics]</t>
        </is>
      </c>
    </row>
    <row r="787">
      <c r="A787" t="inlineStr">
        <is>
          <t>needs</t>
        </is>
      </c>
      <c r="B787" t="inlineStr">
        <is>
          <t>other</t>
        </is>
      </c>
      <c r="C787" t="inlineStr">
        <is>
          <t>Other [specify]</t>
        </is>
      </c>
      <c r="D787" t="inlineStr">
        <is>
          <t>Autre [préciser]</t>
        </is>
      </c>
    </row>
    <row r="788">
      <c r="A788" t="inlineStr">
        <is>
          <t>needs</t>
        </is>
      </c>
      <c r="B788" t="inlineStr">
        <is>
          <t>dk</t>
        </is>
      </c>
      <c r="C788" t="inlineStr">
        <is>
          <t>DON'T KNOW</t>
        </is>
      </c>
      <c r="D788" t="inlineStr">
        <is>
          <t>NE SAIT PAS</t>
        </is>
      </c>
    </row>
    <row r="789">
      <c r="A789" t="inlineStr">
        <is>
          <t>needs</t>
        </is>
      </c>
      <c r="B789" t="inlineStr">
        <is>
          <t>ref</t>
        </is>
      </c>
      <c r="C789" t="inlineStr">
        <is>
          <t>REFUSED</t>
        </is>
      </c>
      <c r="D789" t="inlineStr">
        <is>
          <t>REFUSÉ</t>
        </is>
      </c>
    </row>
    <row r="790"/>
    <row r="791">
      <c r="A791" t="inlineStr">
        <is>
          <t>needreceived</t>
        </is>
      </c>
      <c r="B791" t="inlineStr">
        <is>
          <t>food</t>
        </is>
      </c>
      <c r="C791" t="inlineStr">
        <is>
          <t>Food</t>
        </is>
      </c>
      <c r="D791" t="inlineStr">
        <is>
          <t>Nourriture</t>
        </is>
      </c>
    </row>
    <row r="792">
      <c r="A792" t="inlineStr">
        <is>
          <t>needreceived</t>
        </is>
      </c>
      <c r="B792" t="inlineStr">
        <is>
          <t>cash</t>
        </is>
      </c>
      <c r="C792" t="inlineStr">
        <is>
          <t xml:space="preserve">Cash </t>
        </is>
      </c>
      <c r="D792" t="inlineStr">
        <is>
          <t xml:space="preserve">Argent liquide </t>
        </is>
      </c>
    </row>
    <row r="793">
      <c r="A793" t="inlineStr">
        <is>
          <t>needreceived</t>
        </is>
      </c>
      <c r="B793" t="inlineStr">
        <is>
          <t>vouchers_fair</t>
        </is>
      </c>
      <c r="C793" t="inlineStr">
        <is>
          <t>Vouchers/input trade fairs</t>
        </is>
      </c>
      <c r="D793" t="inlineStr">
        <is>
          <t>Bons d'achat/foires aux intrants</t>
        </is>
      </c>
    </row>
    <row r="794">
      <c r="A794" t="inlineStr">
        <is>
          <t>needreceived</t>
        </is>
      </c>
      <c r="B794" t="inlineStr">
        <is>
          <t>crop_assist</t>
        </is>
      </c>
      <c r="C794" t="inlineStr">
        <is>
          <t>Crop and/or vegetable production assistance</t>
        </is>
      </c>
      <c r="D794" t="inlineStr">
        <is>
          <t>Soutien à la production végétale et/ou de légumes</t>
        </is>
      </c>
    </row>
    <row r="795">
      <c r="A795" t="inlineStr">
        <is>
          <t>needreceived</t>
        </is>
      </c>
      <c r="B795" t="inlineStr">
        <is>
          <t>ls_assist</t>
        </is>
      </c>
      <c r="C795" t="inlineStr">
        <is>
          <t>Livestock assistance</t>
        </is>
      </c>
      <c r="D795" t="inlineStr">
        <is>
          <t>Soutien à l'élevage</t>
        </is>
      </c>
    </row>
    <row r="796">
      <c r="A796" t="inlineStr">
        <is>
          <t>needreceived</t>
        </is>
      </c>
      <c r="B796" t="inlineStr">
        <is>
          <t>fish_assist</t>
        </is>
      </c>
      <c r="C796" t="inlineStr">
        <is>
          <t>Fisheries and/or aquaculture assistance</t>
        </is>
      </c>
      <c r="D796" t="inlineStr">
        <is>
          <t>Soutien à la pêche et/ou à l'aquaculture</t>
        </is>
      </c>
    </row>
    <row r="797">
      <c r="A797" t="inlineStr">
        <is>
          <t>needreceived</t>
        </is>
      </c>
      <c r="B797" t="inlineStr">
        <is>
          <t>rehabilitation</t>
        </is>
      </c>
      <c r="C797" t="inlineStr">
        <is>
          <t>Environmental or infrastructure rehabilitation [community-wide]</t>
        </is>
      </c>
      <c r="D797" t="inlineStr">
        <is>
          <t>Réhabilitation de l'environnement ou des infrastructures [à l'échelle de la communauté]</t>
        </is>
      </c>
    </row>
    <row r="798">
      <c r="A798" t="inlineStr">
        <is>
          <t>needreceived</t>
        </is>
      </c>
      <c r="B798" t="inlineStr">
        <is>
          <t>sales_support</t>
        </is>
      </c>
      <c r="C798" t="inlineStr">
        <is>
          <t>Marketing or sales support [e.g. public procurement]</t>
        </is>
      </c>
      <c r="D798" t="inlineStr">
        <is>
          <t>Soutien à la commercialisation ou à la vente [par exemple, passation de marchés publics]</t>
        </is>
      </c>
    </row>
    <row r="799">
      <c r="A799" t="inlineStr">
        <is>
          <t>needreceived</t>
        </is>
      </c>
      <c r="B799" t="inlineStr">
        <is>
          <t>other</t>
        </is>
      </c>
      <c r="C799" t="inlineStr">
        <is>
          <t>Other [specify]</t>
        </is>
      </c>
      <c r="D799" t="inlineStr">
        <is>
          <t>Autre [préciser]</t>
        </is>
      </c>
    </row>
    <row r="800">
      <c r="A800" t="inlineStr">
        <is>
          <t>needreceived</t>
        </is>
      </c>
      <c r="B800" t="inlineStr">
        <is>
          <t>none</t>
        </is>
      </c>
      <c r="C800" t="inlineStr">
        <is>
          <t>No assistance received</t>
        </is>
      </c>
      <c r="D800" t="inlineStr">
        <is>
          <t>Aucune aide reçue</t>
        </is>
      </c>
    </row>
    <row r="801">
      <c r="A801" t="inlineStr">
        <is>
          <t>needreceived</t>
        </is>
      </c>
      <c r="B801" t="inlineStr">
        <is>
          <t>dk</t>
        </is>
      </c>
      <c r="C801" t="inlineStr">
        <is>
          <t xml:space="preserve">DON'T KNOW </t>
        </is>
      </c>
      <c r="D801" t="inlineStr">
        <is>
          <t>NE SAIT PAS</t>
        </is>
      </c>
    </row>
    <row r="802">
      <c r="A802" t="inlineStr">
        <is>
          <t>needreceived</t>
        </is>
      </c>
      <c r="B802" t="inlineStr">
        <is>
          <t>ref</t>
        </is>
      </c>
      <c r="C802" t="inlineStr">
        <is>
          <t>REFUSED</t>
        </is>
      </c>
      <c r="D802" t="inlineStr">
        <is>
          <t>REFUSÉ</t>
        </is>
      </c>
    </row>
    <row r="803"/>
    <row r="804">
      <c r="A804" t="inlineStr">
        <is>
          <t>assist_quality</t>
        </is>
      </c>
      <c r="B804" t="n">
        <v>1</v>
      </c>
      <c r="C804" t="inlineStr">
        <is>
          <t>Yes</t>
        </is>
      </c>
      <c r="D804" t="inlineStr">
        <is>
          <t>Oui</t>
        </is>
      </c>
    </row>
    <row r="805">
      <c r="A805" t="inlineStr">
        <is>
          <t>assist_quality</t>
        </is>
      </c>
      <c r="B805" t="n">
        <v>2</v>
      </c>
      <c r="C805" t="inlineStr">
        <is>
          <t>No - not received on time</t>
        </is>
      </c>
      <c r="D805" t="inlineStr">
        <is>
          <t>Non - pas reçue à temps</t>
        </is>
      </c>
    </row>
    <row r="806">
      <c r="A806" t="inlineStr">
        <is>
          <t>assist_quality</t>
        </is>
      </c>
      <c r="B806" t="n">
        <v>3</v>
      </c>
      <c r="C806" t="inlineStr">
        <is>
          <t>No - did not meet my needs</t>
        </is>
      </c>
      <c r="D806" t="inlineStr">
        <is>
          <t>Non - n'a pas répondu à mes besoins</t>
        </is>
      </c>
    </row>
    <row r="807">
      <c r="A807" t="inlineStr">
        <is>
          <t>assist_quality</t>
        </is>
      </c>
      <c r="B807" t="n">
        <v>4</v>
      </c>
      <c r="C807" t="inlineStr">
        <is>
          <t>No - quantity was not sufficient</t>
        </is>
      </c>
      <c r="D807" t="inlineStr">
        <is>
          <t>Non - la quantité n'était pas suffisante</t>
        </is>
      </c>
    </row>
    <row r="808">
      <c r="A808" t="inlineStr">
        <is>
          <t>assist_quality</t>
        </is>
      </c>
      <c r="B808" t="n">
        <v>5</v>
      </c>
      <c r="C808" t="inlineStr">
        <is>
          <t>No - there was a problem with the provider</t>
        </is>
      </c>
      <c r="D808" t="inlineStr">
        <is>
          <t>Non - il y avait un problème avec le fournisseur</t>
        </is>
      </c>
    </row>
    <row r="809">
      <c r="A809" t="inlineStr">
        <is>
          <t>assist_quality</t>
        </is>
      </c>
      <c r="B809" t="n">
        <v>6</v>
      </c>
      <c r="C809" t="inlineStr">
        <is>
          <t>No - there was a malfunction of the in-kind assistance provided [e.g. poor quality tools]</t>
        </is>
      </c>
      <c r="D809" t="inlineStr">
        <is>
          <t>Non - il y a eu un dysfonctionnement de l'aide en nature fournie [par exemple, des outils de mauvaise qualité]</t>
        </is>
      </c>
    </row>
    <row r="810">
      <c r="A810" t="inlineStr">
        <is>
          <t>assist_quality</t>
        </is>
      </c>
      <c r="B810" t="n">
        <v>7</v>
      </c>
      <c r="C810" t="inlineStr">
        <is>
          <t>DON'T KNOW</t>
        </is>
      </c>
      <c r="D810" t="inlineStr">
        <is>
          <t>NE SAIT PAS</t>
        </is>
      </c>
    </row>
    <row r="811">
      <c r="A811" t="inlineStr">
        <is>
          <t>assist_quality</t>
        </is>
      </c>
      <c r="B811" t="n">
        <v>8</v>
      </c>
      <c r="C811" t="inlineStr">
        <is>
          <t>REFUSED</t>
        </is>
      </c>
      <c r="D811" t="inlineStr">
        <is>
          <t>REFUSÉ</t>
        </is>
      </c>
    </row>
    <row r="812"/>
    <row r="813">
      <c r="A813" t="inlineStr">
        <is>
          <t>provider</t>
        </is>
      </c>
      <c r="B813" t="inlineStr">
        <is>
          <t>fao</t>
        </is>
      </c>
      <c r="C813" t="inlineStr">
        <is>
          <t>FAO</t>
        </is>
      </c>
      <c r="D813" t="inlineStr">
        <is>
          <t>FAO</t>
        </is>
      </c>
    </row>
    <row r="814">
      <c r="A814" t="inlineStr">
        <is>
          <t>provider</t>
        </is>
      </c>
      <c r="B814" t="inlineStr">
        <is>
          <t>wfp</t>
        </is>
      </c>
      <c r="C814" t="inlineStr">
        <is>
          <t>WFP</t>
        </is>
      </c>
      <c r="D814" t="inlineStr">
        <is>
          <t>PAM</t>
        </is>
      </c>
    </row>
    <row r="815">
      <c r="A815" t="inlineStr">
        <is>
          <t>provider</t>
        </is>
      </c>
      <c r="B815" t="inlineStr">
        <is>
          <t>otherun</t>
        </is>
      </c>
      <c r="C815" t="inlineStr">
        <is>
          <t>Other UN agencies</t>
        </is>
      </c>
      <c r="D815" t="inlineStr">
        <is>
          <t>Autres agences des Nations Unies</t>
        </is>
      </c>
    </row>
    <row r="816">
      <c r="A816" t="inlineStr">
        <is>
          <t>provider</t>
        </is>
      </c>
      <c r="B816" t="inlineStr">
        <is>
          <t>gov</t>
        </is>
      </c>
      <c r="C816" t="inlineStr">
        <is>
          <t>Government</t>
        </is>
      </c>
      <c r="D816" t="inlineStr">
        <is>
          <t>Gouvernment</t>
        </is>
      </c>
    </row>
    <row r="817">
      <c r="A817" t="inlineStr">
        <is>
          <t>provider</t>
        </is>
      </c>
      <c r="B817" t="inlineStr">
        <is>
          <t>ngo</t>
        </is>
      </c>
      <c r="C817" t="inlineStr">
        <is>
          <t>Non-governmental/local organization</t>
        </is>
      </c>
      <c r="D817" t="inlineStr">
        <is>
          <t>Organisation non-gouvernmentale/locale</t>
        </is>
      </c>
    </row>
    <row r="818">
      <c r="A818" t="inlineStr">
        <is>
          <t>provider</t>
        </is>
      </c>
      <c r="B818" t="inlineStr">
        <is>
          <t>dk</t>
        </is>
      </c>
      <c r="C818" t="inlineStr">
        <is>
          <t>DON'T KNOW</t>
        </is>
      </c>
      <c r="D818" t="inlineStr">
        <is>
          <t>NE SAIT PAS</t>
        </is>
      </c>
    </row>
    <row r="819">
      <c r="A819" t="inlineStr">
        <is>
          <t>provider</t>
        </is>
      </c>
      <c r="B819" t="inlineStr">
        <is>
          <t>ref</t>
        </is>
      </c>
      <c r="C819" t="inlineStr">
        <is>
          <t>REFUSED</t>
        </is>
      </c>
      <c r="D819" t="inlineStr">
        <is>
          <t>REFUSÉ</t>
        </is>
      </c>
    </row>
    <row r="820"/>
    <row r="821">
      <c r="A821" t="inlineStr">
        <is>
          <t>week</t>
        </is>
      </c>
      <c r="B821" t="inlineStr">
        <is>
          <t>mon</t>
        </is>
      </c>
      <c r="C821" t="inlineStr">
        <is>
          <t>Monday</t>
        </is>
      </c>
      <c r="D821" t="inlineStr">
        <is>
          <t>Lundi</t>
        </is>
      </c>
    </row>
    <row r="822">
      <c r="A822" t="inlineStr">
        <is>
          <t>week</t>
        </is>
      </c>
      <c r="B822" t="inlineStr">
        <is>
          <t>tues</t>
        </is>
      </c>
      <c r="C822" t="inlineStr">
        <is>
          <t>Tuesday</t>
        </is>
      </c>
      <c r="D822" t="inlineStr">
        <is>
          <t>Mardi</t>
        </is>
      </c>
    </row>
    <row r="823">
      <c r="A823" t="inlineStr">
        <is>
          <t>week</t>
        </is>
      </c>
      <c r="B823" t="inlineStr">
        <is>
          <t>wed</t>
        </is>
      </c>
      <c r="C823" t="inlineStr">
        <is>
          <t>Wednesday</t>
        </is>
      </c>
      <c r="D823" t="inlineStr">
        <is>
          <t>Mercredi</t>
        </is>
      </c>
    </row>
    <row r="824">
      <c r="A824" t="inlineStr">
        <is>
          <t>week</t>
        </is>
      </c>
      <c r="B824" t="inlineStr">
        <is>
          <t>thurs</t>
        </is>
      </c>
      <c r="C824" t="inlineStr">
        <is>
          <t>Thursday</t>
        </is>
      </c>
      <c r="D824" t="inlineStr">
        <is>
          <t>Jeudi</t>
        </is>
      </c>
    </row>
    <row r="825">
      <c r="A825" t="inlineStr">
        <is>
          <t>week</t>
        </is>
      </c>
      <c r="B825" t="inlineStr">
        <is>
          <t>fri</t>
        </is>
      </c>
      <c r="C825" t="inlineStr">
        <is>
          <t>Friday</t>
        </is>
      </c>
      <c r="D825" t="inlineStr">
        <is>
          <t>Vendredi</t>
        </is>
      </c>
    </row>
    <row r="826">
      <c r="A826" t="inlineStr">
        <is>
          <t>week</t>
        </is>
      </c>
      <c r="B826" t="inlineStr">
        <is>
          <t>sat</t>
        </is>
      </c>
      <c r="C826" t="inlineStr">
        <is>
          <t>Saturday</t>
        </is>
      </c>
      <c r="D826" t="inlineStr">
        <is>
          <t>Samedi</t>
        </is>
      </c>
    </row>
    <row r="827">
      <c r="A827" t="inlineStr">
        <is>
          <t>week</t>
        </is>
      </c>
      <c r="B827" t="inlineStr">
        <is>
          <t>sun</t>
        </is>
      </c>
      <c r="C827" t="inlineStr">
        <is>
          <t>Sunday</t>
        </is>
      </c>
      <c r="D827" t="inlineStr">
        <is>
          <t>Dimanche</t>
        </is>
      </c>
    </row>
    <row r="828"/>
    <row r="829">
      <c r="A829" t="inlineStr">
        <is>
          <t>time</t>
        </is>
      </c>
      <c r="B829" t="inlineStr">
        <is>
          <t>morn</t>
        </is>
      </c>
      <c r="C829" t="inlineStr">
        <is>
          <t>Mornings</t>
        </is>
      </c>
      <c r="D829" t="inlineStr">
        <is>
          <t>Le matin</t>
        </is>
      </c>
    </row>
    <row r="830">
      <c r="A830" t="inlineStr">
        <is>
          <t>time</t>
        </is>
      </c>
      <c r="B830" t="inlineStr">
        <is>
          <t>aft</t>
        </is>
      </c>
      <c r="C830" t="inlineStr">
        <is>
          <t>Afternoons</t>
        </is>
      </c>
      <c r="D830" t="inlineStr">
        <is>
          <t>L'après-midi</t>
        </is>
      </c>
    </row>
    <row r="831">
      <c r="A831" t="inlineStr">
        <is>
          <t>time</t>
        </is>
      </c>
      <c r="B831" t="inlineStr">
        <is>
          <t>eve</t>
        </is>
      </c>
      <c r="C831" t="inlineStr">
        <is>
          <t>Evenings</t>
        </is>
      </c>
      <c r="D831" t="inlineStr">
        <is>
          <t>Le soir</t>
        </is>
      </c>
    </row>
    <row r="832"/>
    <row r="833">
      <c r="A833" t="inlineStr">
        <is>
          <t>ea</t>
        </is>
      </c>
      <c r="B833" t="inlineStr">
        <is>
          <t>EAA1</t>
        </is>
      </c>
      <c r="C833" t="inlineStr">
        <is>
          <t>Enumeration area 1 in District A</t>
        </is>
      </c>
      <c r="D833" t="inlineStr">
        <is>
          <t>Zone de dénombrement 1 du district A</t>
        </is>
      </c>
    </row>
    <row r="834">
      <c r="A834" t="inlineStr">
        <is>
          <t>ea</t>
        </is>
      </c>
      <c r="B834" t="inlineStr">
        <is>
          <t>EAA2</t>
        </is>
      </c>
      <c r="C834" t="inlineStr">
        <is>
          <t>Enumeration area 2 in District A</t>
        </is>
      </c>
      <c r="D834" t="inlineStr">
        <is>
          <t>Zone de dénombrement 2 du district A</t>
        </is>
      </c>
    </row>
    <row r="835">
      <c r="A835" t="inlineStr">
        <is>
          <t>ea</t>
        </is>
      </c>
      <c r="B835" t="inlineStr">
        <is>
          <t>EAB1</t>
        </is>
      </c>
      <c r="C835" t="inlineStr">
        <is>
          <t>Enumeration area 1 in District B</t>
        </is>
      </c>
      <c r="D835" t="inlineStr">
        <is>
          <t>Zone de dénombrement 1 du district B</t>
        </is>
      </c>
    </row>
    <row r="836">
      <c r="A836" t="inlineStr">
        <is>
          <t>ea</t>
        </is>
      </c>
      <c r="B836" t="inlineStr">
        <is>
          <t>EAB2</t>
        </is>
      </c>
      <c r="C836" t="inlineStr">
        <is>
          <t>Enumeration area 2 in District B</t>
        </is>
      </c>
      <c r="D836" t="inlineStr">
        <is>
          <t>Zone de dénombrement 2 du district B</t>
        </is>
      </c>
    </row>
    <row r="837">
      <c r="A837" t="inlineStr">
        <is>
          <t>ea</t>
        </is>
      </c>
      <c r="B837" t="inlineStr">
        <is>
          <t>EAC1</t>
        </is>
      </c>
      <c r="C837" t="inlineStr">
        <is>
          <t>Enumeration area 1 in District C</t>
        </is>
      </c>
      <c r="D837" t="inlineStr">
        <is>
          <t>Zone de dénombrement 1 du district C</t>
        </is>
      </c>
    </row>
    <row r="838"/>
    <row r="839"/>
    <row r="840"/>
    <row r="841"/>
    <row r="842"/>
    <row r="843">
      <c r="A843" t="inlineStr">
        <is>
          <t>admin1</t>
        </is>
      </c>
      <c r="B843" t="inlineStr">
        <is>
          <t>TD06</t>
        </is>
      </c>
      <c r="C843" t="inlineStr">
        <is>
          <t>Kanem</t>
        </is>
      </c>
      <c r="D843" t="inlineStr">
        <is>
          <t>Kanem</t>
        </is>
      </c>
    </row>
    <row r="844">
      <c r="A844" t="inlineStr">
        <is>
          <t>admin1</t>
        </is>
      </c>
      <c r="B844" t="inlineStr">
        <is>
          <t>TD07</t>
        </is>
      </c>
      <c r="C844" t="inlineStr">
        <is>
          <t>Lac</t>
        </is>
      </c>
      <c r="D844" t="inlineStr">
        <is>
          <t>Lac</t>
        </is>
      </c>
    </row>
    <row r="845">
      <c r="A845" t="inlineStr">
        <is>
          <t>admin1</t>
        </is>
      </c>
      <c r="B845" t="inlineStr">
        <is>
          <t>TD14</t>
        </is>
      </c>
      <c r="C845" t="inlineStr">
        <is>
          <t>Ouaddaï</t>
        </is>
      </c>
      <c r="D845" t="inlineStr">
        <is>
          <t>Ouaddaï</t>
        </is>
      </c>
    </row>
    <row r="846">
      <c r="A846" t="inlineStr">
        <is>
          <t>admin1</t>
        </is>
      </c>
      <c r="B846" t="inlineStr">
        <is>
          <t>TD17</t>
        </is>
      </c>
      <c r="C846" t="inlineStr">
        <is>
          <t>Wadi Fira</t>
        </is>
      </c>
      <c r="D846" t="inlineStr">
        <is>
          <t>Wadi Fira</t>
        </is>
      </c>
    </row>
    <row r="847">
      <c r="A847" t="inlineStr">
        <is>
          <t>admin1</t>
        </is>
      </c>
      <c r="B847" t="inlineStr">
        <is>
          <t>TD19</t>
        </is>
      </c>
      <c r="C847" t="inlineStr">
        <is>
          <t>Barh-El-Gazel</t>
        </is>
      </c>
      <c r="D847" t="inlineStr">
        <is>
          <t>Barh-El-Gazel</t>
        </is>
      </c>
    </row>
    <row r="848">
      <c r="A848" t="inlineStr">
        <is>
          <t>admin1</t>
        </is>
      </c>
      <c r="B848" t="inlineStr">
        <is>
          <t>TD21</t>
        </is>
      </c>
      <c r="C848" t="inlineStr">
        <is>
          <t>Sila</t>
        </is>
      </c>
      <c r="D848" t="inlineStr">
        <is>
          <t>Sila</t>
        </is>
      </c>
    </row>
    <row r="849">
      <c r="A849" t="inlineStr">
        <is>
          <t>admin1</t>
        </is>
      </c>
      <c r="B849" t="inlineStr">
        <is>
          <t>TD24</t>
        </is>
      </c>
      <c r="C849" t="inlineStr">
        <is>
          <t>Camp des réfugiés</t>
        </is>
      </c>
      <c r="D849" t="inlineStr">
        <is>
          <t>Camp des réfugiés</t>
        </is>
      </c>
    </row>
    <row r="850">
      <c r="A850" t="inlineStr">
        <is>
          <t>admin1</t>
        </is>
      </c>
      <c r="B850" t="inlineStr">
        <is>
          <t>TD25</t>
        </is>
      </c>
      <c r="C850" t="inlineStr">
        <is>
          <t>Villages retournées</t>
        </is>
      </c>
      <c r="D850" t="inlineStr">
        <is>
          <t>Villages retournées</t>
        </is>
      </c>
    </row>
    <row r="851"/>
    <row r="852"/>
    <row r="853"/>
    <row r="854"/>
    <row r="855">
      <c r="A855" t="inlineStr">
        <is>
          <t>admin2</t>
        </is>
      </c>
      <c r="B855" t="inlineStr">
        <is>
          <t>TD0101</t>
        </is>
      </c>
      <c r="C855" t="inlineStr">
        <is>
          <t>Batha Ouest</t>
        </is>
      </c>
      <c r="D855" t="inlineStr">
        <is>
          <t>Batha Ouest</t>
        </is>
      </c>
      <c r="F855" t="inlineStr">
        <is>
          <t>TD01</t>
        </is>
      </c>
    </row>
    <row r="856">
      <c r="A856" t="inlineStr">
        <is>
          <t>admin2</t>
        </is>
      </c>
      <c r="B856" t="inlineStr">
        <is>
          <t>TD0102</t>
        </is>
      </c>
      <c r="C856" t="inlineStr">
        <is>
          <t>Batha Est</t>
        </is>
      </c>
      <c r="D856" t="inlineStr">
        <is>
          <t>Batha Est</t>
        </is>
      </c>
      <c r="F856" t="inlineStr">
        <is>
          <t>TD01</t>
        </is>
      </c>
    </row>
    <row r="857">
      <c r="A857" t="inlineStr">
        <is>
          <t>admin2</t>
        </is>
      </c>
      <c r="B857" t="inlineStr">
        <is>
          <t>TD0103</t>
        </is>
      </c>
      <c r="C857" t="inlineStr">
        <is>
          <t>Fitri</t>
        </is>
      </c>
      <c r="D857" t="inlineStr">
        <is>
          <t>Fitri</t>
        </is>
      </c>
      <c r="F857" t="inlineStr">
        <is>
          <t>TD01</t>
        </is>
      </c>
    </row>
    <row r="858">
      <c r="A858" t="inlineStr">
        <is>
          <t>admin2</t>
        </is>
      </c>
      <c r="B858" t="inlineStr">
        <is>
          <t>TD0201</t>
        </is>
      </c>
      <c r="C858" t="inlineStr">
        <is>
          <t>Borkou</t>
        </is>
      </c>
      <c r="D858" t="inlineStr">
        <is>
          <t>Borkou</t>
        </is>
      </c>
      <c r="F858" t="inlineStr">
        <is>
          <t>TD02</t>
        </is>
      </c>
    </row>
    <row r="859">
      <c r="A859" t="inlineStr">
        <is>
          <t>admin2</t>
        </is>
      </c>
      <c r="B859" t="inlineStr">
        <is>
          <t>TD0202</t>
        </is>
      </c>
      <c r="C859" t="inlineStr">
        <is>
          <t>Borkou Yala</t>
        </is>
      </c>
      <c r="D859" t="inlineStr">
        <is>
          <t>Borkou Yala</t>
        </is>
      </c>
      <c r="F859" t="inlineStr">
        <is>
          <t>TD02</t>
        </is>
      </c>
    </row>
    <row r="860">
      <c r="A860" t="inlineStr">
        <is>
          <t>admin2</t>
        </is>
      </c>
      <c r="B860" t="inlineStr">
        <is>
          <t>TD0301</t>
        </is>
      </c>
      <c r="C860" t="inlineStr">
        <is>
          <t>Baguirmi</t>
        </is>
      </c>
      <c r="D860" t="inlineStr">
        <is>
          <t>Baguirmi</t>
        </is>
      </c>
      <c r="F860" t="inlineStr">
        <is>
          <t>TD03</t>
        </is>
      </c>
    </row>
    <row r="861">
      <c r="A861" t="inlineStr">
        <is>
          <t>admin2</t>
        </is>
      </c>
      <c r="B861" t="inlineStr">
        <is>
          <t>TD0302</t>
        </is>
      </c>
      <c r="C861" t="inlineStr">
        <is>
          <t>Chari</t>
        </is>
      </c>
      <c r="D861" t="inlineStr">
        <is>
          <t>Chari</t>
        </is>
      </c>
      <c r="F861" t="inlineStr">
        <is>
          <t>TD03</t>
        </is>
      </c>
    </row>
    <row r="862">
      <c r="A862" t="inlineStr">
        <is>
          <t>admin2</t>
        </is>
      </c>
      <c r="B862" t="inlineStr">
        <is>
          <t>TD0303</t>
        </is>
      </c>
      <c r="C862" t="inlineStr">
        <is>
          <t>Loug-Chari</t>
        </is>
      </c>
      <c r="D862" t="inlineStr">
        <is>
          <t>Loug-Chari</t>
        </is>
      </c>
      <c r="F862" t="inlineStr">
        <is>
          <t>TD03</t>
        </is>
      </c>
    </row>
    <row r="863">
      <c r="A863" t="inlineStr">
        <is>
          <t>admin2</t>
        </is>
      </c>
      <c r="B863" t="inlineStr">
        <is>
          <t>TD0401</t>
        </is>
      </c>
      <c r="C863" t="inlineStr">
        <is>
          <t>Guéra</t>
        </is>
      </c>
      <c r="D863" t="inlineStr">
        <is>
          <t>Guéra</t>
        </is>
      </c>
      <c r="F863" t="inlineStr">
        <is>
          <t>TD04</t>
        </is>
      </c>
    </row>
    <row r="864">
      <c r="A864" t="inlineStr">
        <is>
          <t>admin2</t>
        </is>
      </c>
      <c r="B864" t="inlineStr">
        <is>
          <t>TD0402</t>
        </is>
      </c>
      <c r="C864" t="inlineStr">
        <is>
          <t>Abtouyour</t>
        </is>
      </c>
      <c r="D864" t="inlineStr">
        <is>
          <t>Abtouyour</t>
        </is>
      </c>
      <c r="F864" t="inlineStr">
        <is>
          <t>TD04</t>
        </is>
      </c>
    </row>
    <row r="865">
      <c r="A865" t="inlineStr">
        <is>
          <t>admin2</t>
        </is>
      </c>
      <c r="B865" t="inlineStr">
        <is>
          <t>TD0403</t>
        </is>
      </c>
      <c r="C865" t="inlineStr">
        <is>
          <t>Barh-Signaka</t>
        </is>
      </c>
      <c r="D865" t="inlineStr">
        <is>
          <t>Barh-Signaka</t>
        </is>
      </c>
      <c r="F865" t="inlineStr">
        <is>
          <t>TD04</t>
        </is>
      </c>
    </row>
    <row r="866">
      <c r="A866" t="inlineStr">
        <is>
          <t>admin2</t>
        </is>
      </c>
      <c r="B866" t="inlineStr">
        <is>
          <t>TD0404</t>
        </is>
      </c>
      <c r="C866" t="inlineStr">
        <is>
          <t>Mangalmé</t>
        </is>
      </c>
      <c r="D866" t="inlineStr">
        <is>
          <t>Mangalmé</t>
        </is>
      </c>
      <c r="F866" t="inlineStr">
        <is>
          <t>TD04</t>
        </is>
      </c>
    </row>
    <row r="867">
      <c r="A867" t="inlineStr">
        <is>
          <t>admin2</t>
        </is>
      </c>
      <c r="B867" t="inlineStr">
        <is>
          <t>TD0501</t>
        </is>
      </c>
      <c r="C867" t="inlineStr">
        <is>
          <t>Dagana</t>
        </is>
      </c>
      <c r="D867" t="inlineStr">
        <is>
          <t>Dagana</t>
        </is>
      </c>
      <c r="F867" t="inlineStr">
        <is>
          <t>TD05</t>
        </is>
      </c>
    </row>
    <row r="868">
      <c r="A868" t="inlineStr">
        <is>
          <t>admin2</t>
        </is>
      </c>
      <c r="B868" t="inlineStr">
        <is>
          <t>TD0502</t>
        </is>
      </c>
      <c r="C868" t="inlineStr">
        <is>
          <t>Dababa</t>
        </is>
      </c>
      <c r="D868" t="inlineStr">
        <is>
          <t>Dababa</t>
        </is>
      </c>
      <c r="F868" t="inlineStr">
        <is>
          <t>TD05</t>
        </is>
      </c>
    </row>
    <row r="869">
      <c r="A869" t="inlineStr">
        <is>
          <t>admin2</t>
        </is>
      </c>
      <c r="B869" t="inlineStr">
        <is>
          <t>TD0503</t>
        </is>
      </c>
      <c r="C869" t="inlineStr">
        <is>
          <t>Haraze-Al-Biar</t>
        </is>
      </c>
      <c r="D869" t="inlineStr">
        <is>
          <t>Haraze-Al-Biar</t>
        </is>
      </c>
      <c r="F869" t="inlineStr">
        <is>
          <t>TD05</t>
        </is>
      </c>
    </row>
    <row r="870">
      <c r="A870" t="inlineStr">
        <is>
          <t>admin2</t>
        </is>
      </c>
      <c r="B870" t="inlineStr">
        <is>
          <t>TD0601</t>
        </is>
      </c>
      <c r="C870" t="inlineStr">
        <is>
          <t>Kanem</t>
        </is>
      </c>
      <c r="D870" t="inlineStr">
        <is>
          <t>Kanem</t>
        </is>
      </c>
      <c r="F870" t="inlineStr">
        <is>
          <t>TD06</t>
        </is>
      </c>
    </row>
    <row r="871">
      <c r="A871" t="inlineStr">
        <is>
          <t>admin2</t>
        </is>
      </c>
      <c r="B871" t="inlineStr">
        <is>
          <t>TD0602</t>
        </is>
      </c>
      <c r="C871" t="inlineStr">
        <is>
          <t>Nord Kanem</t>
        </is>
      </c>
      <c r="D871" t="inlineStr">
        <is>
          <t>Nord Kanem</t>
        </is>
      </c>
      <c r="F871" t="inlineStr">
        <is>
          <t>TD06</t>
        </is>
      </c>
    </row>
    <row r="872">
      <c r="A872" t="inlineStr">
        <is>
          <t>admin2</t>
        </is>
      </c>
      <c r="B872" t="inlineStr">
        <is>
          <t>TD0603</t>
        </is>
      </c>
      <c r="C872" t="inlineStr">
        <is>
          <t>Wadi Bissam</t>
        </is>
      </c>
      <c r="D872" t="inlineStr">
        <is>
          <t>Wadi Bissam</t>
        </is>
      </c>
      <c r="F872" t="inlineStr">
        <is>
          <t>TD06</t>
        </is>
      </c>
    </row>
    <row r="873">
      <c r="A873" t="inlineStr">
        <is>
          <t>admin2</t>
        </is>
      </c>
      <c r="B873" t="inlineStr">
        <is>
          <t>TD0701</t>
        </is>
      </c>
      <c r="C873" t="inlineStr">
        <is>
          <t>Mamdi</t>
        </is>
      </c>
      <c r="D873" t="inlineStr">
        <is>
          <t>Mamdi</t>
        </is>
      </c>
      <c r="F873" t="inlineStr">
        <is>
          <t>TD07</t>
        </is>
      </c>
    </row>
    <row r="874">
      <c r="A874" t="inlineStr">
        <is>
          <t>admin2</t>
        </is>
      </c>
      <c r="B874" t="inlineStr">
        <is>
          <t>TD0702</t>
        </is>
      </c>
      <c r="C874" t="inlineStr">
        <is>
          <t>Wayi</t>
        </is>
      </c>
      <c r="D874" t="inlineStr">
        <is>
          <t>Wayi</t>
        </is>
      </c>
      <c r="F874" t="inlineStr">
        <is>
          <t>TD07</t>
        </is>
      </c>
    </row>
    <row r="875">
      <c r="A875" t="inlineStr">
        <is>
          <t>admin2</t>
        </is>
      </c>
      <c r="B875" t="inlineStr">
        <is>
          <t>TD0703</t>
        </is>
      </c>
      <c r="C875" t="inlineStr">
        <is>
          <t>Kaya</t>
        </is>
      </c>
      <c r="D875" t="inlineStr">
        <is>
          <t>Kaya</t>
        </is>
      </c>
      <c r="F875" t="inlineStr">
        <is>
          <t>TD07</t>
        </is>
      </c>
    </row>
    <row r="876">
      <c r="A876" t="inlineStr">
        <is>
          <t>admin2</t>
        </is>
      </c>
      <c r="B876" t="inlineStr">
        <is>
          <t>TD0704</t>
        </is>
      </c>
      <c r="C876" t="inlineStr">
        <is>
          <t>Fouli</t>
        </is>
      </c>
      <c r="D876" t="inlineStr">
        <is>
          <t>Fouli</t>
        </is>
      </c>
      <c r="F876" t="inlineStr">
        <is>
          <t>TD07</t>
        </is>
      </c>
    </row>
    <row r="877">
      <c r="A877" t="inlineStr">
        <is>
          <t>admin2</t>
        </is>
      </c>
      <c r="B877" t="inlineStr">
        <is>
          <t>TD0801</t>
        </is>
      </c>
      <c r="C877" t="inlineStr">
        <is>
          <t>Lac Wey</t>
        </is>
      </c>
      <c r="D877" t="inlineStr">
        <is>
          <t>Lac Wey</t>
        </is>
      </c>
      <c r="F877" t="inlineStr">
        <is>
          <t>TD08</t>
        </is>
      </c>
    </row>
    <row r="878">
      <c r="A878" t="inlineStr">
        <is>
          <t>admin2</t>
        </is>
      </c>
      <c r="B878" t="inlineStr">
        <is>
          <t>TD0802</t>
        </is>
      </c>
      <c r="C878" t="inlineStr">
        <is>
          <t>Dodjé</t>
        </is>
      </c>
      <c r="D878" t="inlineStr">
        <is>
          <t>Dodjé</t>
        </is>
      </c>
      <c r="F878" t="inlineStr">
        <is>
          <t>TD08</t>
        </is>
      </c>
    </row>
    <row r="879">
      <c r="A879" t="inlineStr">
        <is>
          <t>admin2</t>
        </is>
      </c>
      <c r="B879" t="inlineStr">
        <is>
          <t>TD0803</t>
        </is>
      </c>
      <c r="C879" t="inlineStr">
        <is>
          <t>Guéni</t>
        </is>
      </c>
      <c r="D879" t="inlineStr">
        <is>
          <t>Guéni</t>
        </is>
      </c>
      <c r="F879" t="inlineStr">
        <is>
          <t>TD08</t>
        </is>
      </c>
    </row>
    <row r="880">
      <c r="A880" t="inlineStr">
        <is>
          <t>admin2</t>
        </is>
      </c>
      <c r="B880" t="inlineStr">
        <is>
          <t>TD0804</t>
        </is>
      </c>
      <c r="C880" t="inlineStr">
        <is>
          <t>Ngourkosso</t>
        </is>
      </c>
      <c r="D880" t="inlineStr">
        <is>
          <t>Ngourkosso</t>
        </is>
      </c>
      <c r="F880" t="inlineStr">
        <is>
          <t>TD08</t>
        </is>
      </c>
    </row>
    <row r="881">
      <c r="A881" t="inlineStr">
        <is>
          <t>admin2</t>
        </is>
      </c>
      <c r="B881" t="inlineStr">
        <is>
          <t>TD0901</t>
        </is>
      </c>
      <c r="C881" t="inlineStr">
        <is>
          <t>La Pendé</t>
        </is>
      </c>
      <c r="D881" t="inlineStr">
        <is>
          <t>La Pendé</t>
        </is>
      </c>
      <c r="F881" t="inlineStr">
        <is>
          <t>TD09</t>
        </is>
      </c>
    </row>
    <row r="882">
      <c r="A882" t="inlineStr">
        <is>
          <t>admin2</t>
        </is>
      </c>
      <c r="B882" t="inlineStr">
        <is>
          <t>TD0902</t>
        </is>
      </c>
      <c r="C882" t="inlineStr">
        <is>
          <t>Kouh Est</t>
        </is>
      </c>
      <c r="D882" t="inlineStr">
        <is>
          <t>Kouh Est</t>
        </is>
      </c>
      <c r="F882" t="inlineStr">
        <is>
          <t>TD09</t>
        </is>
      </c>
    </row>
    <row r="883">
      <c r="A883" t="inlineStr">
        <is>
          <t>admin2</t>
        </is>
      </c>
      <c r="B883" t="inlineStr">
        <is>
          <t>TD0903</t>
        </is>
      </c>
      <c r="C883" t="inlineStr">
        <is>
          <t>Kouh Ouest</t>
        </is>
      </c>
      <c r="D883" t="inlineStr">
        <is>
          <t>Kouh Ouest</t>
        </is>
      </c>
      <c r="F883" t="inlineStr">
        <is>
          <t>TD09</t>
        </is>
      </c>
    </row>
    <row r="884">
      <c r="A884" t="inlineStr">
        <is>
          <t>admin2</t>
        </is>
      </c>
      <c r="B884" t="inlineStr">
        <is>
          <t>TD0904</t>
        </is>
      </c>
      <c r="C884" t="inlineStr">
        <is>
          <t>La Nya</t>
        </is>
      </c>
      <c r="D884" t="inlineStr">
        <is>
          <t>La Nya</t>
        </is>
      </c>
      <c r="F884" t="inlineStr">
        <is>
          <t>TD09</t>
        </is>
      </c>
    </row>
    <row r="885">
      <c r="A885" t="inlineStr">
        <is>
          <t>admin2</t>
        </is>
      </c>
      <c r="B885" t="inlineStr">
        <is>
          <t>TD0905</t>
        </is>
      </c>
      <c r="C885" t="inlineStr">
        <is>
          <t>La Nya Pendé</t>
        </is>
      </c>
      <c r="D885" t="inlineStr">
        <is>
          <t>La Nya Pendé</t>
        </is>
      </c>
      <c r="F885" t="inlineStr">
        <is>
          <t>TD09</t>
        </is>
      </c>
    </row>
    <row r="886">
      <c r="A886" t="inlineStr">
        <is>
          <t>admin2</t>
        </is>
      </c>
      <c r="B886" t="inlineStr">
        <is>
          <t>TD0906</t>
        </is>
      </c>
      <c r="C886" t="inlineStr">
        <is>
          <t>Monts de Lam</t>
        </is>
      </c>
      <c r="D886" t="inlineStr">
        <is>
          <t>Monts de Lam</t>
        </is>
      </c>
      <c r="F886" t="inlineStr">
        <is>
          <t>TD09</t>
        </is>
      </c>
    </row>
    <row r="887">
      <c r="A887" t="inlineStr">
        <is>
          <t>admin2</t>
        </is>
      </c>
      <c r="B887" t="inlineStr">
        <is>
          <t>TD1001</t>
        </is>
      </c>
      <c r="C887" t="inlineStr">
        <is>
          <t>Mandoul Oriental</t>
        </is>
      </c>
      <c r="D887" t="inlineStr">
        <is>
          <t>Mandoul Oriental</t>
        </is>
      </c>
      <c r="F887" t="inlineStr">
        <is>
          <t>TD10</t>
        </is>
      </c>
    </row>
    <row r="888">
      <c r="A888" t="inlineStr">
        <is>
          <t>admin2</t>
        </is>
      </c>
      <c r="B888" t="inlineStr">
        <is>
          <t>TD1002</t>
        </is>
      </c>
      <c r="C888" t="inlineStr">
        <is>
          <t>Barh-Sara</t>
        </is>
      </c>
      <c r="D888" t="inlineStr">
        <is>
          <t>Barh-Sara</t>
        </is>
      </c>
      <c r="F888" t="inlineStr">
        <is>
          <t>TD10</t>
        </is>
      </c>
    </row>
    <row r="889">
      <c r="A889" t="inlineStr">
        <is>
          <t>admin2</t>
        </is>
      </c>
      <c r="B889" t="inlineStr">
        <is>
          <t>TD1003</t>
        </is>
      </c>
      <c r="C889" t="inlineStr">
        <is>
          <t>Mandoul Occidental</t>
        </is>
      </c>
      <c r="D889" t="inlineStr">
        <is>
          <t>Mandoul Occidental</t>
        </is>
      </c>
      <c r="F889" t="inlineStr">
        <is>
          <t>TD10</t>
        </is>
      </c>
    </row>
    <row r="890">
      <c r="A890" t="inlineStr">
        <is>
          <t>admin2</t>
        </is>
      </c>
      <c r="B890" t="inlineStr">
        <is>
          <t>TD1101</t>
        </is>
      </c>
      <c r="C890" t="inlineStr">
        <is>
          <t>Mayo-Boneye</t>
        </is>
      </c>
      <c r="D890" t="inlineStr">
        <is>
          <t>Mayo-Boneye</t>
        </is>
      </c>
      <c r="F890" t="inlineStr">
        <is>
          <t>TD11</t>
        </is>
      </c>
    </row>
    <row r="891">
      <c r="A891" t="inlineStr">
        <is>
          <t>admin2</t>
        </is>
      </c>
      <c r="B891" t="inlineStr">
        <is>
          <t>TD1102</t>
        </is>
      </c>
      <c r="C891" t="inlineStr">
        <is>
          <t>Kabbia</t>
        </is>
      </c>
      <c r="D891" t="inlineStr">
        <is>
          <t>Kabbia</t>
        </is>
      </c>
      <c r="F891" t="inlineStr">
        <is>
          <t>TD11</t>
        </is>
      </c>
    </row>
    <row r="892">
      <c r="A892" t="inlineStr">
        <is>
          <t>admin2</t>
        </is>
      </c>
      <c r="B892" t="inlineStr">
        <is>
          <t>TD1103</t>
        </is>
      </c>
      <c r="C892" t="inlineStr">
        <is>
          <t>Mayo-Lemié</t>
        </is>
      </c>
      <c r="D892" t="inlineStr">
        <is>
          <t>Mayo-Lemié</t>
        </is>
      </c>
      <c r="F892" t="inlineStr">
        <is>
          <t>TD11</t>
        </is>
      </c>
    </row>
    <row r="893">
      <c r="A893" t="inlineStr">
        <is>
          <t>admin2</t>
        </is>
      </c>
      <c r="B893" t="inlineStr">
        <is>
          <t>TD1104</t>
        </is>
      </c>
      <c r="C893" t="inlineStr">
        <is>
          <t>Mont Illi</t>
        </is>
      </c>
      <c r="D893" t="inlineStr">
        <is>
          <t>Mont Illi</t>
        </is>
      </c>
      <c r="F893" t="inlineStr">
        <is>
          <t>TD11</t>
        </is>
      </c>
    </row>
    <row r="894">
      <c r="A894" t="inlineStr">
        <is>
          <t>admin2</t>
        </is>
      </c>
      <c r="B894" t="inlineStr">
        <is>
          <t>TD1201</t>
        </is>
      </c>
      <c r="C894" t="inlineStr">
        <is>
          <t>Mayo-Dallah</t>
        </is>
      </c>
      <c r="D894" t="inlineStr">
        <is>
          <t>Mayo-Dallah</t>
        </is>
      </c>
      <c r="F894" t="inlineStr">
        <is>
          <t>TD12</t>
        </is>
      </c>
    </row>
    <row r="895">
      <c r="A895" t="inlineStr">
        <is>
          <t>admin2</t>
        </is>
      </c>
      <c r="B895" t="inlineStr">
        <is>
          <t>TD1202</t>
        </is>
      </c>
      <c r="C895" t="inlineStr">
        <is>
          <t>Lac Léré</t>
        </is>
      </c>
      <c r="D895" t="inlineStr">
        <is>
          <t>Lac Léré</t>
        </is>
      </c>
      <c r="F895" t="inlineStr">
        <is>
          <t>TD12</t>
        </is>
      </c>
    </row>
    <row r="896">
      <c r="A896" t="inlineStr">
        <is>
          <t>admin2</t>
        </is>
      </c>
      <c r="B896" t="inlineStr">
        <is>
          <t>TD1203</t>
        </is>
      </c>
      <c r="C896" t="inlineStr">
        <is>
          <t>Mayo-Binder</t>
        </is>
      </c>
      <c r="D896" t="inlineStr">
        <is>
          <t>Mayo-Binder</t>
        </is>
      </c>
      <c r="F896" t="inlineStr">
        <is>
          <t>TD12</t>
        </is>
      </c>
    </row>
    <row r="897">
      <c r="A897" t="inlineStr">
        <is>
          <t>admin2</t>
        </is>
      </c>
      <c r="B897" t="inlineStr">
        <is>
          <t>TD1301</t>
        </is>
      </c>
      <c r="C897" t="inlineStr">
        <is>
          <t>Bahr-Köh</t>
        </is>
      </c>
      <c r="D897" t="inlineStr">
        <is>
          <t>Bahr-Köh</t>
        </is>
      </c>
      <c r="F897" t="inlineStr">
        <is>
          <t>TD13</t>
        </is>
      </c>
    </row>
    <row r="898">
      <c r="A898" t="inlineStr">
        <is>
          <t>admin2</t>
        </is>
      </c>
      <c r="B898" t="inlineStr">
        <is>
          <t>TD1302</t>
        </is>
      </c>
      <c r="C898" t="inlineStr">
        <is>
          <t>Grande Sido</t>
        </is>
      </c>
      <c r="D898" t="inlineStr">
        <is>
          <t>Grande Sido</t>
        </is>
      </c>
      <c r="F898" t="inlineStr">
        <is>
          <t>TD13</t>
        </is>
      </c>
    </row>
    <row r="899">
      <c r="A899" t="inlineStr">
        <is>
          <t>admin2</t>
        </is>
      </c>
      <c r="B899" t="inlineStr">
        <is>
          <t>TD1303</t>
        </is>
      </c>
      <c r="C899" t="inlineStr">
        <is>
          <t>Lac Iro</t>
        </is>
      </c>
      <c r="D899" t="inlineStr">
        <is>
          <t>Lac Iro</t>
        </is>
      </c>
      <c r="F899" t="inlineStr">
        <is>
          <t>TD13</t>
        </is>
      </c>
    </row>
    <row r="900">
      <c r="A900" t="inlineStr">
        <is>
          <t>admin2</t>
        </is>
      </c>
      <c r="B900" t="inlineStr">
        <is>
          <t>TD1401</t>
        </is>
      </c>
      <c r="C900" t="inlineStr">
        <is>
          <t>Ouara</t>
        </is>
      </c>
      <c r="D900" t="inlineStr">
        <is>
          <t>Ouara</t>
        </is>
      </c>
      <c r="F900" t="inlineStr">
        <is>
          <t>TD14</t>
        </is>
      </c>
    </row>
    <row r="901">
      <c r="A901" t="inlineStr">
        <is>
          <t>admin2</t>
        </is>
      </c>
      <c r="B901" t="inlineStr">
        <is>
          <t>TD1402</t>
        </is>
      </c>
      <c r="C901" t="inlineStr">
        <is>
          <t>Abdi</t>
        </is>
      </c>
      <c r="D901" t="inlineStr">
        <is>
          <t>Abdi</t>
        </is>
      </c>
      <c r="F901" t="inlineStr">
        <is>
          <t>TD14</t>
        </is>
      </c>
    </row>
    <row r="902">
      <c r="A902" t="inlineStr">
        <is>
          <t>admin2</t>
        </is>
      </c>
      <c r="B902" t="inlineStr">
        <is>
          <t>TD1403</t>
        </is>
      </c>
      <c r="C902" t="inlineStr">
        <is>
          <t>Assoungha</t>
        </is>
      </c>
      <c r="D902" t="inlineStr">
        <is>
          <t>Assoungha</t>
        </is>
      </c>
      <c r="F902" t="inlineStr">
        <is>
          <t>TD14</t>
        </is>
      </c>
    </row>
    <row r="903">
      <c r="A903" t="inlineStr">
        <is>
          <t>admin2</t>
        </is>
      </c>
      <c r="B903" t="inlineStr">
        <is>
          <t>TD1404</t>
        </is>
      </c>
      <c r="C903" t="inlineStr">
        <is>
          <t>Camp des réfugiés</t>
        </is>
      </c>
      <c r="D903" t="inlineStr">
        <is>
          <t>Camp des réfugiés</t>
        </is>
      </c>
      <c r="F903" t="inlineStr">
        <is>
          <t>TD14</t>
        </is>
      </c>
    </row>
    <row r="904">
      <c r="A904" t="inlineStr">
        <is>
          <t>admin2</t>
        </is>
      </c>
      <c r="B904" t="inlineStr">
        <is>
          <t>TD1405</t>
        </is>
      </c>
      <c r="C904" t="inlineStr">
        <is>
          <t>Villages retournées</t>
        </is>
      </c>
      <c r="D904" t="inlineStr">
        <is>
          <t>Villages retournées</t>
        </is>
      </c>
      <c r="F904" t="inlineStr">
        <is>
          <t>TD14</t>
        </is>
      </c>
    </row>
    <row r="905">
      <c r="A905" t="inlineStr">
        <is>
          <t>admin2</t>
        </is>
      </c>
      <c r="B905" t="inlineStr">
        <is>
          <t>TD1501</t>
        </is>
      </c>
      <c r="C905" t="inlineStr">
        <is>
          <t>Bahr-Azoum</t>
        </is>
      </c>
      <c r="D905" t="inlineStr">
        <is>
          <t>Bahr-Azoum</t>
        </is>
      </c>
      <c r="F905" t="inlineStr">
        <is>
          <t>TD15</t>
        </is>
      </c>
    </row>
    <row r="906">
      <c r="A906" t="inlineStr">
        <is>
          <t>admin2</t>
        </is>
      </c>
      <c r="B906" t="inlineStr">
        <is>
          <t>TD1502</t>
        </is>
      </c>
      <c r="C906" t="inlineStr">
        <is>
          <t>Aboudéia</t>
        </is>
      </c>
      <c r="D906" t="inlineStr">
        <is>
          <t>Aboudéia</t>
        </is>
      </c>
      <c r="F906" t="inlineStr">
        <is>
          <t>TD15</t>
        </is>
      </c>
    </row>
    <row r="907">
      <c r="A907" t="inlineStr">
        <is>
          <t>admin2</t>
        </is>
      </c>
      <c r="B907" t="inlineStr">
        <is>
          <t>TD1503</t>
        </is>
      </c>
      <c r="C907" t="inlineStr">
        <is>
          <t>Haraze-Mangueigne</t>
        </is>
      </c>
      <c r="D907" t="inlineStr">
        <is>
          <t>Haraze-Mangueigne</t>
        </is>
      </c>
      <c r="F907" t="inlineStr">
        <is>
          <t>TD15</t>
        </is>
      </c>
    </row>
    <row r="908">
      <c r="A908" t="inlineStr">
        <is>
          <t>admin2</t>
        </is>
      </c>
      <c r="B908" t="inlineStr">
        <is>
          <t>TD1601</t>
        </is>
      </c>
      <c r="C908" t="inlineStr">
        <is>
          <t>Tandjilé Est</t>
        </is>
      </c>
      <c r="D908" t="inlineStr">
        <is>
          <t>Tandjilé Est</t>
        </is>
      </c>
      <c r="F908" t="inlineStr">
        <is>
          <t>TD16</t>
        </is>
      </c>
    </row>
    <row r="909">
      <c r="A909" t="inlineStr">
        <is>
          <t>admin2</t>
        </is>
      </c>
      <c r="B909" t="inlineStr">
        <is>
          <t>TD1602</t>
        </is>
      </c>
      <c r="C909" t="inlineStr">
        <is>
          <t>Tandjile Ouest</t>
        </is>
      </c>
      <c r="D909" t="inlineStr">
        <is>
          <t>Tandjile Ouest</t>
        </is>
      </c>
      <c r="F909" t="inlineStr">
        <is>
          <t>TD16</t>
        </is>
      </c>
    </row>
    <row r="910">
      <c r="A910" t="inlineStr">
        <is>
          <t>admin2</t>
        </is>
      </c>
      <c r="B910" t="inlineStr">
        <is>
          <t>TD1603</t>
        </is>
      </c>
      <c r="C910" t="inlineStr">
        <is>
          <t>Tandjilé Centre</t>
        </is>
      </c>
      <c r="D910" t="inlineStr">
        <is>
          <t>Tandjilé Centre</t>
        </is>
      </c>
      <c r="F910" t="inlineStr">
        <is>
          <t>TD16</t>
        </is>
      </c>
    </row>
    <row r="911">
      <c r="A911" t="inlineStr">
        <is>
          <t>admin2</t>
        </is>
      </c>
      <c r="B911" t="inlineStr">
        <is>
          <t>TD1701</t>
        </is>
      </c>
      <c r="C911" t="inlineStr">
        <is>
          <t>Biltine</t>
        </is>
      </c>
      <c r="D911" t="inlineStr">
        <is>
          <t>Biltine</t>
        </is>
      </c>
      <c r="F911" t="inlineStr">
        <is>
          <t>TD17</t>
        </is>
      </c>
    </row>
    <row r="912">
      <c r="A912" t="inlineStr">
        <is>
          <t>admin2</t>
        </is>
      </c>
      <c r="B912" t="inlineStr">
        <is>
          <t>TD1702</t>
        </is>
      </c>
      <c r="C912" t="inlineStr">
        <is>
          <t>Dar-Tama</t>
        </is>
      </c>
      <c r="D912" t="inlineStr">
        <is>
          <t>Dar-Tama</t>
        </is>
      </c>
      <c r="F912" t="inlineStr">
        <is>
          <t>TD17</t>
        </is>
      </c>
    </row>
    <row r="913">
      <c r="A913" t="inlineStr">
        <is>
          <t>admin2</t>
        </is>
      </c>
      <c r="B913" t="inlineStr">
        <is>
          <t>TD1703</t>
        </is>
      </c>
      <c r="C913" t="inlineStr">
        <is>
          <t>Kobé</t>
        </is>
      </c>
      <c r="D913" t="inlineStr">
        <is>
          <t>Kobé</t>
        </is>
      </c>
      <c r="F913" t="inlineStr">
        <is>
          <t>TD17</t>
        </is>
      </c>
    </row>
    <row r="914">
      <c r="A914" t="inlineStr">
        <is>
          <t>admin2</t>
        </is>
      </c>
      <c r="B914" t="inlineStr">
        <is>
          <t>TD1704</t>
        </is>
      </c>
      <c r="C914" t="inlineStr">
        <is>
          <t>Mégri</t>
        </is>
      </c>
      <c r="D914" t="inlineStr">
        <is>
          <t>Mégri</t>
        </is>
      </c>
      <c r="F914" t="inlineStr">
        <is>
          <t>TD17</t>
        </is>
      </c>
    </row>
    <row r="915">
      <c r="A915" t="inlineStr">
        <is>
          <t>admin2</t>
        </is>
      </c>
      <c r="B915" t="inlineStr">
        <is>
          <t>TD1705</t>
        </is>
      </c>
      <c r="C915" t="inlineStr">
        <is>
          <t>Camp des réfugiés</t>
        </is>
      </c>
      <c r="D915" t="inlineStr">
        <is>
          <t>Camp des réfugiés</t>
        </is>
      </c>
      <c r="F915" t="inlineStr">
        <is>
          <t>TD17</t>
        </is>
      </c>
    </row>
    <row r="916">
      <c r="A916" t="inlineStr">
        <is>
          <t>admin2</t>
        </is>
      </c>
      <c r="B916" t="inlineStr">
        <is>
          <t>TD1706</t>
        </is>
      </c>
      <c r="C916" t="inlineStr">
        <is>
          <t>Villages retournées</t>
        </is>
      </c>
      <c r="D916" t="inlineStr">
        <is>
          <t>Villages retournées</t>
        </is>
      </c>
      <c r="F916" t="inlineStr">
        <is>
          <t>TD17</t>
        </is>
      </c>
    </row>
    <row r="917">
      <c r="A917" t="inlineStr">
        <is>
          <t>admin2</t>
        </is>
      </c>
      <c r="B917" t="inlineStr">
        <is>
          <t>TD1801</t>
        </is>
      </c>
      <c r="C917" t="inlineStr">
        <is>
          <t>N'Djaména</t>
        </is>
      </c>
      <c r="D917" t="inlineStr">
        <is>
          <t>N'Djaména</t>
        </is>
      </c>
      <c r="F917" t="inlineStr">
        <is>
          <t>TD18</t>
        </is>
      </c>
    </row>
    <row r="918">
      <c r="A918" t="inlineStr">
        <is>
          <t>admin2</t>
        </is>
      </c>
      <c r="B918" t="inlineStr">
        <is>
          <t>TD1901</t>
        </is>
      </c>
      <c r="C918" t="inlineStr">
        <is>
          <t>Barh-El-Gazel Sud</t>
        </is>
      </c>
      <c r="D918" t="inlineStr">
        <is>
          <t>Barh-El-Gazel Sud</t>
        </is>
      </c>
      <c r="F918" t="inlineStr">
        <is>
          <t>TD19</t>
        </is>
      </c>
    </row>
    <row r="919">
      <c r="A919" t="inlineStr">
        <is>
          <t>admin2</t>
        </is>
      </c>
      <c r="B919" t="inlineStr">
        <is>
          <t>TD1902</t>
        </is>
      </c>
      <c r="C919" t="inlineStr">
        <is>
          <t>Barh-El-Gazel Nord</t>
        </is>
      </c>
      <c r="D919" t="inlineStr">
        <is>
          <t>Barh-El-Gazel Nord</t>
        </is>
      </c>
      <c r="F919" t="inlineStr">
        <is>
          <t>TD19</t>
        </is>
      </c>
    </row>
    <row r="920">
      <c r="A920" t="inlineStr">
        <is>
          <t>admin2</t>
        </is>
      </c>
      <c r="B920" t="inlineStr">
        <is>
          <t>TD1903</t>
        </is>
      </c>
      <c r="C920" t="inlineStr">
        <is>
          <t>Barh-El-Gazel Ouest</t>
        </is>
      </c>
      <c r="D920" t="inlineStr">
        <is>
          <t>Barh-El-Gazel Ouest</t>
        </is>
      </c>
      <c r="F920" t="inlineStr">
        <is>
          <t>TD19</t>
        </is>
      </c>
    </row>
    <row r="921">
      <c r="A921" t="inlineStr">
        <is>
          <t>admin2</t>
        </is>
      </c>
      <c r="B921" t="inlineStr">
        <is>
          <t>TD2001</t>
        </is>
      </c>
      <c r="C921" t="inlineStr">
        <is>
          <t>Am-Djarass</t>
        </is>
      </c>
      <c r="D921" t="inlineStr">
        <is>
          <t>Am-Djarass</t>
        </is>
      </c>
      <c r="F921" t="inlineStr">
        <is>
          <t>TD20</t>
        </is>
      </c>
    </row>
    <row r="922">
      <c r="A922" t="inlineStr">
        <is>
          <t>admin2</t>
        </is>
      </c>
      <c r="B922" t="inlineStr">
        <is>
          <t>TD2002</t>
        </is>
      </c>
      <c r="C922" t="inlineStr">
        <is>
          <t>Wadi Hawar</t>
        </is>
      </c>
      <c r="D922" t="inlineStr">
        <is>
          <t>Wadi Hawar</t>
        </is>
      </c>
      <c r="F922" t="inlineStr">
        <is>
          <t>TD20</t>
        </is>
      </c>
    </row>
    <row r="923">
      <c r="A923" t="inlineStr">
        <is>
          <t>admin2</t>
        </is>
      </c>
      <c r="B923" t="inlineStr">
        <is>
          <t>TD2101</t>
        </is>
      </c>
      <c r="C923" t="inlineStr">
        <is>
          <t>Kimiti</t>
        </is>
      </c>
      <c r="D923" t="inlineStr">
        <is>
          <t>Kimiti</t>
        </is>
      </c>
      <c r="F923" t="inlineStr">
        <is>
          <t>TD21</t>
        </is>
      </c>
    </row>
    <row r="924">
      <c r="A924" t="inlineStr">
        <is>
          <t>admin2</t>
        </is>
      </c>
      <c r="B924" t="inlineStr">
        <is>
          <t>TD2102</t>
        </is>
      </c>
      <c r="C924" t="inlineStr">
        <is>
          <t>Djourf Al Ahmar</t>
        </is>
      </c>
      <c r="D924" t="inlineStr">
        <is>
          <t>Djourf Al Ahmar</t>
        </is>
      </c>
      <c r="F924" t="inlineStr">
        <is>
          <t>TD21</t>
        </is>
      </c>
    </row>
    <row r="925">
      <c r="A925" t="inlineStr">
        <is>
          <t>admin2</t>
        </is>
      </c>
      <c r="B925" t="inlineStr">
        <is>
          <t>TD2103</t>
        </is>
      </c>
      <c r="C925" t="inlineStr">
        <is>
          <t>Camp des réfugiés</t>
        </is>
      </c>
      <c r="D925" t="inlineStr">
        <is>
          <t>Camp des réfugiés</t>
        </is>
      </c>
      <c r="F925" t="inlineStr">
        <is>
          <t>TD21</t>
        </is>
      </c>
    </row>
    <row r="926">
      <c r="A926" t="inlineStr">
        <is>
          <t>admin2</t>
        </is>
      </c>
      <c r="B926" t="inlineStr">
        <is>
          <t>TD2104</t>
        </is>
      </c>
      <c r="C926" t="inlineStr">
        <is>
          <t>Villages retournées</t>
        </is>
      </c>
      <c r="D926" t="inlineStr">
        <is>
          <t>Villages retournées</t>
        </is>
      </c>
      <c r="F926" t="inlineStr">
        <is>
          <t>TD21</t>
        </is>
      </c>
    </row>
    <row r="927">
      <c r="A927" t="inlineStr">
        <is>
          <t>admin2</t>
        </is>
      </c>
      <c r="B927" t="inlineStr">
        <is>
          <t>TD2201</t>
        </is>
      </c>
      <c r="C927" t="inlineStr">
        <is>
          <t>Tibesti Est</t>
        </is>
      </c>
      <c r="D927" t="inlineStr">
        <is>
          <t>Tibesti Est</t>
        </is>
      </c>
      <c r="F927" t="inlineStr">
        <is>
          <t>TD22</t>
        </is>
      </c>
    </row>
    <row r="928">
      <c r="A928" t="inlineStr">
        <is>
          <t>admin2</t>
        </is>
      </c>
      <c r="B928" t="inlineStr">
        <is>
          <t>TD2202</t>
        </is>
      </c>
      <c r="C928" t="inlineStr">
        <is>
          <t>Tibesti Ouest</t>
        </is>
      </c>
      <c r="D928" t="inlineStr">
        <is>
          <t>Tibesti Ouest</t>
        </is>
      </c>
      <c r="F928" t="inlineStr">
        <is>
          <t>TD22</t>
        </is>
      </c>
    </row>
    <row r="929">
      <c r="A929" t="inlineStr">
        <is>
          <t>admin2</t>
        </is>
      </c>
      <c r="B929" t="inlineStr">
        <is>
          <t>TD2301</t>
        </is>
      </c>
      <c r="C929" t="inlineStr">
        <is>
          <t>Fada</t>
        </is>
      </c>
      <c r="D929" t="inlineStr">
        <is>
          <t>Fada</t>
        </is>
      </c>
      <c r="F929" t="inlineStr">
        <is>
          <t>TD23</t>
        </is>
      </c>
    </row>
    <row r="930">
      <c r="A930" t="inlineStr">
        <is>
          <t>admin2</t>
        </is>
      </c>
      <c r="B930" t="inlineStr">
        <is>
          <t>TD2303</t>
        </is>
      </c>
      <c r="C930" t="inlineStr">
        <is>
          <t>Mourtcha</t>
        </is>
      </c>
      <c r="D930" t="inlineStr">
        <is>
          <t>Mourtcha</t>
        </is>
      </c>
      <c r="F930" t="inlineStr">
        <is>
          <t>TD23</t>
        </is>
      </c>
    </row>
    <row r="931"/>
    <row r="932">
      <c r="A932" t="inlineStr">
        <is>
          <t>crop</t>
        </is>
      </c>
      <c r="B932" t="inlineStr">
        <is>
          <t>1.1</t>
        </is>
      </c>
      <c r="C932" t="inlineStr">
        <is>
          <t>Riz</t>
        </is>
      </c>
    </row>
    <row r="933">
      <c r="A933" t="inlineStr">
        <is>
          <t>crop</t>
        </is>
      </c>
      <c r="B933" t="inlineStr">
        <is>
          <t>1.2</t>
        </is>
      </c>
      <c r="C933" t="inlineStr">
        <is>
          <t>Blé</t>
        </is>
      </c>
    </row>
    <row r="934">
      <c r="A934" t="inlineStr">
        <is>
          <t>crop</t>
        </is>
      </c>
      <c r="B934" t="inlineStr">
        <is>
          <t>1.3</t>
        </is>
      </c>
      <c r="C934" t="inlineStr">
        <is>
          <t>Mil</t>
        </is>
      </c>
    </row>
    <row r="935">
      <c r="A935" t="inlineStr">
        <is>
          <t>crop</t>
        </is>
      </c>
      <c r="B935" t="inlineStr">
        <is>
          <t>1.4</t>
        </is>
      </c>
      <c r="C935" t="inlineStr">
        <is>
          <t>Sorgho</t>
        </is>
      </c>
    </row>
    <row r="936">
      <c r="A936" t="inlineStr">
        <is>
          <t>crop</t>
        </is>
      </c>
      <c r="B936" t="inlineStr">
        <is>
          <t>1.5</t>
        </is>
      </c>
      <c r="C936" t="inlineStr">
        <is>
          <t>Maïs</t>
        </is>
      </c>
    </row>
    <row r="937">
      <c r="A937" t="inlineStr">
        <is>
          <t>crop</t>
        </is>
      </c>
      <c r="B937" t="inlineStr">
        <is>
          <t>2.3</t>
        </is>
      </c>
      <c r="C937" t="inlineStr">
        <is>
          <t>Patates douces</t>
        </is>
      </c>
    </row>
    <row r="938">
      <c r="A938" t="inlineStr">
        <is>
          <t>crop</t>
        </is>
      </c>
      <c r="B938" t="inlineStr">
        <is>
          <t>3.1</t>
        </is>
      </c>
      <c r="C938" t="inlineStr">
        <is>
          <t>Haricots</t>
        </is>
      </c>
    </row>
    <row r="939">
      <c r="A939" t="inlineStr">
        <is>
          <t>crop</t>
        </is>
      </c>
      <c r="B939" t="inlineStr">
        <is>
          <t>4.1</t>
        </is>
      </c>
      <c r="C939" t="inlineStr">
        <is>
          <t>Choux</t>
        </is>
      </c>
    </row>
    <row r="940">
      <c r="A940" t="inlineStr">
        <is>
          <t>crop</t>
        </is>
      </c>
      <c r="B940" t="inlineStr">
        <is>
          <t>5.8</t>
        </is>
      </c>
      <c r="C940" t="inlineStr">
        <is>
          <t>Oignons</t>
        </is>
      </c>
    </row>
    <row r="941">
      <c r="A941" t="inlineStr">
        <is>
          <t>crop</t>
        </is>
      </c>
      <c r="B941" t="inlineStr">
        <is>
          <t>7.8</t>
        </is>
      </c>
      <c r="C941" t="inlineStr">
        <is>
          <t>Pastèques</t>
        </is>
      </c>
    </row>
    <row r="942">
      <c r="A942" t="inlineStr">
        <is>
          <t>crop</t>
        </is>
      </c>
      <c r="B942" t="inlineStr">
        <is>
          <t>7.9</t>
        </is>
      </c>
      <c r="C942" t="inlineStr">
        <is>
          <t>Dattes</t>
        </is>
      </c>
    </row>
    <row r="943">
      <c r="A943" t="inlineStr">
        <is>
          <t>crop</t>
        </is>
      </c>
      <c r="B943" t="inlineStr">
        <is>
          <t>8.2</t>
        </is>
      </c>
      <c r="C943" t="inlineStr">
        <is>
          <t>Arachide / cacahuète</t>
        </is>
      </c>
    </row>
    <row r="944">
      <c r="A944" t="inlineStr">
        <is>
          <t>crop</t>
        </is>
      </c>
      <c r="B944" t="inlineStr">
        <is>
          <t>8.5</t>
        </is>
      </c>
      <c r="C944" t="inlineStr">
        <is>
          <t>Sésame</t>
        </is>
      </c>
    </row>
    <row r="945">
      <c r="A945" t="inlineStr">
        <is>
          <t>crop</t>
        </is>
      </c>
      <c r="B945" t="inlineStr">
        <is>
          <t>1.6</t>
        </is>
      </c>
      <c r="C945" t="inlineStr">
        <is>
          <t>Orge</t>
        </is>
      </c>
    </row>
    <row r="946">
      <c r="A946" t="inlineStr">
        <is>
          <t>crop</t>
        </is>
      </c>
      <c r="B946" t="inlineStr">
        <is>
          <t>1.99</t>
        </is>
      </c>
      <c r="C946" t="inlineStr">
        <is>
          <t>Autres céréales</t>
        </is>
      </c>
    </row>
    <row r="947">
      <c r="A947" t="inlineStr">
        <is>
          <t>crop</t>
        </is>
      </c>
      <c r="B947" t="inlineStr">
        <is>
          <t>10.1</t>
        </is>
      </c>
      <c r="C947" t="inlineStr">
        <is>
          <t>Coton</t>
        </is>
      </c>
    </row>
    <row r="948">
      <c r="A948" t="inlineStr">
        <is>
          <t>crop</t>
        </is>
      </c>
      <c r="B948" t="inlineStr">
        <is>
          <t>10.2</t>
        </is>
      </c>
      <c r="C948" t="inlineStr">
        <is>
          <t>Caoutchouc</t>
        </is>
      </c>
    </row>
    <row r="949">
      <c r="A949" t="inlineStr">
        <is>
          <t>crop</t>
        </is>
      </c>
      <c r="B949" t="inlineStr">
        <is>
          <t>10.3</t>
        </is>
      </c>
      <c r="C949" t="inlineStr">
        <is>
          <t>Jute</t>
        </is>
      </c>
    </row>
    <row r="950">
      <c r="A950" t="inlineStr">
        <is>
          <t>crop</t>
        </is>
      </c>
      <c r="B950" t="inlineStr">
        <is>
          <t>10.4</t>
        </is>
      </c>
      <c r="C950" t="inlineStr">
        <is>
          <t>Fourrage</t>
        </is>
      </c>
    </row>
    <row r="951">
      <c r="A951" t="inlineStr">
        <is>
          <t>crop</t>
        </is>
      </c>
      <c r="B951" t="inlineStr">
        <is>
          <t>10.5</t>
        </is>
      </c>
      <c r="C951" t="inlineStr">
        <is>
          <t>Tabac</t>
        </is>
      </c>
    </row>
    <row r="952">
      <c r="A952" t="inlineStr">
        <is>
          <t>crop</t>
        </is>
      </c>
      <c r="B952" t="inlineStr">
        <is>
          <t>10.6</t>
        </is>
      </c>
      <c r="C952" t="inlineStr">
        <is>
          <t>Qat</t>
        </is>
      </c>
    </row>
    <row r="953">
      <c r="A953" t="inlineStr">
        <is>
          <t>crop</t>
        </is>
      </c>
      <c r="B953" t="inlineStr">
        <is>
          <t>10.99</t>
        </is>
      </c>
      <c r="C953" t="inlineStr">
        <is>
          <t>Autre culture de rente non alimentaire</t>
        </is>
      </c>
    </row>
    <row r="954">
      <c r="A954" t="inlineStr">
        <is>
          <t>crop</t>
        </is>
      </c>
      <c r="B954" t="inlineStr">
        <is>
          <t>2.1</t>
        </is>
      </c>
      <c r="C954" t="inlineStr">
        <is>
          <t>Manioc</t>
        </is>
      </c>
    </row>
    <row r="955">
      <c r="A955" t="inlineStr">
        <is>
          <t>crop</t>
        </is>
      </c>
      <c r="B955" t="inlineStr">
        <is>
          <t>2.2</t>
        </is>
      </c>
      <c r="C955" t="inlineStr">
        <is>
          <t>Pommes de terre</t>
        </is>
      </c>
    </row>
    <row r="956">
      <c r="A956" t="inlineStr">
        <is>
          <t>crop</t>
        </is>
      </c>
      <c r="B956" t="inlineStr">
        <is>
          <t>2.4</t>
        </is>
      </c>
      <c r="C956" t="inlineStr">
        <is>
          <t>Ignames</t>
        </is>
      </c>
    </row>
    <row r="957">
      <c r="A957" t="inlineStr">
        <is>
          <t>crop</t>
        </is>
      </c>
      <c r="B957" t="inlineStr">
        <is>
          <t>2.5</t>
        </is>
      </c>
      <c r="C957" t="inlineStr">
        <is>
          <t>Carottes</t>
        </is>
      </c>
    </row>
    <row r="958">
      <c r="A958" t="inlineStr">
        <is>
          <t>crop</t>
        </is>
      </c>
      <c r="B958" t="inlineStr">
        <is>
          <t>2.6</t>
        </is>
      </c>
      <c r="C958" t="inlineStr">
        <is>
          <t>Chou caraïbe</t>
        </is>
      </c>
    </row>
    <row r="959">
      <c r="A959" t="inlineStr">
        <is>
          <t>crop</t>
        </is>
      </c>
      <c r="B959" t="inlineStr">
        <is>
          <t>2.99</t>
        </is>
      </c>
      <c r="C959" t="inlineStr">
        <is>
          <t>Autres tubercules</t>
        </is>
      </c>
    </row>
    <row r="960">
      <c r="A960" t="inlineStr">
        <is>
          <t>crop</t>
        </is>
      </c>
      <c r="B960" t="inlineStr">
        <is>
          <t>3.2</t>
        </is>
      </c>
      <c r="C960" t="inlineStr">
        <is>
          <t>Lentilles</t>
        </is>
      </c>
    </row>
    <row r="961">
      <c r="A961" t="inlineStr">
        <is>
          <t>crop</t>
        </is>
      </c>
      <c r="B961" t="inlineStr">
        <is>
          <t>3.3</t>
        </is>
      </c>
      <c r="C961" t="inlineStr">
        <is>
          <t>Pois</t>
        </is>
      </c>
    </row>
    <row r="962">
      <c r="A962" t="inlineStr">
        <is>
          <t>crop</t>
        </is>
      </c>
      <c r="B962" t="inlineStr">
        <is>
          <t>3.4</t>
        </is>
      </c>
      <c r="C962" t="inlineStr">
        <is>
          <t>Soja</t>
        </is>
      </c>
    </row>
    <row r="963">
      <c r="A963" t="inlineStr">
        <is>
          <t>crop</t>
        </is>
      </c>
      <c r="B963" t="inlineStr">
        <is>
          <t>3.5</t>
        </is>
      </c>
      <c r="C963" t="inlineStr">
        <is>
          <t>Pois chiches</t>
        </is>
      </c>
    </row>
    <row r="964">
      <c r="A964" t="inlineStr">
        <is>
          <t>crop</t>
        </is>
      </c>
      <c r="B964" t="inlineStr">
        <is>
          <t>3.6</t>
        </is>
      </c>
      <c r="C964" t="inlineStr">
        <is>
          <t>Fève</t>
        </is>
      </c>
    </row>
    <row r="965">
      <c r="A965" t="inlineStr">
        <is>
          <t>crop</t>
        </is>
      </c>
      <c r="B965" t="inlineStr">
        <is>
          <t>3.7</t>
        </is>
      </c>
      <c r="C965" t="inlineStr">
        <is>
          <t>Fève large</t>
        </is>
      </c>
    </row>
    <row r="966">
      <c r="A966" t="inlineStr">
        <is>
          <t>crop</t>
        </is>
      </c>
      <c r="B966" t="inlineStr">
        <is>
          <t>3.99</t>
        </is>
      </c>
      <c r="C966" t="inlineStr">
        <is>
          <t>Autres légumineuses</t>
        </is>
      </c>
    </row>
    <row r="967">
      <c r="A967" t="inlineStr">
        <is>
          <t>crop</t>
        </is>
      </c>
      <c r="B967" t="inlineStr">
        <is>
          <t>4.101</t>
        </is>
      </c>
      <c r="C967" t="inlineStr">
        <is>
          <t>Choux-fleur</t>
        </is>
      </c>
    </row>
    <row r="968">
      <c r="A968" t="inlineStr">
        <is>
          <t>crop</t>
        </is>
      </c>
      <c r="B968" t="inlineStr">
        <is>
          <t>4.2</t>
        </is>
      </c>
      <c r="C968" t="inlineStr">
        <is>
          <t>Laitue</t>
        </is>
      </c>
    </row>
    <row r="969">
      <c r="A969" t="inlineStr">
        <is>
          <t>crop</t>
        </is>
      </c>
      <c r="B969" t="inlineStr">
        <is>
          <t>4.3</t>
        </is>
      </c>
      <c r="C969" t="inlineStr">
        <is>
          <t>Epinards-Amaranthe</t>
        </is>
      </c>
    </row>
    <row r="970">
      <c r="A970" t="inlineStr">
        <is>
          <t>crop</t>
        </is>
      </c>
      <c r="B970" t="inlineStr">
        <is>
          <t>4.4</t>
        </is>
      </c>
      <c r="C970" t="inlineStr">
        <is>
          <t>Feuilles de manioc</t>
        </is>
      </c>
    </row>
    <row r="971">
      <c r="A971" t="inlineStr">
        <is>
          <t>crop</t>
        </is>
      </c>
      <c r="B971" t="inlineStr">
        <is>
          <t>4.5</t>
        </is>
      </c>
      <c r="C971" t="inlineStr">
        <is>
          <t>Feuilles de pomme de terre</t>
        </is>
      </c>
    </row>
    <row r="972">
      <c r="A972" t="inlineStr">
        <is>
          <t>crop</t>
        </is>
      </c>
      <c r="B972" t="inlineStr">
        <is>
          <t>4.6</t>
        </is>
      </c>
      <c r="C972" t="inlineStr">
        <is>
          <t>Moringa</t>
        </is>
      </c>
    </row>
    <row r="973">
      <c r="A973" t="inlineStr">
        <is>
          <t>crop</t>
        </is>
      </c>
      <c r="B973" t="inlineStr">
        <is>
          <t>4.7</t>
        </is>
      </c>
      <c r="C973" t="inlineStr">
        <is>
          <t>Oseille Hibiscus / Rosselle</t>
        </is>
      </c>
    </row>
    <row r="974">
      <c r="A974" t="inlineStr">
        <is>
          <t>crop</t>
        </is>
      </c>
      <c r="B974" t="inlineStr">
        <is>
          <t>4.9</t>
        </is>
      </c>
      <c r="C974" t="inlineStr">
        <is>
          <t>Herbes aromatiques (thym, persil, menthe, rocca, autres)</t>
        </is>
      </c>
    </row>
    <row r="975">
      <c r="A975" t="inlineStr">
        <is>
          <t>crop</t>
        </is>
      </c>
      <c r="B975" t="inlineStr">
        <is>
          <t>4.99</t>
        </is>
      </c>
      <c r="C975" t="inlineStr">
        <is>
          <t>Autres légumes à feuilles</t>
        </is>
      </c>
    </row>
    <row r="976">
      <c r="A976" t="inlineStr">
        <is>
          <t>crop</t>
        </is>
      </c>
      <c r="B976" t="inlineStr">
        <is>
          <t>5.1</t>
        </is>
      </c>
      <c r="C976" t="inlineStr">
        <is>
          <t>Tomates</t>
        </is>
      </c>
    </row>
    <row r="977">
      <c r="A977" t="inlineStr">
        <is>
          <t>crop</t>
        </is>
      </c>
      <c r="B977" t="inlineStr">
        <is>
          <t>5.101</t>
        </is>
      </c>
      <c r="C977" t="inlineStr">
        <is>
          <t>Petit pois</t>
        </is>
      </c>
    </row>
    <row r="978">
      <c r="A978" t="inlineStr">
        <is>
          <t>crop</t>
        </is>
      </c>
      <c r="B978" t="inlineStr">
        <is>
          <t>5.11</t>
        </is>
      </c>
      <c r="C978" t="inlineStr">
        <is>
          <t>Pois fève</t>
        </is>
      </c>
    </row>
    <row r="979">
      <c r="A979" t="inlineStr">
        <is>
          <t>crop</t>
        </is>
      </c>
      <c r="B979" t="inlineStr">
        <is>
          <t>5.2</t>
        </is>
      </c>
      <c r="C979" t="inlineStr">
        <is>
          <t>Concombre</t>
        </is>
      </c>
    </row>
    <row r="980">
      <c r="A980" t="inlineStr">
        <is>
          <t>crop</t>
        </is>
      </c>
      <c r="B980" t="inlineStr">
        <is>
          <t>5.3</t>
        </is>
      </c>
      <c r="C980" t="inlineStr">
        <is>
          <t>Citrouille</t>
        </is>
      </c>
    </row>
    <row r="981">
      <c r="A981" t="inlineStr">
        <is>
          <t>crop</t>
        </is>
      </c>
      <c r="B981" t="inlineStr">
        <is>
          <t>5.4</t>
        </is>
      </c>
      <c r="C981" t="inlineStr">
        <is>
          <t>Aubergines/aubergines</t>
        </is>
      </c>
    </row>
    <row r="982">
      <c r="A982" t="inlineStr">
        <is>
          <t>crop</t>
        </is>
      </c>
      <c r="B982" t="inlineStr">
        <is>
          <t>5.5</t>
        </is>
      </c>
      <c r="C982" t="inlineStr">
        <is>
          <t>Courgettes</t>
        </is>
      </c>
    </row>
    <row r="983">
      <c r="A983" t="inlineStr">
        <is>
          <t>crop</t>
        </is>
      </c>
      <c r="B983" t="inlineStr">
        <is>
          <t>5.6</t>
        </is>
      </c>
      <c r="C983" t="inlineStr">
        <is>
          <t>Okra</t>
        </is>
      </c>
    </row>
    <row r="984">
      <c r="A984" t="inlineStr">
        <is>
          <t>crop</t>
        </is>
      </c>
      <c r="B984" t="inlineStr">
        <is>
          <t>5.7</t>
        </is>
      </c>
      <c r="C984" t="inlineStr">
        <is>
          <t>Poivron</t>
        </is>
      </c>
    </row>
    <row r="985">
      <c r="A985" t="inlineStr">
        <is>
          <t>crop</t>
        </is>
      </c>
      <c r="B985" t="inlineStr">
        <is>
          <t>5.9</t>
        </is>
      </c>
      <c r="C985" t="inlineStr">
        <is>
          <t>Haricot</t>
        </is>
      </c>
    </row>
    <row r="986">
      <c r="A986" t="inlineStr">
        <is>
          <t>crop</t>
        </is>
      </c>
      <c r="B986" t="inlineStr">
        <is>
          <t>5.99</t>
        </is>
      </c>
      <c r="C986" t="inlineStr">
        <is>
          <t>Autres légumes non feuillus</t>
        </is>
      </c>
    </row>
    <row r="987">
      <c r="A987" t="inlineStr">
        <is>
          <t>crop</t>
        </is>
      </c>
      <c r="B987" t="inlineStr">
        <is>
          <t>6.1</t>
        </is>
      </c>
      <c r="C987" t="inlineStr">
        <is>
          <t>Orange</t>
        </is>
      </c>
    </row>
    <row r="988">
      <c r="A988" t="inlineStr">
        <is>
          <t>crop</t>
        </is>
      </c>
      <c r="B988" t="inlineStr">
        <is>
          <t>6.2</t>
        </is>
      </c>
      <c r="C988" t="inlineStr">
        <is>
          <t>Citron</t>
        </is>
      </c>
    </row>
    <row r="989">
      <c r="A989" t="inlineStr">
        <is>
          <t>crop</t>
        </is>
      </c>
      <c r="B989" t="inlineStr">
        <is>
          <t>6.3</t>
        </is>
      </c>
      <c r="C989" t="inlineStr">
        <is>
          <t>Pamplemousse</t>
        </is>
      </c>
    </row>
    <row r="990">
      <c r="A990" t="inlineStr">
        <is>
          <t>crop</t>
        </is>
      </c>
      <c r="B990" t="inlineStr">
        <is>
          <t>6.4</t>
        </is>
      </c>
      <c r="C990" t="inlineStr">
        <is>
          <t>Tangerine/clémentine</t>
        </is>
      </c>
    </row>
    <row r="991">
      <c r="A991" t="inlineStr">
        <is>
          <t>crop</t>
        </is>
      </c>
      <c r="B991" t="inlineStr">
        <is>
          <t>6.99</t>
        </is>
      </c>
      <c r="C991" t="inlineStr">
        <is>
          <t>Autres agrumes</t>
        </is>
      </c>
    </row>
    <row r="992">
      <c r="A992" t="inlineStr">
        <is>
          <t>crop</t>
        </is>
      </c>
      <c r="B992" t="inlineStr">
        <is>
          <t>7.1</t>
        </is>
      </c>
      <c r="C992" t="inlineStr">
        <is>
          <t>Banane douce</t>
        </is>
      </c>
    </row>
    <row r="993">
      <c r="A993" t="inlineStr">
        <is>
          <t>crop</t>
        </is>
      </c>
      <c r="B993" t="inlineStr">
        <is>
          <t>7.101</t>
        </is>
      </c>
      <c r="C993" t="inlineStr">
        <is>
          <t>Figues</t>
        </is>
      </c>
    </row>
    <row r="994">
      <c r="A994" t="inlineStr">
        <is>
          <t>crop</t>
        </is>
      </c>
      <c r="B994" t="inlineStr">
        <is>
          <t>7.11</t>
        </is>
      </c>
      <c r="C994" t="inlineStr">
        <is>
          <t>Raisins</t>
        </is>
      </c>
    </row>
    <row r="995">
      <c r="A995" t="inlineStr">
        <is>
          <t>crop</t>
        </is>
      </c>
      <c r="B995" t="inlineStr">
        <is>
          <t>7.12</t>
        </is>
      </c>
      <c r="C995" t="inlineStr">
        <is>
          <t>Olives</t>
        </is>
      </c>
    </row>
    <row r="996">
      <c r="A996" t="inlineStr">
        <is>
          <t>crop</t>
        </is>
      </c>
      <c r="B996" t="inlineStr">
        <is>
          <t>7.13</t>
        </is>
      </c>
      <c r="C996" t="inlineStr">
        <is>
          <t>Pomme</t>
        </is>
      </c>
    </row>
    <row r="997">
      <c r="A997" t="inlineStr">
        <is>
          <t>crop</t>
        </is>
      </c>
      <c r="B997" t="inlineStr">
        <is>
          <t>7.14</t>
        </is>
      </c>
      <c r="C997" t="inlineStr">
        <is>
          <t>Abricot</t>
        </is>
      </c>
    </row>
    <row r="998">
      <c r="A998" t="inlineStr">
        <is>
          <t>crop</t>
        </is>
      </c>
      <c r="B998" t="inlineStr">
        <is>
          <t>7.15</t>
        </is>
      </c>
      <c r="C998" t="inlineStr">
        <is>
          <t>Cerises</t>
        </is>
      </c>
    </row>
    <row r="999">
      <c r="A999" t="inlineStr">
        <is>
          <t>crop</t>
        </is>
      </c>
      <c r="B999" t="inlineStr">
        <is>
          <t>7.16</t>
        </is>
      </c>
      <c r="C999" t="inlineStr">
        <is>
          <t>Pêche/nectarine</t>
        </is>
      </c>
    </row>
    <row r="1000">
      <c r="A1000" t="inlineStr">
        <is>
          <t>crop</t>
        </is>
      </c>
      <c r="B1000" t="inlineStr">
        <is>
          <t>7.17</t>
        </is>
      </c>
      <c r="C1000" t="inlineStr">
        <is>
          <t>Fraises</t>
        </is>
      </c>
    </row>
    <row r="1001">
      <c r="A1001" t="inlineStr">
        <is>
          <t>crop</t>
        </is>
      </c>
      <c r="B1001" t="inlineStr">
        <is>
          <t>7.18</t>
        </is>
      </c>
      <c r="C1001" t="inlineStr">
        <is>
          <t>Melon</t>
        </is>
      </c>
    </row>
    <row r="1002">
      <c r="A1002" t="inlineStr">
        <is>
          <t>crop</t>
        </is>
      </c>
      <c r="B1002" t="inlineStr">
        <is>
          <t>7.2</t>
        </is>
      </c>
      <c r="C1002" t="inlineStr">
        <is>
          <t>Banane plantain</t>
        </is>
      </c>
    </row>
    <row r="1003">
      <c r="A1003" t="inlineStr">
        <is>
          <t>crop</t>
        </is>
      </c>
      <c r="B1003" t="inlineStr">
        <is>
          <t>7.3</t>
        </is>
      </c>
      <c r="C1003" t="inlineStr">
        <is>
          <t>Papaye</t>
        </is>
      </c>
    </row>
    <row r="1004">
      <c r="A1004" t="inlineStr">
        <is>
          <t>crop</t>
        </is>
      </c>
      <c r="B1004" t="inlineStr">
        <is>
          <t>7.4</t>
        </is>
      </c>
      <c r="C1004" t="inlineStr">
        <is>
          <t>Mangue</t>
        </is>
      </c>
    </row>
    <row r="1005">
      <c r="A1005" t="inlineStr">
        <is>
          <t>crop</t>
        </is>
      </c>
      <c r="B1005" t="inlineStr">
        <is>
          <t>7.5</t>
        </is>
      </c>
      <c r="C1005" t="inlineStr">
        <is>
          <t>Goyave</t>
        </is>
      </c>
    </row>
    <row r="1006">
      <c r="A1006" t="inlineStr">
        <is>
          <t>crop</t>
        </is>
      </c>
      <c r="B1006" t="inlineStr">
        <is>
          <t>7.6</t>
        </is>
      </c>
      <c r="C1006" t="inlineStr">
        <is>
          <t>Ananas</t>
        </is>
      </c>
    </row>
    <row r="1007">
      <c r="A1007" t="inlineStr">
        <is>
          <t>crop</t>
        </is>
      </c>
      <c r="B1007" t="inlineStr">
        <is>
          <t>7.7</t>
        </is>
      </c>
      <c r="C1007" t="inlineStr">
        <is>
          <t>Avocat</t>
        </is>
      </c>
    </row>
    <row r="1008">
      <c r="A1008" t="inlineStr">
        <is>
          <t>crop</t>
        </is>
      </c>
      <c r="B1008" t="inlineStr">
        <is>
          <t>7.99</t>
        </is>
      </c>
      <c r="C1008" t="inlineStr">
        <is>
          <t>Autres fruits</t>
        </is>
      </c>
    </row>
    <row r="1009">
      <c r="A1009" t="inlineStr">
        <is>
          <t>crop</t>
        </is>
      </c>
      <c r="B1009" t="inlineStr">
        <is>
          <t>8.1</t>
        </is>
      </c>
      <c r="C1009" t="inlineStr">
        <is>
          <t>Noix de coco</t>
        </is>
      </c>
    </row>
    <row r="1010">
      <c r="A1010" t="inlineStr">
        <is>
          <t>crop</t>
        </is>
      </c>
      <c r="B1010" t="inlineStr">
        <is>
          <t>8.3</t>
        </is>
      </c>
      <c r="C1010" t="inlineStr">
        <is>
          <t>Noix de cajou</t>
        </is>
      </c>
    </row>
    <row r="1011">
      <c r="A1011" t="inlineStr">
        <is>
          <t>crop</t>
        </is>
      </c>
      <c r="B1011" t="inlineStr">
        <is>
          <t>8.4</t>
        </is>
      </c>
      <c r="C1011" t="inlineStr">
        <is>
          <t>Noix de kola</t>
        </is>
      </c>
    </row>
    <row r="1012">
      <c r="A1012" t="inlineStr">
        <is>
          <t>crop</t>
        </is>
      </c>
      <c r="B1012" t="inlineStr">
        <is>
          <t>8.6</t>
        </is>
      </c>
      <c r="C1012" t="inlineStr">
        <is>
          <t>Noix de bambara</t>
        </is>
      </c>
    </row>
    <row r="1013">
      <c r="A1013" t="inlineStr">
        <is>
          <t>crop</t>
        </is>
      </c>
      <c r="B1013" t="inlineStr">
        <is>
          <t>8.7</t>
        </is>
      </c>
      <c r="C1013" t="inlineStr">
        <is>
          <t>Amande</t>
        </is>
      </c>
    </row>
    <row r="1014">
      <c r="A1014" t="inlineStr">
        <is>
          <t>crop</t>
        </is>
      </c>
      <c r="B1014" t="inlineStr">
        <is>
          <t>8.8</t>
        </is>
      </c>
      <c r="C1014" t="inlineStr">
        <is>
          <t>Noix</t>
        </is>
      </c>
    </row>
    <row r="1015">
      <c r="A1015" t="inlineStr">
        <is>
          <t>crop</t>
        </is>
      </c>
      <c r="B1015" t="inlineStr">
        <is>
          <t>8.99</t>
        </is>
      </c>
      <c r="C1015" t="inlineStr">
        <is>
          <t>Autres fruits à coque</t>
        </is>
      </c>
    </row>
    <row r="1016">
      <c r="A1016" t="inlineStr">
        <is>
          <t>crop</t>
        </is>
      </c>
      <c r="B1016" t="inlineStr">
        <is>
          <t>9.1</t>
        </is>
      </c>
      <c r="C1016" t="inlineStr">
        <is>
          <t>Cacao</t>
        </is>
      </c>
    </row>
    <row r="1017">
      <c r="A1017" t="inlineStr">
        <is>
          <t>crop</t>
        </is>
      </c>
      <c r="B1017" t="inlineStr">
        <is>
          <t>9.2</t>
        </is>
      </c>
      <c r="C1017" t="inlineStr">
        <is>
          <t>Café</t>
        </is>
      </c>
    </row>
    <row r="1018">
      <c r="A1018" t="inlineStr">
        <is>
          <t>crop</t>
        </is>
      </c>
      <c r="B1018" t="inlineStr">
        <is>
          <t>9.3</t>
        </is>
      </c>
      <c r="C1018" t="inlineStr">
        <is>
          <t>Thé</t>
        </is>
      </c>
    </row>
    <row r="1019">
      <c r="A1019" t="inlineStr">
        <is>
          <t>crop</t>
        </is>
      </c>
      <c r="B1019" t="inlineStr">
        <is>
          <t>9.4</t>
        </is>
      </c>
      <c r="C1019" t="inlineStr">
        <is>
          <t>Canne à sucre</t>
        </is>
      </c>
    </row>
    <row r="1020">
      <c r="A1020" t="inlineStr">
        <is>
          <t>crop</t>
        </is>
      </c>
      <c r="B1020" t="inlineStr">
        <is>
          <t>9.5</t>
        </is>
      </c>
      <c r="C1020" t="inlineStr">
        <is>
          <t>Tournesol</t>
        </is>
      </c>
    </row>
    <row r="1021">
      <c r="A1021" t="inlineStr">
        <is>
          <t>crop</t>
        </is>
      </c>
      <c r="B1021" t="inlineStr">
        <is>
          <t>9.99</t>
        </is>
      </c>
      <c r="C1021" t="inlineStr">
        <is>
          <t>Autres cultures vivrières de rente</t>
        </is>
      </c>
    </row>
    <row r="1022">
      <c r="A1022" t="inlineStr">
        <is>
          <t>crop</t>
        </is>
      </c>
      <c r="B1022" t="inlineStr">
        <is>
          <t>777</t>
        </is>
      </c>
      <c r="C1022" t="inlineStr">
        <is>
          <t>No crop production</t>
        </is>
      </c>
    </row>
    <row r="1023">
      <c r="A1023" t="inlineStr">
        <is>
          <t>crop</t>
        </is>
      </c>
      <c r="B1023" t="inlineStr">
        <is>
          <t>888</t>
        </is>
      </c>
      <c r="C1023" t="inlineStr">
        <is>
          <t>Don't know</t>
        </is>
      </c>
    </row>
    <row r="1024">
      <c r="A1024" t="inlineStr">
        <is>
          <t>crop</t>
        </is>
      </c>
      <c r="B1024" t="inlineStr">
        <is>
          <t>999</t>
        </is>
      </c>
      <c r="C1024" t="inlineStr">
        <is>
          <t>Refused</t>
        </is>
      </c>
    </row>
    <row r="1025"/>
    <row r="1026">
      <c r="A1026" t="inlineStr">
        <is>
          <t>crop2</t>
        </is>
      </c>
      <c r="B1026" t="inlineStr">
        <is>
          <t>1.1</t>
        </is>
      </c>
      <c r="C1026" t="inlineStr">
        <is>
          <t>Riz</t>
        </is>
      </c>
    </row>
    <row r="1027">
      <c r="A1027" t="inlineStr">
        <is>
          <t>crop2</t>
        </is>
      </c>
      <c r="B1027" t="inlineStr">
        <is>
          <t>1.2</t>
        </is>
      </c>
      <c r="C1027" t="inlineStr">
        <is>
          <t>Blé</t>
        </is>
      </c>
    </row>
    <row r="1028">
      <c r="A1028" t="inlineStr">
        <is>
          <t>crop2</t>
        </is>
      </c>
      <c r="B1028" t="inlineStr">
        <is>
          <t>1.3</t>
        </is>
      </c>
      <c r="C1028" t="inlineStr">
        <is>
          <t>Mil</t>
        </is>
      </c>
    </row>
    <row r="1029">
      <c r="A1029" t="inlineStr">
        <is>
          <t>crop2</t>
        </is>
      </c>
      <c r="B1029" t="inlineStr">
        <is>
          <t>1.4</t>
        </is>
      </c>
      <c r="C1029" t="inlineStr">
        <is>
          <t>Sorgho</t>
        </is>
      </c>
    </row>
    <row r="1030">
      <c r="A1030" t="inlineStr">
        <is>
          <t>crop2</t>
        </is>
      </c>
      <c r="B1030" t="inlineStr">
        <is>
          <t>1.5</t>
        </is>
      </c>
      <c r="C1030" t="inlineStr">
        <is>
          <t>Maïs</t>
        </is>
      </c>
    </row>
    <row r="1031">
      <c r="A1031" t="inlineStr">
        <is>
          <t>crop2</t>
        </is>
      </c>
      <c r="B1031" t="inlineStr">
        <is>
          <t>2.3</t>
        </is>
      </c>
      <c r="C1031" t="inlineStr">
        <is>
          <t>Patates douces</t>
        </is>
      </c>
    </row>
    <row r="1032">
      <c r="A1032" t="inlineStr">
        <is>
          <t>crop2</t>
        </is>
      </c>
      <c r="B1032" t="inlineStr">
        <is>
          <t>3.1</t>
        </is>
      </c>
      <c r="C1032" t="inlineStr">
        <is>
          <t>Haricots</t>
        </is>
      </c>
    </row>
    <row r="1033">
      <c r="A1033" t="inlineStr">
        <is>
          <t>crop2</t>
        </is>
      </c>
      <c r="B1033" t="inlineStr">
        <is>
          <t>4.1</t>
        </is>
      </c>
      <c r="C1033" t="inlineStr">
        <is>
          <t>Choux</t>
        </is>
      </c>
    </row>
    <row r="1034">
      <c r="A1034" t="inlineStr">
        <is>
          <t>crop2</t>
        </is>
      </c>
      <c r="B1034" t="inlineStr">
        <is>
          <t>5.8</t>
        </is>
      </c>
      <c r="C1034" t="inlineStr">
        <is>
          <t>Oignons</t>
        </is>
      </c>
    </row>
    <row r="1035">
      <c r="A1035" t="inlineStr">
        <is>
          <t>crop2</t>
        </is>
      </c>
      <c r="B1035" t="inlineStr">
        <is>
          <t>7.8</t>
        </is>
      </c>
      <c r="C1035" t="inlineStr">
        <is>
          <t>Pastèques</t>
        </is>
      </c>
    </row>
    <row r="1036">
      <c r="A1036" t="inlineStr">
        <is>
          <t>crop2</t>
        </is>
      </c>
      <c r="B1036" t="inlineStr">
        <is>
          <t>7.9</t>
        </is>
      </c>
      <c r="C1036" t="inlineStr">
        <is>
          <t>Dattes</t>
        </is>
      </c>
    </row>
    <row r="1037">
      <c r="A1037" t="inlineStr">
        <is>
          <t>crop2</t>
        </is>
      </c>
      <c r="B1037" t="inlineStr">
        <is>
          <t>8.2</t>
        </is>
      </c>
      <c r="C1037" t="inlineStr">
        <is>
          <t>Arachide / cacahuète</t>
        </is>
      </c>
    </row>
    <row r="1038">
      <c r="A1038" t="inlineStr">
        <is>
          <t>crop2</t>
        </is>
      </c>
      <c r="B1038" t="inlineStr">
        <is>
          <t>8.5</t>
        </is>
      </c>
      <c r="C1038" t="inlineStr">
        <is>
          <t>Sésame</t>
        </is>
      </c>
    </row>
    <row r="1039">
      <c r="A1039" t="inlineStr">
        <is>
          <t>crop2</t>
        </is>
      </c>
      <c r="B1039" t="inlineStr">
        <is>
          <t>1.6</t>
        </is>
      </c>
      <c r="C1039" t="inlineStr">
        <is>
          <t>Orge</t>
        </is>
      </c>
    </row>
    <row r="1040">
      <c r="A1040" t="inlineStr">
        <is>
          <t>crop2</t>
        </is>
      </c>
      <c r="B1040" t="inlineStr">
        <is>
          <t>1.99</t>
        </is>
      </c>
      <c r="C1040" t="inlineStr">
        <is>
          <t>Autres céréales</t>
        </is>
      </c>
    </row>
    <row r="1041">
      <c r="A1041" t="inlineStr">
        <is>
          <t>crop2</t>
        </is>
      </c>
      <c r="B1041" t="inlineStr">
        <is>
          <t>10.1</t>
        </is>
      </c>
      <c r="C1041" t="inlineStr">
        <is>
          <t>Coton</t>
        </is>
      </c>
    </row>
    <row r="1042">
      <c r="A1042" t="inlineStr">
        <is>
          <t>crop2</t>
        </is>
      </c>
      <c r="B1042" t="inlineStr">
        <is>
          <t>10.2</t>
        </is>
      </c>
      <c r="C1042" t="inlineStr">
        <is>
          <t>Caoutchouc</t>
        </is>
      </c>
    </row>
    <row r="1043">
      <c r="A1043" t="inlineStr">
        <is>
          <t>crop2</t>
        </is>
      </c>
      <c r="B1043" t="inlineStr">
        <is>
          <t>10.3</t>
        </is>
      </c>
      <c r="C1043" t="inlineStr">
        <is>
          <t>Jute</t>
        </is>
      </c>
    </row>
    <row r="1044">
      <c r="A1044" t="inlineStr">
        <is>
          <t>crop2</t>
        </is>
      </c>
      <c r="B1044" t="inlineStr">
        <is>
          <t>10.4</t>
        </is>
      </c>
      <c r="C1044" t="inlineStr">
        <is>
          <t>Fourrage</t>
        </is>
      </c>
    </row>
    <row r="1045">
      <c r="A1045" t="inlineStr">
        <is>
          <t>crop2</t>
        </is>
      </c>
      <c r="B1045" t="inlineStr">
        <is>
          <t>10.5</t>
        </is>
      </c>
      <c r="C1045" t="inlineStr">
        <is>
          <t>Tabac</t>
        </is>
      </c>
    </row>
    <row r="1046">
      <c r="A1046" t="inlineStr">
        <is>
          <t>crop2</t>
        </is>
      </c>
      <c r="B1046" t="inlineStr">
        <is>
          <t>10.6</t>
        </is>
      </c>
      <c r="C1046" t="inlineStr">
        <is>
          <t>Qat</t>
        </is>
      </c>
    </row>
    <row r="1047">
      <c r="A1047" t="inlineStr">
        <is>
          <t>crop2</t>
        </is>
      </c>
      <c r="B1047" t="inlineStr">
        <is>
          <t>10.99</t>
        </is>
      </c>
      <c r="C1047" t="inlineStr">
        <is>
          <t>Autre culture de rente non alimentaire</t>
        </is>
      </c>
    </row>
    <row r="1048">
      <c r="A1048" t="inlineStr">
        <is>
          <t>crop2</t>
        </is>
      </c>
      <c r="B1048" t="inlineStr">
        <is>
          <t>2.1</t>
        </is>
      </c>
      <c r="C1048" t="inlineStr">
        <is>
          <t>Manioc</t>
        </is>
      </c>
    </row>
    <row r="1049">
      <c r="A1049" t="inlineStr">
        <is>
          <t>crop2</t>
        </is>
      </c>
      <c r="B1049" t="inlineStr">
        <is>
          <t>2.2</t>
        </is>
      </c>
      <c r="C1049" t="inlineStr">
        <is>
          <t>Pommes de terre</t>
        </is>
      </c>
    </row>
    <row r="1050">
      <c r="A1050" t="inlineStr">
        <is>
          <t>crop2</t>
        </is>
      </c>
      <c r="B1050" t="inlineStr">
        <is>
          <t>2.4</t>
        </is>
      </c>
      <c r="C1050" t="inlineStr">
        <is>
          <t>Ignames</t>
        </is>
      </c>
    </row>
    <row r="1051">
      <c r="A1051" t="inlineStr">
        <is>
          <t>crop2</t>
        </is>
      </c>
      <c r="B1051" t="inlineStr">
        <is>
          <t>2.5</t>
        </is>
      </c>
      <c r="C1051" t="inlineStr">
        <is>
          <t>Carottes</t>
        </is>
      </c>
    </row>
    <row r="1052">
      <c r="A1052" t="inlineStr">
        <is>
          <t>crop2</t>
        </is>
      </c>
      <c r="B1052" t="inlineStr">
        <is>
          <t>2.6</t>
        </is>
      </c>
      <c r="C1052" t="inlineStr">
        <is>
          <t>Chou caraïbe</t>
        </is>
      </c>
    </row>
    <row r="1053">
      <c r="A1053" t="inlineStr">
        <is>
          <t>crop2</t>
        </is>
      </c>
      <c r="B1053" t="inlineStr">
        <is>
          <t>2.99</t>
        </is>
      </c>
      <c r="C1053" t="inlineStr">
        <is>
          <t>Autres tubercules</t>
        </is>
      </c>
    </row>
    <row r="1054">
      <c r="A1054" t="inlineStr">
        <is>
          <t>crop2</t>
        </is>
      </c>
      <c r="B1054" t="inlineStr">
        <is>
          <t>3.2</t>
        </is>
      </c>
      <c r="C1054" t="inlineStr">
        <is>
          <t>Lentilles</t>
        </is>
      </c>
    </row>
    <row r="1055">
      <c r="A1055" t="inlineStr">
        <is>
          <t>crop2</t>
        </is>
      </c>
      <c r="B1055" t="inlineStr">
        <is>
          <t>3.3</t>
        </is>
      </c>
      <c r="C1055" t="inlineStr">
        <is>
          <t>Pois</t>
        </is>
      </c>
    </row>
    <row r="1056">
      <c r="A1056" t="inlineStr">
        <is>
          <t>crop2</t>
        </is>
      </c>
      <c r="B1056" t="inlineStr">
        <is>
          <t>3.4</t>
        </is>
      </c>
      <c r="C1056" t="inlineStr">
        <is>
          <t>Soja</t>
        </is>
      </c>
    </row>
    <row r="1057">
      <c r="A1057" t="inlineStr">
        <is>
          <t>crop2</t>
        </is>
      </c>
      <c r="B1057" t="inlineStr">
        <is>
          <t>3.5</t>
        </is>
      </c>
      <c r="C1057" t="inlineStr">
        <is>
          <t>Pois chiches</t>
        </is>
      </c>
    </row>
    <row r="1058">
      <c r="A1058" t="inlineStr">
        <is>
          <t>crop2</t>
        </is>
      </c>
      <c r="B1058" t="inlineStr">
        <is>
          <t>3.6</t>
        </is>
      </c>
      <c r="C1058" t="inlineStr">
        <is>
          <t>Fève</t>
        </is>
      </c>
    </row>
    <row r="1059">
      <c r="A1059" t="inlineStr">
        <is>
          <t>crop2</t>
        </is>
      </c>
      <c r="B1059" t="inlineStr">
        <is>
          <t>3.7</t>
        </is>
      </c>
      <c r="C1059" t="inlineStr">
        <is>
          <t>Fève large</t>
        </is>
      </c>
    </row>
    <row r="1060">
      <c r="A1060" t="inlineStr">
        <is>
          <t>crop2</t>
        </is>
      </c>
      <c r="B1060" t="inlineStr">
        <is>
          <t>3.99</t>
        </is>
      </c>
      <c r="C1060" t="inlineStr">
        <is>
          <t>Autres légumineuses</t>
        </is>
      </c>
    </row>
    <row r="1061">
      <c r="A1061" t="inlineStr">
        <is>
          <t>crop2</t>
        </is>
      </c>
      <c r="B1061" t="inlineStr">
        <is>
          <t>4.101</t>
        </is>
      </c>
      <c r="C1061" t="inlineStr">
        <is>
          <t>Choux-fleur</t>
        </is>
      </c>
    </row>
    <row r="1062">
      <c r="A1062" t="inlineStr">
        <is>
          <t>crop2</t>
        </is>
      </c>
      <c r="B1062" t="inlineStr">
        <is>
          <t>4.2</t>
        </is>
      </c>
      <c r="C1062" t="inlineStr">
        <is>
          <t>Laitue</t>
        </is>
      </c>
    </row>
    <row r="1063">
      <c r="A1063" t="inlineStr">
        <is>
          <t>crop2</t>
        </is>
      </c>
      <c r="B1063" t="inlineStr">
        <is>
          <t>4.3</t>
        </is>
      </c>
      <c r="C1063" t="inlineStr">
        <is>
          <t>Epinards-Amaranthe</t>
        </is>
      </c>
    </row>
    <row r="1064">
      <c r="A1064" t="inlineStr">
        <is>
          <t>crop2</t>
        </is>
      </c>
      <c r="B1064" t="inlineStr">
        <is>
          <t>4.4</t>
        </is>
      </c>
      <c r="C1064" t="inlineStr">
        <is>
          <t>Feuilles de manioc</t>
        </is>
      </c>
    </row>
    <row r="1065">
      <c r="A1065" t="inlineStr">
        <is>
          <t>crop2</t>
        </is>
      </c>
      <c r="B1065" t="inlineStr">
        <is>
          <t>4.5</t>
        </is>
      </c>
      <c r="C1065" t="inlineStr">
        <is>
          <t>Feuilles de pomme de terre</t>
        </is>
      </c>
    </row>
    <row r="1066">
      <c r="A1066" t="inlineStr">
        <is>
          <t>crop2</t>
        </is>
      </c>
      <c r="B1066" t="inlineStr">
        <is>
          <t>4.6</t>
        </is>
      </c>
      <c r="C1066" t="inlineStr">
        <is>
          <t>Moringa</t>
        </is>
      </c>
    </row>
    <row r="1067">
      <c r="A1067" t="inlineStr">
        <is>
          <t>crop2</t>
        </is>
      </c>
      <c r="B1067" t="inlineStr">
        <is>
          <t>4.7</t>
        </is>
      </c>
      <c r="C1067" t="inlineStr">
        <is>
          <t>Oseille Hibiscus / Rosselle</t>
        </is>
      </c>
    </row>
    <row r="1068">
      <c r="A1068" t="inlineStr">
        <is>
          <t>crop2</t>
        </is>
      </c>
      <c r="B1068" t="inlineStr">
        <is>
          <t>4.9</t>
        </is>
      </c>
      <c r="C1068" t="inlineStr">
        <is>
          <t>Herbes aromatiques (thym, persil, menthe, rocca, autres)</t>
        </is>
      </c>
    </row>
    <row r="1069">
      <c r="A1069" t="inlineStr">
        <is>
          <t>crop2</t>
        </is>
      </c>
      <c r="B1069" t="inlineStr">
        <is>
          <t>4.99</t>
        </is>
      </c>
      <c r="C1069" t="inlineStr">
        <is>
          <t>Autres légumes à feuilles</t>
        </is>
      </c>
    </row>
    <row r="1070">
      <c r="A1070" t="inlineStr">
        <is>
          <t>crop2</t>
        </is>
      </c>
      <c r="B1070" t="inlineStr">
        <is>
          <t>5.1</t>
        </is>
      </c>
      <c r="C1070" t="inlineStr">
        <is>
          <t>Tomates</t>
        </is>
      </c>
    </row>
    <row r="1071">
      <c r="A1071" t="inlineStr">
        <is>
          <t>crop2</t>
        </is>
      </c>
      <c r="B1071" t="inlineStr">
        <is>
          <t>5.101</t>
        </is>
      </c>
      <c r="C1071" t="inlineStr">
        <is>
          <t>Petit pois</t>
        </is>
      </c>
    </row>
    <row r="1072">
      <c r="A1072" t="inlineStr">
        <is>
          <t>crop2</t>
        </is>
      </c>
      <c r="B1072" t="inlineStr">
        <is>
          <t>5.11</t>
        </is>
      </c>
      <c r="C1072" t="inlineStr">
        <is>
          <t>Pois fève</t>
        </is>
      </c>
    </row>
    <row r="1073">
      <c r="A1073" t="inlineStr">
        <is>
          <t>crop2</t>
        </is>
      </c>
      <c r="B1073" t="inlineStr">
        <is>
          <t>5.2</t>
        </is>
      </c>
      <c r="C1073" t="inlineStr">
        <is>
          <t>Concombre</t>
        </is>
      </c>
    </row>
    <row r="1074">
      <c r="A1074" t="inlineStr">
        <is>
          <t>crop2</t>
        </is>
      </c>
      <c r="B1074" t="inlineStr">
        <is>
          <t>5.3</t>
        </is>
      </c>
      <c r="C1074" t="inlineStr">
        <is>
          <t>Citrouille</t>
        </is>
      </c>
    </row>
    <row r="1075">
      <c r="A1075" t="inlineStr">
        <is>
          <t>crop2</t>
        </is>
      </c>
      <c r="B1075" t="inlineStr">
        <is>
          <t>5.4</t>
        </is>
      </c>
      <c r="C1075" t="inlineStr">
        <is>
          <t>Aubergines/aubergines</t>
        </is>
      </c>
    </row>
    <row r="1076">
      <c r="A1076" t="inlineStr">
        <is>
          <t>crop2</t>
        </is>
      </c>
      <c r="B1076" t="inlineStr">
        <is>
          <t>5.5</t>
        </is>
      </c>
      <c r="C1076" t="inlineStr">
        <is>
          <t>Courgettes</t>
        </is>
      </c>
    </row>
    <row r="1077">
      <c r="A1077" t="inlineStr">
        <is>
          <t>crop2</t>
        </is>
      </c>
      <c r="B1077" t="inlineStr">
        <is>
          <t>5.6</t>
        </is>
      </c>
      <c r="C1077" t="inlineStr">
        <is>
          <t>Okra</t>
        </is>
      </c>
    </row>
    <row r="1078">
      <c r="A1078" t="inlineStr">
        <is>
          <t>crop2</t>
        </is>
      </c>
      <c r="B1078" t="inlineStr">
        <is>
          <t>5.7</t>
        </is>
      </c>
      <c r="C1078" t="inlineStr">
        <is>
          <t>Poivron</t>
        </is>
      </c>
    </row>
    <row r="1079">
      <c r="A1079" t="inlineStr">
        <is>
          <t>crop2</t>
        </is>
      </c>
      <c r="B1079" t="inlineStr">
        <is>
          <t>5.9</t>
        </is>
      </c>
      <c r="C1079" t="inlineStr">
        <is>
          <t>Haricot</t>
        </is>
      </c>
    </row>
    <row r="1080">
      <c r="A1080" t="inlineStr">
        <is>
          <t>crop2</t>
        </is>
      </c>
      <c r="B1080" t="inlineStr">
        <is>
          <t>5.99</t>
        </is>
      </c>
      <c r="C1080" t="inlineStr">
        <is>
          <t>Autres légumes non feuillus</t>
        </is>
      </c>
    </row>
    <row r="1081">
      <c r="A1081" t="inlineStr">
        <is>
          <t>crop2</t>
        </is>
      </c>
      <c r="B1081" t="inlineStr">
        <is>
          <t>6.1</t>
        </is>
      </c>
      <c r="C1081" t="inlineStr">
        <is>
          <t>Orange</t>
        </is>
      </c>
    </row>
    <row r="1082">
      <c r="A1082" t="inlineStr">
        <is>
          <t>crop2</t>
        </is>
      </c>
      <c r="B1082" t="inlineStr">
        <is>
          <t>6.2</t>
        </is>
      </c>
      <c r="C1082" t="inlineStr">
        <is>
          <t>Citron</t>
        </is>
      </c>
    </row>
    <row r="1083">
      <c r="A1083" t="inlineStr">
        <is>
          <t>crop2</t>
        </is>
      </c>
      <c r="B1083" t="inlineStr">
        <is>
          <t>6.3</t>
        </is>
      </c>
      <c r="C1083" t="inlineStr">
        <is>
          <t>Pamplemousse</t>
        </is>
      </c>
    </row>
    <row r="1084">
      <c r="A1084" t="inlineStr">
        <is>
          <t>crop2</t>
        </is>
      </c>
      <c r="B1084" t="inlineStr">
        <is>
          <t>6.4</t>
        </is>
      </c>
      <c r="C1084" t="inlineStr">
        <is>
          <t>Tangerine/clémentine</t>
        </is>
      </c>
    </row>
    <row r="1085">
      <c r="A1085" t="inlineStr">
        <is>
          <t>crop2</t>
        </is>
      </c>
      <c r="B1085" t="inlineStr">
        <is>
          <t>6.99</t>
        </is>
      </c>
      <c r="C1085" t="inlineStr">
        <is>
          <t>Autres agrumes</t>
        </is>
      </c>
    </row>
    <row r="1086">
      <c r="A1086" t="inlineStr">
        <is>
          <t>crop2</t>
        </is>
      </c>
      <c r="B1086" t="inlineStr">
        <is>
          <t>7.1</t>
        </is>
      </c>
      <c r="C1086" t="inlineStr">
        <is>
          <t>Banane douce</t>
        </is>
      </c>
    </row>
    <row r="1087">
      <c r="A1087" t="inlineStr">
        <is>
          <t>crop2</t>
        </is>
      </c>
      <c r="B1087" t="inlineStr">
        <is>
          <t>7.101</t>
        </is>
      </c>
      <c r="C1087" t="inlineStr">
        <is>
          <t>Figues</t>
        </is>
      </c>
    </row>
    <row r="1088">
      <c r="A1088" t="inlineStr">
        <is>
          <t>crop2</t>
        </is>
      </c>
      <c r="B1088" t="inlineStr">
        <is>
          <t>7.11</t>
        </is>
      </c>
      <c r="C1088" t="inlineStr">
        <is>
          <t>Raisins</t>
        </is>
      </c>
    </row>
    <row r="1089">
      <c r="A1089" t="inlineStr">
        <is>
          <t>crop2</t>
        </is>
      </c>
      <c r="B1089" t="inlineStr">
        <is>
          <t>7.12</t>
        </is>
      </c>
      <c r="C1089" t="inlineStr">
        <is>
          <t>Olives</t>
        </is>
      </c>
    </row>
    <row r="1090">
      <c r="A1090" t="inlineStr">
        <is>
          <t>crop2</t>
        </is>
      </c>
      <c r="B1090" t="inlineStr">
        <is>
          <t>7.13</t>
        </is>
      </c>
      <c r="C1090" t="inlineStr">
        <is>
          <t>Pomme</t>
        </is>
      </c>
    </row>
    <row r="1091">
      <c r="A1091" t="inlineStr">
        <is>
          <t>crop2</t>
        </is>
      </c>
      <c r="B1091" t="inlineStr">
        <is>
          <t>7.14</t>
        </is>
      </c>
      <c r="C1091" t="inlineStr">
        <is>
          <t>Abricot</t>
        </is>
      </c>
    </row>
    <row r="1092">
      <c r="A1092" t="inlineStr">
        <is>
          <t>crop2</t>
        </is>
      </c>
      <c r="B1092" t="inlineStr">
        <is>
          <t>7.15</t>
        </is>
      </c>
      <c r="C1092" t="inlineStr">
        <is>
          <t>Cerises</t>
        </is>
      </c>
    </row>
    <row r="1093">
      <c r="A1093" t="inlineStr">
        <is>
          <t>crop2</t>
        </is>
      </c>
      <c r="B1093" t="inlineStr">
        <is>
          <t>7.16</t>
        </is>
      </c>
      <c r="C1093" t="inlineStr">
        <is>
          <t>Pêche/nectarine</t>
        </is>
      </c>
    </row>
    <row r="1094">
      <c r="A1094" t="inlineStr">
        <is>
          <t>crop2</t>
        </is>
      </c>
      <c r="B1094" t="inlineStr">
        <is>
          <t>7.17</t>
        </is>
      </c>
      <c r="C1094" t="inlineStr">
        <is>
          <t>Fraises</t>
        </is>
      </c>
    </row>
    <row r="1095">
      <c r="A1095" t="inlineStr">
        <is>
          <t>crop2</t>
        </is>
      </c>
      <c r="B1095" t="inlineStr">
        <is>
          <t>7.18</t>
        </is>
      </c>
      <c r="C1095" t="inlineStr">
        <is>
          <t>Melon</t>
        </is>
      </c>
    </row>
    <row r="1096">
      <c r="A1096" t="inlineStr">
        <is>
          <t>crop2</t>
        </is>
      </c>
      <c r="B1096" t="inlineStr">
        <is>
          <t>7.2</t>
        </is>
      </c>
      <c r="C1096" t="inlineStr">
        <is>
          <t>Banane plantain</t>
        </is>
      </c>
    </row>
    <row r="1097">
      <c r="A1097" t="inlineStr">
        <is>
          <t>crop2</t>
        </is>
      </c>
      <c r="B1097" t="inlineStr">
        <is>
          <t>7.3</t>
        </is>
      </c>
      <c r="C1097" t="inlineStr">
        <is>
          <t>Papaye</t>
        </is>
      </c>
    </row>
    <row r="1098">
      <c r="A1098" t="inlineStr">
        <is>
          <t>crop2</t>
        </is>
      </c>
      <c r="B1098" t="inlineStr">
        <is>
          <t>7.4</t>
        </is>
      </c>
      <c r="C1098" t="inlineStr">
        <is>
          <t>Mangue</t>
        </is>
      </c>
    </row>
    <row r="1099">
      <c r="A1099" t="inlineStr">
        <is>
          <t>crop2</t>
        </is>
      </c>
      <c r="B1099" t="inlineStr">
        <is>
          <t>7.5</t>
        </is>
      </c>
      <c r="C1099" t="inlineStr">
        <is>
          <t>Goyave</t>
        </is>
      </c>
    </row>
    <row r="1100">
      <c r="A1100" t="inlineStr">
        <is>
          <t>crop2</t>
        </is>
      </c>
      <c r="B1100" t="inlineStr">
        <is>
          <t>7.6</t>
        </is>
      </c>
      <c r="C1100" t="inlineStr">
        <is>
          <t>Ananas</t>
        </is>
      </c>
    </row>
    <row r="1101">
      <c r="A1101" t="inlineStr">
        <is>
          <t>crop2</t>
        </is>
      </c>
      <c r="B1101" t="inlineStr">
        <is>
          <t>7.7</t>
        </is>
      </c>
      <c r="C1101" t="inlineStr">
        <is>
          <t>Avocat</t>
        </is>
      </c>
    </row>
    <row r="1102">
      <c r="A1102" t="inlineStr">
        <is>
          <t>crop2</t>
        </is>
      </c>
      <c r="B1102" t="inlineStr">
        <is>
          <t>7.99</t>
        </is>
      </c>
      <c r="C1102" t="inlineStr">
        <is>
          <t>Autres fruits</t>
        </is>
      </c>
    </row>
    <row r="1103">
      <c r="A1103" t="inlineStr">
        <is>
          <t>crop2</t>
        </is>
      </c>
      <c r="B1103" t="inlineStr">
        <is>
          <t>8.1</t>
        </is>
      </c>
      <c r="C1103" t="inlineStr">
        <is>
          <t>Noix de coco</t>
        </is>
      </c>
    </row>
    <row r="1104">
      <c r="A1104" t="inlineStr">
        <is>
          <t>crop2</t>
        </is>
      </c>
      <c r="B1104" t="inlineStr">
        <is>
          <t>8.3</t>
        </is>
      </c>
      <c r="C1104" t="inlineStr">
        <is>
          <t>Noix de cajou</t>
        </is>
      </c>
    </row>
    <row r="1105">
      <c r="A1105" t="inlineStr">
        <is>
          <t>crop2</t>
        </is>
      </c>
      <c r="B1105" t="inlineStr">
        <is>
          <t>8.4</t>
        </is>
      </c>
      <c r="C1105" t="inlineStr">
        <is>
          <t>Noix de kola</t>
        </is>
      </c>
    </row>
    <row r="1106">
      <c r="A1106" t="inlineStr">
        <is>
          <t>crop2</t>
        </is>
      </c>
      <c r="B1106" t="inlineStr">
        <is>
          <t>8.6</t>
        </is>
      </c>
      <c r="C1106" t="inlineStr">
        <is>
          <t>Noix de bambara</t>
        </is>
      </c>
    </row>
    <row r="1107">
      <c r="A1107" t="inlineStr">
        <is>
          <t>crop2</t>
        </is>
      </c>
      <c r="B1107" t="inlineStr">
        <is>
          <t>8.7</t>
        </is>
      </c>
      <c r="C1107" t="inlineStr">
        <is>
          <t>Amande</t>
        </is>
      </c>
    </row>
    <row r="1108">
      <c r="A1108" t="inlineStr">
        <is>
          <t>crop2</t>
        </is>
      </c>
      <c r="B1108" t="inlineStr">
        <is>
          <t>8.8</t>
        </is>
      </c>
      <c r="C1108" t="inlineStr">
        <is>
          <t>Noix</t>
        </is>
      </c>
    </row>
    <row r="1109">
      <c r="A1109" t="inlineStr">
        <is>
          <t>crop2</t>
        </is>
      </c>
      <c r="B1109" t="inlineStr">
        <is>
          <t>8.99</t>
        </is>
      </c>
      <c r="C1109" t="inlineStr">
        <is>
          <t>Autres fruits à coque</t>
        </is>
      </c>
    </row>
    <row r="1110">
      <c r="A1110" t="inlineStr">
        <is>
          <t>crop2</t>
        </is>
      </c>
      <c r="B1110" t="inlineStr">
        <is>
          <t>9.1</t>
        </is>
      </c>
      <c r="C1110" t="inlineStr">
        <is>
          <t>Cacao</t>
        </is>
      </c>
    </row>
    <row r="1111">
      <c r="A1111" t="inlineStr">
        <is>
          <t>crop2</t>
        </is>
      </c>
      <c r="B1111" t="inlineStr">
        <is>
          <t>9.2</t>
        </is>
      </c>
      <c r="C1111" t="inlineStr">
        <is>
          <t>Café</t>
        </is>
      </c>
    </row>
    <row r="1112">
      <c r="A1112" t="inlineStr">
        <is>
          <t>crop2</t>
        </is>
      </c>
      <c r="B1112" t="inlineStr">
        <is>
          <t>9.3</t>
        </is>
      </c>
      <c r="C1112" t="inlineStr">
        <is>
          <t>Thé</t>
        </is>
      </c>
    </row>
    <row r="1113">
      <c r="A1113" t="inlineStr">
        <is>
          <t>crop2</t>
        </is>
      </c>
      <c r="B1113" t="inlineStr">
        <is>
          <t>9.4</t>
        </is>
      </c>
      <c r="C1113" t="inlineStr">
        <is>
          <t>Canne à sucre</t>
        </is>
      </c>
    </row>
    <row r="1114">
      <c r="A1114" t="inlineStr">
        <is>
          <t>crop2</t>
        </is>
      </c>
      <c r="B1114" t="inlineStr">
        <is>
          <t>9.5</t>
        </is>
      </c>
      <c r="C1114" t="inlineStr">
        <is>
          <t>Tournesol</t>
        </is>
      </c>
    </row>
    <row r="1115">
      <c r="A1115" t="inlineStr">
        <is>
          <t>crop2</t>
        </is>
      </c>
      <c r="B1115" t="inlineStr">
        <is>
          <t>9.99</t>
        </is>
      </c>
      <c r="C1115" t="inlineStr">
        <is>
          <t>Autres cultures vivrières de rente</t>
        </is>
      </c>
    </row>
    <row r="1116">
      <c r="A1116" t="inlineStr">
        <is>
          <t>crop2</t>
        </is>
      </c>
      <c r="B1116" t="inlineStr">
        <is>
          <t>666</t>
        </is>
      </c>
      <c r="C1116" t="inlineStr">
        <is>
          <t>No other crop</t>
        </is>
      </c>
    </row>
    <row r="1117">
      <c r="A1117" t="inlineStr">
        <is>
          <t>crop2</t>
        </is>
      </c>
      <c r="B1117" t="inlineStr">
        <is>
          <t>888</t>
        </is>
      </c>
      <c r="C1117" t="inlineStr">
        <is>
          <t>Don't know</t>
        </is>
      </c>
    </row>
    <row r="1118">
      <c r="A1118" t="inlineStr">
        <is>
          <t>crop2</t>
        </is>
      </c>
      <c r="B1118" t="inlineStr">
        <is>
          <t>999</t>
        </is>
      </c>
      <c r="C1118" t="inlineStr">
        <is>
          <t>Refused</t>
        </is>
      </c>
    </row>
    <row r="1119"/>
    <row r="1120">
      <c r="A1120" t="inlineStr">
        <is>
          <t>crop3</t>
        </is>
      </c>
      <c r="B1120" t="inlineStr">
        <is>
          <t>1.1</t>
        </is>
      </c>
      <c r="C1120" t="inlineStr">
        <is>
          <t>Riz</t>
        </is>
      </c>
    </row>
    <row r="1121">
      <c r="A1121" t="inlineStr">
        <is>
          <t>crop3</t>
        </is>
      </c>
      <c r="B1121" t="inlineStr">
        <is>
          <t>1.2</t>
        </is>
      </c>
      <c r="C1121" t="inlineStr">
        <is>
          <t>Blé</t>
        </is>
      </c>
    </row>
    <row r="1122">
      <c r="A1122" t="inlineStr">
        <is>
          <t>crop3</t>
        </is>
      </c>
      <c r="B1122" t="inlineStr">
        <is>
          <t>1.3</t>
        </is>
      </c>
      <c r="C1122" t="inlineStr">
        <is>
          <t>Mil</t>
        </is>
      </c>
    </row>
    <row r="1123">
      <c r="A1123" t="inlineStr">
        <is>
          <t>crop3</t>
        </is>
      </c>
      <c r="B1123" t="inlineStr">
        <is>
          <t>1.4</t>
        </is>
      </c>
      <c r="C1123" t="inlineStr">
        <is>
          <t>Sorgho</t>
        </is>
      </c>
    </row>
    <row r="1124">
      <c r="A1124" t="inlineStr">
        <is>
          <t>crop3</t>
        </is>
      </c>
      <c r="B1124" t="inlineStr">
        <is>
          <t>1.5</t>
        </is>
      </c>
      <c r="C1124" t="inlineStr">
        <is>
          <t>Maïs</t>
        </is>
      </c>
    </row>
    <row r="1125">
      <c r="A1125" t="inlineStr">
        <is>
          <t>crop3</t>
        </is>
      </c>
      <c r="B1125" t="inlineStr">
        <is>
          <t>2.3</t>
        </is>
      </c>
      <c r="C1125" t="inlineStr">
        <is>
          <t>Patates douces</t>
        </is>
      </c>
    </row>
    <row r="1126">
      <c r="A1126" t="inlineStr">
        <is>
          <t>crop3</t>
        </is>
      </c>
      <c r="B1126" t="inlineStr">
        <is>
          <t>3.1</t>
        </is>
      </c>
      <c r="C1126" t="inlineStr">
        <is>
          <t>Haricots</t>
        </is>
      </c>
    </row>
    <row r="1127">
      <c r="A1127" t="inlineStr">
        <is>
          <t>crop3</t>
        </is>
      </c>
      <c r="B1127" t="inlineStr">
        <is>
          <t>4.1</t>
        </is>
      </c>
      <c r="C1127" t="inlineStr">
        <is>
          <t>Choux</t>
        </is>
      </c>
    </row>
    <row r="1128">
      <c r="A1128" t="inlineStr">
        <is>
          <t>crop3</t>
        </is>
      </c>
      <c r="B1128" t="inlineStr">
        <is>
          <t>5.8</t>
        </is>
      </c>
      <c r="C1128" t="inlineStr">
        <is>
          <t>Oignons</t>
        </is>
      </c>
    </row>
    <row r="1129">
      <c r="A1129" t="inlineStr">
        <is>
          <t>crop3</t>
        </is>
      </c>
      <c r="B1129" t="inlineStr">
        <is>
          <t>7.8</t>
        </is>
      </c>
      <c r="C1129" t="inlineStr">
        <is>
          <t>Pastèques</t>
        </is>
      </c>
    </row>
    <row r="1130">
      <c r="A1130" t="inlineStr">
        <is>
          <t>crop3</t>
        </is>
      </c>
      <c r="B1130" t="inlineStr">
        <is>
          <t>7.9</t>
        </is>
      </c>
      <c r="C1130" t="inlineStr">
        <is>
          <t>Dattes</t>
        </is>
      </c>
    </row>
    <row r="1131">
      <c r="A1131" t="inlineStr">
        <is>
          <t>crop3</t>
        </is>
      </c>
      <c r="B1131" t="inlineStr">
        <is>
          <t>8.2</t>
        </is>
      </c>
      <c r="C1131" t="inlineStr">
        <is>
          <t>Arachide / cacahuète</t>
        </is>
      </c>
    </row>
    <row r="1132">
      <c r="A1132" t="inlineStr">
        <is>
          <t>crop3</t>
        </is>
      </c>
      <c r="B1132" t="inlineStr">
        <is>
          <t>8.5</t>
        </is>
      </c>
      <c r="C1132" t="inlineStr">
        <is>
          <t>Sésame</t>
        </is>
      </c>
    </row>
    <row r="1133">
      <c r="A1133" t="inlineStr">
        <is>
          <t>crop3</t>
        </is>
      </c>
      <c r="B1133" t="inlineStr">
        <is>
          <t>1.6</t>
        </is>
      </c>
      <c r="C1133" t="inlineStr">
        <is>
          <t>Orge</t>
        </is>
      </c>
    </row>
    <row r="1134">
      <c r="A1134" t="inlineStr">
        <is>
          <t>crop3</t>
        </is>
      </c>
      <c r="B1134" t="inlineStr">
        <is>
          <t>1.99</t>
        </is>
      </c>
      <c r="C1134" t="inlineStr">
        <is>
          <t>Autres céréales</t>
        </is>
      </c>
    </row>
    <row r="1135">
      <c r="A1135" t="inlineStr">
        <is>
          <t>crop3</t>
        </is>
      </c>
      <c r="B1135" t="inlineStr">
        <is>
          <t>10.1</t>
        </is>
      </c>
      <c r="C1135" t="inlineStr">
        <is>
          <t>Coton</t>
        </is>
      </c>
    </row>
    <row r="1136">
      <c r="A1136" t="inlineStr">
        <is>
          <t>crop3</t>
        </is>
      </c>
      <c r="B1136" t="inlineStr">
        <is>
          <t>10.2</t>
        </is>
      </c>
      <c r="C1136" t="inlineStr">
        <is>
          <t>Caoutchouc</t>
        </is>
      </c>
    </row>
    <row r="1137">
      <c r="A1137" t="inlineStr">
        <is>
          <t>crop3</t>
        </is>
      </c>
      <c r="B1137" t="inlineStr">
        <is>
          <t>10.3</t>
        </is>
      </c>
      <c r="C1137" t="inlineStr">
        <is>
          <t>Jute</t>
        </is>
      </c>
    </row>
    <row r="1138">
      <c r="A1138" t="inlineStr">
        <is>
          <t>crop3</t>
        </is>
      </c>
      <c r="B1138" t="inlineStr">
        <is>
          <t>10.4</t>
        </is>
      </c>
      <c r="C1138" t="inlineStr">
        <is>
          <t>Fourrage</t>
        </is>
      </c>
    </row>
    <row r="1139">
      <c r="A1139" t="inlineStr">
        <is>
          <t>crop3</t>
        </is>
      </c>
      <c r="B1139" t="inlineStr">
        <is>
          <t>10.5</t>
        </is>
      </c>
      <c r="C1139" t="inlineStr">
        <is>
          <t>Tabac</t>
        </is>
      </c>
    </row>
    <row r="1140">
      <c r="A1140" t="inlineStr">
        <is>
          <t>crop3</t>
        </is>
      </c>
      <c r="B1140" t="inlineStr">
        <is>
          <t>10.6</t>
        </is>
      </c>
      <c r="C1140" t="inlineStr">
        <is>
          <t>Qat</t>
        </is>
      </c>
    </row>
    <row r="1141">
      <c r="A1141" t="inlineStr">
        <is>
          <t>crop3</t>
        </is>
      </c>
      <c r="B1141" t="inlineStr">
        <is>
          <t>10.99</t>
        </is>
      </c>
      <c r="C1141" t="inlineStr">
        <is>
          <t>Autre culture de rente non alimentaire</t>
        </is>
      </c>
    </row>
    <row r="1142">
      <c r="A1142" t="inlineStr">
        <is>
          <t>crop3</t>
        </is>
      </c>
      <c r="B1142" t="inlineStr">
        <is>
          <t>2.1</t>
        </is>
      </c>
      <c r="C1142" t="inlineStr">
        <is>
          <t>Manioc</t>
        </is>
      </c>
    </row>
    <row r="1143">
      <c r="A1143" t="inlineStr">
        <is>
          <t>crop3</t>
        </is>
      </c>
      <c r="B1143" t="inlineStr">
        <is>
          <t>2.2</t>
        </is>
      </c>
      <c r="C1143" t="inlineStr">
        <is>
          <t>Pommes de terre</t>
        </is>
      </c>
    </row>
    <row r="1144">
      <c r="A1144" t="inlineStr">
        <is>
          <t>crop3</t>
        </is>
      </c>
      <c r="B1144" t="inlineStr">
        <is>
          <t>2.4</t>
        </is>
      </c>
      <c r="C1144" t="inlineStr">
        <is>
          <t>Ignames</t>
        </is>
      </c>
    </row>
    <row r="1145">
      <c r="A1145" t="inlineStr">
        <is>
          <t>crop3</t>
        </is>
      </c>
      <c r="B1145" t="inlineStr">
        <is>
          <t>2.5</t>
        </is>
      </c>
      <c r="C1145" t="inlineStr">
        <is>
          <t>Carottes</t>
        </is>
      </c>
    </row>
    <row r="1146">
      <c r="A1146" t="inlineStr">
        <is>
          <t>crop3</t>
        </is>
      </c>
      <c r="B1146" t="inlineStr">
        <is>
          <t>2.6</t>
        </is>
      </c>
      <c r="C1146" t="inlineStr">
        <is>
          <t>Chou caraïbe</t>
        </is>
      </c>
    </row>
    <row r="1147">
      <c r="A1147" t="inlineStr">
        <is>
          <t>crop3</t>
        </is>
      </c>
      <c r="B1147" t="inlineStr">
        <is>
          <t>2.99</t>
        </is>
      </c>
      <c r="C1147" t="inlineStr">
        <is>
          <t>Autres tubercules</t>
        </is>
      </c>
    </row>
    <row r="1148">
      <c r="A1148" t="inlineStr">
        <is>
          <t>crop3</t>
        </is>
      </c>
      <c r="B1148" t="inlineStr">
        <is>
          <t>3.2</t>
        </is>
      </c>
      <c r="C1148" t="inlineStr">
        <is>
          <t>Lentilles</t>
        </is>
      </c>
    </row>
    <row r="1149">
      <c r="A1149" t="inlineStr">
        <is>
          <t>crop3</t>
        </is>
      </c>
      <c r="B1149" t="inlineStr">
        <is>
          <t>3.3</t>
        </is>
      </c>
      <c r="C1149" t="inlineStr">
        <is>
          <t>Pois</t>
        </is>
      </c>
    </row>
    <row r="1150">
      <c r="A1150" t="inlineStr">
        <is>
          <t>crop3</t>
        </is>
      </c>
      <c r="B1150" t="inlineStr">
        <is>
          <t>3.4</t>
        </is>
      </c>
      <c r="C1150" t="inlineStr">
        <is>
          <t>Soja</t>
        </is>
      </c>
    </row>
    <row r="1151">
      <c r="A1151" t="inlineStr">
        <is>
          <t>crop3</t>
        </is>
      </c>
      <c r="B1151" t="inlineStr">
        <is>
          <t>3.5</t>
        </is>
      </c>
      <c r="C1151" t="inlineStr">
        <is>
          <t>Pois chiches</t>
        </is>
      </c>
    </row>
    <row r="1152">
      <c r="A1152" t="inlineStr">
        <is>
          <t>crop3</t>
        </is>
      </c>
      <c r="B1152" t="inlineStr">
        <is>
          <t>3.6</t>
        </is>
      </c>
      <c r="C1152" t="inlineStr">
        <is>
          <t>Fève</t>
        </is>
      </c>
    </row>
    <row r="1153">
      <c r="A1153" t="inlineStr">
        <is>
          <t>crop3</t>
        </is>
      </c>
      <c r="B1153" t="inlineStr">
        <is>
          <t>3.7</t>
        </is>
      </c>
      <c r="C1153" t="inlineStr">
        <is>
          <t>Fève large</t>
        </is>
      </c>
    </row>
    <row r="1154">
      <c r="A1154" t="inlineStr">
        <is>
          <t>crop3</t>
        </is>
      </c>
      <c r="B1154" t="inlineStr">
        <is>
          <t>3.99</t>
        </is>
      </c>
      <c r="C1154" t="inlineStr">
        <is>
          <t>Autres légumineuses</t>
        </is>
      </c>
    </row>
    <row r="1155">
      <c r="A1155" t="inlineStr">
        <is>
          <t>crop3</t>
        </is>
      </c>
      <c r="B1155" t="inlineStr">
        <is>
          <t>4.101</t>
        </is>
      </c>
      <c r="C1155" t="inlineStr">
        <is>
          <t>Choux-fleur</t>
        </is>
      </c>
    </row>
    <row r="1156">
      <c r="A1156" t="inlineStr">
        <is>
          <t>crop3</t>
        </is>
      </c>
      <c r="B1156" t="inlineStr">
        <is>
          <t>4.2</t>
        </is>
      </c>
      <c r="C1156" t="inlineStr">
        <is>
          <t>Laitue</t>
        </is>
      </c>
    </row>
    <row r="1157">
      <c r="A1157" t="inlineStr">
        <is>
          <t>crop3</t>
        </is>
      </c>
      <c r="B1157" t="inlineStr">
        <is>
          <t>4.3</t>
        </is>
      </c>
      <c r="C1157" t="inlineStr">
        <is>
          <t>Epinards-Amaranthe</t>
        </is>
      </c>
    </row>
    <row r="1158">
      <c r="A1158" t="inlineStr">
        <is>
          <t>crop3</t>
        </is>
      </c>
      <c r="B1158" t="inlineStr">
        <is>
          <t>4.4</t>
        </is>
      </c>
      <c r="C1158" t="inlineStr">
        <is>
          <t>Feuilles de manioc</t>
        </is>
      </c>
    </row>
    <row r="1159">
      <c r="A1159" t="inlineStr">
        <is>
          <t>crop3</t>
        </is>
      </c>
      <c r="B1159" t="inlineStr">
        <is>
          <t>4.5</t>
        </is>
      </c>
      <c r="C1159" t="inlineStr">
        <is>
          <t>Feuilles de pomme de terre</t>
        </is>
      </c>
    </row>
    <row r="1160">
      <c r="A1160" t="inlineStr">
        <is>
          <t>crop3</t>
        </is>
      </c>
      <c r="B1160" t="inlineStr">
        <is>
          <t>4.6</t>
        </is>
      </c>
      <c r="C1160" t="inlineStr">
        <is>
          <t>Moringa</t>
        </is>
      </c>
    </row>
    <row r="1161">
      <c r="A1161" t="inlineStr">
        <is>
          <t>crop3</t>
        </is>
      </c>
      <c r="B1161" t="inlineStr">
        <is>
          <t>4.7</t>
        </is>
      </c>
      <c r="C1161" t="inlineStr">
        <is>
          <t>Oseille Hibiscus / Rosselle</t>
        </is>
      </c>
    </row>
    <row r="1162">
      <c r="A1162" t="inlineStr">
        <is>
          <t>crop3</t>
        </is>
      </c>
      <c r="B1162" t="inlineStr">
        <is>
          <t>4.9</t>
        </is>
      </c>
      <c r="C1162" t="inlineStr">
        <is>
          <t>Herbes aromatiques (thym, persil, menthe, rocca, autres)</t>
        </is>
      </c>
    </row>
    <row r="1163">
      <c r="A1163" t="inlineStr">
        <is>
          <t>crop3</t>
        </is>
      </c>
      <c r="B1163" t="inlineStr">
        <is>
          <t>4.99</t>
        </is>
      </c>
      <c r="C1163" t="inlineStr">
        <is>
          <t>Autres légumes à feuilles</t>
        </is>
      </c>
    </row>
    <row r="1164">
      <c r="A1164" t="inlineStr">
        <is>
          <t>crop3</t>
        </is>
      </c>
      <c r="B1164" t="inlineStr">
        <is>
          <t>5.1</t>
        </is>
      </c>
      <c r="C1164" t="inlineStr">
        <is>
          <t>Tomates</t>
        </is>
      </c>
    </row>
    <row r="1165">
      <c r="A1165" t="inlineStr">
        <is>
          <t>crop3</t>
        </is>
      </c>
      <c r="B1165" t="inlineStr">
        <is>
          <t>5.101</t>
        </is>
      </c>
      <c r="C1165" t="inlineStr">
        <is>
          <t>Petit pois</t>
        </is>
      </c>
    </row>
    <row r="1166">
      <c r="A1166" t="inlineStr">
        <is>
          <t>crop3</t>
        </is>
      </c>
      <c r="B1166" t="inlineStr">
        <is>
          <t>5.11</t>
        </is>
      </c>
      <c r="C1166" t="inlineStr">
        <is>
          <t>Pois fève</t>
        </is>
      </c>
    </row>
    <row r="1167">
      <c r="A1167" t="inlineStr">
        <is>
          <t>crop3</t>
        </is>
      </c>
      <c r="B1167" t="inlineStr">
        <is>
          <t>5.2</t>
        </is>
      </c>
      <c r="C1167" t="inlineStr">
        <is>
          <t>Concombre</t>
        </is>
      </c>
    </row>
    <row r="1168">
      <c r="A1168" t="inlineStr">
        <is>
          <t>crop3</t>
        </is>
      </c>
      <c r="B1168" t="inlineStr">
        <is>
          <t>5.3</t>
        </is>
      </c>
      <c r="C1168" t="inlineStr">
        <is>
          <t>Citrouille</t>
        </is>
      </c>
    </row>
    <row r="1169">
      <c r="A1169" t="inlineStr">
        <is>
          <t>crop3</t>
        </is>
      </c>
      <c r="B1169" t="inlineStr">
        <is>
          <t>5.4</t>
        </is>
      </c>
      <c r="C1169" t="inlineStr">
        <is>
          <t>Aubergines/aubergines</t>
        </is>
      </c>
    </row>
    <row r="1170">
      <c r="A1170" t="inlineStr">
        <is>
          <t>crop3</t>
        </is>
      </c>
      <c r="B1170" t="inlineStr">
        <is>
          <t>5.5</t>
        </is>
      </c>
      <c r="C1170" t="inlineStr">
        <is>
          <t>Courgettes</t>
        </is>
      </c>
    </row>
    <row r="1171">
      <c r="A1171" t="inlineStr">
        <is>
          <t>crop3</t>
        </is>
      </c>
      <c r="B1171" t="inlineStr">
        <is>
          <t>5.6</t>
        </is>
      </c>
      <c r="C1171" t="inlineStr">
        <is>
          <t>Okra</t>
        </is>
      </c>
    </row>
    <row r="1172">
      <c r="A1172" t="inlineStr">
        <is>
          <t>crop3</t>
        </is>
      </c>
      <c r="B1172" t="inlineStr">
        <is>
          <t>5.7</t>
        </is>
      </c>
      <c r="C1172" t="inlineStr">
        <is>
          <t>Poivron</t>
        </is>
      </c>
    </row>
    <row r="1173">
      <c r="A1173" t="inlineStr">
        <is>
          <t>crop3</t>
        </is>
      </c>
      <c r="B1173" t="inlineStr">
        <is>
          <t>5.9</t>
        </is>
      </c>
      <c r="C1173" t="inlineStr">
        <is>
          <t>Haricot</t>
        </is>
      </c>
    </row>
    <row r="1174">
      <c r="A1174" t="inlineStr">
        <is>
          <t>crop3</t>
        </is>
      </c>
      <c r="B1174" t="inlineStr">
        <is>
          <t>5.99</t>
        </is>
      </c>
      <c r="C1174" t="inlineStr">
        <is>
          <t>Autres légumes non feuillus</t>
        </is>
      </c>
    </row>
    <row r="1175">
      <c r="A1175" t="inlineStr">
        <is>
          <t>crop3</t>
        </is>
      </c>
      <c r="B1175" t="inlineStr">
        <is>
          <t>6.1</t>
        </is>
      </c>
      <c r="C1175" t="inlineStr">
        <is>
          <t>Orange</t>
        </is>
      </c>
    </row>
    <row r="1176">
      <c r="A1176" t="inlineStr">
        <is>
          <t>crop3</t>
        </is>
      </c>
      <c r="B1176" t="inlineStr">
        <is>
          <t>6.2</t>
        </is>
      </c>
      <c r="C1176" t="inlineStr">
        <is>
          <t>Citron</t>
        </is>
      </c>
    </row>
    <row r="1177">
      <c r="A1177" t="inlineStr">
        <is>
          <t>crop3</t>
        </is>
      </c>
      <c r="B1177" t="inlineStr">
        <is>
          <t>6.3</t>
        </is>
      </c>
      <c r="C1177" t="inlineStr">
        <is>
          <t>Pamplemousse</t>
        </is>
      </c>
    </row>
    <row r="1178">
      <c r="A1178" t="inlineStr">
        <is>
          <t>crop3</t>
        </is>
      </c>
      <c r="B1178" t="inlineStr">
        <is>
          <t>6.4</t>
        </is>
      </c>
      <c r="C1178" t="inlineStr">
        <is>
          <t>Tangerine/clémentine</t>
        </is>
      </c>
    </row>
    <row r="1179">
      <c r="A1179" t="inlineStr">
        <is>
          <t>crop3</t>
        </is>
      </c>
      <c r="B1179" t="inlineStr">
        <is>
          <t>6.99</t>
        </is>
      </c>
      <c r="C1179" t="inlineStr">
        <is>
          <t>Autres agrumes</t>
        </is>
      </c>
    </row>
    <row r="1180">
      <c r="A1180" t="inlineStr">
        <is>
          <t>crop3</t>
        </is>
      </c>
      <c r="B1180" t="inlineStr">
        <is>
          <t>7.1</t>
        </is>
      </c>
      <c r="C1180" t="inlineStr">
        <is>
          <t>Banane douce</t>
        </is>
      </c>
    </row>
    <row r="1181">
      <c r="A1181" t="inlineStr">
        <is>
          <t>crop3</t>
        </is>
      </c>
      <c r="B1181" t="inlineStr">
        <is>
          <t>7.101</t>
        </is>
      </c>
      <c r="C1181" t="inlineStr">
        <is>
          <t>Figues</t>
        </is>
      </c>
    </row>
    <row r="1182">
      <c r="A1182" t="inlineStr">
        <is>
          <t>crop3</t>
        </is>
      </c>
      <c r="B1182" t="inlineStr">
        <is>
          <t>7.11</t>
        </is>
      </c>
      <c r="C1182" t="inlineStr">
        <is>
          <t>Raisins</t>
        </is>
      </c>
    </row>
    <row r="1183">
      <c r="A1183" t="inlineStr">
        <is>
          <t>crop3</t>
        </is>
      </c>
      <c r="B1183" t="inlineStr">
        <is>
          <t>7.12</t>
        </is>
      </c>
      <c r="C1183" t="inlineStr">
        <is>
          <t>Olives</t>
        </is>
      </c>
    </row>
    <row r="1184">
      <c r="A1184" t="inlineStr">
        <is>
          <t>crop3</t>
        </is>
      </c>
      <c r="B1184" t="inlineStr">
        <is>
          <t>7.13</t>
        </is>
      </c>
      <c r="C1184" t="inlineStr">
        <is>
          <t>Pomme</t>
        </is>
      </c>
    </row>
    <row r="1185">
      <c r="A1185" t="inlineStr">
        <is>
          <t>crop3</t>
        </is>
      </c>
      <c r="B1185" t="inlineStr">
        <is>
          <t>7.14</t>
        </is>
      </c>
      <c r="C1185" t="inlineStr">
        <is>
          <t>Abricot</t>
        </is>
      </c>
    </row>
    <row r="1186">
      <c r="A1186" t="inlineStr">
        <is>
          <t>crop3</t>
        </is>
      </c>
      <c r="B1186" t="inlineStr">
        <is>
          <t>7.15</t>
        </is>
      </c>
      <c r="C1186" t="inlineStr">
        <is>
          <t>Cerises</t>
        </is>
      </c>
    </row>
    <row r="1187">
      <c r="A1187" t="inlineStr">
        <is>
          <t>crop3</t>
        </is>
      </c>
      <c r="B1187" t="inlineStr">
        <is>
          <t>7.16</t>
        </is>
      </c>
      <c r="C1187" t="inlineStr">
        <is>
          <t>Pêche/nectarine</t>
        </is>
      </c>
    </row>
    <row r="1188">
      <c r="A1188" t="inlineStr">
        <is>
          <t>crop3</t>
        </is>
      </c>
      <c r="B1188" t="inlineStr">
        <is>
          <t>7.17</t>
        </is>
      </c>
      <c r="C1188" t="inlineStr">
        <is>
          <t>Fraises</t>
        </is>
      </c>
    </row>
    <row r="1189">
      <c r="A1189" t="inlineStr">
        <is>
          <t>crop3</t>
        </is>
      </c>
      <c r="B1189" t="inlineStr">
        <is>
          <t>7.18</t>
        </is>
      </c>
      <c r="C1189" t="inlineStr">
        <is>
          <t>Melon</t>
        </is>
      </c>
    </row>
    <row r="1190">
      <c r="A1190" t="inlineStr">
        <is>
          <t>crop3</t>
        </is>
      </c>
      <c r="B1190" t="inlineStr">
        <is>
          <t>7.2</t>
        </is>
      </c>
      <c r="C1190" t="inlineStr">
        <is>
          <t>Banane plantain</t>
        </is>
      </c>
    </row>
    <row r="1191">
      <c r="A1191" t="inlineStr">
        <is>
          <t>crop3</t>
        </is>
      </c>
      <c r="B1191" t="inlineStr">
        <is>
          <t>7.3</t>
        </is>
      </c>
      <c r="C1191" t="inlineStr">
        <is>
          <t>Papaye</t>
        </is>
      </c>
    </row>
    <row r="1192">
      <c r="A1192" t="inlineStr">
        <is>
          <t>crop3</t>
        </is>
      </c>
      <c r="B1192" t="inlineStr">
        <is>
          <t>7.4</t>
        </is>
      </c>
      <c r="C1192" t="inlineStr">
        <is>
          <t>Mangue</t>
        </is>
      </c>
    </row>
    <row r="1193">
      <c r="A1193" t="inlineStr">
        <is>
          <t>crop3</t>
        </is>
      </c>
      <c r="B1193" t="inlineStr">
        <is>
          <t>7.5</t>
        </is>
      </c>
      <c r="C1193" t="inlineStr">
        <is>
          <t>Goyave</t>
        </is>
      </c>
    </row>
    <row r="1194">
      <c r="A1194" t="inlineStr">
        <is>
          <t>crop3</t>
        </is>
      </c>
      <c r="B1194" t="inlineStr">
        <is>
          <t>7.6</t>
        </is>
      </c>
      <c r="C1194" t="inlineStr">
        <is>
          <t>Ananas</t>
        </is>
      </c>
    </row>
    <row r="1195">
      <c r="A1195" t="inlineStr">
        <is>
          <t>crop3</t>
        </is>
      </c>
      <c r="B1195" t="inlineStr">
        <is>
          <t>7.7</t>
        </is>
      </c>
      <c r="C1195" t="inlineStr">
        <is>
          <t>Avocat</t>
        </is>
      </c>
    </row>
    <row r="1196">
      <c r="A1196" t="inlineStr">
        <is>
          <t>crop3</t>
        </is>
      </c>
      <c r="B1196" t="inlineStr">
        <is>
          <t>7.99</t>
        </is>
      </c>
      <c r="C1196" t="inlineStr">
        <is>
          <t>Autres fruits</t>
        </is>
      </c>
    </row>
    <row r="1197">
      <c r="A1197" t="inlineStr">
        <is>
          <t>crop3</t>
        </is>
      </c>
      <c r="B1197" t="inlineStr">
        <is>
          <t>8.1</t>
        </is>
      </c>
      <c r="C1197" t="inlineStr">
        <is>
          <t>Noix de coco</t>
        </is>
      </c>
    </row>
    <row r="1198">
      <c r="A1198" t="inlineStr">
        <is>
          <t>crop3</t>
        </is>
      </c>
      <c r="B1198" t="inlineStr">
        <is>
          <t>8.3</t>
        </is>
      </c>
      <c r="C1198" t="inlineStr">
        <is>
          <t>Noix de cajou</t>
        </is>
      </c>
    </row>
    <row r="1199">
      <c r="A1199" t="inlineStr">
        <is>
          <t>crop3</t>
        </is>
      </c>
      <c r="B1199" t="inlineStr">
        <is>
          <t>8.4</t>
        </is>
      </c>
      <c r="C1199" t="inlineStr">
        <is>
          <t>Noix de kola</t>
        </is>
      </c>
    </row>
    <row r="1200">
      <c r="A1200" t="inlineStr">
        <is>
          <t>crop3</t>
        </is>
      </c>
      <c r="B1200" t="inlineStr">
        <is>
          <t>8.6</t>
        </is>
      </c>
      <c r="C1200" t="inlineStr">
        <is>
          <t>Noix de bambara</t>
        </is>
      </c>
    </row>
    <row r="1201">
      <c r="A1201" t="inlineStr">
        <is>
          <t>crop3</t>
        </is>
      </c>
      <c r="B1201" t="inlineStr">
        <is>
          <t>8.7</t>
        </is>
      </c>
      <c r="C1201" t="inlineStr">
        <is>
          <t>Amande</t>
        </is>
      </c>
    </row>
    <row r="1202">
      <c r="A1202" t="inlineStr">
        <is>
          <t>crop3</t>
        </is>
      </c>
      <c r="B1202" t="inlineStr">
        <is>
          <t>8.8</t>
        </is>
      </c>
      <c r="C1202" t="inlineStr">
        <is>
          <t>Noix</t>
        </is>
      </c>
    </row>
    <row r="1203">
      <c r="A1203" t="inlineStr">
        <is>
          <t>crop3</t>
        </is>
      </c>
      <c r="B1203" t="inlineStr">
        <is>
          <t>8.99</t>
        </is>
      </c>
      <c r="C1203" t="inlineStr">
        <is>
          <t>Autres fruits à coque</t>
        </is>
      </c>
    </row>
    <row r="1204">
      <c r="A1204" t="inlineStr">
        <is>
          <t>crop3</t>
        </is>
      </c>
      <c r="B1204" t="inlineStr">
        <is>
          <t>9.1</t>
        </is>
      </c>
      <c r="C1204" t="inlineStr">
        <is>
          <t>Cacao</t>
        </is>
      </c>
    </row>
    <row r="1205">
      <c r="A1205" t="inlineStr">
        <is>
          <t>crop3</t>
        </is>
      </c>
      <c r="B1205" t="inlineStr">
        <is>
          <t>9.2</t>
        </is>
      </c>
      <c r="C1205" t="inlineStr">
        <is>
          <t>Café</t>
        </is>
      </c>
    </row>
    <row r="1206">
      <c r="A1206" t="inlineStr">
        <is>
          <t>crop3</t>
        </is>
      </c>
      <c r="B1206" t="inlineStr">
        <is>
          <t>9.3</t>
        </is>
      </c>
      <c r="C1206" t="inlineStr">
        <is>
          <t>Thé</t>
        </is>
      </c>
    </row>
    <row r="1207">
      <c r="A1207" t="inlineStr">
        <is>
          <t>crop3</t>
        </is>
      </c>
      <c r="B1207" t="inlineStr">
        <is>
          <t>9.4</t>
        </is>
      </c>
      <c r="C1207" t="inlineStr">
        <is>
          <t>Canne à sucre</t>
        </is>
      </c>
    </row>
    <row r="1208">
      <c r="A1208" t="inlineStr">
        <is>
          <t>crop3</t>
        </is>
      </c>
      <c r="B1208" t="inlineStr">
        <is>
          <t>9.5</t>
        </is>
      </c>
      <c r="C1208" t="inlineStr">
        <is>
          <t>Tournesol</t>
        </is>
      </c>
    </row>
    <row r="1209">
      <c r="A1209" t="inlineStr">
        <is>
          <t>crop3</t>
        </is>
      </c>
      <c r="B1209" t="inlineStr">
        <is>
          <t>9.99</t>
        </is>
      </c>
      <c r="C1209" t="inlineStr">
        <is>
          <t>Autres cultures vivrières de rente</t>
        </is>
      </c>
    </row>
    <row r="1210">
      <c r="A1210" t="inlineStr">
        <is>
          <t>crop3</t>
        </is>
      </c>
      <c r="B1210" t="inlineStr">
        <is>
          <t>666</t>
        </is>
      </c>
      <c r="C1210" t="inlineStr">
        <is>
          <t>No other crop</t>
        </is>
      </c>
    </row>
    <row r="1211">
      <c r="A1211" t="inlineStr">
        <is>
          <t>crop3</t>
        </is>
      </c>
      <c r="B1211" t="inlineStr">
        <is>
          <t>888</t>
        </is>
      </c>
      <c r="C1211" t="inlineStr">
        <is>
          <t>Don't know</t>
        </is>
      </c>
    </row>
    <row r="1212">
      <c r="A1212" t="inlineStr">
        <is>
          <t>crop3</t>
        </is>
      </c>
      <c r="B1212" t="inlineStr">
        <is>
          <t>999</t>
        </is>
      </c>
      <c r="C1212" t="inlineStr">
        <is>
          <t>Refused</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6328125" defaultRowHeight="14.5"/>
  <cols>
    <col width="28.08984375" customWidth="1" style="396" min="1" max="4"/>
    <col width="8.6328125" customWidth="1" style="396" min="5" max="5"/>
    <col width="8.6328125" customWidth="1" style="396" min="6" max="16384"/>
  </cols>
  <sheetData>
    <row r="1" customFormat="1" s="2">
      <c r="A1" s="6" t="inlineStr">
        <is>
          <t>version</t>
        </is>
      </c>
      <c r="B1" s="6" t="inlineStr">
        <is>
          <t>default_language</t>
        </is>
      </c>
      <c r="C1" s="6" t="inlineStr">
        <is>
          <t>allow_choice_duplicates</t>
        </is>
      </c>
      <c r="D1" s="6" t="inlineStr">
        <is>
          <t>style</t>
        </is>
      </c>
    </row>
    <row r="2">
      <c r="A2" s="396" t="inlineStr">
        <is>
          <t>vM6cWXyHNhR3djPbARkHWi</t>
        </is>
      </c>
      <c r="B2" s="4" t="inlineStr">
        <is>
          <t>French (fr)</t>
        </is>
      </c>
      <c r="C2" t="inlineStr">
        <is>
          <t>yes</t>
        </is>
      </c>
      <c r="D2" s="396"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H94"/>
  <sheetViews>
    <sheetView workbookViewId="0">
      <pane ySplit="3" topLeftCell="A14" activePane="bottomLeft" state="frozen"/>
      <selection pane="bottomLeft" activeCell="C5" sqref="C5"/>
    </sheetView>
  </sheetViews>
  <sheetFormatPr baseColWidth="8" defaultColWidth="10.6328125" defaultRowHeight="14.5"/>
  <cols>
    <col width="10.6328125" customWidth="1" style="124" min="1" max="2"/>
    <col width="15.08984375" customWidth="1" style="138" min="3" max="3"/>
    <col width="10.6328125" customWidth="1" style="139" min="4" max="4"/>
    <col width="28.6328125" customWidth="1" style="140" min="5" max="5"/>
    <col width="32" customWidth="1" style="140" min="6" max="6"/>
    <col width="10.6328125" customWidth="1" style="124" min="7" max="7"/>
    <col width="10.6328125" customWidth="1" style="124" min="8" max="16384"/>
  </cols>
  <sheetData>
    <row r="2">
      <c r="C2" s="125" t="n"/>
      <c r="D2" s="126" t="n"/>
      <c r="E2" s="127" t="n"/>
      <c r="F2" s="127" t="n"/>
    </row>
    <row r="3" ht="32" customHeight="1">
      <c r="B3" s="128" t="n"/>
      <c r="C3" s="129" t="inlineStr">
        <is>
          <t xml:space="preserve">Select top 10 crops </t>
        </is>
      </c>
      <c r="D3" s="130" t="inlineStr">
        <is>
          <t>Dataset code</t>
        </is>
      </c>
      <c r="E3" s="131" t="inlineStr">
        <is>
          <t>Label (EN)</t>
        </is>
      </c>
      <c r="F3" s="131" t="inlineStr">
        <is>
          <t>Label (FR)</t>
        </is>
      </c>
    </row>
    <row r="4" ht="16.25" customHeight="1">
      <c r="B4" s="128" t="n"/>
      <c r="C4" s="9" t="inlineStr">
        <is>
          <t>x</t>
        </is>
      </c>
      <c r="D4" s="132" t="n">
        <v>1.1</v>
      </c>
      <c r="E4" s="133" t="inlineStr">
        <is>
          <t>Rice</t>
        </is>
      </c>
      <c r="F4" s="133" t="inlineStr">
        <is>
          <t>Riz</t>
        </is>
      </c>
      <c r="G4" s="124">
        <f>D4*1000</f>
        <v/>
      </c>
      <c r="H4" s="124">
        <f>G4&amp;" "&amp;CHAR(34)&amp;F4&amp;CHAR(34)</f>
        <v/>
      </c>
    </row>
    <row r="5" ht="16.25" customHeight="1">
      <c r="B5" s="128" t="n"/>
      <c r="C5" s="9" t="inlineStr">
        <is>
          <t>x</t>
        </is>
      </c>
      <c r="D5" s="132" t="n">
        <v>1.2</v>
      </c>
      <c r="E5" s="133" t="inlineStr">
        <is>
          <t>Wheat</t>
        </is>
      </c>
      <c r="F5" s="133" t="inlineStr">
        <is>
          <t>Blé</t>
        </is>
      </c>
      <c r="G5" s="124">
        <f>D5*1000</f>
        <v/>
      </c>
      <c r="H5" s="124">
        <f>G5&amp;" "&amp;CHAR(34)&amp;F5&amp;CHAR(34)</f>
        <v/>
      </c>
    </row>
    <row r="6" ht="16.25" customHeight="1">
      <c r="B6" s="128" t="n"/>
      <c r="C6" s="9" t="inlineStr">
        <is>
          <t>x</t>
        </is>
      </c>
      <c r="D6" s="132" t="n">
        <v>1.3</v>
      </c>
      <c r="E6" s="133" t="inlineStr">
        <is>
          <t>Millet</t>
        </is>
      </c>
      <c r="F6" s="133" t="inlineStr">
        <is>
          <t>Mil</t>
        </is>
      </c>
      <c r="G6" s="124">
        <f>D6*1000</f>
        <v/>
      </c>
      <c r="H6" s="124">
        <f>G6&amp;" "&amp;CHAR(34)&amp;F6&amp;CHAR(34)</f>
        <v/>
      </c>
    </row>
    <row r="7" ht="16.25" customHeight="1">
      <c r="B7" s="128" t="n"/>
      <c r="C7" s="9" t="inlineStr">
        <is>
          <t>x</t>
        </is>
      </c>
      <c r="D7" s="132" t="n">
        <v>1.4</v>
      </c>
      <c r="E7" s="133" t="inlineStr">
        <is>
          <t>Sorghum</t>
        </is>
      </c>
      <c r="F7" s="133" t="inlineStr">
        <is>
          <t>Sorgho</t>
        </is>
      </c>
      <c r="G7" s="124">
        <f>D7*1000</f>
        <v/>
      </c>
      <c r="H7" s="124">
        <f>G7&amp;" "&amp;CHAR(34)&amp;F7&amp;CHAR(34)</f>
        <v/>
      </c>
    </row>
    <row r="8" ht="16.25" customHeight="1">
      <c r="B8" s="128" t="n"/>
      <c r="C8" s="9" t="inlineStr">
        <is>
          <t>x</t>
        </is>
      </c>
      <c r="D8" s="132" t="n">
        <v>1.5</v>
      </c>
      <c r="E8" s="133" t="inlineStr">
        <is>
          <t>Maize</t>
        </is>
      </c>
      <c r="F8" s="133" t="inlineStr">
        <is>
          <t>Maïs</t>
        </is>
      </c>
      <c r="G8" s="124">
        <f>D8*1000</f>
        <v/>
      </c>
      <c r="H8" s="124">
        <f>G8&amp;" "&amp;CHAR(34)&amp;F8&amp;CHAR(34)</f>
        <v/>
      </c>
    </row>
    <row r="9" ht="16.25" customHeight="1">
      <c r="B9" s="128" t="n"/>
      <c r="C9" s="9" t="n"/>
      <c r="D9" s="132" t="n">
        <v>1.6</v>
      </c>
      <c r="E9" s="133" t="inlineStr">
        <is>
          <t>Barley</t>
        </is>
      </c>
      <c r="F9" s="133" t="inlineStr">
        <is>
          <t>Orge</t>
        </is>
      </c>
      <c r="G9" s="124">
        <f>D9*1000</f>
        <v/>
      </c>
      <c r="H9" s="124">
        <f>G9&amp;" "&amp;CHAR(34)&amp;F9&amp;CHAR(34)</f>
        <v/>
      </c>
    </row>
    <row r="10" ht="16.25" customHeight="1">
      <c r="B10" s="128" t="n"/>
      <c r="C10" s="170" t="n"/>
      <c r="D10" s="132" t="n">
        <v>1.99</v>
      </c>
      <c r="E10" s="134" t="inlineStr">
        <is>
          <t>Other Cereal</t>
        </is>
      </c>
      <c r="F10" s="134" t="inlineStr">
        <is>
          <t>Autres céréales</t>
        </is>
      </c>
      <c r="G10" s="124">
        <f>D10*1000</f>
        <v/>
      </c>
      <c r="H10" s="124">
        <f>G10&amp;" "&amp;CHAR(34)&amp;F10&amp;CHAR(34)</f>
        <v/>
      </c>
    </row>
    <row r="11" ht="16.25" customHeight="1">
      <c r="B11" s="128" t="n"/>
      <c r="C11" s="9" t="n"/>
      <c r="D11" s="132" t="n">
        <v>2.1</v>
      </c>
      <c r="E11" s="133" t="inlineStr">
        <is>
          <t>Cassava</t>
        </is>
      </c>
      <c r="F11" s="133" t="inlineStr">
        <is>
          <t>Manioc</t>
        </is>
      </c>
      <c r="G11" s="124">
        <f>D11*1000</f>
        <v/>
      </c>
      <c r="H11" s="124">
        <f>G11&amp;" "&amp;CHAR(34)&amp;F11&amp;CHAR(34)</f>
        <v/>
      </c>
    </row>
    <row r="12" ht="16.25" customHeight="1">
      <c r="B12" s="128" t="n"/>
      <c r="C12" s="9" t="n"/>
      <c r="D12" s="132" t="n">
        <v>2.2</v>
      </c>
      <c r="E12" s="133" t="inlineStr">
        <is>
          <t>Potatoe</t>
        </is>
      </c>
      <c r="F12" s="133" t="inlineStr">
        <is>
          <t>Pommes de terre</t>
        </is>
      </c>
      <c r="G12" s="124">
        <f>D12*1000</f>
        <v/>
      </c>
      <c r="H12" s="124">
        <f>G12&amp;" "&amp;CHAR(34)&amp;F12&amp;CHAR(34)</f>
        <v/>
      </c>
    </row>
    <row r="13" ht="16.25" customHeight="1">
      <c r="B13" s="128" t="n"/>
      <c r="C13" s="9" t="inlineStr">
        <is>
          <t>x</t>
        </is>
      </c>
      <c r="D13" s="132" t="n">
        <v>2.3</v>
      </c>
      <c r="E13" s="133" t="inlineStr">
        <is>
          <t>Sweet Potatoes</t>
        </is>
      </c>
      <c r="F13" s="133" t="inlineStr">
        <is>
          <t>Patates douces</t>
        </is>
      </c>
      <c r="G13" s="124">
        <f>D13*1000</f>
        <v/>
      </c>
      <c r="H13" s="124">
        <f>G13&amp;" "&amp;CHAR(34)&amp;F13&amp;CHAR(34)</f>
        <v/>
      </c>
    </row>
    <row r="14" ht="16.25" customHeight="1">
      <c r="B14" s="128" t="n"/>
      <c r="C14" s="9" t="n"/>
      <c r="D14" s="132" t="n">
        <v>2.4</v>
      </c>
      <c r="E14" s="133" t="inlineStr">
        <is>
          <t>Yams</t>
        </is>
      </c>
      <c r="F14" s="133" t="inlineStr">
        <is>
          <t>Ignames</t>
        </is>
      </c>
      <c r="G14" s="124">
        <f>D14*1000</f>
        <v/>
      </c>
      <c r="H14" s="124">
        <f>G14&amp;" "&amp;CHAR(34)&amp;F14&amp;CHAR(34)</f>
        <v/>
      </c>
    </row>
    <row r="15" ht="16.25" customHeight="1">
      <c r="B15" s="128" t="n"/>
      <c r="C15" s="9" t="n"/>
      <c r="D15" s="132" t="n">
        <v>2.5</v>
      </c>
      <c r="E15" s="133" t="inlineStr">
        <is>
          <t>Carrots</t>
        </is>
      </c>
      <c r="F15" s="133" t="inlineStr">
        <is>
          <t>Carottes</t>
        </is>
      </c>
      <c r="G15" s="124">
        <f>D15*1000</f>
        <v/>
      </c>
      <c r="H15" s="124">
        <f>G15&amp;" "&amp;CHAR(34)&amp;F15&amp;CHAR(34)</f>
        <v/>
      </c>
    </row>
    <row r="16" ht="16.25" customHeight="1">
      <c r="B16" s="128" t="n"/>
      <c r="C16" s="9" t="n"/>
      <c r="D16" s="132" t="n">
        <v>2.6</v>
      </c>
      <c r="E16" s="133" t="inlineStr">
        <is>
          <t>Cocoyam</t>
        </is>
      </c>
      <c r="F16" s="133" t="inlineStr">
        <is>
          <t>Chou caraïbe</t>
        </is>
      </c>
      <c r="G16" s="124">
        <f>D16*1000</f>
        <v/>
      </c>
      <c r="H16" s="124">
        <f>G16&amp;" "&amp;CHAR(34)&amp;F16&amp;CHAR(34)</f>
        <v/>
      </c>
    </row>
    <row r="17" ht="16.25" customHeight="1">
      <c r="B17" s="128" t="n"/>
      <c r="C17" s="170" t="n"/>
      <c r="D17" s="132" t="n">
        <v>2.99</v>
      </c>
      <c r="E17" s="134" t="inlineStr">
        <is>
          <t>Other tubers</t>
        </is>
      </c>
      <c r="F17" s="134" t="inlineStr">
        <is>
          <t>Autres tubercules</t>
        </is>
      </c>
      <c r="G17" s="124">
        <f>D17*1000</f>
        <v/>
      </c>
      <c r="H17" s="124">
        <f>G17&amp;" "&amp;CHAR(34)&amp;F17&amp;CHAR(34)</f>
        <v/>
      </c>
    </row>
    <row r="18" ht="16.25" customHeight="1">
      <c r="B18" s="128" t="n"/>
      <c r="C18" s="9" t="inlineStr">
        <is>
          <t>x</t>
        </is>
      </c>
      <c r="D18" s="132" t="n">
        <v>3.1</v>
      </c>
      <c r="E18" s="133" t="inlineStr">
        <is>
          <t>Beans</t>
        </is>
      </c>
      <c r="F18" s="133" t="inlineStr">
        <is>
          <t>Haricots</t>
        </is>
      </c>
      <c r="G18" s="124">
        <f>D18*1000</f>
        <v/>
      </c>
      <c r="H18" s="124">
        <f>G18&amp;" "&amp;CHAR(34)&amp;F18&amp;CHAR(34)</f>
        <v/>
      </c>
    </row>
    <row r="19" ht="16.25" customHeight="1">
      <c r="B19" s="128" t="n"/>
      <c r="C19" s="9" t="n"/>
      <c r="D19" s="132" t="n">
        <v>3.2</v>
      </c>
      <c r="E19" s="133" t="inlineStr">
        <is>
          <t>Lentils</t>
        </is>
      </c>
      <c r="F19" s="133" t="inlineStr">
        <is>
          <t>Lentilles</t>
        </is>
      </c>
      <c r="G19" s="124">
        <f>D19*1000</f>
        <v/>
      </c>
      <c r="H19" s="124">
        <f>G19&amp;" "&amp;CHAR(34)&amp;F19&amp;CHAR(34)</f>
        <v/>
      </c>
    </row>
    <row r="20" ht="16.25" customHeight="1">
      <c r="B20" s="128" t="n"/>
      <c r="C20" s="9" t="n"/>
      <c r="D20" s="132" t="n">
        <v>3.3</v>
      </c>
      <c r="E20" s="133" t="inlineStr">
        <is>
          <t>Peas</t>
        </is>
      </c>
      <c r="F20" s="133" t="inlineStr">
        <is>
          <t>Pois</t>
        </is>
      </c>
      <c r="G20" s="124">
        <f>D20*1000</f>
        <v/>
      </c>
      <c r="H20" s="124">
        <f>G20&amp;" "&amp;CHAR(34)&amp;F20&amp;CHAR(34)</f>
        <v/>
      </c>
    </row>
    <row r="21" ht="16.25" customHeight="1">
      <c r="B21" s="128" t="n"/>
      <c r="C21" s="9" t="n"/>
      <c r="D21" s="132" t="n">
        <v>3.4</v>
      </c>
      <c r="E21" s="133" t="inlineStr">
        <is>
          <t>Soybeans</t>
        </is>
      </c>
      <c r="F21" s="133" t="inlineStr">
        <is>
          <t>Soja</t>
        </is>
      </c>
      <c r="G21" s="124">
        <f>D21*1000</f>
        <v/>
      </c>
      <c r="H21" s="124">
        <f>G21&amp;" "&amp;CHAR(34)&amp;F21&amp;CHAR(34)</f>
        <v/>
      </c>
    </row>
    <row r="22" ht="16.25" customHeight="1">
      <c r="B22" s="128" t="n"/>
      <c r="C22" s="9" t="n"/>
      <c r="D22" s="132" t="n">
        <v>3.5</v>
      </c>
      <c r="E22" s="133" t="inlineStr">
        <is>
          <t>Chickpeas</t>
        </is>
      </c>
      <c r="F22" s="133" t="inlineStr">
        <is>
          <t>Pois chiches</t>
        </is>
      </c>
      <c r="G22" s="124">
        <f>D22*1000</f>
        <v/>
      </c>
      <c r="H22" s="124">
        <f>G22&amp;" "&amp;CHAR(34)&amp;F22&amp;CHAR(34)</f>
        <v/>
      </c>
    </row>
    <row r="23" ht="16.25" customHeight="1">
      <c r="B23" s="128" t="n"/>
      <c r="C23" s="9" t="n"/>
      <c r="D23" s="132" t="n">
        <v>3.6</v>
      </c>
      <c r="E23" s="133" t="inlineStr">
        <is>
          <t>Fava beans</t>
        </is>
      </c>
      <c r="F23" s="133" t="inlineStr">
        <is>
          <t>Fève</t>
        </is>
      </c>
      <c r="G23" s="124">
        <f>D23*1000</f>
        <v/>
      </c>
      <c r="H23" s="124">
        <f>G23&amp;" "&amp;CHAR(34)&amp;F23&amp;CHAR(34)</f>
        <v/>
      </c>
    </row>
    <row r="24" ht="16.25" customHeight="1">
      <c r="B24" s="128" t="n"/>
      <c r="C24" s="9" t="n"/>
      <c r="D24" s="132" t="n">
        <v>3.7</v>
      </c>
      <c r="E24" s="133" t="inlineStr">
        <is>
          <t>Broad beans</t>
        </is>
      </c>
      <c r="F24" s="133" t="inlineStr">
        <is>
          <t>Fève large</t>
        </is>
      </c>
      <c r="G24" s="124">
        <f>D24*1000</f>
        <v/>
      </c>
      <c r="H24" s="124">
        <f>G24&amp;" "&amp;CHAR(34)&amp;F24&amp;CHAR(34)</f>
        <v/>
      </c>
    </row>
    <row r="25" ht="16.25" customHeight="1">
      <c r="B25" s="128" t="n"/>
      <c r="C25" s="170" t="n"/>
      <c r="D25" s="132" t="n">
        <v>3.99</v>
      </c>
      <c r="E25" s="134" t="inlineStr">
        <is>
          <t>Other pulses</t>
        </is>
      </c>
      <c r="F25" s="134" t="inlineStr">
        <is>
          <t>Autres légumineuses</t>
        </is>
      </c>
      <c r="G25" s="124">
        <f>D25*1000</f>
        <v/>
      </c>
      <c r="H25" s="124">
        <f>G25&amp;" "&amp;CHAR(34)&amp;F25&amp;CHAR(34)</f>
        <v/>
      </c>
    </row>
    <row r="26" ht="16.25" customHeight="1">
      <c r="B26" s="128" t="n"/>
      <c r="C26" s="9" t="inlineStr">
        <is>
          <t>x</t>
        </is>
      </c>
      <c r="D26" s="132" t="n">
        <v>4.1</v>
      </c>
      <c r="E26" s="133" t="inlineStr">
        <is>
          <t>Cabbage</t>
        </is>
      </c>
      <c r="F26" s="133" t="inlineStr">
        <is>
          <t>Choux</t>
        </is>
      </c>
      <c r="G26" s="124">
        <f>D26*1000</f>
        <v/>
      </c>
      <c r="H26" s="124">
        <f>G26&amp;" "&amp;CHAR(34)&amp;F26&amp;CHAR(34)</f>
        <v/>
      </c>
    </row>
    <row r="27" ht="16.25" customHeight="1">
      <c r="B27" s="128" t="n"/>
      <c r="C27" s="9" t="n"/>
      <c r="D27" s="132" t="n">
        <v>4.2</v>
      </c>
      <c r="E27" s="133" t="inlineStr">
        <is>
          <t>Lettuce</t>
        </is>
      </c>
      <c r="F27" s="133" t="inlineStr">
        <is>
          <t>Laitue</t>
        </is>
      </c>
      <c r="G27" s="124">
        <f>D27*1000</f>
        <v/>
      </c>
      <c r="H27" s="124">
        <f>G27&amp;" "&amp;CHAR(34)&amp;F27&amp;CHAR(34)</f>
        <v/>
      </c>
    </row>
    <row r="28" ht="16.25" customHeight="1">
      <c r="B28" s="128" t="n"/>
      <c r="C28" s="9" t="n"/>
      <c r="D28" s="132" t="n">
        <v>4.3</v>
      </c>
      <c r="E28" s="133" t="inlineStr">
        <is>
          <t>Spinach-Amaranth</t>
        </is>
      </c>
      <c r="F28" s="133" t="inlineStr">
        <is>
          <t>Epinards-Amaranthe</t>
        </is>
      </c>
      <c r="G28" s="124">
        <f>D28*1000</f>
        <v/>
      </c>
      <c r="H28" s="124">
        <f>G28&amp;" "&amp;CHAR(34)&amp;F28&amp;CHAR(34)</f>
        <v/>
      </c>
    </row>
    <row r="29" ht="16.25" customHeight="1">
      <c r="B29" s="128" t="n"/>
      <c r="C29" s="9" t="n"/>
      <c r="D29" s="132" t="n">
        <v>4.4</v>
      </c>
      <c r="E29" s="133" t="inlineStr">
        <is>
          <t>Cassava leaves</t>
        </is>
      </c>
      <c r="F29" s="133" t="inlineStr">
        <is>
          <t>Feuilles de manioc</t>
        </is>
      </c>
      <c r="G29" s="124">
        <f>D29*1000</f>
        <v/>
      </c>
      <c r="H29" s="124">
        <f>G29&amp;" "&amp;CHAR(34)&amp;F29&amp;CHAR(34)</f>
        <v/>
      </c>
    </row>
    <row r="30" ht="16.25" customHeight="1">
      <c r="B30" s="128" t="n"/>
      <c r="C30" s="9" t="n"/>
      <c r="D30" s="132" t="n">
        <v>4.5</v>
      </c>
      <c r="E30" s="133" t="inlineStr">
        <is>
          <t>Potatoe leaves</t>
        </is>
      </c>
      <c r="F30" s="133" t="inlineStr">
        <is>
          <t>Feuilles de pomme de terre</t>
        </is>
      </c>
      <c r="G30" s="124">
        <f>D30*1000</f>
        <v/>
      </c>
      <c r="H30" s="124">
        <f>G30&amp;" "&amp;CHAR(34)&amp;F30&amp;CHAR(34)</f>
        <v/>
      </c>
    </row>
    <row r="31" ht="16.25" customHeight="1">
      <c r="B31" s="128" t="n"/>
      <c r="C31" s="9" t="n"/>
      <c r="D31" s="132" t="n">
        <v>4.6</v>
      </c>
      <c r="E31" s="133" t="inlineStr">
        <is>
          <t>Moringa</t>
        </is>
      </c>
      <c r="F31" s="133" t="inlineStr">
        <is>
          <t>Moringa</t>
        </is>
      </c>
      <c r="G31" s="124">
        <f>D31*1000</f>
        <v/>
      </c>
      <c r="H31" s="124">
        <f>G31&amp;" "&amp;CHAR(34)&amp;F31&amp;CHAR(34)</f>
        <v/>
      </c>
    </row>
    <row r="32" ht="16.25" customHeight="1">
      <c r="B32" s="128" t="n"/>
      <c r="C32" s="9" t="n"/>
      <c r="D32" s="132" t="n">
        <v>4.7</v>
      </c>
      <c r="E32" s="133" t="inlineStr">
        <is>
          <t>Sorrel Hibiscus / Rosselle</t>
        </is>
      </c>
      <c r="F32" s="133" t="inlineStr">
        <is>
          <t>Oseille Hibiscus / Rosselle</t>
        </is>
      </c>
      <c r="G32" s="124">
        <f>D32*1000</f>
        <v/>
      </c>
      <c r="H32" s="124">
        <f>G32&amp;" "&amp;CHAR(34)&amp;F32&amp;CHAR(34)</f>
        <v/>
      </c>
    </row>
    <row r="33" ht="32" customHeight="1">
      <c r="B33" s="128" t="n"/>
      <c r="C33" s="9" t="n"/>
      <c r="D33" s="132" t="n">
        <v>4.9</v>
      </c>
      <c r="E33" s="133" t="inlineStr">
        <is>
          <t>Green salad herbs (thyme, parsley, mint, rocca, other)</t>
        </is>
      </c>
      <c r="F33" s="133" t="inlineStr">
        <is>
          <t>Herbes aromatiques (thym, persil, menthe, rocca, autres)</t>
        </is>
      </c>
      <c r="G33" s="124">
        <f>D33*1000</f>
        <v/>
      </c>
      <c r="H33" s="124">
        <f>G33&amp;" "&amp;CHAR(34)&amp;F33&amp;CHAR(34)</f>
        <v/>
      </c>
    </row>
    <row r="34" ht="16.25" customHeight="1">
      <c r="B34" s="128" t="n"/>
      <c r="C34" s="9" t="n"/>
      <c r="D34" s="132" t="n">
        <v>4.101</v>
      </c>
      <c r="E34" s="133" t="inlineStr">
        <is>
          <t>Cauliflower</t>
        </is>
      </c>
      <c r="F34" s="133" t="inlineStr">
        <is>
          <t>Choux-fleur</t>
        </is>
      </c>
      <c r="G34" s="124">
        <f>D34*1000</f>
        <v/>
      </c>
      <c r="H34" s="124">
        <f>G34&amp;" "&amp;CHAR(34)&amp;F34&amp;CHAR(34)</f>
        <v/>
      </c>
    </row>
    <row r="35" ht="16.25" customHeight="1">
      <c r="B35" s="128" t="n"/>
      <c r="C35" s="170" t="n"/>
      <c r="D35" s="132" t="n">
        <v>4.99</v>
      </c>
      <c r="E35" s="134" t="inlineStr">
        <is>
          <t>Other leafy vegetables</t>
        </is>
      </c>
      <c r="F35" s="134" t="inlineStr">
        <is>
          <t>Autres légumes à feuilles</t>
        </is>
      </c>
      <c r="G35" s="124">
        <f>D35*1000</f>
        <v/>
      </c>
      <c r="H35" s="124">
        <f>G35&amp;" "&amp;CHAR(34)&amp;F35&amp;CHAR(34)</f>
        <v/>
      </c>
    </row>
    <row r="36" ht="16.25" customHeight="1">
      <c r="B36" s="128" t="n"/>
      <c r="C36" s="9" t="n"/>
      <c r="D36" s="132" t="n">
        <v>5.1</v>
      </c>
      <c r="E36" s="133" t="inlineStr">
        <is>
          <t>Tomatoes</t>
        </is>
      </c>
      <c r="F36" s="133" t="inlineStr">
        <is>
          <t>Tomates</t>
        </is>
      </c>
      <c r="G36" s="124">
        <f>D36*1000</f>
        <v/>
      </c>
      <c r="H36" s="124">
        <f>G36&amp;" "&amp;CHAR(34)&amp;F36&amp;CHAR(34)</f>
        <v/>
      </c>
    </row>
    <row r="37" ht="16.25" customHeight="1">
      <c r="B37" s="128" t="n"/>
      <c r="C37" s="9" t="n"/>
      <c r="D37" s="132" t="n">
        <v>5.2</v>
      </c>
      <c r="E37" s="133" t="inlineStr">
        <is>
          <t>Cucumber</t>
        </is>
      </c>
      <c r="F37" s="133" t="inlineStr">
        <is>
          <t>Concombre</t>
        </is>
      </c>
      <c r="G37" s="124">
        <f>D37*1000</f>
        <v/>
      </c>
      <c r="H37" s="124">
        <f>G37&amp;" "&amp;CHAR(34)&amp;F37&amp;CHAR(34)</f>
        <v/>
      </c>
    </row>
    <row r="38" ht="16.25" customHeight="1">
      <c r="B38" s="128" t="n"/>
      <c r="C38" s="9" t="n"/>
      <c r="D38" s="132" t="n">
        <v>5.3</v>
      </c>
      <c r="E38" s="133" t="inlineStr">
        <is>
          <t>Pumpkin</t>
        </is>
      </c>
      <c r="F38" s="133" t="inlineStr">
        <is>
          <t>Citrouille</t>
        </is>
      </c>
      <c r="G38" s="124">
        <f>D38*1000</f>
        <v/>
      </c>
      <c r="H38" s="124">
        <f>G38&amp;" "&amp;CHAR(34)&amp;F38&amp;CHAR(34)</f>
        <v/>
      </c>
    </row>
    <row r="39" ht="16.25" customHeight="1">
      <c r="B39" s="128" t="n"/>
      <c r="C39" s="9" t="n"/>
      <c r="D39" s="132" t="n">
        <v>5.4</v>
      </c>
      <c r="E39" s="133" t="inlineStr">
        <is>
          <t>Eggplant/aubergine</t>
        </is>
      </c>
      <c r="F39" s="133" t="inlineStr">
        <is>
          <t>Aubergines/aubergines</t>
        </is>
      </c>
      <c r="G39" s="124">
        <f>D39*1000</f>
        <v/>
      </c>
      <c r="H39" s="124">
        <f>G39&amp;" "&amp;CHAR(34)&amp;F39&amp;CHAR(34)</f>
        <v/>
      </c>
    </row>
    <row r="40" ht="16.25" customHeight="1">
      <c r="B40" s="128" t="n"/>
      <c r="C40" s="9" t="n"/>
      <c r="D40" s="132" t="n">
        <v>5.5</v>
      </c>
      <c r="E40" s="133" t="inlineStr">
        <is>
          <t>Zucchini</t>
        </is>
      </c>
      <c r="F40" s="133" t="inlineStr">
        <is>
          <t>Courgettes</t>
        </is>
      </c>
      <c r="G40" s="124">
        <f>D40*1000</f>
        <v/>
      </c>
      <c r="H40" s="124">
        <f>G40&amp;" "&amp;CHAR(34)&amp;F40&amp;CHAR(34)</f>
        <v/>
      </c>
    </row>
    <row r="41" ht="16.25" customHeight="1">
      <c r="B41" s="128" t="n"/>
      <c r="C41" s="9" t="n"/>
      <c r="D41" s="132" t="n">
        <v>5.6</v>
      </c>
      <c r="E41" s="133" t="inlineStr">
        <is>
          <t>Okra</t>
        </is>
      </c>
      <c r="F41" s="133" t="inlineStr">
        <is>
          <t>Okra</t>
        </is>
      </c>
      <c r="G41" s="124">
        <f>D41*1000</f>
        <v/>
      </c>
      <c r="H41" s="124">
        <f>G41&amp;" "&amp;CHAR(34)&amp;F41&amp;CHAR(34)</f>
        <v/>
      </c>
    </row>
    <row r="42" ht="16.25" customHeight="1">
      <c r="B42" s="128" t="n"/>
      <c r="C42" s="9" t="n"/>
      <c r="D42" s="132" t="n">
        <v>5.7</v>
      </c>
      <c r="E42" s="133" t="inlineStr">
        <is>
          <t>Bell pepper</t>
        </is>
      </c>
      <c r="F42" s="133" t="inlineStr">
        <is>
          <t>Poivron</t>
        </is>
      </c>
      <c r="G42" s="124">
        <f>D42*1000</f>
        <v/>
      </c>
      <c r="H42" s="124">
        <f>G42&amp;" "&amp;CHAR(34)&amp;F42&amp;CHAR(34)</f>
        <v/>
      </c>
    </row>
    <row r="43" ht="16.25" customHeight="1">
      <c r="B43" s="128" t="n"/>
      <c r="C43" s="9" t="inlineStr">
        <is>
          <t>x</t>
        </is>
      </c>
      <c r="D43" s="132" t="n">
        <v>5.8</v>
      </c>
      <c r="E43" s="133" t="inlineStr">
        <is>
          <t>Onions</t>
        </is>
      </c>
      <c r="F43" s="133" t="inlineStr">
        <is>
          <t>Oignons</t>
        </is>
      </c>
      <c r="G43" s="124">
        <f>D43*1000</f>
        <v/>
      </c>
      <c r="H43" s="124">
        <f>G43&amp;" "&amp;CHAR(34)&amp;F43&amp;CHAR(34)</f>
        <v/>
      </c>
    </row>
    <row r="44" ht="16.25" customHeight="1">
      <c r="B44" s="128" t="n"/>
      <c r="C44" s="9" t="n"/>
      <c r="D44" s="132" t="n">
        <v>5.9</v>
      </c>
      <c r="E44" s="133" t="inlineStr">
        <is>
          <t>Haricot</t>
        </is>
      </c>
      <c r="F44" s="133" t="inlineStr">
        <is>
          <t xml:space="preserve">Haricot </t>
        </is>
      </c>
      <c r="G44" s="124">
        <f>D44*1000</f>
        <v/>
      </c>
      <c r="H44" s="124">
        <f>G44&amp;" "&amp;CHAR(34)&amp;F44&amp;CHAR(34)</f>
        <v/>
      </c>
    </row>
    <row r="45" ht="16.25" customHeight="1">
      <c r="B45" s="128" t="n"/>
      <c r="C45" s="9" t="n"/>
      <c r="D45" s="132" t="n">
        <v>5.101</v>
      </c>
      <c r="E45" s="133" t="inlineStr">
        <is>
          <t>Green peas</t>
        </is>
      </c>
      <c r="F45" s="133" t="inlineStr">
        <is>
          <t>Petit pois</t>
        </is>
      </c>
      <c r="G45" s="124">
        <f>D45*1000</f>
        <v/>
      </c>
      <c r="H45" s="124">
        <f>G45&amp;" "&amp;CHAR(34)&amp;F45&amp;CHAR(34)</f>
        <v/>
      </c>
    </row>
    <row r="46" ht="16.25" customHeight="1">
      <c r="B46" s="128" t="n"/>
      <c r="C46" s="9" t="n"/>
      <c r="D46" s="132" t="n">
        <v>5.11</v>
      </c>
      <c r="E46" s="133" t="inlineStr">
        <is>
          <t>Fava beans green</t>
        </is>
      </c>
      <c r="F46" s="133" t="inlineStr">
        <is>
          <t>Pois fève</t>
        </is>
      </c>
      <c r="G46" s="124">
        <f>D46*1000</f>
        <v/>
      </c>
      <c r="H46" s="124">
        <f>G46&amp;" "&amp;CHAR(34)&amp;F46&amp;CHAR(34)</f>
        <v/>
      </c>
    </row>
    <row r="47" ht="16.25" customHeight="1">
      <c r="B47" s="128" t="n"/>
      <c r="C47" s="170" t="n"/>
      <c r="D47" s="132" t="n">
        <v>5.99</v>
      </c>
      <c r="E47" s="134" t="inlineStr">
        <is>
          <t>Other non leafy vegs</t>
        </is>
      </c>
      <c r="F47" s="134" t="inlineStr">
        <is>
          <t>Autres légumes non feuillus</t>
        </is>
      </c>
      <c r="G47" s="124">
        <f>D47*1000</f>
        <v/>
      </c>
      <c r="H47" s="124">
        <f>G47&amp;" "&amp;CHAR(34)&amp;F47&amp;CHAR(34)</f>
        <v/>
      </c>
    </row>
    <row r="48" ht="16.25" customHeight="1">
      <c r="B48" s="128" t="n"/>
      <c r="C48" s="9" t="n"/>
      <c r="D48" s="132" t="n">
        <v>6.1</v>
      </c>
      <c r="E48" s="133" t="inlineStr">
        <is>
          <t>Orange</t>
        </is>
      </c>
      <c r="F48" s="133" t="inlineStr">
        <is>
          <t>Orange</t>
        </is>
      </c>
      <c r="G48" s="124">
        <f>D48*1000</f>
        <v/>
      </c>
      <c r="H48" s="124">
        <f>G48&amp;" "&amp;CHAR(34)&amp;F48&amp;CHAR(34)</f>
        <v/>
      </c>
    </row>
    <row r="49" ht="16.25" customHeight="1">
      <c r="B49" s="128" t="n"/>
      <c r="C49" s="9" t="n"/>
      <c r="D49" s="132" t="n">
        <v>6.2</v>
      </c>
      <c r="E49" s="133" t="inlineStr">
        <is>
          <t>Lemon</t>
        </is>
      </c>
      <c r="F49" s="133" t="inlineStr">
        <is>
          <t>Citron</t>
        </is>
      </c>
      <c r="G49" s="124">
        <f>D49*1000</f>
        <v/>
      </c>
      <c r="H49" s="124">
        <f>G49&amp;" "&amp;CHAR(34)&amp;F49&amp;CHAR(34)</f>
        <v/>
      </c>
    </row>
    <row r="50" ht="16.25" customHeight="1">
      <c r="B50" s="128" t="n"/>
      <c r="C50" s="9" t="n"/>
      <c r="D50" s="132" t="n">
        <v>6.3</v>
      </c>
      <c r="E50" s="133" t="inlineStr">
        <is>
          <t>Grapefruit</t>
        </is>
      </c>
      <c r="F50" s="133" t="inlineStr">
        <is>
          <t>Pamplemousse</t>
        </is>
      </c>
      <c r="G50" s="124">
        <f>D50*1000</f>
        <v/>
      </c>
      <c r="H50" s="124">
        <f>G50&amp;" "&amp;CHAR(34)&amp;F50&amp;CHAR(34)</f>
        <v/>
      </c>
    </row>
    <row r="51" ht="16.25" customHeight="1">
      <c r="B51" s="128" t="n"/>
      <c r="C51" s="9" t="n"/>
      <c r="D51" s="132" t="n">
        <v>6.4</v>
      </c>
      <c r="E51" s="133" t="inlineStr">
        <is>
          <t>Mandarins/clementines</t>
        </is>
      </c>
      <c r="F51" s="133" t="inlineStr">
        <is>
          <t>Tangerine/clémentine</t>
        </is>
      </c>
      <c r="G51" s="124">
        <f>D51*1000</f>
        <v/>
      </c>
      <c r="H51" s="124">
        <f>G51&amp;" "&amp;CHAR(34)&amp;F51&amp;CHAR(34)</f>
        <v/>
      </c>
    </row>
    <row r="52" ht="16.25" customHeight="1">
      <c r="B52" s="128" t="n"/>
      <c r="C52" s="170" t="n"/>
      <c r="D52" s="132" t="n">
        <v>6.99</v>
      </c>
      <c r="E52" s="134" t="inlineStr">
        <is>
          <t>Other citrus fruit</t>
        </is>
      </c>
      <c r="F52" s="134" t="inlineStr">
        <is>
          <t>Autres agrumes</t>
        </is>
      </c>
      <c r="G52" s="124">
        <f>D52*1000</f>
        <v/>
      </c>
      <c r="H52" s="124">
        <f>G52&amp;" "&amp;CHAR(34)&amp;F52&amp;CHAR(34)</f>
        <v/>
      </c>
    </row>
    <row r="53" ht="16.25" customHeight="1">
      <c r="B53" s="128" t="n"/>
      <c r="C53" s="9" t="n"/>
      <c r="D53" s="132" t="n">
        <v>7.1</v>
      </c>
      <c r="E53" s="133" t="inlineStr">
        <is>
          <t>Sweet Banana</t>
        </is>
      </c>
      <c r="F53" s="133" t="inlineStr">
        <is>
          <t>Banane douce</t>
        </is>
      </c>
      <c r="G53" s="124">
        <f>D53*1000</f>
        <v/>
      </c>
      <c r="H53" s="124">
        <f>G53&amp;" "&amp;CHAR(34)&amp;F53&amp;CHAR(34)</f>
        <v/>
      </c>
    </row>
    <row r="54" ht="16.25" customHeight="1">
      <c r="B54" s="128" t="n"/>
      <c r="C54" s="9" t="n"/>
      <c r="D54" s="132" t="n">
        <v>7.2</v>
      </c>
      <c r="E54" s="133" t="inlineStr">
        <is>
          <t>Plantains</t>
        </is>
      </c>
      <c r="F54" s="133" t="inlineStr">
        <is>
          <t>Banane plantain</t>
        </is>
      </c>
      <c r="G54" s="124">
        <f>D54*1000</f>
        <v/>
      </c>
      <c r="H54" s="124">
        <f>G54&amp;" "&amp;CHAR(34)&amp;F54&amp;CHAR(34)</f>
        <v/>
      </c>
    </row>
    <row r="55" ht="16.25" customHeight="1">
      <c r="B55" s="128" t="n"/>
      <c r="C55" s="9" t="n"/>
      <c r="D55" s="132" t="n">
        <v>7.3</v>
      </c>
      <c r="E55" s="133" t="inlineStr">
        <is>
          <t>Papaya</t>
        </is>
      </c>
      <c r="F55" s="133" t="inlineStr">
        <is>
          <t>Papaye</t>
        </is>
      </c>
      <c r="G55" s="124">
        <f>D55*1000</f>
        <v/>
      </c>
      <c r="H55" s="124">
        <f>G55&amp;" "&amp;CHAR(34)&amp;F55&amp;CHAR(34)</f>
        <v/>
      </c>
    </row>
    <row r="56" ht="16.25" customHeight="1">
      <c r="B56" s="128" t="n"/>
      <c r="C56" s="9" t="n"/>
      <c r="D56" s="132" t="n">
        <v>7.4</v>
      </c>
      <c r="E56" s="133" t="inlineStr">
        <is>
          <t>Mango</t>
        </is>
      </c>
      <c r="F56" s="133" t="inlineStr">
        <is>
          <t>Mangue</t>
        </is>
      </c>
      <c r="G56" s="124">
        <f>D56*1000</f>
        <v/>
      </c>
      <c r="H56" s="124">
        <f>G56&amp;" "&amp;CHAR(34)&amp;F56&amp;CHAR(34)</f>
        <v/>
      </c>
    </row>
    <row r="57" ht="16.25" customHeight="1">
      <c r="B57" s="128" t="n"/>
      <c r="C57" s="9" t="n"/>
      <c r="D57" s="132" t="n">
        <v>7.5</v>
      </c>
      <c r="E57" s="133" t="inlineStr">
        <is>
          <t>Guava</t>
        </is>
      </c>
      <c r="F57" s="133" t="inlineStr">
        <is>
          <t>Goyave</t>
        </is>
      </c>
      <c r="G57" s="124">
        <f>D57*1000</f>
        <v/>
      </c>
      <c r="H57" s="124">
        <f>G57&amp;" "&amp;CHAR(34)&amp;F57&amp;CHAR(34)</f>
        <v/>
      </c>
    </row>
    <row r="58" ht="16.25" customHeight="1">
      <c r="B58" s="128" t="n"/>
      <c r="C58" s="9" t="n"/>
      <c r="D58" s="132" t="n">
        <v>7.6</v>
      </c>
      <c r="E58" s="133" t="inlineStr">
        <is>
          <t>Pineapple</t>
        </is>
      </c>
      <c r="F58" s="133" t="inlineStr">
        <is>
          <t>Ananas</t>
        </is>
      </c>
      <c r="G58" s="124">
        <f>D58*1000</f>
        <v/>
      </c>
      <c r="H58" s="124">
        <f>G58&amp;" "&amp;CHAR(34)&amp;F58&amp;CHAR(34)</f>
        <v/>
      </c>
    </row>
    <row r="59" ht="16.25" customHeight="1">
      <c r="B59" s="128" t="n"/>
      <c r="C59" s="9" t="n"/>
      <c r="D59" s="132" t="n">
        <v>7.7</v>
      </c>
      <c r="E59" s="133" t="inlineStr">
        <is>
          <t>Avocado</t>
        </is>
      </c>
      <c r="F59" s="133" t="inlineStr">
        <is>
          <t>Avocat</t>
        </is>
      </c>
      <c r="G59" s="124">
        <f>D59*1000</f>
        <v/>
      </c>
      <c r="H59" s="124">
        <f>G59&amp;" "&amp;CHAR(34)&amp;F59&amp;CHAR(34)</f>
        <v/>
      </c>
    </row>
    <row r="60" ht="16.25" customHeight="1">
      <c r="B60" s="128" t="n"/>
      <c r="C60" s="9" t="inlineStr">
        <is>
          <t>x</t>
        </is>
      </c>
      <c r="D60" s="132" t="n">
        <v>7.8</v>
      </c>
      <c r="E60" s="133" t="inlineStr">
        <is>
          <t>Water Melon</t>
        </is>
      </c>
      <c r="F60" s="133" t="inlineStr">
        <is>
          <t>Pastèques</t>
        </is>
      </c>
      <c r="G60" s="124">
        <f>D60*1000</f>
        <v/>
      </c>
      <c r="H60" s="124">
        <f>G60&amp;" "&amp;CHAR(34)&amp;F60&amp;CHAR(34)</f>
        <v/>
      </c>
    </row>
    <row r="61" ht="16.25" customHeight="1">
      <c r="B61" s="128" t="n"/>
      <c r="C61" s="9" t="inlineStr">
        <is>
          <t>x</t>
        </is>
      </c>
      <c r="D61" s="132" t="n">
        <v>7.9</v>
      </c>
      <c r="E61" s="133" t="inlineStr">
        <is>
          <t>Dates</t>
        </is>
      </c>
      <c r="F61" s="133" t="inlineStr">
        <is>
          <t>Dattes</t>
        </is>
      </c>
      <c r="G61" s="124">
        <f>D61*1000</f>
        <v/>
      </c>
      <c r="H61" s="124">
        <f>G61&amp;" "&amp;CHAR(34)&amp;F61&amp;CHAR(34)</f>
        <v/>
      </c>
    </row>
    <row r="62" ht="16.25" customHeight="1">
      <c r="B62" s="128" t="n"/>
      <c r="C62" s="9" t="n"/>
      <c r="D62" s="132" t="n">
        <v>7.101</v>
      </c>
      <c r="E62" s="133" t="inlineStr">
        <is>
          <t>Figs</t>
        </is>
      </c>
      <c r="F62" s="133" t="inlineStr">
        <is>
          <t>Figues</t>
        </is>
      </c>
      <c r="G62" s="124">
        <f>D62*1000</f>
        <v/>
      </c>
      <c r="H62" s="124">
        <f>G62&amp;" "&amp;CHAR(34)&amp;F62&amp;CHAR(34)</f>
        <v/>
      </c>
    </row>
    <row r="63" ht="16.25" customHeight="1">
      <c r="B63" s="128" t="n"/>
      <c r="C63" s="9" t="n"/>
      <c r="D63" s="132" t="n">
        <v>7.11</v>
      </c>
      <c r="E63" s="133" t="inlineStr">
        <is>
          <t>Grapes</t>
        </is>
      </c>
      <c r="F63" s="133" t="inlineStr">
        <is>
          <t>Raisins</t>
        </is>
      </c>
      <c r="G63" s="124">
        <f>D63*1000</f>
        <v/>
      </c>
      <c r="H63" s="124">
        <f>G63&amp;" "&amp;CHAR(34)&amp;F63&amp;CHAR(34)</f>
        <v/>
      </c>
    </row>
    <row r="64" ht="16.25" customHeight="1">
      <c r="B64" s="128" t="n"/>
      <c r="C64" s="9" t="n"/>
      <c r="D64" s="132" t="n">
        <v>7.12</v>
      </c>
      <c r="E64" s="133" t="inlineStr">
        <is>
          <t>Olives</t>
        </is>
      </c>
      <c r="F64" s="133" t="inlineStr">
        <is>
          <t>Olives</t>
        </is>
      </c>
      <c r="G64" s="124">
        <f>D64*1000</f>
        <v/>
      </c>
      <c r="H64" s="124">
        <f>G64&amp;" "&amp;CHAR(34)&amp;F64&amp;CHAR(34)</f>
        <v/>
      </c>
    </row>
    <row r="65" ht="16.25" customHeight="1">
      <c r="B65" s="128" t="n"/>
      <c r="C65" s="9" t="n"/>
      <c r="D65" s="132" t="n">
        <v>7.13</v>
      </c>
      <c r="E65" s="133" t="inlineStr">
        <is>
          <t>Apple</t>
        </is>
      </c>
      <c r="F65" s="133" t="inlineStr">
        <is>
          <t>Pomme</t>
        </is>
      </c>
      <c r="G65" s="124">
        <f>D65*1000</f>
        <v/>
      </c>
      <c r="H65" s="124">
        <f>G65&amp;" "&amp;CHAR(34)&amp;F65&amp;CHAR(34)</f>
        <v/>
      </c>
    </row>
    <row r="66" ht="16.25" customHeight="1">
      <c r="B66" s="128" t="n"/>
      <c r="C66" s="9" t="n"/>
      <c r="D66" s="132" t="n">
        <v>7.14</v>
      </c>
      <c r="E66" s="133" t="inlineStr">
        <is>
          <t>Apricot</t>
        </is>
      </c>
      <c r="F66" s="133" t="inlineStr">
        <is>
          <t>Abricot</t>
        </is>
      </c>
      <c r="G66" s="124">
        <f>D66*1000</f>
        <v/>
      </c>
      <c r="H66" s="124">
        <f>G66&amp;" "&amp;CHAR(34)&amp;F66&amp;CHAR(34)</f>
        <v/>
      </c>
    </row>
    <row r="67" ht="16.25" customHeight="1">
      <c r="B67" s="128" t="n"/>
      <c r="C67" s="9" t="n"/>
      <c r="D67" s="132" t="n">
        <v>7.15</v>
      </c>
      <c r="E67" s="133" t="inlineStr">
        <is>
          <t>Cherries</t>
        </is>
      </c>
      <c r="F67" s="133" t="inlineStr">
        <is>
          <t>Cerises</t>
        </is>
      </c>
      <c r="G67" s="124">
        <f>D67*1000</f>
        <v/>
      </c>
      <c r="H67" s="124">
        <f>G67&amp;" "&amp;CHAR(34)&amp;F67&amp;CHAR(34)</f>
        <v/>
      </c>
    </row>
    <row r="68" ht="16.25" customHeight="1">
      <c r="B68" s="128" t="n"/>
      <c r="C68" s="9" t="n"/>
      <c r="D68" s="132" t="n">
        <v>7.16</v>
      </c>
      <c r="E68" s="133" t="inlineStr">
        <is>
          <t>Peach/nectarine</t>
        </is>
      </c>
      <c r="F68" s="133" t="inlineStr">
        <is>
          <t>Pêche/nectarine</t>
        </is>
      </c>
      <c r="G68" s="124">
        <f>D68*1000</f>
        <v/>
      </c>
      <c r="H68" s="124">
        <f>G68&amp;" "&amp;CHAR(34)&amp;F68&amp;CHAR(34)</f>
        <v/>
      </c>
    </row>
    <row r="69" ht="16.25" customHeight="1">
      <c r="B69" s="128" t="n"/>
      <c r="C69" s="9" t="n"/>
      <c r="D69" s="132" t="n">
        <v>7.17</v>
      </c>
      <c r="E69" s="133" t="inlineStr">
        <is>
          <t>Strawberries</t>
        </is>
      </c>
      <c r="F69" s="133" t="inlineStr">
        <is>
          <t>Fraises</t>
        </is>
      </c>
      <c r="G69" s="124">
        <f>D69*1000</f>
        <v/>
      </c>
      <c r="H69" s="124">
        <f>G69&amp;" "&amp;CHAR(34)&amp;F69&amp;CHAR(34)</f>
        <v/>
      </c>
    </row>
    <row r="70" ht="16.25" customHeight="1">
      <c r="B70" s="128" t="n"/>
      <c r="C70" s="9" t="n"/>
      <c r="D70" s="132" t="n">
        <v>7.18</v>
      </c>
      <c r="E70" s="133" t="inlineStr">
        <is>
          <t>Melon (Cantaloupe)</t>
        </is>
      </c>
      <c r="F70" s="133" t="inlineStr">
        <is>
          <t>Melon</t>
        </is>
      </c>
      <c r="G70" s="124">
        <f>D70*1000</f>
        <v/>
      </c>
      <c r="H70" s="124">
        <f>G70&amp;" "&amp;CHAR(34)&amp;F70&amp;CHAR(34)</f>
        <v/>
      </c>
    </row>
    <row r="71" ht="16.25" customHeight="1">
      <c r="B71" s="128" t="n"/>
      <c r="C71" s="170" t="n"/>
      <c r="D71" s="132" t="n">
        <v>7.99</v>
      </c>
      <c r="E71" s="134" t="inlineStr">
        <is>
          <t>Other fruit</t>
        </is>
      </c>
      <c r="F71" s="134" t="inlineStr">
        <is>
          <t>Autres fruits</t>
        </is>
      </c>
      <c r="G71" s="124">
        <f>D71*1000</f>
        <v/>
      </c>
      <c r="H71" s="124">
        <f>G71&amp;" "&amp;CHAR(34)&amp;F71&amp;CHAR(34)</f>
        <v/>
      </c>
    </row>
    <row r="72" ht="16.25" customHeight="1">
      <c r="B72" s="128" t="n"/>
      <c r="C72" s="9" t="n"/>
      <c r="D72" s="132" t="n">
        <v>8.1</v>
      </c>
      <c r="E72" s="133" t="inlineStr">
        <is>
          <t>Coconuts</t>
        </is>
      </c>
      <c r="F72" s="133" t="inlineStr">
        <is>
          <t>Noix de coco</t>
        </is>
      </c>
      <c r="G72" s="124">
        <f>D72*1000</f>
        <v/>
      </c>
      <c r="H72" s="124">
        <f>G72&amp;" "&amp;CHAR(34)&amp;F72&amp;CHAR(34)</f>
        <v/>
      </c>
    </row>
    <row r="73" ht="16.25" customHeight="1">
      <c r="B73" s="128" t="n"/>
      <c r="C73" s="9" t="inlineStr">
        <is>
          <t>x</t>
        </is>
      </c>
      <c r="D73" s="132" t="n">
        <v>8.199999999999999</v>
      </c>
      <c r="E73" s="133" t="inlineStr">
        <is>
          <t>Groundnut/peanut</t>
        </is>
      </c>
      <c r="F73" s="133" t="inlineStr">
        <is>
          <t>Arachide / cacahuète</t>
        </is>
      </c>
      <c r="G73" s="124">
        <f>D73*1000</f>
        <v/>
      </c>
      <c r="H73" s="124">
        <f>G73&amp;" "&amp;CHAR(34)&amp;F73&amp;CHAR(34)</f>
        <v/>
      </c>
    </row>
    <row r="74" ht="16.25" customHeight="1">
      <c r="B74" s="128" t="n"/>
      <c r="C74" s="9" t="n"/>
      <c r="D74" s="132" t="n">
        <v>8.300000000000001</v>
      </c>
      <c r="E74" s="133" t="inlineStr">
        <is>
          <t>Cashew Nut</t>
        </is>
      </c>
      <c r="F74" s="133" t="inlineStr">
        <is>
          <t>Noix de cajou</t>
        </is>
      </c>
      <c r="G74" s="124">
        <f>D74*1000</f>
        <v/>
      </c>
      <c r="H74" s="124">
        <f>G74&amp;" "&amp;CHAR(34)&amp;F74&amp;CHAR(34)</f>
        <v/>
      </c>
    </row>
    <row r="75" ht="16.25" customHeight="1">
      <c r="B75" s="128" t="n"/>
      <c r="C75" s="9" t="n"/>
      <c r="D75" s="132" t="n">
        <v>8.4</v>
      </c>
      <c r="E75" s="133" t="inlineStr">
        <is>
          <t>Kola Nut</t>
        </is>
      </c>
      <c r="F75" s="133" t="inlineStr">
        <is>
          <t>Noix de kola</t>
        </is>
      </c>
      <c r="G75" s="124">
        <f>D75*1000</f>
        <v/>
      </c>
      <c r="H75" s="124">
        <f>G75&amp;" "&amp;CHAR(34)&amp;F75&amp;CHAR(34)</f>
        <v/>
      </c>
    </row>
    <row r="76" ht="16.25" customHeight="1">
      <c r="B76" s="128" t="n"/>
      <c r="C76" s="9" t="inlineStr">
        <is>
          <t>x</t>
        </is>
      </c>
      <c r="D76" s="132" t="n">
        <v>8.5</v>
      </c>
      <c r="E76" s="133" t="inlineStr">
        <is>
          <t>Sesame</t>
        </is>
      </c>
      <c r="F76" s="133" t="inlineStr">
        <is>
          <t>Sésame</t>
        </is>
      </c>
      <c r="G76" s="124">
        <f>D76*1000</f>
        <v/>
      </c>
      <c r="H76" s="124">
        <f>G76&amp;" "&amp;CHAR(34)&amp;F76&amp;CHAR(34)</f>
        <v/>
      </c>
    </row>
    <row r="77" ht="16.25" customHeight="1">
      <c r="B77" s="128" t="n"/>
      <c r="C77" s="9" t="n"/>
      <c r="D77" s="132" t="n">
        <v>8.6</v>
      </c>
      <c r="E77" s="133" t="inlineStr">
        <is>
          <t>Bambara nut</t>
        </is>
      </c>
      <c r="F77" s="133" t="inlineStr">
        <is>
          <t>Noix de bambara</t>
        </is>
      </c>
      <c r="G77" s="124">
        <f>D77*1000</f>
        <v/>
      </c>
      <c r="H77" s="124">
        <f>G77&amp;" "&amp;CHAR(34)&amp;F77&amp;CHAR(34)</f>
        <v/>
      </c>
    </row>
    <row r="78" ht="16.25" customHeight="1">
      <c r="B78" s="128" t="n"/>
      <c r="C78" s="9" t="n"/>
      <c r="D78" s="132" t="n">
        <v>8.699999999999999</v>
      </c>
      <c r="E78" s="133" t="inlineStr">
        <is>
          <t>Almond</t>
        </is>
      </c>
      <c r="F78" s="133" t="inlineStr">
        <is>
          <t>Amande</t>
        </is>
      </c>
      <c r="G78" s="124">
        <f>D78*1000</f>
        <v/>
      </c>
      <c r="H78" s="124">
        <f>G78&amp;" "&amp;CHAR(34)&amp;F78&amp;CHAR(34)</f>
        <v/>
      </c>
    </row>
    <row r="79" ht="16.25" customHeight="1">
      <c r="B79" s="128" t="n"/>
      <c r="C79" s="9" t="n"/>
      <c r="D79" s="132" t="n">
        <v>8.800000000000001</v>
      </c>
      <c r="E79" s="133" t="inlineStr">
        <is>
          <t>Walnut</t>
        </is>
      </c>
      <c r="F79" s="133" t="inlineStr">
        <is>
          <t>Noix</t>
        </is>
      </c>
      <c r="G79" s="124">
        <f>D79*1000</f>
        <v/>
      </c>
      <c r="H79" s="124">
        <f>G79&amp;" "&amp;CHAR(34)&amp;F79&amp;CHAR(34)</f>
        <v/>
      </c>
    </row>
    <row r="80" ht="16.25" customHeight="1">
      <c r="B80" s="128" t="n"/>
      <c r="C80" s="170" t="n"/>
      <c r="D80" s="132" t="n">
        <v>8.99</v>
      </c>
      <c r="E80" s="134" t="inlineStr">
        <is>
          <t>Other nuts</t>
        </is>
      </c>
      <c r="F80" s="134" t="inlineStr">
        <is>
          <t>Autres fruits à coque</t>
        </is>
      </c>
      <c r="G80" s="124">
        <f>D80*1000</f>
        <v/>
      </c>
      <c r="H80" s="124">
        <f>G80&amp;" "&amp;CHAR(34)&amp;F80&amp;CHAR(34)</f>
        <v/>
      </c>
    </row>
    <row r="81" ht="16.25" customHeight="1">
      <c r="B81" s="128" t="n"/>
      <c r="C81" s="9" t="n"/>
      <c r="D81" s="132" t="n">
        <v>9.1</v>
      </c>
      <c r="E81" s="133" t="inlineStr">
        <is>
          <t>Cocoa</t>
        </is>
      </c>
      <c r="F81" s="133" t="inlineStr">
        <is>
          <t>Cacao</t>
        </is>
      </c>
      <c r="G81" s="124">
        <f>D81*1000</f>
        <v/>
      </c>
      <c r="H81" s="124">
        <f>G81&amp;" "&amp;CHAR(34)&amp;F81&amp;CHAR(34)</f>
        <v/>
      </c>
    </row>
    <row r="82" ht="16.25" customHeight="1">
      <c r="B82" s="128" t="n"/>
      <c r="C82" s="9" t="n"/>
      <c r="D82" s="132" t="n">
        <v>9.199999999999999</v>
      </c>
      <c r="E82" s="133" t="inlineStr">
        <is>
          <t>Coffee</t>
        </is>
      </c>
      <c r="F82" s="133" t="inlineStr">
        <is>
          <t>Café</t>
        </is>
      </c>
      <c r="G82" s="124">
        <f>D82*1000</f>
        <v/>
      </c>
      <c r="H82" s="124">
        <f>G82&amp;" "&amp;CHAR(34)&amp;F82&amp;CHAR(34)</f>
        <v/>
      </c>
    </row>
    <row r="83" ht="16.25" customHeight="1">
      <c r="B83" s="128" t="n"/>
      <c r="C83" s="9" t="n"/>
      <c r="D83" s="132" t="n">
        <v>9.300000000000001</v>
      </c>
      <c r="E83" s="133" t="inlineStr">
        <is>
          <t>Tea</t>
        </is>
      </c>
      <c r="F83" s="133" t="inlineStr">
        <is>
          <t>Thé</t>
        </is>
      </c>
      <c r="G83" s="124">
        <f>D83*1000</f>
        <v/>
      </c>
      <c r="H83" s="124">
        <f>G83&amp;" "&amp;CHAR(34)&amp;F83&amp;CHAR(34)</f>
        <v/>
      </c>
    </row>
    <row r="84" ht="16.25" customHeight="1">
      <c r="B84" s="128" t="n"/>
      <c r="C84" s="9" t="n"/>
      <c r="D84" s="132" t="n">
        <v>9.4</v>
      </c>
      <c r="E84" s="133" t="inlineStr">
        <is>
          <t>Sugarcane</t>
        </is>
      </c>
      <c r="F84" s="133" t="inlineStr">
        <is>
          <t>Canne à sucre</t>
        </is>
      </c>
      <c r="G84" s="124">
        <f>D84*1000</f>
        <v/>
      </c>
      <c r="H84" s="124">
        <f>G84&amp;" "&amp;CHAR(34)&amp;F84&amp;CHAR(34)</f>
        <v/>
      </c>
    </row>
    <row r="85" ht="16.25" customHeight="1">
      <c r="B85" s="128" t="n"/>
      <c r="C85" s="9" t="n"/>
      <c r="D85" s="132" t="n">
        <v>9.5</v>
      </c>
      <c r="E85" s="133" t="inlineStr">
        <is>
          <t>Sunflower</t>
        </is>
      </c>
      <c r="F85" s="133" t="inlineStr">
        <is>
          <t>Tournesol</t>
        </is>
      </c>
      <c r="G85" s="124">
        <f>D85*1000</f>
        <v/>
      </c>
      <c r="H85" s="124">
        <f>G85&amp;" "&amp;CHAR(34)&amp;F85&amp;CHAR(34)</f>
        <v/>
      </c>
    </row>
    <row r="86" ht="16.25" customHeight="1">
      <c r="B86" s="128" t="n"/>
      <c r="C86" s="170" t="n"/>
      <c r="D86" s="132" t="n">
        <v>9.99</v>
      </c>
      <c r="E86" s="134" t="inlineStr">
        <is>
          <t>Other food cash crop</t>
        </is>
      </c>
      <c r="F86" s="134" t="inlineStr">
        <is>
          <t>Autres cultures vivrières de rente</t>
        </is>
      </c>
      <c r="G86" s="124">
        <f>D86*1000</f>
        <v/>
      </c>
      <c r="H86" s="124">
        <f>G86&amp;" "&amp;CHAR(34)&amp;F86&amp;CHAR(34)</f>
        <v/>
      </c>
    </row>
    <row r="87" ht="16.25" customHeight="1">
      <c r="B87" s="128" t="n"/>
      <c r="C87" s="9" t="n"/>
      <c r="D87" s="132" t="n">
        <v>10.1</v>
      </c>
      <c r="E87" s="133" t="inlineStr">
        <is>
          <t>Cotton</t>
        </is>
      </c>
      <c r="F87" s="133" t="inlineStr">
        <is>
          <t>Coton</t>
        </is>
      </c>
      <c r="G87" s="124">
        <f>D87*1000</f>
        <v/>
      </c>
      <c r="H87" s="124">
        <f>G87&amp;" "&amp;CHAR(34)&amp;F87&amp;CHAR(34)</f>
        <v/>
      </c>
    </row>
    <row r="88" ht="16.25" customHeight="1">
      <c r="B88" s="128" t="n"/>
      <c r="C88" s="9" t="n"/>
      <c r="D88" s="132" t="n">
        <v>10.2</v>
      </c>
      <c r="E88" s="133" t="inlineStr">
        <is>
          <t>Rubber</t>
        </is>
      </c>
      <c r="F88" s="133" t="inlineStr">
        <is>
          <t>Caoutchouc</t>
        </is>
      </c>
      <c r="G88" s="124">
        <f>D88*1000</f>
        <v/>
      </c>
      <c r="H88" s="124">
        <f>G88&amp;" "&amp;CHAR(34)&amp;F88&amp;CHAR(34)</f>
        <v/>
      </c>
    </row>
    <row r="89" ht="16.25" customHeight="1">
      <c r="B89" s="128" t="n"/>
      <c r="C89" s="9" t="n"/>
      <c r="D89" s="132" t="n">
        <v>10.3</v>
      </c>
      <c r="E89" s="133" t="inlineStr">
        <is>
          <t>Jute</t>
        </is>
      </c>
      <c r="F89" s="133" t="inlineStr">
        <is>
          <t>Jute</t>
        </is>
      </c>
      <c r="G89" s="124">
        <f>D89*1000</f>
        <v/>
      </c>
      <c r="H89" s="124">
        <f>G89&amp;" "&amp;CHAR(34)&amp;F89&amp;CHAR(34)</f>
        <v/>
      </c>
    </row>
    <row r="90" ht="16.25" customHeight="1">
      <c r="B90" s="128" t="n"/>
      <c r="C90" s="9" t="n"/>
      <c r="D90" s="132" t="n">
        <v>10.4</v>
      </c>
      <c r="E90" s="133" t="inlineStr">
        <is>
          <t>Fodder</t>
        </is>
      </c>
      <c r="F90" s="133" t="inlineStr">
        <is>
          <t>Fourrage</t>
        </is>
      </c>
      <c r="G90" s="124">
        <f>D90*1000</f>
        <v/>
      </c>
      <c r="H90" s="124">
        <f>G90&amp;" "&amp;CHAR(34)&amp;F90&amp;CHAR(34)</f>
        <v/>
      </c>
    </row>
    <row r="91" ht="16.25" customHeight="1">
      <c r="B91" s="128" t="n"/>
      <c r="C91" s="9" t="n"/>
      <c r="D91" s="132" t="n">
        <v>10.5</v>
      </c>
      <c r="E91" s="133" t="inlineStr">
        <is>
          <t>Tobacco</t>
        </is>
      </c>
      <c r="F91" s="133" t="inlineStr">
        <is>
          <t>Tabac</t>
        </is>
      </c>
      <c r="G91" s="124">
        <f>D91*1000</f>
        <v/>
      </c>
      <c r="H91" s="124">
        <f>G91&amp;" "&amp;CHAR(34)&amp;F91&amp;CHAR(34)</f>
        <v/>
      </c>
    </row>
    <row r="92" ht="16.25" customHeight="1">
      <c r="B92" s="128" t="n"/>
      <c r="C92" s="9" t="n"/>
      <c r="D92" s="132" t="n">
        <v>10.6</v>
      </c>
      <c r="E92" s="133" t="inlineStr">
        <is>
          <t>Qat</t>
        </is>
      </c>
      <c r="F92" s="133" t="inlineStr">
        <is>
          <t>Qat</t>
        </is>
      </c>
      <c r="G92" s="124">
        <f>D92*1000</f>
        <v/>
      </c>
      <c r="H92" s="124">
        <f>G92&amp;" "&amp;CHAR(34)&amp;F92&amp;CHAR(34)</f>
        <v/>
      </c>
    </row>
    <row r="93" ht="16.25" customHeight="1">
      <c r="B93" s="128" t="n"/>
      <c r="C93" s="170" t="n"/>
      <c r="D93" s="132" t="n">
        <v>10.99</v>
      </c>
      <c r="E93" s="134" t="inlineStr">
        <is>
          <t>Other non-food cash crop</t>
        </is>
      </c>
      <c r="F93" s="134" t="inlineStr">
        <is>
          <t>Autre culture de rente non alimentaire</t>
        </is>
      </c>
      <c r="G93" s="124">
        <f>D93*1000</f>
        <v/>
      </c>
      <c r="H93" s="124">
        <f>G93&amp;" "&amp;CHAR(34)&amp;F93&amp;CHAR(34)</f>
        <v/>
      </c>
    </row>
    <row r="94">
      <c r="C94" s="135" t="n"/>
      <c r="D94" s="136" t="n"/>
      <c r="E94" s="137" t="n"/>
      <c r="F94" s="137" t="n"/>
    </row>
  </sheetData>
  <sheetProtection selectLockedCells="1" selectUnlockedCells="0" algorithmName="SHA-512" sheet="1" objects="0" insertRows="1" insertHyperlinks="1" autoFilter="1" scenarios="0" formatColumns="1" deleteColumns="1" insertColumns="1" pivotTables="1" deleteRows="1" formatCells="1" saltValue="3LKR4ZI5ru6krp6odJOwhg==" formatRows="1" sort="1" spinCount="100000" hashValue="5G0k+sxTFTvbNq+yUVyD8A6Hf346DVDdCtXWWi2Ifn1ncJyzLLUdROLtJxaZ8ifwcHI5J7nxciqv9MXOGhzlW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G10" sqref="G10"/>
    </sheetView>
  </sheetViews>
  <sheetFormatPr baseColWidth="8" defaultColWidth="10.6328125" defaultRowHeight="15.5"/>
  <cols>
    <col width="10.6328125" customWidth="1" style="19" min="1" max="1"/>
    <col width="8.6328125" customWidth="1" style="19" min="2" max="2"/>
    <col width="27.6328125" customWidth="1" style="19" min="3" max="3"/>
    <col width="20.6328125" customWidth="1" style="19" min="4" max="5"/>
    <col width="46.453125" customWidth="1" style="33" min="6" max="7"/>
    <col width="20.6328125" customWidth="1" style="235" min="8" max="8"/>
    <col width="20.6328125" customWidth="1" style="19" min="9" max="9"/>
    <col width="10.6328125" customWidth="1" style="19" min="10" max="10"/>
    <col width="10.6328125" customWidth="1" style="19" min="11" max="16384"/>
  </cols>
  <sheetData>
    <row r="1" ht="17" customHeight="1" thickBot="1">
      <c r="A1" s="358" t="n"/>
      <c r="B1" s="358" t="n"/>
      <c r="C1" s="359" t="n"/>
      <c r="D1" s="359" t="n"/>
      <c r="E1" s="359" t="n"/>
      <c r="F1" s="360" t="n"/>
      <c r="G1" s="360" t="n"/>
      <c r="H1" s="361" t="n"/>
      <c r="I1" s="359" t="n"/>
      <c r="J1" s="358" t="n"/>
      <c r="K1" s="358" t="n"/>
    </row>
    <row r="2" ht="17" customFormat="1" customHeight="1" s="33" thickBot="1">
      <c r="A2" s="362" t="n"/>
      <c r="B2" s="363" t="n"/>
      <c r="C2" s="49" t="inlineStr">
        <is>
          <t>Original</t>
        </is>
      </c>
      <c r="D2" s="50" t="inlineStr">
        <is>
          <t>Replacement (FR)</t>
        </is>
      </c>
      <c r="E2" s="224" t="inlineStr">
        <is>
          <t>Replacement (EN)</t>
        </is>
      </c>
      <c r="F2" s="225" t="inlineStr">
        <is>
          <t>Comment (FR)</t>
        </is>
      </c>
      <c r="G2" s="31" t="inlineStr">
        <is>
          <t>Comment (EN)</t>
        </is>
      </c>
      <c r="H2" s="236" t="inlineStr">
        <is>
          <t>Exemple (FR)</t>
        </is>
      </c>
      <c r="I2" s="51" t="inlineStr">
        <is>
          <t>Example(EN)</t>
        </is>
      </c>
      <c r="J2" s="364" t="n"/>
      <c r="K2" s="365" t="n"/>
    </row>
    <row r="3" ht="62.75" customHeight="1">
      <c r="A3" s="366" t="n"/>
      <c r="B3" s="405" t="inlineStr">
        <is>
          <t>FOR CORE QUESTIONS    .
(Mandatory to fill out)    .</t>
        </is>
      </c>
      <c r="C3" s="39" t="inlineStr">
        <is>
          <t>phone number</t>
        </is>
      </c>
      <c r="D3" s="367" t="inlineStr">
        <is>
          <t>60000000</t>
        </is>
      </c>
      <c r="E3" s="368" t="inlineStr">
        <is>
          <t>60000000</t>
        </is>
      </c>
      <c r="F3" s="226" t="inlineStr">
        <is>
          <t>Tapez un numéro de téléphone dans le format typique du pays, par exemple 77******* [veuillez écrire le nombre exact de chiffres qu'il y a dans un numéro de téléphone].</t>
        </is>
      </c>
      <c r="G3" s="164" t="inlineStr">
        <is>
          <t>Type a phone number from your country in typical format, e.g. 77******* [please use exactly the number of characters that are found in a phone number].</t>
        </is>
      </c>
      <c r="H3" s="237" t="inlineStr">
        <is>
          <t>070******</t>
        </is>
      </c>
      <c r="I3" s="258" t="inlineStr">
        <is>
          <t>070******</t>
        </is>
      </c>
      <c r="J3" s="369" t="n"/>
      <c r="K3" s="358" t="n"/>
    </row>
    <row r="4" ht="32" customHeight="1">
      <c r="A4" s="366" t="n"/>
      <c r="B4" s="406" t="n"/>
      <c r="C4" s="24" t="inlineStr">
        <is>
          <t>age</t>
        </is>
      </c>
      <c r="D4" s="162" t="n">
        <v>18</v>
      </c>
      <c r="E4" s="370" t="n">
        <v>18</v>
      </c>
      <c r="F4" s="166" t="inlineStr">
        <is>
          <t>Âge minimum du répondant (nous recommandons 18 ans)</t>
        </is>
      </c>
      <c r="G4" s="165" t="inlineStr">
        <is>
          <t>Minimum age of respondent (recommend 18 years old)</t>
        </is>
      </c>
      <c r="H4" s="238" t="n">
        <v>18</v>
      </c>
      <c r="I4" s="259" t="n">
        <v>18</v>
      </c>
      <c r="J4" s="369" t="n"/>
      <c r="K4" s="358" t="n"/>
    </row>
    <row r="5" ht="43.5" customHeight="1">
      <c r="A5" s="366" t="n"/>
      <c r="B5" s="406" t="n"/>
      <c r="C5" s="25" t="inlineStr">
        <is>
          <t>ADMIN1</t>
        </is>
      </c>
      <c r="D5" s="329" t="inlineStr">
        <is>
          <t xml:space="preserve">Province </t>
        </is>
      </c>
      <c r="E5" s="370" t="inlineStr">
        <is>
          <t xml:space="preserve">Province </t>
        </is>
      </c>
      <c r="F5" s="166" t="inlineStr">
        <is>
          <t>La première subdivision du pays, après le niveau national ; par exemple, région ; province ; gouvernorat ; etc. Un seul mot doit être saisi - Ne pas inclure d'espaces.</t>
        </is>
      </c>
      <c r="G5" s="165" t="inlineStr">
        <is>
          <t>The first subdivision of the country, after national level; region; province; governorate; etc. Only one word should be inputted - Do not include spaces.</t>
        </is>
      </c>
      <c r="H5" s="239" t="inlineStr">
        <is>
          <t>region</t>
        </is>
      </c>
      <c r="I5" s="260" t="inlineStr">
        <is>
          <t>region</t>
        </is>
      </c>
      <c r="J5" s="369" t="n"/>
      <c r="K5" s="358" t="n"/>
    </row>
    <row r="6" ht="48" customHeight="1">
      <c r="A6" s="366" t="n"/>
      <c r="B6" s="406" t="n"/>
      <c r="C6" s="26" t="inlineStr">
        <is>
          <t>ADMIN2</t>
        </is>
      </c>
      <c r="D6" s="329" t="inlineStr">
        <is>
          <t>Département</t>
        </is>
      </c>
      <c r="E6" s="370" t="inlineStr">
        <is>
          <t>Département</t>
        </is>
      </c>
      <c r="F6" s="166" t="inlineStr">
        <is>
          <t>La deuxième subdivision du pays ; par exemple, district, municipalité, LGA, etc. Un seul mot doit être saisi - Ne pas inclure d'espaces.</t>
        </is>
      </c>
      <c r="G6" s="166" t="inlineStr">
        <is>
          <t>The second subdivision of the country; district; municipality; LGA; etc. Only one word should be inputted - Do not include spaces.</t>
        </is>
      </c>
      <c r="H6" s="240" t="inlineStr">
        <is>
          <t>district</t>
        </is>
      </c>
      <c r="I6" s="256" t="inlineStr">
        <is>
          <t>district</t>
        </is>
      </c>
      <c r="J6" s="369" t="n"/>
      <c r="K6" s="358" t="n"/>
    </row>
    <row r="7" ht="96" customFormat="1" customHeight="1" s="185">
      <c r="A7" s="371" t="n"/>
      <c r="B7" s="406" t="n"/>
      <c r="C7" s="183" t="inlineStr">
        <is>
          <t>reference year</t>
        </is>
      </c>
      <c r="D7" s="372" t="inlineStr">
        <is>
          <t>l'année dernière</t>
        </is>
      </c>
      <c r="E7" s="373" t="inlineStr">
        <is>
          <t>last year</t>
        </is>
      </c>
      <c r="F7" s="16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8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40" t="inlineStr">
        <is>
          <t>une année normale</t>
        </is>
      </c>
      <c r="I7" s="257" t="inlineStr">
        <is>
          <t>a normal year</t>
        </is>
      </c>
      <c r="J7" s="374" t="n"/>
      <c r="K7" s="375" t="n"/>
    </row>
    <row r="8" ht="80" customHeight="1">
      <c r="A8" s="366" t="n"/>
      <c r="B8" s="406" t="n"/>
      <c r="C8" s="26" t="inlineStr">
        <is>
          <t>season</t>
        </is>
      </c>
      <c r="D8" s="329" t="inlineStr">
        <is>
          <t xml:space="preserve">saison de culture </t>
        </is>
      </c>
      <c r="E8" s="329" t="n"/>
      <c r="F8" s="16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67" t="inlineStr">
        <is>
          <t>Name the crop season(s) of interest if there are several cropping seasons in the country (e.g. Meher and Belg in Ethiopia, rainy season / flood-recession cropping / irrigated dry season in the Sahel). You can refer to the “last season” or “ongoing season".</t>
        </is>
      </c>
      <c r="H8" s="241" t="inlineStr">
        <is>
          <t>saison des pluies</t>
        </is>
      </c>
      <c r="I8" s="20" t="inlineStr">
        <is>
          <t>wet season</t>
        </is>
      </c>
      <c r="J8" s="369" t="n"/>
      <c r="K8" s="358" t="n"/>
    </row>
    <row r="9" ht="96" customHeight="1">
      <c r="A9" s="366" t="n"/>
      <c r="B9" s="406" t="n"/>
      <c r="C9" s="26" t="inlineStr">
        <is>
          <t>season phase</t>
        </is>
      </c>
      <c r="D9" s="376" t="inlineStr">
        <is>
          <t>Semis / plantation</t>
        </is>
      </c>
      <c r="E9" s="373" t="inlineStr">
        <is>
          <t>Planting</t>
        </is>
      </c>
      <c r="F9" s="16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6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41" t="inlineStr">
        <is>
          <t>Récolte</t>
        </is>
      </c>
      <c r="I9" s="256" t="inlineStr">
        <is>
          <t>Harvesting</t>
        </is>
      </c>
      <c r="J9" s="369" t="n"/>
      <c r="K9" s="358" t="n"/>
    </row>
    <row r="10" ht="58.25" customFormat="1" customHeight="1" s="185">
      <c r="A10" s="371" t="n"/>
      <c r="B10" s="406" t="n"/>
      <c r="C10" s="190" t="inlineStr">
        <is>
          <t>local measurement unit</t>
        </is>
      </c>
      <c r="D10" s="377" t="inlineStr">
        <is>
          <t>corde</t>
        </is>
      </c>
      <c r="E10" s="377" t="n"/>
      <c r="F10" s="227"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41" t="inlineStr">
        <is>
          <t>Jeribs</t>
        </is>
      </c>
      <c r="I10" s="189" t="inlineStr">
        <is>
          <t>Jeribs</t>
        </is>
      </c>
      <c r="J10" s="374" t="n"/>
      <c r="K10" s="375" t="n"/>
    </row>
    <row r="11" ht="50.25" customFormat="1" customHeight="1" s="185" thickBot="1">
      <c r="A11" s="371" t="n"/>
      <c r="B11" s="407" t="n"/>
      <c r="C11" s="191" t="inlineStr">
        <is>
          <t>local measurement unit conversion</t>
        </is>
      </c>
      <c r="D11" s="378" t="n">
        <v>2</v>
      </c>
      <c r="E11" s="379" t="n">
        <v>2</v>
      </c>
      <c r="F11" s="228"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42" t="n">
        <v>0.2</v>
      </c>
      <c r="I11" s="255" t="n">
        <v>0.2</v>
      </c>
      <c r="J11" s="374" t="n"/>
      <c r="K11" s="375" t="n"/>
    </row>
    <row r="12" ht="32" customHeight="1">
      <c r="A12" s="366" t="n"/>
      <c r="B12" s="408" t="inlineStr">
        <is>
          <t>FOR OPTIONAL QUESTIONS    .
(Fill out if applicable)    .</t>
        </is>
      </c>
      <c r="C12" s="27" t="inlineStr">
        <is>
          <t>currency</t>
        </is>
      </c>
      <c r="D12" s="380" t="inlineStr">
        <is>
          <t>CFA</t>
        </is>
      </c>
      <c r="E12" s="370" t="inlineStr">
        <is>
          <t>CFA</t>
        </is>
      </c>
      <c r="F12" s="245" t="inlineStr">
        <is>
          <t xml:space="preserve">Nom de la principale devise utilisée au niveau national; par exemple, USD; Naira; Rial; Pesos; etc. </t>
        </is>
      </c>
      <c r="G12" s="32" t="inlineStr">
        <is>
          <t xml:space="preserve">The name of the main currency used nationally; USD; Naira; Rial; Pesos; etc. </t>
        </is>
      </c>
      <c r="H12" s="239" t="inlineStr">
        <is>
          <t>Naira</t>
        </is>
      </c>
      <c r="I12" s="253" t="inlineStr">
        <is>
          <t>Naira</t>
        </is>
      </c>
      <c r="J12" s="369" t="n"/>
      <c r="K12" s="358" t="n"/>
    </row>
    <row r="13" ht="112.25" customHeight="1">
      <c r="A13" s="366" t="n"/>
      <c r="B13" s="406" t="n"/>
      <c r="C13" s="121" t="inlineStr">
        <is>
          <t>MIN AMOUNT</t>
        </is>
      </c>
      <c r="D13" s="381" t="n">
        <v>1</v>
      </c>
      <c r="E13" s="370" t="n">
        <v>1</v>
      </c>
      <c r="F13" s="246"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22"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41" t="n">
        <v>5</v>
      </c>
      <c r="I13" s="254" t="n">
        <v>5</v>
      </c>
      <c r="J13" s="382" t="n"/>
      <c r="K13" s="383" t="n"/>
    </row>
    <row r="14" ht="149.75" customHeight="1">
      <c r="A14" s="366" t="n"/>
      <c r="B14" s="406" t="n"/>
      <c r="C14" s="121" t="inlineStr">
        <is>
          <t>THRESHOLD</t>
        </is>
      </c>
      <c r="D14" s="381" t="n">
        <v>5000000</v>
      </c>
      <c r="E14" s="370" t="n">
        <v>5000000</v>
      </c>
      <c r="F14" s="246"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41" t="n">
        <v>1200000</v>
      </c>
      <c r="I14" s="254" t="n">
        <v>1200000</v>
      </c>
      <c r="J14" s="369" t="n"/>
      <c r="K14" s="358" t="n"/>
    </row>
    <row r="15" ht="48" customHeight="1">
      <c r="A15" s="366" t="n"/>
      <c r="B15" s="406" t="n"/>
      <c r="C15" s="48" t="inlineStr">
        <is>
          <t>local vegetables</t>
        </is>
      </c>
      <c r="D15" s="329" t="inlineStr">
        <is>
          <t>Tomate, épinard, choux, carottes, oignons, oseille, aubergines, haricot, concombre, aubergine</t>
        </is>
      </c>
      <c r="E15" s="329" t="inlineStr">
        <is>
          <t>Tomato, spinach, cabbage, carrot, onion, sorrel, eggplant, bean, cucumber, eggplant</t>
        </is>
      </c>
      <c r="F15" s="229"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41" t="inlineStr">
        <is>
          <t>aubergines, courgettes, choux-fleurs</t>
        </is>
      </c>
      <c r="I15" s="20" t="inlineStr">
        <is>
          <t>eggplants, zucchini, cauliflower</t>
        </is>
      </c>
      <c r="J15" s="369" t="n"/>
      <c r="K15" s="358" t="n"/>
    </row>
    <row r="16" ht="49.25" customHeight="1" thickBot="1">
      <c r="A16" s="366" t="n"/>
      <c r="B16" s="407" t="n"/>
      <c r="C16" s="120" t="inlineStr">
        <is>
          <t>local fruits</t>
        </is>
      </c>
      <c r="D16" s="330" t="inlineStr">
        <is>
          <t>mangue, orange, papaye, goyave, banane</t>
        </is>
      </c>
      <c r="E16" s="330" t="inlineStr">
        <is>
          <t>mango, orange, papaya, guava, banana</t>
        </is>
      </c>
      <c r="F16" s="230" t="inlineStr">
        <is>
          <t>Indiquez quelques fruits locaux courants [à utiliser comme exemples dans l'indicateur de score de consommation alimentaire].</t>
        </is>
      </c>
      <c r="G16" s="23" t="inlineStr">
        <is>
          <t>Input some common local fruits [to be used as examples in the food consumption score indicator].</t>
        </is>
      </c>
      <c r="H16" s="243" t="inlineStr">
        <is>
          <t>pommes, bananes, oranges</t>
        </is>
      </c>
      <c r="I16" s="123" t="inlineStr">
        <is>
          <t>apples, bananas, oranges</t>
        </is>
      </c>
      <c r="J16" s="369" t="n"/>
      <c r="K16" s="358" t="n"/>
    </row>
    <row r="17" ht="5.75" customFormat="1" customHeight="1" s="47" thickBot="1">
      <c r="A17" s="384" t="n"/>
      <c r="B17" s="385" t="n"/>
      <c r="C17" s="44" t="n"/>
      <c r="D17" s="386" t="n"/>
      <c r="E17" s="387" t="n"/>
      <c r="F17" s="231" t="n"/>
      <c r="G17" s="45" t="n"/>
      <c r="H17" s="244" t="n"/>
      <c r="I17" s="46" t="n"/>
      <c r="J17" s="383" t="n"/>
    </row>
    <row r="18" ht="192" customHeight="1">
      <c r="A18" s="366" t="n"/>
      <c r="B18" s="409" t="inlineStr">
        <is>
          <t>FILL OUT FOR QUESTIONNAIRE DURATION ESTIMATION    .</t>
        </is>
      </c>
      <c r="C18" s="40" t="inlineStr">
        <is>
          <t>Expected percentage of respondents cultivating crops</t>
        </is>
      </c>
      <c r="D18" s="388" t="n">
        <v>0.615</v>
      </c>
      <c r="E18" s="389" t="n">
        <v>0.615</v>
      </c>
      <c r="F18" s="232"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7" t="n">
        <v>0.91</v>
      </c>
      <c r="I18" s="248" t="n">
        <v>0.91</v>
      </c>
      <c r="J18" s="369" t="n"/>
    </row>
    <row r="19" ht="176" customHeight="1">
      <c r="A19" s="366" t="n"/>
      <c r="B19" s="406" t="n"/>
      <c r="C19" s="28" t="inlineStr">
        <is>
          <t>Expected percentage of respondents raising livestock</t>
        </is>
      </c>
      <c r="D19" s="390" t="n">
        <v>0.46</v>
      </c>
      <c r="E19" s="389" t="n">
        <v>0.46</v>
      </c>
      <c r="F19" s="233"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9" t="n">
        <v>0.91</v>
      </c>
      <c r="I19" s="250" t="n">
        <v>0.91</v>
      </c>
      <c r="J19" s="369" t="n"/>
    </row>
    <row r="20" ht="141" customHeight="1" thickBot="1">
      <c r="A20" s="366" t="n"/>
      <c r="B20" s="407" t="n"/>
      <c r="C20" s="29" t="inlineStr">
        <is>
          <t>Expected percentage of respondents involved in fishery</t>
        </is>
      </c>
      <c r="D20" s="391" t="n">
        <v>0.05</v>
      </c>
      <c r="E20" s="389" t="n">
        <v>0.05</v>
      </c>
      <c r="F20" s="23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51" t="n">
        <v>0.05</v>
      </c>
      <c r="I20" s="252" t="n">
        <v>0.05</v>
      </c>
      <c r="J20" s="369" t="n"/>
    </row>
    <row r="21">
      <c r="A21" s="358" t="n"/>
      <c r="B21" s="392" t="n"/>
      <c r="C21" s="392" t="n"/>
      <c r="D21" s="392" t="n"/>
      <c r="E21" s="392" t="n"/>
      <c r="F21" s="393" t="n"/>
      <c r="G21" s="393" t="n"/>
      <c r="H21" s="394" t="n"/>
      <c r="I21" s="392" t="n"/>
      <c r="J21" s="358" t="n"/>
    </row>
  </sheetData>
  <sheetProtection selectLockedCells="0" selectUnlockedCells="0" algorithmName="SHA-512" sheet="1" objects="1" insertRows="1" insertHyperlinks="1" autoFilter="1" scenarios="1" formatColumns="1" deleteColumns="1" insertColumns="1" pivotTables="1" deleteRows="1" formatCells="1" saltValue="8u+/QeKQYarU+BIBKr19ig==" formatRows="1" sort="1" spinCount="100000" hashValue="Mz4SVKOQ1dgp8PbCVYD88+eSlEznQv4meP1a3Mgs9k4lxUKB8FWvTY/KL3WSvfp8QH+vYLgnQYt5f9DJtQ1Szw=="/>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2026-05-08T10:13:11Z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