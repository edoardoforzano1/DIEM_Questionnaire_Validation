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b val="1"/>
      <sz val="11"/>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right style="medium">
        <color indexed="64"/>
      </right>
      <top/>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3">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33"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7" fillId="0" borderId="75" applyAlignment="1" applyProtection="1" pivotButton="0" quotePrefix="0" xfId="2">
      <alignment horizontal="center" vertical="center"/>
      <protection locked="0" hidden="0"/>
    </xf>
    <xf numFmtId="0" fontId="7" fillId="0" borderId="16" applyAlignment="1" applyProtection="1" pivotButton="0" quotePrefix="0" xfId="2">
      <alignment horizontal="center" vertical="center"/>
      <protection locked="0" hidden="0"/>
    </xf>
    <xf numFmtId="0" fontId="7" fillId="5" borderId="2" applyAlignment="1" applyProtection="1" pivotButton="0" quotePrefix="0" xfId="2">
      <alignment horizontal="left" vertical="center" wrapText="1"/>
      <protection locked="0" hidden="0"/>
    </xf>
    <xf numFmtId="0" fontId="7" fillId="5" borderId="2" applyAlignment="1" applyProtection="1" pivotButton="0" quotePrefix="0" xfId="2">
      <alignment horizontal="center" vertical="center"/>
      <protection locked="0" hidden="0"/>
    </xf>
    <xf numFmtId="0" fontId="7" fillId="5" borderId="0" applyAlignment="1" applyProtection="1" pivotButton="0" quotePrefix="0" xfId="2">
      <alignment horizontal="right" vertical="center" wrapText="1"/>
      <protection locked="0" hidden="0"/>
    </xf>
    <xf numFmtId="0" fontId="7" fillId="5" borderId="16" applyAlignment="1" applyProtection="1" pivotButton="0" quotePrefix="0" xfId="2">
      <alignment horizontal="center" vertical="center" wrapText="1"/>
      <protection locked="0" hidden="0"/>
    </xf>
    <xf numFmtId="0" fontId="7" fillId="5" borderId="16" applyAlignment="1" applyProtection="1" pivotButton="0" quotePrefix="0" xfId="3">
      <alignment horizontal="left" vertical="center" wrapText="1"/>
      <protection locked="0" hidden="0"/>
    </xf>
    <xf numFmtId="0" fontId="7" fillId="5" borderId="16" applyAlignment="1" applyProtection="1" pivotButton="0" quotePrefix="0" xfId="2">
      <alignment horizontal="center" vertical="center"/>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6" borderId="0" applyAlignment="1" applyProtection="1" pivotButton="0" quotePrefix="0" xfId="14">
      <alignment horizontal="center" vertical="center" wrapText="1"/>
      <protection locked="0" hidden="0"/>
    </xf>
    <xf numFmtId="0" fontId="7" fillId="6" borderId="0" applyAlignment="1" applyProtection="1" pivotButton="0" quotePrefix="0" xfId="14">
      <alignment horizontal="center" vertical="center" wrapText="1"/>
      <protection locked="0" hidden="0"/>
    </xf>
    <xf numFmtId="0" fontId="7" fillId="6" borderId="0" applyAlignment="1" applyProtection="1" pivotButton="0" quotePrefix="0" xfId="3">
      <alignment horizontal="left" vertical="center" wrapText="1"/>
      <protection locked="0" hidden="0"/>
    </xf>
    <xf numFmtId="0" fontId="7" fillId="6" borderId="0" applyAlignment="1" applyProtection="1" pivotButton="0" quotePrefix="0" xfId="2">
      <alignment horizontal="center" vertical="center" wrapText="1"/>
      <protection locked="0" hidden="0"/>
    </xf>
    <xf numFmtId="0" fontId="7" fillId="6" borderId="0" applyAlignment="1" applyProtection="1" pivotButton="0" quotePrefix="0" xfId="3">
      <alignment horizontal="right" vertical="center" wrapText="1"/>
      <protection locked="0" hidden="0"/>
    </xf>
    <xf numFmtId="0" fontId="7" fillId="7" borderId="0" applyAlignment="1" applyProtection="1" pivotButton="0" quotePrefix="0" xfId="0">
      <alignment horizontal="center" vertical="center" wrapText="1"/>
      <protection locked="0" hidden="0"/>
    </xf>
    <xf numFmtId="0" fontId="7" fillId="0" borderId="0" applyAlignment="1" applyProtection="1" pivotButton="0" quotePrefix="0" xfId="3">
      <alignment horizontal="center" vertical="center" wrapText="1"/>
      <protection locked="0" hidden="0"/>
    </xf>
    <xf numFmtId="0" fontId="7" fillId="0" borderId="80" applyAlignment="1" applyProtection="1" pivotButton="0" quotePrefix="0" xfId="3">
      <alignment horizontal="center" vertical="center" wrapText="1"/>
      <protection locked="0" hidden="0"/>
    </xf>
    <xf numFmtId="0" fontId="9" fillId="0" borderId="12" applyAlignment="1" applyProtection="1" pivotButton="0" quotePrefix="0" xfId="14">
      <alignment horizontal="center" vertical="center" wrapText="1"/>
      <protection locked="0" hidden="0"/>
    </xf>
    <xf numFmtId="0" fontId="1" fillId="0" borderId="81" applyAlignment="1" applyProtection="1" pivotButton="0" quotePrefix="0" xfId="3">
      <alignment horizontal="left" vertical="center" wrapText="1"/>
      <protection locked="0" hidden="0"/>
    </xf>
    <xf numFmtId="0" fontId="7" fillId="0" borderId="12" applyAlignment="1" applyProtection="1" pivotButton="0" quotePrefix="0" xfId="2">
      <alignment horizontal="center" vertical="center" wrapText="1"/>
      <protection locked="0" hidden="0"/>
    </xf>
    <xf numFmtId="0" fontId="1" fillId="0" borderId="47" applyAlignment="1" applyProtection="1" pivotButton="0" quotePrefix="0" xfId="3">
      <alignment horizontal="left"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6" borderId="68" applyAlignment="1" applyProtection="1" pivotButton="0" quotePrefix="0" xfId="2">
      <alignment horizontal="center" vertical="center" wrapText="1"/>
      <protection locked="0" hidden="0"/>
    </xf>
    <xf numFmtId="0" fontId="53" fillId="0" borderId="82" applyAlignment="1" pivotButton="0" quotePrefix="0" xfId="0">
      <alignment horizontal="center" vertical="top"/>
    </xf>
    <xf numFmtId="0" fontId="7" fillId="0" borderId="82" applyAlignment="1" pivotButton="0" quotePrefix="0" xfId="3">
      <alignment horizontal="left" vertical="center" wrapText="1"/>
    </xf>
    <xf numFmtId="0" fontId="7" fillId="0" borderId="82" applyAlignment="1" pivotButton="0" quotePrefix="0" xfId="3">
      <alignment horizontal="right" vertical="center" wrapText="1"/>
    </xf>
    <xf numFmtId="0" fontId="9" fillId="0" borderId="82" applyAlignment="1" pivotButton="0" quotePrefix="0" xfId="14">
      <alignment horizontal="center" vertical="center" wrapText="1"/>
    </xf>
    <xf numFmtId="0" fontId="7" fillId="0" borderId="82" applyAlignment="1" pivotButton="0" quotePrefix="0" xfId="2">
      <alignment horizontal="center" vertical="center" wrapText="1"/>
    </xf>
    <xf numFmtId="0" fontId="7" fillId="0" borderId="82" applyAlignment="1" pivotButton="0" quotePrefix="0" xfId="3">
      <alignment horizontal="center" vertical="center" wrapText="1"/>
    </xf>
    <xf numFmtId="0" fontId="7" fillId="0" borderId="82" applyAlignment="1" pivotButton="0" quotePrefix="0" xfId="5">
      <alignment horizontal="left" vertical="center" wrapText="1"/>
    </xf>
    <xf numFmtId="0" fontId="7" fillId="0" borderId="82" applyAlignment="1" pivotButton="0" quotePrefix="0" xfId="5">
      <alignment horizontal="right" vertical="center" wrapText="1"/>
    </xf>
    <xf numFmtId="0" fontId="7" fillId="0" borderId="82" applyAlignment="1" applyProtection="1" pivotButton="0" quotePrefix="0" xfId="0">
      <alignment horizontal="left" vertical="center" wrapText="1"/>
      <protection locked="0" hidden="0"/>
    </xf>
    <xf numFmtId="0" fontId="9" fillId="6" borderId="82" applyAlignment="1" applyProtection="1" pivotButton="0" quotePrefix="0" xfId="14">
      <alignment horizontal="center" vertical="center" wrapText="1"/>
      <protection locked="0" hidden="0"/>
    </xf>
    <xf numFmtId="0" fontId="7" fillId="6" borderId="82" applyAlignment="1" applyProtection="1" pivotButton="0" quotePrefix="0" xfId="3">
      <alignment horizontal="left" vertical="center" wrapText="1"/>
      <protection locked="0" hidden="0"/>
    </xf>
    <xf numFmtId="0" fontId="7" fillId="6" borderId="82" applyAlignment="1" applyProtection="1" pivotButton="0" quotePrefix="0" xfId="2">
      <alignment horizontal="center" vertical="center" wrapText="1"/>
      <protection locked="0" hidden="0"/>
    </xf>
    <xf numFmtId="0" fontId="1"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horizontal="center" vertical="center" wrapText="1"/>
      <protection locked="0" hidden="0"/>
    </xf>
    <xf numFmtId="0" fontId="7" fillId="0" borderId="82" applyAlignment="1" pivotButton="0" quotePrefix="0" xfId="0">
      <alignment horizontal="left" vertical="center" wrapText="1"/>
    </xf>
    <xf numFmtId="0" fontId="7" fillId="0" borderId="82" applyAlignment="1" pivotButton="0" quotePrefix="0" xfId="0">
      <alignment horizontal="right" vertical="center" wrapText="1"/>
    </xf>
    <xf numFmtId="0" fontId="7" fillId="0" borderId="82" applyAlignment="1" pivotButton="0" quotePrefix="0" xfId="3">
      <alignment vertical="center" wrapText="1"/>
    </xf>
    <xf numFmtId="0" fontId="7" fillId="0" borderId="82" applyAlignment="1" pivotButton="0" quotePrefix="0" xfId="2">
      <alignment horizontal="center" vertical="center"/>
    </xf>
    <xf numFmtId="0" fontId="7" fillId="0" borderId="82" applyAlignment="1" pivotButton="0" quotePrefix="0" xfId="3">
      <alignment horizontal="center" vertical="center"/>
    </xf>
    <xf numFmtId="0" fontId="7" fillId="0" borderId="82" applyAlignment="1" applyProtection="1" pivotButton="0" quotePrefix="0" xfId="2">
      <alignment horizontal="center" vertical="center" wrapText="1"/>
      <protection locked="0" hidden="0"/>
    </xf>
    <xf numFmtId="0" fontId="7" fillId="0" borderId="82" applyAlignment="1" applyProtection="1" pivotButton="0" quotePrefix="0" xfId="3">
      <alignment horizontal="center" vertical="center" wrapText="1"/>
      <protection locked="0" hidden="0"/>
    </xf>
    <xf numFmtId="0" fontId="29" fillId="0" borderId="82" applyAlignment="1" pivotButton="0" quotePrefix="0" xfId="2">
      <alignment horizontal="center" vertical="center" wrapText="1"/>
    </xf>
    <xf numFmtId="0" fontId="29" fillId="0" borderId="82" applyAlignment="1" pivotButton="0" quotePrefix="0" xfId="3">
      <alignment horizontal="center" vertical="center" wrapText="1"/>
    </xf>
    <xf numFmtId="0" fontId="29" fillId="0" borderId="82" applyAlignment="1" pivotButton="0" quotePrefix="0" xfId="3">
      <alignment horizontal="left" vertical="center" wrapText="1"/>
    </xf>
    <xf numFmtId="0" fontId="29" fillId="4" borderId="82" applyAlignment="1" pivotButton="0" quotePrefix="0" xfId="2">
      <alignment horizontal="center" vertical="center" wrapText="1"/>
    </xf>
    <xf numFmtId="0" fontId="29" fillId="4" borderId="82" applyAlignment="1" pivotButton="0" quotePrefix="0" xfId="3">
      <alignment horizontal="center" vertical="center" wrapText="1"/>
    </xf>
    <xf numFmtId="0" fontId="29" fillId="4" borderId="82" applyAlignment="1" pivotButton="0" quotePrefix="0" xfId="3">
      <alignment horizontal="left" vertical="center" wrapText="1"/>
    </xf>
    <xf numFmtId="0" fontId="28" fillId="0" borderId="82" applyAlignment="1" pivotButton="0" quotePrefix="0" xfId="2">
      <alignment horizontal="center" vertical="center" wrapText="1"/>
    </xf>
    <xf numFmtId="0" fontId="37" fillId="0" borderId="82" applyAlignment="1" pivotButton="0" quotePrefix="0" xfId="2">
      <alignment horizontal="center" vertical="center" wrapText="1"/>
    </xf>
    <xf numFmtId="0" fontId="9" fillId="5" borderId="82" applyAlignment="1" applyProtection="1" pivotButton="0" quotePrefix="0" xfId="14">
      <alignment horizontal="center" vertical="center" wrapText="1"/>
      <protection locked="0" hidden="0"/>
    </xf>
    <xf numFmtId="165" fontId="7" fillId="0" borderId="82" applyAlignment="1" pivotButton="0" quotePrefix="0" xfId="0">
      <alignment horizontal="right" vertical="center" wrapText="1"/>
    </xf>
    <xf numFmtId="0" fontId="1" fillId="4" borderId="82" applyAlignment="1" pivotButton="0" quotePrefix="0" xfId="0">
      <alignment horizontal="left" vertical="center" wrapText="1"/>
    </xf>
    <xf numFmtId="0" fontId="1" fillId="4" borderId="82" applyAlignment="1" pivotButton="0" quotePrefix="0" xfId="0">
      <alignment horizontal="right" vertical="center" wrapText="1"/>
    </xf>
    <xf numFmtId="0" fontId="7" fillId="0" borderId="82" applyAlignment="1" pivotButton="0" quotePrefix="0" xfId="0">
      <alignment horizontal="center" vertical="center" wrapText="1"/>
    </xf>
    <xf numFmtId="0" fontId="9"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center" vertical="center" wrapText="1"/>
      <protection locked="0" hidden="0"/>
    </xf>
    <xf numFmtId="0" fontId="7"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right" vertical="center" wrapText="1"/>
      <protection locked="0" hidden="0"/>
    </xf>
    <xf numFmtId="0" fontId="7" fillId="0" borderId="82" applyAlignment="1" applyProtection="1" pivotButton="0" quotePrefix="0" xfId="3">
      <alignment vertical="center" wrapText="1"/>
      <protection locked="0" hidden="0"/>
    </xf>
    <xf numFmtId="0" fontId="1" fillId="0" borderId="82" applyAlignment="1" applyProtection="1" pivotButton="0" quotePrefix="0" xfId="0">
      <alignment horizontal="left" vertical="center" wrapText="1"/>
      <protection locked="0" hidden="0"/>
    </xf>
    <xf numFmtId="0" fontId="9" fillId="14" borderId="82" applyAlignment="1" pivotButton="0" quotePrefix="0" xfId="14">
      <alignment horizontal="center" vertical="center" wrapText="1"/>
    </xf>
    <xf numFmtId="0" fontId="7" fillId="14" borderId="82" applyAlignment="1" pivotButton="0" quotePrefix="0" xfId="0">
      <alignment horizontal="center" vertical="center" wrapText="1"/>
    </xf>
    <xf numFmtId="0" fontId="44" fillId="14" borderId="82" applyAlignment="1" pivotButton="0" quotePrefix="0" xfId="0">
      <alignment horizontal="left" vertical="center" wrapText="1"/>
    </xf>
    <xf numFmtId="0" fontId="7" fillId="14" borderId="82" applyAlignment="1" pivotButton="0" quotePrefix="0" xfId="2">
      <alignment horizontal="center" vertical="center" wrapText="1"/>
    </xf>
    <xf numFmtId="0" fontId="7" fillId="14" borderId="82" applyAlignment="1" pivotButton="0" quotePrefix="0" xfId="0">
      <alignment horizontal="right" vertical="center" wrapText="1"/>
    </xf>
    <xf numFmtId="0" fontId="7" fillId="14" borderId="82" applyAlignment="1" pivotButton="0" quotePrefix="0" xfId="3">
      <alignment horizontal="left" vertical="center" wrapText="1"/>
    </xf>
    <xf numFmtId="0" fontId="7" fillId="14" borderId="82" applyAlignment="1" applyProtection="1" pivotButton="0" quotePrefix="0" xfId="3">
      <alignment horizontal="center" vertical="center" wrapText="1"/>
      <protection locked="0" hidden="0"/>
    </xf>
    <xf numFmtId="0" fontId="48" fillId="14" borderId="82" applyAlignment="1" applyProtection="1" pivotButton="0" quotePrefix="0" xfId="3">
      <alignment vertical="center" wrapText="1"/>
      <protection locked="0" hidden="0"/>
    </xf>
    <xf numFmtId="0" fontId="12" fillId="14" borderId="82" applyAlignment="1" applyProtection="1" pivotButton="0" quotePrefix="0" xfId="3">
      <alignment vertical="center" wrapText="1"/>
      <protection locked="0" hidden="0"/>
    </xf>
    <xf numFmtId="0" fontId="32" fillId="14" borderId="82" applyAlignment="1" applyProtection="1" pivotButton="0" quotePrefix="0" xfId="3">
      <alignment vertical="center" wrapText="1"/>
      <protection locked="0" hidden="0"/>
    </xf>
    <xf numFmtId="0" fontId="9" fillId="14" borderId="82" applyAlignment="1" applyProtection="1" pivotButton="0" quotePrefix="0" xfId="14">
      <alignment horizontal="center" vertical="center" wrapText="1"/>
      <protection locked="0" hidden="0"/>
    </xf>
    <xf numFmtId="0" fontId="7" fillId="14" borderId="82" applyAlignment="1" applyProtection="1" pivotButton="0" quotePrefix="0" xfId="0">
      <alignment horizontal="center" vertical="center" wrapText="1"/>
      <protection locked="0" hidden="0"/>
    </xf>
    <xf numFmtId="0" fontId="44" fillId="14" borderId="82" applyAlignment="1" applyProtection="1" pivotButton="0" quotePrefix="0" xfId="0">
      <alignment horizontal="left" vertical="center" wrapText="1"/>
      <protection locked="0" hidden="0"/>
    </xf>
    <xf numFmtId="0" fontId="7" fillId="14" borderId="82" applyAlignment="1" applyProtection="1" pivotButton="0" quotePrefix="0" xfId="2">
      <alignment horizontal="center" vertical="center" wrapText="1"/>
      <protection locked="0" hidden="0"/>
    </xf>
    <xf numFmtId="0" fontId="7" fillId="14" borderId="82" applyAlignment="1" applyProtection="1" pivotButton="0" quotePrefix="0" xfId="0">
      <alignment horizontal="right" vertical="center" wrapText="1"/>
      <protection locked="0" hidden="0"/>
    </xf>
    <xf numFmtId="0" fontId="7" fillId="14" borderId="82" applyAlignment="1" applyProtection="1" pivotButton="0" quotePrefix="0" xfId="3">
      <alignment horizontal="left" vertical="center" wrapText="1"/>
      <protection locked="0" hidden="0"/>
    </xf>
    <xf numFmtId="0" fontId="7" fillId="14" borderId="82" applyAlignment="1" applyProtection="1" pivotButton="0" quotePrefix="0" xfId="14">
      <alignment horizontal="center" vertical="center" wrapText="1"/>
      <protection locked="0" hidden="0"/>
    </xf>
    <xf numFmtId="0" fontId="45" fillId="14" borderId="82" applyAlignment="1" pivotButton="0" quotePrefix="0" xfId="0">
      <alignment wrapText="1"/>
    </xf>
    <xf numFmtId="0" fontId="7" fillId="14" borderId="82" applyAlignment="1" applyProtection="1" pivotButton="0" quotePrefix="0" xfId="2">
      <alignment horizontal="right" vertical="center" wrapText="1"/>
      <protection locked="0" hidden="0"/>
    </xf>
    <xf numFmtId="0" fontId="9" fillId="14" borderId="82" applyAlignment="1" applyProtection="1" pivotButton="0" quotePrefix="0" xfId="2">
      <alignment horizontal="center" vertical="center" wrapText="1"/>
      <protection locked="0" hidden="0"/>
    </xf>
    <xf numFmtId="0" fontId="47" fillId="14" borderId="82" applyAlignment="1" pivotButton="0" quotePrefix="0" xfId="0">
      <alignment wrapText="1"/>
    </xf>
    <xf numFmtId="0" fontId="7" fillId="6" borderId="82" applyAlignment="1" applyProtection="1" pivotButton="0" quotePrefix="0" xfId="0">
      <alignment horizontal="center" vertical="center" wrapText="1"/>
      <protection locked="0" hidden="0"/>
    </xf>
    <xf numFmtId="0" fontId="7" fillId="6" borderId="82" applyAlignment="1" applyProtection="1" pivotButton="0" quotePrefix="0" xfId="0">
      <alignment horizontal="left" vertical="center" wrapText="1"/>
      <protection locked="0" hidden="0"/>
    </xf>
    <xf numFmtId="0" fontId="7"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vertical="center" wrapText="1"/>
      <protection locked="0" hidden="0"/>
    </xf>
    <xf numFmtId="0" fontId="7" fillId="6" borderId="82" applyAlignment="1" applyProtection="1" pivotButton="0" quotePrefix="0" xfId="14">
      <alignment horizontal="center" vertical="center" wrapText="1"/>
      <protection locked="0" hidden="0"/>
    </xf>
    <xf numFmtId="0" fontId="40" fillId="6" borderId="82" applyAlignment="1" applyProtection="1" pivotButton="0" quotePrefix="0" xfId="0">
      <alignment horizontal="left" vertical="center" wrapText="1"/>
      <protection locked="0" hidden="0"/>
    </xf>
    <xf numFmtId="0" fontId="7" fillId="6" borderId="82" applyAlignment="1" applyProtection="1" pivotButton="0" quotePrefix="0" xfId="3">
      <alignment horizontal="right" vertical="center" wrapText="1"/>
      <protection locked="0" hidden="0"/>
    </xf>
    <xf numFmtId="0" fontId="7" fillId="0" borderId="82" applyAlignment="1" applyProtection="1" pivotButton="0" quotePrefix="0" xfId="3">
      <alignment horizontal="left" vertical="center" wrapText="1"/>
      <protection locked="0" hidden="0"/>
    </xf>
    <xf numFmtId="0" fontId="40" fillId="0" borderId="82" applyAlignment="1" pivotButton="0" quotePrefix="0" xfId="3">
      <alignment vertical="center" wrapText="1"/>
    </xf>
    <xf numFmtId="0" fontId="7" fillId="0" borderId="82" applyAlignment="1" pivotButton="0" quotePrefix="0" xfId="0">
      <alignment vertical="center" wrapText="1"/>
    </xf>
    <xf numFmtId="0" fontId="7" fillId="5" borderId="82" applyAlignment="1" applyProtection="1" pivotButton="0" quotePrefix="0" xfId="0">
      <alignment vertical="center" wrapText="1"/>
      <protection locked="0" hidden="0"/>
    </xf>
    <xf numFmtId="0" fontId="7" fillId="5" borderId="82" applyAlignment="1" applyProtection="1" pivotButton="0" quotePrefix="0" xfId="2">
      <alignment horizontal="center" vertical="center" wrapText="1"/>
      <protection locked="0" hidden="0"/>
    </xf>
    <xf numFmtId="0" fontId="7" fillId="5" borderId="82" applyAlignment="1" applyProtection="1" pivotButton="0" quotePrefix="0" xfId="2">
      <alignment horizontal="right" vertical="center" wrapText="1"/>
      <protection locked="0" hidden="0"/>
    </xf>
    <xf numFmtId="0" fontId="7" fillId="5" borderId="82" applyAlignment="1" applyProtection="1" pivotButton="0" quotePrefix="0" xfId="0">
      <alignment vertical="top" wrapText="1"/>
      <protection locked="0" hidden="0"/>
    </xf>
    <xf numFmtId="0" fontId="7" fillId="5" borderId="82" applyAlignment="1" applyProtection="1" pivotButton="0" quotePrefix="0" xfId="2">
      <alignment horizontal="right" vertical="top" wrapText="1"/>
      <protection locked="0" hidden="0"/>
    </xf>
    <xf numFmtId="0" fontId="6" fillId="0" borderId="82" applyAlignment="1" pivotButton="0" quotePrefix="0" xfId="3">
      <alignment vertical="top" wrapText="1"/>
    </xf>
    <xf numFmtId="0" fontId="20" fillId="0" borderId="82" applyAlignment="1" pivotButton="0" quotePrefix="0" xfId="2">
      <alignment horizontal="center" vertical="center" wrapText="1"/>
    </xf>
    <xf numFmtId="0" fontId="9" fillId="16"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right" vertical="center" wrapText="1"/>
      <protection locked="0" hidden="0"/>
    </xf>
    <xf numFmtId="0" fontId="7" fillId="16" borderId="82" applyAlignment="1" applyProtection="1" pivotButton="0" quotePrefix="0" xfId="3">
      <alignment horizontal="center" vertical="center" wrapText="1"/>
      <protection locked="0" hidden="0"/>
    </xf>
    <xf numFmtId="0" fontId="7" fillId="16" borderId="82" applyAlignment="1" applyProtection="1" pivotButton="0" quotePrefix="0" xfId="2">
      <alignment horizontal="center" vertical="center" wrapText="1"/>
      <protection locked="0" hidden="0"/>
    </xf>
    <xf numFmtId="0" fontId="9" fillId="17" borderId="82" applyAlignment="1" pivotButton="0" quotePrefix="0" xfId="14">
      <alignment horizontal="center" vertical="center" wrapText="1"/>
    </xf>
    <xf numFmtId="0" fontId="7" fillId="16" borderId="82" applyAlignment="1" pivotButton="0" quotePrefix="0" xfId="2">
      <alignment horizontal="center" vertical="center" wrapText="1"/>
    </xf>
    <xf numFmtId="0" fontId="7" fillId="16" borderId="82" applyAlignment="1" pivotButton="0" quotePrefix="0" xfId="2">
      <alignment horizontal="right" vertical="center" wrapText="1"/>
    </xf>
    <xf numFmtId="0" fontId="7" fillId="16" borderId="82" applyAlignment="1" pivotButton="0" quotePrefix="0" xfId="3">
      <alignment horizontal="center" vertical="center" wrapText="1"/>
    </xf>
    <xf numFmtId="0" fontId="7" fillId="16" borderId="82" applyAlignment="1" pivotButton="0" quotePrefix="0" xfId="2">
      <alignment horizontal="left" vertical="center" wrapText="1"/>
    </xf>
    <xf numFmtId="0" fontId="9" fillId="17"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left" vertical="center" wrapText="1"/>
      <protection locked="0" hidden="0"/>
    </xf>
    <xf numFmtId="0" fontId="7" fillId="18" borderId="82" applyAlignment="1" applyProtection="1" pivotButton="0" quotePrefix="0" xfId="0">
      <alignment horizontal="left" vertical="center" wrapText="1"/>
      <protection locked="0" hidden="0"/>
    </xf>
    <xf numFmtId="0" fontId="9" fillId="0" borderId="82" applyAlignment="1" pivotButton="0" quotePrefix="0" xfId="2">
      <alignment horizontal="center" vertical="center" wrapText="1"/>
    </xf>
    <xf numFmtId="0" fontId="7" fillId="0" borderId="82" applyAlignment="1" applyProtection="1" pivotButton="0" quotePrefix="0" xfId="2">
      <alignment horizontal="left" vertical="center" wrapText="1"/>
      <protection locked="0" hidden="0"/>
    </xf>
    <xf numFmtId="0" fontId="9" fillId="6" borderId="82" applyAlignment="1" applyProtection="1" pivotButton="0" quotePrefix="0" xfId="2">
      <alignment horizontal="center" vertical="center" wrapText="1"/>
      <protection locked="0" hidden="0"/>
    </xf>
    <xf numFmtId="0" fontId="7" fillId="0" borderId="82" applyAlignment="1" pivotButton="0" quotePrefix="0" xfId="14">
      <alignment horizontal="center" vertical="center" wrapText="1"/>
    </xf>
    <xf numFmtId="0" fontId="9" fillId="0" borderId="82" applyAlignment="1" applyProtection="1" pivotButton="0" quotePrefix="0" xfId="2">
      <alignment horizontal="center" vertical="center" wrapText="1"/>
      <protection locked="0" hidden="0"/>
    </xf>
    <xf numFmtId="0" fontId="33" fillId="0" borderId="82"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2" applyAlignment="1" applyProtection="1" pivotButton="0" quotePrefix="0" xfId="3">
      <alignment horizontal="left" vertical="center" wrapText="1"/>
      <protection locked="0" hidden="0"/>
    </xf>
    <xf numFmtId="0" fontId="7" fillId="0" borderId="82" applyAlignment="1" applyProtection="1" pivotButton="0" quotePrefix="0" xfId="3">
      <alignment horizontal="center" vertical="center"/>
      <protection locked="0" hidden="0"/>
    </xf>
    <xf numFmtId="0" fontId="1" fillId="0" borderId="82"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2" applyAlignment="1" applyProtection="1" pivotButton="0" quotePrefix="0" xfId="0">
      <alignment horizontal="left" vertical="center" wrapText="1"/>
      <protection locked="0" hidden="0"/>
    </xf>
    <xf numFmtId="0" fontId="11" fillId="0" borderId="82"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2" applyAlignment="1" pivotButton="0" quotePrefix="0" xfId="0">
      <alignment horizontal="center" vertical="center"/>
    </xf>
    <xf numFmtId="0" fontId="7" fillId="0" borderId="82"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2" applyProtection="1" pivotButton="0" quotePrefix="0" xfId="3">
      <protection locked="0" hidden="0"/>
    </xf>
    <xf numFmtId="0" fontId="14" fillId="6" borderId="82" applyAlignment="1" applyProtection="1" pivotButton="0" quotePrefix="0" xfId="3">
      <alignment vertical="center" wrapText="1"/>
      <protection locked="0" hidden="0"/>
    </xf>
    <xf numFmtId="0" fontId="1" fillId="0" borderId="82" applyAlignment="1" pivotButton="0" quotePrefix="0" xfId="3">
      <alignment vertical="center" wrapText="1"/>
    </xf>
    <xf numFmtId="0" fontId="1" fillId="6" borderId="82" applyAlignment="1" applyProtection="1" pivotButton="0" quotePrefix="0" xfId="3">
      <alignment vertical="center" wrapText="1"/>
      <protection locked="0" hidden="0"/>
    </xf>
    <xf numFmtId="0" fontId="40" fillId="6" borderId="82" applyAlignment="1" applyProtection="1" pivotButton="0" quotePrefix="0" xfId="3">
      <alignment vertical="center" wrapText="1"/>
      <protection locked="0" hidden="0"/>
    </xf>
    <xf numFmtId="0" fontId="41" fillId="6" borderId="82" applyAlignment="1" applyProtection="1" pivotButton="0" quotePrefix="0" xfId="3">
      <alignment vertical="center" wrapText="1"/>
      <protection locked="0" hidden="0"/>
    </xf>
    <xf numFmtId="0" fontId="7" fillId="7" borderId="82" applyAlignment="1" applyProtection="1" pivotButton="0" quotePrefix="0" xfId="0">
      <alignment horizontal="center" vertical="center" wrapText="1"/>
      <protection locked="0" hidden="0"/>
    </xf>
    <xf numFmtId="0" fontId="30" fillId="4" borderId="82" applyAlignment="1" pivotButton="0" quotePrefix="0" xfId="0">
      <alignment horizontal="center" vertical="center" wrapText="1"/>
    </xf>
    <xf numFmtId="0" fontId="29" fillId="4" borderId="82" applyAlignment="1" pivotButton="0" quotePrefix="0" xfId="0">
      <alignment horizontal="center" vertical="center" wrapText="1"/>
    </xf>
    <xf numFmtId="0" fontId="22" fillId="0" borderId="82" applyAlignment="1" pivotButton="0" quotePrefix="0" xfId="0">
      <alignment horizontal="center" vertical="center" wrapText="1"/>
    </xf>
    <xf numFmtId="0" fontId="22" fillId="0" borderId="82" applyAlignment="1" pivotButton="0" quotePrefix="0" xfId="0">
      <alignment horizontal="center" vertical="center"/>
    </xf>
    <xf numFmtId="0" fontId="9" fillId="9" borderId="82" applyAlignment="1" applyProtection="1" pivotButton="0" quotePrefix="0" xfId="7">
      <alignment horizontal="center" vertical="center"/>
      <protection locked="0" hidden="0"/>
    </xf>
    <xf numFmtId="0" fontId="6" fillId="0" borderId="82" pivotButton="0" quotePrefix="0" xfId="0"/>
    <xf numFmtId="0" fontId="6" fillId="0" borderId="82" applyAlignment="1" pivotButton="0" quotePrefix="0" xfId="0">
      <alignment horizontal="center"/>
    </xf>
    <xf numFmtId="0" fontId="6" fillId="0" borderId="82" applyAlignment="1" pivotButton="0" quotePrefix="0" xfId="0">
      <alignment readingOrder="2"/>
    </xf>
    <xf numFmtId="0" fontId="9" fillId="0" borderId="82" applyAlignment="1" pivotButton="0" quotePrefix="0" xfId="7">
      <alignment horizontal="center" vertical="center"/>
    </xf>
    <xf numFmtId="0" fontId="22" fillId="0" borderId="82"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2"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2"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2" applyAlignment="1" pivotButton="0" quotePrefix="0" xfId="10">
      <alignment horizontal="center" vertical="center" wrapText="1"/>
    </xf>
    <xf numFmtId="0" fontId="1" fillId="0" borderId="82" applyAlignment="1" pivotButton="0" quotePrefix="0" xfId="10">
      <alignment horizontal="center" vertical="center"/>
    </xf>
    <xf numFmtId="0" fontId="1" fillId="9" borderId="82" applyAlignment="1" applyProtection="1" pivotButton="0" quotePrefix="0" xfId="16">
      <alignment horizontal="center" vertical="center"/>
      <protection locked="0" hidden="0"/>
    </xf>
    <xf numFmtId="0" fontId="1" fillId="9" borderId="82" applyAlignment="1" applyProtection="1" pivotButton="0" quotePrefix="0" xfId="10">
      <alignment horizontal="center" vertical="center"/>
      <protection locked="0" hidden="0"/>
    </xf>
    <xf numFmtId="0" fontId="18" fillId="0" borderId="82" applyAlignment="1" pivotButton="0" quotePrefix="0" xfId="16">
      <alignment vertical="center" wrapText="1"/>
    </xf>
    <xf numFmtId="0" fontId="18" fillId="0" borderId="82" applyAlignment="1" pivotButton="0" quotePrefix="0" xfId="10">
      <alignment horizontal="center" vertical="center" wrapText="1"/>
    </xf>
    <xf numFmtId="0" fontId="1" fillId="9" borderId="82" applyAlignment="1" applyProtection="1" pivotButton="0" quotePrefix="0" xfId="16">
      <alignment horizontal="center" vertical="center" wrapText="1"/>
      <protection locked="0" hidden="0"/>
    </xf>
    <xf numFmtId="0" fontId="1" fillId="9" borderId="13" applyAlignment="1" applyProtection="1" pivotButton="0" quotePrefix="1"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2"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2"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2" applyAlignment="1" pivotButton="0" quotePrefix="0" xfId="12">
      <alignment horizontal="center" vertical="center" wrapText="1"/>
    </xf>
    <xf numFmtId="3" fontId="1" fillId="4" borderId="65" applyAlignment="1" pivotButton="0" quotePrefix="0" xfId="16">
      <alignment horizontal="center" vertical="center"/>
    </xf>
    <xf numFmtId="3" fontId="18" fillId="0" borderId="82"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2" applyAlignment="1" applyProtection="1" pivotButton="0" quotePrefix="0" xfId="10">
      <alignment horizontal="center" vertical="center"/>
      <protection locked="0" hidden="0"/>
    </xf>
    <xf numFmtId="0" fontId="39" fillId="0" borderId="82"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7" fillId="3" borderId="60" applyAlignment="1" pivotButton="0" quotePrefix="0" xfId="14">
      <alignment horizontal="center" vertical="center" wrapText="1"/>
    </xf>
    <xf numFmtId="0" fontId="0" fillId="0" borderId="61" pivotButton="0" quotePrefix="0" xfId="0"/>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50" fillId="15" borderId="27" applyAlignment="1" pivotButton="0" quotePrefix="0" xfId="2">
      <alignment horizontal="left" vertical="center"/>
    </xf>
    <xf numFmtId="0" fontId="12" fillId="11" borderId="82"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4" tint="0.7999816888943144"/>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00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theme="6" tint="0.3999450666829432"/>
        </patternFill>
      </fill>
    </dxf>
    <dxf>
      <fill>
        <patternFill>
          <bgColor theme="2" tint="-0.249946592608417"/>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2" tint="-0.249946592608417"/>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29"/>
  <sheetViews>
    <sheetView tabSelected="1" zoomScale="55" zoomScaleNormal="55" workbookViewId="0">
      <pane xSplit="4" ySplit="3" topLeftCell="E106" activePane="bottomRight" state="frozen"/>
      <selection pane="topRight" activeCell="B3" sqref="B3"/>
      <selection pane="bottomLeft" activeCell="B3" sqref="B3"/>
      <selection pane="bottomRight" activeCell="F106" sqref="F106"/>
    </sheetView>
  </sheetViews>
  <sheetFormatPr baseColWidth="8" defaultColWidth="8.453125" defaultRowHeight="15.5"/>
  <cols>
    <col width="7.453125" customWidth="1" style="694" min="1" max="1"/>
    <col width="26" customWidth="1" style="691" min="2" max="2"/>
    <col width="36.453125" customWidth="1" style="692" min="3" max="3"/>
    <col width="72.453125" customWidth="1" style="693" min="4" max="4"/>
    <col width="9.453125" customWidth="1" style="694" min="5" max="5"/>
    <col width="79" customWidth="1" style="693" min="6" max="6"/>
    <col hidden="1" width="9.453125" customWidth="1" style="694" min="7" max="7"/>
    <col width="15.453125" customWidth="1" style="694" min="8" max="8"/>
    <col width="12.453125" customWidth="1" style="694" min="9" max="9"/>
    <col width="41" customWidth="1" style="694" min="10" max="10"/>
    <col width="33" customWidth="1" style="694" min="11" max="11"/>
    <col width="41.453125" customWidth="1" style="694" min="12" max="12"/>
    <col width="33.1796875" customWidth="1" style="694" min="13" max="13"/>
    <col width="47.453125" customWidth="1" style="694" min="14" max="14"/>
    <col width="22.453125" customWidth="1" style="694" min="15" max="15"/>
    <col width="40.453125" customWidth="1" style="694" min="16" max="16"/>
    <col hidden="1" width="15" customWidth="1" style="239" min="17" max="17"/>
    <col hidden="1" width="8.453125" customWidth="1" style="121" min="18" max="18"/>
    <col hidden="1" width="8.453125" customWidth="1" style="694" min="19" max="19"/>
    <col hidden="1" width="20.453125" customWidth="1" style="145" min="20" max="20"/>
    <col hidden="1" outlineLevel="1" width="8.453125" customWidth="1" style="694" min="21" max="21"/>
    <col hidden="1" collapsed="1" width="8.453125" customWidth="1" style="694" min="22" max="22"/>
    <col hidden="1" width="8.453125" customWidth="1" style="694" min="23" max="23"/>
    <col hidden="1" width="15.453125" customWidth="1" style="238" min="24" max="24"/>
    <col width="11.453125" customWidth="1" style="238" min="25" max="25"/>
    <col hidden="1" outlineLevel="1" width="10.453125" customWidth="1" style="694" min="26" max="26"/>
    <col collapsed="1" width="8.453125" customWidth="1" style="694" min="27" max="27"/>
    <col width="8.453125" customWidth="1" style="694" min="28" max="32"/>
    <col width="8.453125" customWidth="1" style="694" min="33" max="16384"/>
  </cols>
  <sheetData>
    <row r="1" ht="18.75" customHeight="1" thickBot="1">
      <c r="A1" s="690" t="inlineStr">
        <is>
          <t>GeoPoll Submission Form</t>
        </is>
      </c>
      <c r="Q1" s="203" t="n"/>
      <c r="R1" s="103" t="n"/>
      <c r="T1" s="103" t="n"/>
      <c r="X1" s="204" t="n"/>
      <c r="Y1" s="204" t="n"/>
    </row>
    <row r="2" ht="15" customHeight="1" thickBot="1">
      <c r="A2" s="688" t="inlineStr">
        <is>
          <t>FAO - Household Questionnaire</t>
        </is>
      </c>
      <c r="B2" s="689" t="n"/>
      <c r="C2" s="689" t="n"/>
      <c r="D2" s="689" t="n"/>
      <c r="E2" s="689" t="n"/>
      <c r="F2" s="689" t="n"/>
      <c r="G2" s="689" t="n"/>
      <c r="H2" s="689" t="n"/>
      <c r="I2" s="689" t="n"/>
      <c r="J2" s="689" t="n"/>
      <c r="K2" s="689" t="n"/>
      <c r="L2" s="689" t="n"/>
      <c r="M2" s="689" t="n"/>
      <c r="N2" s="689" t="n"/>
      <c r="O2" s="689" t="n"/>
      <c r="P2" s="698" t="inlineStr">
        <is>
          <t>Additional notes</t>
        </is>
      </c>
      <c r="Q2" s="203" t="n"/>
      <c r="R2" s="103" t="n"/>
      <c r="X2" s="204" t="n"/>
      <c r="Y2" s="204" t="n"/>
    </row>
    <row r="3" ht="61.5" customFormat="1" customHeight="1" s="691"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699"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84" t="inlineStr">
        <is>
          <t>A. PRESENTATION OF THE SURVEY AND ELIGIBILITY CRITERIA SELECTION</t>
        </is>
      </c>
      <c r="B4" s="685" t="n"/>
      <c r="C4" s="685" t="n"/>
      <c r="D4" s="685" t="n"/>
      <c r="E4" s="685" t="n"/>
      <c r="F4" s="685" t="n"/>
      <c r="G4" s="685" t="n"/>
      <c r="H4" s="685" t="n"/>
      <c r="I4" s="685" t="n"/>
      <c r="J4" s="685" t="n"/>
      <c r="K4" s="685" t="n"/>
      <c r="L4" s="685" t="n"/>
      <c r="M4" s="685" t="n"/>
      <c r="N4" s="685" t="n"/>
      <c r="O4" s="685" t="n"/>
      <c r="P4" s="686"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t="inlineStr"/>
    </row>
    <row r="6" ht="17.15" customHeight="1">
      <c r="A6" s="70" t="inlineStr">
        <is>
          <t>NA</t>
        </is>
      </c>
      <c r="B6" s="142" t="inlineStr">
        <is>
          <t>phone_number</t>
        </is>
      </c>
      <c r="C6" s="108" t="inlineStr">
        <is>
          <t>phone_number</t>
        </is>
      </c>
      <c r="D6" s="518" t="inlineStr">
        <is>
          <t>Input the phone number that you are contacting:</t>
        </is>
      </c>
      <c r="E6" s="106">
        <f>LEN(D6)</f>
        <v/>
      </c>
      <c r="F6" s="519"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t="inlineStr">
        <is>
          <t>0</t>
        </is>
      </c>
    </row>
    <row r="7" ht="124.9" customHeight="1">
      <c r="A7" s="31" t="inlineStr">
        <is>
          <t>NA</t>
        </is>
      </c>
      <c r="B7" s="520" t="inlineStr">
        <is>
          <t>calldispo</t>
        </is>
      </c>
      <c r="C7" s="108" t="inlineStr">
        <is>
          <t>calldispo</t>
        </is>
      </c>
      <c r="D7" s="518" t="inlineStr">
        <is>
          <t>Phone number: #CATI_MOBILENUMBER#
1)Someone answers
2)Answering machine
3)No answer
4)Hang up or refusal
5)Call back
6)Under review
7)Disconnected</t>
        </is>
      </c>
      <c r="E7" s="521">
        <f>LEN(D7)</f>
        <v/>
      </c>
      <c r="F7" s="519" t="inlineStr">
        <is>
          <t>رقم الهاتف: #CATI_MOBILENUMBER#
1) يجيب شخص ما 
2) جهاز الرد الالي
3) لا جواب
4) إنهاء المكالمة أو الرفض
5) معاودة الاتصال
6) قيد المراجعة
7) قطع الاتصال</t>
        </is>
      </c>
      <c r="G7" s="521">
        <f>LEN(F7)</f>
        <v/>
      </c>
      <c r="H7" s="522" t="inlineStr">
        <is>
          <t>Single Choice</t>
        </is>
      </c>
      <c r="I7" s="521" t="inlineStr">
        <is>
          <t>NA</t>
        </is>
      </c>
      <c r="J7" s="521" t="inlineStr">
        <is>
          <t>NA</t>
        </is>
      </c>
      <c r="K7" s="521" t="inlineStr">
        <is>
          <t>Form Type - Buttons</t>
        </is>
      </c>
      <c r="L7" s="113" t="inlineStr">
        <is>
          <t>1 = resp_language
2 = AnsweringMachine
3 = NoAnswer
4 = Refusal
5 = WhenCallBack
6 = UnderReview
7 = Disconnected</t>
        </is>
      </c>
      <c r="M7" s="165" t="inlineStr">
        <is>
          <t>NA</t>
        </is>
      </c>
      <c r="N7" s="155" t="inlineStr">
        <is>
          <t>NA</t>
        </is>
      </c>
      <c r="O7" s="54" t="inlineStr"/>
      <c r="P7" s="9" t="n"/>
      <c r="Q7" s="203" t="n"/>
      <c r="R7" s="103" t="n"/>
      <c r="T7" s="145" t="inlineStr">
        <is>
          <t>no</t>
        </is>
      </c>
      <c r="X7" s="202" t="n">
        <v>14.69530773162842</v>
      </c>
      <c r="Y7" s="201">
        <f>IF(X7="","",X7*Q7)</f>
        <v/>
      </c>
      <c r="Z7" s="103" t="inlineStr"/>
    </row>
    <row r="8" ht="37.5" customHeight="1">
      <c r="A8" s="31" t="inlineStr">
        <is>
          <t>NA</t>
        </is>
      </c>
      <c r="B8" s="520" t="inlineStr">
        <is>
          <t>AnsweringMachine</t>
        </is>
      </c>
      <c r="C8" s="108" t="inlineStr">
        <is>
          <t>calldispo_answeringmachine</t>
        </is>
      </c>
      <c r="D8" s="523" t="inlineStr">
        <is>
          <t>Reached an answering machine.</t>
        </is>
      </c>
      <c r="E8" s="521">
        <f>LEN(D8)</f>
        <v/>
      </c>
      <c r="F8" s="524" t="inlineStr">
        <is>
          <t>لقد تم توجيهك إلى جهاز الرد الالي</t>
        </is>
      </c>
      <c r="G8" s="521">
        <f>LEN(F8)</f>
        <v/>
      </c>
      <c r="H8" s="522" t="inlineStr">
        <is>
          <t>NA</t>
        </is>
      </c>
      <c r="I8" s="522" t="inlineStr">
        <is>
          <t>NA</t>
        </is>
      </c>
      <c r="J8" s="522" t="inlineStr">
        <is>
          <t>NA</t>
        </is>
      </c>
      <c r="K8" s="522" t="inlineStr">
        <is>
          <t>NA</t>
        </is>
      </c>
      <c r="L8" s="164" t="inlineStr">
        <is>
          <t>End Poll AnsweringMachine</t>
        </is>
      </c>
      <c r="M8" s="165" t="inlineStr">
        <is>
          <t>NA</t>
        </is>
      </c>
      <c r="N8" s="163" t="inlineStr">
        <is>
          <t>NA</t>
        </is>
      </c>
      <c r="O8" s="55" t="inlineStr"/>
      <c r="P8" s="10" t="n"/>
      <c r="Q8" s="203" t="n"/>
      <c r="R8" s="103" t="n"/>
      <c r="T8" s="145" t="inlineStr">
        <is>
          <t>no</t>
        </is>
      </c>
      <c r="X8" s="202" t="n">
        <v>0</v>
      </c>
      <c r="Y8" s="201">
        <f>IF(X8="","",X8*Q8)</f>
        <v/>
      </c>
      <c r="Z8" s="103" t="inlineStr"/>
    </row>
    <row r="9" ht="37.5" customHeight="1">
      <c r="A9" s="31" t="inlineStr">
        <is>
          <t>NA</t>
        </is>
      </c>
      <c r="B9" s="520" t="inlineStr">
        <is>
          <t>NoAnswer</t>
        </is>
      </c>
      <c r="C9" s="108" t="inlineStr">
        <is>
          <t>calldispo_noanswer</t>
        </is>
      </c>
      <c r="D9" s="523" t="inlineStr">
        <is>
          <t>Phone rang and no one answered.</t>
        </is>
      </c>
      <c r="E9" s="521">
        <f>LEN(D9)</f>
        <v/>
      </c>
      <c r="F9" s="524" t="inlineStr">
        <is>
          <t>رن الهاتف ولم يرد أحد</t>
        </is>
      </c>
      <c r="G9" s="521">
        <f>LEN(F9)</f>
        <v/>
      </c>
      <c r="H9" s="522" t="inlineStr">
        <is>
          <t>NA</t>
        </is>
      </c>
      <c r="I9" s="522" t="inlineStr">
        <is>
          <t>NA</t>
        </is>
      </c>
      <c r="J9" s="522" t="inlineStr">
        <is>
          <t>NA</t>
        </is>
      </c>
      <c r="K9" s="522" t="inlineStr">
        <is>
          <t>NA</t>
        </is>
      </c>
      <c r="L9" s="164" t="inlineStr">
        <is>
          <t>End Poll NoAnswer</t>
        </is>
      </c>
      <c r="M9" s="165" t="inlineStr">
        <is>
          <t>NA</t>
        </is>
      </c>
      <c r="N9" s="163" t="inlineStr">
        <is>
          <t>NA</t>
        </is>
      </c>
      <c r="O9" s="55" t="inlineStr"/>
      <c r="P9" s="10" t="n"/>
      <c r="Q9" s="203" t="n"/>
      <c r="R9" s="103" t="n"/>
      <c r="T9" s="145" t="inlineStr">
        <is>
          <t>no</t>
        </is>
      </c>
      <c r="X9" s="202" t="n">
        <v>0</v>
      </c>
      <c r="Y9" s="201">
        <f>IF(X9="","",X9*Q9)</f>
        <v/>
      </c>
      <c r="Z9" s="103" t="inlineStr"/>
    </row>
    <row r="10" ht="37.5" customHeight="1">
      <c r="A10" s="31" t="inlineStr">
        <is>
          <t>NA</t>
        </is>
      </c>
      <c r="B10" s="520" t="inlineStr">
        <is>
          <t>UnderReview</t>
        </is>
      </c>
      <c r="C10" s="108" t="inlineStr">
        <is>
          <t>calldispo_underreview</t>
        </is>
      </c>
      <c r="D10" s="523" t="inlineStr">
        <is>
          <t>Case needs review by a supervisor.</t>
        </is>
      </c>
      <c r="E10" s="521">
        <f>LEN(D10)</f>
        <v/>
      </c>
      <c r="F10" s="524" t="inlineStr">
        <is>
          <t>الحالة تحتاج إلى مراجعة من قبل مشرف</t>
        </is>
      </c>
      <c r="G10" s="521">
        <f>LEN(F10)</f>
        <v/>
      </c>
      <c r="H10" s="522" t="inlineStr">
        <is>
          <t>NA</t>
        </is>
      </c>
      <c r="I10" s="522" t="inlineStr">
        <is>
          <t>NA</t>
        </is>
      </c>
      <c r="J10" s="522" t="inlineStr">
        <is>
          <t>NA</t>
        </is>
      </c>
      <c r="K10" s="522" t="inlineStr">
        <is>
          <t>NA</t>
        </is>
      </c>
      <c r="L10" s="164" t="inlineStr">
        <is>
          <t>End Poll UnderReview</t>
        </is>
      </c>
      <c r="M10" s="165" t="inlineStr">
        <is>
          <t>NA</t>
        </is>
      </c>
      <c r="N10" s="163" t="inlineStr">
        <is>
          <t>NA</t>
        </is>
      </c>
      <c r="O10" s="55" t="inlineStr"/>
      <c r="P10" s="10" t="n"/>
      <c r="Q10" s="203" t="n"/>
      <c r="R10" s="103" t="n"/>
      <c r="T10" s="145" t="inlineStr">
        <is>
          <t>no</t>
        </is>
      </c>
      <c r="X10" s="202" t="n">
        <v>0</v>
      </c>
      <c r="Y10" s="201">
        <f>IF(X10="","",X10*Q10)</f>
        <v/>
      </c>
      <c r="Z10" s="103" t="inlineStr"/>
    </row>
    <row r="11" ht="37.5" customHeight="1">
      <c r="A11" s="31" t="inlineStr">
        <is>
          <t>NA</t>
        </is>
      </c>
      <c r="B11" s="520" t="inlineStr">
        <is>
          <t>Disconnected</t>
        </is>
      </c>
      <c r="C11" s="108" t="inlineStr">
        <is>
          <t>calldispo_disconnected</t>
        </is>
      </c>
      <c r="D11" s="523" t="inlineStr">
        <is>
          <t>Phone was disconnected or out of service.</t>
        </is>
      </c>
      <c r="E11" s="521">
        <f>LEN(D11)</f>
        <v/>
      </c>
      <c r="F11" s="524" t="inlineStr">
        <is>
          <t>تم فصل الهاتف أو الهاتف خارج الخدمة</t>
        </is>
      </c>
      <c r="G11" s="521">
        <f>LEN(F11)</f>
        <v/>
      </c>
      <c r="H11" s="522" t="inlineStr">
        <is>
          <t>NA</t>
        </is>
      </c>
      <c r="I11" s="522" t="inlineStr">
        <is>
          <t>NA</t>
        </is>
      </c>
      <c r="J11" s="522" t="inlineStr">
        <is>
          <t>NA</t>
        </is>
      </c>
      <c r="K11" s="522" t="inlineStr">
        <is>
          <t>NA</t>
        </is>
      </c>
      <c r="L11" s="164" t="inlineStr">
        <is>
          <t>End Poll Disconnected</t>
        </is>
      </c>
      <c r="M11" s="165" t="inlineStr">
        <is>
          <t>NA</t>
        </is>
      </c>
      <c r="N11" s="163" t="inlineStr">
        <is>
          <t>NA</t>
        </is>
      </c>
      <c r="O11" s="55" t="inlineStr"/>
      <c r="P11" s="10" t="n"/>
      <c r="Q11" s="203" t="n"/>
      <c r="R11" s="103" t="n"/>
      <c r="T11" s="145" t="inlineStr">
        <is>
          <t>no</t>
        </is>
      </c>
      <c r="X11" s="202" t="n">
        <v>0</v>
      </c>
      <c r="Y11" s="201">
        <f>IF(X11="","",X11*Q11)</f>
        <v/>
      </c>
      <c r="Z11" s="103" t="inlineStr"/>
    </row>
    <row r="12" ht="73.40000000000001" customHeight="1">
      <c r="A12" s="31" t="inlineStr">
        <is>
          <t>NA</t>
        </is>
      </c>
      <c r="B12" s="520" t="inlineStr">
        <is>
          <t>resp_language</t>
        </is>
      </c>
      <c r="C12" s="108" t="inlineStr">
        <is>
          <t>resp_language</t>
        </is>
      </c>
      <c r="D12" s="424" t="inlineStr">
        <is>
          <t>Which language do you wish to proceed with?
[OPERATOR: READ ANSWER CHOICES. SINGLE RESPONSE.]
1)Arabic</t>
        </is>
      </c>
      <c r="E12" s="521">
        <f>LEN(D12)</f>
        <v/>
      </c>
      <c r="F12" s="383" t="inlineStr">
        <is>
          <t>ما هي اللغة التي ترغب في المتابعة بها؟
[المُشغل: اقرأ خيارات الإجابة. استجابة واحدة.]
1) عربي</t>
        </is>
      </c>
      <c r="G12" s="521">
        <f>LEN(F12)</f>
        <v/>
      </c>
      <c r="H12" s="522" t="inlineStr">
        <is>
          <t>Single Choice</t>
        </is>
      </c>
      <c r="I12" s="521" t="inlineStr">
        <is>
          <t>NA</t>
        </is>
      </c>
      <c r="J12" s="521" t="inlineStr">
        <is>
          <t>NA</t>
        </is>
      </c>
      <c r="K12" s="521" t="inlineStr">
        <is>
          <t>Form Type - Buttons</t>
        </is>
      </c>
      <c r="L12" s="113" t="inlineStr">
        <is>
          <t>1 = introduction [English]
2 = introduction [languages &amp; add more if needed]</t>
        </is>
      </c>
      <c r="M12" s="165" t="inlineStr">
        <is>
          <t>NA</t>
        </is>
      </c>
      <c r="N12" s="162" t="inlineStr">
        <is>
          <t>For any response, go to introduction</t>
        </is>
      </c>
      <c r="O12" s="56" t="inlineStr"/>
      <c r="P12" s="11" t="inlineStr">
        <is>
          <t>Arabic</t>
        </is>
      </c>
      <c r="Q12" s="203" t="n"/>
      <c r="R12" s="103" t="n"/>
      <c r="T12" s="145" t="inlineStr">
        <is>
          <t>no</t>
        </is>
      </c>
      <c r="X12" s="202" t="n">
        <v>3.103272438049316</v>
      </c>
      <c r="Y12" s="201">
        <f>IF(X12="","",X12*Q12)</f>
        <v/>
      </c>
      <c r="Z12" s="103" t="inlineStr"/>
    </row>
    <row r="13" ht="408.65" customHeight="1">
      <c r="A13" s="31" t="inlineStr">
        <is>
          <t>NA</t>
        </is>
      </c>
      <c r="B13" s="520" t="inlineStr">
        <is>
          <t>introduction</t>
        </is>
      </c>
      <c r="C13" s="108" t="inlineStr">
        <is>
          <t>introduction</t>
        </is>
      </c>
      <c r="D13" s="52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521">
        <f>LEN(D13)</f>
        <v/>
      </c>
      <c r="F13" s="383"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521">
        <f>LEN(F13)</f>
        <v/>
      </c>
      <c r="H13" s="522" t="inlineStr">
        <is>
          <t>Single Choice</t>
        </is>
      </c>
      <c r="I13" s="521" t="inlineStr">
        <is>
          <t>NA</t>
        </is>
      </c>
      <c r="J13" s="521" t="inlineStr">
        <is>
          <t>NA</t>
        </is>
      </c>
      <c r="K13" s="521" t="inlineStr">
        <is>
          <t>Form Type - Buttons</t>
        </is>
      </c>
      <c r="L13" s="113" t="inlineStr">
        <is>
          <t>1 = Agree</t>
        </is>
      </c>
      <c r="M13" s="165" t="inlineStr">
        <is>
          <t>NA</t>
        </is>
      </c>
      <c r="N13" s="162" t="inlineStr">
        <is>
          <t>For any response, go to Agree</t>
        </is>
      </c>
      <c r="O13" s="56" t="inlineStr"/>
      <c r="P13" s="11" t="n">
        <v>0</v>
      </c>
      <c r="Q13" s="203" t="n"/>
      <c r="R13" s="103" t="n"/>
      <c r="T13" s="145" t="inlineStr">
        <is>
          <t>no</t>
        </is>
      </c>
      <c r="X13" s="202" t="n">
        <v>37.41844940185547</v>
      </c>
      <c r="Y13" s="201">
        <f>IF(X13="","",X13*Q13)</f>
        <v/>
      </c>
      <c r="Z13" s="103" t="inlineStr"/>
    </row>
    <row r="14" ht="109.4" customFormat="1" customHeight="1" s="109">
      <c r="A14" s="31" t="inlineStr">
        <is>
          <t>NA</t>
        </is>
      </c>
      <c r="B14" s="520" t="inlineStr">
        <is>
          <t>Agree</t>
        </is>
      </c>
      <c r="C14" s="108" t="inlineStr">
        <is>
          <t>resp_agree</t>
        </is>
      </c>
      <c r="D14" s="518" t="inlineStr">
        <is>
          <t>Are you interested in participating in this survey?
[OPERATOR: SINGLE RESPONSE]
1)Yes 
2)Not now but another time in the week 
3)No</t>
        </is>
      </c>
      <c r="E14" s="521">
        <f>LEN(D14)</f>
        <v/>
      </c>
      <c r="F14" s="383" t="inlineStr">
        <is>
          <t>هل لديك رغبة في بالمشاركة في هذه الدراسة؟
[المشغل: استجابة واحدة]
1) نعم
2) ليس الآن ولكن في وقت آخر في الأسبوع
3) لا</t>
        </is>
      </c>
      <c r="G14" s="521">
        <f>LEN(F14)</f>
        <v/>
      </c>
      <c r="H14" s="522" t="inlineStr">
        <is>
          <t>StartRecording</t>
        </is>
      </c>
      <c r="I14" s="521" t="inlineStr">
        <is>
          <t>NA</t>
        </is>
      </c>
      <c r="J14" s="521" t="inlineStr">
        <is>
          <t>NA</t>
        </is>
      </c>
      <c r="K14" s="521" t="inlineStr">
        <is>
          <t>Form Type - Buttons</t>
        </is>
      </c>
      <c r="L14" s="113" t="inlineStr">
        <is>
          <t>1 = [id_panel OR resp_firstname]
2 = WhenCallBack
3 = resp_refusalwhy</t>
        </is>
      </c>
      <c r="M14" s="165" t="inlineStr">
        <is>
          <t>NA</t>
        </is>
      </c>
      <c r="N14" s="113" t="inlineStr">
        <is>
          <t>if Agree = 1, go to id_panel OR resp_firstname
if Agree = 2, go to WhenCallBack
if Agree = 3, go to resp_refusalwhy</t>
        </is>
      </c>
      <c r="O14" s="38" t="inlineStr">
        <is>
          <t>id_panel</t>
        </is>
      </c>
      <c r="P14" s="9" t="n"/>
      <c r="Q14" s="203" t="n">
        <v>1</v>
      </c>
      <c r="R14" s="103" t="n"/>
      <c r="T14" s="145" t="inlineStr">
        <is>
          <t>no</t>
        </is>
      </c>
      <c r="U14" s="694" t="n"/>
      <c r="X14" s="202" t="n">
        <v>3.805951595306396</v>
      </c>
      <c r="Y14" s="201">
        <f>IF(X14="","",X14*Q14)</f>
        <v/>
      </c>
      <c r="Z14" s="103" t="inlineStr"/>
    </row>
    <row r="15" ht="124.9" customFormat="1" customHeight="1" s="109">
      <c r="A15" s="13" t="inlineStr">
        <is>
          <t>NA</t>
        </is>
      </c>
      <c r="B15" s="526" t="inlineStr">
        <is>
          <t>id_panel</t>
        </is>
      </c>
      <c r="C15" s="16" t="inlineStr">
        <is>
          <t>id_panel</t>
        </is>
      </c>
      <c r="D15" s="527" t="inlineStr">
        <is>
          <t>Have you or any member of your household received a call on behalf of FAO regarding this topic in the past two years?
[OPERATOR: SINGLE RESPONSE.]
1)YES
2)NO
3)DON'T KNOW</t>
        </is>
      </c>
      <c r="E15" s="528">
        <f>LEN(D15)</f>
        <v/>
      </c>
      <c r="F15" s="529"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15">
        <f>LEN(F15)</f>
        <v/>
      </c>
      <c r="H15" s="530" t="inlineStr">
        <is>
          <t>Single Choice</t>
        </is>
      </c>
      <c r="I15" s="528" t="inlineStr">
        <is>
          <t>NA</t>
        </is>
      </c>
      <c r="J15" s="528" t="inlineStr">
        <is>
          <t>NA</t>
        </is>
      </c>
      <c r="K15" s="528" t="inlineStr">
        <is>
          <t>Form Type - Buttons</t>
        </is>
      </c>
      <c r="L15" s="23" t="inlineStr">
        <is>
          <t>1-3 = resp_firstname</t>
        </is>
      </c>
      <c r="M15" s="53" t="inlineStr">
        <is>
          <t>NA</t>
        </is>
      </c>
      <c r="N15" s="23" t="inlineStr">
        <is>
          <t>For any response, go to resp_firstname</t>
        </is>
      </c>
      <c r="O15" s="23" t="inlineStr"/>
      <c r="P15" s="44" t="inlineStr">
        <is>
          <t xml:space="preserve">It is highly recommended to include the question id_panel if a panelist approach is used. </t>
        </is>
      </c>
      <c r="Q15" s="203" t="n">
        <v>1</v>
      </c>
      <c r="R15" s="103" t="n"/>
      <c r="T15" s="145" t="inlineStr">
        <is>
          <t>no</t>
        </is>
      </c>
      <c r="U15" s="694" t="n"/>
      <c r="X15" s="202" t="n"/>
      <c r="Y15" s="202" t="n"/>
      <c r="Z15" s="103" t="inlineStr"/>
    </row>
    <row r="16" ht="109.4" customFormat="1" customHeight="1" s="109">
      <c r="A16" s="31" t="inlineStr">
        <is>
          <t>NA</t>
        </is>
      </c>
      <c r="B16" s="520" t="inlineStr">
        <is>
          <t>resp_refusalwhy</t>
        </is>
      </c>
      <c r="C16" s="108" t="inlineStr">
        <is>
          <t>resp_refusalwhy</t>
        </is>
      </c>
      <c r="D16" s="531" t="inlineStr">
        <is>
          <t>Please let us know why you have REFUSED to take the survey.
[OPERATOR: SINGLE RESPONSE]
1)Not interested
2)Do not want to be recorded
3)Other [specify]</t>
        </is>
      </c>
      <c r="E16" s="521">
        <f>LEN(D16)</f>
        <v/>
      </c>
      <c r="F16" s="532" t="inlineStr">
        <is>
          <t>يرجى إخبارنا سبب رفضك للمشاركة في هذه الدراسة.
[المشغل: استجابة واحدة]
1) غير مهتم
2) لا أريد أن يتم تسجيلي
3) آخر [حدد]</t>
        </is>
      </c>
      <c r="G16" s="521">
        <f>LEN(F16)</f>
        <v/>
      </c>
      <c r="H16" s="522" t="inlineStr">
        <is>
          <t>Open Ended - Single Choice</t>
        </is>
      </c>
      <c r="I16" s="521" t="inlineStr">
        <is>
          <t>NA</t>
        </is>
      </c>
      <c r="J16" s="521" t="inlineStr">
        <is>
          <t>NA</t>
        </is>
      </c>
      <c r="K16" s="521" t="inlineStr">
        <is>
          <t>Form Type - RadioList</t>
        </is>
      </c>
      <c r="L16" s="113" t="inlineStr">
        <is>
          <t>Any Response = Refusal</t>
        </is>
      </c>
      <c r="M16" s="165" t="inlineStr">
        <is>
          <t>NA</t>
        </is>
      </c>
      <c r="N16" s="113" t="inlineStr">
        <is>
          <t>For any response, go to Refusal</t>
        </is>
      </c>
      <c r="O16" s="57" t="inlineStr"/>
      <c r="P16" s="9" t="n"/>
      <c r="Q16" s="203" t="n">
        <v>1</v>
      </c>
      <c r="R16" s="103" t="n"/>
      <c r="T16" s="111" t="inlineStr">
        <is>
          <t>no</t>
        </is>
      </c>
      <c r="U16" s="694" t="n"/>
      <c r="X16" s="202" t="n">
        <v>0</v>
      </c>
      <c r="Y16" s="201">
        <f>IF(X16="","",X16*Q16)</f>
        <v/>
      </c>
      <c r="Z16" s="103" t="inlineStr"/>
    </row>
    <row r="17" ht="46.9" customFormat="1" customHeight="1" s="109">
      <c r="A17" s="31" t="inlineStr">
        <is>
          <t>NA</t>
        </is>
      </c>
      <c r="B17" s="520" t="inlineStr">
        <is>
          <t>WhenCallBack</t>
        </is>
      </c>
      <c r="C17" s="108" t="inlineStr">
        <is>
          <t>resp_whencallback</t>
        </is>
      </c>
      <c r="D17" s="518" t="inlineStr">
        <is>
          <t>When would it be a good time to call you back?
[RECORD HH/MM/DD/MM OF CALLBACK]</t>
        </is>
      </c>
      <c r="E17" s="521">
        <f>LEN(D17)</f>
        <v/>
      </c>
      <c r="F17" s="533" t="inlineStr">
        <is>
          <t>ما هو التاريخ / الوقت المناسب لمعاودة الاتصال بك؟
[RECORD HH / MM / DD / MM of CALLBACK]</t>
        </is>
      </c>
      <c r="G17" s="521">
        <f>LEN(F17)</f>
        <v/>
      </c>
      <c r="H17" s="522" t="inlineStr">
        <is>
          <t>Open Ended</t>
        </is>
      </c>
      <c r="I17" s="521" t="inlineStr">
        <is>
          <t>NA</t>
        </is>
      </c>
      <c r="J17" s="521" t="inlineStr">
        <is>
          <t>NA</t>
        </is>
      </c>
      <c r="K17" s="521" t="inlineStr">
        <is>
          <t>Form Type - TextBox
IsCallBackDemographic</t>
        </is>
      </c>
      <c r="L17" s="113" t="inlineStr">
        <is>
          <t>Any Response = CallbackMessageEN</t>
        </is>
      </c>
      <c r="M17" s="165" t="inlineStr">
        <is>
          <t>NA</t>
        </is>
      </c>
      <c r="N17" s="113" t="inlineStr">
        <is>
          <t>For any response, go to CallbackMessageEN</t>
        </is>
      </c>
      <c r="O17" s="57" t="inlineStr"/>
      <c r="P17" s="9" t="n"/>
      <c r="Q17" s="203" t="n">
        <v>1</v>
      </c>
      <c r="R17" s="103" t="n"/>
      <c r="T17" s="111" t="inlineStr">
        <is>
          <t>no</t>
        </is>
      </c>
      <c r="U17" s="694" t="n"/>
      <c r="X17" s="202" t="n">
        <v>0</v>
      </c>
      <c r="Y17" s="201">
        <f>IF(X17="","",X17*Q17)</f>
        <v/>
      </c>
      <c r="Z17" s="103" t="inlineStr"/>
    </row>
    <row r="18" ht="78" customFormat="1" customHeight="1" s="109">
      <c r="A18" s="31" t="inlineStr">
        <is>
          <t>NA</t>
        </is>
      </c>
      <c r="B18" s="520" t="inlineStr">
        <is>
          <t>CallbackMessageEN</t>
        </is>
      </c>
      <c r="C18" s="108" t="inlineStr">
        <is>
          <t>callbackmessage_en</t>
        </is>
      </c>
      <c r="D18" s="518" t="inlineStr">
        <is>
          <t>Thank you, we will call you back at {WhenCallBack} you requested. Thank you again and have a great day!
[OPERATOR: ENTER CALL NOTES BELOW, WHO YOU SPOKE TO AND WHAT THEY SAID]</t>
        </is>
      </c>
      <c r="E18" s="521">
        <f>LEN(D18)</f>
        <v/>
      </c>
      <c r="F18" s="519"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521">
        <f>LEN(F18)</f>
        <v/>
      </c>
      <c r="H18" s="522" t="inlineStr">
        <is>
          <t>Open Ended</t>
        </is>
      </c>
      <c r="I18" s="521" t="inlineStr">
        <is>
          <t>NA</t>
        </is>
      </c>
      <c r="J18" s="521" t="inlineStr">
        <is>
          <t>NA</t>
        </is>
      </c>
      <c r="K18" s="521" t="inlineStr">
        <is>
          <t>Form Type - TextBox</t>
        </is>
      </c>
      <c r="L18" s="113" t="inlineStr">
        <is>
          <t>Any Response = End poll callback</t>
        </is>
      </c>
      <c r="M18" s="165" t="inlineStr">
        <is>
          <t>NA</t>
        </is>
      </c>
      <c r="N18" s="155" t="inlineStr">
        <is>
          <t>NA</t>
        </is>
      </c>
      <c r="O18" s="54" t="inlineStr"/>
      <c r="P18" s="9" t="n"/>
      <c r="Q18" s="203" t="n">
        <v>1</v>
      </c>
      <c r="R18" s="103" t="n"/>
      <c r="T18" s="111" t="inlineStr">
        <is>
          <t>no</t>
        </is>
      </c>
      <c r="U18" s="694" t="n"/>
      <c r="X18" s="202" t="n">
        <v>0</v>
      </c>
      <c r="Y18" s="201">
        <f>IF(X18="","",X18*Q18)</f>
        <v/>
      </c>
      <c r="Z18" s="103" t="inlineStr"/>
    </row>
    <row r="19" ht="50.25" customFormat="1" customHeight="1" s="109">
      <c r="A19" s="31" t="inlineStr">
        <is>
          <t>NA</t>
        </is>
      </c>
      <c r="B19" s="520" t="inlineStr">
        <is>
          <t>Ineligible</t>
        </is>
      </c>
      <c r="C19" s="108" t="inlineStr">
        <is>
          <t>NA</t>
        </is>
      </c>
      <c r="D19" s="518" t="inlineStr">
        <is>
          <t>You are ineligible for this survey. Thank you for your time and please look out for future surveys!</t>
        </is>
      </c>
      <c r="E19" s="521">
        <f>LEN(D19)</f>
        <v/>
      </c>
      <c r="F19" s="519" t="inlineStr">
        <is>
          <t>أنت غير مؤهل للمشاركة في هذه الدراسة، شكرًا لك على وقتك. ترقب دراسات GeoPoll المستقبلية!</t>
        </is>
      </c>
      <c r="G19" s="521">
        <f>LEN(F19)</f>
        <v/>
      </c>
      <c r="H19" s="522" t="inlineStr">
        <is>
          <t>NA</t>
        </is>
      </c>
      <c r="I19" s="521" t="inlineStr">
        <is>
          <t>NA</t>
        </is>
      </c>
      <c r="J19" s="521" t="inlineStr">
        <is>
          <t>NA</t>
        </is>
      </c>
      <c r="K19" s="521" t="inlineStr">
        <is>
          <t>NA</t>
        </is>
      </c>
      <c r="L19" s="113" t="inlineStr">
        <is>
          <t>End Poll Ineligible</t>
        </is>
      </c>
      <c r="M19" s="165" t="inlineStr">
        <is>
          <t>NA</t>
        </is>
      </c>
      <c r="N19" s="155" t="inlineStr">
        <is>
          <t>NA</t>
        </is>
      </c>
      <c r="O19" s="54" t="inlineStr"/>
      <c r="P19" s="9" t="n"/>
      <c r="Q19" s="203" t="n">
        <v>1</v>
      </c>
      <c r="R19" s="103" t="n"/>
      <c r="T19" s="111" t="inlineStr">
        <is>
          <t>no</t>
        </is>
      </c>
      <c r="U19" s="694" t="n"/>
      <c r="X19" s="202" t="n">
        <v>0</v>
      </c>
      <c r="Y19" s="201">
        <f>IF(X19="","",X19*Q19)</f>
        <v/>
      </c>
      <c r="Z19" s="103" t="inlineStr"/>
    </row>
    <row r="20" ht="50.25" customFormat="1" customHeight="1" s="109" thickBot="1">
      <c r="A20" s="255" t="inlineStr">
        <is>
          <t>NA</t>
        </is>
      </c>
      <c r="B20" s="161" t="inlineStr">
        <is>
          <t>Refusal</t>
        </is>
      </c>
      <c r="C20" s="160" t="inlineStr">
        <is>
          <t>NA</t>
        </is>
      </c>
      <c r="D20" s="159" t="inlineStr">
        <is>
          <t>Thank you for your time, you will be removed from today's survey.</t>
        </is>
      </c>
      <c r="E20" s="157">
        <f>LEN(D20)</f>
        <v/>
      </c>
      <c r="F20" s="384" t="inlineStr">
        <is>
          <t>شكراً جزيلاً على وقتك، سنقوم بحذف إسمك من دراسة اليوم.</t>
        </is>
      </c>
      <c r="G20" s="157">
        <f>LEN(F20)</f>
        <v/>
      </c>
      <c r="H20" s="158" t="inlineStr">
        <is>
          <t>NA</t>
        </is>
      </c>
      <c r="I20" s="157" t="inlineStr">
        <is>
          <t>NA</t>
        </is>
      </c>
      <c r="J20" s="157" t="inlineStr">
        <is>
          <t>NA</t>
        </is>
      </c>
      <c r="K20" s="157" t="inlineStr">
        <is>
          <t>NA</t>
        </is>
      </c>
      <c r="L20" s="156" t="inlineStr">
        <is>
          <t>End poll declined</t>
        </is>
      </c>
      <c r="M20" s="165" t="inlineStr">
        <is>
          <t>NA</t>
        </is>
      </c>
      <c r="N20" s="155" t="inlineStr">
        <is>
          <t>NA</t>
        </is>
      </c>
      <c r="O20" s="58" t="inlineStr"/>
      <c r="P20" s="12" t="n"/>
      <c r="Q20" s="203" t="n">
        <v>1</v>
      </c>
      <c r="R20" s="103" t="n"/>
      <c r="T20" s="111" t="inlineStr">
        <is>
          <t>no</t>
        </is>
      </c>
      <c r="U20" s="694" t="n"/>
      <c r="X20" s="202" t="n">
        <v>0</v>
      </c>
      <c r="Y20" s="201">
        <f>IF(X20="","",X20*Q20)</f>
        <v/>
      </c>
      <c r="Z20" s="103" t="inlineStr"/>
    </row>
    <row r="21" ht="16.4" customFormat="1" customHeight="1" s="310" thickBot="1">
      <c r="A21" s="684" t="inlineStr">
        <is>
          <t>B. GENERAL INFORMATION &amp; ELIGIBILITY CRITERIA</t>
        </is>
      </c>
      <c r="B21" s="685" t="n"/>
      <c r="C21" s="685" t="n"/>
      <c r="D21" s="685" t="n"/>
      <c r="E21" s="685" t="n"/>
      <c r="F21" s="685" t="n"/>
      <c r="G21" s="685" t="n"/>
      <c r="H21" s="685" t="n"/>
      <c r="I21" s="685" t="n"/>
      <c r="J21" s="685" t="n"/>
      <c r="K21" s="685" t="n"/>
      <c r="L21" s="685" t="n"/>
      <c r="M21" s="685" t="n"/>
      <c r="N21" s="685" t="n"/>
      <c r="O21" s="685" t="n"/>
      <c r="P21" s="686" t="n"/>
      <c r="Q21" s="198" t="n"/>
      <c r="R21" s="315" t="n"/>
      <c r="T21" s="313" t="n"/>
      <c r="U21" s="316" t="n"/>
      <c r="X21" s="201" t="n"/>
      <c r="Y21" s="201">
        <f>IF(X21="","",X21*Q21)</f>
        <v/>
      </c>
      <c r="Z21" s="315">
        <f>IF(T21="yes",Y21,"")</f>
        <v/>
      </c>
    </row>
    <row r="22" ht="68.25" customFormat="1" customHeight="1" s="109">
      <c r="A22" s="254" t="inlineStr">
        <is>
          <t>NA</t>
        </is>
      </c>
      <c r="B22" s="154" t="inlineStr">
        <is>
          <t>resp_firstname</t>
        </is>
      </c>
      <c r="C22" s="149" t="inlineStr">
        <is>
          <t>resp_firstname</t>
        </is>
      </c>
      <c r="D22" s="153" t="inlineStr">
        <is>
          <t>What is your first name?
[OPERATOR: RECORD THE RESPONDENT'S FIRST NAME. ENTER 999 FOR REFUSED.]</t>
        </is>
      </c>
      <c r="E22" s="534">
        <f>LEN(D22)</f>
        <v/>
      </c>
      <c r="F22" s="385" t="inlineStr">
        <is>
          <t>ما اسمك؟
[المُشغل: سجل اسم المجيب. أدخل 999 في حالة الرفض.]</t>
        </is>
      </c>
      <c r="G22" s="534">
        <f>LEN(F22)</f>
        <v/>
      </c>
      <c r="H22" s="535" t="inlineStr">
        <is>
          <t>Open Ended</t>
        </is>
      </c>
      <c r="I22" s="534" t="inlineStr">
        <is>
          <t>NA</t>
        </is>
      </c>
      <c r="J22" s="534" t="inlineStr">
        <is>
          <t>NA</t>
        </is>
      </c>
      <c r="K22" s="534" t="inlineStr">
        <is>
          <t>Form Type - TextBox</t>
        </is>
      </c>
      <c r="L22" s="152" t="inlineStr">
        <is>
          <t>Any Response = resp_lastname</t>
        </is>
      </c>
      <c r="M22" s="165" t="inlineStr">
        <is>
          <t>NA</t>
        </is>
      </c>
      <c r="N22" s="153" t="inlineStr">
        <is>
          <t>For any response, go to resp_lastname</t>
        </is>
      </c>
      <c r="O22" s="151" t="inlineStr"/>
      <c r="P22" s="41" t="n"/>
      <c r="Q22" s="198">
        <f>1</f>
        <v/>
      </c>
      <c r="R22" s="103" t="n"/>
      <c r="T22" s="313" t="inlineStr">
        <is>
          <t>yes</t>
        </is>
      </c>
      <c r="U22" s="694" t="n"/>
      <c r="X22" s="201" t="n">
        <v>25.87402725219727</v>
      </c>
      <c r="Y22" s="201">
        <f>IF(X22="","",X22*Q22)</f>
        <v/>
      </c>
      <c r="Z22" s="103" t="inlineStr">
        <is>
          <t>25.87402725219727</t>
        </is>
      </c>
    </row>
    <row r="23" ht="62.65" customFormat="1" customHeight="1" s="109">
      <c r="A23" s="31" t="inlineStr">
        <is>
          <t>NA</t>
        </is>
      </c>
      <c r="B23" s="154" t="inlineStr">
        <is>
          <t>resp_lastname</t>
        </is>
      </c>
      <c r="C23" s="149" t="inlineStr">
        <is>
          <t>resp_lastname</t>
        </is>
      </c>
      <c r="D23" s="153" t="inlineStr">
        <is>
          <t>What is your last name? 
[OPERATOR: RECORD THE RESPONDENT'S LAST NAME. ENTER 999 FOR REFUSED.]</t>
        </is>
      </c>
      <c r="E23" s="534">
        <f>LEN(D23)</f>
        <v/>
      </c>
      <c r="F23" s="385" t="inlineStr">
        <is>
          <t>ما هو اسم عائلتك؟
[المُشغل: سجل اسم عائلة المجيب. أدخل 999 في حالة الرفض.]</t>
        </is>
      </c>
      <c r="G23" s="534">
        <f>LEN(F23)</f>
        <v/>
      </c>
      <c r="H23" s="535" t="inlineStr">
        <is>
          <t>Open Ended</t>
        </is>
      </c>
      <c r="I23" s="534" t="inlineStr">
        <is>
          <t>NA</t>
        </is>
      </c>
      <c r="J23" s="534" t="inlineStr">
        <is>
          <t>NA</t>
        </is>
      </c>
      <c r="K23" s="534" t="inlineStr">
        <is>
          <t>Form Type - TextBox</t>
        </is>
      </c>
      <c r="L23" s="152" t="inlineStr">
        <is>
          <t>Any Response = resp_age</t>
        </is>
      </c>
      <c r="M23" s="165" t="inlineStr">
        <is>
          <t>NA</t>
        </is>
      </c>
      <c r="N23" s="125" t="inlineStr">
        <is>
          <t>For any response, go to resp_age</t>
        </is>
      </c>
      <c r="O23" s="151" t="inlineStr"/>
      <c r="P23" s="41" t="n"/>
      <c r="Q23" s="198">
        <f>1</f>
        <v/>
      </c>
      <c r="R23" s="103" t="n"/>
      <c r="T23" s="313" t="inlineStr">
        <is>
          <t>yes</t>
        </is>
      </c>
      <c r="U23" s="694" t="n"/>
      <c r="X23" s="201" t="n">
        <v>8.599481582641602</v>
      </c>
      <c r="Y23" s="201">
        <f>IF(X23="","",X23*Q23)</f>
        <v/>
      </c>
      <c r="Z23" s="103" t="inlineStr">
        <is>
          <t>8.599481582641602</t>
        </is>
      </c>
    </row>
    <row r="24" ht="78" customFormat="1" customHeight="1" s="109">
      <c r="A24" s="70" t="n">
        <v>1</v>
      </c>
      <c r="B24" s="189" t="inlineStr">
        <is>
          <t>resp_age</t>
        </is>
      </c>
      <c r="C24" s="150" t="inlineStr">
        <is>
          <t>resp_age</t>
        </is>
      </c>
      <c r="D24" s="107" t="inlineStr">
        <is>
          <t>How old are you? 
[OPERATOR: RECORD AGE IN NUMBER OF YEARS. ROUND UP TO NEAREST WHOLE NUMBER. IF THE RESPONDENT GIVES BIRTH YEAR, REPEAT THE QUESTION. ENTER 00 FOR DON'T KNOW.]</t>
        </is>
      </c>
      <c r="E24" s="149">
        <f>LEN(D24)</f>
        <v/>
      </c>
      <c r="F24" s="386" t="inlineStr">
        <is>
          <t>كم عمرك؟
[المُشغل: سجل العمر في عدد السنوات. قم بالتقريب لأقرب رقم كامل. إذا أعطى المجيب سنة الميلاد ، فكرر السؤال. أدخل 00 للا أعرف.]</t>
        </is>
      </c>
      <c r="G24" s="149">
        <f>LEN(F24)</f>
        <v/>
      </c>
      <c r="H24" s="149" t="inlineStr">
        <is>
          <t>Range</t>
        </is>
      </c>
      <c r="I24" s="149" t="inlineStr">
        <is>
          <t>NA</t>
        </is>
      </c>
      <c r="J24" s="149" t="inlineStr">
        <is>
          <t>NA</t>
        </is>
      </c>
      <c r="K24" s="149" t="inlineStr">
        <is>
          <t>Form Type - TextBox</t>
        </is>
      </c>
      <c r="L24" s="105" t="inlineStr">
        <is>
          <t>0-17 = Ineligible
18-100 = resp_gender
00 = Ineligible</t>
        </is>
      </c>
      <c r="M24" s="165" t="inlineStr">
        <is>
          <t>NA</t>
        </is>
      </c>
      <c r="N24" s="148" t="inlineStr">
        <is>
          <t>Only respondents from 18-100 will be eligible for the survey.</t>
        </is>
      </c>
      <c r="O24" s="147" t="inlineStr"/>
      <c r="P24" s="41" t="n"/>
      <c r="Q24" s="198">
        <f>1</f>
        <v/>
      </c>
      <c r="R24" s="103" t="n"/>
      <c r="T24" s="319" t="inlineStr">
        <is>
          <t>yes</t>
        </is>
      </c>
      <c r="U24" s="694" t="n"/>
      <c r="X24" s="201" t="n">
        <v>9.890718460083008</v>
      </c>
      <c r="Y24" s="201">
        <f>IF(X24="","",X24*Q24)</f>
        <v/>
      </c>
      <c r="Z24" s="103" t="inlineStr">
        <is>
          <t>9.890718460083008</t>
        </is>
      </c>
    </row>
    <row r="25" ht="140.65" customFormat="1" customHeight="1" s="109">
      <c r="A25" s="70">
        <f>A24+1</f>
        <v/>
      </c>
      <c r="B25" s="520" t="inlineStr">
        <is>
          <t>resp_gender</t>
        </is>
      </c>
      <c r="C25" s="108" t="inlineStr">
        <is>
          <t>resp_gender</t>
        </is>
      </c>
      <c r="D25" s="518" t="inlineStr">
        <is>
          <t>What is the gender of the respondent?
[OPERATOR: DO NOT ASK THIS QUESTION OUT LOUD. LISTEN TO THE VOICE AND SELECT THE GENDER.]
1)Male
2)Female
3)DON'T KNOW
4)REFUSED</t>
        </is>
      </c>
      <c r="E25" s="521">
        <f>LEN(D25)</f>
        <v/>
      </c>
      <c r="F25" s="519" t="inlineStr">
        <is>
          <t>ما هو جنس المجيب؟
[المُشغل: لا تطرح هذا السؤال. استمع إلى الصوت وحدد المربع الصحيح.]
1) ذكر
2) أنثى
3) لا أعرف
4) رفض الإجابة</t>
        </is>
      </c>
      <c r="G25" s="521">
        <f>LEN(F25)</f>
        <v/>
      </c>
      <c r="H25" s="522" t="inlineStr">
        <is>
          <t>Single Choice</t>
        </is>
      </c>
      <c r="I25" s="521" t="inlineStr">
        <is>
          <t>NA</t>
        </is>
      </c>
      <c r="J25" s="521" t="inlineStr">
        <is>
          <t>NA</t>
        </is>
      </c>
      <c r="K25" s="521" t="inlineStr">
        <is>
          <t>Form Type - Buttons</t>
        </is>
      </c>
      <c r="L25" s="113" t="inlineStr">
        <is>
          <t>1-4 = phone_number_conf</t>
        </is>
      </c>
      <c r="M25" s="165" t="inlineStr">
        <is>
          <t>NA</t>
        </is>
      </c>
      <c r="N25" s="105" t="inlineStr">
        <is>
          <t>For any response, go to phone_number_conf</t>
        </is>
      </c>
      <c r="O25" s="59" t="inlineStr"/>
      <c r="P25" s="9" t="n"/>
      <c r="Q25" s="198">
        <f>1</f>
        <v/>
      </c>
      <c r="R25" s="103" t="n"/>
      <c r="T25" s="319" t="inlineStr">
        <is>
          <t>yes</t>
        </is>
      </c>
      <c r="U25" s="694" t="n"/>
      <c r="X25" s="201" t="n">
        <v>1.715648174285889</v>
      </c>
      <c r="Y25" s="201">
        <f>IF(X25="","",X25*Q25)</f>
        <v/>
      </c>
      <c r="Z25" s="103" t="inlineStr">
        <is>
          <t>1.715648174285889</t>
        </is>
      </c>
    </row>
    <row r="26" customFormat="1" s="109">
      <c r="A26" s="70" t="n"/>
      <c r="B26" s="192" t="n"/>
      <c r="C26" s="71" t="n"/>
      <c r="D26" s="91" t="n"/>
      <c r="E26" s="536" t="n"/>
      <c r="F26" s="536" t="n"/>
      <c r="G26" s="536" t="n"/>
      <c r="H26" s="537" t="n"/>
      <c r="I26" s="536" t="n"/>
      <c r="J26" s="536" t="n"/>
      <c r="K26" s="536" t="n"/>
      <c r="L26" s="59" t="n"/>
      <c r="M26" s="59" t="n"/>
      <c r="N26" s="59" t="n"/>
      <c r="O26" s="59" t="n"/>
      <c r="P26" s="9" t="n"/>
      <c r="Q26" s="203">
        <f>1</f>
        <v/>
      </c>
      <c r="R26" s="103" t="n"/>
      <c r="T26" s="145" t="n"/>
      <c r="U26" s="694" t="n"/>
      <c r="X26" s="202" t="n"/>
      <c r="Y26" s="202">
        <f>IF(X26="","",X26*Q26)</f>
        <v/>
      </c>
      <c r="Z26" s="103">
        <f>IF(T26="yes",Y26,"")</f>
        <v/>
      </c>
    </row>
    <row r="27" ht="135.65" customFormat="1" customHeight="1" s="213">
      <c r="A27" s="253" t="n"/>
      <c r="B27" s="220" t="inlineStr">
        <is>
          <t>phone_number_conf</t>
        </is>
      </c>
      <c r="C27" s="221" t="inlineStr">
        <is>
          <t>phone_number_conf</t>
        </is>
      </c>
      <c r="D27" s="222" t="inlineStr">
        <is>
          <t>Is the phone number I am calling you on yours or a household members?
[OPERATOR: SINGLE RESPONSE.]
1)YES
2)NO
3)DON'T KNOW
4)REFUSED</t>
        </is>
      </c>
      <c r="E27" s="538">
        <f>LEN(D27)</f>
        <v/>
      </c>
      <c r="F27" s="264" t="inlineStr">
        <is>
          <t>هل رقم الهاتف الذي أتصل به هو رقمك أو رقم أحد أفراد أسرتك؟
[المشغل: استجابة واحدة.]
1) نعم
2) لا
3) لا أعرف
4) رفض الإجابة</t>
        </is>
      </c>
      <c r="G27" s="538">
        <f>LEN(F27)</f>
        <v/>
      </c>
      <c r="H27" s="539" t="inlineStr">
        <is>
          <t>Single Choice</t>
        </is>
      </c>
      <c r="I27" s="538" t="inlineStr">
        <is>
          <t>NA</t>
        </is>
      </c>
      <c r="J27" s="538" t="inlineStr">
        <is>
          <t>NA</t>
        </is>
      </c>
      <c r="K27" s="538" t="inlineStr">
        <is>
          <t>Form Type - Buttons</t>
        </is>
      </c>
      <c r="L27" s="223" t="inlineStr">
        <is>
          <t>1 = contact_2
2 = phone_number_personal
3-4 = contact_2</t>
        </is>
      </c>
      <c r="M27" s="165" t="inlineStr">
        <is>
          <t>NA</t>
        </is>
      </c>
      <c r="N27" s="223" t="inlineStr">
        <is>
          <t>if phone_number_conf = 1, go to contact_2
if phone_number_conf = 2, go to phone_number_personal
if phone_number_conf = 3-4, go to contact_2</t>
        </is>
      </c>
      <c r="O27" s="224" t="inlineStr"/>
      <c r="P27" s="225" t="n"/>
      <c r="Q27" s="209">
        <f>1</f>
        <v/>
      </c>
      <c r="R27" s="212" t="n"/>
      <c r="T27" s="314" t="inlineStr">
        <is>
          <t>yes - panel</t>
        </is>
      </c>
      <c r="U27" s="214" t="n"/>
      <c r="X27" s="210" t="n">
        <v>6.375236988067627</v>
      </c>
      <c r="Y27" s="201">
        <f>IF(X27="","",X27*Q27)</f>
        <v/>
      </c>
      <c r="Z27" s="103" t="inlineStr"/>
    </row>
    <row r="28" ht="46.9" customFormat="1" customHeight="1" s="213">
      <c r="A28" s="253" t="n"/>
      <c r="B28" s="220" t="inlineStr">
        <is>
          <t>phone_number_personal</t>
        </is>
      </c>
      <c r="C28" s="221" t="inlineStr">
        <is>
          <t>phone_number_pers</t>
        </is>
      </c>
      <c r="D28" s="264" t="inlineStr">
        <is>
          <t>What is your phone number?
[OPERATOR: RECORD THE NUMBER GIVEN]</t>
        </is>
      </c>
      <c r="E28" s="538">
        <f>LEN(D28)</f>
        <v/>
      </c>
      <c r="F28" s="387" t="inlineStr">
        <is>
          <t>ما هو رقم هاتفك؟
( المشغل: قم بتسجيل الرقم المعطى لك )</t>
        </is>
      </c>
      <c r="G28" s="538">
        <f>LEN(F28)</f>
        <v/>
      </c>
      <c r="H28" s="539" t="inlineStr">
        <is>
          <t>Open Ended</t>
        </is>
      </c>
      <c r="I28" s="538" t="inlineStr">
        <is>
          <t>NA</t>
        </is>
      </c>
      <c r="J28" s="538" t="inlineStr">
        <is>
          <t>NA</t>
        </is>
      </c>
      <c r="K28" s="538" t="inlineStr">
        <is>
          <t>Form Type - TextBox</t>
        </is>
      </c>
      <c r="L28" s="223" t="inlineStr">
        <is>
          <t>Any Response = contact_2</t>
        </is>
      </c>
      <c r="M28" s="165" t="inlineStr">
        <is>
          <t>NA</t>
        </is>
      </c>
      <c r="N28" s="540" t="inlineStr">
        <is>
          <t>For any response, go to contact_2</t>
        </is>
      </c>
      <c r="O28" s="226" t="inlineStr"/>
      <c r="P28" s="225" t="n"/>
      <c r="Q28" s="209">
        <f>1</f>
        <v/>
      </c>
      <c r="R28" s="212" t="n"/>
      <c r="T28" s="314" t="inlineStr">
        <is>
          <t>yes - panel</t>
        </is>
      </c>
      <c r="U28" s="214" t="n"/>
      <c r="X28" s="210" t="n">
        <v>28.70000076293945</v>
      </c>
      <c r="Y28" s="201">
        <f>IF(X28="","",X28*Q28)</f>
        <v/>
      </c>
      <c r="Z28" s="103" t="inlineStr"/>
    </row>
    <row r="29" ht="187.4" customFormat="1" customHeight="1" s="213">
      <c r="A29" s="211" t="n"/>
      <c r="B29" s="227" t="inlineStr">
        <is>
          <t>contact_2</t>
        </is>
      </c>
      <c r="C29" s="228" t="inlineStr">
        <is>
          <t>contact_2</t>
        </is>
      </c>
      <c r="D29"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541">
        <f>LEN(D29)</f>
        <v/>
      </c>
      <c r="F29"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9" s="541">
        <f>LEN(F29)</f>
        <v/>
      </c>
      <c r="H29" s="542" t="inlineStr">
        <is>
          <t>Single Choice</t>
        </is>
      </c>
      <c r="I29" s="541" t="inlineStr">
        <is>
          <t>NA</t>
        </is>
      </c>
      <c r="J29" s="541" t="inlineStr">
        <is>
          <t>NA</t>
        </is>
      </c>
      <c r="K29" s="541" t="inlineStr">
        <is>
          <t>Form Type - Buttons</t>
        </is>
      </c>
      <c r="L29" s="218" t="inlineStr">
        <is>
          <t>1-3 = phone_number_2
4-6 = hh_admin1</t>
        </is>
      </c>
      <c r="M29" s="165" t="inlineStr">
        <is>
          <t>NA</t>
        </is>
      </c>
      <c r="N29" s="230" t="inlineStr">
        <is>
          <t>if contact_2 = 1-3, go to phone_number_2
if contact_2 = 4-6, go to contact_3</t>
        </is>
      </c>
      <c r="O29" s="231" t="inlineStr"/>
      <c r="P29" s="219" t="n"/>
      <c r="Q29" s="209">
        <f>1</f>
        <v/>
      </c>
      <c r="R29" s="212" t="n"/>
      <c r="T29" s="314" t="inlineStr">
        <is>
          <t>yes - panel</t>
        </is>
      </c>
      <c r="U29" s="214" t="n"/>
      <c r="X29" s="210" t="n">
        <v>10.14181709289551</v>
      </c>
      <c r="Y29" s="201">
        <f>IF(X29="","",X29*Q29)</f>
        <v/>
      </c>
      <c r="Z29" s="103" t="inlineStr"/>
    </row>
    <row r="30" ht="46.9" customFormat="1" customHeight="1" s="213">
      <c r="A30" s="211" t="n"/>
      <c r="B30" s="227" t="inlineStr">
        <is>
          <t>phone_number_2</t>
        </is>
      </c>
      <c r="C30" s="228" t="inlineStr">
        <is>
          <t>phone_number_2</t>
        </is>
      </c>
      <c r="D30" s="264" t="inlineStr">
        <is>
          <t>What is the additional phone number?
[OPERATOR: RECORD THE NUMBER GIVEN]</t>
        </is>
      </c>
      <c r="E30" s="541">
        <f>LEN(D30)</f>
        <v/>
      </c>
      <c r="F30" s="387" t="inlineStr">
        <is>
          <t>ما هو رقم الهاتف الإضافي؟
( المشغل: قم بتسجيل الرقم المعطى لك )</t>
        </is>
      </c>
      <c r="G30" s="541">
        <f>LEN(F30)</f>
        <v/>
      </c>
      <c r="H30" s="542" t="inlineStr">
        <is>
          <t>Open Ended</t>
        </is>
      </c>
      <c r="I30" s="541" t="inlineStr">
        <is>
          <t>NA</t>
        </is>
      </c>
      <c r="J30" s="541" t="inlineStr">
        <is>
          <t>NA</t>
        </is>
      </c>
      <c r="K30" s="541" t="inlineStr">
        <is>
          <t>Form Type - TextBox</t>
        </is>
      </c>
      <c r="L30" s="218" t="inlineStr">
        <is>
          <t>Any Response = contact_2_name</t>
        </is>
      </c>
      <c r="M30" s="165" t="inlineStr">
        <is>
          <t>NA</t>
        </is>
      </c>
      <c r="N30" s="543" t="inlineStr">
        <is>
          <t>For any response, go to contact_2_name</t>
        </is>
      </c>
      <c r="O30" s="232" t="inlineStr"/>
      <c r="P30" s="219" t="n"/>
      <c r="Q30" s="209">
        <f>1</f>
        <v/>
      </c>
      <c r="R30" s="212" t="n"/>
      <c r="T30" s="314" t="inlineStr">
        <is>
          <t>yes - panel</t>
        </is>
      </c>
      <c r="U30" s="214" t="n"/>
      <c r="X30" s="210" t="n">
        <v>21.65998268127441</v>
      </c>
      <c r="Y30" s="201">
        <f>IF(X30="","",X30*Q30)</f>
        <v/>
      </c>
      <c r="Z30" s="103" t="inlineStr"/>
    </row>
    <row r="31" ht="90" customFormat="1" customHeight="1" s="213">
      <c r="A31" s="211" t="n"/>
      <c r="B31" s="227" t="inlineStr">
        <is>
          <t>contact_2_name</t>
        </is>
      </c>
      <c r="C31" s="228" t="inlineStr">
        <is>
          <t>contact_2_name</t>
        </is>
      </c>
      <c r="D31" s="264" t="inlineStr">
        <is>
          <t>What is the name of the contact?
[OPERATOR: RECORD THE NAME OF THE CONTACT FOR THE PHONE NUMBER.]</t>
        </is>
      </c>
      <c r="E31" s="541">
        <f>LEN(D31)</f>
        <v/>
      </c>
      <c r="F31" s="326" t="inlineStr">
        <is>
          <t>ما هو اسم صاحب رقم الهاتف الإضافي الذي قمت بمشاركته؟
( المشغل: قم بتسجيل اسم صاحب رقم الهاتف )</t>
        </is>
      </c>
      <c r="G31" s="541">
        <f>LEN(F31)</f>
        <v/>
      </c>
      <c r="H31" s="542" t="inlineStr">
        <is>
          <t>Open Ended</t>
        </is>
      </c>
      <c r="I31" s="541" t="inlineStr">
        <is>
          <t>NA</t>
        </is>
      </c>
      <c r="J31" s="544" t="inlineStr">
        <is>
          <t>Send if "contact_2" "Equals" "YES - other household member" Or "contact_2" "Equals" "YES - friend or relative [non-household member]" if not satisfied go to "contact_3"</t>
        </is>
      </c>
      <c r="K31" s="541" t="inlineStr">
        <is>
          <t>Form Type - TextBox</t>
        </is>
      </c>
      <c r="L31" s="218" t="inlineStr">
        <is>
          <t>Any Response = contact_3</t>
        </is>
      </c>
      <c r="M31" s="165" t="inlineStr">
        <is>
          <t>NA</t>
        </is>
      </c>
      <c r="N31" s="543" t="inlineStr">
        <is>
          <t>Asked if response to contact_2 was "YES - other household member" or "YES - friend or relative [non-household member]". Otherwise, it skips to "contact_3".
For any response, go to contact_3</t>
        </is>
      </c>
      <c r="O31" s="208" t="inlineStr"/>
      <c r="P31" s="219" t="n"/>
      <c r="Q31" s="209">
        <f>1</f>
        <v/>
      </c>
      <c r="R31" s="212" t="n"/>
      <c r="T31" s="314" t="inlineStr">
        <is>
          <t>yes - panel</t>
        </is>
      </c>
      <c r="U31" s="214" t="n"/>
      <c r="X31" s="210" t="n">
        <v>11.82179641723633</v>
      </c>
      <c r="Y31" s="201">
        <f>IF(X31="","",X31*Q31)</f>
        <v/>
      </c>
      <c r="Z31" s="103" t="inlineStr"/>
    </row>
    <row r="32" ht="187.4" customFormat="1" customHeight="1" s="213">
      <c r="A32" s="211" t="n"/>
      <c r="B32" s="227" t="inlineStr">
        <is>
          <t>contact_3</t>
        </is>
      </c>
      <c r="C32" s="228" t="inlineStr">
        <is>
          <t>contact_3</t>
        </is>
      </c>
      <c r="D32"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541">
        <f>LEN(D32)</f>
        <v/>
      </c>
      <c r="F32"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2" s="541">
        <f>LEN(F32)</f>
        <v/>
      </c>
      <c r="H32" s="542" t="inlineStr">
        <is>
          <t>Single Choice</t>
        </is>
      </c>
      <c r="I32" s="541" t="inlineStr">
        <is>
          <t>NA</t>
        </is>
      </c>
      <c r="J32" s="541" t="inlineStr">
        <is>
          <t>NA</t>
        </is>
      </c>
      <c r="K32" s="541" t="inlineStr">
        <is>
          <t>Form Type - Buttons</t>
        </is>
      </c>
      <c r="L32" s="218" t="inlineStr">
        <is>
          <t>1-3= phone_number_3
4-6 = hh_admin1</t>
        </is>
      </c>
      <c r="M32" s="165" t="inlineStr">
        <is>
          <t>NA</t>
        </is>
      </c>
      <c r="N32" s="230" t="inlineStr">
        <is>
          <t>if contact_3 = 1-3, go to phone_number_3
if contact_3 = 4-6, go to hh_admin1</t>
        </is>
      </c>
      <c r="O32" s="231" t="inlineStr"/>
      <c r="P32" s="219" t="n"/>
      <c r="Q32" s="209">
        <f>1</f>
        <v/>
      </c>
      <c r="R32" s="212" t="n"/>
      <c r="T32" s="314" t="inlineStr">
        <is>
          <t>yes - panel</t>
        </is>
      </c>
      <c r="U32" s="214" t="n"/>
      <c r="X32" s="210" t="n">
        <v>3.163594007492065</v>
      </c>
      <c r="Y32" s="201">
        <f>IF(X32="","",X32*Q32)</f>
        <v/>
      </c>
      <c r="Z32" s="103" t="inlineStr"/>
    </row>
    <row r="33" ht="46.9" customFormat="1" customHeight="1" s="213">
      <c r="A33" s="211" t="n"/>
      <c r="B33" s="227" t="inlineStr">
        <is>
          <t>phone_number_3</t>
        </is>
      </c>
      <c r="C33" s="228" t="inlineStr">
        <is>
          <t>phone_number_3</t>
        </is>
      </c>
      <c r="D33" s="264" t="inlineStr">
        <is>
          <t>What is the additional phone number?
[OPERATOR: RECORD THE NUMBER GIVEN]</t>
        </is>
      </c>
      <c r="E33" s="541">
        <f>LEN(D33)</f>
        <v/>
      </c>
      <c r="F33" s="387" t="inlineStr">
        <is>
          <t>ما هو رقم الهاتف الإضافي؟
( المشغل: قم بتسجيل الرقم المعطى لك )</t>
        </is>
      </c>
      <c r="G33" s="541">
        <f>LEN(F33)</f>
        <v/>
      </c>
      <c r="H33" s="542" t="inlineStr">
        <is>
          <t>Open Ended</t>
        </is>
      </c>
      <c r="I33" s="541" t="inlineStr">
        <is>
          <t>NA</t>
        </is>
      </c>
      <c r="J33" s="541" t="inlineStr">
        <is>
          <t>NA</t>
        </is>
      </c>
      <c r="K33" s="541" t="inlineStr">
        <is>
          <t>Form Type - TextBox</t>
        </is>
      </c>
      <c r="L33" s="218" t="inlineStr">
        <is>
          <t>Any Response = contact_3_name</t>
        </is>
      </c>
      <c r="M33" s="165" t="inlineStr">
        <is>
          <t>NA</t>
        </is>
      </c>
      <c r="N33" s="543" t="inlineStr">
        <is>
          <t>For any response, go to contact_3_name</t>
        </is>
      </c>
      <c r="O33" s="232" t="inlineStr"/>
      <c r="P33" s="219" t="n"/>
      <c r="Q33" s="209">
        <f>1</f>
        <v/>
      </c>
      <c r="R33" s="212" t="n"/>
      <c r="T33" s="314" t="inlineStr">
        <is>
          <t>yes - panel</t>
        </is>
      </c>
      <c r="U33" s="214" t="n"/>
      <c r="X33" s="210" t="n">
        <v>10.83014392852783</v>
      </c>
      <c r="Y33" s="201">
        <f>IF(X33="","",X33*Q33)</f>
        <v/>
      </c>
      <c r="Z33" s="103" t="inlineStr"/>
    </row>
    <row r="34" ht="90" customFormat="1" customHeight="1" s="213">
      <c r="A34" s="211" t="n"/>
      <c r="B34" s="227" t="inlineStr">
        <is>
          <t>contact_3_name</t>
        </is>
      </c>
      <c r="C34" s="227" t="inlineStr">
        <is>
          <t>phone_number_3_name</t>
        </is>
      </c>
      <c r="D34" s="264" t="inlineStr">
        <is>
          <t>What is the name of the contact?
[OPERATOR: RECORD THE NAME OF THE CONTACT FOR THE PHONE NUMBER.]</t>
        </is>
      </c>
      <c r="E34" s="541">
        <f>LEN(D34)</f>
        <v/>
      </c>
      <c r="F34" s="326" t="inlineStr">
        <is>
          <t>ما هو اسم صاحب رقم الهاتف الإضافي الذي قمت بمشاركته؟
(المشغل: قم بتسجيل اسم صاحب رقم الهاتف)</t>
        </is>
      </c>
      <c r="G34" s="541">
        <f>LEN(F34)</f>
        <v/>
      </c>
      <c r="H34" s="542" t="inlineStr">
        <is>
          <t>Open Ended</t>
        </is>
      </c>
      <c r="I34" s="541" t="inlineStr">
        <is>
          <t>NA</t>
        </is>
      </c>
      <c r="J34" s="544" t="inlineStr">
        <is>
          <t>Send if "contact_3" "Equals" "YES - other household member" Or "contact_3" "Equals" "YES - friend or relative [non-household member]" if not satisfied go to "hh_admin1"</t>
        </is>
      </c>
      <c r="K34" s="541" t="inlineStr">
        <is>
          <t>Form Type - TextBox</t>
        </is>
      </c>
      <c r="L34" s="218" t="inlineStr">
        <is>
          <t>Any Response = hh_admin1</t>
        </is>
      </c>
      <c r="M34" s="165" t="inlineStr">
        <is>
          <t>NA</t>
        </is>
      </c>
      <c r="N34" s="543" t="inlineStr">
        <is>
          <t>Asked if response to contact_3 was "YES - other household member" or "YES - friend or relative [non-household member]". Otherwise, it skips to "hh_admin1".
For any response, go to hh_admin1</t>
        </is>
      </c>
      <c r="O34" s="208" t="inlineStr"/>
      <c r="P34" s="219" t="n"/>
      <c r="Q34" s="209">
        <f>1</f>
        <v/>
      </c>
      <c r="R34" s="212" t="n"/>
      <c r="T34" s="314" t="inlineStr">
        <is>
          <t>yes - panel</t>
        </is>
      </c>
      <c r="U34" s="214" t="n"/>
      <c r="X34" s="210" t="n">
        <v>11.26041698455811</v>
      </c>
      <c r="Y34" s="201">
        <f>IF(X34="","",X34*Q34)</f>
        <v/>
      </c>
      <c r="Z34" s="103" t="inlineStr"/>
    </row>
    <row r="35" customFormat="1" s="100">
      <c r="A35" s="46" t="n"/>
      <c r="B35" s="188" t="n"/>
      <c r="C35" s="188" t="n"/>
      <c r="D35" s="50" t="n"/>
      <c r="E35" s="47" t="n"/>
      <c r="F35" s="47" t="n"/>
      <c r="G35" s="47" t="n"/>
      <c r="H35" s="48" t="n"/>
      <c r="I35" s="47" t="n"/>
      <c r="J35" s="47" t="n"/>
      <c r="K35" s="47" t="n"/>
      <c r="L35" s="49" t="n"/>
      <c r="M35" s="53" t="n"/>
      <c r="N35" s="51" t="n"/>
      <c r="O35" s="52" t="n"/>
      <c r="P35" s="43" t="n"/>
      <c r="Q35" s="203">
        <f>1</f>
        <v/>
      </c>
      <c r="R35" s="103" t="n"/>
      <c r="T35" s="102" t="n"/>
      <c r="U35" s="101" t="n"/>
      <c r="X35" s="202" t="n"/>
      <c r="Y35" s="202">
        <f>IF(X35="","",X35*Q35)</f>
        <v/>
      </c>
      <c r="Z35" s="103">
        <f>IF(T35="yes",Y35,"")</f>
        <v/>
      </c>
    </row>
    <row r="36" ht="140.65" customFormat="1" customHeight="1" s="109">
      <c r="A36" s="70" t="n">
        <v>3</v>
      </c>
      <c r="B36" s="179" t="inlineStr">
        <is>
          <t>hh_admin1</t>
        </is>
      </c>
      <c r="C36" s="108" t="inlineStr">
        <is>
          <t>hh_admin1</t>
        </is>
      </c>
      <c r="D36" s="107" t="inlineStr">
        <is>
          <t>Currently, in which Governorate does your household reside?
[OPERATOR: SINGLE SELECTION.]
[HINT: HOUSEHOLD CONSISTS OF ALL MEMBERS LIVING TOGETHER, SHARING RESOURCES &amp; EATING FROM THE SAME POT.]
1)ADMIN1
2)DON'T KNOW
3)REFUSED</t>
        </is>
      </c>
      <c r="E36" s="106">
        <f>LEN(D36)</f>
        <v/>
      </c>
      <c r="F36" s="386"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6" s="106">
        <f>LEN(F36)</f>
        <v/>
      </c>
      <c r="H36" s="114" t="inlineStr">
        <is>
          <t>Single Choice</t>
        </is>
      </c>
      <c r="I36" s="106" t="inlineStr">
        <is>
          <t>NA</t>
        </is>
      </c>
      <c r="J36" s="106" t="inlineStr">
        <is>
          <t>NA</t>
        </is>
      </c>
      <c r="K36" s="106" t="inlineStr">
        <is>
          <t>Form Type - Buttons
IsDemographic - ADM1</t>
        </is>
      </c>
      <c r="L36" s="289" t="inlineStr">
        <is>
          <t>1 = hh_admin2_1
2-3 = Ineligible</t>
        </is>
      </c>
      <c r="M36" s="165" t="inlineStr">
        <is>
          <t>NA</t>
        </is>
      </c>
      <c r="N36" s="696" t="inlineStr">
        <is>
          <t>The administrative information will be updated by GeoPoll based on the sample design document and the administrative boundaries provided by the dashboard team after the questionnaire validation.</t>
        </is>
      </c>
      <c r="O36" s="207" t="inlineStr"/>
      <c r="P36" s="9" t="n"/>
      <c r="Q36" s="198">
        <f>1</f>
        <v/>
      </c>
      <c r="R36" s="103" t="n"/>
      <c r="T36" s="319" t="inlineStr">
        <is>
          <t>yes</t>
        </is>
      </c>
      <c r="U36" s="694" t="n"/>
      <c r="X36" s="201" t="n">
        <v>13.95725891910985</v>
      </c>
      <c r="Y36" s="201">
        <f>IF(X36="","",X36*Q36)</f>
        <v/>
      </c>
      <c r="Z36" s="103" t="inlineStr">
        <is>
          <t>13.95725891910985</t>
        </is>
      </c>
    </row>
    <row r="37" ht="124.9" customFormat="1" customHeight="1" s="109">
      <c r="A37" s="31">
        <f>A36+1</f>
        <v/>
      </c>
      <c r="B37" s="520" t="inlineStr">
        <is>
          <t>hh_admin2_1</t>
        </is>
      </c>
      <c r="C37" s="108" t="inlineStr">
        <is>
          <t>hh_admin2_1</t>
        </is>
      </c>
      <c r="D37" s="290" t="inlineStr">
        <is>
          <t>Currently, in which District does your household reside?
[OPERATOR: SINGLE RESPONSE.]
1)ADMIN2
2)DON'T KNOW
3)REFUSED</t>
        </is>
      </c>
      <c r="E37" s="521">
        <f>LEN(D37)</f>
        <v/>
      </c>
      <c r="F37" s="497" t="inlineStr">
        <is>
          <t>حاليًا ، في أي مديرية تقيم أسرتك؟
[المشغل: استجابة واحدة.]
1) ADMIN 2
2) لا أعرف
3) رفض الإجابة</t>
        </is>
      </c>
      <c r="G37" s="521">
        <f>LEN(F37)</f>
        <v/>
      </c>
      <c r="H37" s="522" t="inlineStr">
        <is>
          <t>Single Choice</t>
        </is>
      </c>
      <c r="I37" s="521" t="inlineStr">
        <is>
          <t>NA</t>
        </is>
      </c>
      <c r="J37" s="521" t="inlineStr">
        <is>
          <t>NA</t>
        </is>
      </c>
      <c r="K37" s="521" t="inlineStr">
        <is>
          <t>Form Type - Buttons
IsDemographic - ADM2</t>
        </is>
      </c>
      <c r="L37" s="291" t="inlineStr">
        <is>
          <t>1 =  hh_agricactivity
2-3 = Ineligible</t>
        </is>
      </c>
      <c r="M37" s="165" t="inlineStr">
        <is>
          <t>NA</t>
        </is>
      </c>
      <c r="N37" s="697" t="n"/>
      <c r="O37" s="281" t="inlineStr"/>
      <c r="P37" s="89" t="n"/>
      <c r="Q37" s="198">
        <f>1</f>
        <v/>
      </c>
      <c r="R37" s="103" t="n"/>
      <c r="T37" s="319" t="inlineStr">
        <is>
          <t>yes</t>
        </is>
      </c>
      <c r="U37" s="694" t="n"/>
      <c r="X37" s="201" t="n">
        <v>7.954998970031738</v>
      </c>
      <c r="Y37" s="201">
        <f>IF(X37="","",X37*Q37)</f>
        <v/>
      </c>
      <c r="Z37" s="103" t="inlineStr">
        <is>
          <t>7.954998970031738</t>
        </is>
      </c>
    </row>
    <row r="38" ht="140.65" customFormat="1" customHeight="1" s="109">
      <c r="A38" s="79" t="n"/>
      <c r="B38" s="180" t="inlineStr">
        <is>
          <t>quotareached</t>
        </is>
      </c>
      <c r="C38" s="99" t="inlineStr">
        <is>
          <t>quotareached</t>
        </is>
      </c>
      <c r="D38" s="518" t="inlineStr">
        <is>
          <t>[OPERATOR: DO NOT READ. ANSWER QUESTION BELOW.]
THIS RESPONDENT REPORTED THEY LIVE IN:
{ADM1}
{ADM2}
1)THE GOAL FOR THIS LOCATION HAS BEEN ACHIEVED - END SURVEY
2)THE GOAL FOR THIS LOCATION IS OPEN - CONTINUE SURVEY</t>
        </is>
      </c>
      <c r="E38" s="545">
        <f>LEN(D38)</f>
        <v/>
      </c>
      <c r="F38" s="388"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8" s="545">
        <f>LEN(F38)</f>
        <v/>
      </c>
      <c r="H38" s="522" t="inlineStr">
        <is>
          <t>Single Choice</t>
        </is>
      </c>
      <c r="I38" s="522" t="inlineStr">
        <is>
          <t>NA</t>
        </is>
      </c>
      <c r="J38" s="522" t="inlineStr">
        <is>
          <t>NA</t>
        </is>
      </c>
      <c r="K38" s="522" t="inlineStr">
        <is>
          <t>Form Type - Buttons</t>
        </is>
      </c>
      <c r="L38" s="113" t="inlineStr">
        <is>
          <t>1 = End Poll Quota Reached
2 = hh_agricactivity</t>
        </is>
      </c>
      <c r="M38" s="165" t="inlineStr">
        <is>
          <t>NA</t>
        </is>
      </c>
      <c r="N38" s="288" t="inlineStr"/>
      <c r="O38" s="267" t="inlineStr"/>
      <c r="P38" s="268" t="n"/>
      <c r="Q38" s="201" t="n"/>
      <c r="R38" s="201" t="n"/>
      <c r="S38" s="103" t="n"/>
      <c r="T38" t="inlineStr"/>
      <c r="U38" s="145" t="n"/>
      <c r="V38" s="694" t="n"/>
      <c r="Y38" s="201" t="n"/>
      <c r="Z38" s="201" t="inlineStr"/>
      <c r="AA38" s="103" t="n"/>
    </row>
    <row r="39" ht="249.65" customFormat="1" customHeight="1" s="109">
      <c r="A39" s="79">
        <f>#REF!+1</f>
        <v/>
      </c>
      <c r="B39" s="180" t="inlineStr">
        <is>
          <t>hh_agricactivity</t>
        </is>
      </c>
      <c r="C39" s="292" t="inlineStr">
        <is>
          <t>hh_agricactivity</t>
        </is>
      </c>
      <c r="D39"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9" s="97">
        <f>LEN(D39)</f>
        <v/>
      </c>
      <c r="F39" s="38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9" s="97">
        <f>LEN(F39)</f>
        <v/>
      </c>
      <c r="H39" s="293" t="inlineStr">
        <is>
          <t>Single Choice</t>
        </is>
      </c>
      <c r="I39" s="97" t="inlineStr">
        <is>
          <t>NA</t>
        </is>
      </c>
      <c r="J39" s="97" t="inlineStr">
        <is>
          <t>NA</t>
        </is>
      </c>
      <c r="K39" s="97" t="inlineStr">
        <is>
          <t>Form Type - Buttons</t>
        </is>
      </c>
      <c r="L39" s="518" t="inlineStr">
        <is>
          <t>1-4 = resp_id or hh_fish
5-6 = Ineligible</t>
        </is>
      </c>
      <c r="M39" s="165" t="inlineStr">
        <is>
          <t>NA</t>
        </is>
      </c>
      <c r="N39" s="407" t="inlineStr">
        <is>
          <t>if hh_agricactivity = 1-4, go to resp_id or hh_fish. Otherwise, the respondent is ineligible.</t>
        </is>
      </c>
      <c r="O39" s="408" t="inlineStr">
        <is>
          <t>o_fishery_activity</t>
        </is>
      </c>
      <c r="P39" s="19" t="n"/>
      <c r="Q39" s="198">
        <f>1</f>
        <v/>
      </c>
      <c r="R39" s="103" t="n"/>
      <c r="T39" s="319" t="inlineStr">
        <is>
          <t>yes</t>
        </is>
      </c>
      <c r="U39" s="694" t="n"/>
      <c r="X39" s="201" t="n">
        <v>24.41083908081055</v>
      </c>
      <c r="Y39" s="201">
        <f>IF(X39="","",X39*Q39)</f>
        <v/>
      </c>
      <c r="Z39" s="103" t="inlineStr">
        <is>
          <t>24.41083908081055</t>
        </is>
      </c>
    </row>
    <row r="40" ht="190.9" customFormat="1" customHeight="1" s="109" thickBot="1">
      <c r="A40" s="415" t="n"/>
      <c r="B40" s="546" t="inlineStr">
        <is>
          <t>o_fishery_activity</t>
        </is>
      </c>
      <c r="C40" s="143" t="inlineStr"/>
      <c r="D40" s="417" t="inlineStr">
        <is>
          <t>Has anybody in your household been involved in fishery and aquaculture for household consumption or sale in the past 12 months?
[OPERATOR: SINGLE CHOICE.]
1)YES 
2)NO
3) DON'T KNOW
4)REFUSED</t>
        </is>
      </c>
      <c r="E40" s="418" t="n"/>
      <c r="F40" s="41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t>
        </is>
      </c>
      <c r="G40" s="418" t="n"/>
      <c r="H40" s="418" t="inlineStr">
        <is>
          <t>Single Choice</t>
        </is>
      </c>
      <c r="I40" s="418" t="inlineStr"/>
      <c r="J40" s="418" t="inlineStr"/>
      <c r="K40" s="418" t="inlineStr"/>
      <c r="L40" s="420" t="inlineStr">
        <is>
          <t>1-4 = resp_id</t>
        </is>
      </c>
      <c r="M40" s="421" t="inlineStr"/>
      <c r="N40" s="422" t="inlineStr">
        <is>
          <t>For any response, go to resp_id</t>
        </is>
      </c>
      <c r="O40" s="416" t="inlineStr">
        <is>
          <t>resp_id</t>
        </is>
      </c>
      <c r="P40" s="32" t="n"/>
      <c r="Q40" s="203" t="n"/>
      <c r="R40" s="103" t="n"/>
      <c r="T40" s="111" t="inlineStr"/>
      <c r="U40" s="694" t="n"/>
      <c r="X40" s="202" t="n"/>
      <c r="Y40" s="202" t="n"/>
      <c r="Z40" s="103" t="inlineStr"/>
    </row>
    <row r="41" ht="16.4" customFormat="1" customHeight="1" s="109" thickBot="1">
      <c r="A41" s="684" t="inlineStr">
        <is>
          <t>B. GENERAL HOUSEHOLD INFORMATION</t>
        </is>
      </c>
      <c r="B41" s="685" t="n"/>
      <c r="C41" s="685" t="n"/>
      <c r="D41" s="685" t="n"/>
      <c r="E41" s="685" t="n"/>
      <c r="F41" s="685" t="n"/>
      <c r="G41" s="685" t="n"/>
      <c r="H41" s="685" t="n"/>
      <c r="I41" s="685" t="n"/>
      <c r="J41" s="685" t="n"/>
      <c r="K41" s="685" t="n"/>
      <c r="L41" s="685" t="n"/>
      <c r="M41" s="685" t="n"/>
      <c r="N41" s="685" t="n"/>
      <c r="O41" s="685" t="n"/>
      <c r="P41" s="686" t="n"/>
      <c r="Q41" s="203" t="n"/>
      <c r="R41" s="103" t="n"/>
      <c r="T41" s="111" t="n"/>
      <c r="U41" s="694" t="n"/>
      <c r="X41" s="202" t="n"/>
      <c r="Y41" s="201">
        <f>IF(X41="","",X41*Q41)</f>
        <v/>
      </c>
      <c r="Z41" s="103">
        <f>IF(T41="yes",Y41,"")</f>
        <v/>
      </c>
    </row>
    <row r="42" ht="135" customFormat="1" customHeight="1" s="270">
      <c r="A42" s="266">
        <f>A39+1</f>
        <v/>
      </c>
      <c r="B42" s="285" t="inlineStr">
        <is>
          <t>resp_id</t>
        </is>
      </c>
      <c r="C42" s="286" t="inlineStr">
        <is>
          <t>resp_id</t>
        </is>
      </c>
      <c r="D42" s="287" t="inlineStr">
        <is>
          <t>Are you the head of household? 
[OPERATOR: SINGLE RESPONSE.]
1)Yes
2)No
3)DON'T KNOW
4)REFUSED</t>
        </is>
      </c>
      <c r="E42" s="286">
        <f>LEN(D42)</f>
        <v/>
      </c>
      <c r="F42" s="547" t="inlineStr">
        <is>
          <t>هل أنت رب الأسرة ؟
[المشغل: استجابة واحدة.]
1) نعم
2) لا
3) لا أعرف
4) رفض الإجابة</t>
        </is>
      </c>
      <c r="G42" s="286">
        <f>LEN(F42)</f>
        <v/>
      </c>
      <c r="H42" s="286" t="inlineStr">
        <is>
          <t>Single Choice</t>
        </is>
      </c>
      <c r="I42" s="286" t="inlineStr">
        <is>
          <t>NA</t>
        </is>
      </c>
      <c r="J42" s="286" t="inlineStr">
        <is>
          <t>NA</t>
        </is>
      </c>
      <c r="K42" s="286" t="inlineStr">
        <is>
          <t>Form Type - Buttons</t>
        </is>
      </c>
      <c r="L42" s="288" t="inlineStr">
        <is>
          <t>1 = hh_education 
2-4 = hh_gender</t>
        </is>
      </c>
      <c r="M42" s="165" t="inlineStr">
        <is>
          <t>NA</t>
        </is>
      </c>
      <c r="N42" s="288" t="inlineStr">
        <is>
          <t>if resp_id = 1, go to hh_education. 
Otherwise, go to hh_gender.</t>
        </is>
      </c>
      <c r="O42" s="267" t="inlineStr"/>
      <c r="P42" s="268" t="n"/>
      <c r="Q42" s="265" t="n">
        <v>1</v>
      </c>
      <c r="R42" s="269" t="n"/>
      <c r="T42" s="318" t="inlineStr">
        <is>
          <t>yes</t>
        </is>
      </c>
      <c r="U42" s="271" t="n"/>
      <c r="X42" s="325" t="n">
        <v>10.5</v>
      </c>
      <c r="Y42" s="201">
        <f>IF(X42="","",X42*Q42)</f>
        <v/>
      </c>
      <c r="Z42" s="269" t="inlineStr">
        <is>
          <t>10.5</t>
        </is>
      </c>
    </row>
    <row r="43" ht="124.9" customFormat="1" customHeight="1" s="109">
      <c r="A43" s="70">
        <f>A42+1</f>
        <v/>
      </c>
      <c r="B43" s="179" t="inlineStr">
        <is>
          <t>hh_gender</t>
        </is>
      </c>
      <c r="C43" s="108" t="inlineStr">
        <is>
          <t>hh_gender</t>
        </is>
      </c>
      <c r="D43" s="144" t="inlineStr">
        <is>
          <t>Is the head of your household male or female?
[OPERATOR: SINGLE RESPONSE.]
1)Male 
2)Female
3)DON'T KNOW
4)REFUSED</t>
        </is>
      </c>
      <c r="E43" s="106">
        <f>LEN(D43)</f>
        <v/>
      </c>
      <c r="F43" s="389" t="inlineStr">
        <is>
          <t>هل رب أسرتك ذكر أم أنثى؟
[المشغل: استجابة واحدة.]
1) ذكر
2) أنثى
3) لا أعرف
4) رفض الإجابة</t>
        </is>
      </c>
      <c r="G43" s="106">
        <f>LEN(F43)</f>
        <v/>
      </c>
      <c r="H43" s="108" t="inlineStr">
        <is>
          <t>Single Choice</t>
        </is>
      </c>
      <c r="I43" s="106" t="inlineStr">
        <is>
          <t>NA</t>
        </is>
      </c>
      <c r="J43" s="106" t="inlineStr">
        <is>
          <t>NA</t>
        </is>
      </c>
      <c r="K43" s="106" t="inlineStr">
        <is>
          <t>Form Type - Buttons</t>
        </is>
      </c>
      <c r="L43" s="105" t="inlineStr">
        <is>
          <t>1-4 = hh_education</t>
        </is>
      </c>
      <c r="M43" s="165" t="inlineStr">
        <is>
          <t>NA</t>
        </is>
      </c>
      <c r="N43" s="105" t="inlineStr">
        <is>
          <t>if hh_gender = 1-4, go to hh_education.</t>
        </is>
      </c>
      <c r="O43" s="59" t="inlineStr"/>
      <c r="P43" s="32" t="n"/>
      <c r="Q43" s="198">
        <f>1</f>
        <v/>
      </c>
      <c r="R43" s="103" t="n"/>
      <c r="T43" s="313" t="inlineStr">
        <is>
          <t>yes</t>
        </is>
      </c>
      <c r="U43" s="694" t="n"/>
      <c r="X43" s="201" t="n">
        <v>10.5045337677002</v>
      </c>
      <c r="Y43" s="201">
        <f>IF(X43="","",X43*Q43)</f>
        <v/>
      </c>
      <c r="Z43" s="103" t="inlineStr">
        <is>
          <t>10.5045337677002</t>
        </is>
      </c>
    </row>
    <row r="44" customFormat="1" s="109">
      <c r="A44" s="70" t="n"/>
      <c r="B44" s="192" t="n"/>
      <c r="C44" s="71" t="n"/>
      <c r="D44" s="73" t="n"/>
      <c r="E44" s="74" t="n"/>
      <c r="F44" s="74" t="n"/>
      <c r="G44" s="74" t="n"/>
      <c r="H44" s="71" t="n"/>
      <c r="I44" s="74" t="n"/>
      <c r="J44" s="74" t="n"/>
      <c r="K44" s="74" t="n"/>
      <c r="L44" s="59" t="n"/>
      <c r="M44" s="59" t="n"/>
      <c r="N44" s="59" t="n"/>
      <c r="O44" s="59" t="n"/>
      <c r="P44" s="32" t="n"/>
      <c r="Q44" s="203">
        <f>1</f>
        <v/>
      </c>
      <c r="R44" s="103" t="n"/>
      <c r="T44" s="111" t="n"/>
      <c r="U44" s="694" t="n"/>
      <c r="X44" s="202" t="n"/>
      <c r="Y44" s="202">
        <f>IF(X44="","",X44*Q44)</f>
        <v/>
      </c>
      <c r="Z44" s="103">
        <f>IF(T44="yes",Y44,"")</f>
        <v/>
      </c>
    </row>
    <row r="45" ht="171.65" customFormat="1" customHeight="1" s="109">
      <c r="A45" s="31">
        <f>A43+1</f>
        <v/>
      </c>
      <c r="B45" s="520" t="inlineStr">
        <is>
          <t>hh_education</t>
        </is>
      </c>
      <c r="C45" s="108" t="inlineStr">
        <is>
          <t>hh_education</t>
        </is>
      </c>
      <c r="D45" s="54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521">
        <f>LEN(D45)</f>
        <v/>
      </c>
      <c r="F45" s="549"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5" s="521">
        <f>LEN(F45)</f>
        <v/>
      </c>
      <c r="H45" s="550" t="inlineStr">
        <is>
          <t>Single Choice</t>
        </is>
      </c>
      <c r="I45" s="521" t="inlineStr">
        <is>
          <t>NA</t>
        </is>
      </c>
      <c r="J45" s="521" t="inlineStr">
        <is>
          <t>NA</t>
        </is>
      </c>
      <c r="K45" s="521" t="inlineStr">
        <is>
          <t>Form Type - Buttons</t>
        </is>
      </c>
      <c r="L45" s="113" t="inlineStr">
        <is>
          <t>1-7 = hh_wealth</t>
        </is>
      </c>
      <c r="M45" s="165" t="inlineStr">
        <is>
          <t>NA</t>
        </is>
      </c>
      <c r="N45" s="105" t="inlineStr">
        <is>
          <t>if hh_education = 1-7, go to o_hh_wealth_water.</t>
        </is>
      </c>
      <c r="O45" s="59" t="inlineStr"/>
      <c r="P45" s="19" t="n"/>
      <c r="Q45" s="198">
        <f>1</f>
        <v/>
      </c>
      <c r="R45" s="103" t="n"/>
      <c r="T45" s="313" t="inlineStr">
        <is>
          <t>yes</t>
        </is>
      </c>
      <c r="U45" s="694" t="n"/>
      <c r="X45" s="201" t="n">
        <v>12.42189884185791</v>
      </c>
      <c r="Y45" s="201">
        <f>IF(X45="","",X45*Q45)</f>
        <v/>
      </c>
      <c r="Z45" s="103" t="inlineStr">
        <is>
          <t>12.42189884185791</t>
        </is>
      </c>
    </row>
    <row r="46" customFormat="1" s="109">
      <c r="A46" s="31" t="n"/>
      <c r="B46" s="551" t="n"/>
      <c r="C46" s="71" t="n"/>
      <c r="D46" s="525" t="n"/>
      <c r="E46" s="536" t="n"/>
      <c r="F46" s="525" t="n"/>
      <c r="G46" s="536" t="n"/>
      <c r="H46" s="552" t="n"/>
      <c r="I46" s="536" t="n"/>
      <c r="J46" s="536" t="n"/>
      <c r="K46" s="536" t="n"/>
      <c r="L46" s="66" t="n"/>
      <c r="M46" s="59" t="n"/>
      <c r="N46" s="59" t="n"/>
      <c r="O46" s="59" t="n"/>
      <c r="P46" s="19" t="n"/>
      <c r="Q46" s="203">
        <f>1</f>
        <v/>
      </c>
      <c r="R46" s="103" t="n"/>
      <c r="T46" s="111" t="n"/>
      <c r="U46" s="694" t="n"/>
      <c r="X46" s="202" t="n"/>
      <c r="Y46" s="202">
        <f>IF(X46="","",X46*Q46)</f>
        <v/>
      </c>
      <c r="Z46" s="103">
        <f>IF(T46="yes",Y46,"")</f>
        <v/>
      </c>
    </row>
    <row r="47" ht="280.9" customFormat="1" customHeight="1" s="109">
      <c r="A47" s="31" t="n">
        <v>10</v>
      </c>
      <c r="B47" s="551" t="inlineStr">
        <is>
          <t>o_hh_wealth_water</t>
        </is>
      </c>
      <c r="C47" s="553" t="inlineStr">
        <is>
          <t>hh_wealth_water</t>
        </is>
      </c>
      <c r="D47" s="525"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7" s="536">
        <f>LEN(D47)</f>
        <v/>
      </c>
      <c r="F47" s="5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7" s="536">
        <f>LEN(F47)</f>
        <v/>
      </c>
      <c r="H47" s="552" t="inlineStr">
        <is>
          <t>Single Choice</t>
        </is>
      </c>
      <c r="I47" s="536" t="inlineStr">
        <is>
          <t>NA</t>
        </is>
      </c>
      <c r="J47" s="536" t="inlineStr">
        <is>
          <t>NA</t>
        </is>
      </c>
      <c r="K47" s="536" t="inlineStr">
        <is>
          <t>Form Type - Buttons</t>
        </is>
      </c>
      <c r="L47" s="187" t="inlineStr">
        <is>
          <t>1-14 = [income_main O+L49R other optional question]</t>
        </is>
      </c>
      <c r="M47" s="53" t="inlineStr">
        <is>
          <t>NA</t>
        </is>
      </c>
      <c r="N47" s="555" t="inlineStr">
        <is>
          <t>For any response, go to [income_main OR other optional question]</t>
        </is>
      </c>
      <c r="O47" s="40" t="inlineStr">
        <is>
          <t>1-14 = o_rural_urban</t>
        </is>
      </c>
      <c r="P47" s="413"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7" s="203">
        <f>1</f>
        <v/>
      </c>
      <c r="R47" s="103" t="n"/>
      <c r="T47" s="111" t="inlineStr">
        <is>
          <t>yes</t>
        </is>
      </c>
      <c r="U47" s="694" t="n"/>
      <c r="X47" s="202" t="n">
        <v>16.61565589904785</v>
      </c>
      <c r="Y47" s="202">
        <f>IF(X47="","",X47*Q47)</f>
        <v/>
      </c>
      <c r="Z47" s="103" t="inlineStr">
        <is>
          <t>16.61565589904785</t>
        </is>
      </c>
    </row>
    <row r="48" ht="89.65000000000001" customFormat="1" customHeight="1" s="109">
      <c r="A48" s="31" t="n"/>
      <c r="B48" s="551" t="inlineStr">
        <is>
          <t>o_rural_urban</t>
        </is>
      </c>
      <c r="C48" s="195" t="inlineStr"/>
      <c r="D48" s="556" t="inlineStr">
        <is>
          <t>Which of these best describes the area where you live?
[OPERATOR: SINGLE RESPONSE]
1)Rural
2)Urban
3)Sub-urban</t>
        </is>
      </c>
      <c r="E48" s="74" t="n">
        <v>112</v>
      </c>
      <c r="F48" s="554" t="inlineStr">
        <is>
          <t>أي من هؤلاء يصف المنطقة التي تعيش فيها ؟
[المشغل: استجابة واحدة]
1)الريف
2)الحضر
3)ضواحي الحضر</t>
        </is>
      </c>
      <c r="G48" s="74" t="n">
        <v>96</v>
      </c>
      <c r="H48" s="71" t="inlineStr">
        <is>
          <t>Single Choice</t>
        </is>
      </c>
      <c r="I48" s="74" t="inlineStr">
        <is>
          <t>NA</t>
        </is>
      </c>
      <c r="J48" s="74" t="inlineStr">
        <is>
          <t>NA</t>
        </is>
      </c>
      <c r="K48" s="74" t="inlineStr">
        <is>
          <t>Form Type - Buttons</t>
        </is>
      </c>
      <c r="L48" s="84" t="inlineStr">
        <is>
          <t>1-3 = hh_residencetype</t>
        </is>
      </c>
      <c r="M48" s="59" t="inlineStr"/>
      <c r="N48" s="197" t="inlineStr"/>
      <c r="O48" s="40" t="inlineStr">
        <is>
          <t>1-3 = hh_residencetype</t>
        </is>
      </c>
      <c r="P48" s="252" t="n"/>
      <c r="Q48" s="203">
        <f>1</f>
        <v/>
      </c>
      <c r="R48" s="103" t="n"/>
      <c r="T48" s="111" t="inlineStr"/>
      <c r="U48" s="694" t="n"/>
      <c r="X48" s="202" t="n"/>
      <c r="Y48" s="202">
        <f>IF(X48="","",X48*Q48)</f>
        <v/>
      </c>
      <c r="Z48" s="103" t="inlineStr"/>
    </row>
    <row r="49" ht="234" customFormat="1" customHeight="1" s="434">
      <c r="A49" s="438" t="n"/>
      <c r="B49" s="557" t="inlineStr">
        <is>
          <t>hh_residencetype</t>
        </is>
      </c>
      <c r="C49" s="465" t="inlineStr">
        <is>
          <t>hh_residencetype</t>
        </is>
      </c>
      <c r="D49" s="46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9" s="427">
        <f>LEN(D49)</f>
        <v/>
      </c>
      <c r="F49" s="469"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9" s="427">
        <f>LEN(F49)</f>
        <v/>
      </c>
      <c r="H49" s="426" t="inlineStr">
        <is>
          <t>Single Choice</t>
        </is>
      </c>
      <c r="I49" s="427" t="inlineStr">
        <is>
          <t>NA</t>
        </is>
      </c>
      <c r="J49" s="427" t="inlineStr">
        <is>
          <t>NA</t>
        </is>
      </c>
      <c r="K49" s="427" t="inlineStr">
        <is>
          <t>Form Type - Buttons</t>
        </is>
      </c>
      <c r="L49" s="428" t="inlineStr">
        <is>
          <t>1 = hh_residencecomp
2-4 = hh_arrivaltime
5-6 = hh_residencecomp</t>
        </is>
      </c>
      <c r="M49" s="429" t="inlineStr">
        <is>
          <t>NA</t>
        </is>
      </c>
      <c r="N49" s="430" t="inlineStr">
        <is>
          <t>1 = hh_residencecomp
2-4 = hh_arrivaltime
5-6 = hh_residencecomp</t>
        </is>
      </c>
      <c r="O49" s="439" t="inlineStr"/>
      <c r="P49" s="431" t="n"/>
      <c r="Q49" s="432">
        <f>1</f>
        <v/>
      </c>
      <c r="R49" s="433" t="n"/>
      <c r="T49" s="435" t="inlineStr">
        <is>
          <t>yes</t>
        </is>
      </c>
      <c r="U49" s="436" t="n"/>
      <c r="X49" s="437" t="n">
        <v>13.22066497802734</v>
      </c>
      <c r="Y49" s="437">
        <f>IF(X49="","",X49*Q49)</f>
        <v/>
      </c>
      <c r="Z49" s="433" t="inlineStr">
        <is>
          <t>13.22066497802734</t>
        </is>
      </c>
      <c r="AC49" s="446" t="n"/>
      <c r="AD49" s="467" t="inlineStr">
        <is>
          <t>Important to define different categories in training material</t>
        </is>
      </c>
      <c r="AF49" s="468" t="n"/>
      <c r="AH49" s="449" t="n"/>
    </row>
    <row r="50" ht="184.5" customFormat="1" customHeight="1" s="434">
      <c r="A50" s="425" t="n"/>
      <c r="B50" s="557" t="inlineStr">
        <is>
          <t>hh_arrivaltime</t>
        </is>
      </c>
      <c r="C50" s="558" t="inlineStr">
        <is>
          <t>hh_arivaltime</t>
        </is>
      </c>
      <c r="D50" s="559" t="inlineStr">
        <is>
          <t>How long ago did you arrive in this place?
[OPERATOR: INDICATE THE NUMBER OF MONTHS. YOU MAY NEED TO CALCULATE THIS. ENTER 888 FOR DON'T KNOW &amp; 999 FOR REFUSED.]</t>
        </is>
      </c>
      <c r="E50" s="560">
        <f>LEN(D50)</f>
        <v/>
      </c>
      <c r="F50" s="561" t="inlineStr">
        <is>
          <t>منذ متى وصلت إلى هذا المكان؟
[المشغل: حدد عدد الأشهر. قد تحتاج إلى حساب ذلك. أدخل 888 لـ "لا أعرف" و999 لـ "رفض".]</t>
        </is>
      </c>
      <c r="G50" s="560">
        <f>LEN(F50)</f>
        <v/>
      </c>
      <c r="H50" s="558" t="inlineStr">
        <is>
          <t>Range</t>
        </is>
      </c>
      <c r="I50" s="560" t="inlineStr">
        <is>
          <t>NA</t>
        </is>
      </c>
      <c r="J50" s="560" t="inlineStr">
        <is>
          <t>Send if "hh_residencetype" "Equals" "Internally displaced person [IDP]" Or "hh_residencetype" "Equals" "Returnee" Or "hh_residencetype" "Equals" "Refugee" if not satisfied go to "hh_displacementfreq"</t>
        </is>
      </c>
      <c r="K50" s="560" t="inlineStr">
        <is>
          <t>Form Type - TextBox</t>
        </is>
      </c>
      <c r="L50" s="562" t="inlineStr">
        <is>
          <t>0-100 = hh_displacementfreq
888-888 = hh_displacementfreq
999-999 = hh_displacementfreq</t>
        </is>
      </c>
      <c r="M50" s="563" t="inlineStr">
        <is>
          <t>NA</t>
        </is>
      </c>
      <c r="N50" s="564" t="inlineStr">
        <is>
          <t>Asked to respondents that answered "Returnee", "IDP" or "Refugee" to hh_residencetype. All other respondents will skip to hh_residencecomp. 
For any response, go to hh_displacementfreq.</t>
        </is>
      </c>
      <c r="O50" s="439" t="inlineStr"/>
      <c r="P50" s="431" t="n"/>
      <c r="Q50" s="440" t="n"/>
      <c r="R50" s="441" t="n"/>
      <c r="S50" s="442" t="n"/>
      <c r="T50" s="443" t="inlineStr">
        <is>
          <t>yes</t>
        </is>
      </c>
      <c r="U50" s="444" t="n"/>
      <c r="V50" s="442" t="n"/>
      <c r="W50" s="442" t="n"/>
      <c r="X50" s="445" t="n"/>
      <c r="Y50" s="445" t="n"/>
      <c r="Z50" s="433" t="inlineStr"/>
    </row>
    <row r="51" ht="163.5" customFormat="1" customHeight="1" s="442">
      <c r="A51" s="438" t="n"/>
      <c r="B51" s="557" t="inlineStr">
        <is>
          <t>hh_displacementfreq</t>
        </is>
      </c>
      <c r="C51" s="558" t="inlineStr">
        <is>
          <t>hh_displacementfreq</t>
        </is>
      </c>
      <c r="D51" s="559" t="inlineStr">
        <is>
          <t>How many times have you [respondent] been forced to move due to conflict, insecurity or disaster since you were first displaced?
[OPERATOR: ENTER 888 FOR DON'T KNOW &amp; 999 FOR REFUSED.]</t>
        </is>
      </c>
      <c r="E51" s="560">
        <f>LEN(D51)</f>
        <v/>
      </c>
      <c r="F51" s="561"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51" s="560">
        <f>LEN(F51)</f>
        <v/>
      </c>
      <c r="H51" s="558" t="inlineStr">
        <is>
          <t>Range</t>
        </is>
      </c>
      <c r="I51" s="560" t="inlineStr">
        <is>
          <t>NA</t>
        </is>
      </c>
      <c r="J51" s="560" t="inlineStr">
        <is>
          <t>NA</t>
        </is>
      </c>
      <c r="K51" s="560" t="inlineStr">
        <is>
          <t>Form Type - TextBox</t>
        </is>
      </c>
      <c r="L51" s="562" t="inlineStr">
        <is>
          <t>0-100 = hh_residencecomp
888-888 = hh_residencecomp
999-999 = hh_residencecomp</t>
        </is>
      </c>
      <c r="M51" s="563" t="inlineStr">
        <is>
          <t>NA</t>
        </is>
      </c>
      <c r="N51" s="565" t="inlineStr">
        <is>
          <t>Asked to respondents that answered "Returnee", "IDP" or "Refugee" to hh_residencetype. All other respondents will skip to hh_residencecomp. 
For any response, go to hh_residencecomp.</t>
        </is>
      </c>
      <c r="O51" s="439" t="inlineStr"/>
      <c r="P51" s="431" t="n"/>
      <c r="Q51" s="440" t="n"/>
      <c r="R51" s="441" t="n"/>
      <c r="T51" s="443" t="inlineStr">
        <is>
          <t>yes</t>
        </is>
      </c>
      <c r="U51" s="444" t="n"/>
      <c r="X51" s="445" t="n"/>
      <c r="Y51" s="445" t="n"/>
      <c r="Z51" s="441" t="inlineStr"/>
      <c r="AC51" s="446" t="inlineStr">
        <is>
          <t xml:space="preserve">Necessary for categorization of household residence type. Will depend on country context but these questions allow for flexibility of the definition. </t>
        </is>
      </c>
      <c r="AD51" s="446" t="inlineStr">
        <is>
          <t>
</t>
        </is>
      </c>
      <c r="AH51" s="447" t="n"/>
    </row>
    <row r="52" ht="213.75" customFormat="1" customHeight="1" s="442">
      <c r="A52" s="438" t="n"/>
      <c r="B52" s="557" t="inlineStr">
        <is>
          <t>hh_residencecomp</t>
        </is>
      </c>
      <c r="C52" s="558" t="inlineStr">
        <is>
          <t>hh_residencecomp
1)hh_residencecomp_none
2)hh_residencecomp_permresident
3)hh_residencecomp_returnee
4)hh_residencecomp_idp
5)hh_residencecomp_refugee
6)hh_residencecomp_dk
7)hh_residencecomp_ref</t>
        </is>
      </c>
      <c r="D52" s="559"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2" s="560">
        <f>LEN(D52)</f>
        <v/>
      </c>
      <c r="F52" s="561"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2" s="560">
        <f>LEN(F52)</f>
        <v/>
      </c>
      <c r="H52" s="558" t="inlineStr">
        <is>
          <t>Select All That Apply</t>
        </is>
      </c>
      <c r="I52" s="560" t="inlineStr">
        <is>
          <t>NA</t>
        </is>
      </c>
      <c r="J52" s="560" t="inlineStr">
        <is>
          <t>Send if "hh_residencetype" "Equals" "Internally displaced person [IDP]" Or "hh_residencetype" "Equals" "Returnee" Or "hh_residencetype" "Equals" "Refugee" Or "hh_residencetype" "Equals" "Permanent resident" if not satisfied go to "hh_site"</t>
        </is>
      </c>
      <c r="K52" s="560" t="inlineStr">
        <is>
          <t>Form Type - Checklist
Included unselected "hh_residencetype"
1,2,3= IsNone</t>
        </is>
      </c>
      <c r="L52" s="562" t="inlineStr">
        <is>
          <t>1-7 = hh_site</t>
        </is>
      </c>
      <c r="M52" s="563" t="inlineStr">
        <is>
          <t>1)hh_residencecomp_none
2)hh_residencecomp_permresident
3)hh_residencecomp_returnee
4)hh_residencecomp_idp
5)hh_residencecomp_refugee
6)hh_residencecomp_dk
7)hh_residencecomp_ref</t>
        </is>
      </c>
      <c r="N52" s="566" t="inlineStr">
        <is>
          <t>Asked only to respondents who stated a status in hh_residencetype. Otherwise, go to hh_size .
For any response, go to hh_site</t>
        </is>
      </c>
      <c r="O52" s="448" t="inlineStr"/>
      <c r="P52" s="431" t="n"/>
      <c r="Q52" s="440" t="n"/>
      <c r="R52" s="441" t="n"/>
      <c r="T52" s="443" t="inlineStr">
        <is>
          <t>yes</t>
        </is>
      </c>
      <c r="U52" s="444" t="n"/>
      <c r="X52" s="445" t="n"/>
      <c r="Y52" s="445" t="n"/>
      <c r="Z52" s="441" t="inlineStr"/>
      <c r="AC52" s="446" t="inlineStr">
        <is>
          <t xml:space="preserve">Necessary for categorization of household residence type. Will depend on country context but these questions allow for flexibility of the definition. </t>
        </is>
      </c>
      <c r="AD52" s="442" t="inlineStr">
        <is>
          <t>In enumerator training, include explanation of status type</t>
        </is>
      </c>
      <c r="AH52" s="449" t="n"/>
    </row>
    <row r="53" ht="198" customFormat="1" customHeight="1" s="442">
      <c r="A53" s="438" t="n"/>
      <c r="B53" s="567" t="inlineStr">
        <is>
          <t>hh_site</t>
        </is>
      </c>
      <c r="C53" s="568" t="inlineStr">
        <is>
          <t>hh_site</t>
        </is>
      </c>
      <c r="D53" s="569"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3" s="570">
        <f>LEN(D53)</f>
        <v/>
      </c>
      <c r="F53" s="571"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3" s="570">
        <f>LEN(F53)</f>
        <v/>
      </c>
      <c r="H53" s="568" t="inlineStr">
        <is>
          <t>Single Choice</t>
        </is>
      </c>
      <c r="I53" s="570" t="inlineStr">
        <is>
          <t>NA</t>
        </is>
      </c>
      <c r="J53" s="570" t="inlineStr">
        <is>
          <t>Send if "hh_residencetype" "Equals" "Internally displaced person [IDP]" Or "hh_residencetype" "Equals" "Returnee" Or "hh_residencetype" "Equals" "Refugee" if not satisfied go to "hh_shelter"</t>
        </is>
      </c>
      <c r="K53" s="570" t="inlineStr">
        <is>
          <t>Form Type - Buttons</t>
        </is>
      </c>
      <c r="L53" s="572" t="inlineStr">
        <is>
          <t>1-6 = hh_shelter</t>
        </is>
      </c>
      <c r="M53" s="563" t="inlineStr">
        <is>
          <t>NA</t>
        </is>
      </c>
      <c r="N53" s="565" t="inlineStr">
        <is>
          <t>Asked to respondents that answered "Returnee", "IDP" or "Refugee" to hh_residencetype. All other respondents will skip to hh_shelter. 
For any response, go to hh_shelter</t>
        </is>
      </c>
      <c r="O53" s="439" t="inlineStr"/>
      <c r="P53" s="431" t="n"/>
      <c r="Q53" s="440" t="n"/>
      <c r="R53" s="441" t="n"/>
      <c r="T53" s="443" t="inlineStr">
        <is>
          <t>no</t>
        </is>
      </c>
      <c r="U53" s="444" t="n"/>
      <c r="X53" s="445" t="n"/>
      <c r="Y53" s="445" t="n"/>
      <c r="Z53" s="441" t="inlineStr"/>
      <c r="AD53" s="442" t="inlineStr">
        <is>
          <t xml:space="preserve">Note to explain to COs the importance of site/shelter for vulnerability assessments </t>
        </is>
      </c>
    </row>
    <row r="54" ht="270" customFormat="1" customHeight="1" s="442">
      <c r="A54" s="438" t="n"/>
      <c r="B54" s="567" t="inlineStr">
        <is>
          <t>hh_shelter</t>
        </is>
      </c>
      <c r="C54" s="568" t="inlineStr">
        <is>
          <t>hh_shelter</t>
        </is>
      </c>
      <c r="D54" s="569"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4" s="570">
        <f>LEN(D54)</f>
        <v/>
      </c>
      <c r="F54" s="571"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4" s="570">
        <f>LEN(F54)</f>
        <v/>
      </c>
      <c r="H54" s="568" t="inlineStr">
        <is>
          <t>Single Choice</t>
        </is>
      </c>
      <c r="I54" s="570" t="inlineStr">
        <is>
          <t>NA</t>
        </is>
      </c>
      <c r="J54" s="570" t="inlineStr">
        <is>
          <t>NA</t>
        </is>
      </c>
      <c r="K54" s="570" t="inlineStr">
        <is>
          <t>Form Type - Buttons</t>
        </is>
      </c>
      <c r="L54" s="572" t="inlineStr">
        <is>
          <t>1-11 = hh_predisp_agricactivity</t>
        </is>
      </c>
      <c r="M54" s="563" t="inlineStr">
        <is>
          <t>NA</t>
        </is>
      </c>
      <c r="N54" s="566" t="inlineStr">
        <is>
          <t>For any response, go to hh_predisp_agricactivity.</t>
        </is>
      </c>
      <c r="O54" s="439" t="inlineStr"/>
      <c r="P54" s="431" t="n"/>
      <c r="Q54" s="440" t="n"/>
      <c r="R54" s="441" t="n"/>
      <c r="T54" s="443" t="inlineStr">
        <is>
          <t>no</t>
        </is>
      </c>
      <c r="U54" s="444" t="n"/>
      <c r="X54" s="445" t="n"/>
      <c r="Y54" s="445" t="n"/>
      <c r="Z54" s="441" t="inlineStr"/>
      <c r="AH54" s="446" t="inlineStr">
        <is>
          <t>Consider whether shelter should be mandatory vulnerability proxy</t>
        </is>
      </c>
    </row>
    <row r="55" ht="193.9" customFormat="1" customHeight="1" s="442">
      <c r="A55" s="450" t="n"/>
      <c r="B55" s="451" t="inlineStr">
        <is>
          <t>hh_predisp_agricactivity</t>
        </is>
      </c>
      <c r="C55" s="452" t="inlineStr">
        <is>
          <t>hh_predisp_agricactivity</t>
        </is>
      </c>
      <c r="D55" s="569" t="inlineStr">
        <is>
          <t>Did you or others in your household engage in agricultural activities prior to your displacement?
[OPERATOR: SINGLE RESPONSE.]
1)YES
2)NO
3)DON'T KNOW
4)REFUSED</t>
        </is>
      </c>
      <c r="E55" s="570">
        <f>LEN(D55)</f>
        <v/>
      </c>
      <c r="F55" s="571" t="inlineStr">
        <is>
          <t>هل شاركت أنت أو أي شخص آخر في أسرتك في أنشطة زراعية قبل نزوحك؟
[المشغل: إجابة واحدة.]
1)نعم
2)لا
3)لا أعرف
4) رفض الإجابة</t>
        </is>
      </c>
      <c r="G55" s="570">
        <f>LEN(F55)</f>
        <v/>
      </c>
      <c r="H55" s="568" t="inlineStr">
        <is>
          <t>Single Choice</t>
        </is>
      </c>
      <c r="I55" s="570" t="inlineStr">
        <is>
          <t>NA</t>
        </is>
      </c>
      <c r="J55" s="453"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"income_main"</t>
        </is>
      </c>
      <c r="K55" s="570" t="inlineStr">
        <is>
          <t>Form Type - Buttons</t>
        </is>
      </c>
      <c r="L55" s="572" t="inlineStr">
        <is>
          <t>1 = hh_disp_agricactivity_type
2-4 = hh_size</t>
        </is>
      </c>
      <c r="M55" s="439" t="inlineStr">
        <is>
          <t>NA</t>
        </is>
      </c>
      <c r="N55" s="566" t="inlineStr">
        <is>
          <t>If hh_disp_agricactivity = 1, go to hh_disp_agricactivity_type; otherwise, go to hh_size.</t>
        </is>
      </c>
      <c r="O55" s="439" t="inlineStr"/>
      <c r="P55" s="431" t="n"/>
      <c r="Q55" s="440" t="n"/>
      <c r="R55" s="441" t="n"/>
      <c r="T55" s="443" t="inlineStr">
        <is>
          <t>no</t>
        </is>
      </c>
      <c r="U55" s="444" t="n"/>
      <c r="X55" s="445" t="n"/>
      <c r="Y55" s="445" t="n"/>
      <c r="Z55" s="441" t="inlineStr"/>
      <c r="AH55" s="446" t="n"/>
    </row>
    <row r="56" ht="162" customFormat="1" customHeight="1" s="442">
      <c r="A56" s="450" t="n"/>
      <c r="B56" s="451" t="inlineStr">
        <is>
          <t>hh_predisp_agricactivity_type</t>
        </is>
      </c>
      <c r="C56" s="454" t="inlineStr">
        <is>
          <t>hh_predisp_agricactivity_type
1)hh_predisp_crpprod
2)hh_predisp_lsprod
3)hh_predisp_fishprod
4)hh_predisp_dk
5)hh_predisp_ref</t>
        </is>
      </c>
      <c r="D56" s="569" t="inlineStr">
        <is>
          <t>What type of agricultural activities were they? 
[OPERATOR: MULTIPLE RESPONSES POSSIBLE.]
1)Crop production
2) Livestock production
3)Fisheries or aquaculture production
4)DON'T KNOW
5)REFUSED</t>
        </is>
      </c>
      <c r="E56" s="570">
        <f>LEN(D56)</f>
        <v/>
      </c>
      <c r="F56" s="571"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6" s="570">
        <f>LEN(F56)</f>
        <v/>
      </c>
      <c r="H56" s="568" t="inlineStr">
        <is>
          <t>Select All That Apply</t>
        </is>
      </c>
      <c r="I56" s="570" t="inlineStr">
        <is>
          <t>NA</t>
        </is>
      </c>
      <c r="J56" s="570" t="inlineStr">
        <is>
          <t>NA</t>
        </is>
      </c>
      <c r="K56" s="570" t="inlineStr">
        <is>
          <t>Form Type - Checklist
4,5= IsNone</t>
        </is>
      </c>
      <c r="L56" s="572" t="inlineStr">
        <is>
          <t>1-5 = hh_size</t>
        </is>
      </c>
      <c r="M56" s="573" t="inlineStr">
        <is>
          <t>1)hh_predisp_crpprod
2)hh_predisp_lsprod
3)hh_predisp_fishprod
4)hh_predisp_dk
5)hh_predisp_ref</t>
        </is>
      </c>
      <c r="N56" s="566" t="inlineStr">
        <is>
          <t>For any response, go to hh_size.</t>
        </is>
      </c>
      <c r="O56" s="439" t="inlineStr"/>
      <c r="P56" s="431" t="n"/>
      <c r="Q56" s="440" t="n"/>
      <c r="R56" s="441" t="n"/>
      <c r="T56" s="443" t="inlineStr">
        <is>
          <t>no</t>
        </is>
      </c>
      <c r="U56" s="444" t="n"/>
      <c r="X56" s="445" t="n"/>
      <c r="Y56" s="445" t="n"/>
      <c r="Z56" s="441" t="inlineStr"/>
      <c r="AH56" s="446" t="n"/>
    </row>
    <row r="57" ht="180" customFormat="1" customHeight="1" s="434">
      <c r="A57" s="455" t="n"/>
      <c r="B57" s="456" t="inlineStr">
        <is>
          <t>crp_returnee_plotaccess</t>
        </is>
      </c>
      <c r="C57" s="457" t="inlineStr">
        <is>
          <t>crp_returnee_plotaccess</t>
        </is>
      </c>
      <c r="D57" s="574" t="inlineStr">
        <is>
          <t>If you used to cultivate land in this area, fled and have since returned, are you able to access the same land as before?
[OPERATOR: SINGLE RESPONSE.]
1)YES
2)NO
3)I never had land here
4)DON'T KNOW
5)REFUSED</t>
        </is>
      </c>
      <c r="E57" s="560">
        <f>LEN(D57)</f>
        <v/>
      </c>
      <c r="F57" s="575"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7" s="570">
        <f>LEN(F57)</f>
        <v/>
      </c>
      <c r="H57" s="558" t="inlineStr">
        <is>
          <t>Single Choice</t>
        </is>
      </c>
      <c r="I57" s="560" t="inlineStr">
        <is>
          <t>NA</t>
        </is>
      </c>
      <c r="J57" s="453" t="inlineStr">
        <is>
          <t>Send if "hh_residencetype" "Equals" "Returnee" if not satisfied go to "hh_size"</t>
        </is>
      </c>
      <c r="K57" s="453" t="inlineStr">
        <is>
          <t>Form Type - Buttons</t>
        </is>
      </c>
      <c r="L57" s="458" t="inlineStr">
        <is>
          <t>1 = hh_size
2 = crp_orig_plot
3-5 =hh_size</t>
        </is>
      </c>
      <c r="M57" s="459" t="inlineStr">
        <is>
          <t>NA</t>
        </is>
      </c>
      <c r="N57" s="562" t="inlineStr">
        <is>
          <t>Asked only to respondents that indicated returnees as head of household, if non-returnee, proceed to hh_size.
If crp_returnee_plotaccess = 1,3-5, go to hh_size
if crp_returnee_plotaccess = 2, go to crp_orig_plot</t>
        </is>
      </c>
      <c r="O57" s="439" t="inlineStr"/>
      <c r="P57" s="460" t="n"/>
      <c r="Q57" s="432" t="n"/>
      <c r="R57" s="433" t="n"/>
      <c r="T57" s="461" t="inlineStr">
        <is>
          <t>no</t>
        </is>
      </c>
      <c r="U57" s="436" t="n"/>
      <c r="X57" s="462" t="n"/>
      <c r="Y57" s="462" t="n"/>
      <c r="Z57" s="433" t="inlineStr"/>
    </row>
    <row r="58" ht="245.15" customFormat="1" customHeight="1" s="434">
      <c r="A58" s="425" t="n"/>
      <c r="B58" s="576" t="inlineStr">
        <is>
          <t>crp_orig_plot</t>
        </is>
      </c>
      <c r="C58" s="463" t="inlineStr">
        <is>
          <t>crp_orig_plot_
1)crp_origplot_occup_comm
2)crp_origplot_occup_displacedppl
3)crp_origplot_occup_armedgps
4)crp_plot_unsafe_armedgps
5)crp_plot_unsafe_explosives
6)crp_orig_plot_distance
7)crp_orig_plot_other
8)crp_orig_plot_dk
9)crp_orig_plot_ref</t>
        </is>
      </c>
      <c r="D58" s="577"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8" s="560">
        <f>LEN(D58)</f>
        <v/>
      </c>
      <c r="F58" s="575"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8" s="570">
        <f>LEN(F58)</f>
        <v/>
      </c>
      <c r="H58" s="558" t="inlineStr">
        <is>
          <t>Open Ended-Select All That Apply</t>
        </is>
      </c>
      <c r="I58" s="570" t="inlineStr">
        <is>
          <t>NA</t>
        </is>
      </c>
      <c r="J58" s="570" t="inlineStr">
        <is>
          <t>NA</t>
        </is>
      </c>
      <c r="K58" s="570" t="inlineStr">
        <is>
          <t>Form Type - Checklist
7,8= IsNone</t>
        </is>
      </c>
      <c r="L58" s="572" t="inlineStr">
        <is>
          <t>1-8 = hh_size</t>
        </is>
      </c>
      <c r="M58" s="464" t="inlineStr">
        <is>
          <t>1)crp_origplot_occup_comm
2)crp_origplot_occup_displacedppl
3)crp_origplot_occup_armedgps
4)crp_plot_unsafe_armedgps
5)crp_plot_unsafe_explosives
6)crp_orig_plot_distance
7)crp_orig_plot_other
8)crp_orig_plot_dk
9)crp_orig_plot_ref</t>
        </is>
      </c>
      <c r="N58" s="566" t="inlineStr">
        <is>
          <t>For any response, go to hh_size.</t>
        </is>
      </c>
      <c r="O58" s="439" t="inlineStr"/>
      <c r="P58" s="460" t="n"/>
      <c r="Q58" s="432">
        <f>'[1]Additional information'!$D$17</f>
        <v/>
      </c>
      <c r="R58" s="433" t="n"/>
      <c r="T58" s="435" t="inlineStr">
        <is>
          <t>no</t>
        </is>
      </c>
      <c r="U58" s="436" t="n"/>
      <c r="X58" s="437" t="n"/>
      <c r="Y58" s="437">
        <f>IF(X58="","",X58*Q58)</f>
        <v/>
      </c>
      <c r="Z58" s="433" t="inlineStr"/>
    </row>
    <row r="59" ht="142.5" customFormat="1" customHeight="1" s="109">
      <c r="A59" s="13">
        <f>#REF!+1</f>
        <v/>
      </c>
      <c r="B59" s="526" t="inlineStr">
        <is>
          <t>hh_size</t>
        </is>
      </c>
      <c r="C59" s="578" t="inlineStr">
        <is>
          <t>hh_size</t>
        </is>
      </c>
      <c r="D59" s="5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9" s="528">
        <f>LEN(D59)</f>
        <v/>
      </c>
      <c r="F59" s="580"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9" s="528">
        <f>LEN(F59)</f>
        <v/>
      </c>
      <c r="H59" s="578" t="inlineStr">
        <is>
          <t>Range</t>
        </is>
      </c>
      <c r="I59" s="528" t="inlineStr">
        <is>
          <t>NA</t>
        </is>
      </c>
      <c r="J59" s="528" t="inlineStr">
        <is>
          <t>NA</t>
        </is>
      </c>
      <c r="K59" s="528" t="inlineStr">
        <is>
          <t>Form Type - TextBox</t>
        </is>
      </c>
      <c r="L59" s="527" t="inlineStr">
        <is>
          <t>1-50 = hh_asset_prod
88-88 = hh_asset_prod
99-99 = hh_asset_prod</t>
        </is>
      </c>
      <c r="M59" s="53" t="inlineStr">
        <is>
          <t>NA</t>
        </is>
      </c>
      <c r="N59" s="581" t="inlineStr">
        <is>
          <t>For any response, go to [next question]</t>
        </is>
      </c>
      <c r="O59" s="40" t="inlineStr">
        <is>
          <t>For any response, go to  o_hh_asset</t>
        </is>
      </c>
      <c r="P59" s="9" t="n"/>
      <c r="Q59" s="203">
        <f>1</f>
        <v/>
      </c>
      <c r="R59" s="103" t="n"/>
      <c r="T59" s="111" t="inlineStr">
        <is>
          <t>no</t>
        </is>
      </c>
      <c r="U59" s="694" t="n"/>
      <c r="X59" s="202" t="n">
        <v>16.90229415893555</v>
      </c>
      <c r="Y59" s="202">
        <f>IF(X59="","",X59*Q59)</f>
        <v/>
      </c>
      <c r="Z59" s="103" t="inlineStr"/>
    </row>
    <row r="60" ht="409.5" customFormat="1" customHeight="1" s="109">
      <c r="A60" s="13">
        <f>A59+1</f>
        <v/>
      </c>
      <c r="B60" s="526" t="inlineStr">
        <is>
          <t>o_hh_asset</t>
        </is>
      </c>
      <c r="C60" s="582" t="inlineStr">
        <is>
          <t>hh_asset_prod_
1)hh_asset_prod_process
2)hh_asset_prod_farmmach
3)hh_asset_prod_sewing
4)hh_asset_prod_taxi
5)hh_asset_prod_truck
6)hh_asset_prod_other
7) hh_asset_prod_none
8) hh_asset_prod_dk
9) hh_asset_prod_ref</t>
        </is>
      </c>
      <c r="D60" s="583"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60" s="528">
        <f>LEN(D60)</f>
        <v/>
      </c>
      <c r="F60" s="58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0" s="528">
        <f>LEN(F60)</f>
        <v/>
      </c>
      <c r="H60" s="578" t="inlineStr">
        <is>
          <t>Select All That Apply</t>
        </is>
      </c>
      <c r="I60" s="528" t="inlineStr">
        <is>
          <t>NA</t>
        </is>
      </c>
      <c r="J60" s="528" t="inlineStr">
        <is>
          <t>NA</t>
        </is>
      </c>
      <c r="K60" s="528" t="inlineStr">
        <is>
          <t>Form Type - Checklist
28,29,30 = IsNone</t>
        </is>
      </c>
      <c r="L60" s="527" t="inlineStr">
        <is>
          <t>1-30 =  hh_maritalstat</t>
        </is>
      </c>
      <c r="M60" s="53" t="inlineStr"/>
      <c r="N60" s="581" t="inlineStr">
        <is>
          <t>For any response, go to [hh_maritalstat]</t>
        </is>
      </c>
      <c r="O60" s="414" t="inlineStr">
        <is>
          <t>1-30 =  hh_maritalstat</t>
        </is>
      </c>
      <c r="P60" s="44" t="inlineStr">
        <is>
          <t xml:space="preserve">This wealth indicator may be useful to Identify poor households in middle income countries. It could be interesting for F2F surveys, to be used as baseline reference for follow-up surveys. </t>
        </is>
      </c>
      <c r="Q60" s="203">
        <f>1</f>
        <v/>
      </c>
      <c r="R60" s="103" t="n"/>
      <c r="T60" s="111" t="inlineStr">
        <is>
          <t>no</t>
        </is>
      </c>
      <c r="U60" s="694" t="n"/>
      <c r="X60" s="202" t="n">
        <v>16.95780372619629</v>
      </c>
      <c r="Y60" s="202">
        <f>IF(X60="","",X60*Q60)</f>
        <v/>
      </c>
      <c r="Z60" s="103" t="inlineStr"/>
    </row>
    <row r="61" ht="171.65" customFormat="1" customHeight="1" s="109">
      <c r="A61" s="13">
        <f>#REF!+1</f>
        <v/>
      </c>
      <c r="B61" s="184" t="inlineStr">
        <is>
          <t>hh_maritalstat</t>
        </is>
      </c>
      <c r="C61" s="183" t="inlineStr">
        <is>
          <t>hh_maritalstat</t>
        </is>
      </c>
      <c r="D61" s="14" t="inlineStr">
        <is>
          <t>What is the head of household’s current marital status? 
[OPERATOR: SINGLE RESPONSE.]
1)Single / never married 
2)Married
3)Separated
4)Divorced
5)Widowed
6)DON’T KNOW
7)REFUSED</t>
        </is>
      </c>
      <c r="E61" s="17">
        <f>LEN(D61)</f>
        <v/>
      </c>
      <c r="F61" s="390" t="inlineStr">
        <is>
          <t>ما هي الحالة الاجتماعية الحالية لرب الأسرة؟
[المشغل: استجابة واحدة.]
1) أعزب / لم يتزوج قط
2) متزوج
3) منفصل
4) مطلق
5) أرمل
6) لا أعرف
7) رفض الإجابة</t>
        </is>
      </c>
      <c r="G61" s="17">
        <f>LEN(F61)</f>
        <v/>
      </c>
      <c r="H61" s="578" t="inlineStr">
        <is>
          <t>Single Choice</t>
        </is>
      </c>
      <c r="I61" s="18" t="inlineStr">
        <is>
          <t>NA</t>
        </is>
      </c>
      <c r="J61" s="18" t="inlineStr">
        <is>
          <t>NA</t>
        </is>
      </c>
      <c r="K61" s="528" t="inlineStr">
        <is>
          <t>Form Type - Buttons</t>
        </is>
      </c>
      <c r="L61" s="527" t="inlineStr">
        <is>
          <t>1-7 = hh_age</t>
        </is>
      </c>
      <c r="M61" s="53" t="inlineStr">
        <is>
          <t>NA</t>
        </is>
      </c>
      <c r="N61" s="581" t="inlineStr">
        <is>
          <t>For any response, go to [next question]</t>
        </is>
      </c>
      <c r="O61" s="414" t="inlineStr">
        <is>
          <t>1-7 = hh_age</t>
        </is>
      </c>
      <c r="P61" s="19" t="n"/>
      <c r="Q61" s="203">
        <f>1</f>
        <v/>
      </c>
      <c r="R61" s="103" t="n"/>
      <c r="T61" s="111" t="inlineStr">
        <is>
          <t>no</t>
        </is>
      </c>
      <c r="U61" s="694" t="n"/>
      <c r="X61" s="202" t="n">
        <v>9.96186637878418</v>
      </c>
      <c r="Y61" s="202">
        <f>IF(X61="","",X61*Q61)</f>
        <v/>
      </c>
      <c r="Z61" s="103" t="inlineStr"/>
    </row>
    <row r="62" ht="156.65" customFormat="1" customHeight="1" s="109" thickBot="1">
      <c r="A62" s="13">
        <f>A61+1</f>
        <v/>
      </c>
      <c r="B62" s="181" t="inlineStr">
        <is>
          <t>hh_age</t>
        </is>
      </c>
      <c r="C62" s="182" t="inlineStr">
        <is>
          <t>hh_age</t>
        </is>
      </c>
      <c r="D62" s="20" t="inlineStr">
        <is>
          <t>How old is the head of household? 
[OPERATOR: SINGLE RESPONSE.]
1)Under 18
2)18 to 40 
3)41 to 65 
4)Over 65
5)DON'T KNOW
6)REFUSED</t>
        </is>
      </c>
      <c r="E62" s="17">
        <f>LEN(D62)</f>
        <v/>
      </c>
      <c r="F62" s="391" t="inlineStr">
        <is>
          <t>كم عمر رب الاسرة؟
[المشغل: استجابة واحدة.]
1) أقل من 18 عامًا
2) بين 18 و 40 عامًا
3) بين 41 و 65 عامًا
4) فوق 65 عامًا
5) لا أعرف
6) رفض الإجابة</t>
        </is>
      </c>
      <c r="G62" s="17">
        <f>LEN(F62)</f>
        <v/>
      </c>
      <c r="H62" s="578" t="inlineStr">
        <is>
          <t>Single Choice</t>
        </is>
      </c>
      <c r="I62" s="17" t="inlineStr">
        <is>
          <t>NA</t>
        </is>
      </c>
      <c r="J62" s="17" t="inlineStr">
        <is>
          <t>NA</t>
        </is>
      </c>
      <c r="K62" s="528" t="inlineStr">
        <is>
          <t>Form Type - Buttons</t>
        </is>
      </c>
      <c r="L62" s="527" t="inlineStr">
        <is>
          <t>1-6 = income_main</t>
        </is>
      </c>
      <c r="M62" s="53" t="inlineStr">
        <is>
          <t>NA</t>
        </is>
      </c>
      <c r="N62" s="581" t="inlineStr">
        <is>
          <t>For any response, go to [next question]</t>
        </is>
      </c>
      <c r="O62" s="414" t="inlineStr">
        <is>
          <t>1-6 = o_fishery_activity</t>
        </is>
      </c>
      <c r="P62" s="9" t="n"/>
      <c r="Q62" s="203">
        <f>1</f>
        <v/>
      </c>
      <c r="R62" s="103" t="n"/>
      <c r="T62" s="111" t="inlineStr">
        <is>
          <t>no</t>
        </is>
      </c>
      <c r="U62" s="694" t="n"/>
      <c r="X62" s="202" t="n">
        <v>7.02484130859375</v>
      </c>
      <c r="Y62" s="202">
        <f>IF(X62="","",X62*Q62)</f>
        <v/>
      </c>
      <c r="Z62" s="103" t="inlineStr"/>
    </row>
    <row r="63" ht="16.4" customFormat="1" customHeight="1" s="310" thickBot="1">
      <c r="A63" s="412" t="inlineStr">
        <is>
          <t>C. INCOME SOURCES, LIVELIHOOD AND SHOCKS</t>
        </is>
      </c>
      <c r="B63" s="687" t="inlineStr">
        <is>
          <t>C. INCOME &amp; SHOCKS</t>
        </is>
      </c>
      <c r="C63" s="685" t="n"/>
      <c r="D63" s="685" t="n"/>
      <c r="E63" s="685" t="n"/>
      <c r="F63" s="685" t="n"/>
      <c r="G63" s="685" t="n"/>
      <c r="H63" s="685" t="n"/>
      <c r="I63" s="685" t="n"/>
      <c r="J63" s="685" t="n"/>
      <c r="K63" s="685" t="n"/>
      <c r="L63" s="685" t="n"/>
      <c r="M63" s="685" t="n"/>
      <c r="N63" s="685" t="n"/>
      <c r="O63" s="685" t="n"/>
      <c r="P63" s="686" t="n"/>
      <c r="Q63" s="198" t="n"/>
      <c r="R63" s="315" t="n"/>
      <c r="T63" s="313" t="inlineStr"/>
      <c r="U63" s="316" t="n"/>
      <c r="X63" s="201" t="n"/>
      <c r="Y63" s="201">
        <f>IF(X63="","",X63*Q63)</f>
        <v/>
      </c>
      <c r="Z63" s="315" t="inlineStr"/>
    </row>
    <row r="64" customFormat="1" s="109">
      <c r="A64" s="143" t="n"/>
      <c r="B64" s="143" t="n"/>
      <c r="C64" s="143" t="n"/>
      <c r="D64" s="74" t="n"/>
      <c r="E64" s="143" t="n"/>
      <c r="F64" s="143" t="n"/>
      <c r="G64" s="143" t="n"/>
      <c r="H64" s="143" t="n"/>
      <c r="I64" s="143" t="n"/>
      <c r="J64" s="143" t="n"/>
      <c r="K64" s="143" t="n"/>
      <c r="L64" s="143" t="n"/>
      <c r="M64" s="59" t="n"/>
      <c r="N64" s="143" t="n"/>
      <c r="O64" s="143" t="n"/>
      <c r="P64" s="32" t="n"/>
      <c r="Q64" s="203">
        <f>1</f>
        <v/>
      </c>
      <c r="R64" s="103" t="n"/>
      <c r="T64" s="111" t="n"/>
      <c r="U64" s="694" t="n"/>
      <c r="X64" s="202" t="n"/>
      <c r="Y64" s="202">
        <f>IF(X64="","",X64*Q64)</f>
        <v/>
      </c>
      <c r="Z64" s="103">
        <f>IF(T64="yes",Y64,"")</f>
        <v/>
      </c>
    </row>
    <row r="65" ht="409.5" customFormat="1" customHeight="1" s="109">
      <c r="A65" s="70">
        <f>A62+1</f>
        <v/>
      </c>
      <c r="B65" s="179" t="inlineStr">
        <is>
          <t>income_main</t>
        </is>
      </c>
      <c r="C65" s="108" t="inlineStr">
        <is>
          <t>income_main</t>
        </is>
      </c>
      <c r="D65" s="498"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5" s="106">
        <f>LEN(D65)</f>
        <v/>
      </c>
      <c r="F65"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5" s="106">
        <f>LEN(F65)</f>
        <v/>
      </c>
      <c r="H65" s="108" t="inlineStr">
        <is>
          <t>Single Choice</t>
        </is>
      </c>
      <c r="I65" s="106" t="inlineStr">
        <is>
          <t>NA</t>
        </is>
      </c>
      <c r="J65" s="106" t="inlineStr">
        <is>
          <t>NA</t>
        </is>
      </c>
      <c r="K65" s="106" t="inlineStr">
        <is>
          <t>Form Type - Buttons
IsDemographic</t>
        </is>
      </c>
      <c r="L65" s="105" t="inlineStr">
        <is>
          <t>1-3 = income_main_crop_check
4 = income_main_ls_check 
5 = income_main_comp OR optional question
6 = income_main_fish_check 
7-18 = income_main_comp OR optional question
19-20 = shock</t>
        </is>
      </c>
      <c r="M65" s="165" t="inlineStr">
        <is>
          <t>NA</t>
        </is>
      </c>
      <c r="N65"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5" s="33" t="inlineStr">
        <is>
          <t>income_main_gender</t>
        </is>
      </c>
      <c r="P65" s="32" t="n"/>
      <c r="Q65" s="198">
        <f>1</f>
        <v/>
      </c>
      <c r="R65" s="103" t="n"/>
      <c r="T65" s="313" t="inlineStr">
        <is>
          <t>yes</t>
        </is>
      </c>
      <c r="U65" s="694" t="n"/>
      <c r="X65" s="201" t="n">
        <v>31.88833427429199</v>
      </c>
      <c r="Y65" s="201">
        <f>IF(X65="","",X65*Q65)</f>
        <v/>
      </c>
      <c r="Z65" s="103" t="inlineStr">
        <is>
          <t>31.88833427429199</t>
        </is>
      </c>
    </row>
    <row r="66" ht="124.9" customFormat="1" customHeight="1" s="109">
      <c r="A66" s="70" t="n"/>
      <c r="B66" s="179" t="inlineStr">
        <is>
          <t>income_main_crop_check</t>
        </is>
      </c>
      <c r="C66" s="186" t="inlineStr">
        <is>
          <t>income_main_crop_check</t>
        </is>
      </c>
      <c r="D66" s="113" t="inlineStr">
        <is>
          <t>Are the crops sold also produced by you or anyone in your household?
[OPERATOR: SINGLE RESPONSE.]
1)YES
2)NO
3)DON'T KNOW
4)REFUSED</t>
        </is>
      </c>
      <c r="E66" s="106">
        <f>LEN(D66)</f>
        <v/>
      </c>
      <c r="F66" s="302" t="inlineStr">
        <is>
          <t>هل تم إنتاج المحاصيل التي تبيعها أنت أو أي شخص في منزلك أيضًا؟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income_main_crop_check = 1-4, go to [income_main_comp OR optional question]</t>
        </is>
      </c>
      <c r="O66" s="33" t="inlineStr">
        <is>
          <t>1-4 = income_main_gender</t>
        </is>
      </c>
      <c r="P66" s="32" t="n"/>
      <c r="Q66" s="198">
        <f>1</f>
        <v/>
      </c>
      <c r="R66" s="103" t="n"/>
      <c r="T66" s="313" t="inlineStr">
        <is>
          <t>yes</t>
        </is>
      </c>
      <c r="U66" s="694" t="n"/>
      <c r="X66" s="201" t="n">
        <v>8</v>
      </c>
      <c r="Y66" s="201">
        <f>IF(X66="","",X66*Q66)</f>
        <v/>
      </c>
      <c r="Z66" s="103" t="inlineStr">
        <is>
          <t>8</t>
        </is>
      </c>
    </row>
    <row r="67" ht="140.65" customFormat="1" customHeight="1" s="109">
      <c r="A67" s="70" t="n"/>
      <c r="B67" s="179" t="inlineStr">
        <is>
          <t>income_main_ls_check</t>
        </is>
      </c>
      <c r="C67" s="186" t="inlineStr">
        <is>
          <t>income_main_ls_check</t>
        </is>
      </c>
      <c r="D67" s="499" t="inlineStr">
        <is>
          <t>Are the livestock or livestock products sold also produced by you or anyone in your household?
[OPERATOR: SINGLE RESPONSE.]
1)YES
2)NO
3)DON'T KNOW
4)REFUSED</t>
        </is>
      </c>
      <c r="E67" s="106">
        <f>LEN(D67)</f>
        <v/>
      </c>
      <c r="F67" s="302" t="inlineStr">
        <is>
          <t>هل تم إنتاج المواشي ومنتجاتها التي تبيعها أنت أو أي شخص في منزلك أيضًا؟
[المشغل: استجابة واحدة.]
1) نعم
2) لا
3) لا أعرف
4) رفض الإجابة</t>
        </is>
      </c>
      <c r="G67" s="106">
        <f>LEN(F67)</f>
        <v/>
      </c>
      <c r="H67" s="108" t="inlineStr">
        <is>
          <t>Single Choice</t>
        </is>
      </c>
      <c r="I67" s="106" t="inlineStr">
        <is>
          <t>NA</t>
        </is>
      </c>
      <c r="J67" s="106" t="inlineStr">
        <is>
          <t>NA</t>
        </is>
      </c>
      <c r="K67" s="106" t="inlineStr">
        <is>
          <t>Form Type - Buttons</t>
        </is>
      </c>
      <c r="L67" s="105" t="inlineStr">
        <is>
          <t>1-4 = income_main_comp OR optional question</t>
        </is>
      </c>
      <c r="M67" s="165" t="inlineStr">
        <is>
          <t>NA</t>
        </is>
      </c>
      <c r="N67" s="112" t="inlineStr">
        <is>
          <t>if income_main_ls_check = 1-4, go to [income_main_comp OR optional question]</t>
        </is>
      </c>
      <c r="O67" s="33" t="inlineStr">
        <is>
          <t>1-4 = income_main_gender</t>
        </is>
      </c>
      <c r="P67" s="32" t="n"/>
      <c r="Q67" s="198">
        <f>1</f>
        <v/>
      </c>
      <c r="R67" s="103" t="n"/>
      <c r="T67" s="313" t="inlineStr">
        <is>
          <t>yes</t>
        </is>
      </c>
      <c r="U67" s="694" t="n"/>
      <c r="X67" s="201" t="n">
        <v>8</v>
      </c>
      <c r="Y67" s="201">
        <f>IF(X67="","",X67*Q67)</f>
        <v/>
      </c>
      <c r="Z67" s="103" t="inlineStr">
        <is>
          <t>8</t>
        </is>
      </c>
    </row>
    <row r="68" ht="140.65" customFormat="1" customHeight="1" s="109">
      <c r="A68" s="70" t="n"/>
      <c r="B68" s="179" t="inlineStr">
        <is>
          <t>income_main_fish_check</t>
        </is>
      </c>
      <c r="C68" s="186" t="inlineStr">
        <is>
          <t>income_main_fish_check</t>
        </is>
      </c>
      <c r="D68" s="113" t="inlineStr">
        <is>
          <t>Are the fish or aquatic products sold also captured/harvested by you or anyone in your household?
[OPERATOR: SINGLE RESPONSE.]
1)YES
2)NO
3)DON'T KNOW
4)REFUSED</t>
        </is>
      </c>
      <c r="E68" s="106">
        <f>LEN(D68)</f>
        <v/>
      </c>
      <c r="F68"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8" s="106">
        <f>LEN(F68)</f>
        <v/>
      </c>
      <c r="H68" s="108" t="inlineStr">
        <is>
          <t>Single Choice</t>
        </is>
      </c>
      <c r="I68" s="106" t="inlineStr">
        <is>
          <t>NA</t>
        </is>
      </c>
      <c r="J68" s="106" t="inlineStr">
        <is>
          <t>NA</t>
        </is>
      </c>
      <c r="K68" s="106" t="inlineStr">
        <is>
          <t>Form Type - Buttons</t>
        </is>
      </c>
      <c r="L68" s="105" t="inlineStr">
        <is>
          <t>1-4 = income_main_comp OR optional question</t>
        </is>
      </c>
      <c r="M68" s="165" t="inlineStr">
        <is>
          <t>NA</t>
        </is>
      </c>
      <c r="N68" s="112" t="inlineStr">
        <is>
          <t>if income_main_fish_check = 1-4, go to [income_main_comp OR optional question]</t>
        </is>
      </c>
      <c r="O68" s="33" t="inlineStr">
        <is>
          <t>1-4 = income_main_gender</t>
        </is>
      </c>
      <c r="P68" s="32" t="n"/>
      <c r="Q68" s="198">
        <f>1</f>
        <v/>
      </c>
      <c r="R68" s="103" t="n"/>
      <c r="T68" s="313" t="inlineStr">
        <is>
          <t>yes</t>
        </is>
      </c>
      <c r="U68" s="694" t="n"/>
      <c r="X68" s="201" t="n">
        <v>8</v>
      </c>
      <c r="Y68" s="201">
        <f>IF(X68="","",X68*Q68)</f>
        <v/>
      </c>
      <c r="Z68" s="103" t="inlineStr">
        <is>
          <t>8</t>
        </is>
      </c>
    </row>
    <row r="69" customFormat="1" s="109">
      <c r="A69" s="70" t="n"/>
      <c r="B69" s="192" t="n"/>
      <c r="C69" s="195" t="n"/>
      <c r="D69" s="196" t="n"/>
      <c r="E69" s="74" t="n"/>
      <c r="G69" s="74" t="n"/>
      <c r="H69" s="71" t="n"/>
      <c r="I69" s="74" t="n"/>
      <c r="J69" s="74" t="n"/>
      <c r="K69" s="74" t="n"/>
      <c r="L69" s="59" t="n"/>
      <c r="M69" s="37" t="n"/>
      <c r="N69" s="131" t="n"/>
      <c r="O69" s="131" t="n"/>
      <c r="P69" s="32" t="n"/>
      <c r="Q69" s="203">
        <f>1</f>
        <v/>
      </c>
      <c r="R69" s="103" t="n"/>
      <c r="T69" s="111" t="n"/>
      <c r="U69" s="694" t="n"/>
      <c r="X69" s="202" t="n"/>
      <c r="Y69" s="202">
        <f>IF(X69="","",X69*Q69)</f>
        <v/>
      </c>
      <c r="Z69" s="103">
        <f>IF(T69="yes",Y69,"")</f>
        <v/>
      </c>
    </row>
    <row r="70" ht="156" customFormat="1" customHeight="1" s="109">
      <c r="A70" s="36" t="n">
        <v>19</v>
      </c>
      <c r="B70" s="272" t="inlineStr">
        <is>
          <t>income_main_gender</t>
        </is>
      </c>
      <c r="C70" s="273" t="inlineStr">
        <is>
          <t>income_main_gender</t>
        </is>
      </c>
      <c r="D70" s="35" t="inlineStr">
        <is>
          <t>What is the gender of the household member[s] generating income from this source? 
[OPERATOR: SINGLE RESPONSE.]
1)Male
2)Female
3)Joint [both male &amp; female]
4)DON'T KNOW
5)REFUSED</t>
        </is>
      </c>
      <c r="E70" s="15">
        <f>LEN(D70)</f>
        <v/>
      </c>
      <c r="F70"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0" s="528">
        <f>LEN(F70)</f>
        <v/>
      </c>
      <c r="H70" s="16" t="inlineStr">
        <is>
          <t>Single Choice</t>
        </is>
      </c>
      <c r="I70" s="15" t="inlineStr">
        <is>
          <t>NA</t>
        </is>
      </c>
      <c r="J70" s="15" t="inlineStr">
        <is>
          <t>NA</t>
        </is>
      </c>
      <c r="K70" s="15" t="inlineStr">
        <is>
          <t>Form Type - Buttons</t>
        </is>
      </c>
      <c r="L70" s="24" t="inlineStr">
        <is>
          <t>1-5 = [income_main_comp OR optional question]</t>
        </is>
      </c>
      <c r="M70" s="53" t="inlineStr">
        <is>
          <t>NA</t>
        </is>
      </c>
      <c r="N70" s="263" t="inlineStr">
        <is>
          <t>if income_main_gender = 1-5, go to income_main_comp or optional question</t>
        </is>
      </c>
      <c r="O70" s="33" t="inlineStr">
        <is>
          <t>1-5 = income_main_comp</t>
        </is>
      </c>
      <c r="P70" s="32" t="n"/>
      <c r="Q70" s="203">
        <f>1</f>
        <v/>
      </c>
      <c r="R70" s="103" t="n"/>
      <c r="T70" s="111" t="inlineStr">
        <is>
          <t>no</t>
        </is>
      </c>
      <c r="U70" s="694" t="n"/>
      <c r="X70" s="202" t="n">
        <v>4.787401676177979</v>
      </c>
      <c r="Y70" s="202">
        <f>IF(X70="","",X70*Q70)</f>
        <v/>
      </c>
      <c r="Z70" s="103" t="inlineStr"/>
    </row>
    <row r="71" customFormat="1" s="109">
      <c r="A71" s="31" t="n"/>
      <c r="B71" s="551" t="n"/>
      <c r="C71" s="195" t="n"/>
      <c r="D71" s="585" t="n"/>
      <c r="E71" s="536" t="n"/>
      <c r="F71" s="327" t="n"/>
      <c r="G71" s="536" t="n"/>
      <c r="H71" s="77" t="n"/>
      <c r="I71" s="74" t="n"/>
      <c r="J71" s="74" t="n"/>
      <c r="K71" s="74" t="n"/>
      <c r="L71" s="59" t="n"/>
      <c r="M71" s="37" t="n"/>
      <c r="N71" s="131" t="n"/>
      <c r="O71" s="131" t="n"/>
      <c r="P71" s="259" t="n"/>
      <c r="Q71" s="203">
        <f>1</f>
        <v/>
      </c>
      <c r="R71" s="103" t="n"/>
      <c r="T71" s="111" t="n"/>
      <c r="U71" s="694" t="n"/>
      <c r="X71" s="202" t="n"/>
      <c r="Y71" s="202">
        <f>IF(X71="","",X71*Q71)</f>
        <v/>
      </c>
      <c r="Z71" s="103">
        <f>IF(T71="yes",Y71,"")</f>
        <v/>
      </c>
    </row>
    <row r="72" ht="187.4" customFormat="1" customHeight="1" s="109">
      <c r="A72" s="31" t="n">
        <v>21</v>
      </c>
      <c r="B72" s="520" t="inlineStr">
        <is>
          <t>income_main_comp</t>
        </is>
      </c>
      <c r="C72" s="108" t="inlineStr">
        <is>
          <t>income_main_comp</t>
        </is>
      </c>
      <c r="D72" s="5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2" s="521">
        <f>LEN(D72)</f>
        <v/>
      </c>
      <c r="F72" s="533"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2" s="521">
        <f>LEN(F72)</f>
        <v/>
      </c>
      <c r="H72" s="522" t="inlineStr">
        <is>
          <t>Single Choice</t>
        </is>
      </c>
      <c r="I72" s="521" t="inlineStr">
        <is>
          <t>NA</t>
        </is>
      </c>
      <c r="J72" s="521" t="inlineStr">
        <is>
          <t>NA</t>
        </is>
      </c>
      <c r="K72" s="521" t="inlineStr">
        <is>
          <t>Form Type - Buttons</t>
        </is>
      </c>
      <c r="L72" s="132" t="inlineStr">
        <is>
          <t>1-7= income_sec</t>
        </is>
      </c>
      <c r="M72" s="165" t="inlineStr">
        <is>
          <t>NA</t>
        </is>
      </c>
      <c r="N72" s="132" t="inlineStr">
        <is>
          <t>if income_main_comp = 1-7, go to income_sec</t>
        </is>
      </c>
      <c r="O72" s="37" t="inlineStr"/>
      <c r="P72" s="9" t="n"/>
      <c r="Q72" s="198">
        <f>1</f>
        <v/>
      </c>
      <c r="R72" s="103" t="n"/>
      <c r="T72" s="313" t="inlineStr">
        <is>
          <t>yes</t>
        </is>
      </c>
      <c r="U72" s="694" t="n"/>
      <c r="X72" s="201" t="n">
        <v>22.1262149810791</v>
      </c>
      <c r="Y72" s="201">
        <f>IF(X72="","",X72*Q72)</f>
        <v/>
      </c>
      <c r="Z72" s="103" t="inlineStr">
        <is>
          <t>22.1262149810791</t>
        </is>
      </c>
    </row>
    <row r="73" customFormat="1" s="109">
      <c r="A73" s="31" t="n"/>
      <c r="B73" s="551" t="n"/>
      <c r="C73" s="71" t="n"/>
      <c r="D73" s="555" t="n"/>
      <c r="E73" s="536" t="n"/>
      <c r="F73" s="536" t="n"/>
      <c r="G73" s="536" t="n"/>
      <c r="H73" s="537" t="n"/>
      <c r="I73" s="536" t="n"/>
      <c r="J73" s="536" t="n"/>
      <c r="K73" s="536" t="n"/>
      <c r="L73" s="62" t="n"/>
      <c r="M73" s="37" t="n"/>
      <c r="N73" s="62" t="n"/>
      <c r="O73" s="62" t="n"/>
      <c r="P73" s="9" t="n"/>
      <c r="Q73" s="203">
        <f>1</f>
        <v/>
      </c>
      <c r="R73" s="103" t="n"/>
      <c r="T73" s="111" t="n"/>
      <c r="U73" s="694" t="n"/>
      <c r="X73" s="202" t="n"/>
      <c r="Y73" s="202">
        <f>IF(X73="","",X73*Q73)</f>
        <v/>
      </c>
      <c r="Z73" s="103">
        <f>IF(T73="yes",Y73,"")</f>
        <v/>
      </c>
    </row>
    <row r="74" ht="409.4" customFormat="1" customHeight="1" s="109">
      <c r="A74" s="31">
        <f>A72+1</f>
        <v/>
      </c>
      <c r="B74" s="520" t="inlineStr">
        <is>
          <t>income_sec</t>
        </is>
      </c>
      <c r="C74" s="108" t="inlineStr">
        <is>
          <t>income_sec</t>
        </is>
      </c>
      <c r="D74" s="586"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4" s="521">
        <f>LEN(D74)</f>
        <v/>
      </c>
      <c r="F74" s="533"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4" s="521">
        <f>LEN(F74)</f>
        <v/>
      </c>
      <c r="H74" s="522" t="inlineStr">
        <is>
          <t>Single Choice</t>
        </is>
      </c>
      <c r="I74" s="521" t="inlineStr">
        <is>
          <t>NA</t>
        </is>
      </c>
      <c r="J74" s="521" t="inlineStr">
        <is>
          <t>NA</t>
        </is>
      </c>
      <c r="K74" s="521" t="inlineStr">
        <is>
          <t>Form Type - Buttons
exclude selected "income_main"
IsDemographic</t>
        </is>
      </c>
      <c r="L74" s="105" t="inlineStr">
        <is>
          <t>1-3 = income_sec_crop_check
4 = income_sec_ls_check
5 = income_sec_comp OR optional question
6 = income_sec_fish_check
7-18 = income_sec_comp OR optional question
19-21 = shock</t>
        </is>
      </c>
      <c r="M74" s="165" t="inlineStr">
        <is>
          <t>NA</t>
        </is>
      </c>
      <c r="N74"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4" s="33" t="inlineStr">
        <is>
          <t>income_sec_gender</t>
        </is>
      </c>
      <c r="P74" s="9" t="n"/>
      <c r="Q74" s="198">
        <f>1</f>
        <v/>
      </c>
      <c r="R74" s="103" t="n"/>
      <c r="T74" s="313" t="inlineStr">
        <is>
          <t>yes</t>
        </is>
      </c>
      <c r="U74" s="694" t="n"/>
      <c r="X74" s="201" t="n">
        <v>18.71065330505371</v>
      </c>
      <c r="Y74" s="201">
        <f>IF(X74="","",X74*Q74)</f>
        <v/>
      </c>
      <c r="Z74" s="103" t="inlineStr">
        <is>
          <t>18.71065330505371</t>
        </is>
      </c>
    </row>
    <row r="75" ht="182.15" customFormat="1" customHeight="1" s="178">
      <c r="A75" s="31" t="n"/>
      <c r="B75" s="179" t="inlineStr">
        <is>
          <t>income_sec_crop_check</t>
        </is>
      </c>
      <c r="C75" s="186" t="inlineStr">
        <is>
          <t>income_sec_crop_check</t>
        </is>
      </c>
      <c r="D75" s="113" t="inlineStr">
        <is>
          <t>Are the crops sold also produced by you or anyone in your household?
[OPERATOR: SINGLE RESPONSE.]
1)YES
2)NO
3)DON'T KNOW
4)REFUSED</t>
        </is>
      </c>
      <c r="E75" s="106">
        <f>LEN(D75)</f>
        <v/>
      </c>
      <c r="F75" s="302" t="inlineStr">
        <is>
          <t>هل تم إنتاج المحاصيل التي تبيعها أنت أو أي شخص في منزلك أيضًا؟
[المشغل: استجابة واحدة.]
1) نعم
2) لا
3) لا أعرف
4) رفض الإجابة</t>
        </is>
      </c>
      <c r="G75" s="521">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income_sec_crop_check = 1-4, go to [income_sec_comp OR optional question]</t>
        </is>
      </c>
      <c r="O75" s="33" t="inlineStr">
        <is>
          <t>1-4 = income_sec_gender</t>
        </is>
      </c>
      <c r="P75" s="32" t="n"/>
      <c r="Q75" s="282">
        <f>1</f>
        <v/>
      </c>
      <c r="R75" s="104" t="n"/>
      <c r="T75" s="317" t="inlineStr">
        <is>
          <t>yes</t>
        </is>
      </c>
      <c r="U75" s="693" t="n"/>
      <c r="X75" s="205" t="n">
        <v>8</v>
      </c>
      <c r="Y75" s="205">
        <f>IF(X75="","",X75*Q75)</f>
        <v/>
      </c>
      <c r="Z75" s="104" t="inlineStr">
        <is>
          <t>8</t>
        </is>
      </c>
    </row>
    <row r="76" ht="182.15" customFormat="1" customHeight="1" s="178">
      <c r="A76" s="31" t="n"/>
      <c r="B76" s="179" t="inlineStr">
        <is>
          <t>income_sec_ls_check</t>
        </is>
      </c>
      <c r="C76" s="186" t="inlineStr">
        <is>
          <t>income_sec_ls_check</t>
        </is>
      </c>
      <c r="D76" s="499" t="inlineStr">
        <is>
          <t>Are the livestock or livestock products sold also produced by you or anyone in your household?
[OPERATOR: SINGLE RESPONSE.]
1)YES
2)NO
3)DON'T KNOW
4)REFUSED</t>
        </is>
      </c>
      <c r="E76" s="106">
        <f>LEN(D76)</f>
        <v/>
      </c>
      <c r="F76" s="302" t="inlineStr">
        <is>
          <t>هل تم إنتاج المواشي ومنتجاتها التي تبيعها أنت أو أي شخص في منزلك أيضًا؟
[المشغل: استجابة واحدة.]
1) نعم
2) لا
3) لا أعرف
4) رفض الإجابة</t>
        </is>
      </c>
      <c r="G76" s="521">
        <f>LEN(F76)</f>
        <v/>
      </c>
      <c r="H76" s="108" t="inlineStr">
        <is>
          <t>Single Choice</t>
        </is>
      </c>
      <c r="I76" s="106" t="inlineStr">
        <is>
          <t>NA</t>
        </is>
      </c>
      <c r="J76" s="106" t="inlineStr">
        <is>
          <t>NA</t>
        </is>
      </c>
      <c r="K76" s="106" t="inlineStr">
        <is>
          <t>Form Type - Buttons</t>
        </is>
      </c>
      <c r="L76" s="105" t="inlineStr">
        <is>
          <t>1-4 = income_sec_comp OR optional question</t>
        </is>
      </c>
      <c r="M76" s="165" t="inlineStr">
        <is>
          <t>NA</t>
        </is>
      </c>
      <c r="N76" s="112" t="inlineStr">
        <is>
          <t>if income_sec_ls_check = 1-4, go to [income_sec_comp OR optional question]</t>
        </is>
      </c>
      <c r="O76" s="33" t="inlineStr">
        <is>
          <t>1-4 = income_sec_gender</t>
        </is>
      </c>
      <c r="P76" s="32" t="n"/>
      <c r="Q76" s="282">
        <f>1</f>
        <v/>
      </c>
      <c r="R76" s="104" t="n"/>
      <c r="T76" s="317" t="inlineStr">
        <is>
          <t>yes</t>
        </is>
      </c>
      <c r="U76" s="693" t="n"/>
      <c r="X76" s="205" t="n">
        <v>8</v>
      </c>
      <c r="Y76" s="205">
        <f>IF(X76="","",X76*Q76)</f>
        <v/>
      </c>
      <c r="Z76" s="104" t="inlineStr">
        <is>
          <t>8</t>
        </is>
      </c>
    </row>
    <row r="77" ht="182.15" customFormat="1" customHeight="1" s="109">
      <c r="A77" s="31" t="n"/>
      <c r="B77" s="179" t="inlineStr">
        <is>
          <t>income_sec_fish_check</t>
        </is>
      </c>
      <c r="C77" s="186" t="inlineStr">
        <is>
          <t>income_sec_fish_check</t>
        </is>
      </c>
      <c r="D77" s="113" t="inlineStr">
        <is>
          <t>Are the fish or aquatic products sold also captured/harvested by you or anyone in your household?
[OPERATOR: SINGLE RESPONSE.]
1)YES
2)NO
3)DON'T KNOW
4)REFUSED</t>
        </is>
      </c>
      <c r="E77" s="106">
        <f>LEN(D77)</f>
        <v/>
      </c>
      <c r="F77"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7" s="521">
        <f>LEN(F77)</f>
        <v/>
      </c>
      <c r="H77" s="108" t="inlineStr">
        <is>
          <t>Single Choice</t>
        </is>
      </c>
      <c r="I77" s="106" t="inlineStr">
        <is>
          <t>NA</t>
        </is>
      </c>
      <c r="J77" s="106" t="inlineStr">
        <is>
          <t>NA</t>
        </is>
      </c>
      <c r="K77" s="106" t="inlineStr">
        <is>
          <t>Form Type - Buttons</t>
        </is>
      </c>
      <c r="L77" s="105" t="inlineStr">
        <is>
          <t>1-4 = income_sec_comp OR optional question</t>
        </is>
      </c>
      <c r="M77" s="165" t="inlineStr">
        <is>
          <t>NA</t>
        </is>
      </c>
      <c r="N77" s="112" t="inlineStr">
        <is>
          <t>if income_sec_fish_check = 1-4, go to [income_sec_comp OR optional question]</t>
        </is>
      </c>
      <c r="O77" s="33" t="inlineStr">
        <is>
          <t>1-4 = income_sec_gender</t>
        </is>
      </c>
      <c r="P77" s="32" t="n"/>
      <c r="Q77" s="198">
        <f>1</f>
        <v/>
      </c>
      <c r="R77" s="103" t="n"/>
      <c r="T77" s="313" t="inlineStr">
        <is>
          <t>yes</t>
        </is>
      </c>
      <c r="U77" s="694" t="n"/>
      <c r="X77" s="201" t="n">
        <v>8</v>
      </c>
      <c r="Y77" s="201">
        <f>IF(X77="","",X77*Q77)</f>
        <v/>
      </c>
      <c r="Z77" s="103" t="inlineStr">
        <is>
          <t>8</t>
        </is>
      </c>
    </row>
    <row r="78" customFormat="1" s="109">
      <c r="A78" s="70" t="n"/>
      <c r="B78" s="192" t="n"/>
      <c r="C78" s="195" t="n"/>
      <c r="D78" s="196" t="n"/>
      <c r="E78" s="74" t="n"/>
      <c r="G78" s="74" t="n"/>
      <c r="H78" s="71" t="n"/>
      <c r="I78" s="74" t="n"/>
      <c r="J78" s="74" t="n"/>
      <c r="K78" s="74" t="n"/>
      <c r="L78" s="59" t="n"/>
      <c r="M78" s="37" t="n"/>
      <c r="N78" s="131" t="n"/>
      <c r="O78" s="131" t="n"/>
      <c r="P78" s="32" t="n"/>
      <c r="Q78" s="203">
        <f>1</f>
        <v/>
      </c>
      <c r="R78" s="103" t="n"/>
      <c r="T78" s="111" t="n"/>
      <c r="U78" s="694" t="n"/>
      <c r="X78" s="202" t="n"/>
      <c r="Y78" s="202">
        <f>IF(X78="","",X78*Q78)</f>
        <v/>
      </c>
      <c r="Z78" s="103">
        <f>IF(T78="yes",Y78,"")</f>
        <v/>
      </c>
    </row>
    <row r="79" ht="156" customFormat="1" customHeight="1" s="109">
      <c r="A79" s="36" t="n">
        <v>24</v>
      </c>
      <c r="B79" s="272" t="inlineStr">
        <is>
          <t>income_sec_gender</t>
        </is>
      </c>
      <c r="C79" s="273" t="inlineStr">
        <is>
          <t>income_sec_gender</t>
        </is>
      </c>
      <c r="D79" s="35" t="inlineStr">
        <is>
          <t>What is the gender of the household member[s] generating income from this source? 
[OPERATOR: SINGLE RESPONSE.]
1)Male
2)Female
3)Joint [both male &amp; female]
4)DON'T KNOW
5)REFUSED</t>
        </is>
      </c>
      <c r="E79" s="15">
        <f>LEN(D79)</f>
        <v/>
      </c>
      <c r="F79"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9" s="528">
        <f>LEN(F79)</f>
        <v/>
      </c>
      <c r="H79" s="16" t="inlineStr">
        <is>
          <t>Single Choice</t>
        </is>
      </c>
      <c r="I79" s="15" t="inlineStr">
        <is>
          <t>NA</t>
        </is>
      </c>
      <c r="J79" s="15" t="inlineStr">
        <is>
          <t>NA</t>
        </is>
      </c>
      <c r="K79" s="15" t="inlineStr">
        <is>
          <t>Form Type - Buttons</t>
        </is>
      </c>
      <c r="L79" s="24" t="inlineStr">
        <is>
          <t>1-5 = [income_sec_comp OR optional question]</t>
        </is>
      </c>
      <c r="M79" s="53" t="inlineStr">
        <is>
          <t>NA</t>
        </is>
      </c>
      <c r="N79" s="263" t="inlineStr">
        <is>
          <t>if income_sec_gender = 1-5, go to income_sec_comp or optional question</t>
        </is>
      </c>
      <c r="O79" s="33" t="inlineStr">
        <is>
          <t>1-5 = income_sec_comp</t>
        </is>
      </c>
      <c r="P79" s="32" t="n"/>
      <c r="Q79" s="203">
        <f>1</f>
        <v/>
      </c>
      <c r="R79" s="103" t="n"/>
      <c r="T79" s="111" t="inlineStr">
        <is>
          <t>no</t>
        </is>
      </c>
      <c r="U79" s="694" t="n"/>
      <c r="X79" s="202" t="n">
        <v>4.787401676177979</v>
      </c>
      <c r="Y79" s="202">
        <f>IF(X79="","",X79*Q79)</f>
        <v/>
      </c>
      <c r="Z79" s="103" t="inlineStr"/>
    </row>
    <row r="80" customFormat="1" s="109">
      <c r="A80" s="31" t="n"/>
      <c r="B80" s="551" t="n"/>
      <c r="C80" s="195" t="n"/>
      <c r="D80" s="585" t="n"/>
      <c r="E80" s="536" t="n"/>
      <c r="F80" s="74" t="n"/>
      <c r="G80" s="536" t="n"/>
      <c r="H80" s="77" t="n"/>
      <c r="I80" s="74" t="n"/>
      <c r="J80" s="74" t="n"/>
      <c r="K80" s="74" t="n"/>
      <c r="L80" s="59" t="n"/>
      <c r="M80" s="37" t="n"/>
      <c r="N80" s="59" t="n"/>
      <c r="O80" s="59" t="n"/>
      <c r="P80" s="259" t="n"/>
      <c r="Q80" s="203">
        <f>1</f>
        <v/>
      </c>
      <c r="R80" s="103" t="n"/>
      <c r="T80" s="111" t="n"/>
      <c r="U80" s="694" t="n"/>
      <c r="X80" s="202" t="n"/>
      <c r="Y80" s="202">
        <f>IF(X80="","",X80*Q80)</f>
        <v/>
      </c>
      <c r="Z80" s="103">
        <f>IF(T80="yes",Y80,"")</f>
        <v/>
      </c>
    </row>
    <row r="81" ht="187.4" customFormat="1" customHeight="1" s="109">
      <c r="A81" s="31">
        <f>#REF!+1</f>
        <v/>
      </c>
      <c r="B81" s="520" t="inlineStr">
        <is>
          <t>income_sec_comp</t>
        </is>
      </c>
      <c r="C81" s="108" t="inlineStr">
        <is>
          <t>income_sec_comp</t>
        </is>
      </c>
      <c r="D81" s="5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1" s="521">
        <f>LEN(D81)</f>
        <v/>
      </c>
      <c r="F81" s="533"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1" s="521">
        <f>LEN(F81)</f>
        <v/>
      </c>
      <c r="H81" s="522" t="inlineStr">
        <is>
          <t>Single Choice</t>
        </is>
      </c>
      <c r="I81" s="521" t="inlineStr">
        <is>
          <t>NA</t>
        </is>
      </c>
      <c r="J81" s="521" t="inlineStr">
        <is>
          <t>NA</t>
        </is>
      </c>
      <c r="K81" s="521" t="inlineStr">
        <is>
          <t>Form Type - Buttons</t>
        </is>
      </c>
      <c r="L81" s="132" t="inlineStr">
        <is>
          <t>1-7= income_third</t>
        </is>
      </c>
      <c r="M81" s="165" t="inlineStr">
        <is>
          <t>NA</t>
        </is>
      </c>
      <c r="N81" s="132" t="inlineStr">
        <is>
          <t>if income_sec_comp = 1-7, go to income_third</t>
        </is>
      </c>
      <c r="O81" s="37" t="inlineStr"/>
      <c r="P81" s="9" t="n"/>
      <c r="Q81" s="198">
        <f>1</f>
        <v/>
      </c>
      <c r="R81" s="103" t="n"/>
      <c r="T81" s="313" t="inlineStr">
        <is>
          <t>yes</t>
        </is>
      </c>
      <c r="U81" s="694" t="n"/>
      <c r="X81" s="201" t="n">
        <v>17.26140213012695</v>
      </c>
      <c r="Y81" s="201">
        <f>IF(X81="","",X81*Q81)</f>
        <v/>
      </c>
      <c r="Z81" s="103" t="inlineStr">
        <is>
          <t>17.26140213012695</t>
        </is>
      </c>
    </row>
    <row r="82" customFormat="1" s="109">
      <c r="A82" s="31" t="n"/>
      <c r="B82" s="551" t="n"/>
      <c r="C82" s="71" t="n"/>
      <c r="D82" s="555" t="n"/>
      <c r="E82" s="536" t="n"/>
      <c r="F82" s="536" t="n"/>
      <c r="G82" s="536" t="n"/>
      <c r="H82" s="537" t="n"/>
      <c r="I82" s="536" t="n"/>
      <c r="J82" s="536" t="n"/>
      <c r="K82" s="536" t="n"/>
      <c r="L82" s="62" t="n"/>
      <c r="M82" s="37" t="n"/>
      <c r="N82" s="62" t="n"/>
      <c r="O82" s="62" t="n"/>
      <c r="P82" s="9" t="n"/>
      <c r="Q82" s="203">
        <f>1</f>
        <v/>
      </c>
      <c r="R82" s="103" t="n"/>
      <c r="T82" s="111" t="n"/>
      <c r="U82" s="694" t="n"/>
      <c r="X82" s="202" t="n"/>
      <c r="Y82" s="202">
        <f>IF(X82="","",X82*Q82)</f>
        <v/>
      </c>
      <c r="Z82" s="103">
        <f>IF(T82="yes",Y82,"")</f>
        <v/>
      </c>
    </row>
    <row r="83" ht="409.5" customFormat="1" customHeight="1" s="109">
      <c r="A83" s="31">
        <f>A81+1</f>
        <v/>
      </c>
      <c r="B83" s="520" t="inlineStr">
        <is>
          <t>income_third</t>
        </is>
      </c>
      <c r="C83" s="108" t="inlineStr">
        <is>
          <t>income_third</t>
        </is>
      </c>
      <c r="D83" s="586"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521">
        <f>LEN(D83)</f>
        <v/>
      </c>
      <c r="F83" s="533"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3" s="521">
        <f>LEN(F83)</f>
        <v/>
      </c>
      <c r="H83" s="522" t="inlineStr">
        <is>
          <t>Single Choice</t>
        </is>
      </c>
      <c r="I83" s="521" t="inlineStr">
        <is>
          <t>NA</t>
        </is>
      </c>
      <c r="J83" s="521" t="inlineStr">
        <is>
          <t>NA</t>
        </is>
      </c>
      <c r="K83" s="521" t="inlineStr">
        <is>
          <t>Form Type - Buttons
exclude selected "income_main"
exclude selected "income_sec"
IsDemographic</t>
        </is>
      </c>
      <c r="L83" s="105" t="inlineStr">
        <is>
          <t>1-3 = income_third_crop_check
4 = income_third_ls_check
5 = income_third_comp OR optional question
6 = income_third_fish_check
7-18 = income_third_comp OR optional question
19-21 = shock</t>
        </is>
      </c>
      <c r="M83" s="165" t="inlineStr">
        <is>
          <t>NA</t>
        </is>
      </c>
      <c r="N83"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3" s="33" t="inlineStr">
        <is>
          <t>income_third_gender</t>
        </is>
      </c>
      <c r="P83" s="9" t="n"/>
      <c r="Q83" s="198">
        <f>1</f>
        <v/>
      </c>
      <c r="R83" s="103" t="n"/>
      <c r="T83" s="313" t="inlineStr">
        <is>
          <t>yes</t>
        </is>
      </c>
      <c r="U83" s="694" t="n"/>
      <c r="X83" s="201" t="n">
        <v>14.47539234161377</v>
      </c>
      <c r="Y83" s="201">
        <f>IF(X83="","",X83*Q83)</f>
        <v/>
      </c>
      <c r="Z83" s="103" t="inlineStr">
        <is>
          <t>14.47539234161377</t>
        </is>
      </c>
    </row>
    <row r="84" ht="182.15" customFormat="1" customHeight="1" s="178">
      <c r="A84" s="249" t="n"/>
      <c r="B84" s="179" t="inlineStr">
        <is>
          <t>income_third_crop_check</t>
        </is>
      </c>
      <c r="C84" s="186" t="inlineStr">
        <is>
          <t>income_third_crop_check</t>
        </is>
      </c>
      <c r="D84" s="113" t="inlineStr">
        <is>
          <t>Are the crops sold also produced by you or anyone in your household?
[OPERATOR: SINGLE RESPONSE.]
1)YES
2)NO
3)DON'T KNOW
4)REFUSED</t>
        </is>
      </c>
      <c r="E84" s="106">
        <f>LEN(D84)</f>
        <v/>
      </c>
      <c r="F84" s="302" t="inlineStr">
        <is>
          <t>هل تم إنتاج المحاصيل التي تبيعها أنت أو أي شخص في منزلك أيضًا؟
[المشغل: استجابة واحدة.]
1) نعم
2) لا
3) لا أعرف
4) رفض الإجابة</t>
        </is>
      </c>
      <c r="G84" s="521">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income_third_crop_check = 1-4, go to [income_third_comp OR optional question]</t>
        </is>
      </c>
      <c r="O84" s="33" t="inlineStr">
        <is>
          <t>1-4 = income_third_gender</t>
        </is>
      </c>
      <c r="P84" s="32" t="n"/>
      <c r="Q84" s="282">
        <f>1</f>
        <v/>
      </c>
      <c r="R84" s="104" t="n"/>
      <c r="T84" s="317" t="inlineStr">
        <is>
          <t>yes</t>
        </is>
      </c>
      <c r="U84" s="693" t="n"/>
      <c r="X84" s="205" t="n">
        <v>8</v>
      </c>
      <c r="Y84" s="205">
        <f>IF(X84="","",X84*Q84)</f>
        <v/>
      </c>
      <c r="Z84" s="104" t="inlineStr">
        <is>
          <t>8</t>
        </is>
      </c>
    </row>
    <row r="85" ht="182.15" customFormat="1" customHeight="1" s="178">
      <c r="A85" s="249" t="n"/>
      <c r="B85" s="179" t="inlineStr">
        <is>
          <t>income_third_ls_check</t>
        </is>
      </c>
      <c r="C85" s="186" t="inlineStr">
        <is>
          <t>income_third_ls_check</t>
        </is>
      </c>
      <c r="D85" s="499" t="inlineStr">
        <is>
          <t>Are the livestock or livestock products sold also produced by you or anyone in your household?
[OPERATOR: SINGLE RESPONSE.]
1)YES
2)NO
3)DON'T KNOW
4)REFUSED</t>
        </is>
      </c>
      <c r="E85" s="106">
        <f>LEN(D85)</f>
        <v/>
      </c>
      <c r="F85" s="302" t="inlineStr">
        <is>
          <t>هل تم إنتاج المواشي ومنتجاتها التي تبيعها أنت أو أي شخص في منزلك أيضًا؟
[المشغل: استجابة واحدة.]
1) نعم
2) لا
3) لا أعرف
4) رفض الإجابة</t>
        </is>
      </c>
      <c r="G85" s="521">
        <f>LEN(F85)</f>
        <v/>
      </c>
      <c r="H85" s="108" t="inlineStr">
        <is>
          <t>Single Choice</t>
        </is>
      </c>
      <c r="I85" s="106" t="inlineStr">
        <is>
          <t>NA</t>
        </is>
      </c>
      <c r="J85" s="106" t="inlineStr">
        <is>
          <t>NA</t>
        </is>
      </c>
      <c r="K85" s="106" t="inlineStr">
        <is>
          <t>Form Type - Buttons</t>
        </is>
      </c>
      <c r="L85" s="105" t="inlineStr">
        <is>
          <t>1-4 = income_third_comp OR optional question</t>
        </is>
      </c>
      <c r="M85" s="165" t="inlineStr">
        <is>
          <t>NA</t>
        </is>
      </c>
      <c r="N85" s="112" t="inlineStr">
        <is>
          <t>if income_third_ls_check = 1-4, go to [income_third_comp OR optional question]</t>
        </is>
      </c>
      <c r="O85" s="33" t="inlineStr">
        <is>
          <t>1-4 = income_third_gender</t>
        </is>
      </c>
      <c r="P85" s="32" t="n"/>
      <c r="Q85" s="282">
        <f>1</f>
        <v/>
      </c>
      <c r="R85" s="104" t="n"/>
      <c r="T85" s="317" t="inlineStr">
        <is>
          <t>yes</t>
        </is>
      </c>
      <c r="U85" s="693" t="n"/>
      <c r="X85" s="205" t="n">
        <v>8</v>
      </c>
      <c r="Y85" s="205">
        <f>IF(X85="","",X85*Q85)</f>
        <v/>
      </c>
      <c r="Z85" s="104" t="inlineStr">
        <is>
          <t>8</t>
        </is>
      </c>
    </row>
    <row r="86" ht="182.15" customFormat="1" customHeight="1" s="109">
      <c r="A86" s="249" t="n"/>
      <c r="B86" s="179" t="inlineStr">
        <is>
          <t>income_third_fish_check</t>
        </is>
      </c>
      <c r="C86" s="186" t="inlineStr">
        <is>
          <t>income_third_fish_check</t>
        </is>
      </c>
      <c r="D86" s="113" t="inlineStr">
        <is>
          <t>Are the fish or aquatic products sold also captured/harvested by you or anyone in your household?
[OPERATOR: SINGLE RESPONSE.]
1)YES
2)NO
3)DON'T KNOW
4)REFUSED</t>
        </is>
      </c>
      <c r="E86" s="106">
        <f>LEN(D86)</f>
        <v/>
      </c>
      <c r="F8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6" s="521">
        <f>LEN(F86)</f>
        <v/>
      </c>
      <c r="H86" s="108" t="inlineStr">
        <is>
          <t>Single Choice</t>
        </is>
      </c>
      <c r="I86" s="106" t="inlineStr">
        <is>
          <t>NA</t>
        </is>
      </c>
      <c r="J86" s="106" t="inlineStr">
        <is>
          <t>NA</t>
        </is>
      </c>
      <c r="K86" s="106" t="inlineStr">
        <is>
          <t>Form Type - Buttons</t>
        </is>
      </c>
      <c r="L86" s="105" t="inlineStr">
        <is>
          <t>1-4 = income_third_comp OR optional question</t>
        </is>
      </c>
      <c r="M86" s="165" t="inlineStr">
        <is>
          <t>NA</t>
        </is>
      </c>
      <c r="N86" s="112" t="inlineStr">
        <is>
          <t>if income_third_fish_check = 1-4, go to [income_third_comp OR optional question]</t>
        </is>
      </c>
      <c r="O86" s="33" t="inlineStr">
        <is>
          <t>1-4 = income_third_gender</t>
        </is>
      </c>
      <c r="P86" s="32" t="n"/>
      <c r="Q86" s="198">
        <f>1</f>
        <v/>
      </c>
      <c r="R86" s="103" t="n"/>
      <c r="T86" s="313" t="inlineStr">
        <is>
          <t>yes</t>
        </is>
      </c>
      <c r="U86" s="694" t="n"/>
      <c r="X86" s="201" t="n">
        <v>8</v>
      </c>
      <c r="Y86" s="201">
        <f>IF(X86="","",X86*Q86)</f>
        <v/>
      </c>
      <c r="Z86" s="103" t="inlineStr">
        <is>
          <t>8</t>
        </is>
      </c>
    </row>
    <row r="87" customFormat="1" s="109">
      <c r="A87" s="70" t="n"/>
      <c r="B87" s="192" t="n"/>
      <c r="C87" s="195" t="n"/>
      <c r="D87" s="196" t="n"/>
      <c r="E87" s="74" t="n"/>
      <c r="G87" s="74" t="n"/>
      <c r="H87" s="71" t="n"/>
      <c r="I87" s="74" t="n"/>
      <c r="J87" s="74" t="n"/>
      <c r="K87" s="74" t="n"/>
      <c r="L87" s="59" t="n"/>
      <c r="M87" s="37" t="n"/>
      <c r="N87" s="131" t="n"/>
      <c r="O87" s="131" t="n"/>
      <c r="P87" s="32" t="n"/>
      <c r="Q87" s="203">
        <f>1</f>
        <v/>
      </c>
      <c r="R87" s="103" t="n"/>
      <c r="T87" s="111" t="n"/>
      <c r="U87" s="694" t="n"/>
      <c r="X87" s="202" t="n"/>
      <c r="Y87" s="202">
        <f>IF(X87="","",X87*Q87)</f>
        <v/>
      </c>
      <c r="Z87" s="103">
        <f>IF(T87="yes",Y87,"")</f>
        <v/>
      </c>
    </row>
    <row r="88" ht="156" customFormat="1" customHeight="1" s="109">
      <c r="A88" s="36" t="n">
        <v>18</v>
      </c>
      <c r="B88" s="272" t="inlineStr">
        <is>
          <t>income_third_gender</t>
        </is>
      </c>
      <c r="C88" s="273" t="inlineStr">
        <is>
          <t>income_third_gender</t>
        </is>
      </c>
      <c r="D88" s="35" t="inlineStr">
        <is>
          <t>What is the gender of the household member[s] generating income from this source? 
[OPERATOR: SINGLE RESPONSE.]
1)Male
2)Female
3)Joint [both male &amp; female]
4)DON'T KNOW
5)REFUSED</t>
        </is>
      </c>
      <c r="E88" s="15">
        <f>LEN(D88)</f>
        <v/>
      </c>
      <c r="F88"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528">
        <f>LEN(F88)</f>
        <v/>
      </c>
      <c r="H88" s="16" t="inlineStr">
        <is>
          <t>Single Choice</t>
        </is>
      </c>
      <c r="I88" s="15" t="inlineStr">
        <is>
          <t>NA</t>
        </is>
      </c>
      <c r="J88" s="15" t="inlineStr">
        <is>
          <t>NA</t>
        </is>
      </c>
      <c r="K88" s="15" t="inlineStr">
        <is>
          <t>Form Type - Buttons</t>
        </is>
      </c>
      <c r="L88" s="24" t="inlineStr">
        <is>
          <t>1-5 = income_third_comp or optional question</t>
        </is>
      </c>
      <c r="M88" s="53" t="inlineStr">
        <is>
          <t>NA</t>
        </is>
      </c>
      <c r="N88" s="263" t="inlineStr">
        <is>
          <t>if income_third_gender = 1-5, go to [income_third_comp or optional question]</t>
        </is>
      </c>
      <c r="O88" s="33" t="inlineStr">
        <is>
          <t>1-5 = income_third_comp</t>
        </is>
      </c>
      <c r="P88" s="32" t="n"/>
      <c r="Q88" s="203">
        <f>1</f>
        <v/>
      </c>
      <c r="R88" s="103" t="n"/>
      <c r="T88" s="111" t="inlineStr">
        <is>
          <t>no</t>
        </is>
      </c>
      <c r="U88" s="694" t="n"/>
      <c r="X88" s="202" t="n">
        <v>4.787401676177979</v>
      </c>
      <c r="Y88" s="202">
        <f>IF(X88="","",X88*Q88)</f>
        <v/>
      </c>
      <c r="Z88" s="103" t="inlineStr"/>
    </row>
    <row r="89" customFormat="1" s="109">
      <c r="A89" s="31" t="n"/>
      <c r="B89" s="551" t="n"/>
      <c r="C89" s="195" t="n"/>
      <c r="D89" s="585" t="n"/>
      <c r="E89" s="536" t="n"/>
      <c r="F89" s="74" t="n"/>
      <c r="G89" s="536" t="n"/>
      <c r="H89" s="77" t="n"/>
      <c r="I89" s="74" t="n"/>
      <c r="J89" s="74" t="n"/>
      <c r="K89" s="74" t="n"/>
      <c r="L89" s="59" t="n"/>
      <c r="M89" s="37" t="n"/>
      <c r="N89" s="59" t="n"/>
      <c r="O89" s="59" t="n"/>
      <c r="P89" s="259" t="n"/>
      <c r="Q89" s="203">
        <f>1</f>
        <v/>
      </c>
      <c r="R89" s="103" t="n"/>
      <c r="T89" s="111" t="n"/>
      <c r="U89" s="694" t="n"/>
      <c r="X89" s="202" t="n"/>
      <c r="Y89" s="202">
        <f>IF(X89="","",X89*Q89)</f>
        <v/>
      </c>
      <c r="Z89" s="103">
        <f>IF(T89="yes",Y89,"")</f>
        <v/>
      </c>
    </row>
    <row r="90" ht="187.4" customFormat="1" customHeight="1" s="109">
      <c r="A90" s="31">
        <f>#REF!+1</f>
        <v/>
      </c>
      <c r="B90" s="520" t="inlineStr">
        <is>
          <t>income_third_comp</t>
        </is>
      </c>
      <c r="C90" s="108" t="inlineStr">
        <is>
          <t>income_third_comp</t>
        </is>
      </c>
      <c r="D90" s="58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521">
        <f>LEN(D90)</f>
        <v/>
      </c>
      <c r="F90" s="58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0" s="521">
        <f>LEN(F90)</f>
        <v/>
      </c>
      <c r="H90" s="522" t="inlineStr">
        <is>
          <t>Single Choice</t>
        </is>
      </c>
      <c r="I90" s="521" t="inlineStr">
        <is>
          <t>NA</t>
        </is>
      </c>
      <c r="J90" s="521" t="inlineStr">
        <is>
          <t>NA</t>
        </is>
      </c>
      <c r="K90" s="521" t="inlineStr">
        <is>
          <t>Form Type - Buttons</t>
        </is>
      </c>
      <c r="L90" s="132" t="inlineStr">
        <is>
          <t>1-7= shock</t>
        </is>
      </c>
      <c r="M90" s="165" t="inlineStr">
        <is>
          <t>NA</t>
        </is>
      </c>
      <c r="N90" s="132" t="inlineStr">
        <is>
          <t>if income_third_comp = 1-7, go to shock</t>
        </is>
      </c>
      <c r="O90" s="33" t="inlineStr">
        <is>
          <t>1-7 = o_debt</t>
        </is>
      </c>
      <c r="P90" s="9" t="n"/>
      <c r="Q90" s="198">
        <f>1</f>
        <v/>
      </c>
      <c r="R90" s="103" t="n"/>
      <c r="T90" s="313" t="inlineStr">
        <is>
          <t>yes</t>
        </is>
      </c>
      <c r="U90" s="694" t="n"/>
      <c r="X90" s="201" t="n">
        <v>15.87650299072266</v>
      </c>
      <c r="Y90" s="201">
        <f>IF(X90="","",X90*Q90)</f>
        <v/>
      </c>
      <c r="Z90" s="103" t="inlineStr">
        <is>
          <t>15.87650299072266</t>
        </is>
      </c>
    </row>
    <row r="91" ht="156" customFormat="1" customHeight="1" s="109">
      <c r="A91" s="31" t="n"/>
      <c r="B91" s="546" t="inlineStr">
        <is>
          <t>o_debt</t>
        </is>
      </c>
      <c r="C91" s="71" t="inlineStr">
        <is>
          <t>Have you incurred any new debt in the past three months which you have not repaid?
[OPERATOR: SINGLE RESPONSE.]
1)YES
2)NO
3)DON’T KNOW
4)REFUSED</t>
        </is>
      </c>
      <c r="D91" s="588" t="inlineStr">
        <is>
          <t>Have you incurred any new debt in the past three months which you have not repaid?
[OPERATOR: SINGLE RESPONSE.]
1)YES
2)NO
3)DON’T KNOW
4)REFUSED</t>
        </is>
      </c>
      <c r="E91" s="589" t="n"/>
      <c r="F91" s="590" t="inlineStr">
        <is>
          <t>هل تكبدت أي ديون جديدة في الأشهر الثلاثة الماضية لم تسددها؟
[المشغل: استجابة واحدة.]
1) نعم
2) لا
3) لا أعرف
4) رفض الإجابة</t>
        </is>
      </c>
      <c r="G91" s="536" t="n"/>
      <c r="H91" s="537" t="inlineStr">
        <is>
          <t>Single Choice</t>
        </is>
      </c>
      <c r="I91" s="536" t="inlineStr"/>
      <c r="J91" s="536" t="inlineStr"/>
      <c r="K91" s="536" t="inlineStr"/>
      <c r="L91" s="37" t="inlineStr">
        <is>
          <t>1 = o_debt_amount;
2-4 = shock</t>
        </is>
      </c>
      <c r="M91" s="37" t="inlineStr"/>
      <c r="N91" s="37" t="inlineStr"/>
      <c r="O91" s="33" t="inlineStr">
        <is>
          <t>1 = o_debt_amount;
2-4 = shock</t>
        </is>
      </c>
      <c r="P91" s="9" t="n"/>
      <c r="Q91" s="203">
        <f>1</f>
        <v/>
      </c>
      <c r="R91" s="103" t="n"/>
      <c r="T91" s="111" t="inlineStr"/>
      <c r="U91" s="694" t="n"/>
      <c r="X91" s="202" t="n"/>
      <c r="Y91" s="202">
        <f>IF(X91="","",X91*Q91)</f>
        <v/>
      </c>
      <c r="Z91" s="103" t="inlineStr"/>
    </row>
    <row r="92" ht="105.65" customFormat="1" customHeight="1" s="109">
      <c r="A92" s="31" t="n"/>
      <c r="B92" s="546" t="inlineStr">
        <is>
          <t>o_debt_amount</t>
        </is>
      </c>
      <c r="C92" s="71" t="inlineStr"/>
      <c r="D92" s="591" t="inlineStr">
        <is>
          <t>What is the total amount of debt you currently have [in Rial]?
[OPERATOR: DOUBLE CHECK FOR OUTLIERS &amp; MAKE SURE THE INFORMATION IS RECORDED IN THE CORRECT CURRENCY. ENTER 8888888 FOR DON'T KNOW AND 9999999 FOR REFUSED.]</t>
        </is>
      </c>
      <c r="E92" s="589" t="n"/>
      <c r="F92" s="592"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2" s="536" t="n"/>
      <c r="H92" s="537" t="inlineStr">
        <is>
          <t>Range</t>
        </is>
      </c>
      <c r="I92" s="536" t="inlineStr"/>
      <c r="J92" s="536" t="inlineStr"/>
      <c r="K92" s="536" t="inlineStr"/>
      <c r="L92" s="37" t="inlineStr">
        <is>
          <t>Any response go to shock</t>
        </is>
      </c>
      <c r="M92" s="62" t="inlineStr"/>
      <c r="N92" s="37" t="inlineStr"/>
      <c r="O92" s="33" t="inlineStr">
        <is>
          <t>Any response go to shock</t>
        </is>
      </c>
      <c r="P92" s="423" t="inlineStr">
        <is>
          <t>Debt minimum: YER 1000
Debt Maximum: YER 1000000</t>
        </is>
      </c>
      <c r="Q92" s="203" t="n"/>
      <c r="R92" s="103" t="n"/>
      <c r="T92" s="111" t="inlineStr"/>
      <c r="U92" s="694" t="n"/>
      <c r="X92" s="202" t="n"/>
      <c r="Y92" s="202" t="n"/>
      <c r="Z92" s="103" t="inlineStr"/>
    </row>
    <row r="93" ht="409.4" customFormat="1" customHeight="1" s="109" thickBot="1">
      <c r="A93" s="31">
        <f>#REF!+1</f>
        <v/>
      </c>
      <c r="B93" s="520" t="inlineStr">
        <is>
          <t>shock</t>
        </is>
      </c>
      <c r="C93"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59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521">
        <f>LEN(D93)</f>
        <v/>
      </c>
      <c r="F93" s="587"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3" s="521">
        <f>LEN(F93)</f>
        <v/>
      </c>
      <c r="H93" s="522" t="inlineStr">
        <is>
          <t>Select All That Apply</t>
        </is>
      </c>
      <c r="I93" s="521" t="inlineStr">
        <is>
          <t>NA</t>
        </is>
      </c>
      <c r="J93" s="521" t="inlineStr">
        <is>
          <t>NA</t>
        </is>
      </c>
      <c r="K93" s="594" t="inlineStr">
        <is>
          <t>Form Type - Checklist 
1,26,27 = IsNone</t>
        </is>
      </c>
      <c r="L93" s="132" t="inlineStr">
        <is>
          <t>1-27 = [confl_wellbeing]</t>
        </is>
      </c>
      <c r="M93" s="1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3" s="132" t="inlineStr">
        <is>
          <t>if shock = 1-27, go to [confl_wellbeing]</t>
        </is>
      </c>
      <c r="O93" s="61" t="inlineStr">
        <is>
          <t>1-27 = confl_wellbeing</t>
        </is>
      </c>
      <c r="P93" s="9" t="n"/>
      <c r="Q93" s="198">
        <f>1</f>
        <v/>
      </c>
      <c r="R93" s="103" t="n"/>
      <c r="T93" s="313" t="inlineStr">
        <is>
          <t>yes</t>
        </is>
      </c>
      <c r="U93" s="694" t="n"/>
      <c r="X93" s="201" t="n">
        <v>37.85363006591797</v>
      </c>
      <c r="Y93" s="201">
        <f>IF(X93="","",X93*Q93)</f>
        <v/>
      </c>
      <c r="Z93" s="103" t="inlineStr">
        <is>
          <t>37.85363006591797</t>
        </is>
      </c>
    </row>
    <row r="94" ht="30" customFormat="1" customHeight="1" s="472" thickBot="1">
      <c r="A94" s="695" t="inlineStr">
        <is>
          <t>CONFLICT MODULE</t>
        </is>
      </c>
      <c r="B94" s="685" t="n"/>
      <c r="C94" s="685" t="n"/>
      <c r="D94" s="685" t="n"/>
      <c r="E94" s="685" t="n"/>
      <c r="F94" s="685" t="n"/>
      <c r="G94" s="685" t="n"/>
      <c r="H94" s="685" t="n"/>
      <c r="I94" s="685" t="n"/>
      <c r="J94" s="685" t="n"/>
      <c r="K94" s="685" t="n"/>
      <c r="L94" s="685" t="n"/>
      <c r="M94" s="685" t="n"/>
      <c r="N94" s="685" t="n"/>
      <c r="O94" s="685" t="n"/>
      <c r="P94" s="686" t="n"/>
      <c r="Q94" s="470" t="n"/>
      <c r="R94" s="471" t="n"/>
      <c r="T94" s="473" t="n"/>
      <c r="U94" s="474" t="n"/>
      <c r="X94" s="475" t="n"/>
      <c r="Y94" s="475">
        <f>IF(X94="","",X94*Q94)</f>
        <v/>
      </c>
      <c r="Z94" s="471">
        <f>IF(T94="yes",Y94,"")</f>
        <v/>
      </c>
    </row>
    <row r="95" ht="393.75" customFormat="1" customHeight="1" s="109">
      <c r="B95" s="595" t="inlineStr">
        <is>
          <t>confl_wellbeing</t>
        </is>
      </c>
      <c r="C95" s="476"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77"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78">
        <f>LEN(D95)</f>
        <v/>
      </c>
      <c r="F95" s="596"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95" s="479">
        <f>LEN(F95)</f>
        <v/>
      </c>
      <c r="H95" s="597" t="inlineStr">
        <is>
          <t>Select All That Apply</t>
        </is>
      </c>
      <c r="I95" s="598" t="inlineStr">
        <is>
          <t>NA</t>
        </is>
      </c>
      <c r="J95" s="598" t="inlineStr">
        <is>
          <t>NA</t>
        </is>
      </c>
      <c r="K95" s="598" t="inlineStr">
        <is>
          <t>Form Type - Checklist
1,14,15 = IsNone
Min = 1
Max = 3</t>
        </is>
      </c>
      <c r="L95" s="480" t="inlineStr">
        <is>
          <t>1-15 = confl_yn</t>
        </is>
      </c>
      <c r="M95" s="481"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N95" s="482" t="inlineStr">
        <is>
          <t>For any response, go to confl_yn.</t>
        </is>
      </c>
      <c r="O95" s="23" t="inlineStr"/>
      <c r="P95" s="9" t="n"/>
      <c r="Q95" s="203" t="n"/>
      <c r="R95" s="103" t="n"/>
      <c r="T95" s="483" t="inlineStr">
        <is>
          <t>no</t>
        </is>
      </c>
      <c r="U95" s="694" t="n"/>
      <c r="X95" s="202" t="n"/>
      <c r="Y95" s="202" t="n"/>
      <c r="Z95" s="103" t="inlineStr"/>
      <c r="AH95" s="484" t="inlineStr">
        <is>
          <t>Better if optional. Some options might be a bit sensitive in some contexts (e.g. corruption)</t>
        </is>
      </c>
    </row>
    <row r="96" ht="162.75" customFormat="1" customHeight="1" s="109">
      <c r="B96" s="599" t="inlineStr">
        <is>
          <t>confl_yn</t>
        </is>
      </c>
      <c r="C96" s="485" t="inlineStr">
        <is>
          <t>confl_yn</t>
        </is>
      </c>
      <c r="D96" s="486" t="inlineStr">
        <is>
          <t>Have you or anyone within your household been affected by any form of insecurity or conflict during the past 3 months?
[OPERATOR: SINGLE RESPONSE.]
1)YES
2)NO
3)DON'T KNOW
4)REFUSED</t>
        </is>
      </c>
      <c r="E96" s="600">
        <f>LEN(D96)</f>
        <v/>
      </c>
      <c r="F96" s="601" t="inlineStr">
        <is>
          <t>هل تأثرت أنت أو أي شخص في أسرتك بأي شكل من أشكال انعدام الأمن أو الصراع خلال الأشهر الثلاثة الماضية؟
1)نعم
2)لا
3) لا أعرف
4) رفض الإجابة</t>
        </is>
      </c>
      <c r="G96" s="600">
        <f>LEN(F96)</f>
        <v/>
      </c>
      <c r="H96" s="602" t="inlineStr">
        <is>
          <t>Single Choice</t>
        </is>
      </c>
      <c r="I96" s="600" t="inlineStr">
        <is>
          <t>NA</t>
        </is>
      </c>
      <c r="J96" s="600" t="inlineStr">
        <is>
          <t>NA</t>
        </is>
      </c>
      <c r="K96" s="600" t="inlineStr">
        <is>
          <t>Form Type - Buttons</t>
        </is>
      </c>
      <c r="L96" s="487" t="inlineStr">
        <is>
          <t>1 = confl_prim_insec
2-4 = crp_intro</t>
        </is>
      </c>
      <c r="M96" s="488" t="inlineStr">
        <is>
          <t>NA</t>
        </is>
      </c>
      <c r="N96" s="603" t="inlineStr">
        <is>
          <t>if confl_yn = 1, go to confl_prim_insec.
Otherwise, go to crp_intro</t>
        </is>
      </c>
      <c r="O96" s="61" t="inlineStr"/>
      <c r="P96" s="9" t="n"/>
      <c r="Q96" s="203" t="n"/>
      <c r="R96" s="103" t="n"/>
      <c r="T96" s="483" t="inlineStr">
        <is>
          <t>yes</t>
        </is>
      </c>
      <c r="U96" s="694" t="n"/>
      <c r="X96" s="202" t="n"/>
      <c r="Y96" s="202" t="n"/>
      <c r="Z96" s="103" t="inlineStr"/>
      <c r="AH96" s="484" t="inlineStr">
        <is>
          <t>Better with 3 months recall period indeed</t>
        </is>
      </c>
    </row>
    <row r="97" ht="223.5" customFormat="1" customHeight="1" s="109">
      <c r="B97" s="604" t="inlineStr">
        <is>
          <t>confl_pimary_insec</t>
        </is>
      </c>
      <c r="C97" s="489" t="inlineStr">
        <is>
          <t>confl_prim_insec</t>
        </is>
      </c>
      <c r="D97" s="490"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8">
        <f>LEN(D97)</f>
        <v/>
      </c>
      <c r="F97" s="596"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8">
        <f>LEN(F97)</f>
        <v/>
      </c>
      <c r="H97" s="597" t="inlineStr">
        <is>
          <t>Single Choice</t>
        </is>
      </c>
      <c r="I97" s="598" t="inlineStr">
        <is>
          <t>NA</t>
        </is>
      </c>
      <c r="J97" s="598" t="inlineStr">
        <is>
          <t>NA</t>
        </is>
      </c>
      <c r="K97" s="598" t="inlineStr">
        <is>
          <t>Form Type - Buttons</t>
        </is>
      </c>
      <c r="L97" s="491" t="inlineStr">
        <is>
          <t>1-8 = confl_agri_imp</t>
        </is>
      </c>
      <c r="M97" s="492" t="inlineStr">
        <is>
          <t>NA</t>
        </is>
      </c>
      <c r="N97" s="605" t="inlineStr">
        <is>
          <t>if confl_prim_insec = 1-8, go to confl_agri_imp.</t>
        </is>
      </c>
      <c r="O97" s="23" t="inlineStr"/>
      <c r="P97" s="32" t="n"/>
      <c r="Q97" s="203" t="n"/>
      <c r="R97" s="103" t="n"/>
      <c r="T97" s="483" t="inlineStr">
        <is>
          <t>no</t>
        </is>
      </c>
      <c r="U97" s="694" t="n"/>
      <c r="X97" s="202" t="n"/>
      <c r="Y97" s="202" t="n"/>
      <c r="Z97" s="103" t="inlineStr"/>
      <c r="AD97" s="178" t="inlineStr">
        <is>
          <t>In enumerator training, include explanation/examples of ''insecurity''</t>
        </is>
      </c>
      <c r="AH97" s="493" t="n"/>
    </row>
    <row r="98" ht="335.25" customFormat="1" customHeight="1" s="109">
      <c r="B98" s="599" t="inlineStr">
        <is>
          <t>confl_agri_imp</t>
        </is>
      </c>
      <c r="C98" s="485"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94"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600">
        <f>LEN(D98)</f>
        <v/>
      </c>
      <c r="F98" s="601"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600">
        <f>LEN(F98)</f>
        <v/>
      </c>
      <c r="H98" s="602" t="inlineStr">
        <is>
          <t>Open-Ended - Select All That Apply</t>
        </is>
      </c>
      <c r="I98" s="600" t="inlineStr">
        <is>
          <t>NA</t>
        </is>
      </c>
      <c r="J98" s="600" t="inlineStr">
        <is>
          <t>NA</t>
        </is>
      </c>
      <c r="K98" s="600" t="inlineStr">
        <is>
          <t>Form Type - Checklist
14,15 = IsNone
Min = 1
Max = 3</t>
        </is>
      </c>
      <c r="L98" s="487" t="inlineStr">
        <is>
          <t>1-15 = confl_foodsec_imp</t>
        </is>
      </c>
      <c r="M98" s="1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N98" s="603" t="inlineStr">
        <is>
          <t>if confl_agri_imp = 1-15, go to confl_foodsec_imp.</t>
        </is>
      </c>
      <c r="O98" s="61" t="inlineStr"/>
      <c r="P98" s="32" t="n"/>
      <c r="Q98" s="203" t="n"/>
      <c r="R98" s="103" t="n"/>
      <c r="T98" s="483" t="inlineStr">
        <is>
          <t>yes</t>
        </is>
      </c>
      <c r="U98" s="694" t="n"/>
      <c r="X98" s="202" t="n"/>
      <c r="Y98" s="202" t="n"/>
      <c r="Z98" s="103" t="inlineStr"/>
      <c r="AH98" s="493" t="n"/>
    </row>
    <row r="99" ht="335.25" customFormat="1" customHeight="1" s="109">
      <c r="B99" s="595" t="inlineStr">
        <is>
          <t>confl_foodsec_imp</t>
        </is>
      </c>
      <c r="C99" s="495" t="inlineStr">
        <is>
          <t>confl_foodsec_imp
1)confl_fs_none
2)confl_fs_high_cost
3)confl_fs_lack_food_mkt
4)confl_fs_access_mkt
5)confl_fs_reduced_income
6)confl_fs_access_assistance
7)confl_fs_theft_damage
8)confl_fs_illicit_pay
9)confl_fs_other
10)confl_fs_dk
11)confl_fs_ref</t>
        </is>
      </c>
      <c r="D99" s="49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8">
        <f>LEN(D99)</f>
        <v/>
      </c>
      <c r="F99" s="596"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8">
        <f>LEN(F99)</f>
        <v/>
      </c>
      <c r="H99" s="597" t="inlineStr">
        <is>
          <t>Open-Ended - Select All That Apply</t>
        </is>
      </c>
      <c r="I99" s="598" t="inlineStr">
        <is>
          <t>NA</t>
        </is>
      </c>
      <c r="J99" s="598" t="inlineStr">
        <is>
          <t>NA</t>
        </is>
      </c>
      <c r="K99" s="598" t="inlineStr">
        <is>
          <t>Form Type - Checklist
10,11 = IsNone
Min = 1
Max = 3</t>
        </is>
      </c>
      <c r="L99" s="491"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6" t="inlineStr">
        <is>
          <t>if confl_foodsec_imp = 1-11, go to crp_intro.</t>
        </is>
      </c>
      <c r="O99" s="23" t="inlineStr"/>
      <c r="P99" s="32" t="n"/>
      <c r="Q99" s="203" t="n"/>
      <c r="R99" s="103" t="n"/>
      <c r="T99" s="483" t="inlineStr">
        <is>
          <t>no</t>
        </is>
      </c>
      <c r="U99" s="694" t="n"/>
      <c r="X99" s="202" t="n"/>
      <c r="Y99" s="202" t="n"/>
      <c r="Z99" s="103" t="inlineStr"/>
    </row>
    <row r="100" ht="16.4" customFormat="1" customHeight="1" s="109" thickBot="1">
      <c r="A100" s="31" t="n"/>
      <c r="B100" s="551" t="n"/>
      <c r="C100" s="71" t="n"/>
      <c r="D100" s="585" t="n"/>
      <c r="E100" s="536" t="n"/>
      <c r="F100" s="585" t="n"/>
      <c r="G100" s="536" t="n"/>
      <c r="H100" s="537" t="n"/>
      <c r="I100" s="536" t="n"/>
      <c r="J100" s="536" t="n"/>
      <c r="K100" s="536" t="n"/>
      <c r="L100" s="37" t="n"/>
      <c r="M100" s="37" t="n"/>
      <c r="N100" s="37" t="n"/>
      <c r="O100" s="62" t="n"/>
      <c r="P100" s="32" t="n"/>
      <c r="Q100" s="203">
        <f>1</f>
        <v/>
      </c>
      <c r="R100" s="103" t="n"/>
      <c r="T100" s="111" t="n"/>
      <c r="U100" s="694" t="n"/>
      <c r="X100" s="202" t="n"/>
      <c r="Y100" s="202">
        <f>IF(X100="","",X100*Q100)</f>
        <v/>
      </c>
      <c r="Z100" s="103">
        <f>IF(T100="yes",Y100,"")</f>
        <v/>
      </c>
    </row>
    <row r="101" ht="16.4" customFormat="1" customHeight="1" s="310" thickBot="1">
      <c r="A101" s="684" t="inlineStr">
        <is>
          <t>D. CROP PRODUCTION</t>
        </is>
      </c>
      <c r="B101" s="685" t="n"/>
      <c r="C101" s="685" t="n"/>
      <c r="D101" s="685" t="n"/>
      <c r="E101" s="685" t="n"/>
      <c r="F101" s="685" t="n"/>
      <c r="G101" s="685" t="n"/>
      <c r="H101" s="685" t="n"/>
      <c r="I101" s="685" t="n"/>
      <c r="J101" s="685" t="n"/>
      <c r="K101" s="685" t="n"/>
      <c r="L101" s="685" t="n"/>
      <c r="M101" s="685" t="n"/>
      <c r="N101" s="685" t="n"/>
      <c r="O101" s="685" t="n"/>
      <c r="P101" s="686" t="n"/>
      <c r="Q101" s="198" t="n"/>
      <c r="R101" s="315" t="n"/>
      <c r="T101" s="313" t="n"/>
      <c r="U101" s="316" t="n"/>
      <c r="X101" s="201" t="n"/>
      <c r="Y101" s="201">
        <f>IF(X101="","",X101*Q101)</f>
        <v/>
      </c>
      <c r="Z101" s="315">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21"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3" t="inlineStr">
        <is>
          <t>yes</t>
        </is>
      </c>
      <c r="U102" s="694" t="n"/>
      <c r="X102" s="201" t="n">
        <v>7.304072856903076</v>
      </c>
      <c r="Y102" s="201">
        <f>IF(X102="","",X102*Q102)</f>
        <v/>
      </c>
      <c r="Z102" s="103" t="e">
        <v>#VALUE!</v>
      </c>
    </row>
    <row r="103" customFormat="1" s="109">
      <c r="A103" s="70" t="n"/>
      <c r="B103" s="75" t="n"/>
      <c r="C103" s="71" t="n"/>
      <c r="D103" s="76" t="n"/>
      <c r="E103" s="74" t="n"/>
      <c r="F103" s="76" t="n"/>
      <c r="G103" s="74" t="n"/>
      <c r="H103" s="77" t="n"/>
      <c r="I103" s="74" t="n"/>
      <c r="J103" s="74" t="n"/>
      <c r="K103" s="536" t="n"/>
      <c r="L103" s="62" t="n"/>
      <c r="M103" s="585" t="n"/>
      <c r="N103" s="131" t="n"/>
      <c r="O103" s="131" t="n"/>
      <c r="P103" s="141" t="n"/>
      <c r="Q103" s="203">
        <f>'Additional information'!$D$17</f>
        <v/>
      </c>
      <c r="R103" s="103" t="n"/>
      <c r="T103" s="111" t="n"/>
      <c r="U103" s="694" t="n"/>
      <c r="X103" s="202" t="n"/>
      <c r="Y103" s="202">
        <f>IF(X103="","",X103*Q103)</f>
        <v/>
      </c>
      <c r="Z103" s="103">
        <f>IF(T103="yes",Y103,"")</f>
        <v/>
      </c>
    </row>
    <row r="104" ht="93.65000000000001" customFormat="1" customHeight="1" s="185">
      <c r="A104" s="237" t="n"/>
      <c r="B104" s="607" t="inlineStr">
        <is>
          <t>crp_landsize_num</t>
        </is>
      </c>
      <c r="C104" s="521" t="inlineStr">
        <is>
          <t>crp_landsize_num</t>
        </is>
      </c>
      <c r="D104" s="533" t="inlineStr">
        <is>
          <t>What is the total size of the land you can cultivate?
[OPERATOR: RECORD THE TOTAL LAND SIZE PROVIDED BY THE RESPONDENT. WRITE 8888888 FOR DON'T KNOW AND 9999999 FOR REFUSED. MEASUREMENT UNIT WILL BE SPECIFIED IN THE FOLLOWING QUESTION.]</t>
        </is>
      </c>
      <c r="E104" s="521">
        <f>LEN(D104)</f>
        <v/>
      </c>
      <c r="F104" s="533"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21">
        <f>LEN(F104)</f>
        <v/>
      </c>
      <c r="H104" s="550" t="inlineStr">
        <is>
          <t>Range</t>
        </is>
      </c>
      <c r="I104" s="521" t="inlineStr">
        <is>
          <t>NA</t>
        </is>
      </c>
      <c r="J104" s="521" t="inlineStr">
        <is>
          <t>NA</t>
        </is>
      </c>
      <c r="K104" s="521"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3" t="inlineStr">
        <is>
          <t>yes</t>
        </is>
      </c>
      <c r="U104" s="694" t="n"/>
      <c r="X104" s="201" t="n">
        <v>23.93990516662598</v>
      </c>
      <c r="Y104" s="201">
        <f>IF(X104="","",X104*Q104)</f>
        <v/>
      </c>
      <c r="Z104" s="103" t="e">
        <v>#VALUE!</v>
      </c>
    </row>
    <row r="105" ht="171.65" customFormat="1" customHeight="1" s="185">
      <c r="A105" s="237" t="n"/>
      <c r="B105" s="607" t="inlineStr">
        <is>
          <t>crp_landsize_unit</t>
        </is>
      </c>
      <c r="C105" s="521" t="inlineStr">
        <is>
          <t>crp_landsize_unit</t>
        </is>
      </c>
      <c r="D105" s="533"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21">
        <f>LEN(D105)</f>
        <v/>
      </c>
      <c r="F105" s="533"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21">
        <f>LEN(F105)</f>
        <v/>
      </c>
      <c r="H105" s="550" t="inlineStr">
        <is>
          <t>Single Choice</t>
        </is>
      </c>
      <c r="I105" s="521" t="inlineStr">
        <is>
          <t>NA</t>
        </is>
      </c>
      <c r="J105" s="521" t="inlineStr">
        <is>
          <t>NA</t>
        </is>
      </c>
      <c r="K105" s="521"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3" t="inlineStr">
        <is>
          <t>yes</t>
        </is>
      </c>
      <c r="U105" s="694" t="n"/>
      <c r="X105" s="201" t="n">
        <v>2.249462604522705</v>
      </c>
      <c r="Y105" s="201">
        <f>IF(X105="","",X105*Q105)</f>
        <v/>
      </c>
      <c r="Z105" s="103" t="e">
        <v>#VALUE!</v>
      </c>
    </row>
    <row r="106" ht="118.4" customFormat="1" customHeight="1" s="109">
      <c r="A106" s="70">
        <f>A102+1</f>
        <v/>
      </c>
      <c r="B106" s="179" t="inlineStr">
        <is>
          <t>crp_main</t>
        </is>
      </c>
      <c r="C106" s="108" t="inlineStr">
        <is>
          <t>crp_main</t>
        </is>
      </c>
      <c r="D106" s="126" t="inlineStr">
        <is>
          <t>What is the main crop that your household grows for food or income generation in Ongoing season, if any?
[OPERATOR: SINGLE RESPONSE. "NO CROP PRODUCTION" APPEARS AT THE END OF THE LIST OF OPTIONS.]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E106" s="106">
        <f>LEN(D106)</f>
        <v/>
      </c>
      <c r="F106" s="126" t="inlineStr">
        <is>
          <t>ما هو المحصول الرئيسي الذي تزرعه أسرتك من أجل الغذاء أو 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G106" s="106">
        <f>LEN(F106)</f>
        <v/>
      </c>
      <c r="H106" s="114" t="inlineStr">
        <is>
          <t>Single Choice</t>
        </is>
      </c>
      <c r="I106" s="106" t="inlineStr">
        <is>
          <t>NA</t>
        </is>
      </c>
      <c r="J106" s="106" t="inlineStr">
        <is>
          <t>NA</t>
        </is>
      </c>
      <c r="K106" s="108" t="inlineStr">
        <is>
          <t>Form Type - Dropdown
IsDemographic</t>
        </is>
      </c>
      <c r="L106" s="125" t="inlineStr">
        <is>
          <t>1-90 = crp_irrig_source
91 = crp_main_check
92-93 = crp_salesmain</t>
        </is>
      </c>
      <c r="M106"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6" s="280" t="inlineStr">
        <is>
          <t>if crp_main = any type of crop, go to crp_irrig_source;
if crp_main = "No crop production", go to crp_main_check
if crp_main = "Don't know" or "Refused", go to crp_salesmain</t>
        </is>
      </c>
      <c r="O106" s="136" t="inlineStr"/>
      <c r="P106" s="32" t="n"/>
      <c r="Q106" s="203">
        <f>'Additional information'!$D$17</f>
        <v/>
      </c>
      <c r="R106" s="103" t="n"/>
      <c r="T106" s="313" t="inlineStr">
        <is>
          <t>yes</t>
        </is>
      </c>
      <c r="U106" s="694" t="n"/>
      <c r="X106" s="201" t="n">
        <v>23.44011688232422</v>
      </c>
      <c r="Y106" s="201">
        <f>IF(X106="","",X106*Q106)</f>
        <v/>
      </c>
      <c r="Z106" s="103" t="e">
        <v>#VALUE!</v>
      </c>
    </row>
    <row r="107" ht="93.65000000000001" customFormat="1" customHeight="1" s="109">
      <c r="A107" s="70" t="n"/>
      <c r="B107" s="179" t="inlineStr">
        <is>
          <t>crp_main_check</t>
        </is>
      </c>
      <c r="C107" s="108" t="inlineStr">
        <is>
          <t>crp_main_check</t>
        </is>
      </c>
      <c r="D107" s="126" t="inlineStr">
        <is>
          <t>Why did you not produce any crops in Ongoing season?
[OPERATOR: SINGLE RESPONSE.]
1)Don’t usually produce during this season 
2)Wasn't able to produce [e.g. due to difficulties]</t>
        </is>
      </c>
      <c r="E107" s="106">
        <f>LEN(D107)</f>
        <v/>
      </c>
      <c r="F107"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7" s="106">
        <f>LEN(F107)</f>
        <v/>
      </c>
      <c r="H107" s="114" t="inlineStr">
        <is>
          <t>Single Choice</t>
        </is>
      </c>
      <c r="I107" s="106" t="inlineStr">
        <is>
          <t>NA</t>
        </is>
      </c>
      <c r="J107" s="106" t="inlineStr">
        <is>
          <t>NA</t>
        </is>
      </c>
      <c r="K107" s="108" t="inlineStr">
        <is>
          <t>Form Type - Buttons</t>
        </is>
      </c>
      <c r="L107" s="125" t="inlineStr">
        <is>
          <t>1 = crp_salesmain
2 = crp_proddif</t>
        </is>
      </c>
      <c r="M107" s="165" t="inlineStr">
        <is>
          <t>NA</t>
        </is>
      </c>
      <c r="N107" s="137" t="inlineStr">
        <is>
          <t>if crp_main_check = 1, go to crp_salesmain
if crp_main_check = 2, go to crp_proddif</t>
        </is>
      </c>
      <c r="O107" s="136" t="inlineStr"/>
      <c r="P107" s="32" t="n"/>
      <c r="Q107" s="203">
        <f>'Additional information'!$D$17</f>
        <v/>
      </c>
      <c r="R107" s="103" t="n"/>
      <c r="T107" s="313" t="inlineStr">
        <is>
          <t>yes</t>
        </is>
      </c>
      <c r="U107" s="694" t="n"/>
      <c r="X107" s="201" t="n">
        <v>7.765957355499268</v>
      </c>
      <c r="Y107" s="201">
        <f>IF(X107="","",X107*Q107)</f>
        <v/>
      </c>
      <c r="Z107" s="103" t="e">
        <v>#VALUE!</v>
      </c>
    </row>
    <row r="108" customFormat="1" s="109">
      <c r="A108" s="70" t="n"/>
      <c r="B108" s="192" t="n"/>
      <c r="C108" s="71" t="n"/>
      <c r="D108" s="76" t="n"/>
      <c r="E108" s="74" t="n"/>
      <c r="F108" s="74" t="n"/>
      <c r="G108" s="74" t="n"/>
      <c r="H108" s="77" t="n"/>
      <c r="I108" s="74" t="n"/>
      <c r="J108" s="74" t="n"/>
      <c r="K108" s="71" t="n"/>
      <c r="L108" s="62" t="n"/>
      <c r="M108" s="585" t="n"/>
      <c r="N108" s="233" t="n"/>
      <c r="O108" s="136" t="n"/>
      <c r="P108" s="32" t="n"/>
      <c r="Q108" s="203">
        <f>'Additional information'!$D$17</f>
        <v/>
      </c>
      <c r="R108" s="103" t="n"/>
      <c r="T108" s="111" t="n"/>
      <c r="U108" s="694" t="n"/>
      <c r="X108" s="202" t="n"/>
      <c r="Y108" s="202">
        <f>IF(X108="","",X108*Q108)</f>
        <v/>
      </c>
      <c r="Z108" s="103">
        <f>IF(T108="yes",Y108,"")</f>
        <v/>
      </c>
    </row>
    <row r="109" ht="201" customFormat="1" customHeight="1" s="109">
      <c r="A109" s="31">
        <f>A106+1</f>
        <v/>
      </c>
      <c r="B109" s="607" t="inlineStr">
        <is>
          <t>crp_irrig_source</t>
        </is>
      </c>
      <c r="C109" s="521" t="inlineStr">
        <is>
          <t>crp_irrig_source</t>
        </is>
      </c>
      <c r="D109" s="5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521">
        <f>LEN(D109)</f>
        <v/>
      </c>
      <c r="F109"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09" s="521">
        <f>LEN(F109)</f>
        <v/>
      </c>
      <c r="H109" s="550" t="inlineStr">
        <is>
          <t>Open Ended - Single Choice</t>
        </is>
      </c>
      <c r="I109" s="521" t="inlineStr">
        <is>
          <t>NA</t>
        </is>
      </c>
      <c r="J109" s="521" t="inlineStr">
        <is>
          <t>NA</t>
        </is>
      </c>
      <c r="K109" s="521" t="inlineStr">
        <is>
          <t>Form Type - RadioList</t>
        </is>
      </c>
      <c r="L109" s="132" t="inlineStr">
        <is>
          <t>1-8 = crp_seed_supply</t>
        </is>
      </c>
      <c r="M109" s="165" t="inlineStr">
        <is>
          <t>NA</t>
        </is>
      </c>
      <c r="N109" s="137" t="inlineStr">
        <is>
          <t>if crp_irrig_source = crp_seed_supply</t>
        </is>
      </c>
      <c r="O109" s="42" t="inlineStr">
        <is>
          <t>1-8=crp_seed_supply</t>
        </is>
      </c>
      <c r="P109" s="9" t="n"/>
      <c r="Q109" s="203">
        <f>'Additional information'!$D$17</f>
        <v/>
      </c>
      <c r="R109" s="103" t="n"/>
      <c r="T109" s="313" t="inlineStr">
        <is>
          <t>yes</t>
        </is>
      </c>
      <c r="U109" s="694" t="n"/>
      <c r="X109" s="201" t="n">
        <v>16.48175621032715</v>
      </c>
      <c r="Y109" s="201">
        <f>IF(X109="","",X109*Q109)</f>
        <v/>
      </c>
      <c r="Z109" s="103" t="e">
        <v>#VALUE!</v>
      </c>
    </row>
    <row r="110" ht="14.15" customFormat="1" customHeight="1" s="109">
      <c r="A110" s="31" t="n"/>
      <c r="B110" s="551" t="n"/>
      <c r="C110" s="553" t="n"/>
      <c r="D110" s="555" t="n"/>
      <c r="E110" s="536" t="n"/>
      <c r="F110" s="536" t="n"/>
      <c r="G110" s="536" t="n"/>
      <c r="H110" s="537" t="n"/>
      <c r="I110" s="536" t="n"/>
      <c r="J110" s="536" t="n"/>
      <c r="K110" s="536" t="n"/>
      <c r="L110" s="608" t="n"/>
      <c r="M110" s="585" t="n"/>
      <c r="N110" s="194" t="n"/>
      <c r="O110" s="608" t="n"/>
      <c r="P110" s="9" t="n"/>
      <c r="Q110" s="203">
        <f>'Additional information'!$D$17</f>
        <v/>
      </c>
      <c r="R110" s="103" t="n"/>
      <c r="T110" s="111" t="n"/>
      <c r="U110" s="694" t="n"/>
      <c r="X110" s="202" t="n"/>
      <c r="Y110" s="202">
        <f>IF(X110="","",X110*Q110)</f>
        <v/>
      </c>
      <c r="Z110" s="103">
        <f>IF(T110="yes",Y110,"")</f>
        <v/>
      </c>
    </row>
    <row r="111" ht="218.65" customFormat="1" customHeight="1" s="109">
      <c r="A111" s="13">
        <f>A109+1</f>
        <v/>
      </c>
      <c r="B111" s="609" t="inlineStr">
        <is>
          <t>crp_seed_supply</t>
        </is>
      </c>
      <c r="C111" s="528" t="inlineStr">
        <is>
          <t>crp_seed_supply
1) crp_seed_ownprod
2) crp_seed_market
3) crp_seed_company
4) crp_seed_ngo
5) crp_seed_organized_community
6) crp_seed_gov
7) crp_seed_relatives_friends
8) crp_seed_other
9) crp_seed_dk
10) crp_seed_ref</t>
        </is>
      </c>
      <c r="D111" s="58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1" s="528">
        <f>LEN(D111)</f>
        <v/>
      </c>
      <c r="F111" s="58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1" s="528">
        <f>LEN(F111)</f>
        <v/>
      </c>
      <c r="H111" s="16" t="inlineStr">
        <is>
          <t>Select All That Apply</t>
        </is>
      </c>
      <c r="I111" s="15" t="inlineStr">
        <is>
          <t>NA</t>
        </is>
      </c>
      <c r="J111" s="15" t="inlineStr">
        <is>
          <t>NA</t>
        </is>
      </c>
      <c r="K111" s="15" t="inlineStr">
        <is>
          <t>Form Type - Checklist
9,10 = IsNone</t>
        </is>
      </c>
      <c r="L111" s="88" t="inlineStr">
        <is>
          <t>1-10 = crp_area_change</t>
        </is>
      </c>
      <c r="M111" s="53" t="inlineStr">
        <is>
          <t>1)crp_seed_ownprod
2)crp_seed_market
3)crp_seed_company
4)crp_seed_ngo
5)crp_seed_organized_community
6)crp_seed_gov
7)crp_seed_relatives_friends
8)crp_seed_other
9)crp_seed_dk
10)crp_seed_ref</t>
        </is>
      </c>
      <c r="N111" s="87" t="inlineStr">
        <is>
          <t>if crp_seed_supply = 1-10, go to crp_area_change</t>
        </is>
      </c>
      <c r="O111" s="39" t="inlineStr"/>
      <c r="P111" s="9" t="n"/>
      <c r="Q111" s="203">
        <f>'Additional information'!$D$17</f>
        <v/>
      </c>
      <c r="R111" s="103" t="n"/>
      <c r="T111" s="111" t="inlineStr">
        <is>
          <t>no</t>
        </is>
      </c>
      <c r="U111" s="694" t="n"/>
      <c r="X111" s="202" t="n">
        <v>18.51111030578613</v>
      </c>
      <c r="Y111" s="202">
        <f>IF(X111="","",X111*Q111)</f>
        <v/>
      </c>
      <c r="Z111" s="103" t="inlineStr"/>
    </row>
    <row r="112" customFormat="1" s="109">
      <c r="A112" s="31" t="n"/>
      <c r="B112" s="551" t="n"/>
      <c r="C112" s="553" t="n"/>
      <c r="D112" s="555" t="n"/>
      <c r="E112" s="536" t="n"/>
      <c r="F112" s="536" t="n"/>
      <c r="G112" s="536" t="n"/>
      <c r="H112" s="537" t="n"/>
      <c r="I112" s="536" t="n"/>
      <c r="J112" s="536" t="n"/>
      <c r="K112" s="536" t="n"/>
      <c r="L112" s="608" t="n"/>
      <c r="M112" s="585" t="n"/>
      <c r="N112" s="135" t="n"/>
      <c r="O112" s="608" t="n"/>
      <c r="P112" s="9" t="n"/>
      <c r="Q112" s="203">
        <f>'Additional information'!$D$17</f>
        <v/>
      </c>
      <c r="R112" s="103" t="n"/>
      <c r="T112" s="111" t="n"/>
      <c r="U112" s="694" t="n"/>
      <c r="X112" s="202" t="n"/>
      <c r="Y112" s="202">
        <f>IF(X112="","",X112*Q112)</f>
        <v/>
      </c>
      <c r="Z112" s="103">
        <f>IF(T112="yes",Y112,"")</f>
        <v/>
      </c>
    </row>
    <row r="113" ht="187.4" customFormat="1" customHeight="1" s="109">
      <c r="A113" s="31">
        <f>A111+1</f>
        <v/>
      </c>
      <c r="B113" s="520" t="inlineStr">
        <is>
          <t>crp_area_change</t>
        </is>
      </c>
      <c r="C113" s="610" t="inlineStr">
        <is>
          <t>crp_area_change</t>
        </is>
      </c>
      <c r="D113" s="533" t="inlineStr">
        <is>
          <t>How did the area planted for {crp_main} from Ongoing season compare to last year?
[OPERATOR: SINGLE RESPONSE.]
1)A lot more [increased by more than 50%]
2)Slightly more
3)Same
4)Slightly less
5)A lot less [less than half as much]
6)DON'T KNOW
7)REFUSED</t>
        </is>
      </c>
      <c r="E113" s="521">
        <f>LEN(D113)</f>
        <v/>
      </c>
      <c r="F113" s="533"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3" s="521">
        <f>LEN(F113)</f>
        <v/>
      </c>
      <c r="H113" s="522" t="inlineStr">
        <is>
          <t>Single Choice</t>
        </is>
      </c>
      <c r="I113" s="521" t="inlineStr">
        <is>
          <t>NA</t>
        </is>
      </c>
      <c r="J113" s="521" t="inlineStr">
        <is>
          <t>NA</t>
        </is>
      </c>
      <c r="K113" s="521" t="inlineStr">
        <is>
          <t>Form Type - Buttons</t>
        </is>
      </c>
      <c r="L113" s="132" t="inlineStr">
        <is>
          <t>1-7 = crp_harv_change</t>
        </is>
      </c>
      <c r="M113" s="165" t="inlineStr">
        <is>
          <t>NA</t>
        </is>
      </c>
      <c r="N113" s="132" t="inlineStr">
        <is>
          <t>if crp_area_change = 1-7, go to crp_harv_change</t>
        </is>
      </c>
      <c r="O113" s="37" t="inlineStr"/>
      <c r="P113" s="9" t="n"/>
      <c r="Q113" s="203">
        <f>'Additional information'!$D$17</f>
        <v/>
      </c>
      <c r="R113" s="103" t="n"/>
      <c r="T113" s="313" t="inlineStr">
        <is>
          <t>yes</t>
        </is>
      </c>
      <c r="U113" s="694" t="n"/>
      <c r="X113" s="201" t="n">
        <v>20.30868148803711</v>
      </c>
      <c r="Y113" s="201">
        <f>IF(X113="","",X113*Q113)</f>
        <v/>
      </c>
      <c r="Z113" s="103" t="e">
        <v>#VALUE!</v>
      </c>
    </row>
    <row r="114" customFormat="1" s="109">
      <c r="A114" s="31" t="n"/>
      <c r="B114" s="551" t="n"/>
      <c r="C114" s="553" t="n"/>
      <c r="D114" s="555" t="n"/>
      <c r="E114" s="536" t="n"/>
      <c r="F114" s="555" t="n"/>
      <c r="G114" s="536" t="n"/>
      <c r="H114" s="537" t="n"/>
      <c r="I114" s="536" t="n"/>
      <c r="J114" s="536" t="n"/>
      <c r="K114" s="536" t="n"/>
      <c r="L114" s="608" t="n"/>
      <c r="M114" s="585" t="n"/>
      <c r="N114" s="135" t="n"/>
      <c r="O114" s="608" t="n"/>
      <c r="P114" s="9" t="n"/>
      <c r="Q114" s="203">
        <f>'Additional information'!$D$17</f>
        <v/>
      </c>
      <c r="R114" s="103" t="n"/>
      <c r="T114" s="111" t="n"/>
      <c r="U114" s="694" t="n"/>
      <c r="X114" s="202" t="n"/>
      <c r="Y114" s="202">
        <f>IF(X114="","",X114*Q114)</f>
        <v/>
      </c>
      <c r="Z114" s="103">
        <f>IF(T114="yes",Y114,"")</f>
        <v/>
      </c>
    </row>
    <row r="115" ht="187.4" customFormat="1" customHeight="1" s="109">
      <c r="A115" s="31">
        <f>A113+1</f>
        <v/>
      </c>
      <c r="B115" s="607" t="inlineStr">
        <is>
          <t>crp_harv_change</t>
        </is>
      </c>
      <c r="C115" s="521" t="inlineStr">
        <is>
          <t>crp_harv_change</t>
        </is>
      </c>
      <c r="D115" s="533" t="inlineStr">
        <is>
          <t>How does the $expected or nothing$ harvest of {crp_main} in the Ongoing season compare to last year? 
[OPERATOR: SINGLE RESPONSE.]
1)A lot more [increased by more than 50%]
2)Slightly more
3)Same
4)Slightly less
5)A lot less [less than half as much]
6)DON'T KNOW
7)REFUSED</t>
        </is>
      </c>
      <c r="E115" s="521">
        <f>LEN(D115)</f>
        <v/>
      </c>
      <c r="F115" s="533" t="inlineStr">
        <is>
          <t>كيف يمكن مقارنة الحصاد  $expected or nothing AR$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521">
        <f>LEN(F115)</f>
        <v/>
      </c>
      <c r="H115" s="522" t="inlineStr">
        <is>
          <t>Single Choice</t>
        </is>
      </c>
      <c r="I115" s="521" t="inlineStr">
        <is>
          <t>NA</t>
        </is>
      </c>
      <c r="J115" s="521" t="inlineStr">
        <is>
          <t>NA</t>
        </is>
      </c>
      <c r="K115" s="521" t="inlineStr">
        <is>
          <t>Form Type - Buttons</t>
        </is>
      </c>
      <c r="L115" s="113" t="inlineStr">
        <is>
          <t>1-7 = crp_proddif OR crp_harv_vol</t>
        </is>
      </c>
      <c r="M115" s="165" t="inlineStr">
        <is>
          <t>NA</t>
        </is>
      </c>
      <c r="N115" s="134" t="inlineStr">
        <is>
          <t>if crp_harv_change = 1-7, go to [crp_proddif or crp_harv_vol]</t>
        </is>
      </c>
      <c r="O115" s="133" t="inlineStr">
        <is>
          <t>1-7 = crp_proddif</t>
        </is>
      </c>
      <c r="P115" s="89" t="n"/>
      <c r="Q115" s="203">
        <f>'Additional information'!$D$17</f>
        <v/>
      </c>
      <c r="R115" s="103" t="n"/>
      <c r="T115" s="313" t="inlineStr">
        <is>
          <t>yes</t>
        </is>
      </c>
      <c r="U115" s="694" t="n"/>
      <c r="X115" s="201" t="n">
        <v>15.44861221313477</v>
      </c>
      <c r="Y115" s="201">
        <f>IF(X115="","",X115*Q115)</f>
        <v/>
      </c>
      <c r="Z115" s="103" t="e">
        <v>#VALUE!</v>
      </c>
    </row>
    <row r="116" customFormat="1" s="109">
      <c r="A116" s="31" t="n"/>
      <c r="B116" s="611" t="n"/>
      <c r="C116" s="71" t="n"/>
      <c r="D116" s="585" t="n"/>
      <c r="E116" s="536" t="n"/>
      <c r="F116" s="536" t="n"/>
      <c r="G116" s="536" t="n"/>
      <c r="H116" s="537" t="n"/>
      <c r="I116" s="536" t="n"/>
      <c r="J116" s="536" t="n"/>
      <c r="K116" s="536" t="n"/>
      <c r="L116" s="57" t="n"/>
      <c r="M116" s="57" t="n"/>
      <c r="N116" s="57" t="n"/>
      <c r="O116" s="57" t="n"/>
      <c r="P116" s="9" t="n"/>
      <c r="Q116" s="203">
        <f>'Additional information'!$D$17</f>
        <v/>
      </c>
      <c r="R116" s="103" t="n"/>
      <c r="T116" s="111" t="n"/>
      <c r="U116" s="694" t="n"/>
      <c r="X116" s="202" t="n"/>
      <c r="Y116" s="202">
        <f>IF(X116="","",X116*Q116)</f>
        <v/>
      </c>
      <c r="Z116" s="103">
        <f>IF(T116="yes",Y116,"")</f>
        <v/>
      </c>
    </row>
    <row r="117" ht="140.65" customFormat="1" customHeight="1" s="109">
      <c r="A117" s="31">
        <f>#REF!+1</f>
        <v/>
      </c>
      <c r="B117" s="607" t="inlineStr">
        <is>
          <t>crp_proddif</t>
        </is>
      </c>
      <c r="C117" s="108" t="inlineStr">
        <is>
          <t>crp_proddif</t>
        </is>
      </c>
      <c r="D117" s="518" t="inlineStr">
        <is>
          <t>Has your household faced any significant difficulty in terms of crop production in Ongoing season?
[OPERATOR: SINGLE RESPONSE.]
1)YES
2)NO
3)DON'T KNOW
4)REFUSED</t>
        </is>
      </c>
      <c r="E117" s="521">
        <f>LEN(D117)</f>
        <v/>
      </c>
      <c r="F117" s="612" t="inlineStr">
        <is>
          <t>هل واجهت أسرتك أي صعوبة في إنتاج المحاصيل في الموسم الحالي؟
[المشغل: استجابة واحدة.]
1) نعم
2) لا
3) لا أعرف
4) رفض الإجابة</t>
        </is>
      </c>
      <c r="G117" s="521">
        <f>LEN(F117)</f>
        <v/>
      </c>
      <c r="H117" s="522" t="inlineStr">
        <is>
          <t>Single Choice</t>
        </is>
      </c>
      <c r="I117" s="521" t="inlineStr">
        <is>
          <t>NA</t>
        </is>
      </c>
      <c r="J117" s="521" t="inlineStr">
        <is>
          <t>NA</t>
        </is>
      </c>
      <c r="K117" s="521" t="inlineStr">
        <is>
          <t>Form Type - Buttons</t>
        </is>
      </c>
      <c r="L117" s="113" t="inlineStr">
        <is>
          <t>1 = crp_proddif_2
2-4 = [crp_salesmain or optional question]</t>
        </is>
      </c>
      <c r="M117" s="165" t="inlineStr">
        <is>
          <t>NA</t>
        </is>
      </c>
      <c r="N117" s="113" t="inlineStr">
        <is>
          <t>if crp_proddif = 1, go to crp_proddif_2 ; 
if crp_proddif = 2-4, go to [crp_salesmain or optional question]</t>
        </is>
      </c>
      <c r="O117" s="38" t="inlineStr">
        <is>
          <t>1 = crp_proddif_2
2-4 = crp_salesmain</t>
        </is>
      </c>
      <c r="P117" s="9" t="n"/>
      <c r="Q117" s="203">
        <f>'Additional information'!$D$17</f>
        <v/>
      </c>
      <c r="R117" s="103" t="n"/>
      <c r="T117" s="313" t="inlineStr">
        <is>
          <t>yes</t>
        </is>
      </c>
      <c r="U117" s="694" t="n"/>
      <c r="X117" s="201" t="n">
        <v>11.37532997131348</v>
      </c>
      <c r="Y117" s="201">
        <f>IF(X117="","",X117*Q117)</f>
        <v/>
      </c>
      <c r="Z117" s="103" t="e">
        <v>#VALUE!</v>
      </c>
    </row>
    <row r="118" ht="375" customFormat="1" customHeight="1" s="109" thickBot="1">
      <c r="A118" s="79">
        <f>A117+1</f>
        <v/>
      </c>
      <c r="B118" s="180" t="inlineStr">
        <is>
          <t>crp_proddif_2</t>
        </is>
      </c>
      <c r="C118" s="55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97">
        <f>LEN(D118)</f>
        <v/>
      </c>
      <c r="F118" s="519"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97">
        <f>LEN(F118)</f>
        <v/>
      </c>
      <c r="H118" s="108" t="inlineStr">
        <is>
          <t>Select All That Apply</t>
        </is>
      </c>
      <c r="I118" s="97" t="inlineStr">
        <is>
          <t>NA</t>
        </is>
      </c>
      <c r="J118" s="97" t="inlineStr">
        <is>
          <t>NA</t>
        </is>
      </c>
      <c r="K118" s="97" t="inlineStr">
        <is>
          <t>Form Type - Checklist
17,18 = IsNone</t>
        </is>
      </c>
      <c r="L118" s="294" t="inlineStr">
        <is>
          <t>1-18 = [crp_salesmain OR optional question]</t>
        </is>
      </c>
      <c r="M118"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8" s="518" t="inlineStr">
        <is>
          <t>if crp_proddif_2 = 1-18, go to [crp_salesmain OR optional question]</t>
        </is>
      </c>
      <c r="O118" s="38" t="inlineStr">
        <is>
          <t>1-18 = crp_salesmain</t>
        </is>
      </c>
      <c r="P118" s="9" t="n"/>
      <c r="Q118" s="203">
        <f>'Additional information'!$D$17</f>
        <v/>
      </c>
      <c r="R118" s="103" t="n"/>
      <c r="T118" s="313" t="inlineStr">
        <is>
          <t>yes</t>
        </is>
      </c>
      <c r="U118" s="694" t="n"/>
      <c r="X118" s="201" t="n">
        <v>25.84499931335449</v>
      </c>
      <c r="Y118" s="201">
        <f>IF(X118="","",X118*Q118)</f>
        <v/>
      </c>
      <c r="Z118" s="103" t="e">
        <v>#VALUE!</v>
      </c>
    </row>
    <row r="119" ht="16.4" customFormat="1" customHeight="1" s="310" thickBot="1">
      <c r="A119" s="684" t="inlineStr">
        <is>
          <t>D. CROP MARKETING</t>
        </is>
      </c>
      <c r="B119" s="685" t="n"/>
      <c r="C119" s="685" t="n"/>
      <c r="D119" s="685" t="n"/>
      <c r="E119" s="685" t="n"/>
      <c r="F119" s="685" t="n"/>
      <c r="G119" s="685" t="n"/>
      <c r="H119" s="685" t="n"/>
      <c r="I119" s="685" t="n"/>
      <c r="J119" s="685" t="n"/>
      <c r="K119" s="685" t="n"/>
      <c r="L119" s="685" t="n"/>
      <c r="M119" s="685" t="n"/>
      <c r="N119" s="685" t="n"/>
      <c r="O119" s="685" t="n"/>
      <c r="P119" s="686" t="n"/>
      <c r="Q119" s="198" t="n"/>
      <c r="R119" s="315" t="n"/>
      <c r="T119" s="313" t="n"/>
      <c r="U119" s="316" t="n"/>
      <c r="X119" s="201" t="n"/>
      <c r="Y119" s="201">
        <f>IF(X119="","",X119*Q119)</f>
        <v/>
      </c>
      <c r="Z119" s="315">
        <f>IF(T119="yes",Y119,"")</f>
        <v/>
      </c>
    </row>
    <row r="120" ht="265.4" customFormat="1" customHeight="1" s="109">
      <c r="A120" s="31" t="n"/>
      <c r="B120" s="520" t="inlineStr">
        <is>
          <t>crp_salesmain</t>
        </is>
      </c>
      <c r="C120" s="610" t="inlineStr">
        <is>
          <t>crp_salesmain</t>
        </is>
      </c>
      <c r="D120" s="613" t="inlineStr">
        <is>
          <t>What was the main crop that you sold over the last 3 months?
[OPERATOR: SINGLE RESPONSE.]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E120" s="106">
        <f>LEN(D120)</f>
        <v/>
      </c>
      <c r="F120" s="386" t="inlineStr">
        <is>
          <t>ما هو المحصول الرئيسي الذي بعته خلال الأشهر الثلاثة الماضية؟
[المشغل: استجابة واحدة.]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G120" s="106">
        <f>LEN(F120)</f>
        <v/>
      </c>
      <c r="H120" s="114" t="inlineStr">
        <is>
          <t>Single Choice</t>
        </is>
      </c>
      <c r="I120" s="521" t="inlineStr">
        <is>
          <t>NA</t>
        </is>
      </c>
      <c r="J120"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0" s="106" t="inlineStr">
        <is>
          <t>Form Type - Buttons</t>
        </is>
      </c>
      <c r="L120" s="113" t="inlineStr">
        <is>
          <t>1-90 = crp_salesdif
91-92 = ls_intro</t>
        </is>
      </c>
      <c r="M120"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0"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0" s="57" t="inlineStr"/>
      <c r="P120" s="9" t="n"/>
      <c r="Q120" s="203">
        <f>'Additional information'!$D$17</f>
        <v/>
      </c>
      <c r="R120" s="103" t="n"/>
      <c r="T120" s="313" t="inlineStr">
        <is>
          <t>yes</t>
        </is>
      </c>
      <c r="U120" s="694" t="n"/>
      <c r="X120" s="201" t="n">
        <v>17.61201477050781</v>
      </c>
      <c r="Y120" s="201">
        <f>IF(X120="","",X120*Q120)</f>
        <v/>
      </c>
      <c r="Z120" s="103" t="e">
        <v>#VALUE!</v>
      </c>
    </row>
    <row r="121" customFormat="1" s="109">
      <c r="A121" s="31" t="n"/>
      <c r="B121" s="551" t="n"/>
      <c r="C121" s="71" t="n"/>
      <c r="D121" s="614" t="n"/>
      <c r="E121" s="74" t="n"/>
      <c r="F121" s="614" t="n"/>
      <c r="G121" s="74" t="n"/>
      <c r="H121" s="552" t="n"/>
      <c r="I121" s="536" t="n"/>
      <c r="J121" s="615" t="n"/>
      <c r="K121" s="536" t="n"/>
      <c r="L121" s="57" t="n"/>
      <c r="M121" s="57" t="n"/>
      <c r="N121" s="59" t="n"/>
      <c r="O121" s="59" t="n"/>
      <c r="P121" s="9" t="n"/>
      <c r="Q121" s="203">
        <f>'Additional information'!$D$17</f>
        <v/>
      </c>
      <c r="R121" s="111" t="n"/>
      <c r="S121" s="694" t="n"/>
      <c r="V121" s="115" t="n"/>
      <c r="W121" s="146" t="n"/>
      <c r="X121" s="202" t="n"/>
      <c r="Y121" s="202">
        <f>IF(X121="","",X121*Q121)</f>
        <v/>
      </c>
      <c r="Z121" s="103">
        <f>IF(T121="yes",Y121,"")</f>
        <v/>
      </c>
    </row>
    <row r="122" ht="222" customFormat="1" customHeight="1" s="109">
      <c r="A122" s="70">
        <f>A118+1</f>
        <v/>
      </c>
      <c r="B122" s="296" t="inlineStr">
        <is>
          <t>crp_salesdif</t>
        </is>
      </c>
      <c r="C122" s="108" t="inlineStr">
        <is>
          <t>crp_salesdif</t>
        </is>
      </c>
      <c r="D122" s="107" t="inlineStr">
        <is>
          <t>Has your household faced any significant difficulty in the last 3 months selling your {crp_salesmain}?
[OPERATOR: SINGLE RESPONSE.]
1)YES
2)NO
3)DON'T KNOW
4)REFUSED</t>
        </is>
      </c>
      <c r="E122" s="106">
        <f>LEN(D122)</f>
        <v/>
      </c>
      <c r="F122" s="386" t="inlineStr">
        <is>
          <t>هل واجهت أسرتك أي صعوبة خلال الأشهر الثلاثة الماضية في بيع {crp_salesmain}؟
[المشغل: استجابة واحدة.]
1) نعم
2) لا
3) لا أعرف
4) رفض الإجابة</t>
        </is>
      </c>
      <c r="G122" s="106">
        <f>LEN(F122)</f>
        <v/>
      </c>
      <c r="H122" s="114" t="inlineStr">
        <is>
          <t>Single Choice</t>
        </is>
      </c>
      <c r="I122" s="106" t="inlineStr">
        <is>
          <t>NA</t>
        </is>
      </c>
      <c r="J122" s="108" t="inlineStr">
        <is>
          <t>NA</t>
        </is>
      </c>
      <c r="K122" s="106" t="inlineStr">
        <is>
          <t>Form Type - Buttons</t>
        </is>
      </c>
      <c r="L122" s="105" t="inlineStr">
        <is>
          <t>1 = crp_salesdif_2
2-4 = crp_salesprice</t>
        </is>
      </c>
      <c r="M122" s="165" t="inlineStr">
        <is>
          <t>NA</t>
        </is>
      </c>
      <c r="N122" s="105" t="inlineStr">
        <is>
          <t>if crp_salesdif = 1, go to crp_salesdif_2 ; 
if crp_salesdif = 2-4, go to crp_salesprice</t>
        </is>
      </c>
      <c r="O122" s="59" t="inlineStr"/>
      <c r="P122" s="32" t="n"/>
      <c r="Q122" s="203">
        <f>'Additional information'!$D$17</f>
        <v/>
      </c>
      <c r="R122" s="103" t="n"/>
      <c r="T122" s="313" t="inlineStr">
        <is>
          <t>yes</t>
        </is>
      </c>
      <c r="U122" s="694" t="n"/>
      <c r="X122" s="201" t="n">
        <v>10.45715618133545</v>
      </c>
      <c r="Y122" s="201">
        <f>IF(X122="","",X122*Q122)</f>
        <v/>
      </c>
      <c r="Z122" s="103" t="e">
        <v>#VALUE!</v>
      </c>
    </row>
    <row r="123" ht="264.65" customFormat="1" customHeight="1" s="109">
      <c r="A123" s="31">
        <f>A122+1</f>
        <v/>
      </c>
      <c r="B123" s="520" t="inlineStr">
        <is>
          <t>crp_salesdif_2</t>
        </is>
      </c>
      <c r="C123"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06">
        <f>LEN(D123)</f>
        <v/>
      </c>
      <c r="F123" s="386"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3" s="106">
        <f>LEN(F123)</f>
        <v/>
      </c>
      <c r="H123" s="108" t="inlineStr">
        <is>
          <t>Select All That Apply</t>
        </is>
      </c>
      <c r="I123" s="521" t="inlineStr">
        <is>
          <t>NA</t>
        </is>
      </c>
      <c r="J123" s="535" t="inlineStr">
        <is>
          <t>NA</t>
        </is>
      </c>
      <c r="K123" s="521" t="inlineStr">
        <is>
          <t>Form Type - Checklist
9,10 = IsNone</t>
        </is>
      </c>
      <c r="L123" s="113" t="inlineStr">
        <is>
          <t>1-10 = crp_salesprice</t>
        </is>
      </c>
      <c r="M123" s="165" t="inlineStr">
        <is>
          <t>1)crp_saledif_marketing_cost
2)crp_saledif_damage_losses
3)crp_saledif_low_demand
4)crp_saledif_pay_delay
5)crp_saledif_low_price
6)crp_saledif_processing
7)crp_saledif_competition
8)crp_saledif_other
9)crp_saledif_dk
10)crp_saledif_ref</t>
        </is>
      </c>
      <c r="N123" s="113" t="inlineStr">
        <is>
          <t>if crp_salesdif_2 = 1-10, go to crp_salesprice</t>
        </is>
      </c>
      <c r="O123" s="57" t="inlineStr"/>
      <c r="P123" s="9" t="n"/>
      <c r="Q123" s="203">
        <f>'Additional information'!$D$17</f>
        <v/>
      </c>
      <c r="R123" s="103" t="n"/>
      <c r="T123" s="313" t="inlineStr">
        <is>
          <t>yes</t>
        </is>
      </c>
      <c r="U123" s="694" t="n"/>
      <c r="X123" s="201" t="n">
        <v>20.76996231079102</v>
      </c>
      <c r="Y123" s="201">
        <f>IF(X123="","",X123*Q123)</f>
        <v/>
      </c>
      <c r="Z123" s="103" t="e">
        <v>#VALUE!</v>
      </c>
    </row>
    <row r="124" ht="261" customFormat="1" customHeight="1" s="109">
      <c r="A124" s="31">
        <f>A123+1</f>
        <v/>
      </c>
      <c r="B124" s="520" t="inlineStr">
        <is>
          <t>crp_salesprice</t>
        </is>
      </c>
      <c r="C124" s="108" t="inlineStr">
        <is>
          <t>crp_salesprice</t>
        </is>
      </c>
      <c r="D124" s="518"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4" s="521">
        <f>LEN(D124)</f>
        <v/>
      </c>
      <c r="F124" s="61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4" s="521">
        <f>LEN(F124)</f>
        <v/>
      </c>
      <c r="H124" s="522" t="inlineStr">
        <is>
          <t>Single Choice</t>
        </is>
      </c>
      <c r="I124" s="521" t="inlineStr">
        <is>
          <t>NA</t>
        </is>
      </c>
      <c r="J124" s="521" t="inlineStr">
        <is>
          <t>NA</t>
        </is>
      </c>
      <c r="K124" s="521" t="inlineStr">
        <is>
          <t>Form Type - Buttons</t>
        </is>
      </c>
      <c r="L124" s="132" t="inlineStr">
        <is>
          <t>1-7 = ls_intro</t>
        </is>
      </c>
      <c r="M124" s="165" t="inlineStr">
        <is>
          <t>NA</t>
        </is>
      </c>
      <c r="N124" s="112" t="inlineStr">
        <is>
          <t>if crp_salesprice = 1-7, go to ls_intro</t>
        </is>
      </c>
      <c r="O124" s="131" t="inlineStr"/>
      <c r="P124" s="9" t="n"/>
      <c r="Q124" s="203">
        <f>'Additional information'!$D$17</f>
        <v/>
      </c>
      <c r="R124" s="103" t="n"/>
      <c r="T124" s="313" t="inlineStr">
        <is>
          <t>yes</t>
        </is>
      </c>
      <c r="U124" s="694" t="n"/>
      <c r="X124" s="201" t="n">
        <v>23.56972122192383</v>
      </c>
      <c r="Y124" s="201">
        <f>IF(X124="","",X124*Q124)</f>
        <v/>
      </c>
      <c r="Z124" s="103" t="e">
        <v>#VALUE!</v>
      </c>
    </row>
    <row r="125" ht="16.4" customFormat="1" customHeight="1" s="109" thickBot="1">
      <c r="A125" s="31" t="n"/>
      <c r="B125" s="551" t="n"/>
      <c r="C125" s="71" t="n"/>
      <c r="D125" s="614" t="n"/>
      <c r="E125" s="74" t="n"/>
      <c r="F125" s="614" t="n"/>
      <c r="G125" s="74" t="n"/>
      <c r="H125" s="552" t="n"/>
      <c r="I125" s="536" t="n"/>
      <c r="J125" s="78" t="n"/>
      <c r="K125" s="536" t="n"/>
      <c r="L125" s="57" t="n"/>
      <c r="M125" s="57" t="n"/>
      <c r="N125" s="59" t="n"/>
      <c r="O125" s="59" t="n"/>
      <c r="P125" s="9" t="n"/>
      <c r="Q125" s="203">
        <f>'Additional information'!$D$17</f>
        <v/>
      </c>
      <c r="R125" s="103" t="n"/>
      <c r="T125" s="111" t="n"/>
      <c r="U125" s="694" t="n"/>
      <c r="X125" s="202" t="n"/>
      <c r="Y125" s="202">
        <f>IF(X125="","",X125*Q125)</f>
        <v/>
      </c>
      <c r="Z125" s="103">
        <f>IF(T125="yes",Y125,"")</f>
        <v/>
      </c>
    </row>
    <row r="126" ht="16.4" customFormat="1" customHeight="1" s="310" thickBot="1">
      <c r="A126" s="684" t="inlineStr">
        <is>
          <t>E. LIVESTOCK PRODUCTION</t>
        </is>
      </c>
      <c r="B126" s="685" t="n"/>
      <c r="C126" s="685" t="n"/>
      <c r="D126" s="685" t="n"/>
      <c r="E126" s="685" t="n"/>
      <c r="F126" s="685" t="n"/>
      <c r="G126" s="685" t="n"/>
      <c r="H126" s="685" t="n"/>
      <c r="I126" s="685" t="n"/>
      <c r="J126" s="685" t="n"/>
      <c r="K126" s="685" t="n"/>
      <c r="L126" s="685" t="n"/>
      <c r="M126" s="685" t="n"/>
      <c r="N126" s="685" t="n"/>
      <c r="O126" s="685" t="n"/>
      <c r="P126" s="686" t="n"/>
      <c r="Q126" s="198" t="n"/>
      <c r="R126" s="315" t="n"/>
      <c r="T126" s="313" t="n"/>
      <c r="U126" s="316" t="n"/>
      <c r="X126" s="201" t="n"/>
      <c r="Y126" s="201">
        <f>IF(X126="","",X126*Q126)</f>
        <v/>
      </c>
      <c r="Z126" s="315">
        <f>IF(T126="yes",Y126,"")</f>
        <v/>
      </c>
    </row>
    <row r="127" ht="124.9" customFormat="1" customHeight="1" s="109">
      <c r="A127" s="70">
        <f>A124+1</f>
        <v/>
      </c>
      <c r="B127" s="297" t="inlineStr">
        <is>
          <t>ls_intro</t>
        </is>
      </c>
      <c r="C127" s="617" t="inlineStr">
        <is>
          <t>ls_intro</t>
        </is>
      </c>
      <c r="D127" s="618" t="inlineStr">
        <is>
          <t>We will now ask you some questions about livestock production which apply to you and anyone in your household that is involved in livestock production or sales. 
1)CONTINUE</t>
        </is>
      </c>
      <c r="E127" s="106">
        <f>LEN(D127)</f>
        <v/>
      </c>
      <c r="F127" s="618" t="inlineStr">
        <is>
          <t>سنطرح عليك الآن بعض الأسئلة حول إنتاج الماشية التي تنطبق عليك وعلى أي شخص في أسرتك يشارك في إنتاج الماشية أو بيعها.
1) تابع</t>
        </is>
      </c>
      <c r="G127" s="106">
        <f>LEN(F127)</f>
        <v/>
      </c>
      <c r="H127" s="106" t="inlineStr">
        <is>
          <t>Single Choice</t>
        </is>
      </c>
      <c r="I127" s="106" t="inlineStr">
        <is>
          <t>NA</t>
        </is>
      </c>
      <c r="J127"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7" s="106" t="inlineStr">
        <is>
          <t>Form Type - Buttons</t>
        </is>
      </c>
      <c r="L127" s="105" t="inlineStr">
        <is>
          <t>1 = ls_main</t>
        </is>
      </c>
      <c r="M127" s="165" t="inlineStr">
        <is>
          <t>NA</t>
        </is>
      </c>
      <c r="N127"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7" s="131" t="inlineStr"/>
      <c r="P127" s="8" t="n"/>
      <c r="Q127" s="198">
        <f>'Additional information'!$D$18</f>
        <v/>
      </c>
      <c r="R127" s="103" t="n"/>
      <c r="T127" s="313" t="inlineStr">
        <is>
          <t>yes</t>
        </is>
      </c>
      <c r="U127" s="694" t="n"/>
      <c r="X127" s="201" t="n">
        <v>4.50195837020874</v>
      </c>
      <c r="Y127" s="201">
        <f>IF(X127="","",X127*Q127)</f>
        <v/>
      </c>
      <c r="Z127" s="103" t="e">
        <v>#VALUE!</v>
      </c>
    </row>
    <row r="128" customFormat="1" s="109">
      <c r="A128" s="31" t="n"/>
      <c r="B128" s="551" t="n"/>
      <c r="C128" s="71" t="n"/>
      <c r="D128" s="614" t="n"/>
      <c r="E128" s="74" t="n"/>
      <c r="F128" s="619" t="n"/>
      <c r="G128" s="74" t="n"/>
      <c r="H128" s="552" t="n"/>
      <c r="I128" s="536" t="n"/>
      <c r="J128" s="615" t="n"/>
      <c r="K128" s="536" t="n"/>
      <c r="L128" s="57" t="n"/>
      <c r="M128" s="57" t="n"/>
      <c r="N128" s="59" t="n"/>
      <c r="O128" s="59" t="n"/>
      <c r="P128" s="9" t="n"/>
      <c r="Q128" s="203">
        <f>'Additional information'!$D$18</f>
        <v/>
      </c>
      <c r="R128" s="103" t="n"/>
      <c r="T128" s="111" t="n"/>
      <c r="U128" s="694" t="n"/>
      <c r="X128" s="202" t="n"/>
      <c r="Y128" s="202">
        <f>IF(X128="","",X128*Q128)</f>
        <v/>
      </c>
      <c r="Z128" s="103">
        <f>IF(T128="yes",Y128,"")</f>
        <v/>
      </c>
    </row>
    <row r="129" ht="280.9" customFormat="1" customHeight="1" s="109">
      <c r="A129" s="70">
        <f>A127+1</f>
        <v/>
      </c>
      <c r="B129" s="179" t="inlineStr">
        <is>
          <t>ls_main</t>
        </is>
      </c>
      <c r="C129" s="108" t="inlineStr">
        <is>
          <t>ls_main</t>
        </is>
      </c>
      <c r="D129"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06">
        <f>LEN(D129)</f>
        <v/>
      </c>
      <c r="F129" s="38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9" s="106">
        <f>LEN(F129)</f>
        <v/>
      </c>
      <c r="H129" s="106" t="inlineStr">
        <is>
          <t>Single Choice</t>
        </is>
      </c>
      <c r="I129" s="106" t="inlineStr">
        <is>
          <t>NA</t>
        </is>
      </c>
      <c r="J129" s="106" t="inlineStr">
        <is>
          <t>NA</t>
        </is>
      </c>
      <c r="K129" s="108" t="inlineStr">
        <is>
          <t>Form Type - Buttons
set demographic</t>
        </is>
      </c>
      <c r="L129" s="105" t="inlineStr">
        <is>
          <t>1-9 = ls_num_lastyr
10-11 = ls_proddif</t>
        </is>
      </c>
      <c r="M129" s="165" t="inlineStr">
        <is>
          <t>NA</t>
        </is>
      </c>
      <c r="N129" s="112" t="inlineStr">
        <is>
          <t>if ls_main = 1-9, go to ls_num_lastyr ; 
If ls_main = 10-11, go to ls_proddif</t>
        </is>
      </c>
      <c r="O129" s="131" t="inlineStr"/>
      <c r="P129" s="32" t="n"/>
      <c r="Q129" s="198">
        <f>'Additional information'!$D$18</f>
        <v/>
      </c>
      <c r="R129" s="103" t="n"/>
      <c r="T129" s="313" t="inlineStr">
        <is>
          <t>yes</t>
        </is>
      </c>
      <c r="U129" s="694" t="n"/>
      <c r="X129" s="201" t="n">
        <v>17.40248489379883</v>
      </c>
      <c r="Y129" s="201">
        <f>IF(X129="","",X129*Q129)</f>
        <v/>
      </c>
      <c r="Z129" s="103" t="e">
        <v>#VALUE!</v>
      </c>
    </row>
    <row r="130" customFormat="1" s="109">
      <c r="A130" s="70" t="n"/>
      <c r="B130" s="192" t="n"/>
      <c r="C130" s="71" t="n"/>
      <c r="D130" s="129" t="n"/>
      <c r="E130" s="74" t="n"/>
      <c r="F130" s="73" t="n"/>
      <c r="G130" s="74" t="n"/>
      <c r="H130" s="74" t="n"/>
      <c r="I130" s="74" t="n"/>
      <c r="J130" s="74" t="n"/>
      <c r="K130" s="71" t="n"/>
      <c r="L130" s="59" t="n"/>
      <c r="M130" s="57" t="n"/>
      <c r="N130" s="131" t="n"/>
      <c r="O130" s="131" t="n"/>
      <c r="P130" s="32" t="n"/>
      <c r="Q130" s="203">
        <f>'Additional information'!$D$18</f>
        <v/>
      </c>
      <c r="R130" s="103" t="n"/>
      <c r="T130" s="111" t="n"/>
      <c r="U130" s="694" t="n"/>
      <c r="X130" s="202" t="n"/>
      <c r="Y130" s="202">
        <f>IF(X130="","",X130*Q130)</f>
        <v/>
      </c>
      <c r="Z130" s="103">
        <f>IF(T130="yes",Y130,"")</f>
        <v/>
      </c>
    </row>
    <row r="131" ht="62.65" customFormat="1" customHeight="1" s="109">
      <c r="A131" s="31">
        <f>A129+1</f>
        <v/>
      </c>
      <c r="B131" s="520" t="inlineStr">
        <is>
          <t>ls_num_lastyr</t>
        </is>
      </c>
      <c r="C131" s="108" t="inlineStr">
        <is>
          <t>ls_num_lastyr</t>
        </is>
      </c>
      <c r="D131" s="518" t="inlineStr">
        <is>
          <t>How many {ls_main] did you have at the same time last year?
[OPERATOR: RECORD THE NUMBER OF ANIMALS. ENTER 88888 FOR DON'T KNOW AND 99999 FOR REFUSED.]</t>
        </is>
      </c>
      <c r="E131" s="521">
        <f>LEN(D131)</f>
        <v/>
      </c>
      <c r="F131" s="519" t="inlineStr">
        <is>
          <t>كم {ls_main] كان لديك في نفس الوقت من العام الماضي؟
[المُشغل: سجل عدد الحيوانات. أدخل 88888 للا أعرف و 99999 في حالة الرفض.]</t>
        </is>
      </c>
      <c r="G131" s="521">
        <f>LEN(F131)</f>
        <v/>
      </c>
      <c r="H131" s="522" t="inlineStr">
        <is>
          <t>Range</t>
        </is>
      </c>
      <c r="I131" s="521" t="inlineStr">
        <is>
          <t>NA</t>
        </is>
      </c>
      <c r="J131" s="521" t="inlineStr">
        <is>
          <t>NA</t>
        </is>
      </c>
      <c r="K131" s="521" t="inlineStr">
        <is>
          <t>Form Type - TextBox</t>
        </is>
      </c>
      <c r="L131" s="113" t="inlineStr">
        <is>
          <t>0-10000 = ls_num_now
88888-88888 = ls_num_now
99999-99999 = ls_num_now</t>
        </is>
      </c>
      <c r="M131" s="165" t="inlineStr">
        <is>
          <t>NA</t>
        </is>
      </c>
      <c r="N131" s="113" t="inlineStr">
        <is>
          <t>answers can range from 0-10000; any response goes to ls_num_now</t>
        </is>
      </c>
      <c r="O131" s="59" t="inlineStr"/>
      <c r="P131" s="9" t="n"/>
      <c r="Q131" s="198">
        <f>'Additional information'!$D$18</f>
        <v/>
      </c>
      <c r="R131" s="103" t="n"/>
      <c r="T131" s="313" t="inlineStr">
        <is>
          <t>yes</t>
        </is>
      </c>
      <c r="U131" s="694" t="n"/>
      <c r="X131" s="201" t="n">
        <v>16.33288192749023</v>
      </c>
      <c r="Y131" s="201">
        <f>IF(X131="","",X131*Q131)</f>
        <v/>
      </c>
      <c r="Z131" s="103" t="e">
        <v>#VALUE!</v>
      </c>
    </row>
    <row r="132" ht="62.65" customFormat="1" customHeight="1" s="109">
      <c r="A132" s="31">
        <f>A131+1</f>
        <v/>
      </c>
      <c r="B132" s="520" t="inlineStr">
        <is>
          <t>ls_num_now</t>
        </is>
      </c>
      <c r="C132" s="108" t="inlineStr">
        <is>
          <t>ls_num_now</t>
        </is>
      </c>
      <c r="D132" s="533" t="inlineStr">
        <is>
          <t>How many {ls_main} do you have now?
[OPERATOR: RECORD THE NUMBER OF ANIMALS. ENTER 88888 FOR DON'T KNOW AND 99999 FOR REFUSED.]</t>
        </is>
      </c>
      <c r="E132" s="521">
        <f>LEN(D132)</f>
        <v/>
      </c>
      <c r="F132" s="533" t="inlineStr">
        <is>
          <t>كم {ls_main} لديك الآن؟
[المُشغل: سجل عدد الحيوانات. أدخل 88888 للا أعرف و 99999 في حالة الرفض.]</t>
        </is>
      </c>
      <c r="G132" s="521">
        <f>LEN(F132)</f>
        <v/>
      </c>
      <c r="H132" s="522" t="inlineStr">
        <is>
          <t>Range</t>
        </is>
      </c>
      <c r="I132" s="521" t="inlineStr">
        <is>
          <t>NA</t>
        </is>
      </c>
      <c r="J132" s="521" t="inlineStr">
        <is>
          <t>NA</t>
        </is>
      </c>
      <c r="K132" s="521" t="inlineStr">
        <is>
          <t>Form Type - TextBox</t>
        </is>
      </c>
      <c r="L132" s="113" t="inlineStr">
        <is>
          <t>0-10000 = ls_num_change
88888-88888 = ls_num_change
99999-99999 = ls_num_change</t>
        </is>
      </c>
      <c r="M132" s="165" t="inlineStr">
        <is>
          <t>NA</t>
        </is>
      </c>
      <c r="N132" s="113" t="inlineStr">
        <is>
          <t>answers can range from 0-10000; any response goes to ls_num_change</t>
        </is>
      </c>
      <c r="O132" s="59" t="inlineStr"/>
      <c r="P132" s="9" t="n"/>
      <c r="Q132" s="198">
        <f>'Additional information'!$D$18</f>
        <v/>
      </c>
      <c r="R132" s="103" t="n"/>
      <c r="T132" s="313" t="inlineStr">
        <is>
          <t>yes</t>
        </is>
      </c>
      <c r="U132" s="694" t="n"/>
      <c r="X132" s="201" t="n">
        <v>7.41445255279541</v>
      </c>
      <c r="Y132" s="201">
        <f>IF(X132="","",X132*Q132)</f>
        <v/>
      </c>
      <c r="Z132" s="103" t="e">
        <v>#VALUE!</v>
      </c>
    </row>
    <row r="133" ht="383.25" customFormat="1" customHeight="1" s="109">
      <c r="A133" s="31" t="n">
        <v>44</v>
      </c>
      <c r="B133" s="520" t="inlineStr">
        <is>
          <t>ls_num_change</t>
        </is>
      </c>
      <c r="C133"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3"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3" s="521">
        <f>LEN(D133)</f>
        <v/>
      </c>
      <c r="F133" s="533"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3" s="521">
        <f>LEN(F133)</f>
        <v/>
      </c>
      <c r="H133" s="108" t="inlineStr">
        <is>
          <t>Select All That Apply</t>
        </is>
      </c>
      <c r="I133" s="521" t="inlineStr">
        <is>
          <t>NA</t>
        </is>
      </c>
      <c r="J133" s="521" t="inlineStr">
        <is>
          <t>NA</t>
        </is>
      </c>
      <c r="K133" s="521" t="inlineStr">
        <is>
          <t>Form Type - Checklist
1,13,14 = IsNone</t>
        </is>
      </c>
      <c r="L133" s="113" t="inlineStr">
        <is>
          <t>1-14 = [ls_feed]</t>
        </is>
      </c>
      <c r="M133"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3" s="112" t="inlineStr">
        <is>
          <t>If ls_num_change 1-14 = [ls_feed]</t>
        </is>
      </c>
      <c r="O133" s="22" t="inlineStr">
        <is>
          <t>1-14 = ls_feed</t>
        </is>
      </c>
      <c r="P133" s="9" t="n"/>
      <c r="Q133" s="198">
        <f>'Additional information'!$D$18</f>
        <v/>
      </c>
      <c r="R133" s="103" t="n"/>
      <c r="T133" s="313" t="inlineStr">
        <is>
          <t>yes</t>
        </is>
      </c>
      <c r="U133" s="694" t="n"/>
      <c r="X133" s="201" t="n">
        <v>17.79113578796387</v>
      </c>
      <c r="Y133" s="201">
        <f>IF(X133="","",X133*Q133)</f>
        <v/>
      </c>
      <c r="Z133" s="103" t="e">
        <v>#VALUE!</v>
      </c>
    </row>
    <row r="134" ht="238.4" customFormat="1" customHeight="1" s="109">
      <c r="A134" s="13" t="n">
        <v>45</v>
      </c>
      <c r="B134" s="526" t="inlineStr">
        <is>
          <t>ls_feed</t>
        </is>
      </c>
      <c r="C134" s="16" t="inlineStr">
        <is>
          <t>ls_feed
1) ls_feed_open_pasture
2) ls_feed_common_pasture
3) ls_feed_self_produced
4) ls_feed_purchased
5) ls_feed_free_dist
6) ls_feed_other
7) ls_feed_dk
8) ls_feed_ref</t>
        </is>
      </c>
      <c r="D134" s="527"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4" s="528">
        <f>LEN(D134)</f>
        <v/>
      </c>
      <c r="F134" s="584"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4" s="528">
        <f>LEN(F134)</f>
        <v/>
      </c>
      <c r="H134" s="275" t="inlineStr">
        <is>
          <t>Select All That Apply</t>
        </is>
      </c>
      <c r="I134" s="528" t="inlineStr">
        <is>
          <t>NA</t>
        </is>
      </c>
      <c r="J134" s="528" t="inlineStr">
        <is>
          <t>NA</t>
        </is>
      </c>
      <c r="K134" s="528" t="inlineStr">
        <is>
          <t>Form Type - Checklist
7,8 = IsNone</t>
        </is>
      </c>
      <c r="L134" s="23" t="inlineStr">
        <is>
          <t>1-8 = ls_proddif</t>
        </is>
      </c>
      <c r="M134" s="53" t="inlineStr">
        <is>
          <t>1)ls_feed_open_pasture
2)ls_feed_common_pasture
3)ls_feed_self_produced
4)ls_feed_purchased
5)ls_feed_free_dist
6)ls_feed_other
7)ls_feed_dk
8)ls_feed_ref</t>
        </is>
      </c>
      <c r="N134" s="87" t="inlineStr">
        <is>
          <t>For any response, go to ls_proddif</t>
        </is>
      </c>
      <c r="O134" s="39" t="inlineStr"/>
      <c r="P134" s="9" t="n"/>
      <c r="Q134" s="203">
        <f>'Additional information'!$D$18</f>
        <v/>
      </c>
      <c r="R134" s="103" t="n"/>
      <c r="T134" s="111" t="inlineStr">
        <is>
          <t>no</t>
        </is>
      </c>
      <c r="U134" s="694" t="n"/>
      <c r="X134" s="202" t="n">
        <v>18.08681678771973</v>
      </c>
      <c r="Y134" s="202">
        <f>IF(X134="","",X134*Q134)</f>
        <v/>
      </c>
      <c r="Z134" s="103" t="inlineStr"/>
    </row>
    <row r="135" customFormat="1" s="109">
      <c r="A135" s="31" t="n"/>
      <c r="B135" s="551" t="n"/>
      <c r="C135" s="71" t="n"/>
      <c r="D135" s="585" t="n"/>
      <c r="E135" s="536" t="n"/>
      <c r="G135" s="536" t="n"/>
      <c r="H135" s="537" t="n"/>
      <c r="I135" s="536" t="n"/>
      <c r="J135" s="536" t="n"/>
      <c r="K135" s="536" t="n"/>
      <c r="L135" s="57" t="n"/>
      <c r="M135" s="57" t="n"/>
      <c r="N135" s="57" t="n"/>
      <c r="O135" s="59" t="n"/>
      <c r="P135" s="9" t="n"/>
      <c r="Q135" s="203">
        <f>'Additional information'!$D$18</f>
        <v/>
      </c>
      <c r="R135" s="103" t="n"/>
      <c r="T135" s="111" t="n"/>
      <c r="U135" s="694" t="n"/>
      <c r="X135" s="202" t="n"/>
      <c r="Y135" s="202">
        <f>IF(X135="","",X135*Q135)</f>
        <v/>
      </c>
      <c r="Z135" s="103">
        <f>IF(T135="yes",Y135,"")</f>
        <v/>
      </c>
    </row>
    <row r="136" ht="140.65" customFormat="1" customHeight="1" s="109">
      <c r="A136" s="31">
        <f>A134+1</f>
        <v/>
      </c>
      <c r="B136" s="520" t="inlineStr">
        <is>
          <t>ls_proddif</t>
        </is>
      </c>
      <c r="C136" s="108" t="inlineStr">
        <is>
          <t>ls_proddif</t>
        </is>
      </c>
      <c r="D136" s="518" t="inlineStr">
        <is>
          <t>Has your household faced any significant difficulty with livestock production over the last 3 months?
[OPERATOR: SINGLE RESPONSE.]
1)YES 
2)NO
3)DON'T KNOW
4)REFUSED</t>
        </is>
      </c>
      <c r="E136" s="521">
        <f>LEN(D136)</f>
        <v/>
      </c>
      <c r="F136" s="519" t="inlineStr">
        <is>
          <t>هل واجهت أسرتك أي صعوبة في إنتاج الماشية خلال الأشهر الثلاثة الماضية؟
[المشغل: استجابة واحدة.]
1) نعم
2) لا
3) لا أعرف
4) رفض الإجابة</t>
        </is>
      </c>
      <c r="G136" s="521">
        <f>LEN(F136)</f>
        <v/>
      </c>
      <c r="H136" s="522" t="inlineStr">
        <is>
          <t>Single Choice</t>
        </is>
      </c>
      <c r="I136" s="521" t="inlineStr">
        <is>
          <t>NA</t>
        </is>
      </c>
      <c r="J136" s="521" t="inlineStr">
        <is>
          <t>NA</t>
        </is>
      </c>
      <c r="K136" s="521" t="inlineStr">
        <is>
          <t>Form Type - Buttons</t>
        </is>
      </c>
      <c r="L136" s="113" t="inlineStr">
        <is>
          <t>1=ls_proddif_2
2-4= [ls_salesmain OR optional question]</t>
        </is>
      </c>
      <c r="M136" s="165" t="inlineStr">
        <is>
          <t>NA</t>
        </is>
      </c>
      <c r="N136" s="113" t="inlineStr">
        <is>
          <t>if ls_proddif = 1, go to ls_proddif_2 ; 
if ls_proddif = 2-4, go to [ls_salesmain OR optional question]</t>
        </is>
      </c>
      <c r="O136" s="29" t="inlineStr">
        <is>
          <t>1=ls_proddif_2
2-4= ls_salesmain</t>
        </is>
      </c>
      <c r="P136" s="9" t="n"/>
      <c r="Q136" s="198">
        <f>'Additional information'!$D$18</f>
        <v/>
      </c>
      <c r="R136" s="103" t="n"/>
      <c r="T136" s="313" t="inlineStr">
        <is>
          <t>yes</t>
        </is>
      </c>
      <c r="U136" s="694" t="n"/>
      <c r="X136" s="201" t="n">
        <v>10.37455940246582</v>
      </c>
      <c r="Y136" s="201">
        <f>IF(X136="","",X136*Q136)</f>
        <v/>
      </c>
      <c r="Z136" s="103" t="e">
        <v>#VALUE!</v>
      </c>
    </row>
    <row r="137" ht="327.65" customFormat="1" customHeight="1" s="109">
      <c r="A137" s="79">
        <f>A136+1</f>
        <v/>
      </c>
      <c r="B137" s="180" t="inlineStr">
        <is>
          <t>ls_proddif_2</t>
        </is>
      </c>
      <c r="C137"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518"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521">
        <f>LEN(D137)</f>
        <v/>
      </c>
      <c r="F137" s="519"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7" s="521">
        <f>LEN(F137)</f>
        <v/>
      </c>
      <c r="H137" s="108" t="inlineStr">
        <is>
          <t>Select All That Apply</t>
        </is>
      </c>
      <c r="I137" s="521" t="inlineStr">
        <is>
          <t>NA</t>
        </is>
      </c>
      <c r="J137" s="521" t="inlineStr">
        <is>
          <t>NA</t>
        </is>
      </c>
      <c r="K137" s="521" t="inlineStr">
        <is>
          <t>Form Type - Checklist
12,13 = IsNone</t>
        </is>
      </c>
      <c r="L137" s="620" t="inlineStr">
        <is>
          <t>1-13 = [ls_salesmain OR optional question]</t>
        </is>
      </c>
      <c r="M137"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7" s="518" t="inlineStr">
        <is>
          <t>if ls_proddif_2 = 1-13, go to ls_salesmain OR optional question</t>
        </is>
      </c>
      <c r="O137" s="38" t="inlineStr">
        <is>
          <t>1-13 = ls_salesmain</t>
        </is>
      </c>
      <c r="P137" s="9" t="n"/>
      <c r="Q137" s="198">
        <f>'Additional information'!$D$18</f>
        <v/>
      </c>
      <c r="R137" s="103" t="n"/>
      <c r="T137" s="313" t="inlineStr">
        <is>
          <t>yes</t>
        </is>
      </c>
      <c r="U137" s="694" t="n"/>
      <c r="X137" s="201" t="n">
        <v>19.61676216125488</v>
      </c>
      <c r="Y137" s="201">
        <f>IF(X137="","",X137*Q137)</f>
        <v/>
      </c>
      <c r="Z137" s="103" t="e">
        <v>#VALUE!</v>
      </c>
    </row>
    <row r="138" ht="16.4" customFormat="1" customHeight="1" s="109" thickBot="1">
      <c r="A138" s="31" t="n"/>
      <c r="B138" s="551" t="n"/>
      <c r="C138" s="71" t="n"/>
      <c r="D138" s="585" t="n"/>
      <c r="E138" s="536" t="n"/>
      <c r="F138" s="536" t="n"/>
      <c r="G138" s="536" t="n"/>
      <c r="H138" s="537" t="n"/>
      <c r="I138" s="536" t="n"/>
      <c r="J138" s="536" t="n"/>
      <c r="K138" s="536" t="n"/>
      <c r="L138" s="57" t="n"/>
      <c r="M138" s="57" t="n"/>
      <c r="N138" s="57" t="n"/>
      <c r="O138" s="59" t="n"/>
      <c r="P138" s="32" t="n"/>
      <c r="Q138" s="203">
        <f>'Additional information'!$D$18</f>
        <v/>
      </c>
      <c r="R138" s="103" t="n"/>
      <c r="T138" s="111" t="n"/>
      <c r="U138" s="694" t="n"/>
      <c r="X138" s="202" t="n"/>
      <c r="Y138" s="202">
        <f>IF(X138="","",X138*Q138)</f>
        <v/>
      </c>
      <c r="Z138" s="103">
        <f>IF(T138="yes",Y138,"")</f>
        <v/>
      </c>
    </row>
    <row r="139" ht="16.4" customFormat="1" customHeight="1" s="310" thickBot="1">
      <c r="A139" s="684" t="inlineStr">
        <is>
          <t>E. LIVESTOCK MARKETING</t>
        </is>
      </c>
      <c r="B139" s="685" t="n"/>
      <c r="C139" s="685" t="n"/>
      <c r="D139" s="685" t="n"/>
      <c r="E139" s="685" t="n"/>
      <c r="F139" s="685" t="n"/>
      <c r="G139" s="685" t="n"/>
      <c r="H139" s="685" t="n"/>
      <c r="I139" s="685" t="n"/>
      <c r="J139" s="685" t="n"/>
      <c r="K139" s="685" t="n"/>
      <c r="L139" s="685" t="n"/>
      <c r="M139" s="685" t="n"/>
      <c r="N139" s="685" t="n"/>
      <c r="O139" s="685" t="n"/>
      <c r="P139" s="686" t="n"/>
      <c r="Q139" s="198" t="n"/>
      <c r="R139" s="315" t="n"/>
      <c r="T139" s="313" t="n"/>
      <c r="U139" s="316" t="n"/>
      <c r="X139" s="201" t="n"/>
      <c r="Y139" s="201">
        <f>IF(X139="","",X139*Q139)</f>
        <v/>
      </c>
      <c r="Z139" s="315">
        <f>IF(T139="yes",Y139,"")</f>
        <v/>
      </c>
    </row>
    <row r="140" ht="280.9" customFormat="1" customHeight="1" s="109">
      <c r="A140" s="70">
        <f>A137+1</f>
        <v/>
      </c>
      <c r="B140" s="179" t="inlineStr">
        <is>
          <t>ls_salesmain</t>
        </is>
      </c>
      <c r="C140" s="108" t="inlineStr">
        <is>
          <t>ls_salesmain</t>
        </is>
      </c>
      <c r="D140"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0" s="106">
        <f>LEN(D140)</f>
        <v/>
      </c>
      <c r="F140"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0" s="106">
        <f>LEN(F140)</f>
        <v/>
      </c>
      <c r="H140" s="114" t="inlineStr">
        <is>
          <t>Single Choice</t>
        </is>
      </c>
      <c r="I140" s="106" t="inlineStr">
        <is>
          <t>NA</t>
        </is>
      </c>
      <c r="J140"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0" s="108" t="inlineStr">
        <is>
          <t>Form Type - Buttons
IsDemographic</t>
        </is>
      </c>
      <c r="L140" s="105" t="inlineStr">
        <is>
          <t>1-11 = ls_salesdif
12-13 = fish_intro</t>
        </is>
      </c>
      <c r="M140" s="165" t="inlineStr">
        <is>
          <t>NA</t>
        </is>
      </c>
      <c r="N140"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0" s="59" t="inlineStr"/>
      <c r="P140" s="8" t="n"/>
      <c r="Q140" s="198">
        <f>'Additional information'!$D$18</f>
        <v/>
      </c>
      <c r="R140" s="103" t="n"/>
      <c r="T140" s="313" t="inlineStr">
        <is>
          <t>yes</t>
        </is>
      </c>
      <c r="U140" s="694" t="n"/>
      <c r="X140" s="201" t="n">
        <v>12.99236297607422</v>
      </c>
      <c r="Y140" s="201">
        <f>IF(X140="","",X140*Q140)</f>
        <v/>
      </c>
      <c r="Z140" s="103" t="e">
        <v>#VALUE!</v>
      </c>
    </row>
    <row r="141" customFormat="1" s="109">
      <c r="A141" s="70" t="n"/>
      <c r="B141" s="192" t="n"/>
      <c r="C141" s="71" t="n"/>
      <c r="D141" s="76" t="n"/>
      <c r="E141" s="74" t="n"/>
      <c r="F141" s="74" t="n"/>
      <c r="G141" s="74" t="n"/>
      <c r="H141" s="77" t="n"/>
      <c r="I141" s="74" t="n"/>
      <c r="J141" s="74" t="n"/>
      <c r="K141" s="71" t="n"/>
      <c r="L141" s="59" t="n"/>
      <c r="M141" s="57" t="n"/>
      <c r="N141" s="59" t="n"/>
      <c r="O141" s="59" t="n"/>
      <c r="P141" s="32" t="n"/>
      <c r="Q141" s="203">
        <f>'Additional information'!$D$18</f>
        <v/>
      </c>
      <c r="R141" s="103" t="n"/>
      <c r="T141" s="111" t="n"/>
      <c r="U141" s="694" t="n"/>
      <c r="X141" s="202" t="n"/>
      <c r="Y141" s="202">
        <f>IF(X141="","",X141*Q141)</f>
        <v/>
      </c>
      <c r="Z141" s="103">
        <f>IF(T141="yes",Y141,"")</f>
        <v/>
      </c>
    </row>
    <row r="142" ht="140.65" customFormat="1" customHeight="1" s="109">
      <c r="A142" s="31">
        <f>A140+1</f>
        <v/>
      </c>
      <c r="B142" s="607" t="inlineStr">
        <is>
          <t>ls_salesdif</t>
        </is>
      </c>
      <c r="C142" s="108" t="inlineStr">
        <is>
          <t>ls_salesdif</t>
        </is>
      </c>
      <c r="D142" s="518" t="inlineStr">
        <is>
          <t>Has your household faced any significant difficulty in the last 3 months selling your {ls_salesmain}?
[OPERATOR: SINGLE RESPONSE.]
1)YES
2)NO
3)DON'T KNOW
4)REFUSED</t>
        </is>
      </c>
      <c r="E142" s="521">
        <f>LEN(D142)</f>
        <v/>
      </c>
      <c r="F142" s="519" t="inlineStr">
        <is>
          <t>هل واجهت أسرتك أي صعوبة خلال الأشهر الثلاثة الماضية في بيع {ls_salesmain}؟
[المشغل: استجابة واحدة.]
1) نعم
2) لا
3) لا أعرف
4) رفض الإجابة</t>
        </is>
      </c>
      <c r="G142" s="521">
        <f>LEN(F142)</f>
        <v/>
      </c>
      <c r="H142" s="522" t="inlineStr">
        <is>
          <t>Single Choice</t>
        </is>
      </c>
      <c r="I142" s="521" t="inlineStr">
        <is>
          <t>NA</t>
        </is>
      </c>
      <c r="J142" s="521" t="inlineStr">
        <is>
          <t>NA</t>
        </is>
      </c>
      <c r="K142" s="521" t="inlineStr">
        <is>
          <t>Form Type - Buttons</t>
        </is>
      </c>
      <c r="L142" s="113" t="inlineStr">
        <is>
          <t>1 = ls_salesdif_2
2-4 = ls_salesprice</t>
        </is>
      </c>
      <c r="M142" s="165" t="inlineStr">
        <is>
          <t>NA</t>
        </is>
      </c>
      <c r="N142" s="113" t="inlineStr">
        <is>
          <t>if ls_salesdif = 1, go to ls_salesdif_2 ; 
if ls_salesdif = 2-4, go to ls_salesprice</t>
        </is>
      </c>
      <c r="O142" s="57" t="inlineStr"/>
      <c r="P142" s="9" t="n"/>
      <c r="Q142" s="198">
        <f>'Additional information'!$D$18</f>
        <v/>
      </c>
      <c r="R142" s="103" t="n"/>
      <c r="T142" s="313" t="inlineStr">
        <is>
          <t>yes</t>
        </is>
      </c>
      <c r="U142" s="694" t="n"/>
      <c r="X142" s="201" t="n">
        <v>8.629570960998535</v>
      </c>
      <c r="Y142" s="201">
        <f>IF(X142="","",X142*Q142)</f>
        <v/>
      </c>
      <c r="Z142" s="103" t="e">
        <v>#VALUE!</v>
      </c>
    </row>
    <row r="143" ht="296.65" customFormat="1" customHeight="1" s="109">
      <c r="A143" s="31">
        <f>A142+1</f>
        <v/>
      </c>
      <c r="B143" s="520" t="inlineStr">
        <is>
          <t>ls_salesdif_2</t>
        </is>
      </c>
      <c r="C143"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3"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3" s="521">
        <f>LEN(D143)</f>
        <v/>
      </c>
      <c r="F143" s="398"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3" s="521">
        <f>LEN(F143)</f>
        <v/>
      </c>
      <c r="H143" s="108" t="inlineStr">
        <is>
          <t>Select All That Apply</t>
        </is>
      </c>
      <c r="I143" s="521" t="inlineStr">
        <is>
          <t>NA</t>
        </is>
      </c>
      <c r="J143" s="521" t="inlineStr">
        <is>
          <t>NA</t>
        </is>
      </c>
      <c r="K143" s="521" t="inlineStr">
        <is>
          <t>Form Type - Checklist
10,11 = IsNone</t>
        </is>
      </c>
      <c r="L143" s="113" t="inlineStr">
        <is>
          <t>1-11 = ls_salesprice</t>
        </is>
      </c>
      <c r="M143"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3" s="113" t="inlineStr">
        <is>
          <t>if ls_salesdif_2 = 1-11, go to ls_salesprice</t>
        </is>
      </c>
      <c r="O143" s="57" t="inlineStr"/>
      <c r="P143" s="9" t="n"/>
      <c r="Q143" s="198">
        <f>'Additional information'!$D$18</f>
        <v/>
      </c>
      <c r="R143" s="103" t="n"/>
      <c r="T143" s="313" t="inlineStr">
        <is>
          <t>yes</t>
        </is>
      </c>
      <c r="U143" s="694" t="n"/>
      <c r="X143" s="201" t="n">
        <v>18.25617218017578</v>
      </c>
      <c r="Y143" s="201">
        <f>IF(X143="","",X143*Q143)</f>
        <v/>
      </c>
      <c r="Z143" s="103" t="e">
        <v>#VALUE!</v>
      </c>
    </row>
    <row r="144" customFormat="1" s="109">
      <c r="A144" s="31" t="n"/>
      <c r="B144" s="551" t="n"/>
      <c r="C144" s="71" t="n"/>
      <c r="D144" s="91" t="n"/>
      <c r="E144" s="536" t="n"/>
      <c r="F144" s="536" t="n"/>
      <c r="G144" s="536" t="n"/>
      <c r="H144" s="552" t="n"/>
      <c r="I144" s="536" t="n"/>
      <c r="J144" s="536" t="n"/>
      <c r="K144" s="536" t="n"/>
      <c r="L144" s="57" t="n"/>
      <c r="M144" s="57" t="n"/>
      <c r="N144" s="57" t="n"/>
      <c r="O144" s="57" t="n"/>
      <c r="P144" s="9" t="n"/>
      <c r="Q144" s="203">
        <f>'Additional information'!$D$18</f>
        <v/>
      </c>
      <c r="R144" s="103" t="n"/>
      <c r="T144" s="111" t="n"/>
      <c r="U144" s="694" t="n"/>
      <c r="X144" s="202" t="n"/>
      <c r="Y144" s="202">
        <f>IF(X144="","",X144*Q144)</f>
        <v/>
      </c>
      <c r="Z144" s="103">
        <f>IF(T144="yes",Y144,"")</f>
        <v/>
      </c>
    </row>
    <row r="145" ht="202.9" customFormat="1" customHeight="1" s="109">
      <c r="A145" s="31">
        <f>A143+1</f>
        <v/>
      </c>
      <c r="B145" s="520" t="inlineStr">
        <is>
          <t>ls_salesprice</t>
        </is>
      </c>
      <c r="C145" s="108" t="inlineStr">
        <is>
          <t>ls_salesprice</t>
        </is>
      </c>
      <c r="D145" s="518"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5" s="521">
        <f>LEN(D145)</f>
        <v/>
      </c>
      <c r="F145" s="519"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5" s="521">
        <f>LEN(F145)</f>
        <v/>
      </c>
      <c r="H145" s="522" t="inlineStr">
        <is>
          <t>Single Choice</t>
        </is>
      </c>
      <c r="I145" s="521" t="inlineStr">
        <is>
          <t>NA</t>
        </is>
      </c>
      <c r="J145" s="521" t="inlineStr">
        <is>
          <t>NA</t>
        </is>
      </c>
      <c r="K145" s="521" t="inlineStr">
        <is>
          <t>Form Type - Buttons</t>
        </is>
      </c>
      <c r="L145" s="132" t="inlineStr">
        <is>
          <t>1-7 = fish_intro</t>
        </is>
      </c>
      <c r="M145" s="165" t="inlineStr">
        <is>
          <t>NA</t>
        </is>
      </c>
      <c r="N145" s="132" t="inlineStr">
        <is>
          <t>For options #1-7, go to fish_intro</t>
        </is>
      </c>
      <c r="O145" s="37" t="inlineStr"/>
      <c r="P145" s="9" t="n"/>
      <c r="Q145" s="198">
        <f>'Additional information'!$D$18</f>
        <v/>
      </c>
      <c r="R145" s="103" t="n"/>
      <c r="T145" s="313" t="inlineStr">
        <is>
          <t>yes</t>
        </is>
      </c>
      <c r="U145" s="694" t="n"/>
      <c r="X145" s="201" t="n">
        <v>15.45627975463867</v>
      </c>
      <c r="Y145" s="201">
        <f>IF(X145="","",X145*Q145)</f>
        <v/>
      </c>
      <c r="Z145" s="103" t="e">
        <v>#VALUE!</v>
      </c>
    </row>
    <row r="146" ht="16.4" customFormat="1" customHeight="1" s="109" thickBot="1">
      <c r="A146" s="31" t="n"/>
      <c r="B146" s="551" t="n"/>
      <c r="C146" s="71" t="n"/>
      <c r="D146" s="585" t="n"/>
      <c r="E146" s="536" t="n"/>
      <c r="F146" s="536" t="n"/>
      <c r="G146" s="536" t="n"/>
      <c r="H146" s="537" t="n"/>
      <c r="I146" s="536" t="n"/>
      <c r="J146" s="536" t="n"/>
      <c r="K146" s="536" t="n"/>
      <c r="L146" s="37" t="n"/>
      <c r="M146" s="57" t="n"/>
      <c r="N146" s="37" t="n"/>
      <c r="O146" s="37" t="n"/>
      <c r="P146" s="9" t="n"/>
      <c r="Q146" s="203">
        <f>'Additional information'!$D$18</f>
        <v/>
      </c>
      <c r="R146" s="103" t="n"/>
      <c r="T146" s="111" t="n"/>
      <c r="U146" s="694" t="n"/>
      <c r="X146" s="202" t="n"/>
      <c r="Y146" s="202">
        <f>IF(X146="","",X146*Q146)</f>
        <v/>
      </c>
      <c r="Z146" s="103">
        <f>IF(T146="yes",Y146,"")</f>
        <v/>
      </c>
    </row>
    <row r="147" ht="16.4" customFormat="1" customHeight="1" s="310" thickBot="1">
      <c r="A147" s="684" t="inlineStr">
        <is>
          <t>F. FISHERIES PRODUCTION</t>
        </is>
      </c>
      <c r="B147" s="685" t="n"/>
      <c r="C147" s="685" t="n"/>
      <c r="D147" s="685" t="n"/>
      <c r="E147" s="685" t="n"/>
      <c r="F147" s="685" t="n"/>
      <c r="G147" s="685" t="n"/>
      <c r="H147" s="685" t="n"/>
      <c r="I147" s="685" t="n"/>
      <c r="J147" s="685" t="n"/>
      <c r="K147" s="685" t="n"/>
      <c r="L147" s="685" t="n"/>
      <c r="M147" s="685" t="n"/>
      <c r="N147" s="685" t="n"/>
      <c r="O147" s="685" t="n"/>
      <c r="P147" s="686" t="n"/>
      <c r="Q147" s="198" t="n"/>
      <c r="R147" s="315" t="n"/>
      <c r="T147" s="313" t="n"/>
      <c r="U147" s="316" t="n"/>
      <c r="X147" s="201" t="n"/>
      <c r="Y147" s="201">
        <f>IF(X147="","",X147*Q147)</f>
        <v/>
      </c>
      <c r="Z147" s="315">
        <f>IF(T147="yes",Y147,"")</f>
        <v/>
      </c>
    </row>
    <row r="148" ht="120" customFormat="1" customHeight="1" s="109">
      <c r="A148" s="70">
        <f>A145+1</f>
        <v/>
      </c>
      <c r="B148" s="179" t="inlineStr">
        <is>
          <t>fish_intro</t>
        </is>
      </c>
      <c r="C148" s="108" t="inlineStr">
        <is>
          <t>fish_intro</t>
        </is>
      </c>
      <c r="D148" s="298" t="inlineStr">
        <is>
          <t>We will now ask you some questions about fishing and aquaculture production which apply to you and anyone in your household that is involved in the capture, culture, or harvest of fish and aquatic products.
1)CONTINUE</t>
        </is>
      </c>
      <c r="E148" s="106">
        <f>LEN(D148)</f>
        <v/>
      </c>
      <c r="F148" s="621"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8" s="106">
        <f>LEN(F148)</f>
        <v/>
      </c>
      <c r="H148" s="106" t="inlineStr">
        <is>
          <t>Single Choice</t>
        </is>
      </c>
      <c r="I148" s="106" t="inlineStr">
        <is>
          <t>NA</t>
        </is>
      </c>
      <c r="J148" s="106" t="inlineStr">
        <is>
          <t>Send if "income_main_fish_check" "Equals" "YES" Or "income_sec_fish_check" "Equals" "YES Or "income_third_fish_check" "Equals" "YES" Or "hh_fish" "Equals" "YES" if not satisfied go to "fies"</t>
        </is>
      </c>
      <c r="K148" s="521" t="inlineStr">
        <is>
          <t>Form Type - Buttons</t>
        </is>
      </c>
      <c r="L148" s="105" t="inlineStr">
        <is>
          <t>1 = fish_main</t>
        </is>
      </c>
      <c r="M148" s="165" t="inlineStr">
        <is>
          <t>NA</t>
        </is>
      </c>
      <c r="N148"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8" s="409" t="inlineStr"/>
      <c r="P148" s="8" t="n"/>
      <c r="Q148" s="198">
        <f>'Additional information'!$D$19</f>
        <v/>
      </c>
      <c r="R148" s="103" t="n"/>
      <c r="T148" s="313" t="inlineStr">
        <is>
          <t>yes</t>
        </is>
      </c>
      <c r="U148" s="694" t="n"/>
      <c r="X148" s="201" t="n">
        <v>2.480132341384888</v>
      </c>
      <c r="Y148" s="201">
        <f>IF(X148="","",X148*Q148)</f>
        <v/>
      </c>
      <c r="Z148" s="103" t="e">
        <v>#VALUE!</v>
      </c>
    </row>
    <row r="149" customFormat="1" s="109">
      <c r="A149" s="31" t="n"/>
      <c r="B149" s="551" t="n"/>
      <c r="C149" s="71" t="n"/>
      <c r="D149" s="585" t="n"/>
      <c r="E149" s="536" t="n"/>
      <c r="F149" s="585" t="n"/>
      <c r="G149" s="536" t="n"/>
      <c r="H149" s="537" t="n"/>
      <c r="I149" s="536" t="n"/>
      <c r="J149" s="536" t="n"/>
      <c r="K149" s="536" t="n"/>
      <c r="L149" s="37" t="n"/>
      <c r="M149" s="63" t="n"/>
      <c r="N149" s="37" t="n"/>
      <c r="O149" s="37" t="n"/>
      <c r="P149" s="9" t="n"/>
      <c r="Q149" s="203">
        <f>'Additional information'!$D$19</f>
        <v/>
      </c>
      <c r="R149" s="103" t="n"/>
      <c r="T149" s="111" t="n"/>
      <c r="U149" s="694" t="n"/>
      <c r="X149" s="202" t="n"/>
      <c r="Y149" s="202">
        <f>IF(X149="","",X149*Q149)</f>
        <v/>
      </c>
      <c r="Z149" s="103">
        <f>IF(T149="yes",Y149,"")</f>
        <v/>
      </c>
    </row>
    <row r="150" ht="156" customFormat="1" customHeight="1" s="109">
      <c r="A150" s="70">
        <f>A148+1</f>
        <v/>
      </c>
      <c r="B150" s="179" t="inlineStr">
        <is>
          <t>fish_main</t>
        </is>
      </c>
      <c r="C150" s="299" t="inlineStr">
        <is>
          <t>fish_main_
1) fish_main_coastal
2) fish_main_offshore_sea
3) fish_main_freshwater
4) fish_main_aquaculture
5) fish_main_dk
6) fish_main_ref</t>
        </is>
      </c>
      <c r="D150"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0" s="106">
        <f>LEN(D150)</f>
        <v/>
      </c>
      <c r="F150" s="621"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0" s="106">
        <f>LEN(F150)</f>
        <v/>
      </c>
      <c r="H150" s="108" t="inlineStr">
        <is>
          <t>Select All That Apply</t>
        </is>
      </c>
      <c r="I150" s="106" t="inlineStr">
        <is>
          <t>NA</t>
        </is>
      </c>
      <c r="J150" s="106" t="inlineStr">
        <is>
          <t>NA</t>
        </is>
      </c>
      <c r="K150" s="106" t="inlineStr">
        <is>
          <t>Form Type - Checklist
5,6 = IsNone</t>
        </is>
      </c>
      <c r="L150" s="105" t="inlineStr">
        <is>
          <t>1-6 = fish_change</t>
        </is>
      </c>
      <c r="M150" s="165" t="inlineStr">
        <is>
          <t>1)fish_main_coastal
2)fish_main_offshore_sea
3)fish_main_freshwater
4)fish_main_aquaculture
5)fish_main_dk
6)fish_main_ref</t>
        </is>
      </c>
      <c r="N150" s="105" t="inlineStr">
        <is>
          <t>if fish_main = 1-6, go to fish_change</t>
        </is>
      </c>
      <c r="O150" s="59" t="inlineStr"/>
      <c r="P150" s="32" t="n"/>
      <c r="Q150" s="198">
        <f>'Additional information'!$D$19</f>
        <v/>
      </c>
      <c r="R150" s="103" t="n"/>
      <c r="T150" s="313" t="inlineStr">
        <is>
          <t>yes</t>
        </is>
      </c>
      <c r="U150" s="694" t="n"/>
      <c r="X150" s="201" t="n">
        <v>12.71689510345459</v>
      </c>
      <c r="Y150" s="201">
        <f>IF(X150="","",X150*Q150)</f>
        <v/>
      </c>
      <c r="Z150" s="103" t="e">
        <v>#VALUE!</v>
      </c>
    </row>
    <row r="151" customFormat="1" s="109">
      <c r="A151" s="70" t="n"/>
      <c r="B151" s="192" t="n"/>
      <c r="C151" s="71" t="n"/>
      <c r="D151" s="622" t="n"/>
      <c r="E151" s="74" t="n"/>
      <c r="F151" s="622" t="n"/>
      <c r="G151" s="74" t="n"/>
      <c r="H151" s="71" t="n"/>
      <c r="I151" s="74" t="n"/>
      <c r="J151" s="74" t="n"/>
      <c r="K151" s="74" t="n"/>
      <c r="L151" s="59" t="n"/>
      <c r="M151" s="63" t="n"/>
      <c r="N151" s="59" t="n"/>
      <c r="O151" s="59" t="n"/>
      <c r="P151" s="32" t="n"/>
      <c r="Q151" s="203">
        <f>'Additional information'!$D$19</f>
        <v/>
      </c>
      <c r="R151" s="103" t="n"/>
      <c r="T151" s="111" t="n"/>
      <c r="U151" s="694" t="n"/>
      <c r="X151" s="202" t="n"/>
      <c r="Y151" s="202">
        <f>IF(X151="","",X151*Q151)</f>
        <v/>
      </c>
      <c r="Z151" s="103">
        <f>IF(T151="yes",Y151,"")</f>
        <v/>
      </c>
    </row>
    <row r="152" ht="187.4" customHeight="1">
      <c r="A152" s="70">
        <f>A150+1</f>
        <v/>
      </c>
      <c r="B152" s="623" t="inlineStr">
        <is>
          <t>fish_change</t>
        </is>
      </c>
      <c r="C152" s="624" t="inlineStr">
        <is>
          <t>fish_change</t>
        </is>
      </c>
      <c r="D152"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2" s="106">
        <f>LEN(D152)</f>
        <v/>
      </c>
      <c r="F152" s="519"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2" s="106">
        <f>LEN(F152)</f>
        <v/>
      </c>
      <c r="H152" s="624" t="inlineStr">
        <is>
          <t>Single Choice</t>
        </is>
      </c>
      <c r="I152" s="624" t="inlineStr">
        <is>
          <t>NA</t>
        </is>
      </c>
      <c r="J152" s="624" t="inlineStr">
        <is>
          <t>NA</t>
        </is>
      </c>
      <c r="K152" s="624" t="inlineStr">
        <is>
          <t>Form Type - Buttons</t>
        </is>
      </c>
      <c r="L152" s="300" t="inlineStr">
        <is>
          <t>1-7 = fish_proddif</t>
        </is>
      </c>
      <c r="M152" s="165" t="inlineStr">
        <is>
          <t>NA</t>
        </is>
      </c>
      <c r="N152" s="300" t="inlineStr">
        <is>
          <t>if fish_change = 1-7, go to fish_proddif</t>
        </is>
      </c>
      <c r="O152" s="63" t="inlineStr"/>
      <c r="P152" s="9" t="n"/>
      <c r="Q152" s="198">
        <f>'Additional information'!$D$19</f>
        <v/>
      </c>
      <c r="R152" s="103" t="n"/>
      <c r="T152" s="313" t="inlineStr">
        <is>
          <t>yes</t>
        </is>
      </c>
      <c r="X152" s="201" t="n">
        <v>10.51750373840332</v>
      </c>
      <c r="Y152" s="201">
        <f>IF(X152="","",X152*Q152)</f>
        <v/>
      </c>
      <c r="Z152" s="103" t="e">
        <v>#VALUE!</v>
      </c>
    </row>
    <row r="153">
      <c r="A153" s="70" t="n"/>
      <c r="B153" s="130" t="n"/>
      <c r="C153" s="128" t="n"/>
      <c r="D153" s="129" t="n"/>
      <c r="E153" s="74" t="n"/>
      <c r="F153" s="129" t="n"/>
      <c r="G153" s="74" t="n"/>
      <c r="H153" s="128" t="n"/>
      <c r="I153" s="128" t="n"/>
      <c r="J153" s="128" t="n"/>
      <c r="K153" s="128" t="n"/>
      <c r="L153" s="63" t="n"/>
      <c r="M153" s="63" t="n"/>
      <c r="N153" s="127" t="n"/>
      <c r="O153" s="63" t="n"/>
      <c r="P153" s="9" t="n"/>
      <c r="Q153" s="203">
        <f>'Additional information'!$D$19</f>
        <v/>
      </c>
      <c r="R153" s="103" t="n"/>
      <c r="T153" s="111" t="n"/>
      <c r="X153" s="202" t="n"/>
      <c r="Y153" s="202">
        <f>IF(X153="","",X153*Q153)</f>
        <v/>
      </c>
      <c r="Z153" s="103">
        <f>IF(T153="yes",Y153,"")</f>
        <v/>
      </c>
    </row>
    <row r="154" ht="140.65" customFormat="1" customHeight="1" s="109">
      <c r="A154" s="70">
        <f>A152+1</f>
        <v/>
      </c>
      <c r="B154" s="179" t="inlineStr">
        <is>
          <t>fish_proddif</t>
        </is>
      </c>
      <c r="C154" s="108" t="inlineStr">
        <is>
          <t>fish_proddif</t>
        </is>
      </c>
      <c r="D154" s="295" t="inlineStr">
        <is>
          <t>Has your household faced any significant difficulty with fish catch / harvest / farming in the last 3 months?
[OPERATOR: SINGLE RESPONSE.]
1)YES
2)NO
3)DON'T KNOW
4)REFUSED</t>
        </is>
      </c>
      <c r="E154" s="106">
        <f>LEN(D154)</f>
        <v/>
      </c>
      <c r="F154" s="38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4" s="106">
        <f>LEN(F154)</f>
        <v/>
      </c>
      <c r="H154" s="114" t="inlineStr">
        <is>
          <t>Single Choice</t>
        </is>
      </c>
      <c r="I154" s="106" t="inlineStr">
        <is>
          <t>NA</t>
        </is>
      </c>
      <c r="J154" s="106" t="inlineStr">
        <is>
          <t>NA</t>
        </is>
      </c>
      <c r="K154" s="106" t="inlineStr">
        <is>
          <t>Form Type - Buttons</t>
        </is>
      </c>
      <c r="L154" s="105" t="inlineStr">
        <is>
          <t>1=fish_proddif_2
2-4= [fish_salesmain OR optional question]</t>
        </is>
      </c>
      <c r="M154" s="165" t="inlineStr">
        <is>
          <t>NA</t>
        </is>
      </c>
      <c r="N154" s="113" t="inlineStr">
        <is>
          <t>if fish_proddif = 1, go to fish_proddif_2 ; 
if fish_proddif = 2-4, go to fish_salesmain OR optional question</t>
        </is>
      </c>
      <c r="O154" s="29" t="inlineStr">
        <is>
          <t>1=fish_proddif_2
2-4= fish_salesmain</t>
        </is>
      </c>
      <c r="P154" s="9" t="n"/>
      <c r="Q154" s="198">
        <f>'Additional information'!$D$19</f>
        <v/>
      </c>
      <c r="R154" s="103" t="n"/>
      <c r="T154" s="313" t="inlineStr">
        <is>
          <t>yes</t>
        </is>
      </c>
      <c r="U154" s="694" t="n"/>
      <c r="X154" s="201" t="n">
        <v>6.48249626159668</v>
      </c>
      <c r="Y154" s="201">
        <f>IF(X154="","",X154*Q154)</f>
        <v/>
      </c>
      <c r="Z154" s="103" t="e">
        <v>#VALUE!</v>
      </c>
    </row>
    <row r="155" ht="296.65" customFormat="1" customHeight="1" s="109">
      <c r="A155" s="31">
        <f>A154+1</f>
        <v/>
      </c>
      <c r="B155" s="179" t="inlineStr">
        <is>
          <t>fish_proddif_2</t>
        </is>
      </c>
      <c r="C155"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5" s="500"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5" s="521">
        <f>LEN(D155)</f>
        <v/>
      </c>
      <c r="F155" s="38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5" s="521">
        <f>LEN(F155)</f>
        <v/>
      </c>
      <c r="H155" s="108" t="inlineStr">
        <is>
          <t>Select All That Apply</t>
        </is>
      </c>
      <c r="I155" s="521" t="inlineStr">
        <is>
          <t>NA</t>
        </is>
      </c>
      <c r="J155" s="521" t="inlineStr">
        <is>
          <t>NA</t>
        </is>
      </c>
      <c r="K155" s="521" t="inlineStr">
        <is>
          <t>Form Type - Checklist
10,11 = IsNone</t>
        </is>
      </c>
      <c r="L155" s="301" t="inlineStr">
        <is>
          <t>1-11 = [fish_salesmain OR optional question]</t>
        </is>
      </c>
      <c r="M155"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5" s="113" t="inlineStr">
        <is>
          <t>If fish_proddif_2 = 1-11, go to fish_salesmain OR optional question</t>
        </is>
      </c>
      <c r="O155" s="38" t="inlineStr">
        <is>
          <t>5=  fish_inputdif
 1-4, 6-11 = fish_salesmain</t>
        </is>
      </c>
      <c r="P155" s="9" t="n"/>
      <c r="Q155" s="198">
        <f>'Additional information'!$D$19</f>
        <v/>
      </c>
      <c r="R155" s="103" t="n"/>
      <c r="T155" s="313" t="inlineStr">
        <is>
          <t>yes</t>
        </is>
      </c>
      <c r="U155" s="694" t="n"/>
      <c r="X155" s="201" t="n">
        <v>23.64215660095215</v>
      </c>
      <c r="Y155" s="201">
        <f>IF(X155="","",X155*Q155)</f>
        <v/>
      </c>
      <c r="Z155" s="103" t="e">
        <v>#VALUE!</v>
      </c>
    </row>
    <row r="156" ht="234" customFormat="1" customHeight="1" s="109">
      <c r="A156" s="13">
        <f>A155+1</f>
        <v/>
      </c>
      <c r="B156" s="526" t="inlineStr">
        <is>
          <t>fish_inputdif</t>
        </is>
      </c>
      <c r="C156" s="578" t="inlineStr">
        <is>
          <t>fish_inputdif_
1) fish_inputdif_bait_feed
2)fish_inputdif_fingerling
3) fish_inputdif_gear
4) fish_inputdif_ice
5) fish_inputdif_fuel
6) fish_inputdif_repairs
7) fish_inputdif_labour
8) fish_inputdif_other 
9)fish_inputdif_dk
10) fish_inputdif_ref</t>
        </is>
      </c>
      <c r="D156"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6" s="528">
        <f>LEN(D156)</f>
        <v/>
      </c>
      <c r="F156" s="397"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6" s="528">
        <f>LEN(F156)</f>
        <v/>
      </c>
      <c r="H156" s="578" t="inlineStr">
        <is>
          <t>Open Ended - Select All That Apply</t>
        </is>
      </c>
      <c r="I156" s="528" t="inlineStr">
        <is>
          <t>NA</t>
        </is>
      </c>
      <c r="J156" s="528" t="inlineStr">
        <is>
          <t>Send if "fish_proddif_2" "Contains" "Access to other fishing or culture inputs [prices higher or not available]" if not satisfied go to "fish_salesmain"</t>
        </is>
      </c>
      <c r="K156" s="528" t="inlineStr">
        <is>
          <t>Form Type - Checklist
9,10= IsNone</t>
        </is>
      </c>
      <c r="L156" s="23" t="inlineStr">
        <is>
          <t>1-10 = [fish_salesmain]</t>
        </is>
      </c>
      <c r="M156" s="53" t="inlineStr">
        <is>
          <t>1)fish_inputdif_bait_feed
2)fish_inputdif_fingerling
3)fish_inputdif_gear
4)fish_inputdif_ice
5)fish_inputdif_fuel
6)fish_inputdif_repairs
7)fish_inputdif_labour
8)fish_inputdif_other 
9)fish_inputdif_dk
10) fish_inputdif_ref</t>
        </is>
      </c>
      <c r="N156" s="23" t="inlineStr">
        <is>
          <t>Asked only to respondents that answered fish_proddif_2 = 4.
if fish_inputdif = 1-10, go to fish_salesmain</t>
        </is>
      </c>
      <c r="O156" s="23" t="inlineStr"/>
      <c r="P156" s="283" t="n"/>
      <c r="Q156" s="203">
        <f>'Additional information'!$D$19</f>
        <v/>
      </c>
      <c r="R156" s="103" t="n"/>
      <c r="T156" s="111" t="inlineStr">
        <is>
          <t>no</t>
        </is>
      </c>
      <c r="U156" s="694" t="n"/>
      <c r="X156" s="202" t="n">
        <v>19.20000076293945</v>
      </c>
      <c r="Y156" s="202">
        <f>IF(X156="","",X156*Q156)</f>
        <v/>
      </c>
      <c r="Z156" s="103" t="inlineStr"/>
    </row>
    <row r="157" ht="16.4" customFormat="1" customHeight="1" s="109" thickBot="1">
      <c r="A157" s="70" t="n"/>
      <c r="B157" s="192" t="n"/>
      <c r="C157" s="71" t="n"/>
      <c r="D157" s="129" t="n"/>
      <c r="E157" s="74" t="n"/>
      <c r="F157" s="74" t="n"/>
      <c r="G157" s="74" t="n"/>
      <c r="H157" s="77" t="n"/>
      <c r="I157" s="74" t="n"/>
      <c r="J157" s="74" t="n"/>
      <c r="K157" s="74" t="n"/>
      <c r="L157" s="59" t="n"/>
      <c r="M157" s="63" t="n"/>
      <c r="N157" s="59" t="n"/>
      <c r="O157" s="59" t="n"/>
      <c r="P157" s="32" t="n"/>
      <c r="Q157" s="203">
        <f>'Additional information'!$D$19</f>
        <v/>
      </c>
      <c r="R157" s="103" t="n"/>
      <c r="T157" s="111" t="n"/>
      <c r="U157" s="694" t="n"/>
      <c r="X157" s="202" t="n"/>
      <c r="Y157" s="202">
        <f>IF(X157="","",X157*Q157)</f>
        <v/>
      </c>
      <c r="Z157" s="103">
        <f>IF(T157="yes",Y157,"")</f>
        <v/>
      </c>
    </row>
    <row r="158" ht="16.4" customFormat="1" customHeight="1" s="310" thickBot="1">
      <c r="A158" s="684" t="inlineStr">
        <is>
          <t>F. FISHERIES MARKETING</t>
        </is>
      </c>
      <c r="B158" s="685" t="n"/>
      <c r="C158" s="685" t="n"/>
      <c r="D158" s="685" t="n"/>
      <c r="E158" s="685" t="n"/>
      <c r="F158" s="685" t="n"/>
      <c r="G158" s="685" t="n"/>
      <c r="H158" s="685" t="n"/>
      <c r="I158" s="685" t="n"/>
      <c r="J158" s="685" t="n"/>
      <c r="K158" s="685" t="n"/>
      <c r="L158" s="685" t="n"/>
      <c r="M158" s="685" t="n"/>
      <c r="N158" s="685" t="n"/>
      <c r="O158" s="685" t="n"/>
      <c r="P158" s="686" t="n"/>
      <c r="Q158" s="198" t="n"/>
      <c r="R158" s="315" t="n"/>
      <c r="T158" s="313" t="n"/>
      <c r="U158" s="316" t="n"/>
      <c r="X158" s="201" t="n"/>
      <c r="Y158" s="201">
        <f>IF(X158="","",X158*Q158)</f>
        <v/>
      </c>
      <c r="Z158" s="315">
        <f>IF(T158="yes",Y158,"")</f>
        <v/>
      </c>
    </row>
    <row r="159" ht="186.65" customFormat="1" customHeight="1" s="109">
      <c r="A159" s="70">
        <f>A156+1</f>
        <v/>
      </c>
      <c r="B159" s="179" t="inlineStr">
        <is>
          <t>fish_salesmain</t>
        </is>
      </c>
      <c r="C159" s="108" t="inlineStr">
        <is>
          <t>fish_salesmain</t>
        </is>
      </c>
      <c r="D159"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9" s="106">
        <f>LEN(D159)</f>
        <v/>
      </c>
      <c r="F159" s="519"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59" s="106">
        <f>LEN(F159)</f>
        <v/>
      </c>
      <c r="H159" s="114" t="inlineStr">
        <is>
          <t>Open Ended - Single Choice</t>
        </is>
      </c>
      <c r="I159" s="106" t="inlineStr">
        <is>
          <t>NA</t>
        </is>
      </c>
      <c r="J159" s="410" t="inlineStr">
        <is>
          <t>Send if "income_main" "Equals" "Production and sale of fish or aquatic products" Or "income_sec" "Equals" "Production and sale of fish or aquatic products" Or "income_third" "Equals" "Production and sale of fish or aquatic products" if not satisfied go to "fies"</t>
        </is>
      </c>
      <c r="K159" s="106" t="inlineStr">
        <is>
          <t>Form Type - RadioList
IsDemographic</t>
        </is>
      </c>
      <c r="L159" s="125" t="inlineStr">
        <is>
          <t>1-5 = fish_salesdif
6-7 = fies</t>
        </is>
      </c>
      <c r="M159" s="165" t="inlineStr">
        <is>
          <t>NA</t>
        </is>
      </c>
      <c r="N159" s="303" t="inlineStr">
        <is>
          <t>If either income_main or income_sec or income_third = "Production and sale of fish or aquatic products", then this section will be asked to respondents.
Otherwise, skip to fies.
if fish_salesmain = 1-5, go to fish_salesdif
if fish_salesmain = 6-7, go to fies</t>
        </is>
      </c>
      <c r="O159" s="64" t="inlineStr"/>
      <c r="P159" s="8" t="n"/>
      <c r="Q159" s="198">
        <f>'Additional information'!$D$19</f>
        <v/>
      </c>
      <c r="R159" s="103" t="n"/>
      <c r="T159" s="313" t="inlineStr">
        <is>
          <t>yes</t>
        </is>
      </c>
      <c r="U159" s="694" t="n"/>
      <c r="X159" s="201" t="n">
        <v>9.275494575500488</v>
      </c>
      <c r="Y159" s="201">
        <f>IF(X159="","",X159*Q159)</f>
        <v/>
      </c>
      <c r="Z159" s="103" t="e">
        <v>#VALUE!</v>
      </c>
    </row>
    <row r="160" customFormat="1" s="109">
      <c r="A160" s="70" t="n"/>
      <c r="B160" s="192" t="n"/>
      <c r="C160" s="71" t="n"/>
      <c r="D160" s="76" t="n"/>
      <c r="E160" s="74" t="n"/>
      <c r="F160" s="76" t="n"/>
      <c r="G160" s="74" t="n"/>
      <c r="H160" s="77" t="n"/>
      <c r="I160" s="74" t="n"/>
      <c r="J160" s="74" t="n"/>
      <c r="K160" s="74" t="n"/>
      <c r="L160" s="62" t="n"/>
      <c r="M160" s="585" t="n"/>
      <c r="N160" s="60" t="n"/>
      <c r="O160" s="60" t="n"/>
      <c r="P160" s="32" t="n"/>
      <c r="Q160" s="203">
        <f>'Additional information'!$D$19</f>
        <v/>
      </c>
      <c r="R160" s="103" t="n"/>
      <c r="T160" s="111" t="n"/>
      <c r="U160" s="694" t="n"/>
      <c r="X160" s="202" t="n"/>
      <c r="Y160" s="202">
        <f>IF(X160="","",X160*Q160)</f>
        <v/>
      </c>
      <c r="Z160" s="103">
        <f>IF(T160="yes",Y160,"")</f>
        <v/>
      </c>
    </row>
    <row r="161" ht="140.65" customFormat="1" customHeight="1" s="109">
      <c r="A161" s="31">
        <f>A159+1</f>
        <v/>
      </c>
      <c r="B161" s="607" t="inlineStr">
        <is>
          <t>fish_salesdif</t>
        </is>
      </c>
      <c r="C161" s="521" t="inlineStr">
        <is>
          <t>fish_salesdif</t>
        </is>
      </c>
      <c r="D161" s="295" t="inlineStr">
        <is>
          <t>Has your household faced any significant difficulty marketing / selling your {fish_salesmain} in the last 3 months?
[OPERATOR: SINGLE RESPONSE]
1)YES
2)NO
3)DON'T KNOW
4)REFUSED</t>
        </is>
      </c>
      <c r="E161" s="521">
        <f>LEN(D161)</f>
        <v/>
      </c>
      <c r="F161" s="519" t="inlineStr">
        <is>
          <t>هل واجهت أسرتك أي صعوبة خلال الأشهر الثلاثة الماضية في بيع  و تسويق  {fish_salesmain}؟
[المشغل: استجابة واحدة]
1) نعم
2) لا
3) لا أعرف
4) رفض الإجابة</t>
        </is>
      </c>
      <c r="G161" s="521">
        <f>LEN(F161)</f>
        <v/>
      </c>
      <c r="H161" s="522" t="inlineStr">
        <is>
          <t>Single Choice</t>
        </is>
      </c>
      <c r="I161" s="521" t="inlineStr">
        <is>
          <t>NA</t>
        </is>
      </c>
      <c r="J161" s="521" t="inlineStr">
        <is>
          <t>NA</t>
        </is>
      </c>
      <c r="K161" s="521" t="inlineStr">
        <is>
          <t>Form Type - Buttons</t>
        </is>
      </c>
      <c r="L161" s="113" t="inlineStr">
        <is>
          <t>1 = fish_salesdif_2
2-4 = fish_salesprice</t>
        </is>
      </c>
      <c r="M161" s="165" t="inlineStr">
        <is>
          <t>NA</t>
        </is>
      </c>
      <c r="N161" s="304" t="inlineStr">
        <is>
          <t>if fish_salesdif = 1, go to fish_salesdif_2 ;
if fish_salesdif = 2-4, go to fish_salesprice</t>
        </is>
      </c>
      <c r="O161" s="65" t="inlineStr"/>
      <c r="P161" s="9" t="n"/>
      <c r="Q161" s="198">
        <f>'Additional information'!$D$19</f>
        <v/>
      </c>
      <c r="R161" s="103" t="n"/>
      <c r="T161" s="313" t="inlineStr">
        <is>
          <t>yes</t>
        </is>
      </c>
      <c r="U161" s="694" t="n"/>
      <c r="X161" s="201" t="n">
        <v>6.415841579437256</v>
      </c>
      <c r="Y161" s="201">
        <f>IF(X161="","",X161*Q161)</f>
        <v/>
      </c>
      <c r="Z161" s="103" t="e">
        <v>#VALUE!</v>
      </c>
    </row>
    <row r="162" ht="280.9" customFormat="1" customHeight="1" s="109">
      <c r="A162" s="31">
        <f>A161+1</f>
        <v/>
      </c>
      <c r="B162" s="520" t="inlineStr">
        <is>
          <t>fish_salesdif_2</t>
        </is>
      </c>
      <c r="C162"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2"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2" s="521">
        <f>LEN(D162)</f>
        <v/>
      </c>
      <c r="F162" s="519"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2" s="521">
        <f>LEN(F162)</f>
        <v/>
      </c>
      <c r="H162" s="108" t="inlineStr">
        <is>
          <t>Select All That Apply</t>
        </is>
      </c>
      <c r="I162" s="521" t="inlineStr">
        <is>
          <t>NA</t>
        </is>
      </c>
      <c r="J162" s="521" t="inlineStr">
        <is>
          <t>NA</t>
        </is>
      </c>
      <c r="K162" s="521" t="inlineStr">
        <is>
          <t>Form Type - Checklist
9,10 = IsNone</t>
        </is>
      </c>
      <c r="L162" s="113" t="inlineStr">
        <is>
          <t>1-10 = fish_salesprice</t>
        </is>
      </c>
      <c r="M162" s="165" t="inlineStr">
        <is>
          <t>1)fish_saledif_marketing_cost
2)fish_saledif_damage_losses
3)fish_saledif_low_demand
4)fish_saledif_pay_delay
5)fish_saledif_low_prices
6)fish_saledif_processing
7)fish_saledif_competition
8)fish_saledif_other
9)fish_saledif_dk
10)fish_saledif_ref</t>
        </is>
      </c>
      <c r="N162" s="294" t="inlineStr">
        <is>
          <t>if fish_salesdif = 1-10, go to fish_salesprice</t>
        </is>
      </c>
      <c r="O162" s="66" t="inlineStr"/>
      <c r="P162" s="9" t="n"/>
      <c r="Q162" s="198">
        <f>'Additional information'!$D$19</f>
        <v/>
      </c>
      <c r="R162" s="103" t="n"/>
      <c r="T162" s="313" t="inlineStr">
        <is>
          <t>yes</t>
        </is>
      </c>
      <c r="U162" s="694" t="n"/>
      <c r="X162" s="201" t="n">
        <v>20.53435134887695</v>
      </c>
      <c r="Y162" s="201">
        <f>IF(X162="","",X162*Q162)</f>
        <v/>
      </c>
      <c r="Z162" s="103" t="e">
        <v>#VALUE!</v>
      </c>
    </row>
    <row r="163" customFormat="1" s="109">
      <c r="A163" s="79" t="n"/>
      <c r="B163" s="193" t="n"/>
      <c r="C163" s="552" t="n"/>
      <c r="D163" s="625" t="n"/>
      <c r="E163" s="72" t="n"/>
      <c r="F163" s="72" t="n"/>
      <c r="G163" s="72" t="n"/>
      <c r="H163" s="80" t="n"/>
      <c r="I163" s="72" t="n"/>
      <c r="J163" s="72" t="n"/>
      <c r="K163" s="72" t="n"/>
      <c r="L163" s="66" t="n"/>
      <c r="M163" s="585" t="n"/>
      <c r="N163" s="66" t="n"/>
      <c r="O163" s="66" t="n"/>
      <c r="P163" s="19" t="n"/>
      <c r="Q163" s="203">
        <f>'Additional information'!$D$19</f>
        <v/>
      </c>
      <c r="R163" s="103" t="n"/>
      <c r="T163" s="111" t="n"/>
      <c r="U163" s="694" t="n"/>
      <c r="X163" s="202" t="n"/>
      <c r="Y163" s="202">
        <f>IF(X163="","",X163*Q163)</f>
        <v/>
      </c>
      <c r="Z163" s="103">
        <f>IF(T163="yes",Y163,"")</f>
        <v/>
      </c>
    </row>
    <row r="164" ht="212.65" customFormat="1" customHeight="1" s="109">
      <c r="A164" s="79">
        <f>A162+1</f>
        <v/>
      </c>
      <c r="B164" s="180" t="inlineStr">
        <is>
          <t>fish_salesprice</t>
        </is>
      </c>
      <c r="C164" s="550" t="inlineStr">
        <is>
          <t>fish_salesprice</t>
        </is>
      </c>
      <c r="D164"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4" s="97">
        <f>LEN(D164)</f>
        <v/>
      </c>
      <c r="F164" s="392"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4" s="97">
        <f>LEN(F164)</f>
        <v/>
      </c>
      <c r="H164" s="293" t="inlineStr">
        <is>
          <t>Single Choice</t>
        </is>
      </c>
      <c r="I164" s="97" t="inlineStr">
        <is>
          <t>NA</t>
        </is>
      </c>
      <c r="J164" s="97" t="inlineStr">
        <is>
          <t>NA</t>
        </is>
      </c>
      <c r="K164" s="97" t="inlineStr">
        <is>
          <t>Form Type - Buttons</t>
        </is>
      </c>
      <c r="L164" s="294" t="inlineStr">
        <is>
          <t>1-7 = fies</t>
        </is>
      </c>
      <c r="M164" s="165" t="inlineStr">
        <is>
          <t>NA</t>
        </is>
      </c>
      <c r="N164" s="294" t="inlineStr">
        <is>
          <t>if fish_salesprice = 1-7, go to fies</t>
        </is>
      </c>
      <c r="O164" s="66" t="inlineStr"/>
      <c r="P164" s="9" t="n"/>
      <c r="Q164" s="198">
        <f>'Additional information'!$D$19</f>
        <v/>
      </c>
      <c r="R164" s="103" t="n"/>
      <c r="T164" s="313" t="inlineStr">
        <is>
          <t>yes</t>
        </is>
      </c>
      <c r="U164" s="694" t="n"/>
      <c r="X164" s="201" t="n">
        <v>8.306930541992188</v>
      </c>
      <c r="Y164" s="201">
        <f>IF(X164="","",X164*Q164)</f>
        <v/>
      </c>
      <c r="Z164" s="103" t="e">
        <v>#VALUE!</v>
      </c>
    </row>
    <row r="165" ht="16.4" customFormat="1" customHeight="1" s="109" thickBot="1">
      <c r="A165" s="79" t="n"/>
      <c r="B165" s="193" t="n"/>
      <c r="C165" s="81" t="n"/>
      <c r="D165" s="625" t="n"/>
      <c r="E165" s="72" t="n"/>
      <c r="F165" s="72" t="n"/>
      <c r="G165" s="72" t="n"/>
      <c r="H165" s="80" t="n"/>
      <c r="I165" s="72" t="n"/>
      <c r="J165" s="72" t="n"/>
      <c r="K165" s="72" t="n"/>
      <c r="L165" s="66" t="n"/>
      <c r="M165" s="66" t="n"/>
      <c r="N165" s="66" t="n"/>
      <c r="O165" s="66" t="n"/>
      <c r="P165" s="45" t="n"/>
      <c r="Q165" s="203">
        <f>'Additional information'!$D$19</f>
        <v/>
      </c>
      <c r="R165" s="103" t="n"/>
      <c r="T165" s="111" t="n"/>
      <c r="U165" s="694" t="n"/>
      <c r="X165" s="202" t="n"/>
      <c r="Y165" s="202">
        <f>IF(X165="","",X165*Q165)</f>
        <v/>
      </c>
      <c r="Z165" s="103">
        <f>IF(T165="yes",Y165,"")</f>
        <v/>
      </c>
    </row>
    <row r="166" ht="16.4" customFormat="1" customHeight="1" s="310" thickBot="1">
      <c r="A166" s="684" t="inlineStr">
        <is>
          <t>G. FOOD SECURITY AND CONSUMPTION</t>
        </is>
      </c>
      <c r="B166" s="685" t="n"/>
      <c r="C166" s="685" t="n"/>
      <c r="D166" s="685" t="n"/>
      <c r="E166" s="685" t="n"/>
      <c r="F166" s="685" t="n"/>
      <c r="G166" s="685" t="n"/>
      <c r="H166" s="685" t="n"/>
      <c r="I166" s="685" t="n"/>
      <c r="J166" s="685" t="n"/>
      <c r="K166" s="685" t="n"/>
      <c r="L166" s="685" t="n"/>
      <c r="M166" s="685" t="n"/>
      <c r="N166" s="685" t="n"/>
      <c r="O166" s="685" t="n"/>
      <c r="P166" s="686" t="n"/>
      <c r="Q166" s="198" t="n"/>
      <c r="R166" s="315" t="n"/>
      <c r="T166" s="313" t="n"/>
      <c r="U166" s="316" t="n"/>
      <c r="X166" s="201" t="n"/>
      <c r="Y166" s="201">
        <f>IF(X166="","",X166*Q166)</f>
        <v/>
      </c>
      <c r="Z166" s="315">
        <f>IF(T166="yes",Y166,"")</f>
        <v/>
      </c>
    </row>
    <row r="167" ht="140.65" customFormat="1" customHeight="1" s="109">
      <c r="A167" s="70">
        <f>A164+1</f>
        <v/>
      </c>
      <c r="B167" s="179" t="inlineStr">
        <is>
          <t>fies_intro</t>
        </is>
      </c>
      <c r="C167" s="186" t="inlineStr">
        <is>
          <t>fies_intro</t>
        </is>
      </c>
      <c r="D167"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7" s="106">
        <f>LEN(D167)</f>
        <v/>
      </c>
      <c r="F167" s="38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7" s="106">
        <f>LEN(F167)</f>
        <v/>
      </c>
      <c r="H167" s="114" t="inlineStr">
        <is>
          <t>Single Choice</t>
        </is>
      </c>
      <c r="I167" s="106" t="inlineStr">
        <is>
          <t>NA</t>
        </is>
      </c>
      <c r="J167" s="106" t="inlineStr">
        <is>
          <t>NA</t>
        </is>
      </c>
      <c r="K167" s="106" t="inlineStr">
        <is>
          <t>Form Type - Buttons</t>
        </is>
      </c>
      <c r="L167" s="105" t="inlineStr">
        <is>
          <t>1 = fies_worried</t>
        </is>
      </c>
      <c r="M167" s="165" t="inlineStr">
        <is>
          <t>NA</t>
        </is>
      </c>
      <c r="N167" s="105" t="inlineStr">
        <is>
          <t>if fies = 1, go to fies_worried</t>
        </is>
      </c>
      <c r="O167" s="59" t="inlineStr"/>
      <c r="P167" s="277" t="inlineStr">
        <is>
          <t>Check if the ESS team has an official translation.</t>
        </is>
      </c>
      <c r="Q167" s="198" t="n">
        <v>1</v>
      </c>
      <c r="R167" s="103" t="n"/>
      <c r="T167" s="313" t="inlineStr">
        <is>
          <t>yes</t>
        </is>
      </c>
      <c r="U167" s="694" t="n"/>
      <c r="X167" s="201" t="n">
        <v>8.088166236877441</v>
      </c>
      <c r="Y167" s="201">
        <f>IF(X167="","",X167*Q167)</f>
        <v/>
      </c>
      <c r="Z167" s="103" t="inlineStr">
        <is>
          <t>8.088166236877441</t>
        </is>
      </c>
    </row>
    <row r="168" ht="156" customFormat="1" customHeight="1" s="109">
      <c r="A168" s="31">
        <f>A167+1</f>
        <v/>
      </c>
      <c r="B168" s="520" t="inlineStr">
        <is>
          <t>fies_worried</t>
        </is>
      </c>
      <c r="C168" s="108" t="inlineStr">
        <is>
          <t>fies_worried</t>
        </is>
      </c>
      <c r="D168" s="533" t="inlineStr">
        <is>
          <t>During the last 30 days, was there a time when you or others in your household were worried about not having enough food to eat because of lack of money or other resources?
[OPERATOR: SINGLE RESPONSE]
1)YES
2)NO
3)DON'T KNOW
4)REFUSED</t>
        </is>
      </c>
      <c r="E168" s="521">
        <f>LEN(D168)</f>
        <v/>
      </c>
      <c r="F168" s="586"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8" s="521">
        <f>LEN(F168)</f>
        <v/>
      </c>
      <c r="H168" s="522" t="inlineStr">
        <is>
          <t>Single Choice</t>
        </is>
      </c>
      <c r="I168" s="521" t="inlineStr">
        <is>
          <t>NA</t>
        </is>
      </c>
      <c r="J168" s="521" t="inlineStr">
        <is>
          <t>NA</t>
        </is>
      </c>
      <c r="K168" s="521" t="inlineStr">
        <is>
          <t>Form Type - Buttons</t>
        </is>
      </c>
      <c r="L168" s="113" t="inlineStr">
        <is>
          <t>1-4 = fies_healthy</t>
        </is>
      </c>
      <c r="M168" s="165" t="inlineStr">
        <is>
          <t>NA</t>
        </is>
      </c>
      <c r="N168" s="122" t="inlineStr">
        <is>
          <t>if fies_worried = 1-4, go to fies_healthy</t>
        </is>
      </c>
      <c r="O168" s="67" t="inlineStr"/>
      <c r="P168" s="9" t="n"/>
      <c r="Q168" s="198" t="n">
        <v>1</v>
      </c>
      <c r="R168" s="103" t="n"/>
      <c r="T168" s="313" t="inlineStr">
        <is>
          <t>yes</t>
        </is>
      </c>
      <c r="U168" s="694" t="n"/>
      <c r="X168" s="201" t="n">
        <v>20.22456741333008</v>
      </c>
      <c r="Y168" s="201">
        <f>IF(X168="","",X168*Q168)</f>
        <v/>
      </c>
      <c r="Z168" s="103" t="inlineStr">
        <is>
          <t>20.22456741333008</t>
        </is>
      </c>
    </row>
    <row r="169" ht="156" customFormat="1" customHeight="1" s="109">
      <c r="A169" s="31">
        <f>A168+1</f>
        <v/>
      </c>
      <c r="B169" s="520" t="inlineStr">
        <is>
          <t>fies_healthy</t>
        </is>
      </c>
      <c r="C169" s="108" t="inlineStr">
        <is>
          <t>fies_healthy</t>
        </is>
      </c>
      <c r="D169" s="533" t="inlineStr">
        <is>
          <t>During the last 30 days, was there a time when you or others in your household were unable to eat healthy and nutritious food because of lack of money or other resources?
[OPERATOR: SINGLE RESPONSE]
1)YES
2)NO
3)DON'T KNOW
4)REFUSED</t>
        </is>
      </c>
      <c r="E169" s="521">
        <f>LEN(D169)</f>
        <v/>
      </c>
      <c r="F169" s="586"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69" s="521">
        <f>LEN(F169)</f>
        <v/>
      </c>
      <c r="H169" s="522" t="inlineStr">
        <is>
          <t>Single Choice</t>
        </is>
      </c>
      <c r="I169" s="521" t="inlineStr">
        <is>
          <t>NA</t>
        </is>
      </c>
      <c r="J169" s="521" t="inlineStr">
        <is>
          <t>NA</t>
        </is>
      </c>
      <c r="K169" s="521" t="inlineStr">
        <is>
          <t>Form Type - Buttons</t>
        </is>
      </c>
      <c r="L169" s="113" t="inlineStr">
        <is>
          <t>1-4 = fies_fewfoods</t>
        </is>
      </c>
      <c r="M169" s="165" t="inlineStr">
        <is>
          <t>NA</t>
        </is>
      </c>
      <c r="N169" s="122" t="inlineStr">
        <is>
          <t>if fies_healthy = 1-4, go to fies_fewfoods</t>
        </is>
      </c>
      <c r="O169" s="67" t="inlineStr"/>
      <c r="P169" s="9" t="n"/>
      <c r="Q169" s="198" t="n">
        <v>1</v>
      </c>
      <c r="R169" s="103" t="n"/>
      <c r="T169" s="313" t="inlineStr">
        <is>
          <t>yes</t>
        </is>
      </c>
      <c r="U169" s="694" t="n"/>
      <c r="X169" s="201" t="n">
        <v>14.02606105804443</v>
      </c>
      <c r="Y169" s="201">
        <f>IF(X169="","",X169*Q169)</f>
        <v/>
      </c>
      <c r="Z169" s="103" t="inlineStr">
        <is>
          <t>14.02606105804443</t>
        </is>
      </c>
    </row>
    <row r="170" ht="156" customFormat="1" customHeight="1" s="109">
      <c r="A170" s="31">
        <f>A169+1</f>
        <v/>
      </c>
      <c r="B170" s="520" t="inlineStr">
        <is>
          <t>fies_fewfoods</t>
        </is>
      </c>
      <c r="C170" s="108" t="inlineStr">
        <is>
          <t>fies_fewfoods</t>
        </is>
      </c>
      <c r="D170" s="533" t="inlineStr">
        <is>
          <t>During the last 30 days, was there a time when you or others in your household ate only a few kinds of foods because of lack of money or other resources?
[OPERATOR: SINGLE RESPONSE]
1)YES
2)NO
3)DON'T KNOW
4)REFUSED</t>
        </is>
      </c>
      <c r="E170" s="521">
        <f>LEN(D170)</f>
        <v/>
      </c>
      <c r="F170" s="586"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0" s="521">
        <f>LEN(F170)</f>
        <v/>
      </c>
      <c r="H170" s="522" t="inlineStr">
        <is>
          <t>Single Choice</t>
        </is>
      </c>
      <c r="I170" s="521" t="inlineStr">
        <is>
          <t>NA</t>
        </is>
      </c>
      <c r="J170" s="521" t="inlineStr">
        <is>
          <t>NA</t>
        </is>
      </c>
      <c r="K170" s="521" t="inlineStr">
        <is>
          <t>Form Type - Buttons</t>
        </is>
      </c>
      <c r="L170" s="113" t="inlineStr">
        <is>
          <t>1-4 = fies_skipped</t>
        </is>
      </c>
      <c r="M170" s="165" t="inlineStr">
        <is>
          <t>NA</t>
        </is>
      </c>
      <c r="N170" s="122" t="inlineStr">
        <is>
          <t>if fies_fewfoods = 1-4, go to fies_skipped</t>
        </is>
      </c>
      <c r="O170" s="67" t="inlineStr"/>
      <c r="P170" s="9" t="n"/>
      <c r="Q170" s="198" t="n">
        <v>1</v>
      </c>
      <c r="R170" s="103" t="n"/>
      <c r="T170" s="313" t="inlineStr">
        <is>
          <t>yes</t>
        </is>
      </c>
      <c r="U170" s="694" t="n"/>
      <c r="X170" s="201" t="n">
        <v>11.55850505828857</v>
      </c>
      <c r="Y170" s="201">
        <f>IF(X170="","",X170*Q170)</f>
        <v/>
      </c>
      <c r="Z170" s="103" t="inlineStr">
        <is>
          <t>11.55850505828857</t>
        </is>
      </c>
    </row>
    <row r="171" ht="156" customFormat="1" customHeight="1" s="109">
      <c r="A171" s="31">
        <f>A170+1</f>
        <v/>
      </c>
      <c r="B171" s="520" t="inlineStr">
        <is>
          <t>fies_skipped</t>
        </is>
      </c>
      <c r="C171" s="108" t="inlineStr">
        <is>
          <t>fies_skipped</t>
        </is>
      </c>
      <c r="D171" s="533" t="inlineStr">
        <is>
          <t>During the last 30 days, was there a time when you or others in your household had to skip a meal because of lack of money or other resources to get food?
[OPERATOR: SINGLE RESPONSE]
1)YES
2)NO
3)DON'T KNOW
4)REFUSED</t>
        </is>
      </c>
      <c r="E171" s="521">
        <f>LEN(D171)</f>
        <v/>
      </c>
      <c r="F171" s="586"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1" s="521">
        <f>LEN(F171)</f>
        <v/>
      </c>
      <c r="H171" s="522" t="inlineStr">
        <is>
          <t>Single Choice</t>
        </is>
      </c>
      <c r="I171" s="521" t="inlineStr">
        <is>
          <t>NA</t>
        </is>
      </c>
      <c r="J171" s="521" t="inlineStr">
        <is>
          <t>NA</t>
        </is>
      </c>
      <c r="K171" s="521" t="inlineStr">
        <is>
          <t>Form Type - Buttons</t>
        </is>
      </c>
      <c r="L171" s="113" t="inlineStr">
        <is>
          <t>1-4 = fies_ateless</t>
        </is>
      </c>
      <c r="M171" s="165" t="inlineStr">
        <is>
          <t>NA</t>
        </is>
      </c>
      <c r="N171" s="113" t="inlineStr">
        <is>
          <t>if fies_skipped = 1-4, go to fies_ateless</t>
        </is>
      </c>
      <c r="O171" s="57" t="inlineStr"/>
      <c r="P171" s="9" t="n"/>
      <c r="Q171" s="198" t="n">
        <v>1</v>
      </c>
      <c r="R171" s="103" t="n"/>
      <c r="T171" s="313" t="inlineStr">
        <is>
          <t>yes</t>
        </is>
      </c>
      <c r="U171" s="694" t="n"/>
      <c r="X171" s="201" t="n">
        <v>11.37925720214844</v>
      </c>
      <c r="Y171" s="201">
        <f>IF(X171="","",X171*Q171)</f>
        <v/>
      </c>
      <c r="Z171" s="103" t="inlineStr">
        <is>
          <t>11.37925720214844</t>
        </is>
      </c>
    </row>
    <row r="172" ht="156" customFormat="1" customHeight="1" s="109">
      <c r="A172" s="31">
        <f>A171+1</f>
        <v/>
      </c>
      <c r="B172" s="520" t="inlineStr">
        <is>
          <t>fies_ateless</t>
        </is>
      </c>
      <c r="C172" s="108" t="inlineStr">
        <is>
          <t>fies_ateless</t>
        </is>
      </c>
      <c r="D172" s="533" t="inlineStr">
        <is>
          <t>During the last 30 days, was there a time when you or others in your household ate less than you thought you should because of lack of money or other resources?
[OPERATOR: SINGLE RESPONSE]
1)YES
2)NO
3)DON'T KNOW
4)REFUSED</t>
        </is>
      </c>
      <c r="E172" s="521">
        <f>LEN(D172)</f>
        <v/>
      </c>
      <c r="F172" s="586"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2" s="521">
        <f>LEN(F172)</f>
        <v/>
      </c>
      <c r="H172" s="522" t="inlineStr">
        <is>
          <t>Single Choice</t>
        </is>
      </c>
      <c r="I172" s="521" t="inlineStr">
        <is>
          <t>NA</t>
        </is>
      </c>
      <c r="J172" s="521" t="inlineStr">
        <is>
          <t>NA</t>
        </is>
      </c>
      <c r="K172" s="521" t="inlineStr">
        <is>
          <t>Form Type - Buttons</t>
        </is>
      </c>
      <c r="L172" s="113" t="inlineStr">
        <is>
          <t>1-4 = fies_ranout</t>
        </is>
      </c>
      <c r="M172" s="165" t="inlineStr">
        <is>
          <t>NA</t>
        </is>
      </c>
      <c r="N172" s="113" t="inlineStr">
        <is>
          <t>if fies_ateless = 1-4, go to fies_ranout</t>
        </is>
      </c>
      <c r="O172" s="57" t="inlineStr"/>
      <c r="P172" s="9" t="n"/>
      <c r="Q172" s="198" t="n">
        <v>1</v>
      </c>
      <c r="R172" s="103" t="n"/>
      <c r="T172" s="313" t="inlineStr">
        <is>
          <t>yes</t>
        </is>
      </c>
      <c r="U172" s="694" t="n"/>
      <c r="X172" s="201" t="n">
        <v>10.44321727752686</v>
      </c>
      <c r="Y172" s="201">
        <f>IF(X172="","",X172*Q172)</f>
        <v/>
      </c>
      <c r="Z172" s="103" t="inlineStr">
        <is>
          <t>10.44321727752686</t>
        </is>
      </c>
    </row>
    <row r="173" ht="132" customFormat="1" customHeight="1" s="109">
      <c r="A173" s="31">
        <f>A172+1</f>
        <v/>
      </c>
      <c r="B173" s="520" t="inlineStr">
        <is>
          <t>fies_ranout</t>
        </is>
      </c>
      <c r="C173" s="610" t="inlineStr">
        <is>
          <t>fies_ranout</t>
        </is>
      </c>
      <c r="D173" s="124" t="inlineStr">
        <is>
          <t>In the past 30 days, was there ever no food to eat of any kind in your house because of lack of resources to get food?
[OPERATOR: SINGLE RESPONSE]
1)YES
2)NO
3)DON'T KNOW
4)REFUSED</t>
        </is>
      </c>
      <c r="E173" s="521">
        <f>LEN(D173)</f>
        <v/>
      </c>
      <c r="F173" s="501"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3" s="521">
        <f>LEN(F173)</f>
        <v/>
      </c>
      <c r="H173" s="522" t="inlineStr">
        <is>
          <t>Single Choice</t>
        </is>
      </c>
      <c r="I173" s="521" t="inlineStr">
        <is>
          <t>NA</t>
        </is>
      </c>
      <c r="J173" s="521" t="inlineStr">
        <is>
          <t>NA</t>
        </is>
      </c>
      <c r="K173" s="521" t="inlineStr">
        <is>
          <t>Form Type - Buttons</t>
        </is>
      </c>
      <c r="L173" s="113" t="inlineStr">
        <is>
          <t>1=fies_ranout_hhs
2-4 = fies_hungry</t>
        </is>
      </c>
      <c r="M173" s="165" t="inlineStr">
        <is>
          <t>NA</t>
        </is>
      </c>
      <c r="N173" s="122" t="inlineStr">
        <is>
          <t>if fies_ranout = 1, go to fies_ranout_hhs. Otherwise, go to fies_hungry</t>
        </is>
      </c>
      <c r="O173" s="67" t="inlineStr"/>
      <c r="P173" s="9" t="n"/>
      <c r="Q173" s="198" t="n">
        <v>1</v>
      </c>
      <c r="R173" s="103" t="n"/>
      <c r="T173" s="313" t="inlineStr">
        <is>
          <t>yes</t>
        </is>
      </c>
      <c r="U173" s="694" t="n"/>
      <c r="X173" s="201" t="n">
        <v>10.73201084136963</v>
      </c>
      <c r="Y173" s="201">
        <f>IF(X173="","",X173*Q173)</f>
        <v/>
      </c>
      <c r="Z173" s="103" t="inlineStr">
        <is>
          <t>10.73201084136963</t>
        </is>
      </c>
    </row>
    <row r="174" ht="133.4" customFormat="1" customHeight="1" s="251">
      <c r="A174" s="31">
        <f>A173+1</f>
        <v/>
      </c>
      <c r="B174" s="520" t="inlineStr">
        <is>
          <t>fies_ranout_hhs</t>
        </is>
      </c>
      <c r="C174" s="610" t="inlineStr">
        <is>
          <t>fies_ranout_hhs</t>
        </is>
      </c>
      <c r="D174" s="123" t="inlineStr">
        <is>
          <t>How often did this happen?
[OPERATOR: SINGLE RESPONSE]
1)Rarely [1-2 times in the past 30 days]
2)Sometimes [3-10 times in the past 30 days]
3)Often [more than 10 times in the last 30 days]
4)DON'T KNOW
5)REFUSED</t>
        </is>
      </c>
      <c r="E174" s="521">
        <f>LEN(D174)</f>
        <v/>
      </c>
      <c r="F174"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4" s="521">
        <f>LEN(F174)</f>
        <v/>
      </c>
      <c r="H174" s="522" t="inlineStr">
        <is>
          <t>Single Choice</t>
        </is>
      </c>
      <c r="I174" s="521" t="inlineStr">
        <is>
          <t>NA</t>
        </is>
      </c>
      <c r="J174" s="521" t="inlineStr">
        <is>
          <t>NA</t>
        </is>
      </c>
      <c r="K174" s="521" t="inlineStr">
        <is>
          <t>Form Type - Buttons</t>
        </is>
      </c>
      <c r="L174" s="113" t="inlineStr">
        <is>
          <t>1-5 = fies_hungry</t>
        </is>
      </c>
      <c r="M174" s="165" t="inlineStr">
        <is>
          <t>NA</t>
        </is>
      </c>
      <c r="N174" s="113" t="inlineStr">
        <is>
          <t>if fies_ranout_hhs = 1-5, go to fies_hungry</t>
        </is>
      </c>
      <c r="O174" s="57" t="inlineStr"/>
      <c r="P174" s="9" t="n"/>
      <c r="Q174" s="198" t="n">
        <v>1</v>
      </c>
      <c r="R174" s="103" t="n"/>
      <c r="T174" s="313" t="inlineStr">
        <is>
          <t>yes</t>
        </is>
      </c>
      <c r="U174" s="694" t="n"/>
      <c r="X174" s="201" t="n">
        <v>11.58613967895508</v>
      </c>
      <c r="Y174" s="201">
        <f>IF(X174="","",X174*Q174)</f>
        <v/>
      </c>
      <c r="Z174" s="103" t="inlineStr">
        <is>
          <t>11.58613967895508</t>
        </is>
      </c>
    </row>
    <row r="175" ht="132" customFormat="1" customHeight="1" s="109">
      <c r="A175" s="31">
        <f>A174+1</f>
        <v/>
      </c>
      <c r="B175" s="520" t="inlineStr">
        <is>
          <t>fies_hungry</t>
        </is>
      </c>
      <c r="C175" s="108" t="inlineStr">
        <is>
          <t>fies_hungry</t>
        </is>
      </c>
      <c r="D175" s="124" t="inlineStr">
        <is>
          <t>In the past 30 days, did you or any household member ever go to sleep at night hungry because there was not enough food?
[OPERATOR: SINGLE RESPONSE]
1)YES
2)NO
3)DON'T KNOW
4)REFUSED</t>
        </is>
      </c>
      <c r="E175" s="521">
        <f>LEN(D175)</f>
        <v/>
      </c>
      <c r="F175" s="501"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5" s="521">
        <f>LEN(F175)</f>
        <v/>
      </c>
      <c r="H175" s="522" t="inlineStr">
        <is>
          <t>Single Choice</t>
        </is>
      </c>
      <c r="I175" s="521" t="inlineStr">
        <is>
          <t>NA</t>
        </is>
      </c>
      <c r="J175" s="521" t="inlineStr">
        <is>
          <t>NA</t>
        </is>
      </c>
      <c r="K175" s="521" t="inlineStr">
        <is>
          <t>Form Type - Buttons</t>
        </is>
      </c>
      <c r="L175" s="113" t="inlineStr">
        <is>
          <t>1=fies_hungry_hhs
2-4 = fies_whlday</t>
        </is>
      </c>
      <c r="M175" s="165" t="inlineStr">
        <is>
          <t>NA</t>
        </is>
      </c>
      <c r="N175" s="122" t="inlineStr">
        <is>
          <t>if fies_hungry = 1, go to fies_hungry_hhs. Otherwise, go to fies_whlday</t>
        </is>
      </c>
      <c r="O175" s="67" t="inlineStr"/>
      <c r="P175" s="9" t="n"/>
      <c r="Q175" s="198" t="n">
        <v>1</v>
      </c>
      <c r="R175" s="103" t="n"/>
      <c r="T175" s="313" t="inlineStr">
        <is>
          <t>yes</t>
        </is>
      </c>
      <c r="U175" s="694" t="n"/>
      <c r="X175" s="201" t="n">
        <v>9.75520133972168</v>
      </c>
      <c r="Y175" s="201">
        <f>IF(X175="","",X175*Q175)</f>
        <v/>
      </c>
      <c r="Z175" s="103" t="inlineStr">
        <is>
          <t>9.75520133972168</t>
        </is>
      </c>
    </row>
    <row r="176" ht="133.4" customFormat="1" customHeight="1" s="109">
      <c r="A176" s="31">
        <f>A175+1</f>
        <v/>
      </c>
      <c r="B176" s="520" t="inlineStr">
        <is>
          <t>fies_hungry_hhs</t>
        </is>
      </c>
      <c r="C176" s="610" t="inlineStr">
        <is>
          <t>fies_hungry_hhs</t>
        </is>
      </c>
      <c r="D176" s="123" t="inlineStr">
        <is>
          <t>How often did this happen?
[OPERATOR: SINGLE RESPONSE]
1)Rarely [1-2 times in the past 30 days]
2)Sometimes [3-10 times in the past 30 days]
3)Often [more than 10 times in the last 30 days]
4)DON'T KNOW
5)REFUSED</t>
        </is>
      </c>
      <c r="E176" s="521">
        <f>LEN(D176)</f>
        <v/>
      </c>
      <c r="F176"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6" s="521">
        <f>LEN(F176)</f>
        <v/>
      </c>
      <c r="H176" s="522" t="inlineStr">
        <is>
          <t>Single Choice</t>
        </is>
      </c>
      <c r="I176" s="521" t="inlineStr">
        <is>
          <t>NA</t>
        </is>
      </c>
      <c r="J176" s="521" t="inlineStr">
        <is>
          <t>NA</t>
        </is>
      </c>
      <c r="K176" s="521" t="inlineStr">
        <is>
          <t>Form Type - Buttons</t>
        </is>
      </c>
      <c r="L176" s="113" t="inlineStr">
        <is>
          <t>1-5 = fies_whlday</t>
        </is>
      </c>
      <c r="M176" s="165" t="inlineStr">
        <is>
          <t>NA</t>
        </is>
      </c>
      <c r="N176" s="113" t="inlineStr">
        <is>
          <t>if fies_hungry_hhs = 1-5, go to fies_whlday</t>
        </is>
      </c>
      <c r="O176" s="57" t="inlineStr"/>
      <c r="P176" s="9" t="n"/>
      <c r="Q176" s="198" t="n">
        <v>1</v>
      </c>
      <c r="R176" s="103" t="n"/>
      <c r="T176" s="313" t="inlineStr">
        <is>
          <t>yes</t>
        </is>
      </c>
      <c r="U176" s="694" t="n"/>
      <c r="X176" s="201" t="n">
        <v>7.94479513168335</v>
      </c>
      <c r="Y176" s="201">
        <f>IF(X176="","",X176*Q176)</f>
        <v/>
      </c>
      <c r="Z176" s="103" t="inlineStr">
        <is>
          <t>7.94479513168335</t>
        </is>
      </c>
    </row>
    <row r="177" ht="147.65" customFormat="1" customHeight="1" s="109">
      <c r="A177" s="31">
        <f>A176+1</f>
        <v/>
      </c>
      <c r="B177" s="520" t="inlineStr">
        <is>
          <t>fies_whlday</t>
        </is>
      </c>
      <c r="C177" s="108" t="inlineStr">
        <is>
          <t>fies_whlday</t>
        </is>
      </c>
      <c r="D177" s="124" t="inlineStr">
        <is>
          <t>In the past 30 days, did you or any household member ever go a whole day and night without eating anything at all because there was not enough food?
[OPERATOR: SINGLE RESPONSE]
1)YES
2)NO
3)DON'T KNOW
4)REFUSED</t>
        </is>
      </c>
      <c r="E177" s="521">
        <f>LEN(D177)</f>
        <v/>
      </c>
      <c r="F177" s="501"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7" s="521">
        <f>LEN(F177)</f>
        <v/>
      </c>
      <c r="H177" s="522" t="inlineStr">
        <is>
          <t>Single Choice</t>
        </is>
      </c>
      <c r="I177" s="521" t="inlineStr">
        <is>
          <t>NA</t>
        </is>
      </c>
      <c r="J177" s="521" t="inlineStr">
        <is>
          <t>NA</t>
        </is>
      </c>
      <c r="K177" s="521" t="inlineStr">
        <is>
          <t>Form Type - Buttons</t>
        </is>
      </c>
      <c r="L177" s="113" t="inlineStr">
        <is>
          <t>1=fies_whlday_hhs
2-4 = [lcsi_intro OR hdds]</t>
        </is>
      </c>
      <c r="M177" s="165" t="inlineStr">
        <is>
          <t>NA</t>
        </is>
      </c>
      <c r="N177" s="122" t="inlineStr">
        <is>
          <t>if fies_whlday = 1, go to fies_whlday_hhs. Otherwise, go to lcsi_intro OR hdds</t>
        </is>
      </c>
      <c r="O177" s="28" t="inlineStr">
        <is>
          <t>2-4 = lcsi_intro</t>
        </is>
      </c>
      <c r="P177" s="9" t="n"/>
      <c r="Q177" s="198" t="n">
        <v>1</v>
      </c>
      <c r="R177" s="103" t="n"/>
      <c r="T177" s="313" t="inlineStr">
        <is>
          <t>yes</t>
        </is>
      </c>
      <c r="U177" s="694" t="n"/>
      <c r="X177" s="201" t="n">
        <v>7.931224822998047</v>
      </c>
      <c r="Y177" s="201">
        <f>IF(X177="","",X177*Q177)</f>
        <v/>
      </c>
      <c r="Z177" s="103" t="inlineStr">
        <is>
          <t>7.931224822998047</t>
        </is>
      </c>
    </row>
    <row r="178" ht="133.4" customFormat="1" customHeight="1" s="109">
      <c r="A178" s="31">
        <f>A177+1</f>
        <v/>
      </c>
      <c r="B178" s="520" t="inlineStr">
        <is>
          <t>fies_whlday_hhs</t>
        </is>
      </c>
      <c r="C178" s="610" t="inlineStr">
        <is>
          <t>fies_whlday_hhs</t>
        </is>
      </c>
      <c r="D178" s="123" t="inlineStr">
        <is>
          <t>How often did this happen?
[OPERATOR: SINGLE RESPONSE]
1)Rarely [1-2 times in the past 30 days]
2)Sometimes [3-10 times in the past 30 days]
3)Often [more than 10 times in the last 30 days]
4)DON'T KNOW
5)REFUSED</t>
        </is>
      </c>
      <c r="E178" s="521">
        <f>LEN(D178)</f>
        <v/>
      </c>
      <c r="F178"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8" s="521">
        <f>LEN(F178)</f>
        <v/>
      </c>
      <c r="H178" s="522" t="inlineStr">
        <is>
          <t>Single Choice</t>
        </is>
      </c>
      <c r="I178" s="521" t="inlineStr">
        <is>
          <t>NA</t>
        </is>
      </c>
      <c r="J178" s="521" t="inlineStr">
        <is>
          <t>NA</t>
        </is>
      </c>
      <c r="K178" s="521" t="inlineStr">
        <is>
          <t>Form Type - Buttons</t>
        </is>
      </c>
      <c r="L178" s="113" t="inlineStr">
        <is>
          <t>1-5 = [lcsi_intro OR hdds]</t>
        </is>
      </c>
      <c r="M178" s="165" t="inlineStr">
        <is>
          <t>NA</t>
        </is>
      </c>
      <c r="N178" s="122" t="inlineStr">
        <is>
          <t>if fies_whlday_hhs = 1-5, go to lcsi_intro OR hdds</t>
        </is>
      </c>
      <c r="O178" s="28" t="inlineStr">
        <is>
          <t>1-5 = lcsi_intro</t>
        </is>
      </c>
      <c r="P178" s="9" t="n"/>
      <c r="Q178" s="198" t="n">
        <v>1</v>
      </c>
      <c r="R178" s="103" t="n"/>
      <c r="T178" s="313" t="inlineStr">
        <is>
          <t>yes</t>
        </is>
      </c>
      <c r="U178" s="694" t="n"/>
      <c r="X178" s="201" t="n">
        <v>5.339005947113037</v>
      </c>
      <c r="Y178" s="201">
        <f>IF(X178="","",X178*Q178)</f>
        <v/>
      </c>
      <c r="Z178" s="103" t="inlineStr">
        <is>
          <t>5.339005947113037</t>
        </is>
      </c>
    </row>
    <row r="179" ht="156" customFormat="1" customHeight="1" s="109">
      <c r="A179" s="13">
        <f>A178+1</f>
        <v/>
      </c>
      <c r="B179" s="526" t="inlineStr">
        <is>
          <t>lcsi_intro</t>
        </is>
      </c>
      <c r="C179" s="16" t="inlineStr">
        <is>
          <t>lcsi_intro</t>
        </is>
      </c>
      <c r="D179" s="581" t="inlineStr">
        <is>
          <t>Now I would like to ask you another set of questions on coping strategies, referring to the past 30 days.
[OPERATOR: SINGLE RESPONSE]
1)NEXT</t>
        </is>
      </c>
      <c r="E179" s="528">
        <f>LEN(D179)</f>
        <v/>
      </c>
      <c r="F179" s="58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79" s="528">
        <f>LEN(F179)</f>
        <v/>
      </c>
      <c r="H179" s="530" t="inlineStr">
        <is>
          <t>Single Choice</t>
        </is>
      </c>
      <c r="I179" s="528" t="inlineStr">
        <is>
          <t>NA</t>
        </is>
      </c>
      <c r="J179" s="528" t="inlineStr">
        <is>
          <t>NA</t>
        </is>
      </c>
      <c r="K179" s="528" t="inlineStr">
        <is>
          <t>Form Type - Buttons</t>
        </is>
      </c>
      <c r="L179" s="23" t="inlineStr">
        <is>
          <t>1 = [next question]</t>
        </is>
      </c>
      <c r="M179" s="53" t="inlineStr">
        <is>
          <t>NA</t>
        </is>
      </c>
      <c r="N179" s="257" t="inlineStr"/>
      <c r="O179" s="28" t="inlineStr">
        <is>
          <t>1 = cs_stress_hh_assets</t>
        </is>
      </c>
      <c r="P179"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79" s="203" t="n">
        <v>1</v>
      </c>
      <c r="R179" s="103" t="n"/>
      <c r="T179" s="111" t="inlineStr">
        <is>
          <t>no</t>
        </is>
      </c>
      <c r="U179" s="694" t="n"/>
      <c r="X179" s="202" t="n">
        <v>3.816555500030518</v>
      </c>
      <c r="Y179" s="202">
        <f>IF(X179="","",X179*Q179)</f>
        <v/>
      </c>
      <c r="Z179" s="103" t="inlineStr"/>
    </row>
    <row r="180" ht="202.9" customFormat="1" customHeight="1" s="109">
      <c r="A180" s="13">
        <f>A179+1</f>
        <v/>
      </c>
      <c r="B180" s="258" t="inlineStr">
        <is>
          <t>cs_stress_hh_assets</t>
        </is>
      </c>
      <c r="C180" s="16" t="inlineStr">
        <is>
          <t>cs_stress_hh_assets</t>
        </is>
      </c>
      <c r="D180" s="52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0" s="528">
        <f>LEN(D180)</f>
        <v/>
      </c>
      <c r="F180" s="584"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0" s="528">
        <f>LEN(F180)</f>
        <v/>
      </c>
      <c r="H180" s="530" t="inlineStr">
        <is>
          <t>Single Choice</t>
        </is>
      </c>
      <c r="I180" s="528" t="inlineStr">
        <is>
          <t>NA</t>
        </is>
      </c>
      <c r="J180" s="528" t="inlineStr">
        <is>
          <t>NA</t>
        </is>
      </c>
      <c r="K180" s="528" t="inlineStr">
        <is>
          <t>Form Type - Buttons</t>
        </is>
      </c>
      <c r="L180" s="23" t="inlineStr">
        <is>
          <t>1-6 = [next question]</t>
        </is>
      </c>
      <c r="M180" s="53" t="inlineStr">
        <is>
          <t>NA</t>
        </is>
      </c>
      <c r="N180" s="27" t="inlineStr"/>
      <c r="O180" s="28" t="inlineStr">
        <is>
          <t>1-6 = cs_stress_spent_savings</t>
        </is>
      </c>
      <c r="P180" s="9" t="n"/>
      <c r="Q180" s="203" t="n">
        <v>1</v>
      </c>
      <c r="R180" s="103" t="n"/>
      <c r="T180" s="111" t="inlineStr">
        <is>
          <t>no</t>
        </is>
      </c>
      <c r="U180" s="694" t="n"/>
      <c r="X180" s="202" t="n">
        <v>16.82703018188477</v>
      </c>
      <c r="Y180" s="202">
        <f>IF(X180="","",X180*Q180)</f>
        <v/>
      </c>
      <c r="Z180" s="103" t="inlineStr"/>
    </row>
    <row r="181" ht="187.4" customFormat="1" customHeight="1" s="109">
      <c r="A181" s="13">
        <f>A180+1</f>
        <v/>
      </c>
      <c r="B181" s="258" t="inlineStr">
        <is>
          <t>cs_stress_spent_savings</t>
        </is>
      </c>
      <c r="C181" s="16" t="inlineStr">
        <is>
          <t>cs_stress_spent_savings</t>
        </is>
      </c>
      <c r="D181" s="527"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1" s="528">
        <f>LEN(D181)</f>
        <v/>
      </c>
      <c r="F181" s="584"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8">
        <f>LEN(F181)</f>
        <v/>
      </c>
      <c r="H181" s="530" t="inlineStr">
        <is>
          <t>Single Choice</t>
        </is>
      </c>
      <c r="I181" s="528" t="inlineStr">
        <is>
          <t>NA</t>
        </is>
      </c>
      <c r="J181" s="528" t="inlineStr">
        <is>
          <t>NA</t>
        </is>
      </c>
      <c r="K181" s="528" t="inlineStr">
        <is>
          <t>Form Type - Buttons</t>
        </is>
      </c>
      <c r="L181" s="23" t="inlineStr">
        <is>
          <t>1-6 = [next question]</t>
        </is>
      </c>
      <c r="M181" s="53" t="inlineStr">
        <is>
          <t>NA</t>
        </is>
      </c>
      <c r="N181" s="27" t="inlineStr"/>
      <c r="O181" s="28" t="inlineStr">
        <is>
          <t>1-6 = cs_stress_credit</t>
        </is>
      </c>
      <c r="P181" s="9" t="n"/>
      <c r="Q181" s="203" t="n">
        <v>1</v>
      </c>
      <c r="R181" s="103" t="n"/>
      <c r="T181" s="111" t="inlineStr">
        <is>
          <t>no</t>
        </is>
      </c>
      <c r="U181" s="694" t="n"/>
      <c r="X181" s="202" t="n">
        <v>12.21140480041504</v>
      </c>
      <c r="Y181" s="202">
        <f>IF(X181="","",X181*Q181)</f>
        <v/>
      </c>
      <c r="Z181" s="103" t="inlineStr"/>
    </row>
    <row r="182" ht="187.4" customFormat="1" customHeight="1" s="109">
      <c r="A182" s="13">
        <f>#REF!+1</f>
        <v/>
      </c>
      <c r="B182" s="258" t="inlineStr">
        <is>
          <t>cs_stress_credit</t>
        </is>
      </c>
      <c r="C182" s="16" t="inlineStr">
        <is>
          <t>cs_stress_credit</t>
        </is>
      </c>
      <c r="D182" s="52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2" s="528">
        <f>LEN(D182)</f>
        <v/>
      </c>
      <c r="F182" s="584"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8">
        <f>LEN(F182)</f>
        <v/>
      </c>
      <c r="H182" s="530" t="inlineStr">
        <is>
          <t>Single Choice</t>
        </is>
      </c>
      <c r="I182" s="528" t="inlineStr">
        <is>
          <t>NA</t>
        </is>
      </c>
      <c r="J182" s="528" t="inlineStr">
        <is>
          <t>NA</t>
        </is>
      </c>
      <c r="K182" s="528" t="inlineStr">
        <is>
          <t>Form Type - Buttons</t>
        </is>
      </c>
      <c r="L182" s="23" t="inlineStr">
        <is>
          <t>1-6 = [next question]</t>
        </is>
      </c>
      <c r="M182" s="53" t="inlineStr">
        <is>
          <t>NA</t>
        </is>
      </c>
      <c r="N182" s="27" t="inlineStr"/>
      <c r="O182" s="28" t="inlineStr">
        <is>
          <t>1-6 = cs_stress_borrowed_money</t>
        </is>
      </c>
      <c r="P182" s="9" t="n"/>
      <c r="Q182" s="203" t="n">
        <v>1</v>
      </c>
      <c r="R182" s="103" t="n"/>
      <c r="T182" s="111" t="inlineStr">
        <is>
          <t>no</t>
        </is>
      </c>
      <c r="U182" s="694" t="n"/>
      <c r="X182" s="202" t="n">
        <v>10.84387874603271</v>
      </c>
      <c r="Y182" s="202">
        <f>IF(X182="","",X182*Q182)</f>
        <v/>
      </c>
      <c r="Z182" s="103" t="inlineStr"/>
    </row>
    <row r="183" ht="187.4" customFormat="1" customHeight="1" s="109">
      <c r="A183" s="13">
        <f>A182+1</f>
        <v/>
      </c>
      <c r="B183" s="258" t="inlineStr">
        <is>
          <t>cs_stress_borrowed_money</t>
        </is>
      </c>
      <c r="C183" s="16" t="inlineStr">
        <is>
          <t>cs_stress_borrowed_money</t>
        </is>
      </c>
      <c r="D183" s="52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3" s="528">
        <f>LEN(D183)</f>
        <v/>
      </c>
      <c r="F183" s="584"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8">
        <f>LEN(F183)</f>
        <v/>
      </c>
      <c r="H183" s="530" t="inlineStr">
        <is>
          <t>Single Choice</t>
        </is>
      </c>
      <c r="I183" s="528" t="inlineStr">
        <is>
          <t>NA</t>
        </is>
      </c>
      <c r="J183" s="528" t="inlineStr">
        <is>
          <t>NA</t>
        </is>
      </c>
      <c r="K183" s="528" t="inlineStr">
        <is>
          <t>Form Type - Buttons</t>
        </is>
      </c>
      <c r="L183" s="23" t="inlineStr">
        <is>
          <t>1-6 = [next question]</t>
        </is>
      </c>
      <c r="M183" s="53" t="inlineStr">
        <is>
          <t>NA</t>
        </is>
      </c>
      <c r="N183" s="27" t="inlineStr"/>
      <c r="O183" s="28" t="inlineStr">
        <is>
          <t>1-6 = cs_crisis_no_school</t>
        </is>
      </c>
      <c r="P183" s="9" t="n"/>
      <c r="Q183" s="203" t="n">
        <v>1</v>
      </c>
      <c r="R183" s="103" t="n"/>
      <c r="T183" s="111" t="inlineStr">
        <is>
          <t>no</t>
        </is>
      </c>
      <c r="U183" s="694" t="n"/>
      <c r="X183" s="202" t="n">
        <v>8.231814384460449</v>
      </c>
      <c r="Y183" s="202">
        <f>IF(X183="","",X183*Q183)</f>
        <v/>
      </c>
      <c r="Z183" s="103" t="inlineStr"/>
    </row>
    <row r="184" ht="187.4" customFormat="1" customHeight="1" s="109">
      <c r="A184" s="13">
        <f>#REF!+1</f>
        <v/>
      </c>
      <c r="B184" s="258" t="inlineStr">
        <is>
          <t>cs_crisis_no_school</t>
        </is>
      </c>
      <c r="C184" s="16" t="inlineStr">
        <is>
          <t>cs_crisis_no_school</t>
        </is>
      </c>
      <c r="D184" s="52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4" s="528">
        <f>LEN(D184)</f>
        <v/>
      </c>
      <c r="F184" s="584"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8">
        <f>LEN(F184)</f>
        <v/>
      </c>
      <c r="H184" s="530" t="inlineStr">
        <is>
          <t>Single Choice</t>
        </is>
      </c>
      <c r="I184" s="528" t="inlineStr">
        <is>
          <t>NA</t>
        </is>
      </c>
      <c r="J184" s="528" t="inlineStr">
        <is>
          <t>NA</t>
        </is>
      </c>
      <c r="K184" s="528" t="inlineStr">
        <is>
          <t>Form Type - Buttons</t>
        </is>
      </c>
      <c r="L184" s="23" t="inlineStr">
        <is>
          <t>1-6 = [next question]</t>
        </is>
      </c>
      <c r="M184" s="53" t="inlineStr">
        <is>
          <t>NA</t>
        </is>
      </c>
      <c r="N184" s="527" t="inlineStr"/>
      <c r="O184" s="28" t="inlineStr">
        <is>
          <t>1-6 = cs_crisis_reduced_health_exp</t>
        </is>
      </c>
      <c r="P184" s="9" t="n"/>
      <c r="Q184" s="203" t="n">
        <v>1</v>
      </c>
      <c r="R184" s="103" t="n"/>
      <c r="T184" s="111" t="inlineStr">
        <is>
          <t>no</t>
        </is>
      </c>
      <c r="U184" s="694" t="n"/>
      <c r="X184" s="202" t="n">
        <v>11.36098480224609</v>
      </c>
      <c r="Y184" s="202">
        <f>IF(X184="","",X184*Q184)</f>
        <v/>
      </c>
      <c r="Z184" s="103" t="inlineStr"/>
    </row>
    <row r="185" ht="124.9" customFormat="1" customHeight="1" s="109">
      <c r="A185" s="13" t="n"/>
      <c r="B185" s="258" t="inlineStr">
        <is>
          <t>cs_crisis_reduced_health_exp</t>
        </is>
      </c>
      <c r="C185" s="16" t="inlineStr">
        <is>
          <t>cs_crisis_reduced_health_exp</t>
        </is>
      </c>
      <c r="D185" s="527"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5" s="528">
        <f>LEN(D185)</f>
        <v/>
      </c>
      <c r="F185" s="584"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8">
        <f>LEN(F185)</f>
        <v/>
      </c>
      <c r="H185" s="530" t="inlineStr">
        <is>
          <t>Single Choice</t>
        </is>
      </c>
      <c r="I185" s="528" t="inlineStr">
        <is>
          <t>NA</t>
        </is>
      </c>
      <c r="J185" s="528" t="inlineStr">
        <is>
          <t>NA</t>
        </is>
      </c>
      <c r="K185" s="528" t="inlineStr">
        <is>
          <t>Form Type - Buttons</t>
        </is>
      </c>
      <c r="L185" s="23" t="inlineStr">
        <is>
          <t>1-6 = cs_crisis_decrease_input_exp</t>
        </is>
      </c>
      <c r="M185" s="53" t="inlineStr">
        <is>
          <t>NA</t>
        </is>
      </c>
      <c r="N185" s="626" t="inlineStr"/>
      <c r="O185" s="28" t="inlineStr">
        <is>
          <t>1-6 = cs_crisis_decrease_input_exp</t>
        </is>
      </c>
      <c r="P185" s="9" t="n"/>
      <c r="Q185" s="203" t="n"/>
      <c r="R185" s="103" t="n"/>
      <c r="T185" s="111" t="inlineStr"/>
      <c r="U185" s="694" t="n"/>
      <c r="X185" s="202" t="n"/>
      <c r="Y185" s="202" t="n"/>
      <c r="Z185" s="103" t="inlineStr"/>
    </row>
    <row r="186" ht="202.9" customFormat="1" customHeight="1" s="109">
      <c r="A186" s="13">
        <f>#REF!+1</f>
        <v/>
      </c>
      <c r="B186" s="258" t="inlineStr">
        <is>
          <t>cs_crisis_decrease_input_exp</t>
        </is>
      </c>
      <c r="C186" s="16" t="inlineStr">
        <is>
          <t>cs_crisis_decrease_input_exp</t>
        </is>
      </c>
      <c r="D186" s="527"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6" s="528">
        <f>LEN(D186)</f>
        <v/>
      </c>
      <c r="F186" s="584"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8">
        <f>LEN(F186)</f>
        <v/>
      </c>
      <c r="H186" s="530" t="inlineStr">
        <is>
          <t>Single Choice</t>
        </is>
      </c>
      <c r="I186" s="528" t="inlineStr">
        <is>
          <t>NA</t>
        </is>
      </c>
      <c r="J186" s="528" t="inlineStr">
        <is>
          <t>NA</t>
        </is>
      </c>
      <c r="K186" s="528" t="inlineStr">
        <is>
          <t>Form Type - Buttons</t>
        </is>
      </c>
      <c r="L186" s="23" t="inlineStr">
        <is>
          <t>1-6 = [next question]</t>
        </is>
      </c>
      <c r="M186" s="53" t="inlineStr">
        <is>
          <t>NA</t>
        </is>
      </c>
      <c r="N186" s="627" t="inlineStr"/>
      <c r="O186" s="28" t="inlineStr">
        <is>
          <t>1-6 = cs_emergency_sold_house</t>
        </is>
      </c>
      <c r="P186" s="9" t="n"/>
      <c r="Q186" s="203" t="n">
        <v>1</v>
      </c>
      <c r="R186" s="103" t="n"/>
      <c r="T186" s="111" t="inlineStr">
        <is>
          <t>no</t>
        </is>
      </c>
      <c r="U186" s="694" t="n"/>
      <c r="X186" s="202" t="n">
        <v>9.023268699645996</v>
      </c>
      <c r="Y186" s="202">
        <f>IF(X186="","",X186*Q186)</f>
        <v/>
      </c>
      <c r="Z186" s="103" t="inlineStr"/>
    </row>
    <row r="187" ht="187.4" customFormat="1" customHeight="1" s="109">
      <c r="A187" s="13">
        <f>A186+1</f>
        <v/>
      </c>
      <c r="B187" s="258" t="inlineStr">
        <is>
          <t>cs_emergency_sold_house</t>
        </is>
      </c>
      <c r="C187" s="16" t="inlineStr">
        <is>
          <t>cs_emergency_sold_house</t>
        </is>
      </c>
      <c r="D187" s="527"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7" s="528">
        <f>LEN(D187)</f>
        <v/>
      </c>
      <c r="F187" s="584"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8">
        <f>LEN(F187)</f>
        <v/>
      </c>
      <c r="H187" s="530" t="inlineStr">
        <is>
          <t>Single Choice</t>
        </is>
      </c>
      <c r="I187" s="528" t="inlineStr">
        <is>
          <t>NA</t>
        </is>
      </c>
      <c r="J187" s="528" t="inlineStr">
        <is>
          <t>NA</t>
        </is>
      </c>
      <c r="K187" s="528" t="inlineStr">
        <is>
          <t>Form Type - Buttons</t>
        </is>
      </c>
      <c r="L187" s="23" t="inlineStr">
        <is>
          <t>1-6 = [next question]</t>
        </is>
      </c>
      <c r="M187" s="53" t="inlineStr">
        <is>
          <t>NA</t>
        </is>
      </c>
      <c r="N187" s="627" t="inlineStr"/>
      <c r="O187" s="28" t="inlineStr">
        <is>
          <t>1-6 = cs_emergency_begged</t>
        </is>
      </c>
      <c r="P187" s="9" t="n"/>
      <c r="Q187" s="203" t="n">
        <v>1</v>
      </c>
      <c r="R187" s="103" t="n"/>
      <c r="T187" s="111" t="inlineStr">
        <is>
          <t>no</t>
        </is>
      </c>
      <c r="U187" s="694" t="n"/>
      <c r="X187" s="202" t="n">
        <v>9.063239097595215</v>
      </c>
      <c r="Y187" s="202">
        <f>IF(X187="","",X187*Q187)</f>
        <v/>
      </c>
      <c r="Z187" s="103" t="inlineStr"/>
    </row>
    <row r="188" ht="187.4" customFormat="1" customHeight="1" s="109">
      <c r="A188" s="13">
        <f>A187+1</f>
        <v/>
      </c>
      <c r="B188" s="258" t="inlineStr">
        <is>
          <t>cs_emergency_begged</t>
        </is>
      </c>
      <c r="C188" s="16" t="inlineStr">
        <is>
          <t>cs_emergency_begged</t>
        </is>
      </c>
      <c r="D188" s="52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8" s="528">
        <f>LEN(D188)</f>
        <v/>
      </c>
      <c r="F188" s="584"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8">
        <f>LEN(F188)</f>
        <v/>
      </c>
      <c r="H188" s="530" t="inlineStr">
        <is>
          <t>Single Choice</t>
        </is>
      </c>
      <c r="I188" s="528" t="inlineStr">
        <is>
          <t>NA</t>
        </is>
      </c>
      <c r="J188" s="528" t="inlineStr">
        <is>
          <t>NA</t>
        </is>
      </c>
      <c r="K188" s="528" t="inlineStr">
        <is>
          <t>Form Type - Buttons</t>
        </is>
      </c>
      <c r="L188" s="23" t="inlineStr">
        <is>
          <t>1-6 = [next question]</t>
        </is>
      </c>
      <c r="M188" s="53" t="inlineStr">
        <is>
          <t>NA</t>
        </is>
      </c>
      <c r="N188" s="627" t="inlineStr"/>
      <c r="O188" s="28" t="inlineStr">
        <is>
          <t>1-6 = cs_emergency_sold_last_female</t>
        </is>
      </c>
      <c r="P188" s="9" t="n"/>
      <c r="Q188" s="203" t="n">
        <v>1</v>
      </c>
      <c r="R188" s="103" t="n"/>
      <c r="T188" s="111" t="inlineStr">
        <is>
          <t>no</t>
        </is>
      </c>
      <c r="U188" s="694" t="n"/>
      <c r="X188" s="202" t="n">
        <v>9.105807304382324</v>
      </c>
      <c r="Y188" s="202">
        <f>IF(X188="","",X188*Q188)</f>
        <v/>
      </c>
      <c r="Z188" s="103" t="inlineStr"/>
    </row>
    <row r="189" ht="220.4" customFormat="1" customHeight="1" s="109">
      <c r="A189" s="13">
        <f>#REF!+1</f>
        <v/>
      </c>
      <c r="B189" s="258" t="inlineStr">
        <is>
          <t>cs_emergency_sold_last_female</t>
        </is>
      </c>
      <c r="C189" s="16" t="inlineStr">
        <is>
          <t>cs_emergency_sold_last_female</t>
        </is>
      </c>
      <c r="D189" s="527"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89" s="528">
        <f>LEN(D189)</f>
        <v/>
      </c>
      <c r="F189" s="584"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8">
        <f>LEN(F189)</f>
        <v/>
      </c>
      <c r="H189" s="530" t="inlineStr">
        <is>
          <t>Single Choice</t>
        </is>
      </c>
      <c r="I189" s="528" t="inlineStr">
        <is>
          <t>NA</t>
        </is>
      </c>
      <c r="J189" s="528" t="inlineStr">
        <is>
          <t>NA</t>
        </is>
      </c>
      <c r="K189" s="528" t="inlineStr">
        <is>
          <t>Form Type - Buttons</t>
        </is>
      </c>
      <c r="L189" s="23" t="inlineStr">
        <is>
          <t>1-6 = [next question]</t>
        </is>
      </c>
      <c r="M189" s="53" t="inlineStr">
        <is>
          <t>NA</t>
        </is>
      </c>
      <c r="N189" s="627" t="inlineStr"/>
      <c r="O189" s="28" t="inlineStr">
        <is>
          <t>1-6 = hdds</t>
        </is>
      </c>
      <c r="P189" s="9" t="n"/>
      <c r="Q189" s="203" t="n">
        <v>1</v>
      </c>
      <c r="R189" s="103" t="n"/>
      <c r="T189" s="111" t="inlineStr">
        <is>
          <t>no</t>
        </is>
      </c>
      <c r="U189" s="694" t="n"/>
      <c r="W189" s="121" t="n"/>
      <c r="X189" s="202" t="n">
        <v>6.293689727783203</v>
      </c>
      <c r="Y189" s="202">
        <f>IF(X189="","",X189*Q189)</f>
        <v/>
      </c>
      <c r="Z189" s="103" t="inlineStr"/>
    </row>
    <row r="190" ht="409.5" customFormat="1" customHeight="1" s="109">
      <c r="A190" s="31">
        <f>#REF!+1</f>
        <v/>
      </c>
      <c r="B190" s="520" t="inlineStr">
        <is>
          <t>hdds</t>
        </is>
      </c>
      <c r="C190" s="108" t="inlineStr">
        <is>
          <t>hdds
1) hdds_cereals
2) hdds_rootstubers
3) hdds_vegetables
4) hdds_fruits
5) hdds_meat
6) hdds_eggs
7) hdds_fish
8) hdds_legumes
9) hdds_milkdairy
10) hdds_oils
11)hdds_sugar
12) hdds_condiments</t>
        </is>
      </c>
      <c r="D190" s="6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0" s="521">
        <f>LEN(D190)</f>
        <v/>
      </c>
      <c r="F190" s="628"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0" s="521">
        <f>LEN(F190)</f>
        <v/>
      </c>
      <c r="H190" s="522" t="inlineStr">
        <is>
          <t>Select All That Apply</t>
        </is>
      </c>
      <c r="I190" s="521" t="inlineStr">
        <is>
          <t>NA</t>
        </is>
      </c>
      <c r="J190" s="521" t="inlineStr">
        <is>
          <t>NA</t>
        </is>
      </c>
      <c r="K190" s="521" t="inlineStr">
        <is>
          <t>Form Type - Checklist</t>
        </is>
      </c>
      <c r="L190" s="113" t="inlineStr">
        <is>
          <t>1-12 = hdds_confirmation</t>
        </is>
      </c>
      <c r="M190" s="165" t="inlineStr">
        <is>
          <t>1)hdds_cereals
2)hdds_rootstubers
3)hdds_vegetables
4)hdds_fruits
5)hdds_meat
6)hdds_eggs
7)hdds_fish
8)hdds_legumes
9)hdds_milkdairy
10)hdds_oils
11)hdds_sugar
12)hdds_condiments</t>
        </is>
      </c>
      <c r="N190" s="113" t="inlineStr">
        <is>
          <t>if hdds = 1-12, go to hdds_confirmation</t>
        </is>
      </c>
      <c r="O190" s="28" t="inlineStr">
        <is>
          <t>1-12 = hdds_confirmation</t>
        </is>
      </c>
      <c r="P190" s="120" t="n"/>
      <c r="Q190" s="198" t="n">
        <v>1</v>
      </c>
      <c r="R190" s="103" t="n"/>
      <c r="T190" s="313" t="inlineStr">
        <is>
          <t>yes</t>
        </is>
      </c>
      <c r="U190" s="694" t="n"/>
      <c r="X190" s="201" t="n">
        <v>52.17435836791992</v>
      </c>
      <c r="Y190" s="201">
        <f>IF(X190="","",X190*Q190)</f>
        <v/>
      </c>
      <c r="Z190" s="103" t="inlineStr">
        <is>
          <t>52.17435836791992</t>
        </is>
      </c>
    </row>
    <row r="191" ht="140.65" customFormat="1" customHeight="1" s="109">
      <c r="A191" s="250">
        <f>A190+1</f>
        <v/>
      </c>
      <c r="B191" s="180" t="inlineStr">
        <is>
          <t>hdds_confirmation</t>
        </is>
      </c>
      <c r="C191" s="610" t="inlineStr">
        <is>
          <t>hdds_confirmation</t>
        </is>
      </c>
      <c r="D191"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1" s="97">
        <f>LEN(D191)</f>
        <v/>
      </c>
      <c r="F191" s="39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1" s="97">
        <f>LEN(F191)</f>
        <v/>
      </c>
      <c r="H191" s="118" t="inlineStr">
        <is>
          <t>Single Choice</t>
        </is>
      </c>
      <c r="I191" s="98" t="inlineStr">
        <is>
          <t>NA</t>
        </is>
      </c>
      <c r="J191" s="98" t="inlineStr">
        <is>
          <t>NA</t>
        </is>
      </c>
      <c r="K191" s="98" t="inlineStr">
        <is>
          <t>Form Type - Buttons</t>
        </is>
      </c>
      <c r="L191" s="117" t="inlineStr">
        <is>
          <t>1 = need or next question</t>
        </is>
      </c>
      <c r="M191" s="165" t="inlineStr">
        <is>
          <t>NA</t>
        </is>
      </c>
      <c r="N191" s="117" t="inlineStr">
        <is>
          <t>if hdds_confirmation = 1, go to need or optional question</t>
        </is>
      </c>
      <c r="O191" s="30" t="inlineStr">
        <is>
          <t>1= fcs_intro</t>
        </is>
      </c>
      <c r="P191" s="116" t="n"/>
      <c r="Q191" s="198" t="n">
        <v>1</v>
      </c>
      <c r="R191" s="103" t="n"/>
      <c r="T191" s="313" t="inlineStr">
        <is>
          <t>yes</t>
        </is>
      </c>
      <c r="U191" s="694" t="n"/>
      <c r="X191" s="201" t="n">
        <v>1.287102341651917</v>
      </c>
      <c r="Y191" s="201">
        <f>IF(X191="","",X191*Q191)</f>
        <v/>
      </c>
      <c r="Z191" s="103" t="inlineStr">
        <is>
          <t>1.287102341651917</t>
        </is>
      </c>
    </row>
    <row r="192" ht="93.65000000000001" customFormat="1" customHeight="1" s="109">
      <c r="A192" s="13">
        <f>A191+1</f>
        <v/>
      </c>
      <c r="B192" s="526" t="inlineStr">
        <is>
          <t>fcs_intro</t>
        </is>
      </c>
      <c r="C192" s="582" t="inlineStr">
        <is>
          <t>fcs_intro</t>
        </is>
      </c>
      <c r="D192" s="629" t="inlineStr">
        <is>
          <t>Now I would like to ask you about the foods and drinks your household ate or drank in the last 7 days during the day and at night [breakfast, lunch, dinner, snacks]. 
1)CONTINUE</t>
        </is>
      </c>
      <c r="E192" s="528">
        <f>LEN(D192)</f>
        <v/>
      </c>
      <c r="F192" s="629"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2" s="528">
        <f>LEN(F192)</f>
        <v/>
      </c>
      <c r="H192" s="530" t="inlineStr">
        <is>
          <t>Single Choice</t>
        </is>
      </c>
      <c r="I192" s="528" t="inlineStr">
        <is>
          <t>NA</t>
        </is>
      </c>
      <c r="J192" s="528" t="inlineStr">
        <is>
          <t>NA</t>
        </is>
      </c>
      <c r="K192" s="528" t="inlineStr">
        <is>
          <t>Form Type - Buttons</t>
        </is>
      </c>
      <c r="L192" s="23" t="inlineStr">
        <is>
          <t>1 = fcs_staple_days</t>
        </is>
      </c>
      <c r="M192" s="53" t="inlineStr">
        <is>
          <t>NA</t>
        </is>
      </c>
      <c r="N192" s="23" t="inlineStr">
        <is>
          <t>if fcs_intro = 1, go to fcs_staple_days</t>
        </is>
      </c>
      <c r="O192" s="23" t="inlineStr"/>
      <c r="P192" s="90" t="n"/>
      <c r="Q192" s="203" t="n">
        <v>1</v>
      </c>
      <c r="R192" s="103" t="n"/>
      <c r="T192" s="111" t="inlineStr">
        <is>
          <t>no</t>
        </is>
      </c>
      <c r="U192" s="694" t="n"/>
      <c r="X192" s="202" t="n">
        <v>5.644973278045654</v>
      </c>
      <c r="Y192" s="202">
        <f>IF(X192="","",X192*Q192)</f>
        <v/>
      </c>
      <c r="Z192" s="103" t="inlineStr"/>
    </row>
    <row r="193" ht="93.65000000000001" customFormat="1" customHeight="1" s="109">
      <c r="A193" s="13">
        <f>A192+1</f>
        <v/>
      </c>
      <c r="B193" s="526" t="inlineStr">
        <is>
          <t>fcs_staple_days</t>
        </is>
      </c>
      <c r="C193" s="582" t="inlineStr">
        <is>
          <t>fcs_staple_days</t>
        </is>
      </c>
      <c r="D193" s="629"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3" s="528">
        <f>LEN(D193)</f>
        <v/>
      </c>
      <c r="F193" s="629"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3" s="528">
        <f>LEN(F193)</f>
        <v/>
      </c>
      <c r="H193" s="530" t="inlineStr">
        <is>
          <t>Range</t>
        </is>
      </c>
      <c r="I193" s="528" t="inlineStr">
        <is>
          <t>NA</t>
        </is>
      </c>
      <c r="J193" s="528" t="inlineStr">
        <is>
          <t>NA</t>
        </is>
      </c>
      <c r="K193" s="528" t="inlineStr">
        <is>
          <t>Form Type - TextBox</t>
        </is>
      </c>
      <c r="L193" s="23" t="inlineStr">
        <is>
          <t>0-7 = fcs_pulses_days</t>
        </is>
      </c>
      <c r="M193" s="53" t="inlineStr">
        <is>
          <t>NA</t>
        </is>
      </c>
      <c r="N193" s="23" t="inlineStr">
        <is>
          <t>For any response, go to fcs_pulses_days</t>
        </is>
      </c>
      <c r="O193" s="23" t="inlineStr"/>
      <c r="P193" s="89" t="n"/>
      <c r="Q193" s="203" t="n">
        <v>1</v>
      </c>
      <c r="R193" s="103" t="n"/>
      <c r="T193" s="111" t="inlineStr">
        <is>
          <t>no</t>
        </is>
      </c>
      <c r="U193" s="694" t="n"/>
      <c r="X193" s="202" t="n">
        <v>26.99896049499512</v>
      </c>
      <c r="Y193" s="202">
        <f>IF(X193="","",X193*Q193)</f>
        <v/>
      </c>
      <c r="Z193" s="103" t="inlineStr"/>
    </row>
    <row r="194" ht="93.65000000000001" customFormat="1" customHeight="1" s="109">
      <c r="A194" s="13">
        <f>A193+1</f>
        <v/>
      </c>
      <c r="B194" s="526" t="inlineStr">
        <is>
          <t>fcs_pulses_days</t>
        </is>
      </c>
      <c r="C194" s="582" t="inlineStr">
        <is>
          <t>fcs_pulses_days</t>
        </is>
      </c>
      <c r="D194" s="630"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4" s="528">
        <f>LEN(D194)</f>
        <v/>
      </c>
      <c r="F194" s="63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4" s="528">
        <f>LEN(F194)</f>
        <v/>
      </c>
      <c r="H194" s="530" t="inlineStr">
        <is>
          <t>Range</t>
        </is>
      </c>
      <c r="I194" s="528" t="inlineStr">
        <is>
          <t>NA</t>
        </is>
      </c>
      <c r="J194" s="528" t="inlineStr">
        <is>
          <t>NA</t>
        </is>
      </c>
      <c r="K194" s="528" t="inlineStr">
        <is>
          <t>Form Type - TextBox</t>
        </is>
      </c>
      <c r="L194" s="23" t="inlineStr">
        <is>
          <t>0-7 = fcs_vegetables_days</t>
        </is>
      </c>
      <c r="M194" s="53" t="inlineStr">
        <is>
          <t>NA</t>
        </is>
      </c>
      <c r="N194" s="23" t="inlineStr">
        <is>
          <t>For any response, go to fcs_vegetables_days</t>
        </is>
      </c>
      <c r="O194" s="23" t="inlineStr"/>
      <c r="P194" s="89" t="n"/>
      <c r="Q194" s="203" t="n">
        <v>1</v>
      </c>
      <c r="R194" s="103" t="n"/>
      <c r="T194" s="111" t="inlineStr">
        <is>
          <t>no</t>
        </is>
      </c>
      <c r="U194" s="694" t="n"/>
      <c r="X194" s="202" t="n">
        <v>18.27383232116699</v>
      </c>
      <c r="Y194" s="202">
        <f>IF(X194="","",X194*Q194)</f>
        <v/>
      </c>
      <c r="Z194" s="103" t="inlineStr"/>
    </row>
    <row r="195" ht="93.65000000000001" customFormat="1" customHeight="1" s="109">
      <c r="A195" s="13">
        <f>A194+1</f>
        <v/>
      </c>
      <c r="B195" s="526" t="inlineStr">
        <is>
          <t>fcs_vegetables_days</t>
        </is>
      </c>
      <c r="C195" s="582" t="inlineStr">
        <is>
          <t>fcs_vegetables_days</t>
        </is>
      </c>
      <c r="D195" s="629"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5" s="528">
        <f>LEN(D195)</f>
        <v/>
      </c>
      <c r="F195" s="631"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5" s="528">
        <f>LEN(F195)</f>
        <v/>
      </c>
      <c r="H195" s="530" t="inlineStr">
        <is>
          <t>Range</t>
        </is>
      </c>
      <c r="I195" s="528" t="inlineStr">
        <is>
          <t>NA</t>
        </is>
      </c>
      <c r="J195" s="528" t="inlineStr">
        <is>
          <t>NA</t>
        </is>
      </c>
      <c r="K195" s="528" t="inlineStr">
        <is>
          <t>Form Type - TextBox</t>
        </is>
      </c>
      <c r="L195" s="23" t="inlineStr">
        <is>
          <t>0-7 = fcs_fruit_days</t>
        </is>
      </c>
      <c r="M195" s="53" t="inlineStr">
        <is>
          <t>NA</t>
        </is>
      </c>
      <c r="N195" s="23" t="inlineStr">
        <is>
          <t>For any response, go to fcs_fruit_days</t>
        </is>
      </c>
      <c r="O195" s="23" t="inlineStr"/>
      <c r="P195" s="89" t="n"/>
      <c r="Q195" s="203" t="n">
        <v>1</v>
      </c>
      <c r="R195" s="103" t="n"/>
      <c r="T195" s="111" t="inlineStr">
        <is>
          <t>no</t>
        </is>
      </c>
      <c r="U195" s="694" t="n"/>
      <c r="X195" s="202" t="n">
        <v>16.35211563110352</v>
      </c>
      <c r="Y195" s="202">
        <f>IF(X195="","",X195*Q195)</f>
        <v/>
      </c>
      <c r="Z195" s="103" t="inlineStr"/>
    </row>
    <row r="196" ht="78" customFormat="1" customHeight="1" s="109">
      <c r="A196" s="13">
        <f>A195+1</f>
        <v/>
      </c>
      <c r="B196" s="526" t="inlineStr">
        <is>
          <t>fcs_fruit_days</t>
        </is>
      </c>
      <c r="C196" s="582" t="inlineStr">
        <is>
          <t>fcs_fruit_days</t>
        </is>
      </c>
      <c r="D196" s="629"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6" s="528">
        <f>LEN(D196)</f>
        <v/>
      </c>
      <c r="F196" s="631"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6" s="528">
        <f>LEN(F196)</f>
        <v/>
      </c>
      <c r="H196" s="530" t="inlineStr">
        <is>
          <t>Range</t>
        </is>
      </c>
      <c r="I196" s="528" t="inlineStr">
        <is>
          <t>NA</t>
        </is>
      </c>
      <c r="J196" s="528" t="inlineStr">
        <is>
          <t>NA</t>
        </is>
      </c>
      <c r="K196" s="528" t="inlineStr">
        <is>
          <t>Form Type - TextBox</t>
        </is>
      </c>
      <c r="L196" s="23" t="inlineStr">
        <is>
          <t>0-7 = fcs_meat_fish_days</t>
        </is>
      </c>
      <c r="M196" s="53" t="inlineStr">
        <is>
          <t>NA</t>
        </is>
      </c>
      <c r="N196" s="23" t="inlineStr">
        <is>
          <t>For any response, go to fcs_meat_fish_days</t>
        </is>
      </c>
      <c r="O196" s="23" t="inlineStr"/>
      <c r="P196" s="89" t="n"/>
      <c r="Q196" s="203" t="n">
        <v>1</v>
      </c>
      <c r="R196" s="103" t="n"/>
      <c r="T196" s="111" t="inlineStr">
        <is>
          <t>no</t>
        </is>
      </c>
      <c r="U196" s="694" t="n"/>
      <c r="X196" s="202" t="n">
        <v>14.01507568359375</v>
      </c>
      <c r="Y196" s="202">
        <f>IF(X196="","",X196*Q196)</f>
        <v/>
      </c>
      <c r="Z196" s="103" t="inlineStr"/>
    </row>
    <row r="197" ht="93.65000000000001" customFormat="1" customHeight="1" s="109">
      <c r="A197" s="13">
        <f>A196+1</f>
        <v/>
      </c>
      <c r="B197" s="526" t="inlineStr">
        <is>
          <t>fcs_meat_fish_days</t>
        </is>
      </c>
      <c r="C197" s="582" t="inlineStr">
        <is>
          <t>fcs_meat_fish_days</t>
        </is>
      </c>
      <c r="D197" s="63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7" s="528">
        <f>LEN(D197)</f>
        <v/>
      </c>
      <c r="F197" s="629"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7" s="528">
        <f>LEN(F197)</f>
        <v/>
      </c>
      <c r="H197" s="530" t="inlineStr">
        <is>
          <t>Range</t>
        </is>
      </c>
      <c r="I197" s="528" t="inlineStr">
        <is>
          <t>NA</t>
        </is>
      </c>
      <c r="J197" s="528" t="inlineStr">
        <is>
          <t>NA</t>
        </is>
      </c>
      <c r="K197" s="528" t="inlineStr">
        <is>
          <t>Form Type - TextBox</t>
        </is>
      </c>
      <c r="L197" s="23" t="inlineStr">
        <is>
          <t>0-7 = fcs_dairy_days</t>
        </is>
      </c>
      <c r="M197" s="53" t="inlineStr">
        <is>
          <t>NA</t>
        </is>
      </c>
      <c r="N197" s="23" t="inlineStr">
        <is>
          <t>For any response, go to fcs_dairy_days</t>
        </is>
      </c>
      <c r="O197" s="23" t="inlineStr"/>
      <c r="P197" s="89" t="n"/>
      <c r="Q197" s="203" t="n">
        <v>1</v>
      </c>
      <c r="R197" s="103" t="n"/>
      <c r="T197" s="111" t="inlineStr">
        <is>
          <t>no</t>
        </is>
      </c>
      <c r="U197" s="694" t="n"/>
      <c r="X197" s="202" t="n">
        <v>17.22746658325195</v>
      </c>
      <c r="Y197" s="202">
        <f>IF(X197="","",X197*Q197)</f>
        <v/>
      </c>
      <c r="Z197" s="103" t="inlineStr"/>
    </row>
    <row r="198" ht="93.65000000000001" customFormat="1" customHeight="1" s="109">
      <c r="A198" s="13">
        <f>A197+1</f>
        <v/>
      </c>
      <c r="B198" s="526" t="inlineStr">
        <is>
          <t>fcs_dairy_days</t>
        </is>
      </c>
      <c r="C198" s="582" t="inlineStr">
        <is>
          <t>fcs_dairy_days</t>
        </is>
      </c>
      <c r="D198" s="629"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8" s="528">
        <f>LEN(D198)</f>
        <v/>
      </c>
      <c r="F198" s="629"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8" s="528">
        <f>LEN(F198)</f>
        <v/>
      </c>
      <c r="H198" s="530" t="inlineStr">
        <is>
          <t>Range</t>
        </is>
      </c>
      <c r="I198" s="528" t="inlineStr">
        <is>
          <t>NA</t>
        </is>
      </c>
      <c r="J198" s="528" t="inlineStr">
        <is>
          <t>NA</t>
        </is>
      </c>
      <c r="K198" s="528" t="inlineStr">
        <is>
          <t>Form Type - TextBox</t>
        </is>
      </c>
      <c r="L198" s="23" t="inlineStr">
        <is>
          <t>0-7 = fcs_sugar_days</t>
        </is>
      </c>
      <c r="M198" s="53" t="inlineStr">
        <is>
          <t>NA</t>
        </is>
      </c>
      <c r="N198" s="23" t="inlineStr">
        <is>
          <t>For any response, go to fcs_sugar_days</t>
        </is>
      </c>
      <c r="O198" s="23" t="inlineStr"/>
      <c r="P198" s="89" t="n"/>
      <c r="Q198" s="203" t="n">
        <v>1</v>
      </c>
      <c r="R198" s="103" t="n"/>
      <c r="T198" s="111" t="inlineStr">
        <is>
          <t>no</t>
        </is>
      </c>
      <c r="U198" s="694" t="n"/>
      <c r="X198" s="202" t="n">
        <v>19.49277471670652</v>
      </c>
      <c r="Y198" s="202">
        <f>IF(X198="","",X198*Q198)</f>
        <v/>
      </c>
      <c r="Z198" s="103" t="inlineStr"/>
    </row>
    <row r="199" ht="93.65000000000001" customFormat="1" customHeight="1" s="109">
      <c r="A199" s="13">
        <f>A198+1</f>
        <v/>
      </c>
      <c r="B199" s="526" t="inlineStr">
        <is>
          <t>fcs_sugar_days</t>
        </is>
      </c>
      <c r="C199" s="582" t="inlineStr">
        <is>
          <t>fcs_sugar_days</t>
        </is>
      </c>
      <c r="D199" s="629"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9" s="528">
        <f>LEN(D199)</f>
        <v/>
      </c>
      <c r="F199" s="629"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99" s="528">
        <f>LEN(F199)</f>
        <v/>
      </c>
      <c r="H199" s="530" t="inlineStr">
        <is>
          <t>Range</t>
        </is>
      </c>
      <c r="I199" s="528" t="inlineStr">
        <is>
          <t>NA</t>
        </is>
      </c>
      <c r="J199" s="528" t="inlineStr">
        <is>
          <t>NA</t>
        </is>
      </c>
      <c r="K199" s="528" t="inlineStr">
        <is>
          <t>Form Type - TextBox</t>
        </is>
      </c>
      <c r="L199" s="23" t="inlineStr">
        <is>
          <t>0-7 = fcs_oil_days</t>
        </is>
      </c>
      <c r="M199" s="53" t="inlineStr">
        <is>
          <t>NA</t>
        </is>
      </c>
      <c r="N199" s="23" t="inlineStr">
        <is>
          <t>For any response, go to fcs_oil_days</t>
        </is>
      </c>
      <c r="O199" s="23" t="inlineStr"/>
      <c r="P199" s="89" t="n"/>
      <c r="Q199" s="203" t="n">
        <v>1</v>
      </c>
      <c r="R199" s="103" t="n"/>
      <c r="T199" s="111" t="inlineStr">
        <is>
          <t>no</t>
        </is>
      </c>
      <c r="U199" s="694" t="n"/>
      <c r="X199" s="202" t="n">
        <v>14.17413425445557</v>
      </c>
      <c r="Y199" s="202">
        <f>IF(X199="","",X199*Q199)</f>
        <v/>
      </c>
      <c r="Z199" s="103" t="inlineStr"/>
    </row>
    <row r="200" ht="93.65000000000001" customFormat="1" customHeight="1" s="109">
      <c r="A200" s="13">
        <f>A199+1</f>
        <v/>
      </c>
      <c r="B200" s="526" t="inlineStr">
        <is>
          <t>fcs_oil_days</t>
        </is>
      </c>
      <c r="C200" s="582" t="inlineStr">
        <is>
          <t>fcs_oil_days</t>
        </is>
      </c>
      <c r="D200" s="629" t="inlineStr">
        <is>
          <t>How many days over the last 7 days, did members of your household eat oil/fat/butter such as vegetable oil, palm oil, groundnut oil, margarine, other fats / oil?
[OPERATOR: RECORD NUMBER OF DAYS 0 - 7]
[HINT: IF CONSUMED ONLY IN SMALL QUANTITY, DO NOT INCLUDE.]</t>
        </is>
      </c>
      <c r="E200" s="528">
        <f>LEN(D200)</f>
        <v/>
      </c>
      <c r="F200" s="629"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0" s="528">
        <f>LEN(F200)</f>
        <v/>
      </c>
      <c r="H200" s="530" t="inlineStr">
        <is>
          <t>Range</t>
        </is>
      </c>
      <c r="I200" s="528" t="inlineStr">
        <is>
          <t>NA</t>
        </is>
      </c>
      <c r="J200" s="528" t="inlineStr">
        <is>
          <t>NA</t>
        </is>
      </c>
      <c r="K200" s="528" t="inlineStr">
        <is>
          <t>Form Type - TextBox</t>
        </is>
      </c>
      <c r="L200" s="23" t="inlineStr">
        <is>
          <t>0-7 = fcs_condiments_days</t>
        </is>
      </c>
      <c r="M200" s="53" t="inlineStr">
        <is>
          <t>NA</t>
        </is>
      </c>
      <c r="N200" s="23" t="inlineStr">
        <is>
          <t>For any response, go to fcs_condiments_days</t>
        </is>
      </c>
      <c r="O200" s="23" t="inlineStr"/>
      <c r="P200" s="89" t="n"/>
      <c r="Q200" s="203" t="n">
        <v>1</v>
      </c>
      <c r="R200" s="103" t="n"/>
      <c r="T200" s="111" t="inlineStr">
        <is>
          <t>no</t>
        </is>
      </c>
      <c r="U200" s="694" t="n"/>
      <c r="X200" s="202" t="n">
        <v>13.37862586975098</v>
      </c>
      <c r="Y200" s="202">
        <f>IF(X200="","",X200*Q200)</f>
        <v/>
      </c>
      <c r="Z200" s="103" t="inlineStr"/>
    </row>
    <row r="201" ht="93.65000000000001" customFormat="1" customHeight="1" s="109">
      <c r="A201" s="13" t="n"/>
      <c r="B201" s="526" t="inlineStr">
        <is>
          <t>fcs_condiments_days</t>
        </is>
      </c>
      <c r="C201" s="582" t="inlineStr">
        <is>
          <t>fcs_condiments_days</t>
        </is>
      </c>
      <c r="D201" s="629" t="inlineStr">
        <is>
          <t>How many days over the last 7 days, did members of your household eat spices or condiments such as tea, coffee, cocoa, salt, garlic, spices, yeast, meat fish as a condiment or small amounts of milk for tea or coffee?
[OPERATOR: RECORD NUMBER OF DAYS 0 - 7]</t>
        </is>
      </c>
      <c r="E201" s="528">
        <f>LEN(D201)</f>
        <v/>
      </c>
      <c r="F201" s="629"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1" s="528">
        <f>LEN(F201)</f>
        <v/>
      </c>
      <c r="H201" s="530" t="inlineStr">
        <is>
          <t>Range</t>
        </is>
      </c>
      <c r="I201" s="528" t="inlineStr">
        <is>
          <t>NA</t>
        </is>
      </c>
      <c r="J201" s="528" t="inlineStr">
        <is>
          <t>NA</t>
        </is>
      </c>
      <c r="K201" s="528" t="inlineStr">
        <is>
          <t>Form Type - TextBox</t>
        </is>
      </c>
      <c r="L201" s="23" t="inlineStr">
        <is>
          <t>0-7 = rcsi_intro</t>
        </is>
      </c>
      <c r="M201" s="53" t="inlineStr">
        <is>
          <t>NA</t>
        </is>
      </c>
      <c r="N201" s="23" t="inlineStr">
        <is>
          <t>For any response, go to rcsi_intro</t>
        </is>
      </c>
      <c r="O201" s="23" t="inlineStr"/>
      <c r="P201" s="89" t="n"/>
      <c r="Q201" s="203" t="n">
        <v>1</v>
      </c>
      <c r="R201" s="103" t="n"/>
      <c r="T201" s="111" t="inlineStr">
        <is>
          <t>no</t>
        </is>
      </c>
      <c r="U201" s="694" t="n"/>
      <c r="X201" s="202" t="n">
        <v>12.75652313232422</v>
      </c>
      <c r="Y201" s="202">
        <f>IF(X201="","",X201*Q201)</f>
        <v/>
      </c>
      <c r="Z201" s="103" t="inlineStr"/>
    </row>
    <row r="202" ht="78" customFormat="1" customHeight="1" s="109">
      <c r="A202" s="13">
        <f>A200+1</f>
        <v/>
      </c>
      <c r="B202" s="526" t="inlineStr">
        <is>
          <t>rcsi_intro</t>
        </is>
      </c>
      <c r="C202" s="582" t="inlineStr">
        <is>
          <t>rcsi_intro</t>
        </is>
      </c>
      <c r="D202" s="629" t="inlineStr">
        <is>
          <t>Now I will ask you about the number of days, in the last 7 days, during which the household has done some of the actions that I will mention to cope with the lack of food or money to buy food.
1)CONTINUE</t>
        </is>
      </c>
      <c r="E202" s="528">
        <f>LEN(D202)</f>
        <v/>
      </c>
      <c r="F202" s="629"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2" s="528">
        <f>LEN(F202)</f>
        <v/>
      </c>
      <c r="H202" s="530" t="inlineStr">
        <is>
          <t>Single Choice</t>
        </is>
      </c>
      <c r="I202" s="528" t="inlineStr">
        <is>
          <t>NA</t>
        </is>
      </c>
      <c r="J202" s="528" t="inlineStr">
        <is>
          <t>NA</t>
        </is>
      </c>
      <c r="K202" s="528" t="inlineStr">
        <is>
          <t>Form Type - Buttons</t>
        </is>
      </c>
      <c r="L202" s="23" t="inlineStr">
        <is>
          <t>1 = rcsi_less_preferred_foods</t>
        </is>
      </c>
      <c r="M202" s="53" t="inlineStr">
        <is>
          <t>NA</t>
        </is>
      </c>
      <c r="N202" s="23" t="inlineStr">
        <is>
          <t>For any response, go to rcsi_less_preferred_foods</t>
        </is>
      </c>
      <c r="O202" s="23" t="inlineStr"/>
      <c r="P202" s="89" t="n"/>
      <c r="Q202" s="203" t="n">
        <v>1</v>
      </c>
      <c r="R202" s="103" t="n"/>
      <c r="T202" s="111" t="inlineStr">
        <is>
          <t>no</t>
        </is>
      </c>
      <c r="U202" s="694" t="n"/>
      <c r="X202" s="202" t="n">
        <v>5.834917068481445</v>
      </c>
      <c r="Y202" s="202">
        <f>IF(X202="","",X202*Q202)</f>
        <v/>
      </c>
      <c r="Z202" s="103" t="inlineStr"/>
    </row>
    <row r="203" ht="62.65" customFormat="1" customHeight="1" s="109">
      <c r="A203" s="13">
        <f>A202+1</f>
        <v/>
      </c>
      <c r="B203" s="526" t="inlineStr">
        <is>
          <t>rcsi_less_preferred_foods</t>
        </is>
      </c>
      <c r="C203" s="582" t="inlineStr">
        <is>
          <t>rcsi_less_preferred_foods</t>
        </is>
      </c>
      <c r="D203" s="629" t="inlineStr">
        <is>
          <t>In the past 7 days, how many days did your household rely on less preferred or less expensive food due to lack of food/money?  
[OPERATOR: RECORD NUMBER OF DAYS 0 - 7 ]</t>
        </is>
      </c>
      <c r="E203" s="528">
        <f>LEN(D203)</f>
        <v/>
      </c>
      <c r="F203" s="629"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3" s="528">
        <f>LEN(F203)</f>
        <v/>
      </c>
      <c r="H203" s="632" t="inlineStr">
        <is>
          <t>Range</t>
        </is>
      </c>
      <c r="I203" s="528" t="inlineStr">
        <is>
          <t>NA</t>
        </is>
      </c>
      <c r="J203" s="528" t="inlineStr">
        <is>
          <t>NA</t>
        </is>
      </c>
      <c r="K203" s="528" t="inlineStr">
        <is>
          <t>Form Type - TextBox</t>
        </is>
      </c>
      <c r="L203" s="23" t="inlineStr">
        <is>
          <t>0-7 = rcsi_borrowed_food</t>
        </is>
      </c>
      <c r="M203" s="53" t="inlineStr">
        <is>
          <t>NA</t>
        </is>
      </c>
      <c r="N203" s="23" t="inlineStr">
        <is>
          <t>For any response, go to rcsi_borrowed_food</t>
        </is>
      </c>
      <c r="O203" s="23" t="inlineStr"/>
      <c r="P203" s="89" t="n"/>
      <c r="Q203" s="203" t="n">
        <v>1</v>
      </c>
      <c r="R203" s="103" t="n"/>
      <c r="T203" s="111" t="inlineStr">
        <is>
          <t>no</t>
        </is>
      </c>
      <c r="U203" s="694" t="n"/>
      <c r="X203" s="202" t="n">
        <v>28.60844549470872</v>
      </c>
      <c r="Y203" s="202">
        <f>IF(X203="","",X203*Q203)</f>
        <v/>
      </c>
      <c r="Z203" s="103" t="inlineStr"/>
    </row>
    <row r="204" ht="78" customFormat="1" customHeight="1" s="109">
      <c r="A204" s="13">
        <f>A203+1</f>
        <v/>
      </c>
      <c r="B204" s="526" t="inlineStr">
        <is>
          <t>rcsi_borrowed_food</t>
        </is>
      </c>
      <c r="C204" s="582" t="inlineStr">
        <is>
          <t>rcsi_borrowed_food</t>
        </is>
      </c>
      <c r="D204" s="629" t="inlineStr">
        <is>
          <t>In the past 7 days, how many days did your household borrow food, or rely on help from a friend or relative due to lack of food or money to buy food? 
[OPERATOR: RECORD NUMBER OF DAYS 0 - 7 ]</t>
        </is>
      </c>
      <c r="E204" s="528">
        <f>LEN(D204)</f>
        <v/>
      </c>
      <c r="F204" s="629"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4" s="528">
        <f>LEN(F204)</f>
        <v/>
      </c>
      <c r="H204" s="632" t="inlineStr">
        <is>
          <t>Range</t>
        </is>
      </c>
      <c r="I204" s="528" t="inlineStr">
        <is>
          <t>NA</t>
        </is>
      </c>
      <c r="J204" s="528" t="inlineStr">
        <is>
          <t>NA</t>
        </is>
      </c>
      <c r="K204" s="528" t="inlineStr">
        <is>
          <t>Form Type - TextBox</t>
        </is>
      </c>
      <c r="L204" s="23" t="inlineStr">
        <is>
          <t>0-7 = rcsi_reduce_number_meals</t>
        </is>
      </c>
      <c r="M204" s="53" t="inlineStr">
        <is>
          <t>NA</t>
        </is>
      </c>
      <c r="N204" s="23" t="inlineStr">
        <is>
          <t>For any response, go to rcsi_reduce_number_meals</t>
        </is>
      </c>
      <c r="O204" s="23" t="inlineStr"/>
      <c r="P204" s="89" t="n"/>
      <c r="Q204" s="203" t="n">
        <v>1</v>
      </c>
      <c r="R204" s="103" t="n"/>
      <c r="T204" s="111" t="inlineStr">
        <is>
          <t>no</t>
        </is>
      </c>
      <c r="U204" s="694" t="n"/>
      <c r="X204" s="202" t="n">
        <v>14.61820602416992</v>
      </c>
      <c r="Y204" s="202">
        <f>IF(X204="","",X204*Q204)</f>
        <v/>
      </c>
      <c r="Z204" s="103" t="inlineStr"/>
    </row>
    <row r="205" ht="62.65" customFormat="1" customHeight="1" s="109">
      <c r="A205" s="13">
        <f>A204+1</f>
        <v/>
      </c>
      <c r="B205" s="181" t="inlineStr">
        <is>
          <t>rcsi_reduce_number_meals</t>
        </is>
      </c>
      <c r="C205" s="182" t="inlineStr">
        <is>
          <t>rcsi_reduce_number_meals</t>
        </is>
      </c>
      <c r="D205" s="629" t="inlineStr">
        <is>
          <t>In the past 7 days, how many days did your household reduce the number of meals eaten in a day due to lack of food or money to buy food?
[OPERATOR: RECORD NUMBER OF DAYS 0 - 7 ]</t>
        </is>
      </c>
      <c r="E205" s="528">
        <f>LEN(D205)</f>
        <v/>
      </c>
      <c r="F205" s="629"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5" s="528">
        <f>LEN(F205)</f>
        <v/>
      </c>
      <c r="H205" s="632" t="inlineStr">
        <is>
          <t>Range</t>
        </is>
      </c>
      <c r="I205" s="528" t="inlineStr">
        <is>
          <t>NA</t>
        </is>
      </c>
      <c r="J205" s="528" t="inlineStr">
        <is>
          <t>NA</t>
        </is>
      </c>
      <c r="K205" s="528" t="inlineStr">
        <is>
          <t>Form Type - TextBox</t>
        </is>
      </c>
      <c r="L205" s="23" t="inlineStr">
        <is>
          <t>0-7 = rcsi_limit_portions</t>
        </is>
      </c>
      <c r="M205" s="53" t="inlineStr">
        <is>
          <t>NA</t>
        </is>
      </c>
      <c r="N205" s="23" t="inlineStr">
        <is>
          <t>For any response, go to rcsi_limit_portions</t>
        </is>
      </c>
      <c r="O205" s="23" t="inlineStr"/>
      <c r="P205" s="89" t="n"/>
      <c r="Q205" s="203" t="n">
        <v>1</v>
      </c>
      <c r="R205" s="103" t="n"/>
      <c r="T205" s="111" t="inlineStr">
        <is>
          <t>no</t>
        </is>
      </c>
      <c r="U205" s="694" t="n"/>
      <c r="X205" s="202" t="n">
        <v>13.777663230896</v>
      </c>
      <c r="Y205" s="202">
        <f>IF(X205="","",X205*Q205)</f>
        <v/>
      </c>
      <c r="Z205" s="103" t="inlineStr"/>
    </row>
    <row r="206" ht="62.65" customFormat="1" customHeight="1" s="109">
      <c r="A206" s="13">
        <f>A205+1</f>
        <v/>
      </c>
      <c r="B206" s="526" t="inlineStr">
        <is>
          <t>rcsi_limit_portions</t>
        </is>
      </c>
      <c r="C206" s="582" t="inlineStr">
        <is>
          <t>rcsi_limit_portions</t>
        </is>
      </c>
      <c r="D206" s="629" t="inlineStr">
        <is>
          <t>In the past 7 days, how many days did your household limit portion sizes at mealtime due to lack of food or money to buy food? 
[OPERATOR: RECORD NUMBER OF DAYS 0 - 7 ]</t>
        </is>
      </c>
      <c r="E206" s="528">
        <f>LEN(D206)</f>
        <v/>
      </c>
      <c r="F206" s="629"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6" s="528">
        <f>LEN(F206)</f>
        <v/>
      </c>
      <c r="H206" s="632" t="inlineStr">
        <is>
          <t>Range</t>
        </is>
      </c>
      <c r="I206" s="528" t="inlineStr">
        <is>
          <t>NA</t>
        </is>
      </c>
      <c r="J206" s="528" t="inlineStr">
        <is>
          <t>NA</t>
        </is>
      </c>
      <c r="K206" s="528" t="inlineStr">
        <is>
          <t>Form Type - TextBox</t>
        </is>
      </c>
      <c r="L206" s="23" t="inlineStr">
        <is>
          <t>0-7 = rcsi_restrict_adult_consumpt</t>
        </is>
      </c>
      <c r="M206" s="53" t="inlineStr">
        <is>
          <t>NA</t>
        </is>
      </c>
      <c r="N206" s="23" t="inlineStr">
        <is>
          <t>For any response, go to rcsi_restrict_adult_consumpt</t>
        </is>
      </c>
      <c r="O206" s="23" t="inlineStr"/>
      <c r="P206" s="90" t="n"/>
      <c r="Q206" s="203" t="n">
        <v>1</v>
      </c>
      <c r="R206" s="103" t="n"/>
      <c r="T206" s="111" t="inlineStr">
        <is>
          <t>no</t>
        </is>
      </c>
      <c r="U206" s="694" t="n"/>
      <c r="X206" s="202" t="n">
        <v>12.39977359771729</v>
      </c>
      <c r="Y206" s="202">
        <f>IF(X206="","",X206*Q206)</f>
        <v/>
      </c>
      <c r="Z206" s="103" t="inlineStr"/>
    </row>
    <row r="207" ht="78.65000000000001" customFormat="1" customHeight="1" s="109">
      <c r="A207" s="13">
        <f>A206+1</f>
        <v/>
      </c>
      <c r="B207" s="526" t="inlineStr">
        <is>
          <t>rcsi_restrict_adult_consumpt</t>
        </is>
      </c>
      <c r="C207" s="582" t="inlineStr">
        <is>
          <t>rcsi_restrict_adult_consumpt</t>
        </is>
      </c>
      <c r="D207" s="26" t="inlineStr">
        <is>
          <t>In the past 7 days, how many days did your household restrict consumption by adults so children could eat, due to lack of food or money to buy food?
[OPERATOR: RECORD NUMBER OF DAYS 0 - 7 ]</t>
        </is>
      </c>
      <c r="E207" s="528">
        <f>LEN(D207)</f>
        <v/>
      </c>
      <c r="F207" s="393"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7" s="528">
        <f>LEN(F207)</f>
        <v/>
      </c>
      <c r="H207" s="632" t="inlineStr">
        <is>
          <t>Range</t>
        </is>
      </c>
      <c r="I207" s="18" t="inlineStr">
        <is>
          <t>NA</t>
        </is>
      </c>
      <c r="J207" s="18" t="inlineStr">
        <is>
          <t>NA</t>
        </is>
      </c>
      <c r="K207" s="528" t="inlineStr">
        <is>
          <t>Form Type - TextBox</t>
        </is>
      </c>
      <c r="L207" s="21" t="inlineStr">
        <is>
          <t>0-7 = percep_food_insecurity</t>
        </is>
      </c>
      <c r="M207" s="53" t="inlineStr">
        <is>
          <t>NA</t>
        </is>
      </c>
      <c r="N207" s="21" t="inlineStr">
        <is>
          <t>For any response, go to percep_food_insecurity</t>
        </is>
      </c>
      <c r="O207" s="21" t="inlineStr"/>
      <c r="P207" s="90" t="n"/>
      <c r="Q207" s="203" t="n">
        <v>1</v>
      </c>
      <c r="R207" s="103" t="n"/>
      <c r="T207" s="111" t="inlineStr">
        <is>
          <t>no</t>
        </is>
      </c>
      <c r="U207" s="694" t="n"/>
      <c r="X207" s="202" t="n">
        <v>13.34388160705566</v>
      </c>
      <c r="Y207" s="202">
        <f>IF(X207="","",X207*Q207)</f>
        <v/>
      </c>
      <c r="Z207" s="103" t="inlineStr"/>
    </row>
    <row r="208" ht="78.65000000000001" customFormat="1" customHeight="1" s="109">
      <c r="A208" s="13">
        <f>A207+1</f>
        <v/>
      </c>
      <c r="B208" s="502" t="inlineStr">
        <is>
          <t>percep_food_insecurity</t>
        </is>
      </c>
      <c r="C208" s="503" t="inlineStr">
        <is>
          <t>percep_food_insecurity</t>
        </is>
      </c>
      <c r="D208" s="504" t="inlineStr">
        <is>
          <t>How would you assess the current food security situation of your household compared to the same period last month?
[OPERATOR: SINGLE RESPONSE.]
1) Improved
2) Remained the same
3) Decreased
4)DON'T KNOW
5)REFUSED</t>
        </is>
      </c>
      <c r="E208" s="528">
        <f>LEN(D208)</f>
        <v/>
      </c>
      <c r="F208" s="506"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8" s="505" t="n">
        <v>164</v>
      </c>
      <c r="H208" s="507" t="inlineStr">
        <is>
          <t>Single Choice</t>
        </is>
      </c>
      <c r="I208" s="505" t="inlineStr">
        <is>
          <t>NA</t>
        </is>
      </c>
      <c r="J208" s="505" t="inlineStr">
        <is>
          <t>NA</t>
        </is>
      </c>
      <c r="K208" s="516" t="inlineStr">
        <is>
          <t>Form Type - Bottons</t>
        </is>
      </c>
      <c r="L208" s="527" t="inlineStr">
        <is>
          <t>1,3 = reason_foodins
2, 4, 5 = need</t>
        </is>
      </c>
      <c r="M208" s="508" t="inlineStr"/>
      <c r="N208" s="504" t="inlineStr">
        <is>
          <t>if percep_food_insecurity = 1 or 3 go to reason_foodins
if percep_food_insecurity = 2, 4, 5 go to need</t>
        </is>
      </c>
      <c r="O208" s="21" t="inlineStr"/>
      <c r="P208" s="509" t="n"/>
      <c r="Q208" s="203" t="n"/>
      <c r="R208" s="103" t="n"/>
      <c r="T208" s="111" t="inlineStr"/>
      <c r="U208" s="694" t="n"/>
      <c r="X208" s="202" t="n"/>
      <c r="Y208" s="202" t="n"/>
      <c r="Z208" s="103" t="inlineStr"/>
    </row>
    <row r="209" ht="78.65000000000001" customFormat="1" customHeight="1" s="109" thickBot="1">
      <c r="A209" s="13">
        <f>A208+1</f>
        <v/>
      </c>
      <c r="B209" s="502" t="inlineStr">
        <is>
          <t>reason_food_insecurity</t>
        </is>
      </c>
      <c r="C209" s="503" t="inlineStr">
        <is>
          <t>reason_food_insecurity</t>
        </is>
      </c>
      <c r="D209" s="504" t="inlineStr">
        <is>
          <t>Please specify the main reason for the increase or decrease in food security situation.
[OPERATOR: RECORD THE RESPONSE.]</t>
        </is>
      </c>
      <c r="E209" s="528">
        <f>LEN(D209)</f>
        <v/>
      </c>
      <c r="F209" s="506" t="inlineStr">
        <is>
          <t>يرجى تحديد السبب الرئيسي لزيادة أو نقصان وضع الأمن الغذائي والذي تم تحديده اعلاه 
[المشغل: تسجيل استجابة مفتوحة.]</t>
        </is>
      </c>
      <c r="G209" s="505" t="n">
        <v>115</v>
      </c>
      <c r="H209" s="507" t="inlineStr">
        <is>
          <t>Open Ended</t>
        </is>
      </c>
      <c r="I209" s="505" t="inlineStr">
        <is>
          <t>NA</t>
        </is>
      </c>
      <c r="J209" s="505" t="inlineStr">
        <is>
          <t>NA</t>
        </is>
      </c>
      <c r="K209" s="505" t="inlineStr">
        <is>
          <t>Form Type - TextBox</t>
        </is>
      </c>
      <c r="L209" s="504" t="inlineStr">
        <is>
          <t>For any response go need</t>
        </is>
      </c>
      <c r="M209" s="508" t="inlineStr"/>
      <c r="N209" s="504" t="inlineStr">
        <is>
          <t>For any response go to need</t>
        </is>
      </c>
      <c r="O209" s="504" t="inlineStr"/>
      <c r="P209" s="509" t="n"/>
      <c r="Q209" s="203" t="n"/>
      <c r="R209" s="103" t="n"/>
      <c r="T209" s="111" t="inlineStr"/>
      <c r="U209" s="694" t="n"/>
      <c r="X209" s="202" t="n"/>
      <c r="Y209" s="202" t="n"/>
      <c r="Z209" s="103" t="inlineStr"/>
    </row>
    <row r="210" ht="16.4" customFormat="1" customHeight="1" s="310" thickBot="1">
      <c r="A210" s="684" t="inlineStr">
        <is>
          <t>H. NEEDS ASSISTANCE</t>
        </is>
      </c>
      <c r="B210" s="685" t="n"/>
      <c r="C210" s="685" t="n"/>
      <c r="D210" s="685" t="n"/>
      <c r="E210" s="685" t="n"/>
      <c r="F210" s="685" t="n"/>
      <c r="G210" s="685" t="n"/>
      <c r="H210" s="685" t="n"/>
      <c r="I210" s="685" t="n"/>
      <c r="J210" s="685" t="n"/>
      <c r="K210" s="685" t="n"/>
      <c r="L210" s="685" t="n"/>
      <c r="M210" s="685" t="n"/>
      <c r="N210" s="685" t="n"/>
      <c r="O210" s="685" t="n"/>
      <c r="P210" s="686" t="n"/>
      <c r="Q210" s="198" t="n"/>
      <c r="R210" s="315" t="n"/>
      <c r="T210" s="313" t="n"/>
      <c r="U210" s="316" t="n"/>
      <c r="X210" s="201" t="n"/>
      <c r="Y210" s="201">
        <f>IF(X210="","",X210*Q210)</f>
        <v/>
      </c>
      <c r="Z210" s="315">
        <f>IF(T210="yes",Y210,"")</f>
        <v/>
      </c>
    </row>
    <row r="211" ht="296.65" customFormat="1" customHeight="1" s="178">
      <c r="A211" s="249">
        <f>A207+1</f>
        <v/>
      </c>
      <c r="B211" s="179" t="inlineStr">
        <is>
          <t>need</t>
        </is>
      </c>
      <c r="C211" s="108" t="inlineStr">
        <is>
          <t>need</t>
        </is>
      </c>
      <c r="D211" s="107" t="inlineStr">
        <is>
          <t>Does your household need assistance for agricultural activities [including crop, livestock and fisheries/aquaculture activities] over the next 3 to 6 months?
[OPERATOR: SINGLE RESPONSE.]
1)YES
2)NO
3)DON'T KNOW
4)REFUSED</t>
        </is>
      </c>
      <c r="E211" s="106">
        <f>LEN(D211)</f>
        <v/>
      </c>
      <c r="F211" s="386"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211" s="106">
        <f>LEN(F211)</f>
        <v/>
      </c>
      <c r="H211" s="114" t="inlineStr">
        <is>
          <t>Single Choice</t>
        </is>
      </c>
      <c r="I211" s="106" t="inlineStr">
        <is>
          <t>NA</t>
        </is>
      </c>
      <c r="J211" s="52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K211" s="521" t="inlineStr">
        <is>
          <t>Form Type - Buttons</t>
        </is>
      </c>
      <c r="L211" s="105" t="inlineStr">
        <is>
          <t>1 = need_2
2-4= need_received</t>
        </is>
      </c>
      <c r="M211" s="165" t="inlineStr">
        <is>
          <t>NA</t>
        </is>
      </c>
      <c r="N211" s="105" t="inlineStr">
        <is>
          <t>Only administered to households involved in agricultural production [crop, livestock and/or fish]. Otherwise, go to "callback". 
if need = 1, go to need_2
if need = 2-4, go to need_received</t>
        </is>
      </c>
      <c r="O211" s="59" t="inlineStr"/>
      <c r="P211" s="8" t="n"/>
      <c r="Q211" s="198" t="n">
        <v>1</v>
      </c>
      <c r="R211" s="104" t="n"/>
      <c r="T211" s="317" t="inlineStr">
        <is>
          <t>yes</t>
        </is>
      </c>
      <c r="U211" s="693" t="n"/>
      <c r="X211" s="205" t="n">
        <v>14.47277355194092</v>
      </c>
      <c r="Y211" s="201">
        <f>IF(X211="","",X211*Q211)</f>
        <v/>
      </c>
      <c r="Z211" s="103" t="inlineStr">
        <is>
          <t>14.47277355194092</t>
        </is>
      </c>
    </row>
    <row r="212" ht="409.5" customFormat="1" customHeight="1" s="109">
      <c r="A212" s="31">
        <f>A211+1</f>
        <v/>
      </c>
      <c r="B212" s="179" t="inlineStr">
        <is>
          <t>need_2</t>
        </is>
      </c>
      <c r="C212" s="30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2" s="29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2" s="521">
        <f>LEN(D212)</f>
        <v/>
      </c>
      <c r="F212" s="386"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212" s="521">
        <f>LEN(F212)</f>
        <v/>
      </c>
      <c r="H212" s="550" t="inlineStr">
        <is>
          <t>Open Ended - Select All That Apply</t>
        </is>
      </c>
      <c r="I212" s="521" t="inlineStr">
        <is>
          <t>NA</t>
        </is>
      </c>
      <c r="J212" s="521" t="inlineStr">
        <is>
          <t>NA</t>
        </is>
      </c>
      <c r="K212" s="521" t="inlineStr">
        <is>
          <t>Form Type - Checklist
18,19 = IsNone</t>
        </is>
      </c>
      <c r="L212" s="113" t="inlineStr">
        <is>
          <t>1-19 = need_received</t>
        </is>
      </c>
      <c r="M212" s="1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N212" s="112" t="inlineStr">
        <is>
          <t>if need_2 = 1-19, go to need_received</t>
        </is>
      </c>
      <c r="O212" s="131" t="inlineStr"/>
      <c r="P212" s="9" t="n"/>
      <c r="Q212" s="198" t="n">
        <v>1</v>
      </c>
      <c r="R212" s="103" t="n"/>
      <c r="T212" s="313" t="inlineStr">
        <is>
          <t>yes</t>
        </is>
      </c>
      <c r="U212" s="694" t="n"/>
      <c r="X212" s="201" t="n">
        <v>33.74076461791992</v>
      </c>
      <c r="Y212" s="201">
        <f>IF(X212="","",X212*Q212)</f>
        <v/>
      </c>
      <c r="Z212" s="103" t="inlineStr">
        <is>
          <t>33.74076461791992</t>
        </is>
      </c>
    </row>
    <row r="213" customFormat="1" s="109">
      <c r="A213" s="79" t="n"/>
      <c r="B213" s="192" t="n"/>
      <c r="C213" s="71" t="n"/>
      <c r="D213" s="85" t="n"/>
      <c r="E213" s="72" t="n"/>
      <c r="F213" s="536" t="n"/>
      <c r="G213" s="72" t="n"/>
      <c r="H213" s="80" t="n"/>
      <c r="I213" s="72" t="n"/>
      <c r="J213" s="72" t="n"/>
      <c r="K213" s="72" t="n"/>
      <c r="L213" s="66" t="n"/>
      <c r="M213" s="585" t="n"/>
      <c r="N213" s="191" t="n"/>
      <c r="O213" s="191" t="n"/>
      <c r="P213" s="9" t="n"/>
      <c r="Q213" s="203" t="n">
        <v>1</v>
      </c>
      <c r="R213" s="103" t="n"/>
      <c r="T213" s="111" t="n"/>
      <c r="U213" s="694" t="n"/>
      <c r="X213" s="202" t="n"/>
      <c r="Y213" s="202">
        <f>IF(X213="","",X213*Q213)</f>
        <v/>
      </c>
      <c r="Z213" s="103">
        <f>IF(T213="yes",Y213,"")</f>
        <v/>
      </c>
    </row>
    <row r="214" ht="258" customFormat="1" customHeight="1" s="109">
      <c r="A214" s="260">
        <f>A212+1</f>
        <v/>
      </c>
      <c r="B214" s="520" t="inlineStr">
        <is>
          <t>need_received</t>
        </is>
      </c>
      <c r="C214" s="55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4"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4" s="97">
        <f>LEN(D214)</f>
        <v/>
      </c>
      <c r="F214" s="38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4" s="97">
        <f>LEN(F214)</f>
        <v/>
      </c>
      <c r="H214" s="306" t="inlineStr">
        <is>
          <t>Open Ended - Select All That Apply</t>
        </is>
      </c>
      <c r="I214" s="97" t="inlineStr">
        <is>
          <t>NA</t>
        </is>
      </c>
      <c r="J214" s="97" t="inlineStr">
        <is>
          <t>NA</t>
        </is>
      </c>
      <c r="K214" s="97" t="inlineStr">
        <is>
          <t>Form Type - Checklist
10,11,12 = IsNone</t>
        </is>
      </c>
      <c r="L214" s="294" t="inlineStr">
        <is>
          <t>1-9 = assistance_quality 
10-12 = callback</t>
        </is>
      </c>
      <c r="M214"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4" s="294" t="inlineStr">
        <is>
          <t>if need_received = 1-9, go to assistance_quality.
Otherwise, go to callback.</t>
        </is>
      </c>
      <c r="O214" s="66" t="inlineStr"/>
      <c r="P214" s="9" t="n"/>
      <c r="Q214" s="203" t="n">
        <v>1</v>
      </c>
      <c r="R214" s="103" t="n"/>
      <c r="T214" s="313" t="inlineStr">
        <is>
          <t>yes</t>
        </is>
      </c>
      <c r="U214" s="694" t="n"/>
      <c r="X214" s="201" t="n">
        <v>14.55059909820557</v>
      </c>
      <c r="Y214" s="201">
        <f>IF(X214="","",X214*Q214)</f>
        <v/>
      </c>
      <c r="Z214" s="103" t="inlineStr">
        <is>
          <t>14.55059909820557</t>
        </is>
      </c>
    </row>
    <row r="215" ht="234" customFormat="1" customHeight="1" s="109">
      <c r="A215" s="260">
        <f>A214+1</f>
        <v/>
      </c>
      <c r="B215" s="307" t="inlineStr">
        <is>
          <t>assistance_quality</t>
        </is>
      </c>
      <c r="C215" s="308" t="inlineStr">
        <is>
          <t>assistance_quality</t>
        </is>
      </c>
      <c r="D215"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5" s="97">
        <f>LEN(D215)</f>
        <v/>
      </c>
      <c r="F215" s="398"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5" s="97">
        <f>LEN(F215)</f>
        <v/>
      </c>
      <c r="H215" s="306" t="inlineStr">
        <is>
          <t>Single Choice</t>
        </is>
      </c>
      <c r="I215" s="97" t="inlineStr">
        <is>
          <t>NA</t>
        </is>
      </c>
      <c r="J215" s="309" t="inlineStr">
        <is>
          <t>NA</t>
        </is>
      </c>
      <c r="K215" s="97" t="inlineStr">
        <is>
          <t>Form Type - Buttons</t>
        </is>
      </c>
      <c r="L215" s="294" t="inlineStr">
        <is>
          <t>1-8 = [callback or optional question]</t>
        </is>
      </c>
      <c r="M215" s="165" t="inlineStr">
        <is>
          <t>NA</t>
        </is>
      </c>
      <c r="N215" s="113" t="inlineStr">
        <is>
          <t>if assistance_quality = 1-8, go to callback or assistance_provider</t>
        </is>
      </c>
      <c r="O215" s="30" t="inlineStr">
        <is>
          <t>1-8 = assistance provider</t>
        </is>
      </c>
      <c r="P215" s="9" t="n"/>
      <c r="Q215" s="203" t="n">
        <v>1</v>
      </c>
      <c r="R215" s="103" t="n"/>
      <c r="T215" s="313" t="inlineStr">
        <is>
          <t>yes</t>
        </is>
      </c>
      <c r="U215" s="694" t="n"/>
      <c r="X215" s="201" t="n">
        <v>10.81245613098145</v>
      </c>
      <c r="Y215" s="201">
        <f>IF(X215="","",X215*Q215)</f>
        <v/>
      </c>
      <c r="Z215" s="103" t="inlineStr">
        <is>
          <t>10.81245613098145</t>
        </is>
      </c>
    </row>
    <row r="216" customFormat="1" s="109">
      <c r="A216" s="79" t="n"/>
      <c r="B216" s="192" t="n"/>
      <c r="C216" s="71" t="n"/>
      <c r="D216" s="85" t="n"/>
      <c r="E216" s="72" t="n"/>
      <c r="F216" s="72" t="n"/>
      <c r="G216" s="72" t="n"/>
      <c r="H216" s="80" t="n"/>
      <c r="I216" s="72" t="n"/>
      <c r="J216" s="72" t="n"/>
      <c r="K216" s="72" t="n"/>
      <c r="L216" s="66" t="n"/>
      <c r="M216" s="585" t="n"/>
      <c r="N216" s="191" t="n"/>
      <c r="O216" s="261" t="n"/>
      <c r="P216" s="32" t="n"/>
      <c r="Q216" s="203" t="n">
        <v>1</v>
      </c>
      <c r="R216" s="103" t="n"/>
      <c r="T216" s="111" t="n"/>
      <c r="U216" s="694" t="n"/>
      <c r="X216" s="202" t="n"/>
      <c r="Y216" s="202">
        <f>IF(X216="","",X216*Q216)</f>
        <v/>
      </c>
      <c r="Z216" s="103">
        <f>IF(T216="yes",Y216,"")</f>
        <v/>
      </c>
    </row>
    <row r="217" ht="171.65" customFormat="1" customHeight="1" s="109">
      <c r="A217" s="25" t="n"/>
      <c r="B217" s="34" t="inlineStr">
        <is>
          <t>assistance_provider</t>
        </is>
      </c>
      <c r="C217" s="311" t="inlineStr">
        <is>
          <t>assistance_provider
1) assistance_fao
2) assistance_wfp
3) assistance_otherun
4) assistance_gov
5) assistance_ngo
6) assistance_dk
7) assistance_ref</t>
        </is>
      </c>
      <c r="D217" s="276" t="inlineStr">
        <is>
          <t>Who provided your household with this assistance?
[OPERATOR: MULTIPLE RESPONSE.]
1)FAO
2)WFP
3)Other UN agencies
4)Government
5)Non-governmental/local organization
6)DON'T KNOW
7)REFUSED</t>
        </is>
      </c>
      <c r="E217" s="17">
        <f>LEN(D217)</f>
        <v/>
      </c>
      <c r="F217" s="39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17" s="17">
        <f>LEN(F217)</f>
        <v/>
      </c>
      <c r="H217" s="279" t="inlineStr">
        <is>
          <t>Select All That Apply</t>
        </is>
      </c>
      <c r="I217" s="17" t="inlineStr">
        <is>
          <t>NA</t>
        </is>
      </c>
      <c r="J217" s="312" t="inlineStr">
        <is>
          <t>NA</t>
        </is>
      </c>
      <c r="K217" s="17" t="inlineStr">
        <is>
          <t>Form Type - Checklist
6,7 = IsNone</t>
        </is>
      </c>
      <c r="L217" s="27" t="inlineStr">
        <is>
          <t>1-7 = callback</t>
        </is>
      </c>
      <c r="M217" s="53" t="inlineStr">
        <is>
          <t>1)assistance_fao
2)assistance_wfp
3)assistance_otherun
4)assistance_gov
5)assistance_ngo
6)assistance_dk
7)assistance_ref</t>
        </is>
      </c>
      <c r="N217" s="23" t="inlineStr">
        <is>
          <t>if assistance_provider = 1-7, go to callback</t>
        </is>
      </c>
      <c r="O217" s="262" t="inlineStr"/>
      <c r="P217" s="45" t="n"/>
      <c r="Q217" s="203" t="n">
        <v>1</v>
      </c>
      <c r="R217" s="103" t="n"/>
      <c r="T217" s="111" t="inlineStr">
        <is>
          <t>no</t>
        </is>
      </c>
      <c r="U217" s="694" t="n"/>
      <c r="X217" s="202" t="n">
        <v>10.81245613098145</v>
      </c>
      <c r="Y217" s="202">
        <f>IF(X217="","",X217*Q217)</f>
        <v/>
      </c>
      <c r="Z217" s="103" t="inlineStr"/>
    </row>
    <row r="218" ht="16.4" customFormat="1" customHeight="1" s="109" thickBot="1">
      <c r="A218" s="79" t="n"/>
      <c r="B218" s="192" t="n"/>
      <c r="C218" s="71" t="n"/>
      <c r="D218" s="85" t="n"/>
      <c r="E218" s="72" t="n"/>
      <c r="F218" s="72" t="n"/>
      <c r="G218" s="72" t="n"/>
      <c r="H218" s="80" t="n"/>
      <c r="I218" s="72" t="n"/>
      <c r="J218" s="72" t="n"/>
      <c r="K218" s="72" t="n"/>
      <c r="L218" s="66" t="n"/>
      <c r="M218" s="585" t="n"/>
      <c r="N218" s="191" t="n"/>
      <c r="O218" s="191" t="n"/>
      <c r="P218" s="9" t="n"/>
      <c r="Q218" s="203" t="n">
        <v>1</v>
      </c>
      <c r="R218" s="103" t="n"/>
      <c r="T218" s="111" t="n"/>
      <c r="U218" s="694" t="n"/>
      <c r="X218" s="202" t="n"/>
      <c r="Y218" s="202">
        <f>IF(X218="","",X218*Q218)</f>
        <v/>
      </c>
      <c r="Z218" s="103">
        <f>IF(T218="yes",Y218,"")</f>
        <v/>
      </c>
    </row>
    <row r="219" ht="16.4" customFormat="1" customHeight="1" s="310" thickBot="1">
      <c r="A219" s="684" t="inlineStr">
        <is>
          <t>I. CLOSING</t>
        </is>
      </c>
      <c r="B219" s="685" t="n"/>
      <c r="C219" s="685" t="n"/>
      <c r="D219" s="685" t="n"/>
      <c r="E219" s="685" t="n"/>
      <c r="F219" s="685" t="n"/>
      <c r="G219" s="685" t="n"/>
      <c r="H219" s="685" t="n"/>
      <c r="I219" s="685" t="n"/>
      <c r="J219" s="685" t="n"/>
      <c r="K219" s="685" t="n"/>
      <c r="L219" s="685" t="n"/>
      <c r="M219" s="685" t="n"/>
      <c r="N219" s="685" t="n"/>
      <c r="O219" s="685" t="n"/>
      <c r="P219" s="686" t="n"/>
      <c r="Q219" s="198" t="n"/>
      <c r="R219" s="315" t="n"/>
      <c r="T219" s="313" t="n"/>
      <c r="U219" s="316" t="n"/>
      <c r="X219" s="201" t="n"/>
      <c r="Y219" s="201">
        <f>IF(X219="","",X219*Q219)</f>
        <v/>
      </c>
      <c r="Z219" s="315">
        <f>IF(T219="yes",Y219,"")</f>
        <v/>
      </c>
    </row>
    <row r="220" ht="109.4" customFormat="1" customHeight="1" s="109">
      <c r="A220" s="70" t="inlineStr">
        <is>
          <t>NA</t>
        </is>
      </c>
      <c r="B220" s="179" t="inlineStr">
        <is>
          <t>callback</t>
        </is>
      </c>
      <c r="C220" s="108" t="inlineStr">
        <is>
          <t>callback</t>
        </is>
      </c>
      <c r="D220" s="107" t="inlineStr">
        <is>
          <t>Your answers will help us to understand and respond to your community needs. May we call you back again in a few months?
[OPERATOR: SINGLE RESPONSE.]
1)YES
2)NO</t>
        </is>
      </c>
      <c r="E220" s="106">
        <f>LEN(D220)</f>
        <v/>
      </c>
      <c r="F220" s="394" t="inlineStr">
        <is>
          <t>ستساعدنا إجاباتك على فهم احتياجات مجتمعك والاستجابة لها. هل يمكننا الاتصال بك مرة أخرى في غضون بضعة أشهر؟
[المشغل: استجابة واحدة.]
1) نعم
2) لا</t>
        </is>
      </c>
      <c r="G220" s="106">
        <f>LEN(F220)</f>
        <v/>
      </c>
      <c r="H220" s="106" t="inlineStr">
        <is>
          <t>Single Choice</t>
        </is>
      </c>
      <c r="I220" s="106" t="inlineStr">
        <is>
          <t>NA</t>
        </is>
      </c>
      <c r="J220" s="106" t="inlineStr">
        <is>
          <t>NA</t>
        </is>
      </c>
      <c r="K220" s="106" t="inlineStr">
        <is>
          <t>Form Type - Buttons</t>
        </is>
      </c>
      <c r="L220" s="105" t="inlineStr">
        <is>
          <t>1 = leader_contact
2 = language2</t>
        </is>
      </c>
      <c r="M220" s="165" t="inlineStr">
        <is>
          <t>NA</t>
        </is>
      </c>
      <c r="N220" s="105" t="inlineStr">
        <is>
          <t>if callback = 1, go to future_int_day
if 2, go to language2</t>
        </is>
      </c>
      <c r="O220" s="59" t="inlineStr"/>
      <c r="P220" s="8" t="n"/>
      <c r="Q220" s="198" t="n">
        <v>1</v>
      </c>
      <c r="R220" s="103" t="n"/>
      <c r="T220" s="313" t="inlineStr">
        <is>
          <t>yes</t>
        </is>
      </c>
      <c r="U220" s="694" t="n"/>
      <c r="X220" s="201" t="n">
        <v>14.94646453857422</v>
      </c>
      <c r="Y220" s="201">
        <f>IF(X220="","",X220*Q220)</f>
        <v/>
      </c>
      <c r="Z220" s="103" t="inlineStr">
        <is>
          <t>14.94646453857422</t>
        </is>
      </c>
    </row>
    <row r="221" ht="171.65" customFormat="1" customHeight="1" s="214">
      <c r="A221" s="248" t="n"/>
      <c r="B221" s="633" t="inlineStr">
        <is>
          <t>future_int_day</t>
        </is>
      </c>
      <c r="C221" s="634" t="inlineStr">
        <is>
          <t>future_int_day_
1) future_int_day_mon
2) future_int_day_tues
3) future_int_day_wed
4) future_int_day_thurs
5) future_int_day_fri
6) future_int_day_sat
7) future_int_day_sun</t>
        </is>
      </c>
      <c r="D221" s="278" t="inlineStr">
        <is>
          <t>For future interviews, in which day[s] can I call you?
[OPERATOR: MULTIPLE ANSWERS POSSIBLE.]
1)Monday
2)Tuesday
3)Wednesday
4)Thursday
5)Friday
6)Saturday
7)Sunday</t>
        </is>
      </c>
      <c r="E221" s="216">
        <f>LEN(D221)</f>
        <v/>
      </c>
      <c r="F221" s="39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1" s="216">
        <f>LEN(F221)</f>
        <v/>
      </c>
      <c r="H221" s="216" t="inlineStr">
        <is>
          <t>Select All That Apply</t>
        </is>
      </c>
      <c r="I221" s="216" t="inlineStr">
        <is>
          <t>NA</t>
        </is>
      </c>
      <c r="J221" s="216" t="inlineStr">
        <is>
          <t>NA</t>
        </is>
      </c>
      <c r="K221" s="216" t="inlineStr">
        <is>
          <t>Form Type - Checklist</t>
        </is>
      </c>
      <c r="L221" s="217" t="inlineStr">
        <is>
          <t>1-7 = future_int_time</t>
        </is>
      </c>
      <c r="M221" s="165" t="inlineStr">
        <is>
          <t>NA</t>
        </is>
      </c>
      <c r="N221" s="218" t="inlineStr">
        <is>
          <t>if l_future_int_day = 1-7, go to future_int_time</t>
        </is>
      </c>
      <c r="O221" s="208" t="inlineStr"/>
      <c r="P221" s="219" t="n"/>
      <c r="Q221" s="209" t="n">
        <v>1</v>
      </c>
      <c r="R221" s="212" t="n"/>
      <c r="T221" s="314" t="inlineStr">
        <is>
          <t>yes - panel</t>
        </is>
      </c>
      <c r="X221" s="324" t="n">
        <v>19.35491371154785</v>
      </c>
      <c r="Y221" s="201">
        <f>IF(X221="","",X221*Q221)</f>
        <v/>
      </c>
      <c r="Z221" s="103" t="inlineStr"/>
    </row>
    <row r="222" ht="120" customFormat="1" customHeight="1" s="214">
      <c r="A222" s="248" t="n"/>
      <c r="B222" s="633" t="inlineStr">
        <is>
          <t>future_int_time</t>
        </is>
      </c>
      <c r="C222" s="634" t="inlineStr">
        <is>
          <t>future_int_time_ 
1) future_int_time_morn
2) future_int_time_aft
3) future_int_time_eve</t>
        </is>
      </c>
      <c r="D222" s="215" t="inlineStr">
        <is>
          <t>For future interviews, at what time[s] can I call you?
[OPERATOR: MULTIPLE ANSWERS POSSIBLE.]
1)Mornings
2)Afternoons
3)Evenings</t>
        </is>
      </c>
      <c r="E222" s="216">
        <f>LEN(D222)</f>
        <v/>
      </c>
      <c r="F222" s="395" t="inlineStr">
        <is>
          <t>للمقابلات المستقبلية ، في أي وقت (أوقات) يمكنني الاتصال بك؟
[المُشغل: إمكانية الحصول على إجابات متعددة.]
1) الصباح
2) بعد الظهر
3) المساء</t>
        </is>
      </c>
      <c r="G222" s="216">
        <f>LEN(F222)</f>
        <v/>
      </c>
      <c r="H222" s="216" t="inlineStr">
        <is>
          <t>Select All That Apply</t>
        </is>
      </c>
      <c r="I222" s="216" t="inlineStr">
        <is>
          <t>NA</t>
        </is>
      </c>
      <c r="J222" s="216" t="inlineStr">
        <is>
          <t>NA</t>
        </is>
      </c>
      <c r="K222" s="216" t="inlineStr">
        <is>
          <t>Form Type - Checklist</t>
        </is>
      </c>
      <c r="L222" s="217" t="inlineStr">
        <is>
          <t>1-3 = closeout</t>
        </is>
      </c>
      <c r="M222" s="165" t="inlineStr">
        <is>
          <t>NA</t>
        </is>
      </c>
      <c r="N222" s="218" t="inlineStr">
        <is>
          <t>if future_int_time = 1-3, go to closeout</t>
        </is>
      </c>
      <c r="O222" s="208" t="inlineStr"/>
      <c r="P222" s="219" t="n"/>
      <c r="Q222" s="209" t="n">
        <v>1</v>
      </c>
      <c r="R222" s="212" t="n"/>
      <c r="T222" s="314" t="inlineStr">
        <is>
          <t>yes - panel</t>
        </is>
      </c>
      <c r="X222" s="324" t="n">
        <v>15.88939952850342</v>
      </c>
      <c r="Y222" s="201">
        <f>IF(X222="","",X222*Q222)</f>
        <v/>
      </c>
      <c r="Z222" s="103" t="inlineStr"/>
    </row>
    <row r="223" ht="86.15000000000001" customFormat="1" customHeight="1" s="178" thickBot="1">
      <c r="A223" s="248" t="n"/>
      <c r="B223" s="510" t="inlineStr">
        <is>
          <t>language2</t>
        </is>
      </c>
      <c r="C223" s="81" t="inlineStr">
        <is>
          <t>language2</t>
        </is>
      </c>
      <c r="D223" s="511" t="inlineStr">
        <is>
          <t>Select the language that was mostly used to complete the interview.
[OPERATOR: SINGLE RESPONSE.]
1)Arabic</t>
        </is>
      </c>
      <c r="E223" s="512">
        <f>LEN(D223)</f>
        <v/>
      </c>
      <c r="F223" s="513" t="inlineStr"/>
      <c r="G223" s="512">
        <f>LEN(F223)</f>
        <v/>
      </c>
      <c r="H223" s="512" t="inlineStr">
        <is>
          <t>Single Choice</t>
        </is>
      </c>
      <c r="I223" s="512" t="inlineStr">
        <is>
          <t>NA</t>
        </is>
      </c>
      <c r="J223" s="512" t="inlineStr">
        <is>
          <t>NA</t>
        </is>
      </c>
      <c r="K223" s="512" t="inlineStr">
        <is>
          <t>Form Type - Buttons</t>
        </is>
      </c>
      <c r="L223" s="60" t="inlineStr">
        <is>
          <t>1-2 = closeout</t>
        </is>
      </c>
      <c r="M223" s="53" t="inlineStr">
        <is>
          <t>NA</t>
        </is>
      </c>
      <c r="N223" s="514" t="inlineStr">
        <is>
          <t>NA</t>
        </is>
      </c>
      <c r="O223" s="514" t="inlineStr"/>
      <c r="P223" s="515" t="n"/>
      <c r="Q223" s="203" t="n">
        <v>1</v>
      </c>
      <c r="R223" s="103" t="n"/>
      <c r="T223" s="111" t="inlineStr">
        <is>
          <t>yes</t>
        </is>
      </c>
      <c r="U223" s="694" t="n"/>
      <c r="X223" s="202" t="n">
        <v>17.30915408839179</v>
      </c>
      <c r="Y223" s="202">
        <f>IF(X223="","",X223*Q223)</f>
        <v/>
      </c>
      <c r="Z223" s="103" t="inlineStr">
        <is>
          <t>17.30915408839179</t>
        </is>
      </c>
    </row>
    <row r="224" ht="31.9" customFormat="1" customHeight="1" s="109" thickBot="1">
      <c r="A224" s="247" t="inlineStr">
        <is>
          <t>NA</t>
        </is>
      </c>
      <c r="B224" s="177" t="inlineStr">
        <is>
          <t>closeout</t>
        </is>
      </c>
      <c r="C224" s="96" t="inlineStr">
        <is>
          <t>closeout</t>
        </is>
      </c>
      <c r="D224" s="95" t="inlineStr">
        <is>
          <t>Thank you for your time. The interview has come to an end. You will receive your #TOPUP# airtime credit on this phone within the next 2 days.</t>
        </is>
      </c>
      <c r="E224" s="94">
        <f>LEN(D224)</f>
        <v/>
      </c>
      <c r="F224" s="396" t="inlineStr">
        <is>
          <t>شكرا لك على وقتك. انتهت المقابلة. ستتلقى رصيدك #TOPUP# على هذا الهاتف في غضون اليومين المقبلين.</t>
        </is>
      </c>
      <c r="G224" s="94">
        <f>LEN(F224)</f>
        <v/>
      </c>
      <c r="H224" s="94" t="inlineStr">
        <is>
          <t>NA</t>
        </is>
      </c>
      <c r="I224" s="94" t="inlineStr">
        <is>
          <t>NA</t>
        </is>
      </c>
      <c r="J224" s="94" t="inlineStr">
        <is>
          <t>NA</t>
        </is>
      </c>
      <c r="K224" s="94" t="inlineStr">
        <is>
          <t>NA</t>
        </is>
      </c>
      <c r="L224" s="93" t="inlineStr">
        <is>
          <t>NA</t>
        </is>
      </c>
      <c r="M224" s="93" t="inlineStr"/>
      <c r="N224" s="92" t="inlineStr">
        <is>
          <t>NA</t>
        </is>
      </c>
      <c r="O224" s="68" t="inlineStr"/>
      <c r="P224" s="69" t="n"/>
      <c r="Q224" s="198" t="n">
        <v>1</v>
      </c>
      <c r="R224" s="694" t="n"/>
      <c r="T224" s="111" t="inlineStr">
        <is>
          <t>no</t>
        </is>
      </c>
      <c r="U224" s="694" t="n"/>
      <c r="X224" s="206" t="n"/>
      <c r="Y224" s="201">
        <f>IF(X224="","",X224*Q224)</f>
        <v/>
      </c>
      <c r="Z224" s="103" t="inlineStr"/>
    </row>
    <row r="225">
      <c r="X225" s="246" t="n"/>
    </row>
    <row r="226" ht="16.4" customHeight="1" thickBot="1"/>
    <row r="227" ht="18" customHeight="1" thickBot="1">
      <c r="D227" s="176" t="inlineStr">
        <is>
          <t xml:space="preserve">AVERAGE ESTIMATED DURATION </t>
        </is>
      </c>
      <c r="E227" s="175" t="n"/>
      <c r="F227" s="176" t="n"/>
      <c r="G227" s="175" t="n"/>
      <c r="H227" s="175" t="n"/>
      <c r="I227" s="175" t="n"/>
      <c r="J227" s="175" t="n"/>
      <c r="K227" s="175" t="n"/>
      <c r="L227" s="175" t="n"/>
      <c r="M227" s="175" t="n"/>
      <c r="N227" s="175" t="n"/>
      <c r="O227" s="175" t="n"/>
      <c r="P227" s="175" t="n"/>
      <c r="Q227" s="240" t="n"/>
      <c r="X227" s="241" t="n"/>
      <c r="Y227" s="321">
        <f>(SUM(Y5:Y225))/60</f>
        <v/>
      </c>
      <c r="Z227" s="320">
        <f>SUM(Z2:Z224)/60</f>
        <v/>
      </c>
    </row>
    <row r="228" hidden="1" ht="16.4" customHeight="1" thickBot="1">
      <c r="D228" s="245" t="inlineStr">
        <is>
          <t>AVERAGE ESTIMATED DURATION (without fisheries section)</t>
        </is>
      </c>
      <c r="E228" s="244" t="n"/>
      <c r="F228" s="245" t="n"/>
      <c r="G228" s="244" t="n"/>
      <c r="H228" s="244" t="n"/>
      <c r="I228" s="244" t="n"/>
      <c r="J228" s="244" t="n"/>
      <c r="K228" s="244" t="n"/>
      <c r="L228" s="244" t="n"/>
      <c r="M228" s="244" t="n"/>
      <c r="N228" s="244" t="n"/>
      <c r="O228" s="244" t="n"/>
      <c r="P228" s="244" t="n"/>
      <c r="Q228" s="242" t="n"/>
      <c r="X228" s="243" t="n"/>
      <c r="Y228" s="322">
        <f>(SUM(Y6:Y146)+SUM(Y167:Y225))/60</f>
        <v/>
      </c>
    </row>
    <row r="229" ht="16.4" customHeight="1" thickBot="1">
      <c r="D229" s="176" t="inlineStr">
        <is>
          <t>AVERAGE ESTIMATED DURATION (without fisheries section or panel)</t>
        </is>
      </c>
      <c r="E229" s="175" t="n"/>
      <c r="F229" s="176" t="n"/>
      <c r="G229" s="175" t="n"/>
      <c r="H229" s="175" t="n"/>
      <c r="I229" s="175" t="n"/>
      <c r="J229" s="175" t="n"/>
      <c r="K229" s="175" t="n"/>
      <c r="L229" s="175" t="n"/>
      <c r="M229" s="175" t="n"/>
      <c r="N229" s="175" t="n"/>
      <c r="O229" s="175" t="n"/>
      <c r="P229" s="175" t="n"/>
      <c r="Q229" s="240" t="n"/>
      <c r="X229" s="241" t="n"/>
      <c r="Y229" s="323">
        <f>(SUM(Y6:Y26)+SUM(Y35:Y146)+SUM(Y166:Y220)+SUM(Y223:Y225))/60</f>
        <v/>
      </c>
    </row>
  </sheetData>
  <sheetProtection selectLockedCells="0" selectUnlockedCells="0" algorithmName="SHA-512" sheet="1" objects="0" insertRows="0" insertHyperlinks="1" autoFilter="1" scenarios="0" formatColumns="1" deleteColumns="1" insertColumns="1" pivotTables="1" deleteRows="0" formatCells="0" saltValue="Wnzx1WmYtJ8snxED9XBUEw==" formatRows="0" sort="1" spinCount="100000" hashValue="pBAj6wQV+3WCFLDhlk//B7cyxNqtYn7kEIjuYGJtLHN6pG3mEUOZjz7XiK8xMlg68KSXBSN9XPzLlFF2iwZktw=="/>
  <mergeCells count="18">
    <mergeCell ref="A2:O2"/>
    <mergeCell ref="A1:P1"/>
    <mergeCell ref="A94:P94"/>
    <mergeCell ref="A219:P219"/>
    <mergeCell ref="A126:P126"/>
    <mergeCell ref="A158:P158"/>
    <mergeCell ref="A119:P119"/>
    <mergeCell ref="B63:P63"/>
    <mergeCell ref="A4:P4"/>
    <mergeCell ref="N36:N37"/>
    <mergeCell ref="A21:P21"/>
    <mergeCell ref="A210:P210"/>
    <mergeCell ref="A147:P147"/>
    <mergeCell ref="P2:P3"/>
    <mergeCell ref="A101:P101"/>
    <mergeCell ref="A139:P139"/>
    <mergeCell ref="A166:P166"/>
    <mergeCell ref="A41:P41"/>
  </mergeCells>
  <conditionalFormatting sqref="B2:B3 B5 B7:B14 B16:B20 B24:B27 B29:B33 B39 B43 B45:B46 B59 B61:B62 B65 B69 B72:B74 B81:B83 B93 B106:B108 B117 B122:B124 B129:B133 B136:B137 B140:B142 B145 B152:B156 B159:B160 B167:B172 B175 B177 B179 B190 B211:B214 B220 B224:B228 B230:B1048576">
    <cfRule type="duplicateValues" priority="837" dxfId="0"/>
  </conditionalFormatting>
  <conditionalFormatting sqref="B14 B16:B19">
    <cfRule type="duplicateValues" priority="831" dxfId="0"/>
  </conditionalFormatting>
  <conditionalFormatting sqref="B15">
    <cfRule type="duplicateValues" priority="174" dxfId="0"/>
    <cfRule type="duplicateValues" priority="173" dxfId="0"/>
  </conditionalFormatting>
  <conditionalFormatting sqref="B20">
    <cfRule type="duplicateValues" priority="830" dxfId="0"/>
  </conditionalFormatting>
  <conditionalFormatting sqref="B28">
    <cfRule type="duplicateValues" priority="688" dxfId="0"/>
  </conditionalFormatting>
  <conditionalFormatting sqref="B34:B35">
    <cfRule type="duplicateValues" priority="681" dxfId="0"/>
  </conditionalFormatting>
  <conditionalFormatting sqref="B36:B37">
    <cfRule type="duplicateValues" priority="451" dxfId="0"/>
  </conditionalFormatting>
  <conditionalFormatting sqref="B38">
    <cfRule type="duplicateValues" priority="440" dxfId="0"/>
  </conditionalFormatting>
  <conditionalFormatting sqref="B40">
    <cfRule type="duplicateValues" priority="17" dxfId="0"/>
  </conditionalFormatting>
  <conditionalFormatting sqref="B47">
    <cfRule type="duplicateValues" priority="842" dxfId="0"/>
  </conditionalFormatting>
  <conditionalFormatting sqref="B48">
    <cfRule type="duplicateValues" priority="1159" dxfId="0"/>
  </conditionalFormatting>
  <conditionalFormatting sqref="B49">
    <cfRule type="duplicateValues" priority="6" dxfId="0"/>
  </conditionalFormatting>
  <conditionalFormatting sqref="B50">
    <cfRule type="duplicateValues" priority="7" dxfId="0"/>
  </conditionalFormatting>
  <conditionalFormatting sqref="B51">
    <cfRule type="duplicateValues" priority="1279" dxfId="0"/>
  </conditionalFormatting>
  <conditionalFormatting sqref="B52">
    <cfRule type="duplicateValues" priority="10" dxfId="0"/>
  </conditionalFormatting>
  <conditionalFormatting sqref="B53:B56">
    <cfRule type="duplicateValues" priority="14" dxfId="0"/>
  </conditionalFormatting>
  <conditionalFormatting sqref="B57">
    <cfRule type="duplicateValues" priority="13" dxfId="0"/>
  </conditionalFormatting>
  <conditionalFormatting sqref="B58">
    <cfRule type="duplicateValues" priority="12" dxfId="0"/>
  </conditionalFormatting>
  <conditionalFormatting sqref="B60">
    <cfRule type="duplicateValues" priority="1202" dxfId="0"/>
  </conditionalFormatting>
  <conditionalFormatting sqref="B66:B68">
    <cfRule type="duplicateValues" priority="450" dxfId="0"/>
  </conditionalFormatting>
  <conditionalFormatting sqref="B70">
    <cfRule type="duplicateValues" priority="466" dxfId="0"/>
  </conditionalFormatting>
  <conditionalFormatting sqref="B71">
    <cfRule type="duplicateValues" priority="828" dxfId="0"/>
  </conditionalFormatting>
  <conditionalFormatting sqref="B75:B77">
    <cfRule type="duplicateValues" priority="446" dxfId="0"/>
  </conditionalFormatting>
  <conditionalFormatting sqref="B78">
    <cfRule type="duplicateValues" priority="963" dxfId="0"/>
  </conditionalFormatting>
  <conditionalFormatting sqref="B79">
    <cfRule type="duplicateValues" priority="459" dxfId="0"/>
  </conditionalFormatting>
  <conditionalFormatting sqref="B80">
    <cfRule type="duplicateValues" priority="826" dxfId="0"/>
  </conditionalFormatting>
  <conditionalFormatting sqref="B84:B86">
    <cfRule type="duplicateValues" priority="442" dxfId="0"/>
  </conditionalFormatting>
  <conditionalFormatting sqref="B87">
    <cfRule type="duplicateValues" priority="1001" dxfId="0"/>
  </conditionalFormatting>
  <conditionalFormatting sqref="B88">
    <cfRule type="duplicateValues" priority="457" dxfId="0"/>
  </conditionalFormatting>
  <conditionalFormatting sqref="B89">
    <cfRule type="duplicateValues" priority="455" dxfId="0"/>
  </conditionalFormatting>
  <conditionalFormatting sqref="B90">
    <cfRule type="duplicateValues" priority="1241" dxfId="0"/>
  </conditionalFormatting>
  <conditionalFormatting sqref="B91">
    <cfRule type="duplicateValues" priority="19" dxfId="0"/>
  </conditionalFormatting>
  <conditionalFormatting sqref="B92">
    <cfRule type="duplicateValues" priority="18" dxfId="0"/>
  </conditionalFormatting>
  <conditionalFormatting sqref="B95:B99">
    <cfRule type="duplicateValues" priority="2" dxfId="0"/>
  </conditionalFormatting>
  <conditionalFormatting sqref="B100">
    <cfRule type="duplicateValues" priority="788" dxfId="0"/>
  </conditionalFormatting>
  <conditionalFormatting sqref="B110">
    <cfRule type="duplicateValues" priority="452" dxfId="0"/>
  </conditionalFormatting>
  <conditionalFormatting sqref="B112">
    <cfRule type="duplicateValues" priority="641" dxfId="0"/>
  </conditionalFormatting>
  <conditionalFormatting sqref="B113:B115">
    <cfRule type="duplicateValues" priority="821" dxfId="0"/>
  </conditionalFormatting>
  <conditionalFormatting sqref="B116">
    <cfRule type="duplicateValues" priority="647" dxfId="0"/>
  </conditionalFormatting>
  <conditionalFormatting sqref="B118">
    <cfRule type="duplicateValues" priority="834" dxfId="0"/>
  </conditionalFormatting>
  <conditionalFormatting sqref="B120:B121">
    <cfRule type="duplicateValues" priority="881" dxfId="0"/>
  </conditionalFormatting>
  <conditionalFormatting sqref="B125">
    <cfRule type="duplicateValues" priority="439" dxfId="0"/>
  </conditionalFormatting>
  <conditionalFormatting sqref="B128">
    <cfRule type="duplicateValues" priority="684" dxfId="0"/>
  </conditionalFormatting>
  <conditionalFormatting sqref="B134">
    <cfRule type="duplicateValues" priority="835" dxfId="0"/>
  </conditionalFormatting>
  <conditionalFormatting sqref="B135">
    <cfRule type="duplicateValues" priority="645" dxfId="0"/>
  </conditionalFormatting>
  <conditionalFormatting sqref="B137">
    <cfRule type="duplicateValues" priority="833" dxfId="0"/>
    <cfRule type="duplicateValues" priority="832" dxfId="0"/>
  </conditionalFormatting>
  <conditionalFormatting sqref="B138">
    <cfRule type="duplicateValues" priority="644" dxfId="0"/>
  </conditionalFormatting>
  <conditionalFormatting sqref="B143:B144">
    <cfRule type="duplicateValues" priority="819" dxfId="0"/>
  </conditionalFormatting>
  <conditionalFormatting sqref="B146">
    <cfRule type="duplicateValues" priority="789" dxfId="0"/>
  </conditionalFormatting>
  <conditionalFormatting sqref="B148">
    <cfRule type="duplicateValues" priority="790" dxfId="0"/>
  </conditionalFormatting>
  <conditionalFormatting sqref="B149">
    <cfRule type="duplicateValues" priority="683" dxfId="0"/>
  </conditionalFormatting>
  <conditionalFormatting sqref="B150:B151">
    <cfRule type="duplicateValues" priority="818" dxfId="0"/>
  </conditionalFormatting>
  <conditionalFormatting sqref="B157">
    <cfRule type="duplicateValues" priority="643" dxfId="0"/>
  </conditionalFormatting>
  <conditionalFormatting sqref="B161:B164">
    <cfRule type="duplicateValues" priority="817" dxfId="0"/>
  </conditionalFormatting>
  <conditionalFormatting sqref="B165">
    <cfRule type="duplicateValues" priority="682" dxfId="0"/>
  </conditionalFormatting>
  <conditionalFormatting sqref="B173">
    <cfRule type="duplicateValues" priority="815" dxfId="0"/>
  </conditionalFormatting>
  <conditionalFormatting sqref="B174">
    <cfRule type="duplicateValues" priority="813" dxfId="0"/>
  </conditionalFormatting>
  <conditionalFormatting sqref="B176">
    <cfRule type="duplicateValues" priority="811" dxfId="0"/>
  </conditionalFormatting>
  <conditionalFormatting sqref="B178">
    <cfRule type="duplicateValues" priority="809" dxfId="0"/>
  </conditionalFormatting>
  <conditionalFormatting sqref="B191">
    <cfRule type="duplicateValues" priority="807" dxfId="0"/>
  </conditionalFormatting>
  <conditionalFormatting sqref="B192:B200 B202:B204">
    <cfRule type="duplicateValues" priority="840" dxfId="0"/>
  </conditionalFormatting>
  <conditionalFormatting sqref="B201">
    <cfRule type="duplicateValues" priority="695" dxfId="0"/>
  </conditionalFormatting>
  <conditionalFormatting sqref="B205">
    <cfRule type="duplicateValues" priority="693" dxfId="0"/>
  </conditionalFormatting>
  <conditionalFormatting sqref="B206 C192:C200 C202:C204">
    <cfRule type="duplicateValues" priority="1126" dxfId="0"/>
  </conditionalFormatting>
  <conditionalFormatting sqref="B207:B209">
    <cfRule type="duplicateValues" priority="694" dxfId="0"/>
  </conditionalFormatting>
  <conditionalFormatting sqref="B216">
    <cfRule type="duplicateValues" priority="604" dxfId="0"/>
  </conditionalFormatting>
  <conditionalFormatting sqref="B218">
    <cfRule type="duplicateValues" priority="642" dxfId="0"/>
  </conditionalFormatting>
  <conditionalFormatting sqref="B223">
    <cfRule type="duplicateValues" priority="1" dxfId="0"/>
  </conditionalFormatting>
  <conditionalFormatting sqref="B229">
    <cfRule type="duplicateValues" priority="605" dxfId="0"/>
  </conditionalFormatting>
  <conditionalFormatting sqref="C27">
    <cfRule type="duplicateValues" priority="1135" dxfId="0"/>
  </conditionalFormatting>
  <conditionalFormatting sqref="C28">
    <cfRule type="duplicateValues" priority="1136" dxfId="0"/>
  </conditionalFormatting>
  <conditionalFormatting sqref="C29:C30 C32:C33">
    <cfRule type="duplicateValues" priority="1137" dxfId="0"/>
  </conditionalFormatting>
  <conditionalFormatting sqref="C31">
    <cfRule type="duplicateValues" priority="1142" dxfId="0"/>
  </conditionalFormatting>
  <conditionalFormatting sqref="C34:C35">
    <cfRule type="duplicateValues" priority="1141" dxfId="0"/>
  </conditionalFormatting>
  <conditionalFormatting sqref="C39">
    <cfRule type="duplicateValues" priority="1240" dxfId="0"/>
  </conditionalFormatting>
  <conditionalFormatting sqref="C47">
    <cfRule type="duplicateValues" priority="1139" dxfId="0"/>
  </conditionalFormatting>
  <conditionalFormatting sqref="C48">
    <cfRule type="duplicateValues" priority="1201" dxfId="0"/>
  </conditionalFormatting>
  <conditionalFormatting sqref="C56">
    <cfRule type="duplicateValues" priority="9" dxfId="0"/>
  </conditionalFormatting>
  <conditionalFormatting sqref="C57">
    <cfRule type="duplicateValues" priority="11" dxfId="0"/>
  </conditionalFormatting>
  <conditionalFormatting sqref="C60">
    <cfRule type="duplicateValues" priority="26" dxfId="0"/>
  </conditionalFormatting>
  <conditionalFormatting sqref="C61">
    <cfRule type="duplicateValues" priority="1121" dxfId="0"/>
  </conditionalFormatting>
  <conditionalFormatting sqref="C62">
    <cfRule type="duplicateValues" priority="1122" dxfId="0"/>
  </conditionalFormatting>
  <conditionalFormatting sqref="C66">
    <cfRule type="duplicateValues" priority="448" dxfId="0"/>
  </conditionalFormatting>
  <conditionalFormatting sqref="C67">
    <cfRule type="duplicateValues" priority="447" dxfId="0"/>
  </conditionalFormatting>
  <conditionalFormatting sqref="C68">
    <cfRule type="duplicateValues" priority="449" dxfId="0"/>
  </conditionalFormatting>
  <conditionalFormatting sqref="C69">
    <cfRule type="duplicateValues" priority="1147" dxfId="0"/>
  </conditionalFormatting>
  <conditionalFormatting sqref="C70">
    <cfRule type="duplicateValues" priority="1155" dxfId="0"/>
  </conditionalFormatting>
  <conditionalFormatting sqref="C71">
    <cfRule type="duplicateValues" priority="1108" dxfId="0"/>
  </conditionalFormatting>
  <conditionalFormatting sqref="C75">
    <cfRule type="duplicateValues" priority="444" dxfId="0"/>
  </conditionalFormatting>
  <conditionalFormatting sqref="C76">
    <cfRule type="duplicateValues" priority="443" dxfId="0"/>
  </conditionalFormatting>
  <conditionalFormatting sqref="C77">
    <cfRule type="duplicateValues" priority="445" dxfId="0"/>
  </conditionalFormatting>
  <conditionalFormatting sqref="C78">
    <cfRule type="duplicateValues" priority="1149" dxfId="0"/>
  </conditionalFormatting>
  <conditionalFormatting sqref="C79">
    <cfRule type="duplicateValues" priority="1157" dxfId="0"/>
  </conditionalFormatting>
  <conditionalFormatting sqref="C80">
    <cfRule type="duplicateValues" priority="1110" dxfId="0"/>
  </conditionalFormatting>
  <conditionalFormatting sqref="C84:C86">
    <cfRule type="duplicateValues" priority="441" dxfId="0"/>
  </conditionalFormatting>
  <conditionalFormatting sqref="C87">
    <cfRule type="duplicateValues" priority="1151" dxfId="0"/>
  </conditionalFormatting>
  <conditionalFormatting sqref="C88">
    <cfRule type="duplicateValues" priority="1153" dxfId="0"/>
  </conditionalFormatting>
  <conditionalFormatting sqref="C89">
    <cfRule type="duplicateValues" priority="1158" dxfId="0"/>
  </conditionalFormatting>
  <conditionalFormatting sqref="C95">
    <cfRule type="duplicateValues" priority="3" dxfId="0"/>
  </conditionalFormatting>
  <conditionalFormatting sqref="C110">
    <cfRule type="duplicateValues" priority="1144" dxfId="0"/>
  </conditionalFormatting>
  <conditionalFormatting sqref="C112">
    <cfRule type="duplicateValues" priority="1143" dxfId="0"/>
  </conditionalFormatting>
  <conditionalFormatting sqref="C113:C115">
    <cfRule type="duplicateValues" priority="1114" dxfId="0"/>
  </conditionalFormatting>
  <conditionalFormatting sqref="C120">
    <cfRule type="duplicateValues" priority="1145" dxfId="0"/>
  </conditionalFormatting>
  <conditionalFormatting sqref="C161">
    <cfRule type="duplicateValues" priority="1115" dxfId="0"/>
  </conditionalFormatting>
  <conditionalFormatting sqref="C167">
    <cfRule type="duplicateValues" priority="233" dxfId="0"/>
  </conditionalFormatting>
  <conditionalFormatting sqref="C173">
    <cfRule type="duplicateValues" priority="1116" dxfId="0"/>
  </conditionalFormatting>
  <conditionalFormatting sqref="C174">
    <cfRule type="duplicateValues" priority="1117" dxfId="0"/>
  </conditionalFormatting>
  <conditionalFormatting sqref="C176">
    <cfRule type="duplicateValues" priority="1118" dxfId="0"/>
  </conditionalFormatting>
  <conditionalFormatting sqref="C178">
    <cfRule type="duplicateValues" priority="1119" dxfId="0"/>
  </conditionalFormatting>
  <conditionalFormatting sqref="C191">
    <cfRule type="duplicateValues" priority="1120" dxfId="0"/>
  </conditionalFormatting>
  <conditionalFormatting sqref="C201">
    <cfRule type="duplicateValues" priority="1131" dxfId="0"/>
  </conditionalFormatting>
  <conditionalFormatting sqref="C205">
    <cfRule type="duplicateValues" priority="1134" dxfId="0"/>
  </conditionalFormatting>
  <conditionalFormatting sqref="C206">
    <cfRule type="duplicateValues" priority="1132" dxfId="0"/>
  </conditionalFormatting>
  <conditionalFormatting sqref="C207:C209">
    <cfRule type="duplicateValues" priority="1133" dxfId="0"/>
  </conditionalFormatting>
  <conditionalFormatting sqref="D27:D35">
    <cfRule type="expression" priority="56" dxfId="4" stopIfTrue="1">
      <formula>$A27="begin group"</formula>
    </cfRule>
    <cfRule type="expression" priority="40" dxfId="19" stopIfTrue="1">
      <formula>$A27="geopoint"</formula>
    </cfRule>
    <cfRule type="expression" priority="28" dxfId="31" stopIfTrue="1">
      <formula>OR($A27="audio", $A27="video")</formula>
    </cfRule>
    <cfRule type="expression" priority="29" dxfId="30" stopIfTrue="1">
      <formula>OR($A27="audio", $A27="video")</formula>
    </cfRule>
    <cfRule type="expression" priority="30" dxfId="29" stopIfTrue="1">
      <formula>$A27="image"</formula>
    </cfRule>
    <cfRule type="expression" priority="31" dxfId="28" stopIfTrue="1">
      <formula>$A27="image"</formula>
    </cfRule>
    <cfRule type="expression" priority="32" dxfId="27" stopIfTrue="1">
      <formula>OR($A27="date", $A27="datetime")</formula>
    </cfRule>
    <cfRule type="expression" priority="33" dxfId="26" stopIfTrue="1">
      <formula>OR($A27="date", $A27="datetime")</formula>
    </cfRule>
    <cfRule type="expression" priority="34" dxfId="25" stopIfTrue="1">
      <formula>OR($A27="calculate", $A27="calculate_here")</formula>
    </cfRule>
    <cfRule type="expression" priority="35" dxfId="24" stopIfTrue="1">
      <formula>$A27="note"</formula>
    </cfRule>
    <cfRule type="expression" priority="36" dxfId="23" stopIfTrue="1">
      <formula>$A27="note"</formula>
    </cfRule>
    <cfRule type="expression" priority="37" dxfId="22" stopIfTrue="1">
      <formula>$A27="barcode"</formula>
    </cfRule>
    <cfRule type="expression" priority="38" dxfId="21" stopIfTrue="1">
      <formula>$A27="barcode"</formula>
    </cfRule>
    <cfRule type="expression" priority="39" dxfId="20" stopIfTrue="1">
      <formula>$A27="geopoint"</formula>
    </cfRule>
    <cfRule type="expression" priority="41" dxfId="32" stopIfTrue="1">
      <formula>OR($A27="audio audit", $A27="text audit")</formula>
    </cfRule>
    <cfRule type="expression" priority="42" dxfId="18" stopIfTrue="1">
      <formula>OR($A27="username", $A27="phonenumber", $A27="start", $A27="end", $A27="deviceid", $A27="subscriberid", $A27="simserial")</formula>
    </cfRule>
    <cfRule type="expression" priority="43" dxfId="17" stopIfTrue="1">
      <formula>OR(AND(LEFT($A27, 16)="select_multiple ", LEN($A27)&gt;16, NOT(ISNUMBER(SEARCH(" ", $A27, 17)))), AND(LEFT($A27, 11)="select_one ", LEN($A27)&gt;11, NOT(ISNUMBER(SEARCH(" ", $A27, 12)))))</formula>
    </cfRule>
    <cfRule type="expression" priority="44" dxfId="16" stopIfTrue="1">
      <formula>OR(AND(LEFT($A27, 16)="select_multiple ", LEN($A27)&gt;16, NOT(ISNUMBER(SEARCH(" ", $A27, 17)))), AND(LEFT($A27, 11)="select_one ", LEN($A27)&gt;11, NOT(ISNUMBER(SEARCH(" ", $A27, 12)))))</formula>
    </cfRule>
    <cfRule type="expression" priority="45" dxfId="14" stopIfTrue="1">
      <formula>$A27="decimal"</formula>
    </cfRule>
    <cfRule type="expression" priority="46" dxfId="13" stopIfTrue="1">
      <formula>$A27="decimal"</formula>
    </cfRule>
    <cfRule type="expression" priority="47" dxfId="15" stopIfTrue="1">
      <formula>$A27="integer"</formula>
    </cfRule>
    <cfRule type="expression" priority="48" dxfId="12" stopIfTrue="1">
      <formula>$A27="integer"</formula>
    </cfRule>
    <cfRule type="expression" priority="49" dxfId="11" stopIfTrue="1">
      <formula>$A27="text"</formula>
    </cfRule>
    <cfRule type="expression" priority="50" dxfId="10" stopIfTrue="1">
      <formula>$A27="text"</formula>
    </cfRule>
    <cfRule type="expression" priority="51" dxfId="7" stopIfTrue="1">
      <formula>$A27="end repeat"</formula>
    </cfRule>
    <cfRule type="expression" priority="52" dxfId="8" stopIfTrue="1">
      <formula>$A27="begin repeat"</formula>
    </cfRule>
    <cfRule type="expression" priority="53" dxfId="7" stopIfTrue="1">
      <formula>$A27="begin repeat"</formula>
    </cfRule>
    <cfRule type="expression" priority="54" dxfId="4" stopIfTrue="1">
      <formula>$A27="end group"</formula>
    </cfRule>
    <cfRule type="expression" priority="55" dxfId="5" stopIfTrue="1">
      <formula>$A27="begin group"</formula>
    </cfRule>
  </conditionalFormatting>
  <conditionalFormatting sqref="D43">
    <cfRule type="cellIs" priority="801" operator="notEqual" dxfId="0">
      <formula>$D$43</formula>
    </cfRule>
  </conditionalFormatting>
  <conditionalFormatting sqref="D221:D222">
    <cfRule type="expression" priority="144" dxfId="31" stopIfTrue="1">
      <formula>OR($A221="audio", $A221="video")</formula>
    </cfRule>
    <cfRule type="expression" priority="157" dxfId="32" stopIfTrue="1">
      <formula>OR($A221="audio audit", $A221="text audit")</formula>
    </cfRule>
    <cfRule type="expression" priority="145" dxfId="30" stopIfTrue="1">
      <formula>OR($A221="audio", $A221="video")</formula>
    </cfRule>
    <cfRule type="expression" priority="146" dxfId="29" stopIfTrue="1">
      <formula>$A221="image"</formula>
    </cfRule>
    <cfRule type="expression" priority="147" dxfId="28" stopIfTrue="1">
      <formula>$A221="image"</formula>
    </cfRule>
    <cfRule type="expression" priority="148" dxfId="27" stopIfTrue="1">
      <formula>OR($A221="date", $A221="datetime")</formula>
    </cfRule>
    <cfRule type="expression" priority="149" dxfId="26" stopIfTrue="1">
      <formula>OR($A221="date", $A221="datetime")</formula>
    </cfRule>
    <cfRule type="expression" priority="150" dxfId="25" stopIfTrue="1">
      <formula>OR($A221="calculate", $A221="calculate_here")</formula>
    </cfRule>
    <cfRule type="expression" priority="151" dxfId="24" stopIfTrue="1">
      <formula>$A221="note"</formula>
    </cfRule>
    <cfRule type="expression" priority="152" dxfId="23" stopIfTrue="1">
      <formula>$A221="note"</formula>
    </cfRule>
    <cfRule type="expression" priority="153" dxfId="22" stopIfTrue="1">
      <formula>$A221="barcode"</formula>
    </cfRule>
    <cfRule type="expression" priority="156" dxfId="19" stopIfTrue="1">
      <formula>$A221="geopoint"</formula>
    </cfRule>
    <cfRule type="expression" priority="154" dxfId="21" stopIfTrue="1">
      <formula>$A221="barcode"</formula>
    </cfRule>
    <cfRule type="expression" priority="155" dxfId="20" stopIfTrue="1">
      <formula>$A221="geopoint"</formula>
    </cfRule>
    <cfRule type="expression" priority="172" dxfId="4" stopIfTrue="1">
      <formula>$A221="begin group"</formula>
    </cfRule>
    <cfRule type="expression" priority="171" dxfId="5" stopIfTrue="1">
      <formula>$A221="begin group"</formula>
    </cfRule>
    <cfRule type="expression" priority="170" dxfId="4" stopIfTrue="1">
      <formula>$A221="end group"</formula>
    </cfRule>
    <cfRule type="expression" priority="169" dxfId="7" stopIfTrue="1">
      <formula>$A221="begin repeat"</formula>
    </cfRule>
    <cfRule type="expression" priority="168" dxfId="8" stopIfTrue="1">
      <formula>$A221="begin repeat"</formula>
    </cfRule>
    <cfRule type="expression" priority="167" dxfId="7" stopIfTrue="1">
      <formula>$A221="end repeat"</formula>
    </cfRule>
    <cfRule type="expression" priority="166" dxfId="10" stopIfTrue="1">
      <formula>$A221="text"</formula>
    </cfRule>
    <cfRule type="expression" priority="165" dxfId="11" stopIfTrue="1">
      <formula>$A221="text"</formula>
    </cfRule>
    <cfRule type="expression" priority="164" dxfId="12" stopIfTrue="1">
      <formula>$A221="integer"</formula>
    </cfRule>
    <cfRule type="expression" priority="163" dxfId="15" stopIfTrue="1">
      <formula>$A221="integer"</formula>
    </cfRule>
    <cfRule type="expression" priority="162" dxfId="13" stopIfTrue="1">
      <formula>$A221="decimal"</formula>
    </cfRule>
    <cfRule type="expression" priority="161" dxfId="14" stopIfTrue="1">
      <formula>$A221="decimal"</formula>
    </cfRule>
    <cfRule type="expression" priority="160" dxfId="16" stopIfTrue="1">
      <formula>OR(AND(LEFT($A221, 16)="select_multiple ", LEN($A221)&gt;16, NOT(ISNUMBER(SEARCH(" ", $A221, 17)))), AND(LEFT($A221, 11)="select_one ", LEN($A221)&gt;11, NOT(ISNUMBER(SEARCH(" ", $A221, 12)))))</formula>
    </cfRule>
    <cfRule type="expression" priority="159" dxfId="17" stopIfTrue="1">
      <formula>OR(AND(LEFT($A221, 16)="select_multiple ", LEN($A221)&gt;16, NOT(ISNUMBER(SEARCH(" ", $A221, 17)))), AND(LEFT($A221, 11)="select_one ", LEN($A221)&gt;11, NOT(ISNUMBER(SEARCH(" ", $A221, 12)))))</formula>
    </cfRule>
    <cfRule type="expression" priority="158" dxfId="18" stopIfTrue="1">
      <formula>OR($A221="username", $A221="phonenumber", $A221="start", $A221="end", $A221="deviceid", $A221="subscriberid", $A221="simserial")</formula>
    </cfRule>
  </conditionalFormatting>
  <conditionalFormatting sqref="F29">
    <cfRule type="expression" priority="86" dxfId="31" stopIfTrue="1">
      <formula>OR($A29="audio", $A29="video")</formula>
    </cfRule>
    <cfRule type="expression" priority="114" dxfId="4" stopIfTrue="1">
      <formula>$A29="begin group"</formula>
    </cfRule>
    <cfRule type="expression" priority="113" dxfId="5" stopIfTrue="1">
      <formula>$A29="begin group"</formula>
    </cfRule>
    <cfRule type="expression" priority="112" dxfId="4" stopIfTrue="1">
      <formula>$A29="end group"</formula>
    </cfRule>
    <cfRule type="expression" priority="111" dxfId="7" stopIfTrue="1">
      <formula>$A29="begin repeat"</formula>
    </cfRule>
    <cfRule type="expression" priority="110" dxfId="8" stopIfTrue="1">
      <formula>$A29="begin repeat"</formula>
    </cfRule>
    <cfRule type="expression" priority="109" dxfId="7" stopIfTrue="1">
      <formula>$A29="end repeat"</formula>
    </cfRule>
    <cfRule type="expression" priority="108" dxfId="10" stopIfTrue="1">
      <formula>$A29="text"</formula>
    </cfRule>
    <cfRule type="expression" priority="107" dxfId="11" stopIfTrue="1">
      <formula>$A29="text"</formula>
    </cfRule>
    <cfRule type="expression" priority="106" dxfId="12" stopIfTrue="1">
      <formula>$A29="integer"</formula>
    </cfRule>
    <cfRule type="expression" priority="105" dxfId="15" stopIfTrue="1">
      <formula>$A29="integer"</formula>
    </cfRule>
    <cfRule type="expression" priority="104" dxfId="13" stopIfTrue="1">
      <formula>$A29="decimal"</formula>
    </cfRule>
    <cfRule type="expression" priority="103" dxfId="14" stopIfTrue="1">
      <formula>$A29="decimal"</formula>
    </cfRule>
    <cfRule type="expression" priority="102" dxfId="16" stopIfTrue="1">
      <formula>OR(AND(LEFT($A29, 16)="select_multiple ", LEN($A29)&gt;16, NOT(ISNUMBER(SEARCH(" ", $A29, 17)))), AND(LEFT($A29, 11)="select_one ", LEN($A29)&gt;11, NOT(ISNUMBER(SEARCH(" ", $A29, 12)))))</formula>
    </cfRule>
    <cfRule type="expression" priority="101" dxfId="17" stopIfTrue="1">
      <formula>OR(AND(LEFT($A29, 16)="select_multiple ", LEN($A29)&gt;16, NOT(ISNUMBER(SEARCH(" ", $A29, 17)))), AND(LEFT($A29, 11)="select_one ", LEN($A29)&gt;11, NOT(ISNUMBER(SEARCH(" ", $A29, 12)))))</formula>
    </cfRule>
    <cfRule type="expression" priority="100" dxfId="18" stopIfTrue="1">
      <formula>OR($A29="username", $A29="phonenumber", $A29="start", $A29="end", $A29="deviceid", $A29="subscriberid", $A29="simserial")</formula>
    </cfRule>
    <cfRule type="expression" priority="99" dxfId="32" stopIfTrue="1">
      <formula>OR($A29="audio audit", $A29="text audit")</formula>
    </cfRule>
    <cfRule type="expression" priority="98" dxfId="19" stopIfTrue="1">
      <formula>$A29="geopoint"</formula>
    </cfRule>
    <cfRule type="expression" priority="97" dxfId="20" stopIfTrue="1">
      <formula>$A29="geopoint"</formula>
    </cfRule>
    <cfRule type="expression" priority="96" dxfId="21" stopIfTrue="1">
      <formula>$A29="barcode"</formula>
    </cfRule>
    <cfRule type="expression" priority="95" dxfId="22" stopIfTrue="1">
      <formula>$A29="barcode"</formula>
    </cfRule>
    <cfRule type="expression" priority="94" dxfId="23" stopIfTrue="1">
      <formula>$A29="note"</formula>
    </cfRule>
    <cfRule type="expression" priority="93" dxfId="24" stopIfTrue="1">
      <formula>$A29="note"</formula>
    </cfRule>
    <cfRule type="expression" priority="92" dxfId="25" stopIfTrue="1">
      <formula>OR($A29="calculate", $A29="calculate_here")</formula>
    </cfRule>
    <cfRule type="expression" priority="91" dxfId="26" stopIfTrue="1">
      <formula>OR($A29="date", $A29="datetime")</formula>
    </cfRule>
    <cfRule type="expression" priority="90" dxfId="27" stopIfTrue="1">
      <formula>OR($A29="date", $A29="datetime")</formula>
    </cfRule>
    <cfRule type="expression" priority="89" dxfId="28" stopIfTrue="1">
      <formula>$A29="image"</formula>
    </cfRule>
    <cfRule type="expression" priority="88" dxfId="29" stopIfTrue="1">
      <formula>$A29="image"</formula>
    </cfRule>
    <cfRule type="expression" priority="87" dxfId="30" stopIfTrue="1">
      <formula>OR($A29="audio", $A29="video")</formula>
    </cfRule>
  </conditionalFormatting>
  <conditionalFormatting sqref="F32">
    <cfRule type="expression" priority="128" dxfId="32" stopIfTrue="1">
      <formula>OR($A32="audio audit", $A32="text audit")</formula>
    </cfRule>
    <cfRule type="expression" priority="115" dxfId="31" stopIfTrue="1">
      <formula>OR($A32="audio", $A32="video")</formula>
    </cfRule>
    <cfRule type="expression" priority="116" dxfId="30" stopIfTrue="1">
      <formula>OR($A32="audio", $A32="video")</formula>
    </cfRule>
    <cfRule type="expression" priority="117" dxfId="29" stopIfTrue="1">
      <formula>$A32="image"</formula>
    </cfRule>
    <cfRule type="expression" priority="118" dxfId="28" stopIfTrue="1">
      <formula>$A32="image"</formula>
    </cfRule>
    <cfRule type="expression" priority="119" dxfId="27" stopIfTrue="1">
      <formula>OR($A32="date", $A32="datetime")</formula>
    </cfRule>
    <cfRule type="expression" priority="120" dxfId="26" stopIfTrue="1">
      <formula>OR($A32="date", $A32="datetime")</formula>
    </cfRule>
    <cfRule type="expression" priority="121" dxfId="25" stopIfTrue="1">
      <formula>OR($A32="calculate", $A32="calculate_here")</formula>
    </cfRule>
    <cfRule type="expression" priority="122" dxfId="24" stopIfTrue="1">
      <formula>$A32="note"</formula>
    </cfRule>
    <cfRule type="expression" priority="123" dxfId="23" stopIfTrue="1">
      <formula>$A32="note"</formula>
    </cfRule>
    <cfRule type="expression" priority="124" dxfId="22" stopIfTrue="1">
      <formula>$A32="barcode"</formula>
    </cfRule>
    <cfRule type="expression" priority="125" dxfId="21" stopIfTrue="1">
      <formula>$A32="barcode"</formula>
    </cfRule>
    <cfRule type="expression" priority="126" dxfId="20" stopIfTrue="1">
      <formula>$A32="geopoint"</formula>
    </cfRule>
    <cfRule type="expression" priority="127" dxfId="19" stopIfTrue="1">
      <formula>$A32="geopoint"</formula>
    </cfRule>
    <cfRule type="expression" priority="129" dxfId="18" stopIfTrue="1">
      <formula>OR($A32="username", $A32="phonenumber", $A32="start", $A32="end", $A32="deviceid", $A32="subscriberid", $A32="simserial")</formula>
    </cfRule>
    <cfRule type="expression" priority="130" dxfId="17" stopIfTrue="1">
      <formula>OR(AND(LEFT($A32, 16)="select_multiple ", LEN($A32)&gt;16, NOT(ISNUMBER(SEARCH(" ", $A32, 17)))), AND(LEFT($A32, 11)="select_one ", LEN($A32)&gt;11, NOT(ISNUMBER(SEARCH(" ", $A32, 12)))))</formula>
    </cfRule>
    <cfRule type="expression" priority="131" dxfId="16" stopIfTrue="1">
      <formula>OR(AND(LEFT($A32, 16)="select_multiple ", LEN($A32)&gt;16, NOT(ISNUMBER(SEARCH(" ", $A32, 17)))), AND(LEFT($A32, 11)="select_one ", LEN($A32)&gt;11, NOT(ISNUMBER(SEARCH(" ", $A32, 12)))))</formula>
    </cfRule>
    <cfRule type="expression" priority="134" dxfId="15" stopIfTrue="1">
      <formula>$A32="integer"</formula>
    </cfRule>
    <cfRule type="expression" priority="132" dxfId="14" stopIfTrue="1">
      <formula>$A32="decimal"</formula>
    </cfRule>
    <cfRule type="expression" priority="133" dxfId="13" stopIfTrue="1">
      <formula>$A32="decimal"</formula>
    </cfRule>
    <cfRule type="expression" priority="135" dxfId="12" stopIfTrue="1">
      <formula>$A32="integer"</formula>
    </cfRule>
    <cfRule type="expression" priority="136" dxfId="11" stopIfTrue="1">
      <formula>$A32="text"</formula>
    </cfRule>
    <cfRule type="expression" priority="137" dxfId="10" stopIfTrue="1">
      <formula>$A32="text"</formula>
    </cfRule>
    <cfRule type="expression" priority="138" dxfId="7" stopIfTrue="1">
      <formula>$A32="end repeat"</formula>
    </cfRule>
    <cfRule type="expression" priority="139" dxfId="8" stopIfTrue="1">
      <formula>$A32="begin repeat"</formula>
    </cfRule>
    <cfRule type="expression" priority="140" dxfId="7" stopIfTrue="1">
      <formula>$A32="begin repeat"</formula>
    </cfRule>
    <cfRule type="expression" priority="141" dxfId="4" stopIfTrue="1">
      <formula>$A32="end group"</formula>
    </cfRule>
    <cfRule type="expression" priority="142" dxfId="5" stopIfTrue="1">
      <formula>$A32="begin group"</formula>
    </cfRule>
    <cfRule type="expression" priority="143" dxfId="4" stopIfTrue="1">
      <formula>$A32="begin group"</formula>
    </cfRule>
  </conditionalFormatting>
  <conditionalFormatting sqref="M56">
    <cfRule type="duplicateValues" priority="8" dxfId="0"/>
  </conditionalFormatting>
  <conditionalFormatting sqref="M95">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236" min="4" max="4"/>
    <col width="10.453125" customWidth="1" style="236" min="5" max="5"/>
    <col width="41.453125" customWidth="1" style="1" min="6" max="6"/>
    <col width="46.453125" customWidth="1" style="369" min="7" max="7"/>
    <col width="10.453125" customWidth="1" style="1" min="8" max="12"/>
    <col width="10.453125" customWidth="1" style="1" min="13" max="16384"/>
  </cols>
  <sheetData>
    <row r="2">
      <c r="C2" s="4" t="n"/>
      <c r="D2" s="234" t="n"/>
      <c r="E2" s="234" t="n"/>
      <c r="F2" s="5" t="n"/>
      <c r="G2" s="367" t="n"/>
    </row>
    <row r="3" ht="28.9" customHeight="1">
      <c r="B3" s="3" t="n"/>
      <c r="C3" s="635" t="inlineStr">
        <is>
          <t xml:space="preserve">Select top 10 crops </t>
        </is>
      </c>
      <c r="D3" s="636" t="inlineStr">
        <is>
          <t>GeoPoll code</t>
        </is>
      </c>
      <c r="E3" s="636" t="inlineStr">
        <is>
          <t>Dataset code</t>
        </is>
      </c>
      <c r="F3" s="636" t="inlineStr">
        <is>
          <t>Label (EN)</t>
        </is>
      </c>
      <c r="G3" s="635" t="inlineStr">
        <is>
          <t>Label (AR)</t>
        </is>
      </c>
    </row>
    <row r="4" ht="15.65" customHeight="1">
      <c r="B4" s="3" t="n"/>
      <c r="C4" s="637" t="n"/>
      <c r="D4" s="638">
        <f t="array" ref="D4:D93">_xlfn.SEQUENCE(90,1,1,1)</f>
        <v/>
      </c>
      <c r="E4" s="639" t="inlineStr">
        <is>
          <t>1.1</t>
        </is>
      </c>
      <c r="F4" s="638" t="inlineStr">
        <is>
          <t>Rice</t>
        </is>
      </c>
      <c r="G4" s="640" t="inlineStr">
        <is>
          <t>الرز</t>
        </is>
      </c>
    </row>
    <row r="5" ht="15.65" customHeight="1">
      <c r="B5" s="3" t="n"/>
      <c r="C5" s="637" t="inlineStr">
        <is>
          <t>x</t>
        </is>
      </c>
      <c r="D5" s="638" t="n">
        <v>2</v>
      </c>
      <c r="E5" s="639" t="inlineStr">
        <is>
          <t>1.2</t>
        </is>
      </c>
      <c r="F5" s="638" t="inlineStr">
        <is>
          <t>Wheat</t>
        </is>
      </c>
      <c r="G5" s="370" t="inlineStr">
        <is>
          <t>القمح</t>
        </is>
      </c>
    </row>
    <row r="6" ht="15.65" customHeight="1">
      <c r="B6" s="3" t="n"/>
      <c r="C6" s="637" t="inlineStr">
        <is>
          <t>x</t>
        </is>
      </c>
      <c r="D6" s="638" t="n">
        <v>3</v>
      </c>
      <c r="E6" s="639" t="inlineStr">
        <is>
          <t>1.3</t>
        </is>
      </c>
      <c r="F6" s="638" t="inlineStr">
        <is>
          <t>Millet</t>
        </is>
      </c>
      <c r="G6" s="370" t="inlineStr">
        <is>
          <t>الدخن</t>
        </is>
      </c>
    </row>
    <row r="7" ht="15.65" customHeight="1">
      <c r="B7" s="3" t="n"/>
      <c r="C7" s="637" t="inlineStr">
        <is>
          <t>x</t>
        </is>
      </c>
      <c r="D7" s="638" t="n">
        <v>4</v>
      </c>
      <c r="E7" s="639" t="inlineStr">
        <is>
          <t>1.4</t>
        </is>
      </c>
      <c r="F7" s="638" t="inlineStr">
        <is>
          <t>Sorghum</t>
        </is>
      </c>
      <c r="G7" s="370" t="inlineStr">
        <is>
          <t>الذرة الرفيعة</t>
        </is>
      </c>
    </row>
    <row r="8" ht="15.65" customHeight="1">
      <c r="B8" s="3" t="n"/>
      <c r="C8" s="637" t="n"/>
      <c r="D8" s="638" t="n">
        <v>5</v>
      </c>
      <c r="E8" s="639" t="inlineStr">
        <is>
          <t>1.5</t>
        </is>
      </c>
      <c r="F8" s="638" t="inlineStr">
        <is>
          <t>Maize</t>
        </is>
      </c>
      <c r="G8" s="370" t="inlineStr">
        <is>
          <t>الذرة</t>
        </is>
      </c>
    </row>
    <row r="9" ht="15.65" customHeight="1">
      <c r="B9" s="3" t="n"/>
      <c r="C9" s="637" t="n"/>
      <c r="D9" s="638" t="n">
        <v>6</v>
      </c>
      <c r="E9" s="639" t="inlineStr">
        <is>
          <t>1.6</t>
        </is>
      </c>
      <c r="F9" s="638" t="inlineStr">
        <is>
          <t>Barley</t>
        </is>
      </c>
      <c r="G9" s="370" t="inlineStr">
        <is>
          <t>الشعير</t>
        </is>
      </c>
    </row>
    <row r="10" ht="15.65" customHeight="1">
      <c r="B10" s="3" t="n"/>
      <c r="C10" s="641" t="n"/>
      <c r="D10" s="638" t="n">
        <v>7</v>
      </c>
      <c r="E10" s="639" t="inlineStr">
        <is>
          <t>1.99</t>
        </is>
      </c>
      <c r="F10" s="642" t="inlineStr">
        <is>
          <t>Other Cereal</t>
        </is>
      </c>
      <c r="G10" s="371" t="inlineStr">
        <is>
          <t>الحبوب الأخرى</t>
        </is>
      </c>
    </row>
    <row r="11" ht="15.65" customHeight="1">
      <c r="B11" s="3" t="n"/>
      <c r="C11" s="637" t="n"/>
      <c r="D11" s="638" t="n">
        <v>8</v>
      </c>
      <c r="E11" s="639" t="inlineStr">
        <is>
          <t>2.1</t>
        </is>
      </c>
      <c r="F11" s="638" t="inlineStr">
        <is>
          <t>Cassava</t>
        </is>
      </c>
      <c r="G11" s="370" t="inlineStr">
        <is>
          <t>الكسافا</t>
        </is>
      </c>
    </row>
    <row r="12" ht="15.65" customHeight="1">
      <c r="B12" s="3" t="n"/>
      <c r="C12" s="637" t="inlineStr">
        <is>
          <t>x</t>
        </is>
      </c>
      <c r="D12" s="638" t="n">
        <v>9</v>
      </c>
      <c r="E12" s="639" t="inlineStr">
        <is>
          <t>2.2</t>
        </is>
      </c>
      <c r="F12" s="638" t="inlineStr">
        <is>
          <t>Potatoe</t>
        </is>
      </c>
      <c r="G12" s="370" t="inlineStr">
        <is>
          <t>البطاطا</t>
        </is>
      </c>
    </row>
    <row r="13" ht="15.65" customHeight="1">
      <c r="B13" s="3" t="n"/>
      <c r="C13" s="637" t="n"/>
      <c r="D13" s="638" t="n">
        <v>10</v>
      </c>
      <c r="E13" s="639" t="inlineStr">
        <is>
          <t>2.3</t>
        </is>
      </c>
      <c r="F13" s="638" t="inlineStr">
        <is>
          <t>Sweet Potatoes</t>
        </is>
      </c>
      <c r="G13" s="370" t="inlineStr">
        <is>
          <t>البطاطا الحلوة</t>
        </is>
      </c>
    </row>
    <row r="14" ht="15.65" customHeight="1">
      <c r="B14" s="3" t="n"/>
      <c r="C14" s="637" t="n"/>
      <c r="D14" s="638" t="n">
        <v>11</v>
      </c>
      <c r="E14" s="639" t="inlineStr">
        <is>
          <t>2.4</t>
        </is>
      </c>
      <c r="F14" s="638" t="inlineStr">
        <is>
          <t>Yams</t>
        </is>
      </c>
      <c r="G14" s="370" t="inlineStr">
        <is>
          <t>اليام</t>
        </is>
      </c>
    </row>
    <row r="15" ht="15.65" customHeight="1">
      <c r="B15" s="3" t="n"/>
      <c r="C15" s="637" t="n"/>
      <c r="D15" s="638" t="n">
        <v>12</v>
      </c>
      <c r="E15" s="639" t="inlineStr">
        <is>
          <t>2.5</t>
        </is>
      </c>
      <c r="F15" s="638" t="inlineStr">
        <is>
          <t>Carrots</t>
        </is>
      </c>
      <c r="G15" s="370" t="inlineStr">
        <is>
          <t>الجزر</t>
        </is>
      </c>
    </row>
    <row r="16" ht="15.65" customHeight="1">
      <c r="B16" s="3" t="n"/>
      <c r="C16" s="637" t="n"/>
      <c r="D16" s="638" t="n">
        <v>13</v>
      </c>
      <c r="E16" s="639" t="inlineStr">
        <is>
          <t>2.6</t>
        </is>
      </c>
      <c r="F16" s="638" t="inlineStr">
        <is>
          <t>Cocoyam</t>
        </is>
      </c>
      <c r="G16" s="370" t="inlineStr">
        <is>
          <t>القلقاس</t>
        </is>
      </c>
    </row>
    <row r="17" ht="15.65" customHeight="1">
      <c r="B17" s="3" t="n"/>
      <c r="C17" s="641" t="n"/>
      <c r="D17" s="638" t="n">
        <v>14</v>
      </c>
      <c r="E17" s="639" t="inlineStr">
        <is>
          <t>2.99</t>
        </is>
      </c>
      <c r="F17" s="642" t="inlineStr">
        <is>
          <t>Other tubers</t>
        </is>
      </c>
      <c r="G17" s="371" t="inlineStr">
        <is>
          <t>الدرنات الأخرى</t>
        </is>
      </c>
    </row>
    <row r="18" ht="15.65" customHeight="1">
      <c r="B18" s="3" t="n"/>
      <c r="C18" s="637" t="n"/>
      <c r="D18" s="638" t="n">
        <v>15</v>
      </c>
      <c r="E18" s="639" t="inlineStr">
        <is>
          <t>3.1</t>
        </is>
      </c>
      <c r="F18" s="638" t="inlineStr">
        <is>
          <t>Beans</t>
        </is>
      </c>
      <c r="G18" s="370" t="inlineStr">
        <is>
          <t>الفاصوليا</t>
        </is>
      </c>
    </row>
    <row r="19" ht="15.65" customHeight="1">
      <c r="B19" s="3" t="n"/>
      <c r="C19" s="637" t="inlineStr">
        <is>
          <t>x</t>
        </is>
      </c>
      <c r="D19" s="638" t="n">
        <v>16</v>
      </c>
      <c r="E19" s="639" t="inlineStr">
        <is>
          <t>3.2</t>
        </is>
      </c>
      <c r="F19" s="638" t="inlineStr">
        <is>
          <t>Lentils</t>
        </is>
      </c>
      <c r="G19" s="370" t="inlineStr">
        <is>
          <t>العدس</t>
        </is>
      </c>
    </row>
    <row r="20" ht="15.65" customHeight="1">
      <c r="B20" s="3" t="n"/>
      <c r="C20" s="637" t="n"/>
      <c r="D20" s="638" t="n">
        <v>17</v>
      </c>
      <c r="E20" s="639" t="inlineStr">
        <is>
          <t>3.3</t>
        </is>
      </c>
      <c r="F20" s="638" t="inlineStr">
        <is>
          <t>Peas</t>
        </is>
      </c>
      <c r="G20" s="370" t="inlineStr">
        <is>
          <t>البازيلاء</t>
        </is>
      </c>
    </row>
    <row r="21" ht="15.65" customHeight="1">
      <c r="B21" s="3" t="n"/>
      <c r="C21" s="637" t="n"/>
      <c r="D21" s="638" t="n">
        <v>18</v>
      </c>
      <c r="E21" s="639" t="inlineStr">
        <is>
          <t>3.4</t>
        </is>
      </c>
      <c r="F21" s="638" t="inlineStr">
        <is>
          <t>Soybeans</t>
        </is>
      </c>
      <c r="G21" s="370" t="inlineStr">
        <is>
          <t>فول الصويا</t>
        </is>
      </c>
    </row>
    <row r="22" ht="15.65" customHeight="1">
      <c r="B22" s="3" t="n"/>
      <c r="C22" s="637" t="n"/>
      <c r="D22" s="638" t="n">
        <v>19</v>
      </c>
      <c r="E22" s="639" t="inlineStr">
        <is>
          <t>3.5</t>
        </is>
      </c>
      <c r="F22" s="638" t="inlineStr">
        <is>
          <t>Chickpeas</t>
        </is>
      </c>
      <c r="G22" s="370" t="inlineStr">
        <is>
          <t>الحمص</t>
        </is>
      </c>
    </row>
    <row r="23" ht="15.65" customHeight="1">
      <c r="B23" s="3" t="n"/>
      <c r="C23" s="637" t="n"/>
      <c r="D23" s="638" t="n">
        <v>20</v>
      </c>
      <c r="E23" s="639" t="inlineStr">
        <is>
          <t>3.6</t>
        </is>
      </c>
      <c r="F23" s="638" t="inlineStr">
        <is>
          <t>Fava beans</t>
        </is>
      </c>
      <c r="G23" s="370" t="inlineStr">
        <is>
          <t>الفول</t>
        </is>
      </c>
    </row>
    <row r="24" ht="15.65" customHeight="1">
      <c r="B24" s="3" t="n"/>
      <c r="C24" s="637" t="n"/>
      <c r="D24" s="638" t="n">
        <v>21</v>
      </c>
      <c r="E24" s="639" t="inlineStr">
        <is>
          <t>3.7</t>
        </is>
      </c>
      <c r="F24" s="638" t="inlineStr">
        <is>
          <t>Broad beans</t>
        </is>
      </c>
      <c r="G24" s="370" t="inlineStr">
        <is>
          <t>الفاصوليا العريضة</t>
        </is>
      </c>
    </row>
    <row r="25" ht="15.65" customHeight="1">
      <c r="B25" s="3" t="n"/>
      <c r="C25" s="641" t="n"/>
      <c r="D25" s="638" t="n">
        <v>22</v>
      </c>
      <c r="E25" s="639" t="inlineStr">
        <is>
          <t>3.99</t>
        </is>
      </c>
      <c r="F25" s="642" t="inlineStr">
        <is>
          <t>Other pulses</t>
        </is>
      </c>
      <c r="G25" s="371" t="inlineStr">
        <is>
          <t>البقول الاخرى</t>
        </is>
      </c>
    </row>
    <row r="26" ht="15.65" customHeight="1">
      <c r="B26" s="3" t="n"/>
      <c r="C26" s="637" t="n"/>
      <c r="D26" s="638" t="n">
        <v>23</v>
      </c>
      <c r="E26" s="639" t="inlineStr">
        <is>
          <t>4.1</t>
        </is>
      </c>
      <c r="F26" s="638" t="inlineStr">
        <is>
          <t>Cabbage</t>
        </is>
      </c>
      <c r="G26" s="370" t="inlineStr">
        <is>
          <t>الملفوف</t>
        </is>
      </c>
    </row>
    <row r="27" ht="15.65" customHeight="1">
      <c r="B27" s="3" t="n"/>
      <c r="C27" s="637" t="n"/>
      <c r="D27" s="638" t="n">
        <v>24</v>
      </c>
      <c r="E27" s="639" t="inlineStr">
        <is>
          <t>4.2</t>
        </is>
      </c>
      <c r="F27" s="638" t="inlineStr">
        <is>
          <t>Lettuce</t>
        </is>
      </c>
      <c r="G27" s="370" t="inlineStr">
        <is>
          <t>الخس</t>
        </is>
      </c>
    </row>
    <row r="28" ht="15.65" customHeight="1">
      <c r="B28" s="3" t="n"/>
      <c r="C28" s="637" t="n"/>
      <c r="D28" s="638" t="n">
        <v>25</v>
      </c>
      <c r="E28" s="639" t="inlineStr">
        <is>
          <t>4.3</t>
        </is>
      </c>
      <c r="F28" s="638" t="inlineStr">
        <is>
          <t>Spinach-Amaranth</t>
        </is>
      </c>
      <c r="G28" s="370" t="inlineStr">
        <is>
          <t>السبانخ - القطيفة</t>
        </is>
      </c>
    </row>
    <row r="29" ht="15.65" customHeight="1">
      <c r="B29" s="3" t="n"/>
      <c r="C29" s="637" t="n"/>
      <c r="D29" s="638" t="n">
        <v>26</v>
      </c>
      <c r="E29" s="639" t="inlineStr">
        <is>
          <t>4.4</t>
        </is>
      </c>
      <c r="F29" s="638" t="inlineStr">
        <is>
          <t>Cassava leaves</t>
        </is>
      </c>
      <c r="G29" s="370" t="inlineStr">
        <is>
          <t>أوراق الكسافا</t>
        </is>
      </c>
    </row>
    <row r="30" ht="15.65" customHeight="1">
      <c r="B30" s="3" t="n"/>
      <c r="C30" s="637" t="n"/>
      <c r="D30" s="638" t="n">
        <v>27</v>
      </c>
      <c r="E30" s="639" t="inlineStr">
        <is>
          <t>4.5</t>
        </is>
      </c>
      <c r="F30" s="638" t="inlineStr">
        <is>
          <t>Potatoe leaves</t>
        </is>
      </c>
      <c r="G30" s="370" t="inlineStr">
        <is>
          <t>أوراق البطاطا</t>
        </is>
      </c>
    </row>
    <row r="31" ht="15.65" customHeight="1">
      <c r="B31" s="3" t="n"/>
      <c r="C31" s="637" t="n"/>
      <c r="D31" s="638" t="n">
        <v>28</v>
      </c>
      <c r="E31" s="639" t="inlineStr">
        <is>
          <t>4.6</t>
        </is>
      </c>
      <c r="F31" s="638" t="inlineStr">
        <is>
          <t>Moringa</t>
        </is>
      </c>
      <c r="G31" s="370" t="inlineStr">
        <is>
          <t>المورينجا</t>
        </is>
      </c>
    </row>
    <row r="32" ht="15.65" customHeight="1">
      <c r="B32" s="3" t="n"/>
      <c r="C32" s="637" t="n"/>
      <c r="D32" s="638" t="n">
        <v>29</v>
      </c>
      <c r="E32" s="639" t="inlineStr">
        <is>
          <t>4.7</t>
        </is>
      </c>
      <c r="F32" s="638" t="inlineStr">
        <is>
          <t>Sorrel Hibiscus / Rosselle</t>
        </is>
      </c>
      <c r="G32" s="370" t="inlineStr">
        <is>
          <t>الكركديه</t>
        </is>
      </c>
    </row>
    <row r="33" ht="15.65" customHeight="1">
      <c r="B33" s="3" t="n"/>
      <c r="C33" s="637" t="n"/>
      <c r="D33" s="638" t="n">
        <v>30</v>
      </c>
      <c r="E33" s="639" t="inlineStr">
        <is>
          <t>4.9</t>
        </is>
      </c>
      <c r="F33" s="638" t="inlineStr">
        <is>
          <t>Green salad herbs [thyme, parsley, mint, rocca, other]</t>
        </is>
      </c>
      <c r="G33" s="370" t="inlineStr">
        <is>
          <t>أعشاب السلطة الخضراء [زعتر ، بقدونس ، نعناع ، جرجير ، أنواع أخرى]</t>
        </is>
      </c>
    </row>
    <row r="34" ht="15.65" customHeight="1">
      <c r="B34" s="3" t="n"/>
      <c r="C34" s="637" t="n"/>
      <c r="D34" s="638" t="n">
        <v>31</v>
      </c>
      <c r="E34" s="639" t="inlineStr">
        <is>
          <t>4.101</t>
        </is>
      </c>
      <c r="F34" s="638" t="inlineStr">
        <is>
          <t>Cauliflower</t>
        </is>
      </c>
      <c r="G34" s="370" t="inlineStr">
        <is>
          <t>القرنبيط</t>
        </is>
      </c>
    </row>
    <row r="35" ht="15.65" customHeight="1">
      <c r="B35" s="3" t="n"/>
      <c r="C35" s="641" t="n"/>
      <c r="D35" s="638" t="n">
        <v>32</v>
      </c>
      <c r="E35" s="639" t="inlineStr">
        <is>
          <t>4.99</t>
        </is>
      </c>
      <c r="F35" s="642" t="inlineStr">
        <is>
          <t>Other leafy vegetables</t>
        </is>
      </c>
      <c r="G35" s="371" t="inlineStr">
        <is>
          <t>الخضار الورقية الأخرى</t>
        </is>
      </c>
    </row>
    <row r="36" ht="15.65" customHeight="1">
      <c r="B36" s="3" t="n"/>
      <c r="C36" s="637" t="inlineStr">
        <is>
          <t>x</t>
        </is>
      </c>
      <c r="D36" s="638" t="n">
        <v>33</v>
      </c>
      <c r="E36" s="639" t="inlineStr">
        <is>
          <t>5.1</t>
        </is>
      </c>
      <c r="F36" s="638" t="inlineStr">
        <is>
          <t>Tomatoes</t>
        </is>
      </c>
      <c r="G36" s="370" t="inlineStr">
        <is>
          <t>الطماطم</t>
        </is>
      </c>
    </row>
    <row r="37" ht="15.65" customHeight="1">
      <c r="B37" s="3" t="n"/>
      <c r="C37" s="637" t="n"/>
      <c r="D37" s="638" t="n">
        <v>34</v>
      </c>
      <c r="E37" s="639" t="inlineStr">
        <is>
          <t>5.2</t>
        </is>
      </c>
      <c r="F37" s="638" t="inlineStr">
        <is>
          <t>Cucumber</t>
        </is>
      </c>
      <c r="G37" s="370" t="inlineStr">
        <is>
          <t>الخيار</t>
        </is>
      </c>
    </row>
    <row r="38" ht="15.65" customHeight="1">
      <c r="B38" s="3" t="n"/>
      <c r="C38" s="637" t="n"/>
      <c r="D38" s="638" t="n">
        <v>35</v>
      </c>
      <c r="E38" s="639" t="inlineStr">
        <is>
          <t>5.3</t>
        </is>
      </c>
      <c r="F38" s="638" t="inlineStr">
        <is>
          <t>Pumpkin</t>
        </is>
      </c>
      <c r="G38" s="370" t="inlineStr">
        <is>
          <t>اليقطين</t>
        </is>
      </c>
    </row>
    <row r="39" ht="15.65" customHeight="1">
      <c r="B39" s="3" t="n"/>
      <c r="C39" s="637" t="n"/>
      <c r="D39" s="638" t="n">
        <v>36</v>
      </c>
      <c r="E39" s="639" t="inlineStr">
        <is>
          <t>5.4</t>
        </is>
      </c>
      <c r="F39" s="638" t="inlineStr">
        <is>
          <t>Eggplant/aubergine</t>
        </is>
      </c>
      <c r="G39" s="370" t="inlineStr">
        <is>
          <t>الباذنجان</t>
        </is>
      </c>
    </row>
    <row r="40" ht="15.65" customHeight="1">
      <c r="B40" s="3" t="n"/>
      <c r="C40" s="637" t="n"/>
      <c r="D40" s="638" t="n">
        <v>37</v>
      </c>
      <c r="E40" s="639" t="inlineStr">
        <is>
          <t>5.5</t>
        </is>
      </c>
      <c r="F40" s="638" t="inlineStr">
        <is>
          <t>Zucchini</t>
        </is>
      </c>
      <c r="G40" s="370" t="inlineStr">
        <is>
          <t>الكوسة</t>
        </is>
      </c>
    </row>
    <row r="41" ht="15.65" customHeight="1">
      <c r="B41" s="3" t="n"/>
      <c r="C41" s="637" t="inlineStr">
        <is>
          <t>x</t>
        </is>
      </c>
      <c r="D41" s="638" t="n">
        <v>38</v>
      </c>
      <c r="E41" s="639" t="inlineStr">
        <is>
          <t>5.6</t>
        </is>
      </c>
      <c r="F41" s="638" t="inlineStr">
        <is>
          <t>Okra</t>
        </is>
      </c>
      <c r="G41" s="370" t="inlineStr">
        <is>
          <t>البامية</t>
        </is>
      </c>
    </row>
    <row r="42" ht="15.65" customHeight="1">
      <c r="B42" s="3" t="n"/>
      <c r="C42" s="637" t="n"/>
      <c r="D42" s="638" t="n">
        <v>39</v>
      </c>
      <c r="E42" s="639" t="inlineStr">
        <is>
          <t>5.7</t>
        </is>
      </c>
      <c r="F42" s="638" t="inlineStr">
        <is>
          <t>Bell pepper</t>
        </is>
      </c>
      <c r="G42" s="370" t="inlineStr">
        <is>
          <t>الفلفل حلو</t>
        </is>
      </c>
    </row>
    <row r="43" ht="15.65" customHeight="1">
      <c r="B43" s="3" t="n"/>
      <c r="C43" s="637" t="n"/>
      <c r="D43" s="638" t="n">
        <v>40</v>
      </c>
      <c r="E43" s="639" t="inlineStr">
        <is>
          <t>5.8</t>
        </is>
      </c>
      <c r="F43" s="638" t="inlineStr">
        <is>
          <t>Onions</t>
        </is>
      </c>
      <c r="G43" s="370" t="inlineStr">
        <is>
          <t>بصل</t>
        </is>
      </c>
    </row>
    <row r="44" ht="15.65" customHeight="1">
      <c r="B44" s="3" t="n"/>
      <c r="C44" s="637" t="n"/>
      <c r="D44" s="638" t="n">
        <v>41</v>
      </c>
      <c r="E44" s="639" t="inlineStr">
        <is>
          <t>5.9</t>
        </is>
      </c>
      <c r="F44" s="638" t="inlineStr">
        <is>
          <t>Haricot</t>
        </is>
      </c>
      <c r="G44" s="370" t="inlineStr">
        <is>
          <t>اللوبياء</t>
        </is>
      </c>
    </row>
    <row r="45" ht="15.65" customHeight="1">
      <c r="B45" s="3" t="n"/>
      <c r="C45" s="637" t="n"/>
      <c r="D45" s="638" t="n">
        <v>42</v>
      </c>
      <c r="E45" s="639" t="inlineStr">
        <is>
          <t>5.101</t>
        </is>
      </c>
      <c r="F45" s="638" t="inlineStr">
        <is>
          <t>Green peas</t>
        </is>
      </c>
      <c r="G45" s="370" t="inlineStr">
        <is>
          <t>البازلاء الخضراء</t>
        </is>
      </c>
    </row>
    <row r="46" ht="15.65" customHeight="1">
      <c r="B46" s="3" t="n"/>
      <c r="C46" s="637" t="n"/>
      <c r="D46" s="638" t="n">
        <v>43</v>
      </c>
      <c r="E46" s="639" t="inlineStr">
        <is>
          <t>5.11</t>
        </is>
      </c>
      <c r="F46" s="638" t="inlineStr">
        <is>
          <t>Fava beans green</t>
        </is>
      </c>
      <c r="G46" s="370" t="inlineStr">
        <is>
          <t>الفول الأخضر</t>
        </is>
      </c>
    </row>
    <row r="47" ht="15.65" customHeight="1">
      <c r="B47" s="3" t="n"/>
      <c r="C47" s="641" t="n"/>
      <c r="D47" s="638" t="n">
        <v>44</v>
      </c>
      <c r="E47" s="639" t="inlineStr">
        <is>
          <t>5.99</t>
        </is>
      </c>
      <c r="F47" s="642" t="inlineStr">
        <is>
          <t>Other non leafy vegs</t>
        </is>
      </c>
      <c r="G47" s="371" t="inlineStr">
        <is>
          <t>الخضار غير الورقية الأخرى</t>
        </is>
      </c>
    </row>
    <row r="48" ht="15.65" customHeight="1">
      <c r="B48" s="3" t="n"/>
      <c r="C48" s="637" t="inlineStr">
        <is>
          <t>x</t>
        </is>
      </c>
      <c r="D48" s="638" t="n">
        <v>45</v>
      </c>
      <c r="E48" s="639" t="inlineStr">
        <is>
          <t>6.1</t>
        </is>
      </c>
      <c r="F48" s="638" t="inlineStr">
        <is>
          <t>Orange</t>
        </is>
      </c>
      <c r="G48" s="370" t="inlineStr">
        <is>
          <t>البرتقال</t>
        </is>
      </c>
    </row>
    <row r="49" ht="15.65" customHeight="1">
      <c r="B49" s="3" t="n"/>
      <c r="C49" s="637" t="n"/>
      <c r="D49" s="638" t="n">
        <v>46</v>
      </c>
      <c r="E49" s="639" t="inlineStr">
        <is>
          <t>6.2</t>
        </is>
      </c>
      <c r="F49" s="638" t="inlineStr">
        <is>
          <t>Lemon</t>
        </is>
      </c>
      <c r="G49" s="370" t="inlineStr">
        <is>
          <t>الليمون</t>
        </is>
      </c>
    </row>
    <row r="50" ht="15.65" customHeight="1">
      <c r="B50" s="3" t="n"/>
      <c r="C50" s="637" t="n"/>
      <c r="D50" s="638" t="n">
        <v>47</v>
      </c>
      <c r="E50" s="639" t="inlineStr">
        <is>
          <t>6.3</t>
        </is>
      </c>
      <c r="F50" s="638" t="inlineStr">
        <is>
          <t>Grapefruit</t>
        </is>
      </c>
      <c r="G50" s="370" t="inlineStr">
        <is>
          <t>الجريب فروت</t>
        </is>
      </c>
    </row>
    <row r="51" ht="15.65" customHeight="1">
      <c r="B51" s="3" t="n"/>
      <c r="C51" s="637" t="n"/>
      <c r="D51" s="638" t="n">
        <v>48</v>
      </c>
      <c r="E51" s="639" t="inlineStr">
        <is>
          <t>6.4</t>
        </is>
      </c>
      <c r="F51" s="638" t="inlineStr">
        <is>
          <t>Mandarins/clementines</t>
        </is>
      </c>
      <c r="G51" s="370" t="inlineStr">
        <is>
          <t>اليوسفي / الكليمنتين</t>
        </is>
      </c>
    </row>
    <row r="52" ht="15.65" customHeight="1">
      <c r="B52" s="3" t="n"/>
      <c r="C52" s="641" t="n"/>
      <c r="D52" s="638" t="n">
        <v>49</v>
      </c>
      <c r="E52" s="639" t="inlineStr">
        <is>
          <t>6.99</t>
        </is>
      </c>
      <c r="F52" s="642" t="inlineStr">
        <is>
          <t>Other citrus fruit</t>
        </is>
      </c>
      <c r="G52" s="371" t="inlineStr">
        <is>
          <t>الحمضيات الأخرى</t>
        </is>
      </c>
    </row>
    <row r="53" ht="15.65" customHeight="1">
      <c r="B53" s="3" t="n"/>
      <c r="C53" s="637" t="n"/>
      <c r="D53" s="638" t="n">
        <v>50</v>
      </c>
      <c r="E53" s="639" t="inlineStr">
        <is>
          <t>7.1</t>
        </is>
      </c>
      <c r="F53" s="638" t="inlineStr">
        <is>
          <t>Sweet Banana</t>
        </is>
      </c>
      <c r="G53" s="370" t="inlineStr">
        <is>
          <t>الموز</t>
        </is>
      </c>
    </row>
    <row r="54" ht="15.65" customHeight="1">
      <c r="B54" s="3" t="n"/>
      <c r="C54" s="637" t="n"/>
      <c r="D54" s="638" t="n">
        <v>51</v>
      </c>
      <c r="E54" s="639" t="inlineStr">
        <is>
          <t>7.2</t>
        </is>
      </c>
      <c r="F54" s="638" t="inlineStr">
        <is>
          <t>Plantains</t>
        </is>
      </c>
      <c r="G54" s="370" t="inlineStr">
        <is>
          <t>موز الجنة</t>
        </is>
      </c>
    </row>
    <row r="55" ht="15.65" customHeight="1">
      <c r="B55" s="3" t="n"/>
      <c r="C55" s="637" t="n"/>
      <c r="D55" s="638" t="n">
        <v>52</v>
      </c>
      <c r="E55" s="639" t="inlineStr">
        <is>
          <t>7.3</t>
        </is>
      </c>
      <c r="F55" s="638" t="inlineStr">
        <is>
          <t>Papaya</t>
        </is>
      </c>
      <c r="G55" s="370" t="inlineStr">
        <is>
          <t>البابايا</t>
        </is>
      </c>
    </row>
    <row r="56" ht="15.65" customHeight="1">
      <c r="B56" s="3" t="n"/>
      <c r="C56" s="637" t="n"/>
      <c r="D56" s="638" t="n">
        <v>53</v>
      </c>
      <c r="E56" s="639" t="inlineStr">
        <is>
          <t>7.4</t>
        </is>
      </c>
      <c r="F56" s="638" t="inlineStr">
        <is>
          <t>Mango</t>
        </is>
      </c>
      <c r="G56" s="370" t="inlineStr">
        <is>
          <t>المانجو</t>
        </is>
      </c>
    </row>
    <row r="57" ht="15.65" customHeight="1">
      <c r="B57" s="3" t="n"/>
      <c r="C57" s="637" t="n"/>
      <c r="D57" s="638" t="n">
        <v>54</v>
      </c>
      <c r="E57" s="639" t="inlineStr">
        <is>
          <t>7.5</t>
        </is>
      </c>
      <c r="F57" s="638" t="inlineStr">
        <is>
          <t>Guava</t>
        </is>
      </c>
      <c r="G57" s="370" t="inlineStr">
        <is>
          <t>الجوافة</t>
        </is>
      </c>
    </row>
    <row r="58" ht="15.65" customHeight="1">
      <c r="B58" s="3" t="n"/>
      <c r="C58" s="637" t="n"/>
      <c r="D58" s="638" t="n">
        <v>55</v>
      </c>
      <c r="E58" s="639" t="inlineStr">
        <is>
          <t>7.6</t>
        </is>
      </c>
      <c r="F58" s="638" t="inlineStr">
        <is>
          <t>Pineapple</t>
        </is>
      </c>
      <c r="G58" s="370" t="inlineStr">
        <is>
          <t>الأناناس</t>
        </is>
      </c>
    </row>
    <row r="59" ht="15.65" customHeight="1">
      <c r="B59" s="3" t="n"/>
      <c r="C59" s="637" t="n"/>
      <c r="D59" s="638" t="n">
        <v>56</v>
      </c>
      <c r="E59" s="639" t="inlineStr">
        <is>
          <t>7.7</t>
        </is>
      </c>
      <c r="F59" s="638" t="inlineStr">
        <is>
          <t>Avocado</t>
        </is>
      </c>
      <c r="G59" s="370" t="inlineStr">
        <is>
          <t>الأفوكادو</t>
        </is>
      </c>
    </row>
    <row r="60" ht="15.65" customHeight="1">
      <c r="B60" s="3" t="n"/>
      <c r="C60" s="637" t="n"/>
      <c r="D60" s="638" t="n">
        <v>57</v>
      </c>
      <c r="E60" s="639" t="inlineStr">
        <is>
          <t>7.8</t>
        </is>
      </c>
      <c r="F60" s="638" t="inlineStr">
        <is>
          <t>Water Melon</t>
        </is>
      </c>
      <c r="G60" s="370" t="inlineStr">
        <is>
          <t>البطيخ الأحمر</t>
        </is>
      </c>
    </row>
    <row r="61" ht="15.65" customHeight="1">
      <c r="B61" s="3" t="n"/>
      <c r="C61" s="637" t="n"/>
      <c r="D61" s="638" t="n">
        <v>58</v>
      </c>
      <c r="E61" s="639" t="inlineStr">
        <is>
          <t>7.9</t>
        </is>
      </c>
      <c r="F61" s="638" t="inlineStr">
        <is>
          <t>Dates</t>
        </is>
      </c>
      <c r="G61" s="370" t="inlineStr">
        <is>
          <t>التمر</t>
        </is>
      </c>
    </row>
    <row r="62" ht="15.65" customHeight="1">
      <c r="B62" s="3" t="n"/>
      <c r="C62" s="637" t="n"/>
      <c r="D62" s="638" t="n">
        <v>59</v>
      </c>
      <c r="E62" s="639" t="inlineStr">
        <is>
          <t>7.101</t>
        </is>
      </c>
      <c r="F62" s="638" t="inlineStr">
        <is>
          <t>Figs</t>
        </is>
      </c>
      <c r="G62" s="370" t="inlineStr">
        <is>
          <t>التين</t>
        </is>
      </c>
    </row>
    <row r="63" ht="15.65" customHeight="1">
      <c r="B63" s="3" t="n"/>
      <c r="C63" s="637" t="inlineStr">
        <is>
          <t>x</t>
        </is>
      </c>
      <c r="D63" s="638" t="n">
        <v>60</v>
      </c>
      <c r="E63" s="639" t="inlineStr">
        <is>
          <t>7.11</t>
        </is>
      </c>
      <c r="F63" s="638" t="inlineStr">
        <is>
          <t>Grapes</t>
        </is>
      </c>
      <c r="G63" s="370" t="inlineStr">
        <is>
          <t>العنب</t>
        </is>
      </c>
    </row>
    <row r="64" ht="15.65" customHeight="1">
      <c r="B64" s="3" t="n"/>
      <c r="C64" s="637" t="n"/>
      <c r="D64" s="638" t="n">
        <v>61</v>
      </c>
      <c r="E64" s="639" t="inlineStr">
        <is>
          <t>7.12</t>
        </is>
      </c>
      <c r="F64" s="638" t="inlineStr">
        <is>
          <t>Olives</t>
        </is>
      </c>
      <c r="G64" s="370" t="inlineStr">
        <is>
          <t>الزيتون</t>
        </is>
      </c>
    </row>
    <row r="65" ht="15.65" customHeight="1">
      <c r="B65" s="3" t="n"/>
      <c r="C65" s="637" t="n"/>
      <c r="D65" s="638" t="n">
        <v>62</v>
      </c>
      <c r="E65" s="639" t="inlineStr">
        <is>
          <t>7.13</t>
        </is>
      </c>
      <c r="F65" s="638" t="inlineStr">
        <is>
          <t>Apple</t>
        </is>
      </c>
      <c r="G65" s="370" t="inlineStr">
        <is>
          <t>التفاح</t>
        </is>
      </c>
    </row>
    <row r="66" ht="15.65" customHeight="1">
      <c r="B66" s="3" t="n"/>
      <c r="C66" s="637" t="n"/>
      <c r="D66" s="638" t="n">
        <v>63</v>
      </c>
      <c r="E66" s="639" t="inlineStr">
        <is>
          <t>7.14</t>
        </is>
      </c>
      <c r="F66" s="638" t="inlineStr">
        <is>
          <t>Apricot</t>
        </is>
      </c>
      <c r="G66" s="370" t="inlineStr">
        <is>
          <t>المشمش</t>
        </is>
      </c>
    </row>
    <row r="67" ht="15.65" customHeight="1">
      <c r="B67" s="3" t="n"/>
      <c r="C67" s="637" t="n"/>
      <c r="D67" s="638" t="n">
        <v>64</v>
      </c>
      <c r="E67" s="639" t="inlineStr">
        <is>
          <t>7.15</t>
        </is>
      </c>
      <c r="F67" s="638" t="inlineStr">
        <is>
          <t>Cherries</t>
        </is>
      </c>
      <c r="G67" s="370" t="inlineStr">
        <is>
          <t>الكرز</t>
        </is>
      </c>
    </row>
    <row r="68" ht="15.65" customHeight="1">
      <c r="B68" s="3" t="n"/>
      <c r="C68" s="637" t="n"/>
      <c r="D68" s="638" t="n">
        <v>65</v>
      </c>
      <c r="E68" s="639" t="inlineStr">
        <is>
          <t>7.16</t>
        </is>
      </c>
      <c r="F68" s="638" t="inlineStr">
        <is>
          <t>Peach/nectarine</t>
        </is>
      </c>
      <c r="G68" s="370" t="inlineStr">
        <is>
          <t>الدراق / النكتارين</t>
        </is>
      </c>
    </row>
    <row r="69" ht="15.65" customHeight="1">
      <c r="B69" s="3" t="n"/>
      <c r="C69" s="637" t="n"/>
      <c r="D69" s="638" t="n">
        <v>66</v>
      </c>
      <c r="E69" s="639" t="inlineStr">
        <is>
          <t>7.17</t>
        </is>
      </c>
      <c r="F69" s="638" t="inlineStr">
        <is>
          <t>Strawberries</t>
        </is>
      </c>
      <c r="G69" s="370" t="inlineStr">
        <is>
          <t>الفراولة</t>
        </is>
      </c>
    </row>
    <row r="70" ht="15.65" customHeight="1">
      <c r="B70" s="3" t="n"/>
      <c r="C70" s="637" t="n"/>
      <c r="D70" s="638" t="n">
        <v>67</v>
      </c>
      <c r="E70" s="639" t="inlineStr">
        <is>
          <t>7.18</t>
        </is>
      </c>
      <c r="F70" s="638" t="inlineStr">
        <is>
          <t>Melon [Cantaloupe]</t>
        </is>
      </c>
      <c r="G70" s="370" t="inlineStr">
        <is>
          <t>الشمام</t>
        </is>
      </c>
    </row>
    <row r="71" ht="15.65" customHeight="1">
      <c r="B71" s="3" t="n"/>
      <c r="C71" s="641" t="n"/>
      <c r="D71" s="638" t="n">
        <v>68</v>
      </c>
      <c r="E71" s="639" t="inlineStr">
        <is>
          <t>7.99</t>
        </is>
      </c>
      <c r="F71" s="642" t="inlineStr">
        <is>
          <t>Other fruit</t>
        </is>
      </c>
      <c r="G71" s="371" t="inlineStr">
        <is>
          <t>الفواكه الأخرى</t>
        </is>
      </c>
    </row>
    <row r="72" ht="15.65" customHeight="1">
      <c r="B72" s="3" t="n"/>
      <c r="C72" s="637" t="n"/>
      <c r="D72" s="638" t="n">
        <v>69</v>
      </c>
      <c r="E72" s="639" t="inlineStr">
        <is>
          <t>8.1</t>
        </is>
      </c>
      <c r="F72" s="638" t="inlineStr">
        <is>
          <t>Coconuts</t>
        </is>
      </c>
      <c r="G72" s="370" t="inlineStr">
        <is>
          <t>جوز الهند</t>
        </is>
      </c>
    </row>
    <row r="73" ht="15.65" customHeight="1">
      <c r="B73" s="3" t="n"/>
      <c r="C73" s="637" t="n"/>
      <c r="D73" s="638" t="n">
        <v>70</v>
      </c>
      <c r="E73" s="639" t="inlineStr">
        <is>
          <t>8.2</t>
        </is>
      </c>
      <c r="F73" s="638" t="inlineStr">
        <is>
          <t>Groundnut/peanut</t>
        </is>
      </c>
      <c r="G73" s="370" t="inlineStr">
        <is>
          <t>الفول السوداني</t>
        </is>
      </c>
    </row>
    <row r="74" ht="15.65" customHeight="1">
      <c r="B74" s="3" t="n"/>
      <c r="C74" s="637" t="n"/>
      <c r="D74" s="638" t="n">
        <v>71</v>
      </c>
      <c r="E74" s="639" t="inlineStr">
        <is>
          <t>8.3</t>
        </is>
      </c>
      <c r="F74" s="638" t="inlineStr">
        <is>
          <t>Cashew Nut</t>
        </is>
      </c>
      <c r="G74" s="370" t="inlineStr">
        <is>
          <t>الكاجو</t>
        </is>
      </c>
    </row>
    <row r="75" ht="15.65" customHeight="1">
      <c r="B75" s="3" t="n"/>
      <c r="C75" s="637" t="n"/>
      <c r="D75" s="638" t="n">
        <v>72</v>
      </c>
      <c r="E75" s="639" t="inlineStr">
        <is>
          <t>8.4</t>
        </is>
      </c>
      <c r="F75" s="638" t="inlineStr">
        <is>
          <t>Kola Nut</t>
        </is>
      </c>
      <c r="G75" s="370" t="inlineStr">
        <is>
          <t>جوز الكولا</t>
        </is>
      </c>
    </row>
    <row r="76" ht="15.65" customHeight="1">
      <c r="B76" s="3" t="n"/>
      <c r="C76" s="637" t="n"/>
      <c r="D76" s="638" t="n">
        <v>73</v>
      </c>
      <c r="E76" s="639" t="inlineStr">
        <is>
          <t>8.5</t>
        </is>
      </c>
      <c r="F76" s="638" t="inlineStr">
        <is>
          <t>Sesame</t>
        </is>
      </c>
      <c r="G76" s="370" t="inlineStr">
        <is>
          <t>السمسم</t>
        </is>
      </c>
    </row>
    <row r="77" ht="15.65" customHeight="1">
      <c r="B77" s="3" t="n"/>
      <c r="C77" s="637" t="n"/>
      <c r="D77" s="638" t="n">
        <v>74</v>
      </c>
      <c r="E77" s="639" t="inlineStr">
        <is>
          <t>8.6</t>
        </is>
      </c>
      <c r="F77" s="638" t="inlineStr">
        <is>
          <t>Bambara nut</t>
        </is>
      </c>
      <c r="G77" s="370" t="inlineStr">
        <is>
          <t>جوز البامبارا</t>
        </is>
      </c>
    </row>
    <row r="78" ht="15.65" customHeight="1">
      <c r="B78" s="3" t="n"/>
      <c r="C78" s="637" t="n"/>
      <c r="D78" s="638" t="n">
        <v>75</v>
      </c>
      <c r="E78" s="639" t="inlineStr">
        <is>
          <t>8.7</t>
        </is>
      </c>
      <c r="F78" s="638" t="inlineStr">
        <is>
          <t>Almond</t>
        </is>
      </c>
      <c r="G78" s="370" t="inlineStr">
        <is>
          <t>اللوز</t>
        </is>
      </c>
    </row>
    <row r="79" ht="15.65" customHeight="1">
      <c r="B79" s="3" t="n"/>
      <c r="C79" s="637" t="n"/>
      <c r="D79" s="638" t="n">
        <v>76</v>
      </c>
      <c r="E79" s="639" t="inlineStr">
        <is>
          <t>8.8</t>
        </is>
      </c>
      <c r="F79" s="638" t="inlineStr">
        <is>
          <t>Walnut</t>
        </is>
      </c>
      <c r="G79" s="370" t="inlineStr">
        <is>
          <t>الجوز</t>
        </is>
      </c>
    </row>
    <row r="80" ht="15.65" customHeight="1">
      <c r="B80" s="3" t="n"/>
      <c r="C80" s="641" t="n"/>
      <c r="D80" s="638" t="n">
        <v>77</v>
      </c>
      <c r="E80" s="639" t="inlineStr">
        <is>
          <t>8.99</t>
        </is>
      </c>
      <c r="F80" s="642" t="inlineStr">
        <is>
          <t>Other nuts</t>
        </is>
      </c>
      <c r="G80" s="371" t="inlineStr">
        <is>
          <t>المكسرات الأخرى</t>
        </is>
      </c>
    </row>
    <row r="81" ht="15.65" customHeight="1">
      <c r="B81" s="3" t="n"/>
      <c r="C81" s="637" t="n"/>
      <c r="D81" s="638" t="n">
        <v>78</v>
      </c>
      <c r="E81" s="639" t="inlineStr">
        <is>
          <t>9.1</t>
        </is>
      </c>
      <c r="F81" s="638" t="inlineStr">
        <is>
          <t>Cocoa</t>
        </is>
      </c>
      <c r="G81" s="370" t="inlineStr">
        <is>
          <t>الكاكاو</t>
        </is>
      </c>
    </row>
    <row r="82" ht="15.65" customHeight="1">
      <c r="B82" s="3" t="n"/>
      <c r="C82" s="637" t="inlineStr">
        <is>
          <t>x</t>
        </is>
      </c>
      <c r="D82" s="638" t="n">
        <v>79</v>
      </c>
      <c r="E82" s="639" t="inlineStr">
        <is>
          <t>9.2</t>
        </is>
      </c>
      <c r="F82" s="638" t="inlineStr">
        <is>
          <t>Coffee</t>
        </is>
      </c>
      <c r="G82" s="370" t="inlineStr">
        <is>
          <t>القهوة</t>
        </is>
      </c>
    </row>
    <row r="83" ht="15.65" customHeight="1">
      <c r="B83" s="3" t="n"/>
      <c r="C83" s="637" t="n"/>
      <c r="D83" s="638" t="n">
        <v>80</v>
      </c>
      <c r="E83" s="639" t="inlineStr">
        <is>
          <t>9.3</t>
        </is>
      </c>
      <c r="F83" s="638" t="inlineStr">
        <is>
          <t>Tea</t>
        </is>
      </c>
      <c r="G83" s="370" t="inlineStr">
        <is>
          <t>الشاي</t>
        </is>
      </c>
    </row>
    <row r="84" ht="15.65" customHeight="1">
      <c r="B84" s="3" t="n"/>
      <c r="C84" s="637" t="n"/>
      <c r="D84" s="638" t="n">
        <v>81</v>
      </c>
      <c r="E84" s="639" t="inlineStr">
        <is>
          <t>9.4</t>
        </is>
      </c>
      <c r="F84" s="638" t="inlineStr">
        <is>
          <t>Sugarcane</t>
        </is>
      </c>
      <c r="G84" s="370" t="inlineStr">
        <is>
          <t>قصب السكر</t>
        </is>
      </c>
    </row>
    <row r="85" ht="15.65" customHeight="1">
      <c r="B85" s="3" t="n"/>
      <c r="C85" s="637" t="n"/>
      <c r="D85" s="638" t="n">
        <v>82</v>
      </c>
      <c r="E85" s="639" t="inlineStr">
        <is>
          <t>9.5</t>
        </is>
      </c>
      <c r="F85" s="638" t="inlineStr">
        <is>
          <t>Sunflower</t>
        </is>
      </c>
      <c r="G85" s="370" t="inlineStr">
        <is>
          <t>دوار الشمس</t>
        </is>
      </c>
    </row>
    <row r="86" ht="15.65" customHeight="1">
      <c r="B86" s="3" t="n"/>
      <c r="C86" s="641" t="n"/>
      <c r="D86" s="638" t="n">
        <v>83</v>
      </c>
      <c r="E86" s="639" t="inlineStr">
        <is>
          <t>9.99</t>
        </is>
      </c>
      <c r="F86" s="642" t="inlineStr">
        <is>
          <t>Other food cash crop</t>
        </is>
      </c>
      <c r="G86" s="371" t="inlineStr">
        <is>
          <t xml:space="preserve">المحاصيل الغذائية النقدية الأخرى </t>
        </is>
      </c>
    </row>
    <row r="87" ht="15.65" customHeight="1">
      <c r="B87" s="3" t="n"/>
      <c r="C87" s="637" t="n"/>
      <c r="D87" s="638" t="n">
        <v>84</v>
      </c>
      <c r="E87" s="639" t="inlineStr">
        <is>
          <t>10.1</t>
        </is>
      </c>
      <c r="F87" s="638" t="inlineStr">
        <is>
          <t>Cotton</t>
        </is>
      </c>
      <c r="G87" s="370" t="inlineStr">
        <is>
          <t>القطن</t>
        </is>
      </c>
    </row>
    <row r="88" ht="15.65" customHeight="1">
      <c r="B88" s="3" t="n"/>
      <c r="C88" s="637" t="n"/>
      <c r="D88" s="638" t="n">
        <v>85</v>
      </c>
      <c r="E88" s="639" t="inlineStr">
        <is>
          <t>10.2</t>
        </is>
      </c>
      <c r="F88" s="638" t="inlineStr">
        <is>
          <t>Rubber</t>
        </is>
      </c>
      <c r="G88" s="370" t="inlineStr">
        <is>
          <t>المطاط</t>
        </is>
      </c>
    </row>
    <row r="89" ht="15.65" customHeight="1">
      <c r="B89" s="3" t="n"/>
      <c r="C89" s="637" t="n"/>
      <c r="D89" s="638" t="n">
        <v>86</v>
      </c>
      <c r="E89" s="639" t="inlineStr">
        <is>
          <t>10.3</t>
        </is>
      </c>
      <c r="F89" s="638" t="inlineStr">
        <is>
          <t>Jute</t>
        </is>
      </c>
      <c r="G89" s="370" t="inlineStr">
        <is>
          <t>الجوت</t>
        </is>
      </c>
    </row>
    <row r="90" ht="15.65" customHeight="1">
      <c r="B90" s="3" t="n"/>
      <c r="C90" s="637" t="n"/>
      <c r="D90" s="638" t="n">
        <v>87</v>
      </c>
      <c r="E90" s="639" t="inlineStr">
        <is>
          <t>10.4</t>
        </is>
      </c>
      <c r="F90" s="638" t="inlineStr">
        <is>
          <t>Fodder</t>
        </is>
      </c>
      <c r="G90" s="370" t="inlineStr">
        <is>
          <t>العلف</t>
        </is>
      </c>
    </row>
    <row r="91" ht="15.65" customHeight="1">
      <c r="B91" s="3" t="n"/>
      <c r="C91" s="637" t="n"/>
      <c r="D91" s="638" t="n">
        <v>88</v>
      </c>
      <c r="E91" s="639" t="inlineStr">
        <is>
          <t>10.5</t>
        </is>
      </c>
      <c r="F91" s="638" t="inlineStr">
        <is>
          <t>Tobacco</t>
        </is>
      </c>
      <c r="G91" s="370" t="inlineStr">
        <is>
          <t>التبغ</t>
        </is>
      </c>
    </row>
    <row r="92" ht="15.65" customHeight="1">
      <c r="B92" s="3" t="n"/>
      <c r="C92" s="637" t="inlineStr">
        <is>
          <t>x</t>
        </is>
      </c>
      <c r="D92" s="638" t="n">
        <v>89</v>
      </c>
      <c r="E92" s="639" t="inlineStr">
        <is>
          <t>10.6</t>
        </is>
      </c>
      <c r="F92" s="638" t="inlineStr">
        <is>
          <t>Qat</t>
        </is>
      </c>
      <c r="G92" s="370" t="inlineStr">
        <is>
          <t>القات</t>
        </is>
      </c>
    </row>
    <row r="93" ht="15.65" customHeight="1">
      <c r="B93" s="3" t="n"/>
      <c r="C93" s="641" t="n"/>
      <c r="D93" s="638" t="n">
        <v>90</v>
      </c>
      <c r="E93" s="639" t="inlineStr">
        <is>
          <t>10.99</t>
        </is>
      </c>
      <c r="F93" s="642" t="inlineStr">
        <is>
          <t>Other non-food cash crop</t>
        </is>
      </c>
      <c r="G93" s="371" t="inlineStr">
        <is>
          <t xml:space="preserve"> المحاصيل النقدية غير الغذائية الأخرى </t>
        </is>
      </c>
    </row>
    <row r="94">
      <c r="C94" s="6" t="n"/>
      <c r="D94" s="235" t="n"/>
      <c r="E94" s="235" t="n"/>
      <c r="F94" s="7" t="n"/>
      <c r="G94" s="368"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92" zoomScaleNormal="70" workbookViewId="0">
      <selection activeCell="D6" sqref="D6"/>
    </sheetView>
  </sheetViews>
  <sheetFormatPr baseColWidth="8" defaultColWidth="10.453125" defaultRowHeight="15.5"/>
  <cols>
    <col width="10.453125" customWidth="1" style="331" min="1" max="1"/>
    <col width="8.453125" customWidth="1" style="331" min="2" max="2"/>
    <col width="27.453125" customWidth="1" style="331" min="3" max="3"/>
    <col width="28" customWidth="1" style="331" min="4" max="5"/>
    <col width="51.1796875" customWidth="1" style="366" min="6" max="7"/>
    <col width="22.453125" customWidth="1" style="331" min="8" max="9"/>
    <col width="10.453125" customWidth="1" style="331" min="10" max="11"/>
    <col width="44" customWidth="1" style="331" min="12" max="12"/>
    <col width="10.453125" customWidth="1" style="331" min="13" max="17"/>
    <col width="10.453125" customWidth="1" style="331" min="18" max="16384"/>
  </cols>
  <sheetData>
    <row r="1" ht="40.4" customHeight="1" thickBot="1">
      <c r="A1" s="643" t="n"/>
      <c r="B1" s="643" t="n"/>
      <c r="C1" s="644" t="n"/>
      <c r="D1" s="644" t="n"/>
      <c r="E1" s="644" t="n"/>
      <c r="F1" s="645" t="n"/>
      <c r="G1" s="645" t="n"/>
      <c r="H1" s="644" t="n"/>
      <c r="I1" s="644" t="n"/>
      <c r="J1" s="643" t="n"/>
      <c r="K1" s="643" t="n"/>
      <c r="L1" s="643" t="n"/>
      <c r="M1" s="643" t="n"/>
    </row>
    <row r="2" ht="16.4" customHeight="1" thickBot="1">
      <c r="A2" s="646" t="n"/>
      <c r="B2" s="647" t="n"/>
      <c r="C2" s="332" t="inlineStr">
        <is>
          <t>Original</t>
        </is>
      </c>
      <c r="D2" s="333" t="inlineStr">
        <is>
          <t>Replacement (EN)</t>
        </is>
      </c>
      <c r="E2" s="334" t="inlineStr">
        <is>
          <t>Replacement (AR)</t>
        </is>
      </c>
      <c r="F2" s="335" t="inlineStr">
        <is>
          <t>Comment (EN)</t>
        </is>
      </c>
      <c r="G2" s="336" t="inlineStr">
        <is>
          <t>Comment (AR)</t>
        </is>
      </c>
      <c r="H2" s="333" t="inlineStr">
        <is>
          <t>Example (EN)</t>
        </is>
      </c>
      <c r="I2" s="337" t="inlineStr">
        <is>
          <t>Example (AR)</t>
        </is>
      </c>
      <c r="J2" s="648" t="n"/>
      <c r="K2" s="643" t="n"/>
      <c r="L2" s="643" t="n"/>
      <c r="M2" s="643" t="n"/>
    </row>
    <row r="3" ht="32.15" customHeight="1">
      <c r="A3" s="646" t="n"/>
      <c r="B3" s="700" t="inlineStr">
        <is>
          <t>FOR CORE QUESTIONS    .
(Mandatory to fill out)    .</t>
        </is>
      </c>
      <c r="C3" s="338" t="inlineStr">
        <is>
          <t>ADMIN1</t>
        </is>
      </c>
      <c r="D3" s="649" t="inlineStr">
        <is>
          <t>Governorate</t>
        </is>
      </c>
      <c r="E3" s="650" t="inlineStr">
        <is>
          <t xml:space="preserve">محافظة </t>
        </is>
      </c>
      <c r="F3" s="339" t="inlineStr">
        <is>
          <t>The first subdivision of the country, after national level; region; province; governorate; etc.</t>
        </is>
      </c>
      <c r="G3" s="651" t="inlineStr">
        <is>
          <t>التقسيم الأول للبلاد ، بعد المستوى الوطني ؛ منطقة؛ محافظة؛ ولاية ؛ إلخ.</t>
        </is>
      </c>
      <c r="H3" s="340" t="inlineStr">
        <is>
          <t>region</t>
        </is>
      </c>
      <c r="I3" s="376" t="inlineStr">
        <is>
          <t>منطقة</t>
        </is>
      </c>
      <c r="J3" s="648" t="n"/>
      <c r="K3" s="643" t="n"/>
      <c r="L3" s="643" t="n"/>
      <c r="M3" s="643" t="n"/>
    </row>
    <row r="4" ht="28.9" customHeight="1">
      <c r="A4" s="646" t="n"/>
      <c r="B4" s="701" t="n"/>
      <c r="C4" s="341" t="inlineStr">
        <is>
          <t>ADMIN2</t>
        </is>
      </c>
      <c r="D4" s="649" t="inlineStr">
        <is>
          <t>District</t>
        </is>
      </c>
      <c r="E4" s="652" t="inlineStr">
        <is>
          <t>مديرية</t>
        </is>
      </c>
      <c r="F4" s="342" t="inlineStr">
        <is>
          <t>The second subdivision of the country; district; municipality; LGA; etc.</t>
        </is>
      </c>
      <c r="G4" s="651" t="inlineStr">
        <is>
          <t>التقسيم الثاني للبلاد ؛ قضاء؛ بلدية؛ إلخ.</t>
        </is>
      </c>
      <c r="H4" s="653" t="inlineStr">
        <is>
          <t>district</t>
        </is>
      </c>
      <c r="I4" s="377" t="inlineStr">
        <is>
          <t>قضاء</t>
        </is>
      </c>
      <c r="J4" s="648" t="n"/>
      <c r="K4" s="643" t="n"/>
      <c r="L4" s="643" t="n"/>
      <c r="M4" s="643" t="n"/>
    </row>
    <row r="5" ht="72" customHeight="1">
      <c r="A5" s="646" t="n"/>
      <c r="B5" s="701" t="n"/>
      <c r="C5" s="341" t="inlineStr">
        <is>
          <t>reference year</t>
        </is>
      </c>
      <c r="D5" s="654" t="inlineStr">
        <is>
          <t>last year</t>
        </is>
      </c>
      <c r="E5" s="655" t="inlineStr">
        <is>
          <t>العام الماضي</t>
        </is>
      </c>
      <c r="F5" s="34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3" t="inlineStr">
        <is>
          <t>a normal year</t>
        </is>
      </c>
      <c r="I5" s="377" t="inlineStr">
        <is>
          <t>العام العادي</t>
        </is>
      </c>
      <c r="J5" s="648" t="n"/>
      <c r="K5" s="643" t="n"/>
      <c r="L5" s="643" t="n"/>
      <c r="M5" s="643" t="n"/>
    </row>
    <row r="6" ht="76.40000000000001" customHeight="1">
      <c r="A6" s="646" t="n"/>
      <c r="B6" s="701" t="n"/>
      <c r="C6" s="341" t="inlineStr">
        <is>
          <t>season</t>
        </is>
      </c>
      <c r="D6" s="656" t="inlineStr">
        <is>
          <t>Ongoing season</t>
        </is>
      </c>
      <c r="E6" s="652" t="inlineStr">
        <is>
          <t>الموسم الحالي</t>
        </is>
      </c>
      <c r="F6" s="343" t="inlineStr">
        <is>
          <t>Name the crop season(s) of interest if there are several cropping seasons in the country (e.g. Meher and Belg in Ethiopia, rainy season / flood-recession cropping / irrigated dry season in the Sahel). You can refer to the “last season” or “ongoing season".</t>
        </is>
      </c>
      <c r="G6" s="65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58" t="inlineStr">
        <is>
          <t>wet season</t>
        </is>
      </c>
      <c r="I6" s="378" t="inlineStr">
        <is>
          <t>موسم الأمطار</t>
        </is>
      </c>
      <c r="J6" s="648" t="n"/>
      <c r="K6" s="643" t="n"/>
      <c r="L6" s="643" t="n"/>
      <c r="M6" s="643" t="n"/>
    </row>
    <row r="7" ht="105.65" customHeight="1">
      <c r="A7" s="646" t="n"/>
      <c r="B7" s="701" t="n"/>
      <c r="C7" s="341" t="inlineStr">
        <is>
          <t>season phase</t>
        </is>
      </c>
      <c r="D7" s="654" t="inlineStr">
        <is>
          <t>Growth</t>
        </is>
      </c>
      <c r="E7" s="655" t="inlineStr">
        <is>
          <t>النمو</t>
        </is>
      </c>
      <c r="F7" s="34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2"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58" t="inlineStr">
        <is>
          <t>Harvesting</t>
        </is>
      </c>
      <c r="I7" s="379" t="inlineStr">
        <is>
          <t>الحصاد</t>
        </is>
      </c>
      <c r="J7" s="648" t="n"/>
      <c r="K7" s="643" t="n"/>
      <c r="L7" s="643" t="n"/>
      <c r="M7" s="643" t="n"/>
    </row>
    <row r="8" ht="76.40000000000001" customHeight="1">
      <c r="A8" s="646" t="n"/>
      <c r="B8" s="701" t="n"/>
      <c r="C8" s="344" t="inlineStr">
        <is>
          <t>local measurement unit</t>
        </is>
      </c>
      <c r="D8" s="659" t="inlineStr">
        <is>
          <t>5)Labneh
6)Qassabh
7)Hablah
8)Ma'ad
9)Salook
10)Shaklah
11)Neiha
12)Matreh
13)Wadan
14)Oqum
15)Asaoo
16)Shagan
17)Arfad
18)Aber
19)Taleem
20)Magabi
21)Hediah
22)Thera'a
23)Materah</t>
        </is>
      </c>
      <c r="E8" s="660" t="inlineStr">
        <is>
          <t>5)لبنة
6)قصبة
7) حبل/حبلة
8) معاد
9)سلوق
10) شكلة
11) نيحة
12) مطرح
13)ودن
14) عقم
15)اسعاو
16) شجن
17)رفد/ارفاد
19) عبر
20) تليم
21)مجابي
22) حدية
23) ذراع
24) مطبرة</t>
        </is>
      </c>
      <c r="F8" s="345" t="inlineStr">
        <is>
          <t xml:space="preserve">Specify the local measurement unit for land size, other than acres, hectares, square meters and square feet. If no other unit of measurement is needed, keep this cell blank. </t>
        </is>
      </c>
      <c r="G8" s="402"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58" t="inlineStr">
        <is>
          <t>Jeribs</t>
        </is>
      </c>
      <c r="I8" s="380" t="inlineStr">
        <is>
          <t>جريب</t>
        </is>
      </c>
      <c r="J8" s="648" t="n"/>
      <c r="K8" s="643" t="n"/>
      <c r="L8" s="643" t="n"/>
      <c r="M8" s="643" t="n"/>
    </row>
    <row r="9" ht="50.25" customHeight="1" thickBot="1">
      <c r="A9" s="646" t="n"/>
      <c r="B9" s="699" t="n"/>
      <c r="C9" s="346" t="inlineStr">
        <is>
          <t>local measurement unit conversion</t>
        </is>
      </c>
      <c r="D9" s="661" t="n"/>
      <c r="E9" s="662" t="n"/>
      <c r="F9" s="347" t="inlineStr">
        <is>
          <t>Include the conversion of the local measurement unit to hectares. In other words, how many local measurement units are in 1 ha. Only digits in Latin numbers should be inputted.</t>
        </is>
      </c>
      <c r="G9" s="403"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8" t="n">
        <v>0.2</v>
      </c>
      <c r="I9" s="349" t="n">
        <v>0.2</v>
      </c>
      <c r="J9" s="648" t="n"/>
      <c r="K9" s="643" t="n"/>
      <c r="L9" s="643" t="n"/>
      <c r="M9" s="643" t="n"/>
    </row>
    <row r="10" ht="32.15" customHeight="1">
      <c r="A10" s="646" t="n"/>
      <c r="B10" s="700" t="inlineStr">
        <is>
          <t>FOR OPTIONAL QUESTIONS    .
(Fill out if applicable)    .</t>
        </is>
      </c>
      <c r="C10" s="350" t="inlineStr">
        <is>
          <t>currency</t>
        </is>
      </c>
      <c r="D10" s="663" t="inlineStr">
        <is>
          <t>Rial</t>
        </is>
      </c>
      <c r="E10" s="664" t="inlineStr">
        <is>
          <t>الريال</t>
        </is>
      </c>
      <c r="F10" s="351" t="inlineStr">
        <is>
          <t xml:space="preserve">The name of the main currency used nationally; USD; Naira; Rial; Pesos; etc. </t>
        </is>
      </c>
      <c r="G10" s="404" t="inlineStr">
        <is>
          <t>اسم العملة الرئيسية المستخدمة وطنيا ؛ دولار أمريكي؛ نيرة؛ الريال؛ بيزو؛ إلخ.</t>
        </is>
      </c>
      <c r="H10" s="352" t="inlineStr">
        <is>
          <t>Naira</t>
        </is>
      </c>
      <c r="I10" s="382" t="inlineStr">
        <is>
          <t>نيرة</t>
        </is>
      </c>
      <c r="J10" s="648" t="n"/>
      <c r="K10" s="643" t="n"/>
      <c r="L10" s="643" t="n"/>
      <c r="M10" s="643" t="n"/>
    </row>
    <row r="11" ht="94.40000000000001" customHeight="1">
      <c r="A11" s="646" t="n"/>
      <c r="B11" s="701" t="n"/>
      <c r="C11" s="353" t="inlineStr">
        <is>
          <t>MIN AMOUNT</t>
        </is>
      </c>
      <c r="D11" s="665" t="inlineStr">
        <is>
          <t>Not applicable</t>
        </is>
      </c>
      <c r="E11" s="666" t="inlineStr">
        <is>
          <t>Not applicable</t>
        </is>
      </c>
      <c r="F11" s="35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2"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67" t="n">
        <v>5</v>
      </c>
      <c r="I11" s="668" t="n">
        <v>5</v>
      </c>
      <c r="J11" s="648" t="n"/>
      <c r="K11" s="643" t="n"/>
      <c r="L11" s="644" t="n"/>
      <c r="M11" s="643" t="n"/>
    </row>
    <row r="12" ht="158.15" customHeight="1">
      <c r="A12" s="646" t="n"/>
      <c r="B12" s="701" t="n"/>
      <c r="C12" s="341" t="inlineStr">
        <is>
          <t>MAX AMOUNT</t>
        </is>
      </c>
      <c r="D12" s="665" t="inlineStr">
        <is>
          <t>Not applicable</t>
        </is>
      </c>
      <c r="E12" s="666" t="inlineStr">
        <is>
          <t>Not applicable</t>
        </is>
      </c>
      <c r="F12" s="34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2"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69" t="n">
        <v>5000000</v>
      </c>
      <c r="I12" s="668" t="n">
        <v>5000000</v>
      </c>
      <c r="J12" s="648" t="n"/>
      <c r="K12" s="646" t="n"/>
      <c r="L12" s="355" t="n"/>
      <c r="M12" s="648" t="n"/>
    </row>
    <row r="13" ht="116.25" customHeight="1">
      <c r="A13" s="646" t="n"/>
      <c r="B13" s="701" t="n"/>
      <c r="C13" s="353" t="inlineStr">
        <is>
          <t>THRESHOLD</t>
        </is>
      </c>
      <c r="D13" s="665" t="inlineStr">
        <is>
          <t>Not applicable</t>
        </is>
      </c>
      <c r="E13" s="666" t="inlineStr">
        <is>
          <t>Not applicable</t>
        </is>
      </c>
      <c r="F13" s="34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69" t="n">
        <v>1200000</v>
      </c>
      <c r="I13" s="668" t="n">
        <v>1200000</v>
      </c>
      <c r="J13" s="648" t="n"/>
      <c r="K13" s="643" t="n"/>
      <c r="L13" s="670" t="n"/>
      <c r="M13" s="643" t="n"/>
    </row>
    <row r="14" ht="50.25" customHeight="1">
      <c r="A14" s="646" t="n"/>
      <c r="B14" s="701" t="n"/>
      <c r="C14" s="344" t="inlineStr">
        <is>
          <t>local vegetables</t>
        </is>
      </c>
      <c r="D14" s="656" t="inlineStr">
        <is>
          <t>tomatoes, okra, zucchini, cauliflower, cucumber, onions</t>
        </is>
      </c>
      <c r="E14" s="652" t="inlineStr">
        <is>
          <t>طماطم ، بامية ، كوسة ، قرنييط (زهرة) ، خيار ، بصل</t>
        </is>
      </c>
      <c r="F14" s="343" t="inlineStr">
        <is>
          <t>Input some common local vegetables [to be used as examples in the food consumption score indicator].</t>
        </is>
      </c>
      <c r="G14" s="372" t="inlineStr">
        <is>
          <t>أدخل بعض الخضروات المحلية الشائعة [لاستخدامها كأمثلة في مؤشر درجة استهلاك الغذاء].</t>
        </is>
      </c>
      <c r="H14" s="658" t="inlineStr">
        <is>
          <t>eggplants, zucchini, cauliflower</t>
        </is>
      </c>
      <c r="I14" s="378" t="inlineStr">
        <is>
          <t>باذنجان ، كوسة ، قرنبيط</t>
        </is>
      </c>
      <c r="J14" s="648" t="n"/>
      <c r="K14" s="643" t="n"/>
      <c r="L14" s="643" t="n"/>
      <c r="M14" s="643" t="n"/>
    </row>
    <row r="15" ht="50.25" customHeight="1" thickBot="1">
      <c r="A15" s="646" t="n"/>
      <c r="B15" s="699" t="n"/>
      <c r="C15" s="356" t="inlineStr">
        <is>
          <t>local fruits</t>
        </is>
      </c>
      <c r="D15" s="671" t="inlineStr">
        <is>
          <t>apple, orange, banana, grapes, mango, papaya, fig, muskmelon, red watermelon, dates</t>
        </is>
      </c>
      <c r="E15" s="672" t="inlineStr">
        <is>
          <t>التفاح / البرتقال ، الموز ، العنب ، المانجو ، البابايا ، التين ، الشمام ، البطيخ الاحمر ، البلح</t>
        </is>
      </c>
      <c r="F15" s="357" t="inlineStr">
        <is>
          <t>Input some common local fruits [to be used as examples in the food consumption score indicator].</t>
        </is>
      </c>
      <c r="G15" s="374" t="inlineStr">
        <is>
          <t>أدخل بعض الفاكهة المحلية الشائعة [لاستخدامها كأمثلة في مؤشر درجة استهلاك الغذاء].</t>
        </is>
      </c>
      <c r="H15" s="358" t="inlineStr">
        <is>
          <t>apples, bananas, oranges</t>
        </is>
      </c>
      <c r="I15" s="381" t="inlineStr">
        <is>
          <t>التفاح والموز والبرتقال</t>
        </is>
      </c>
      <c r="J15" s="648" t="n"/>
      <c r="K15" s="643" t="n"/>
      <c r="L15" s="643" t="n"/>
      <c r="M15" s="643" t="n"/>
    </row>
    <row r="16" ht="5.9" customHeight="1" thickBot="1">
      <c r="A16" s="646" t="n"/>
      <c r="B16" s="673" t="n"/>
      <c r="C16" s="359" t="n"/>
      <c r="D16" s="674" t="n"/>
      <c r="E16" s="675" t="n"/>
      <c r="F16" s="360" t="n"/>
      <c r="G16" s="361" t="n"/>
      <c r="H16" s="362" t="n"/>
      <c r="I16" s="363" t="n"/>
      <c r="J16" s="648" t="n"/>
      <c r="K16" s="643" t="n"/>
      <c r="L16" s="643" t="n"/>
      <c r="M16" s="643" t="n"/>
    </row>
    <row r="17" ht="133.4" customHeight="1">
      <c r="A17" s="646" t="n"/>
      <c r="B17" s="702" t="inlineStr">
        <is>
          <t>FILL OUT FOR QUESTIONNAIRE DURATION ESTIMATION    .</t>
        </is>
      </c>
      <c r="C17" s="399" t="inlineStr">
        <is>
          <t>Expected percentage of respondents cultivating crops</t>
        </is>
      </c>
      <c r="D17" s="676" t="inlineStr">
        <is>
          <t>38.7% (Source: YEM10)</t>
        </is>
      </c>
      <c r="E17" s="677" t="inlineStr">
        <is>
          <t>38.7% (Source: YEM10)</t>
        </is>
      </c>
      <c r="F17" s="40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00"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1" t="n">
        <v>0.91</v>
      </c>
      <c r="I17" s="330" t="n">
        <v>0.91</v>
      </c>
      <c r="J17" s="648" t="n"/>
    </row>
    <row r="18" ht="129.65" customHeight="1">
      <c r="A18" s="646" t="n"/>
      <c r="B18" s="701" t="n"/>
      <c r="C18" s="364" t="inlineStr">
        <is>
          <t>Expected percentage of respondents raising livestock</t>
        </is>
      </c>
      <c r="D18" s="678" t="inlineStr">
        <is>
          <t>44.7% (Source: YEM10)</t>
        </is>
      </c>
      <c r="E18" s="679" t="inlineStr">
        <is>
          <t>44.7% (Source: YEM10)</t>
        </is>
      </c>
      <c r="F18" s="68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5"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8" t="n">
        <v>0.91</v>
      </c>
      <c r="I18" s="82" t="n">
        <v>0.91</v>
      </c>
      <c r="J18" s="648" t="n"/>
    </row>
    <row r="19" ht="107.9" customHeight="1" thickBot="1">
      <c r="A19" s="646" t="n"/>
      <c r="B19" s="699" t="n"/>
      <c r="C19" s="365" t="inlineStr">
        <is>
          <t>Expected percentage of respondents involved in fishery</t>
        </is>
      </c>
      <c r="D19" s="681" t="inlineStr">
        <is>
          <t>2% (Source: YEM10)</t>
        </is>
      </c>
      <c r="E19" s="682" t="inlineStr">
        <is>
          <t>2% (Source: YEM10)</t>
        </is>
      </c>
      <c r="F19" s="406"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4"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9" t="n">
        <v>0.05</v>
      </c>
      <c r="I19" s="83" t="n">
        <v>0.05</v>
      </c>
      <c r="J19" s="648" t="n"/>
    </row>
    <row r="20">
      <c r="A20" s="643" t="n"/>
      <c r="B20" s="670" t="n"/>
      <c r="C20" s="670" t="n"/>
      <c r="D20" s="670" t="n"/>
      <c r="E20" s="670" t="n"/>
      <c r="F20" s="683" t="n"/>
      <c r="G20" s="683" t="n"/>
      <c r="H20" s="670" t="n"/>
      <c r="I20" s="670" t="n"/>
      <c r="J20" s="643"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81640625" defaultRowHeight="14.5"/>
  <sheetData>
    <row r="1">
      <c r="A1" s="517" t="inlineStr">
        <is>
          <t>adm2_name</t>
        </is>
      </c>
      <c r="B1" s="517" t="inlineStr">
        <is>
          <t>adm2_name_local</t>
        </is>
      </c>
      <c r="C1" s="517" t="inlineStr">
        <is>
          <t>adm2_pcode</t>
        </is>
      </c>
      <c r="D1" s="517" t="inlineStr">
        <is>
          <t>adm1_name</t>
        </is>
      </c>
      <c r="E1" s="517" t="inlineStr">
        <is>
          <t>adm1_pcode</t>
        </is>
      </c>
      <c r="F1" s="517" t="inlineStr">
        <is>
          <t>adm0_name</t>
        </is>
      </c>
      <c r="G1" s="517"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2026-05-08T09:19:21Z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