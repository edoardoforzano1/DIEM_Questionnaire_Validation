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9540" yWindow="9870" windowWidth="21600" windowHeight="11175" tabRatio="600" firstSheet="0" activeTab="0" autoFilterDateGrouping="1"/>
  </bookViews>
  <sheets>
    <sheet name="survey" sheetId="1" state="visible" r:id="rId1"/>
    <sheet name="Crop list" sheetId="2" state="visible" r:id="rId2"/>
    <sheet name="Additional information" sheetId="3" state="visible" r:id="rId3"/>
    <sheet name="Admin 2 info" sheetId="4" state="visible" r:id="rId4"/>
  </sheets>
  <externalReferences>
    <externalReference r:id="rId5"/>
  </externalReferences>
  <definedNames>
    <definedName name="_xlnm._FilterDatabase" localSheetId="1" hidden="1">'Crop list'!$C$3:$F$93</definedName>
    <definedName name="_xlnm._FilterDatabase" localSheetId="3" hidden="1">'Admin 2 info'!$A$1:$G$334</definedName>
  </definedNames>
  <calcPr calcId="191028" fullCalcOnLoad="1"/>
</workbook>
</file>

<file path=xl/styles.xml><?xml version="1.0" encoding="utf-8"?>
<styleSheet xmlns="http://schemas.openxmlformats.org/spreadsheetml/2006/main">
  <numFmts count="3">
    <numFmt numFmtId="164" formatCode="[$-1170000]B2dd/mm/yyyy;@"/>
    <numFmt numFmtId="165" formatCode="0.0"/>
    <numFmt numFmtId="166" formatCode="0.0%"/>
  </numFmts>
  <fonts count="22">
    <font>
      <name val="Calibri"/>
      <family val="2"/>
      <color theme="1"/>
      <sz val="11"/>
      <scheme val="minor"/>
    </font>
    <font>
      <name val="Calibri"/>
      <family val="2"/>
      <color theme="1"/>
      <sz val="12"/>
      <scheme val="minor"/>
    </font>
    <font>
      <name val="Calibri"/>
      <family val="2"/>
      <color theme="1"/>
      <sz val="11"/>
      <scheme val="minor"/>
    </font>
    <font>
      <name val="Calibri"/>
      <family val="2"/>
      <color theme="1"/>
      <sz val="12"/>
      <scheme val="minor"/>
    </font>
    <font>
      <name val="Arial"/>
      <family val="2"/>
      <color rgb="FF000000"/>
      <sz val="10"/>
    </font>
    <font>
      <name val="Calibri"/>
      <family val="2"/>
      <sz val="11"/>
      <scheme val="minor"/>
    </font>
    <font>
      <name val="Calibri"/>
      <family val="2"/>
      <sz val="12"/>
      <scheme val="minor"/>
    </font>
    <font>
      <name val="Calibri"/>
      <family val="2"/>
      <b val="1"/>
      <color theme="0"/>
      <sz val="12"/>
      <scheme val="minor"/>
    </font>
    <font>
      <name val="Calibri"/>
      <family val="2"/>
      <b val="1"/>
      <sz val="12"/>
      <scheme val="minor"/>
    </font>
    <font>
      <name val="Calibri"/>
      <family val="2"/>
      <i val="1"/>
      <sz val="12"/>
      <scheme val="minor"/>
    </font>
    <font>
      <name val="Calibri"/>
      <family val="2"/>
      <b val="1"/>
      <i val="1"/>
      <sz val="12"/>
      <scheme val="minor"/>
    </font>
    <font>
      <name val="Calibri"/>
      <family val="2"/>
      <b val="1"/>
      <color rgb="FF000000"/>
      <sz val="11"/>
    </font>
    <font>
      <name val="Calibri"/>
      <family val="2"/>
      <color rgb="FF000000"/>
      <sz val="11"/>
    </font>
    <font>
      <name val="Calibri"/>
      <family val="2"/>
      <sz val="11"/>
    </font>
    <font>
      <name val="Calibri"/>
      <family val="2"/>
      <i val="1"/>
      <color rgb="FF000000"/>
      <sz val="11"/>
    </font>
    <font>
      <name val="Calibri"/>
      <family val="2"/>
      <b val="1"/>
      <sz val="11"/>
      <scheme val="minor"/>
    </font>
    <font>
      <name val="Calibri"/>
      <family val="2"/>
      <i val="1"/>
      <sz val="10.5"/>
    </font>
    <font>
      <name val="Calibri"/>
      <family val="2"/>
      <color rgb="FF0070C0"/>
      <sz val="12"/>
      <scheme val="minor"/>
    </font>
    <font>
      <name val="Calibri"/>
      <family val="2"/>
      <b val="1"/>
      <color rgb="FF0070C0"/>
      <sz val="12"/>
      <scheme val="minor"/>
    </font>
    <font>
      <name val="Calibri"/>
      <family val="2"/>
      <color rgb="FFFF0000"/>
      <sz val="12"/>
      <scheme val="minor"/>
    </font>
    <font>
      <name val="Calibri"/>
      <family val="2"/>
      <b val="1"/>
      <sz val="11"/>
    </font>
    <font>
      <name val="Calibri"/>
      <family val="2"/>
      <sz val="12"/>
    </font>
  </fonts>
  <fills count="13">
    <fill>
      <patternFill/>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
        <bgColor indexed="64"/>
      </patternFill>
    </fill>
    <fill>
      <patternFill patternType="solid">
        <fgColor rgb="FFA5A5A5"/>
      </patternFill>
    </fill>
    <fill>
      <patternFill patternType="solid">
        <fgColor rgb="FFF6DFDC"/>
        <bgColor indexed="64"/>
      </patternFill>
    </fill>
    <fill>
      <patternFill patternType="solid">
        <fgColor rgb="FFF6DFDC"/>
        <bgColor rgb="FF000000"/>
      </patternFill>
    </fill>
    <fill>
      <patternFill patternType="solid">
        <fgColor theme="0" tint="-0.0499893185216834"/>
        <bgColor indexed="64"/>
      </patternFill>
    </fill>
    <fill>
      <patternFill patternType="solid">
        <fgColor rgb="FFFF0000"/>
        <bgColor indexed="64"/>
      </patternFill>
    </fill>
    <fill>
      <patternFill patternType="solid">
        <fgColor theme="0"/>
        <bgColor rgb="FF000000"/>
      </patternFill>
    </fill>
    <fill>
      <patternFill patternType="solid">
        <fgColor rgb="FFFFFF00"/>
        <bgColor indexed="64"/>
      </patternFill>
    </fill>
  </fills>
  <borders count="84">
    <border>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thin">
        <color auto="1"/>
      </left>
      <right/>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rgb="FF000000"/>
      </left>
      <right style="thin">
        <color rgb="FF000000"/>
      </right>
      <top style="thin">
        <color rgb="FF000000"/>
      </top>
      <bottom/>
      <diagonal/>
    </border>
    <border>
      <left/>
      <right style="medium">
        <color indexed="64"/>
      </right>
      <top/>
      <bottom style="medium">
        <color indexed="64"/>
      </bottom>
      <diagonal/>
    </border>
    <border>
      <left style="thin">
        <color theme="1"/>
      </left>
      <right style="thin">
        <color auto="1"/>
      </right>
      <top style="thin">
        <color auto="1"/>
      </top>
      <bottom style="thin">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style="medium">
        <color indexed="64"/>
      </left>
      <right/>
      <top style="thin">
        <color auto="1"/>
      </top>
      <bottom style="thin">
        <color auto="1"/>
      </bottom>
      <diagonal/>
    </border>
    <border>
      <left/>
      <right/>
      <top style="thin">
        <color auto="1"/>
      </top>
      <bottom style="thin">
        <color auto="1"/>
      </bottom>
      <diagonal/>
    </border>
    <border>
      <left style="thin">
        <color auto="1"/>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auto="1"/>
      </left>
      <right style="medium">
        <color indexed="64"/>
      </right>
      <top style="thin">
        <color auto="1"/>
      </top>
      <bottom style="thin">
        <color indexed="64"/>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right style="thin">
        <color indexed="64"/>
      </right>
      <top style="thin">
        <color auto="1"/>
      </top>
      <bottom style="thin">
        <color auto="1"/>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thin">
        <color auto="1"/>
      </top>
      <bottom/>
      <diagonal/>
    </border>
    <border>
      <left/>
      <right style="medium">
        <color indexed="64"/>
      </right>
      <top style="medium">
        <color indexed="64"/>
      </top>
      <bottom/>
      <diagonal/>
    </border>
    <border>
      <left style="thin">
        <color theme="1"/>
      </left>
      <right style="thin">
        <color theme="1"/>
      </right>
      <top style="thin">
        <color auto="1"/>
      </top>
      <bottom style="thin">
        <color auto="1"/>
      </bottom>
      <diagonal/>
    </border>
    <border>
      <left style="thin">
        <color theme="1"/>
      </left>
      <right style="thin">
        <color indexed="64"/>
      </right>
      <top/>
      <bottom style="medium">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indexed="64"/>
      </right>
      <top style="medium">
        <color indexed="64"/>
      </top>
      <bottom style="thin">
        <color indexed="64"/>
      </bottom>
      <diagonal/>
    </border>
    <border>
      <left style="thin">
        <color auto="1"/>
      </left>
      <right style="thin">
        <color auto="1"/>
      </right>
      <top style="thin">
        <color auto="1"/>
      </top>
      <bottom style="thin">
        <color auto="1"/>
      </bottom>
      <diagonal/>
    </border>
    <border>
      <left/>
      <right style="thin">
        <color theme="1"/>
      </right>
      <top style="thin">
        <color theme="1"/>
      </top>
      <bottom style="thin">
        <color theme="1"/>
      </bottom>
      <diagonal/>
    </border>
    <border>
      <left/>
      <right/>
      <top style="medium">
        <color indexed="64"/>
      </top>
      <bottom/>
      <diagonal/>
    </border>
    <border>
      <left/>
      <right/>
      <top style="thin">
        <color auto="1"/>
      </top>
      <bottom/>
      <diagonal/>
    </border>
    <border>
      <left/>
      <right style="medium">
        <color indexed="64"/>
      </right>
      <top/>
      <bottom/>
      <diagonal/>
    </border>
    <border>
      <left style="thin">
        <color auto="1"/>
      </left>
      <right style="thin">
        <color auto="1"/>
      </right>
      <top/>
      <bottom/>
      <diagonal/>
    </border>
  </borders>
  <cellStyleXfs count="22">
    <xf numFmtId="0" fontId="2" fillId="0" borderId="0"/>
    <xf numFmtId="0" fontId="3" fillId="0" borderId="0"/>
    <xf numFmtId="0" fontId="4" fillId="0" borderId="0"/>
    <xf numFmtId="0" fontId="2" fillId="0" borderId="0"/>
    <xf numFmtId="0" fontId="3" fillId="0" borderId="0"/>
    <xf numFmtId="0" fontId="2" fillId="0" borderId="0"/>
    <xf numFmtId="0" fontId="2" fillId="0" borderId="0"/>
    <xf numFmtId="0" fontId="7" fillId="6" borderId="19"/>
    <xf numFmtId="0" fontId="3" fillId="0" borderId="0"/>
    <xf numFmtId="0" fontId="3" fillId="0" borderId="0"/>
    <xf numFmtId="0" fontId="3" fillId="0" borderId="0"/>
    <xf numFmtId="9"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2" fillId="0" borderId="0"/>
    <xf numFmtId="0" fontId="3" fillId="0" borderId="0"/>
    <xf numFmtId="0" fontId="3" fillId="0" borderId="0"/>
  </cellStyleXfs>
  <cellXfs count="653">
    <xf numFmtId="0" fontId="0" fillId="0" borderId="0" pivotButton="0" quotePrefix="0" xfId="0"/>
    <xf numFmtId="0" fontId="0" fillId="0" borderId="20" pivotButton="0" quotePrefix="0" xfId="0"/>
    <xf numFmtId="0" fontId="5" fillId="0" borderId="20" applyAlignment="1" pivotButton="0" quotePrefix="0" xfId="0">
      <alignment horizontal="center" vertical="center"/>
    </xf>
    <xf numFmtId="0" fontId="0" fillId="0" borderId="21" pivotButton="0" quotePrefix="0" xfId="0"/>
    <xf numFmtId="0" fontId="5" fillId="0" borderId="23" applyAlignment="1" pivotButton="0" quotePrefix="0" xfId="0">
      <alignment horizontal="center" vertical="center"/>
    </xf>
    <xf numFmtId="0" fontId="0" fillId="0" borderId="23" pivotButton="0" quotePrefix="0" xfId="0"/>
    <xf numFmtId="0" fontId="5" fillId="0" borderId="24" applyAlignment="1" pivotButton="0" quotePrefix="0" xfId="0">
      <alignment horizontal="center" vertical="center"/>
    </xf>
    <xf numFmtId="0" fontId="0" fillId="0" borderId="24" pivotButton="0" quotePrefix="0" xfId="0"/>
    <xf numFmtId="0" fontId="6" fillId="0" borderId="33" applyAlignment="1" applyProtection="1" pivotButton="0" quotePrefix="0" xfId="3">
      <alignment horizontal="left" vertical="center" wrapText="1"/>
      <protection locked="0" hidden="0"/>
    </xf>
    <xf numFmtId="0" fontId="6" fillId="0" borderId="34" applyAlignment="1" applyProtection="1" pivotButton="0" quotePrefix="0" xfId="3">
      <alignment horizontal="left" vertical="center" wrapText="1"/>
      <protection locked="0" hidden="0"/>
    </xf>
    <xf numFmtId="0" fontId="6" fillId="0" borderId="34" applyAlignment="1" applyProtection="1" pivotButton="0" quotePrefix="0" xfId="5">
      <alignment horizontal="left" vertical="center" wrapText="1"/>
      <protection locked="0" hidden="0"/>
    </xf>
    <xf numFmtId="0" fontId="9" fillId="7" borderId="34" applyAlignment="1" applyProtection="1" pivotButton="0" quotePrefix="0" xfId="3">
      <alignment horizontal="left" vertical="center" wrapText="1"/>
      <protection locked="0" hidden="0"/>
    </xf>
    <xf numFmtId="0" fontId="6" fillId="0" borderId="35" applyAlignment="1" applyProtection="1" pivotButton="0" quotePrefix="0" xfId="3">
      <alignment horizontal="left" vertical="center" wrapText="1"/>
      <protection locked="0" hidden="0"/>
    </xf>
    <xf numFmtId="0" fontId="6" fillId="0" borderId="32" applyAlignment="1" applyProtection="1" pivotButton="0" quotePrefix="0" xfId="3">
      <alignment horizontal="left" vertical="center" wrapText="1"/>
      <protection locked="0" hidden="0"/>
    </xf>
    <xf numFmtId="0" fontId="6" fillId="8" borderId="16" applyAlignment="1" applyProtection="1" pivotButton="0" quotePrefix="0" xfId="0">
      <alignment horizontal="left" vertical="center" wrapText="1"/>
      <protection locked="0" hidden="0"/>
    </xf>
    <xf numFmtId="0" fontId="6" fillId="7" borderId="13" applyAlignment="1" applyProtection="1" pivotButton="0" quotePrefix="0" xfId="0">
      <alignment horizontal="left" vertical="center" wrapText="1"/>
      <protection locked="0" hidden="0"/>
    </xf>
    <xf numFmtId="0" fontId="6" fillId="7" borderId="16" applyAlignment="1" applyProtection="1" pivotButton="0" quotePrefix="0" xfId="3">
      <alignment horizontal="left" vertical="center" wrapText="1"/>
      <protection locked="0" hidden="0"/>
    </xf>
    <xf numFmtId="0" fontId="6" fillId="7" borderId="18" applyAlignment="1" applyProtection="1" pivotButton="0" quotePrefix="0" xfId="3">
      <alignment horizontal="left" vertical="center" wrapText="1"/>
      <protection locked="0" hidden="0"/>
    </xf>
    <xf numFmtId="0" fontId="6" fillId="0" borderId="7" applyAlignment="1" applyProtection="1" pivotButton="0" quotePrefix="0" xfId="2">
      <alignment horizontal="center" vertical="center"/>
      <protection locked="0" hidden="0"/>
    </xf>
    <xf numFmtId="0" fontId="6" fillId="0" borderId="47" applyAlignment="1" applyProtection="1" pivotButton="0" quotePrefix="0" xfId="3">
      <alignment horizontal="left" vertical="center" wrapText="1"/>
      <protection locked="0" hidden="0"/>
    </xf>
    <xf numFmtId="0" fontId="6" fillId="0" borderId="13" applyAlignment="1" applyProtection="1" pivotButton="0" quotePrefix="0" xfId="2">
      <alignment horizontal="left" vertical="center" wrapText="1"/>
      <protection locked="0" hidden="0"/>
    </xf>
    <xf numFmtId="0" fontId="6" fillId="7" borderId="13" applyAlignment="1" applyProtection="1" pivotButton="0" quotePrefix="0" xfId="3">
      <alignment horizontal="left" vertical="center" wrapText="1"/>
      <protection locked="0" hidden="0"/>
    </xf>
    <xf numFmtId="0" fontId="6" fillId="7" borderId="13" applyAlignment="1" applyProtection="1" pivotButton="0" quotePrefix="0" xfId="3">
      <alignment vertical="center" wrapText="1"/>
      <protection locked="0" hidden="0"/>
    </xf>
    <xf numFmtId="0" fontId="6" fillId="0" borderId="47" applyAlignment="1" applyProtection="1" pivotButton="0" quotePrefix="0" xfId="3">
      <alignment horizontal="left" vertical="center"/>
      <protection locked="0" hidden="0"/>
    </xf>
    <xf numFmtId="0" fontId="6" fillId="0" borderId="16" applyAlignment="1" applyProtection="1" pivotButton="0" quotePrefix="0" xfId="3">
      <alignment horizontal="center" vertical="center" wrapText="1"/>
      <protection locked="0" hidden="0"/>
    </xf>
    <xf numFmtId="0" fontId="6" fillId="0" borderId="13" applyAlignment="1" applyProtection="1" pivotButton="0" quotePrefix="0" xfId="3">
      <alignment horizontal="center" vertical="center" wrapText="1"/>
      <protection locked="0" hidden="0"/>
    </xf>
    <xf numFmtId="0" fontId="6" fillId="0" borderId="13" applyAlignment="1" applyProtection="1" pivotButton="0" quotePrefix="0" xfId="5">
      <alignment horizontal="center" vertical="center" wrapText="1"/>
      <protection locked="0" hidden="0"/>
    </xf>
    <xf numFmtId="0" fontId="9" fillId="0" borderId="13" applyAlignment="1" applyProtection="1" pivotButton="0" quotePrefix="0" xfId="3">
      <alignment horizontal="left" vertical="center" wrapText="1"/>
      <protection locked="0" hidden="0"/>
    </xf>
    <xf numFmtId="0" fontId="6" fillId="0" borderId="13" applyAlignment="1" applyProtection="1" pivotButton="0" quotePrefix="0" xfId="3">
      <alignment horizontal="left" vertical="center" wrapText="1"/>
      <protection locked="0" hidden="0"/>
    </xf>
    <xf numFmtId="0" fontId="6" fillId="0" borderId="14" applyAlignment="1" applyProtection="1" pivotButton="0" quotePrefix="0" xfId="3">
      <alignment horizontal="center" vertical="center" wrapText="1"/>
      <protection locked="0" hidden="0"/>
    </xf>
    <xf numFmtId="0" fontId="6" fillId="0" borderId="16" applyAlignment="1" applyProtection="1" pivotButton="0" quotePrefix="0" xfId="3">
      <alignment horizontal="left" vertical="center" wrapText="1"/>
      <protection locked="0" hidden="0"/>
    </xf>
    <xf numFmtId="0" fontId="6" fillId="0" borderId="16" applyAlignment="1" applyProtection="1" pivotButton="0" quotePrefix="0" xfId="0">
      <alignment vertical="center"/>
      <protection locked="0" hidden="0"/>
    </xf>
    <xf numFmtId="0" fontId="6" fillId="0" borderId="42" applyAlignment="1" applyProtection="1" pivotButton="0" quotePrefix="0" xfId="3">
      <alignment horizontal="left" vertical="center" wrapText="1"/>
      <protection locked="0" hidden="0"/>
    </xf>
    <xf numFmtId="0" fontId="6" fillId="0" borderId="14" applyAlignment="1" applyProtection="1" pivotButton="0" quotePrefix="0" xfId="0">
      <alignment horizontal="left" vertical="center" wrapText="1"/>
      <protection locked="0" hidden="0"/>
    </xf>
    <xf numFmtId="0" fontId="6" fillId="0" borderId="14" applyAlignment="1" applyProtection="1" pivotButton="0" quotePrefix="0" xfId="3">
      <alignment horizontal="left" vertical="center" wrapText="1"/>
      <protection locked="0" hidden="0"/>
    </xf>
    <xf numFmtId="0" fontId="6" fillId="0" borderId="13" applyAlignment="1" applyProtection="1" pivotButton="0" quotePrefix="0" xfId="0">
      <alignment horizontal="left" vertical="center" wrapText="1"/>
      <protection locked="0" hidden="0"/>
    </xf>
    <xf numFmtId="0" fontId="6" fillId="0" borderId="15" applyAlignment="1" applyProtection="1" pivotButton="0" quotePrefix="0" xfId="2">
      <alignment horizontal="center" vertical="center" wrapText="1"/>
      <protection locked="0" hidden="0"/>
    </xf>
    <xf numFmtId="0" fontId="6" fillId="0" borderId="26" applyAlignment="1" applyProtection="1" pivotButton="0" quotePrefix="0" xfId="3">
      <alignment horizontal="left" vertical="center" wrapText="1"/>
      <protection locked="0" hidden="0"/>
    </xf>
    <xf numFmtId="0" fontId="6" fillId="0" borderId="6" applyAlignment="1" applyProtection="1" pivotButton="0" quotePrefix="0" xfId="2">
      <alignment horizontal="center" vertical="center"/>
      <protection locked="0" hidden="0"/>
    </xf>
    <xf numFmtId="0" fontId="6" fillId="0" borderId="2" applyAlignment="1" applyProtection="1" pivotButton="0" quotePrefix="0" xfId="0">
      <alignment horizontal="center" vertical="center" wrapText="1"/>
      <protection locked="0" hidden="0"/>
    </xf>
    <xf numFmtId="0" fontId="6" fillId="0" borderId="2" applyAlignment="1" applyProtection="1" pivotButton="0" quotePrefix="0" xfId="2">
      <alignment horizontal="center" vertical="center" wrapText="1"/>
      <protection locked="0" hidden="0"/>
    </xf>
    <xf numFmtId="0" fontId="6" fillId="0" borderId="5" applyAlignment="1" applyProtection="1" pivotButton="0" quotePrefix="0" xfId="2">
      <alignment horizontal="center" vertical="center"/>
      <protection locked="0" hidden="0"/>
    </xf>
    <xf numFmtId="9" fontId="13" fillId="0" borderId="40" applyAlignment="1" pivotButton="0" quotePrefix="0" xfId="11">
      <alignment horizontal="center" vertical="center" wrapText="1"/>
    </xf>
    <xf numFmtId="9" fontId="13" fillId="0" borderId="45" applyAlignment="1" pivotButton="0" quotePrefix="0" xfId="11">
      <alignment horizontal="center" vertical="center" wrapText="1"/>
    </xf>
    <xf numFmtId="0" fontId="6" fillId="0" borderId="34" applyAlignment="1" applyProtection="1" pivotButton="0" quotePrefix="0" xfId="3">
      <alignment horizontal="center" vertical="center" wrapText="1"/>
      <protection locked="0" hidden="0"/>
    </xf>
    <xf numFmtId="0" fontId="6" fillId="0" borderId="15" applyAlignment="1" pivotButton="0" quotePrefix="0" xfId="2">
      <alignment horizontal="center" vertical="center" wrapText="1"/>
    </xf>
    <xf numFmtId="0" fontId="6" fillId="0" borderId="15" applyAlignment="1" pivotButton="0" quotePrefix="0" xfId="2">
      <alignment horizontal="left" vertical="center" wrapText="1"/>
    </xf>
    <xf numFmtId="0" fontId="6" fillId="0" borderId="3" applyAlignment="1" pivotButton="0" quotePrefix="0" xfId="2">
      <alignment horizontal="center" vertical="center" wrapText="1"/>
    </xf>
    <xf numFmtId="0" fontId="6" fillId="0" borderId="3" applyAlignment="1" pivotButton="0" quotePrefix="0" xfId="3">
      <alignment horizontal="left" vertical="center" wrapText="1"/>
    </xf>
    <xf numFmtId="0" fontId="6" fillId="0" borderId="3" applyAlignment="1" pivotButton="0" quotePrefix="0" xfId="0">
      <alignment horizontal="center" vertical="center" wrapText="1"/>
    </xf>
    <xf numFmtId="0" fontId="6" fillId="0" borderId="1" applyAlignment="1" pivotButton="0" quotePrefix="0" xfId="2">
      <alignment horizontal="center" vertical="center" wrapText="1"/>
    </xf>
    <xf numFmtId="0" fontId="6" fillId="0" borderId="12" applyAlignment="1" pivotButton="0" quotePrefix="0" xfId="2">
      <alignment horizontal="center" vertical="center" wrapText="1"/>
    </xf>
    <xf numFmtId="0" fontId="6" fillId="0" borderId="12" applyAlignment="1" pivotButton="0" quotePrefix="0" xfId="0">
      <alignment horizontal="center" vertical="center" wrapText="1"/>
    </xf>
    <xf numFmtId="0" fontId="6" fillId="0" borderId="0" applyAlignment="1" applyProtection="1" pivotButton="0" quotePrefix="0" xfId="0">
      <alignment horizontal="center" vertical="center"/>
      <protection locked="0" hidden="0"/>
    </xf>
    <xf numFmtId="0" fontId="6" fillId="0" borderId="0" applyAlignment="1" applyProtection="1" pivotButton="0" quotePrefix="0" xfId="0">
      <alignment horizontal="center" vertical="center" wrapText="1"/>
      <protection locked="0" hidden="0"/>
    </xf>
    <xf numFmtId="0" fontId="6" fillId="0" borderId="16" applyAlignment="1" pivotButton="0" quotePrefix="0" xfId="3">
      <alignment horizontal="left" vertical="center" wrapText="1"/>
    </xf>
    <xf numFmtId="0" fontId="6" fillId="0" borderId="2" applyAlignment="1" pivotButton="0" quotePrefix="0" xfId="2">
      <alignment horizontal="center" vertical="center" wrapText="1"/>
    </xf>
    <xf numFmtId="0" fontId="6" fillId="0" borderId="2" applyAlignment="1" pivotButton="0" quotePrefix="0" xfId="3">
      <alignment horizontal="left" vertical="center" wrapText="1"/>
    </xf>
    <xf numFmtId="0" fontId="6" fillId="0" borderId="2" applyAlignment="1" pivotButton="0" quotePrefix="0" xfId="0">
      <alignment horizontal="center" vertical="center" wrapText="1"/>
    </xf>
    <xf numFmtId="0" fontId="6" fillId="0" borderId="0" applyProtection="1" pivotButton="0" quotePrefix="0" xfId="3">
      <protection locked="0" hidden="0"/>
    </xf>
    <xf numFmtId="0" fontId="6" fillId="0" borderId="0" applyProtection="1" pivotButton="0" quotePrefix="0" xfId="0">
      <protection locked="0" hidden="0"/>
    </xf>
    <xf numFmtId="0" fontId="8" fillId="0" borderId="0" applyAlignment="1" applyProtection="1" pivotButton="0" quotePrefix="0" xfId="3">
      <alignment horizontal="center" vertical="center"/>
      <protection locked="0" hidden="0"/>
    </xf>
    <xf numFmtId="0" fontId="6" fillId="0" borderId="16" applyAlignment="1" pivotButton="0" quotePrefix="0" xfId="0">
      <alignment horizontal="left" vertical="center" wrapText="1"/>
    </xf>
    <xf numFmtId="0" fontId="6" fillId="0" borderId="13" applyAlignment="1" pivotButton="0" quotePrefix="0" xfId="3">
      <alignment horizontal="left" vertical="center" wrapText="1"/>
    </xf>
    <xf numFmtId="0" fontId="6" fillId="0" borderId="2" applyAlignment="1" pivotButton="0" quotePrefix="0" xfId="3">
      <alignment horizontal="center" vertical="center" wrapText="1"/>
    </xf>
    <xf numFmtId="0" fontId="6" fillId="0" borderId="47" applyAlignment="1" applyProtection="1" pivotButton="0" quotePrefix="0" xfId="3">
      <alignment vertical="center" wrapText="1"/>
      <protection locked="0" hidden="0"/>
    </xf>
    <xf numFmtId="0" fontId="6" fillId="0" borderId="18" applyAlignment="1" pivotButton="0" quotePrefix="0" xfId="3">
      <alignment horizontal="left" vertical="center" wrapText="1"/>
    </xf>
    <xf numFmtId="0" fontId="6" fillId="0" borderId="12" applyAlignment="1" pivotButton="0" quotePrefix="0" xfId="3">
      <alignment horizontal="center" vertical="center" wrapText="1"/>
    </xf>
    <xf numFmtId="0" fontId="6" fillId="0" borderId="1" applyAlignment="1" pivotButton="0" quotePrefix="0" xfId="3">
      <alignment horizontal="left" vertical="center" wrapText="1"/>
    </xf>
    <xf numFmtId="0" fontId="6" fillId="0" borderId="34" applyAlignment="1" applyProtection="1" pivotButton="0" quotePrefix="0" xfId="3">
      <alignment vertical="center" wrapText="1"/>
      <protection locked="0" hidden="0"/>
    </xf>
    <xf numFmtId="0" fontId="6" fillId="0" borderId="13" applyAlignment="1" pivotButton="0" quotePrefix="0" xfId="0">
      <alignment horizontal="left" vertical="center" wrapText="1"/>
    </xf>
    <xf numFmtId="0" fontId="6" fillId="0" borderId="16" applyAlignment="1" pivotButton="0" quotePrefix="0" xfId="2">
      <alignment horizontal="left" vertical="center" wrapText="1"/>
    </xf>
    <xf numFmtId="0" fontId="6" fillId="0" borderId="2" applyAlignment="1" pivotButton="0" quotePrefix="0" xfId="3">
      <alignment vertical="center" wrapText="1"/>
    </xf>
    <xf numFmtId="0" fontId="6" fillId="0" borderId="16" applyAlignment="1" applyProtection="1" pivotButton="0" quotePrefix="0" xfId="0">
      <alignment horizontal="left" vertical="center" wrapText="1"/>
      <protection locked="0" hidden="0"/>
    </xf>
    <xf numFmtId="0" fontId="6" fillId="0" borderId="13" applyAlignment="1" pivotButton="0" quotePrefix="0" xfId="2">
      <alignment horizontal="left" vertical="center" wrapText="1"/>
    </xf>
    <xf numFmtId="0" fontId="9" fillId="0" borderId="47" applyAlignment="1" applyProtection="1" pivotButton="0" quotePrefix="0" xfId="3">
      <alignment vertical="center" wrapText="1"/>
      <protection locked="0" hidden="0"/>
    </xf>
    <xf numFmtId="0" fontId="9" fillId="0" borderId="34" applyAlignment="1" applyProtection="1" pivotButton="0" quotePrefix="0" xfId="3">
      <alignment vertical="center" wrapText="1"/>
      <protection locked="0" hidden="0"/>
    </xf>
    <xf numFmtId="0" fontId="10" fillId="0" borderId="16" applyAlignment="1" applyProtection="1" pivotButton="0" quotePrefix="0" xfId="0">
      <alignment horizontal="center" vertical="center" wrapText="1"/>
      <protection locked="0" hidden="0"/>
    </xf>
    <xf numFmtId="0" fontId="8" fillId="0" borderId="34" applyAlignment="1" applyProtection="1" pivotButton="0" quotePrefix="0" xfId="3">
      <alignment horizontal="center" vertical="center" wrapText="1"/>
      <protection locked="0" hidden="0"/>
    </xf>
    <xf numFmtId="0" fontId="8" fillId="0" borderId="2" applyAlignment="1" pivotButton="0" quotePrefix="0" xfId="0">
      <alignment horizontal="center" vertical="center" wrapText="1"/>
    </xf>
    <xf numFmtId="0" fontId="6" fillId="0" borderId="2" applyAlignment="1" pivotButton="0" quotePrefix="0" xfId="0">
      <alignment horizontal="left" vertical="center" wrapText="1"/>
    </xf>
    <xf numFmtId="0" fontId="8" fillId="0" borderId="0" applyAlignment="1" applyProtection="1" pivotButton="0" quotePrefix="0" xfId="0">
      <alignment horizontal="center" vertical="center"/>
      <protection locked="0" hidden="0"/>
    </xf>
    <xf numFmtId="0" fontId="9" fillId="0" borderId="16" applyAlignment="1" applyProtection="1" pivotButton="0" quotePrefix="0" xfId="3">
      <alignment horizontal="left" vertical="center"/>
      <protection locked="0" hidden="0"/>
    </xf>
    <xf numFmtId="0" fontId="9" fillId="0" borderId="16" applyAlignment="1" pivotButton="0" quotePrefix="0" xfId="3">
      <alignment horizontal="left" vertical="center" wrapText="1"/>
    </xf>
    <xf numFmtId="0" fontId="6" fillId="0" borderId="2" applyAlignment="1" pivotButton="0" quotePrefix="0" xfId="2">
      <alignment horizontal="center" vertical="center"/>
    </xf>
    <xf numFmtId="0" fontId="6" fillId="0" borderId="2" applyAlignment="1" pivotButton="0" quotePrefix="0" xfId="0">
      <alignment horizontal="center" vertical="center"/>
    </xf>
    <xf numFmtId="0" fontId="6" fillId="0" borderId="16" applyAlignment="1" applyProtection="1" pivotButton="0" quotePrefix="0" xfId="2">
      <alignment horizontal="left" vertical="center"/>
      <protection locked="0" hidden="0"/>
    </xf>
    <xf numFmtId="0" fontId="6" fillId="0" borderId="16" applyAlignment="1" pivotButton="0" quotePrefix="0" xfId="2">
      <alignment horizontal="left" vertical="center"/>
    </xf>
    <xf numFmtId="0" fontId="6" fillId="0" borderId="2" applyAlignment="1" pivotButton="0" quotePrefix="0" xfId="2">
      <alignment horizontal="left" vertical="center" wrapText="1"/>
    </xf>
    <xf numFmtId="0" fontId="8" fillId="0" borderId="2" applyAlignment="1" pivotButton="0" quotePrefix="0" xfId="2">
      <alignment horizontal="center" vertical="center"/>
    </xf>
    <xf numFmtId="0" fontId="6" fillId="0" borderId="13" applyAlignment="1" pivotButton="0" quotePrefix="0" xfId="3">
      <alignment horizontal="center" vertical="center" wrapText="1"/>
    </xf>
    <xf numFmtId="0" fontId="6" fillId="0" borderId="17" applyAlignment="1" pivotButton="0" quotePrefix="0" xfId="3">
      <alignment horizontal="left" vertical="center" wrapText="1"/>
    </xf>
    <xf numFmtId="0" fontId="6" fillId="0" borderId="9" applyAlignment="1" pivotButton="0" quotePrefix="0" xfId="2">
      <alignment horizontal="center" vertical="center" wrapText="1"/>
    </xf>
    <xf numFmtId="0" fontId="6" fillId="0" borderId="9" applyAlignment="1" pivotButton="0" quotePrefix="0" xfId="3">
      <alignment horizontal="center" vertical="center" wrapText="1"/>
    </xf>
    <xf numFmtId="0" fontId="6" fillId="0" borderId="9" applyAlignment="1" pivotButton="0" quotePrefix="0" xfId="3">
      <alignment horizontal="left" vertical="center" wrapText="1"/>
    </xf>
    <xf numFmtId="0" fontId="6" fillId="0" borderId="11" applyAlignment="1" pivotButton="0" quotePrefix="0" xfId="0">
      <alignment horizontal="center" vertical="center" wrapText="1"/>
    </xf>
    <xf numFmtId="0" fontId="8" fillId="0" borderId="9" applyAlignment="1" pivotButton="0" quotePrefix="0" xfId="14">
      <alignment horizontal="center" vertical="center" wrapText="1"/>
    </xf>
    <xf numFmtId="0" fontId="9" fillId="0" borderId="13" applyAlignment="1" pivotButton="0" quotePrefix="0" xfId="3">
      <alignment horizontal="left" vertical="center" wrapText="1"/>
    </xf>
    <xf numFmtId="0" fontId="6" fillId="0" borderId="13" applyAlignment="1" pivotButton="0" quotePrefix="0" xfId="5">
      <alignment horizontal="center" vertical="center" wrapText="1"/>
    </xf>
    <xf numFmtId="0" fontId="6" fillId="0" borderId="13" applyAlignment="1" pivotButton="0" quotePrefix="0" xfId="5">
      <alignment horizontal="left" vertical="center" wrapText="1"/>
    </xf>
    <xf numFmtId="0" fontId="6" fillId="0" borderId="16" applyAlignment="1" pivotButton="0" quotePrefix="0" xfId="3">
      <alignment horizontal="center" vertical="center" wrapText="1"/>
    </xf>
    <xf numFmtId="0" fontId="8" fillId="3" borderId="14" applyAlignment="1" pivotButton="0" quotePrefix="0" xfId="2">
      <alignment horizontal="center" vertical="center" wrapText="1"/>
    </xf>
    <xf numFmtId="0" fontId="8" fillId="0" borderId="14" applyAlignment="1" pivotButton="0" quotePrefix="0" xfId="2">
      <alignment horizontal="center" vertical="center" wrapText="1"/>
    </xf>
    <xf numFmtId="0" fontId="8" fillId="0" borderId="1" applyAlignment="1" pivotButton="0" quotePrefix="0" xfId="2">
      <alignment horizontal="center" vertical="center" wrapText="1"/>
    </xf>
    <xf numFmtId="0" fontId="8" fillId="4" borderId="1" applyAlignment="1" pivotButton="0" quotePrefix="0" xfId="2">
      <alignment horizontal="center" vertical="center" wrapText="1"/>
    </xf>
    <xf numFmtId="0" fontId="8" fillId="3" borderId="1" applyAlignment="1" pivotButton="0" quotePrefix="0" xfId="2">
      <alignment horizontal="center" vertical="center" wrapText="1"/>
    </xf>
    <xf numFmtId="0" fontId="8" fillId="0" borderId="5" applyAlignment="1" pivotButton="0" quotePrefix="0" xfId="2">
      <alignment horizontal="center" vertical="center"/>
    </xf>
    <xf numFmtId="0" fontId="6" fillId="0" borderId="0" applyAlignment="1" applyProtection="1" pivotButton="0" quotePrefix="0" xfId="0">
      <alignment wrapText="1"/>
      <protection locked="0" hidden="0"/>
    </xf>
    <xf numFmtId="0" fontId="6" fillId="0" borderId="0" applyAlignment="1" applyProtection="1" pivotButton="0" quotePrefix="0" xfId="0">
      <alignment horizontal="center"/>
      <protection locked="0" hidden="0"/>
    </xf>
    <xf numFmtId="0" fontId="8" fillId="0" borderId="0" applyProtection="1" pivotButton="0" quotePrefix="0" xfId="0">
      <protection locked="0" hidden="0"/>
    </xf>
    <xf numFmtId="0" fontId="8" fillId="0" borderId="30" applyProtection="1" pivotButton="0" quotePrefix="0" xfId="0">
      <protection locked="0" hidden="0"/>
    </xf>
    <xf numFmtId="0" fontId="8" fillId="0" borderId="29" applyAlignment="1" applyProtection="1" pivotButton="0" quotePrefix="0" xfId="0">
      <alignment wrapText="1"/>
      <protection locked="0" hidden="0"/>
    </xf>
    <xf numFmtId="0" fontId="8" fillId="0" borderId="3" applyAlignment="1" pivotButton="0" quotePrefix="0" xfId="14">
      <alignment horizontal="center" vertical="center" wrapText="1"/>
    </xf>
    <xf numFmtId="0" fontId="6" fillId="0" borderId="0" applyAlignment="1" applyProtection="1" pivotButton="0" quotePrefix="0" xfId="3">
      <alignment wrapText="1"/>
      <protection locked="0" hidden="0"/>
    </xf>
    <xf numFmtId="0" fontId="8" fillId="0" borderId="2" applyAlignment="1" pivotButton="0" quotePrefix="0" xfId="14">
      <alignment horizontal="center" vertical="center" wrapText="1"/>
    </xf>
    <xf numFmtId="0" fontId="8" fillId="0" borderId="1" applyAlignment="1" pivotButton="0" quotePrefix="0" xfId="14">
      <alignment horizontal="center" vertical="center" wrapText="1"/>
    </xf>
    <xf numFmtId="0" fontId="6" fillId="0" borderId="2" applyAlignment="1" pivotButton="0" quotePrefix="0" xfId="14">
      <alignment horizontal="center" vertical="center" wrapText="1"/>
    </xf>
    <xf numFmtId="0" fontId="8" fillId="0" borderId="2" applyAlignment="1" pivotButton="0" quotePrefix="0" xfId="14">
      <alignment horizontal="center" vertical="center"/>
    </xf>
    <xf numFmtId="0" fontId="8" fillId="0" borderId="0" applyAlignment="1" applyProtection="1" pivotButton="0" quotePrefix="0" xfId="0">
      <alignment horizontal="center" vertical="center" wrapText="1"/>
      <protection locked="0" hidden="0"/>
    </xf>
    <xf numFmtId="0" fontId="6" fillId="0" borderId="2" applyAlignment="1" applyProtection="1" pivotButton="0" quotePrefix="0" xfId="14">
      <alignment horizontal="center" vertical="center" wrapText="1"/>
      <protection locked="0" hidden="0"/>
    </xf>
    <xf numFmtId="0" fontId="6" fillId="0" borderId="16" applyAlignment="1" applyProtection="1" pivotButton="0" quotePrefix="0" xfId="3">
      <alignment vertical="center" wrapText="1"/>
      <protection locked="0" hidden="0"/>
    </xf>
    <xf numFmtId="0" fontId="6" fillId="0" borderId="59" applyAlignment="1" applyProtection="1" pivotButton="0" quotePrefix="0" xfId="3">
      <alignment horizontal="left" vertical="center" wrapText="1"/>
      <protection locked="0" hidden="0"/>
    </xf>
    <xf numFmtId="0" fontId="5" fillId="0" borderId="23" pivotButton="0" quotePrefix="0" xfId="0"/>
    <xf numFmtId="0" fontId="5" fillId="0" borderId="24" pivotButton="0" quotePrefix="0" xfId="0"/>
    <xf numFmtId="0" fontId="5" fillId="0" borderId="20" pivotButton="0" quotePrefix="0" xfId="0"/>
    <xf numFmtId="0" fontId="6" fillId="4" borderId="7" applyAlignment="1" applyProtection="1" pivotButton="0" quotePrefix="0" xfId="2">
      <alignment horizontal="center" vertical="center"/>
      <protection locked="0" hidden="0"/>
    </xf>
    <xf numFmtId="0" fontId="8" fillId="0" borderId="61" applyProtection="1" pivotButton="0" quotePrefix="0" xfId="0">
      <protection locked="0" hidden="0"/>
    </xf>
    <xf numFmtId="0" fontId="8" fillId="0" borderId="62" applyAlignment="1" applyProtection="1" pivotButton="0" quotePrefix="0" xfId="0">
      <alignment wrapText="1"/>
      <protection locked="0" hidden="0"/>
    </xf>
    <xf numFmtId="0" fontId="6" fillId="0" borderId="4" applyAlignment="1" applyProtection="1" pivotButton="0" quotePrefix="0" xfId="2">
      <alignment horizontal="center" vertical="center"/>
      <protection locked="0" hidden="0"/>
    </xf>
    <xf numFmtId="0" fontId="8" fillId="0" borderId="0" applyProtection="1" pivotButton="0" quotePrefix="0" xfId="3">
      <protection locked="0" hidden="0"/>
    </xf>
    <xf numFmtId="0" fontId="10" fillId="0" borderId="47" applyAlignment="1" applyProtection="1" pivotButton="0" quotePrefix="0" xfId="3">
      <alignment horizontal="center" vertical="center" wrapText="1"/>
      <protection locked="0" hidden="0"/>
    </xf>
    <xf numFmtId="0" fontId="6" fillId="0" borderId="41" applyAlignment="1" applyProtection="1" pivotButton="0" quotePrefix="0" xfId="2">
      <alignment horizontal="center" vertical="center"/>
      <protection locked="0" hidden="0"/>
    </xf>
    <xf numFmtId="0" fontId="6" fillId="0" borderId="8" applyAlignment="1" applyProtection="1" pivotButton="0" quotePrefix="0" xfId="2">
      <alignment horizontal="center" vertical="center"/>
      <protection locked="0" hidden="0"/>
    </xf>
    <xf numFmtId="0" fontId="8" fillId="3" borderId="26" applyAlignment="1" applyProtection="1" pivotButton="0" quotePrefix="0" xfId="0">
      <alignment horizontal="center" vertical="center" wrapText="1"/>
      <protection locked="0" hidden="0"/>
    </xf>
    <xf numFmtId="0" fontId="10" fillId="7" borderId="33" applyAlignment="1" applyProtection="1" pivotButton="0" quotePrefix="0" xfId="3">
      <alignment horizontal="left" vertical="center" wrapText="1"/>
      <protection locked="0" hidden="0"/>
    </xf>
    <xf numFmtId="0" fontId="6" fillId="0" borderId="1" applyAlignment="1" pivotButton="0" quotePrefix="0" xfId="0">
      <alignment horizontal="left" vertical="center" wrapText="1"/>
    </xf>
    <xf numFmtId="0" fontId="6" fillId="0" borderId="1" applyAlignment="1" pivotButton="0" quotePrefix="0" xfId="3">
      <alignment horizontal="center" vertical="center" wrapText="1"/>
    </xf>
    <xf numFmtId="0" fontId="6" fillId="0" borderId="14" applyAlignment="1" pivotButton="0" quotePrefix="0" xfId="3">
      <alignment horizontal="left" vertical="center" wrapText="1"/>
    </xf>
    <xf numFmtId="0" fontId="6" fillId="0" borderId="46" applyAlignment="1" pivotButton="0" quotePrefix="0" xfId="3">
      <alignment horizontal="left" vertical="center" wrapText="1"/>
    </xf>
    <xf numFmtId="0" fontId="8" fillId="0" borderId="2" applyAlignment="1" pivotButton="0" quotePrefix="0" xfId="2">
      <alignment horizontal="center" vertical="center" wrapText="1"/>
    </xf>
    <xf numFmtId="0" fontId="6" fillId="0" borderId="46" applyAlignment="1" pivotButton="0" quotePrefix="0" xfId="0">
      <alignment vertical="center" wrapText="1"/>
    </xf>
    <xf numFmtId="0" fontId="6" fillId="0" borderId="46" applyAlignment="1" pivotButton="0" quotePrefix="0" xfId="0">
      <alignment horizontal="center" vertical="center" wrapText="1"/>
    </xf>
    <xf numFmtId="0" fontId="6" fillId="0" borderId="13" applyAlignment="1" pivotButton="0" quotePrefix="0" xfId="0">
      <alignment vertical="center"/>
    </xf>
    <xf numFmtId="0" fontId="6" fillId="0" borderId="46" applyAlignment="1" pivotButton="0" quotePrefix="0" xfId="3">
      <alignment vertical="center" wrapText="1"/>
    </xf>
    <xf numFmtId="0" fontId="6" fillId="0" borderId="57" applyAlignment="1" pivotButton="0" quotePrefix="0" xfId="3">
      <alignment horizontal="left" vertical="center" wrapText="1"/>
    </xf>
    <xf numFmtId="0" fontId="6" fillId="0" borderId="14" applyAlignment="1" pivotButton="0" quotePrefix="0" xfId="0">
      <alignment horizontal="left" vertical="center" wrapText="1"/>
    </xf>
    <xf numFmtId="0" fontId="6" fillId="0" borderId="1" applyAlignment="1" pivotButton="0" quotePrefix="0" xfId="0">
      <alignment horizontal="center" vertical="center" wrapText="1"/>
    </xf>
    <xf numFmtId="0" fontId="8" fillId="0" borderId="46" applyAlignment="1" pivotButton="0" quotePrefix="0" xfId="0">
      <alignment horizontal="center" vertical="center"/>
    </xf>
    <xf numFmtId="0" fontId="6" fillId="0" borderId="46" applyAlignment="1" pivotButton="0" quotePrefix="0" xfId="0">
      <alignment horizontal="center" vertical="center"/>
    </xf>
    <xf numFmtId="0" fontId="6" fillId="0" borderId="0" pivotButton="0" quotePrefix="0" xfId="3"/>
    <xf numFmtId="0" fontId="8" fillId="0" borderId="0" applyAlignment="1" pivotButton="0" quotePrefix="0" xfId="3">
      <alignment horizontal="center" vertical="center"/>
    </xf>
    <xf numFmtId="0" fontId="6" fillId="0" borderId="0" applyAlignment="1" pivotButton="0" quotePrefix="0" xfId="0">
      <alignment horizontal="center" vertical="center"/>
    </xf>
    <xf numFmtId="0" fontId="6" fillId="0" borderId="0" pivotButton="0" quotePrefix="0" xfId="0"/>
    <xf numFmtId="0" fontId="8" fillId="0" borderId="0" applyAlignment="1" pivotButton="0" quotePrefix="0" xfId="3">
      <alignment horizontal="center" vertical="center" wrapText="1"/>
    </xf>
    <xf numFmtId="0" fontId="8" fillId="0" borderId="0" applyAlignment="1" pivotButton="0" quotePrefix="0" xfId="0">
      <alignment horizontal="center" vertical="center"/>
    </xf>
    <xf numFmtId="2" fontId="6" fillId="0" borderId="0" applyProtection="1" pivotButton="0" quotePrefix="0" xfId="0">
      <protection locked="0" hidden="0"/>
    </xf>
    <xf numFmtId="9" fontId="13" fillId="0" borderId="1" applyAlignment="1" pivotButton="0" quotePrefix="0" xfId="11">
      <alignment horizontal="center" vertical="center" wrapText="1"/>
    </xf>
    <xf numFmtId="9" fontId="13" fillId="0" borderId="9" applyAlignment="1" pivotButton="0" quotePrefix="0" xfId="11">
      <alignment horizontal="center" vertical="center" wrapText="1"/>
    </xf>
    <xf numFmtId="9" fontId="13" fillId="0" borderId="70" applyAlignment="1" pivotButton="0" quotePrefix="0" xfId="11">
      <alignment horizontal="center" vertical="center" wrapText="1"/>
    </xf>
    <xf numFmtId="0" fontId="0" fillId="0" borderId="23" applyAlignment="1" pivotButton="0" quotePrefix="0" xfId="0">
      <alignment wrapText="1"/>
    </xf>
    <xf numFmtId="0" fontId="0" fillId="0" borderId="24" applyAlignment="1" pivotButton="0" quotePrefix="0" xfId="0">
      <alignment wrapText="1"/>
    </xf>
    <xf numFmtId="0" fontId="0" fillId="0" borderId="20" applyAlignment="1" pivotButton="0" quotePrefix="0" xfId="0">
      <alignment wrapText="1"/>
    </xf>
    <xf numFmtId="0" fontId="5" fillId="0" borderId="2" applyAlignment="1" pivotButton="0" quotePrefix="0" xfId="0">
      <alignment readingOrder="2"/>
    </xf>
    <xf numFmtId="0" fontId="15" fillId="0" borderId="2" applyAlignment="1" pivotButton="0" quotePrefix="0" xfId="0">
      <alignment readingOrder="2"/>
    </xf>
    <xf numFmtId="0" fontId="6" fillId="0" borderId="9" applyAlignment="1" pivotButton="0" quotePrefix="0" xfId="3">
      <alignment horizontal="right" vertical="center" wrapText="1"/>
    </xf>
    <xf numFmtId="0" fontId="6" fillId="0" borderId="2" applyAlignment="1" pivotButton="0" quotePrefix="0" xfId="2">
      <alignment horizontal="right" vertical="center" wrapText="1"/>
    </xf>
    <xf numFmtId="0" fontId="6" fillId="0" borderId="2" applyAlignment="1" pivotButton="0" quotePrefix="0" xfId="3">
      <alignment horizontal="right" vertical="center" wrapText="1"/>
    </xf>
    <xf numFmtId="164" fontId="6" fillId="0" borderId="1" applyAlignment="1" pivotButton="0" quotePrefix="0" xfId="0">
      <alignment horizontal="right" vertical="center" wrapText="1"/>
    </xf>
    <xf numFmtId="0" fontId="6" fillId="0" borderId="2" applyAlignment="1" pivotButton="0" quotePrefix="0" xfId="0">
      <alignment horizontal="right" vertical="center" wrapText="1"/>
    </xf>
    <xf numFmtId="0" fontId="6" fillId="0" borderId="1" applyAlignment="1" pivotButton="0" quotePrefix="0" xfId="3">
      <alignment horizontal="right" vertical="center" wrapText="1"/>
    </xf>
    <xf numFmtId="0" fontId="6" fillId="0" borderId="2" applyAlignment="1" applyProtection="1" pivotButton="0" quotePrefix="0" xfId="3">
      <alignment horizontal="right" vertical="center" wrapText="1"/>
      <protection locked="0" hidden="0"/>
    </xf>
    <xf numFmtId="0" fontId="6" fillId="0" borderId="3" applyAlignment="1" pivotButton="0" quotePrefix="0" xfId="3">
      <alignment horizontal="right" vertical="center" wrapText="1"/>
    </xf>
    <xf numFmtId="0" fontId="6" fillId="0" borderId="46" applyAlignment="1" pivotButton="0" quotePrefix="0" xfId="3">
      <alignment horizontal="right" vertical="center" wrapText="1"/>
    </xf>
    <xf numFmtId="9" fontId="13" fillId="0" borderId="75" applyAlignment="1" pivotButton="0" quotePrefix="0" xfId="11">
      <alignment horizontal="center" vertical="center" wrapText="1"/>
    </xf>
    <xf numFmtId="0" fontId="6" fillId="7" borderId="16" applyAlignment="1" applyProtection="1" pivotButton="0" quotePrefix="0" xfId="0">
      <alignment horizontal="left" vertical="center" wrapText="1"/>
      <protection locked="0" hidden="0"/>
    </xf>
    <xf numFmtId="0" fontId="10" fillId="0" borderId="32" applyAlignment="1" applyProtection="1" pivotButton="0" quotePrefix="0" xfId="3">
      <alignment horizontal="center" vertical="center" wrapText="1"/>
      <protection locked="0" hidden="0"/>
    </xf>
    <xf numFmtId="0" fontId="6" fillId="0" borderId="16" applyAlignment="1" applyProtection="1" pivotButton="0" quotePrefix="0" xfId="2">
      <alignment horizontal="center" vertical="center"/>
      <protection locked="0" hidden="0"/>
    </xf>
    <xf numFmtId="0" fontId="6" fillId="0" borderId="13" applyAlignment="1" pivotButton="0" quotePrefix="0" xfId="2">
      <alignment horizontal="center" vertical="center" wrapText="1"/>
    </xf>
    <xf numFmtId="0" fontId="6" fillId="0" borderId="16" applyAlignment="1" pivotButton="0" quotePrefix="0" xfId="2">
      <alignment horizontal="center" vertical="center" wrapText="1"/>
    </xf>
    <xf numFmtId="0" fontId="6" fillId="0" borderId="78" applyAlignment="1" pivotButton="0" quotePrefix="0" xfId="2">
      <alignment horizontal="center" vertical="center" wrapText="1"/>
    </xf>
    <xf numFmtId="0" fontId="6" fillId="0" borderId="38" applyAlignment="1" applyProtection="1" pivotButton="0" quotePrefix="0" xfId="3">
      <alignment horizontal="center" vertical="center" wrapText="1"/>
      <protection locked="0" hidden="0"/>
    </xf>
    <xf numFmtId="0" fontId="6" fillId="7" borderId="56" applyAlignment="1" applyProtection="1" pivotButton="0" quotePrefix="0" xfId="3">
      <alignment horizontal="left" vertical="center" wrapText="1"/>
      <protection locked="0" hidden="0"/>
    </xf>
    <xf numFmtId="0" fontId="8" fillId="0" borderId="78" applyAlignment="1" pivotButton="0" quotePrefix="0" xfId="14">
      <alignment horizontal="center" vertical="center" wrapText="1"/>
    </xf>
    <xf numFmtId="0" fontId="6" fillId="0" borderId="78" applyAlignment="1" pivotButton="0" quotePrefix="0" xfId="14">
      <alignment horizontal="center" vertical="center" wrapText="1"/>
    </xf>
    <xf numFmtId="0" fontId="6" fillId="0" borderId="78" applyAlignment="1" pivotButton="0" quotePrefix="0" xfId="3">
      <alignment horizontal="left" vertical="center" wrapText="1"/>
    </xf>
    <xf numFmtId="164" fontId="6" fillId="0" borderId="78" applyAlignment="1" pivotButton="0" quotePrefix="0" xfId="0">
      <alignment horizontal="right" vertical="center" wrapText="1"/>
    </xf>
    <xf numFmtId="0" fontId="6" fillId="0" borderId="78" applyAlignment="1" pivotButton="0" quotePrefix="0" xfId="3">
      <alignment horizontal="center" vertical="center" wrapText="1"/>
    </xf>
    <xf numFmtId="0" fontId="6" fillId="0" borderId="78" applyAlignment="1" pivotButton="0" quotePrefix="0" xfId="0">
      <alignment horizontal="left" vertical="center" wrapText="1"/>
    </xf>
    <xf numFmtId="0" fontId="6" fillId="10" borderId="0" applyAlignment="1" pivotButton="0" quotePrefix="0" xfId="0">
      <alignment horizontal="left" vertical="center"/>
    </xf>
    <xf numFmtId="0" fontId="6" fillId="10" borderId="0" applyAlignment="1" pivotButton="0" quotePrefix="0" xfId="3">
      <alignment horizontal="left"/>
    </xf>
    <xf numFmtId="0" fontId="8" fillId="10" borderId="0" applyAlignment="1" pivotButton="0" quotePrefix="0" xfId="3">
      <alignment horizontal="left" vertical="center"/>
    </xf>
    <xf numFmtId="0" fontId="6" fillId="10" borderId="0" applyAlignment="1" pivotButton="0" quotePrefix="0" xfId="0">
      <alignment horizontal="left"/>
    </xf>
    <xf numFmtId="0" fontId="6" fillId="0" borderId="46" applyAlignment="1" pivotButton="0" quotePrefix="0" xfId="6">
      <alignment vertical="center" wrapText="1"/>
    </xf>
    <xf numFmtId="0" fontId="6" fillId="0" borderId="79" applyAlignment="1" pivotButton="0" quotePrefix="0" xfId="2">
      <alignment horizontal="left" vertical="center" wrapText="1"/>
    </xf>
    <xf numFmtId="0" fontId="6" fillId="0" borderId="78" applyAlignment="1" pivotButton="0" quotePrefix="0" xfId="2">
      <alignment horizontal="left" vertical="center" wrapText="1"/>
    </xf>
    <xf numFmtId="0" fontId="17" fillId="0" borderId="16" applyAlignment="1" pivotButton="0" quotePrefix="0" xfId="3">
      <alignment horizontal="left" vertical="center" wrapText="1"/>
    </xf>
    <xf numFmtId="0" fontId="18" fillId="0" borderId="16" applyAlignment="1" pivotButton="0" quotePrefix="0" xfId="3">
      <alignment horizontal="left" vertical="center" wrapText="1"/>
    </xf>
    <xf numFmtId="0" fontId="6" fillId="0" borderId="78" applyAlignment="1" pivotButton="0" quotePrefix="0" xfId="0">
      <alignment vertical="center" wrapText="1"/>
    </xf>
    <xf numFmtId="49" fontId="6" fillId="0" borderId="36" applyAlignment="1" pivotButton="0" quotePrefix="0" xfId="0">
      <alignment vertical="center" wrapText="1"/>
    </xf>
    <xf numFmtId="49" fontId="6" fillId="4" borderId="36" applyAlignment="1" pivotButton="0" quotePrefix="0" xfId="0">
      <alignment vertical="center" wrapText="1"/>
    </xf>
    <xf numFmtId="0" fontId="8" fillId="0" borderId="78" applyAlignment="1" applyProtection="1" pivotButton="0" quotePrefix="0" xfId="3">
      <alignment vertical="center" wrapText="1"/>
      <protection locked="0" hidden="0"/>
    </xf>
    <xf numFmtId="0" fontId="8" fillId="0" borderId="2" applyAlignment="1" applyProtection="1" pivotButton="0" quotePrefix="0" xfId="3">
      <alignment vertical="center" wrapText="1"/>
      <protection locked="0" hidden="0"/>
    </xf>
    <xf numFmtId="0" fontId="6" fillId="0" borderId="50" applyAlignment="1" applyProtection="1" pivotButton="0" quotePrefix="0" xfId="2">
      <alignment horizontal="left" vertical="center" wrapText="1"/>
      <protection locked="0" hidden="0"/>
    </xf>
    <xf numFmtId="0" fontId="6" fillId="7" borderId="50" applyAlignment="1" applyProtection="1" pivotButton="0" quotePrefix="0" xfId="2">
      <alignment horizontal="left" vertical="center" wrapText="1"/>
      <protection locked="0" hidden="0"/>
    </xf>
    <xf numFmtId="0" fontId="6" fillId="0" borderId="48" applyAlignment="1" pivotButton="0" quotePrefix="0" xfId="0">
      <alignment horizontal="left" vertical="center" wrapText="1"/>
    </xf>
    <xf numFmtId="0" fontId="6" fillId="7" borderId="0" applyAlignment="1" applyProtection="1" pivotButton="0" quotePrefix="0" xfId="0">
      <alignment horizontal="left" vertical="center" wrapText="1"/>
      <protection locked="0" hidden="0"/>
    </xf>
    <xf numFmtId="49" fontId="6" fillId="0" borderId="36" applyAlignment="1" pivotButton="0" quotePrefix="0" xfId="0">
      <alignment horizontal="left" vertical="center" wrapText="1"/>
    </xf>
    <xf numFmtId="49" fontId="6" fillId="4" borderId="36" applyAlignment="1" applyProtection="1" pivotButton="0" quotePrefix="0" xfId="0">
      <alignment horizontal="right" vertical="center" wrapText="1"/>
      <protection locked="0" hidden="0"/>
    </xf>
    <xf numFmtId="0" fontId="6" fillId="4" borderId="2" applyAlignment="1" pivotButton="0" quotePrefix="0" xfId="0">
      <alignment horizontal="center" vertical="center" wrapText="1"/>
    </xf>
    <xf numFmtId="0" fontId="6" fillId="4" borderId="12" applyAlignment="1" pivotButton="0" quotePrefix="0" xfId="2">
      <alignment horizontal="center" vertical="center" wrapText="1"/>
    </xf>
    <xf numFmtId="0" fontId="6" fillId="4" borderId="12" applyAlignment="1" pivotButton="0" quotePrefix="0" xfId="0">
      <alignment horizontal="right" vertical="center" wrapText="1"/>
    </xf>
    <xf numFmtId="0" fontId="6" fillId="4" borderId="12" applyAlignment="1" pivotButton="0" quotePrefix="0" xfId="0">
      <alignment horizontal="center" vertical="center" wrapText="1"/>
    </xf>
    <xf numFmtId="0" fontId="6" fillId="4" borderId="18" applyAlignment="1" pivotButton="0" quotePrefix="0" xfId="3">
      <alignment horizontal="center" vertical="center" wrapText="1"/>
    </xf>
    <xf numFmtId="0" fontId="6" fillId="4" borderId="12" applyAlignment="1" pivotButton="0" quotePrefix="0" xfId="3">
      <alignment horizontal="left" vertical="center" wrapText="1"/>
    </xf>
    <xf numFmtId="0" fontId="6" fillId="4" borderId="1" applyAlignment="1" pivotButton="0" quotePrefix="0" xfId="3">
      <alignment vertical="center" wrapText="1"/>
    </xf>
    <xf numFmtId="0" fontId="6" fillId="4" borderId="16" applyAlignment="1" applyProtection="1" pivotButton="0" quotePrefix="0" xfId="3">
      <alignment horizontal="center" vertical="center" wrapText="1"/>
      <protection locked="0" hidden="0"/>
    </xf>
    <xf numFmtId="0" fontId="6" fillId="4" borderId="47" applyAlignment="1" applyProtection="1" pivotButton="0" quotePrefix="0" xfId="3">
      <alignment horizontal="left" vertical="center" wrapText="1"/>
      <protection locked="0" hidden="0"/>
    </xf>
    <xf numFmtId="0" fontId="6" fillId="4" borderId="0" applyAlignment="1" applyProtection="1" pivotButton="0" quotePrefix="0" xfId="0">
      <alignment horizontal="center" vertical="center"/>
      <protection locked="0" hidden="0"/>
    </xf>
    <xf numFmtId="0" fontId="6" fillId="4" borderId="0" applyProtection="1" pivotButton="0" quotePrefix="0" xfId="3">
      <protection locked="0" hidden="0"/>
    </xf>
    <xf numFmtId="0" fontId="8" fillId="4" borderId="0" applyAlignment="1" applyProtection="1" pivotButton="0" quotePrefix="0" xfId="3">
      <alignment horizontal="center" vertical="center"/>
      <protection locked="0" hidden="0"/>
    </xf>
    <xf numFmtId="0" fontId="6" fillId="4" borderId="0" applyProtection="1" pivotButton="0" quotePrefix="0" xfId="0">
      <protection locked="0" hidden="0"/>
    </xf>
    <xf numFmtId="0" fontId="6" fillId="4" borderId="0" applyAlignment="1" applyProtection="1" pivotButton="0" quotePrefix="0" xfId="3">
      <alignment horizontal="center" vertical="center" wrapText="1"/>
      <protection locked="0" hidden="0"/>
    </xf>
    <xf numFmtId="0" fontId="6" fillId="4" borderId="0" applyAlignment="1" applyProtection="1" pivotButton="0" quotePrefix="0" xfId="3">
      <alignment horizontal="left" vertical="center" wrapText="1"/>
      <protection locked="0" hidden="0"/>
    </xf>
    <xf numFmtId="0" fontId="6" fillId="4" borderId="0" applyAlignment="1" applyProtection="1" pivotButton="0" quotePrefix="0" xfId="3">
      <alignment horizontal="left" vertical="center"/>
      <protection locked="0" hidden="0"/>
    </xf>
    <xf numFmtId="0" fontId="6" fillId="4" borderId="0" applyAlignment="1" applyProtection="1" pivotButton="0" quotePrefix="0" xfId="3">
      <alignment vertical="top" wrapText="1"/>
      <protection locked="0" hidden="0"/>
    </xf>
    <xf numFmtId="0" fontId="6" fillId="4" borderId="0" applyAlignment="1" applyProtection="1" pivotButton="0" quotePrefix="0" xfId="0">
      <alignment horizontal="center" vertical="center" wrapText="1"/>
      <protection locked="0" hidden="0"/>
    </xf>
    <xf numFmtId="0" fontId="6" fillId="4" borderId="0" applyAlignment="1" applyProtection="1" pivotButton="0" quotePrefix="0" xfId="3">
      <alignment wrapText="1"/>
      <protection locked="0" hidden="0"/>
    </xf>
    <xf numFmtId="0" fontId="8" fillId="4" borderId="0" applyAlignment="1" applyProtection="1" pivotButton="0" quotePrefix="0" xfId="3">
      <alignment horizontal="center" vertical="center" wrapText="1"/>
      <protection locked="0" hidden="0"/>
    </xf>
    <xf numFmtId="0" fontId="6" fillId="4" borderId="0" applyAlignment="1" applyProtection="1" pivotButton="0" quotePrefix="0" xfId="0">
      <alignment wrapText="1"/>
      <protection locked="0" hidden="0"/>
    </xf>
    <xf numFmtId="0" fontId="6" fillId="4" borderId="13" applyAlignment="1" applyProtection="1" pivotButton="0" quotePrefix="0" xfId="3">
      <alignment horizontal="left" vertical="center" wrapText="1"/>
      <protection locked="0" hidden="0"/>
    </xf>
    <xf numFmtId="0" fontId="6" fillId="4" borderId="78" applyAlignment="1" applyProtection="1" pivotButton="0" quotePrefix="0" xfId="3">
      <alignment horizontal="left" vertical="center" wrapText="1"/>
      <protection locked="0" hidden="0"/>
    </xf>
    <xf numFmtId="0" fontId="8" fillId="4" borderId="1" applyAlignment="1" applyProtection="1" pivotButton="0" quotePrefix="0" xfId="14">
      <alignment horizontal="center" vertical="center" wrapText="1"/>
      <protection locked="0" hidden="0"/>
    </xf>
    <xf numFmtId="0" fontId="6" fillId="4" borderId="1" applyAlignment="1" pivotButton="0" quotePrefix="0" xfId="2">
      <alignment horizontal="center" vertical="center" wrapText="1"/>
    </xf>
    <xf numFmtId="0" fontId="6" fillId="4" borderId="1" applyAlignment="1" applyProtection="1" pivotButton="0" quotePrefix="0" xfId="14">
      <alignment horizontal="center" vertical="center" wrapText="1"/>
      <protection locked="0" hidden="0"/>
    </xf>
    <xf numFmtId="0" fontId="8" fillId="4" borderId="1" applyAlignment="1" pivotButton="0" quotePrefix="0" xfId="14">
      <alignment horizontal="center" vertical="center" wrapText="1"/>
    </xf>
    <xf numFmtId="0" fontId="6" fillId="4" borderId="13" applyAlignment="1" pivotButton="0" quotePrefix="0" xfId="14">
      <alignment horizontal="center" vertical="center" wrapText="1"/>
    </xf>
    <xf numFmtId="0" fontId="6" fillId="4" borderId="16" applyAlignment="1" pivotButton="0" quotePrefix="0" xfId="3">
      <alignment horizontal="center" vertical="center" wrapText="1"/>
    </xf>
    <xf numFmtId="0" fontId="6" fillId="4" borderId="14" applyAlignment="1" pivotButton="0" quotePrefix="0" xfId="3">
      <alignment horizontal="left" vertical="center" wrapText="1"/>
    </xf>
    <xf numFmtId="0" fontId="6" fillId="4" borderId="34" applyAlignment="1" applyProtection="1" pivotButton="0" quotePrefix="0" xfId="3">
      <alignment horizontal="left" vertical="center" wrapText="1"/>
      <protection locked="0" hidden="0"/>
    </xf>
    <xf numFmtId="0" fontId="8" fillId="4" borderId="0" applyAlignment="1" pivotButton="0" quotePrefix="0" xfId="3">
      <alignment horizontal="center" vertical="center"/>
    </xf>
    <xf numFmtId="0" fontId="6" fillId="4" borderId="13" applyAlignment="1" applyProtection="1" pivotButton="0" quotePrefix="0" xfId="3">
      <alignment vertical="center" wrapText="1"/>
      <protection locked="0" hidden="0"/>
    </xf>
    <xf numFmtId="0" fontId="9" fillId="4" borderId="34" applyAlignment="1" applyProtection="1" pivotButton="0" quotePrefix="0" xfId="3">
      <alignment horizontal="left" vertical="center" wrapText="1"/>
      <protection locked="0" hidden="0"/>
    </xf>
    <xf numFmtId="0" fontId="8" fillId="4" borderId="12" applyAlignment="1" applyProtection="1" pivotButton="0" quotePrefix="0" xfId="14">
      <alignment horizontal="center" vertical="center" wrapText="1"/>
      <protection locked="0" hidden="0"/>
    </xf>
    <xf numFmtId="0" fontId="6" fillId="4" borderId="12" applyAlignment="1" applyProtection="1" pivotButton="0" quotePrefix="0" xfId="14">
      <alignment horizontal="center" vertical="center" wrapText="1"/>
      <protection locked="0" hidden="0"/>
    </xf>
    <xf numFmtId="0" fontId="6" fillId="4" borderId="12" applyAlignment="1" applyProtection="1" pivotButton="0" quotePrefix="0" xfId="0">
      <alignment horizontal="left" vertical="center" wrapText="1"/>
      <protection locked="0" hidden="0"/>
    </xf>
    <xf numFmtId="0" fontId="6" fillId="4" borderId="1" applyAlignment="1" applyProtection="1" pivotButton="0" quotePrefix="0" xfId="2">
      <alignment horizontal="center" vertical="center" wrapText="1"/>
      <protection locked="0" hidden="0"/>
    </xf>
    <xf numFmtId="0" fontId="6" fillId="4" borderId="12" applyAlignment="1" applyProtection="1" pivotButton="0" quotePrefix="0" xfId="0">
      <alignment horizontal="right" vertical="center" wrapText="1"/>
      <protection locked="0" hidden="0"/>
    </xf>
    <xf numFmtId="0" fontId="6" fillId="4" borderId="12" applyAlignment="1" applyProtection="1" pivotButton="0" quotePrefix="0" xfId="2">
      <alignment horizontal="center" vertical="center" wrapText="1"/>
      <protection locked="0" hidden="0"/>
    </xf>
    <xf numFmtId="0" fontId="6" fillId="4" borderId="32" applyAlignment="1" applyProtection="1" pivotButton="0" quotePrefix="0" xfId="3">
      <alignment horizontal="left" vertical="center" wrapText="1"/>
      <protection locked="0" hidden="0"/>
    </xf>
    <xf numFmtId="0" fontId="6" fillId="4" borderId="1" applyAlignment="1" applyProtection="1" pivotButton="0" quotePrefix="0" xfId="0">
      <alignment horizontal="left" vertical="center" wrapText="1"/>
      <protection locked="0" hidden="0"/>
    </xf>
    <xf numFmtId="0" fontId="6" fillId="4" borderId="1" applyAlignment="1" applyProtection="1" pivotButton="0" quotePrefix="0" xfId="0">
      <alignment horizontal="right" vertical="center" wrapText="1"/>
      <protection locked="0" hidden="0"/>
    </xf>
    <xf numFmtId="0" fontId="8" fillId="4" borderId="2" applyAlignment="1" applyProtection="1" pivotButton="0" quotePrefix="0" xfId="14">
      <alignment horizontal="center" vertical="center" wrapText="1"/>
      <protection locked="0" hidden="0"/>
    </xf>
    <xf numFmtId="0" fontId="6" fillId="4" borderId="2" applyAlignment="1" applyProtection="1" pivotButton="0" quotePrefix="0" xfId="14">
      <alignment horizontal="center" vertical="center" wrapText="1"/>
      <protection locked="0" hidden="0"/>
    </xf>
    <xf numFmtId="0" fontId="6" fillId="4" borderId="46" applyAlignment="1" applyProtection="1" pivotButton="0" quotePrefix="0" xfId="3">
      <alignment vertical="center" wrapText="1"/>
      <protection locked="0" hidden="0"/>
    </xf>
    <xf numFmtId="0" fontId="6" fillId="4" borderId="2" applyAlignment="1" applyProtection="1" pivotButton="0" quotePrefix="0" xfId="2">
      <alignment horizontal="center" vertical="center" wrapText="1"/>
      <protection locked="0" hidden="0"/>
    </xf>
    <xf numFmtId="0" fontId="6" fillId="4" borderId="2" applyAlignment="1" applyProtection="1" pivotButton="0" quotePrefix="0" xfId="0">
      <alignment horizontal="center" vertical="center" wrapText="1"/>
      <protection locked="0" hidden="0"/>
    </xf>
    <xf numFmtId="0" fontId="6" fillId="4" borderId="16" applyAlignment="1" applyProtection="1" pivotButton="0" quotePrefix="0" xfId="3">
      <alignment horizontal="left" vertical="center" wrapText="1"/>
      <protection locked="0" hidden="0"/>
    </xf>
    <xf numFmtId="0" fontId="6" fillId="11" borderId="16" applyAlignment="1" applyProtection="1" pivotButton="0" quotePrefix="0" xfId="0">
      <alignment horizontal="left" vertical="center" wrapText="1"/>
      <protection locked="0" hidden="0"/>
    </xf>
    <xf numFmtId="0" fontId="6" fillId="4" borderId="13" applyAlignment="1" applyProtection="1" pivotButton="0" quotePrefix="0" xfId="2">
      <alignment horizontal="left" vertical="center" wrapText="1"/>
      <protection locked="0" hidden="0"/>
    </xf>
    <xf numFmtId="0" fontId="9" fillId="4" borderId="32" applyAlignment="1" applyProtection="1" pivotButton="0" quotePrefix="0" xfId="3">
      <alignment horizontal="left" vertical="center" wrapText="1"/>
      <protection locked="0" hidden="0"/>
    </xf>
    <xf numFmtId="0" fontId="6" fillId="4" borderId="16" applyAlignment="1" applyProtection="1" pivotButton="0" quotePrefix="0" xfId="14">
      <alignment horizontal="center" vertical="center" wrapText="1"/>
      <protection locked="0" hidden="0"/>
    </xf>
    <xf numFmtId="0" fontId="6" fillId="4" borderId="76" applyAlignment="1" applyProtection="1" pivotButton="0" quotePrefix="0" xfId="3">
      <alignment horizontal="left" vertical="center" wrapText="1"/>
      <protection locked="0" hidden="0"/>
    </xf>
    <xf numFmtId="0" fontId="6" fillId="4" borderId="77" applyAlignment="1" applyProtection="1" pivotButton="0" quotePrefix="0" xfId="2">
      <alignment horizontal="center" vertical="center" wrapText="1"/>
      <protection locked="0" hidden="0"/>
    </xf>
    <xf numFmtId="0" fontId="6" fillId="4" borderId="42" applyAlignment="1" applyProtection="1" pivotButton="0" quotePrefix="0" xfId="2">
      <alignment horizontal="center" vertical="center" wrapText="1"/>
      <protection locked="0" hidden="0"/>
    </xf>
    <xf numFmtId="0" fontId="6" fillId="4" borderId="18" applyAlignment="1" applyProtection="1" pivotButton="0" quotePrefix="0" xfId="3">
      <alignment horizontal="left" vertical="center" wrapText="1"/>
      <protection locked="0" hidden="0"/>
    </xf>
    <xf numFmtId="0" fontId="6" fillId="4" borderId="75" applyAlignment="1" applyProtection="1" pivotButton="0" quotePrefix="0" xfId="3">
      <alignment horizontal="left" vertical="center" wrapText="1"/>
      <protection locked="0" hidden="0"/>
    </xf>
    <xf numFmtId="0" fontId="6" fillId="4" borderId="16" applyAlignment="1" pivotButton="0" quotePrefix="0" xfId="0">
      <alignment vertical="center" wrapText="1"/>
    </xf>
    <xf numFmtId="0" fontId="6" fillId="4" borderId="13" applyAlignment="1" pivotButton="0" quotePrefix="0" xfId="2">
      <alignment horizontal="center" vertical="center" wrapText="1"/>
    </xf>
    <xf numFmtId="0" fontId="6" fillId="4" borderId="13" applyAlignment="1" pivotButton="0" quotePrefix="0" xfId="2">
      <alignment horizontal="left" vertical="center" wrapText="1"/>
    </xf>
    <xf numFmtId="0" fontId="6" fillId="4" borderId="16" applyAlignment="1" applyProtection="1" pivotButton="0" quotePrefix="0" xfId="0">
      <alignment vertical="center" wrapText="1"/>
      <protection locked="0" hidden="0"/>
    </xf>
    <xf numFmtId="0" fontId="6" fillId="4" borderId="13" applyAlignment="1" applyProtection="1" pivotButton="0" quotePrefix="0" xfId="2">
      <alignment horizontal="center" vertical="center" wrapText="1"/>
      <protection locked="0" hidden="0"/>
    </xf>
    <xf numFmtId="0" fontId="6" fillId="4" borderId="13" applyAlignment="1" pivotButton="0" quotePrefix="0" xfId="0">
      <alignment vertical="center" wrapText="1"/>
    </xf>
    <xf numFmtId="0" fontId="6" fillId="4" borderId="16" applyAlignment="1" applyProtection="1" pivotButton="0" quotePrefix="0" xfId="2">
      <alignment horizontal="left" vertical="center" wrapText="1"/>
      <protection locked="0" hidden="0"/>
    </xf>
    <xf numFmtId="0" fontId="9" fillId="11" borderId="16" applyAlignment="1" applyProtection="1" pivotButton="0" quotePrefix="0" xfId="0">
      <alignment horizontal="left" vertical="center" wrapText="1"/>
      <protection locked="0" hidden="0"/>
    </xf>
    <xf numFmtId="0" fontId="10" fillId="11" borderId="16" applyAlignment="1" applyProtection="1" pivotButton="0" quotePrefix="0" xfId="0">
      <alignment horizontal="center" vertical="center" wrapText="1"/>
      <protection locked="0" hidden="0"/>
    </xf>
    <xf numFmtId="0" fontId="6" fillId="11" borderId="2" applyAlignment="1" applyProtection="1" pivotButton="0" quotePrefix="0" xfId="0">
      <alignment horizontal="center" vertical="center" wrapText="1"/>
      <protection locked="0" hidden="0"/>
    </xf>
    <xf numFmtId="0" fontId="6" fillId="4" borderId="46" applyAlignment="1" applyProtection="1" pivotButton="0" quotePrefix="0" xfId="3">
      <alignment horizontal="left" vertical="center" wrapText="1"/>
      <protection locked="0" hidden="0"/>
    </xf>
    <xf numFmtId="0" fontId="6" fillId="4" borderId="46" applyAlignment="1" applyProtection="1" pivotButton="0" quotePrefix="0" xfId="3">
      <alignment horizontal="right" vertical="center" wrapText="1"/>
      <protection locked="0" hidden="0"/>
    </xf>
    <xf numFmtId="0" fontId="10" fillId="4" borderId="34" applyAlignment="1" applyProtection="1" pivotButton="0" quotePrefix="0" xfId="3">
      <alignment horizontal="left" vertical="center" wrapText="1"/>
      <protection locked="0" hidden="0"/>
    </xf>
    <xf numFmtId="0" fontId="6" fillId="4" borderId="14" applyAlignment="1" applyProtection="1" pivotButton="0" quotePrefix="0" xfId="3">
      <alignment horizontal="left" vertical="center" wrapText="1"/>
      <protection locked="0" hidden="0"/>
    </xf>
    <xf numFmtId="0" fontId="10" fillId="4" borderId="1" applyAlignment="1" applyProtection="1" pivotButton="0" quotePrefix="0" xfId="3">
      <alignment vertical="center" wrapText="1"/>
      <protection locked="0" hidden="0"/>
    </xf>
    <xf numFmtId="0" fontId="6" fillId="4" borderId="13" applyAlignment="1" applyProtection="1" pivotButton="0" quotePrefix="0" xfId="0">
      <alignment horizontal="left" vertical="center" wrapText="1"/>
      <protection locked="0" hidden="0"/>
    </xf>
    <xf numFmtId="0" fontId="8" fillId="4" borderId="2" applyAlignment="1" applyProtection="1" pivotButton="0" quotePrefix="0" xfId="0">
      <alignment horizontal="center" vertical="center" wrapText="1"/>
      <protection locked="0" hidden="0"/>
    </xf>
    <xf numFmtId="0" fontId="6" fillId="4" borderId="47" applyAlignment="1" applyProtection="1" pivotButton="0" quotePrefix="0" xfId="3">
      <alignment horizontal="center" vertical="center" wrapText="1"/>
      <protection locked="0" hidden="0"/>
    </xf>
    <xf numFmtId="0" fontId="6" fillId="4" borderId="34" applyAlignment="1" applyProtection="1" pivotButton="0" quotePrefix="0" xfId="3">
      <alignment horizontal="center" vertical="center" wrapText="1"/>
      <protection locked="0" hidden="0"/>
    </xf>
    <xf numFmtId="0" fontId="6" fillId="4" borderId="1" applyAlignment="1" applyProtection="1" pivotButton="0" quotePrefix="0" xfId="3">
      <alignment horizontal="left" vertical="center" wrapText="1"/>
      <protection locked="0" hidden="0"/>
    </xf>
    <xf numFmtId="0" fontId="6" fillId="4" borderId="1" applyAlignment="1" applyProtection="1" pivotButton="0" quotePrefix="0" xfId="3">
      <alignment horizontal="right" vertical="center" wrapText="1"/>
      <protection locked="0" hidden="0"/>
    </xf>
    <xf numFmtId="0" fontId="6" fillId="11" borderId="1" applyAlignment="1" applyProtection="1" pivotButton="0" quotePrefix="0" xfId="0">
      <alignment horizontal="center" vertical="center" wrapText="1"/>
      <protection locked="0" hidden="0"/>
    </xf>
    <xf numFmtId="0" fontId="6" fillId="4" borderId="18" applyAlignment="1" applyProtection="1" pivotButton="0" quotePrefix="0" xfId="3">
      <alignment horizontal="center" vertical="center" wrapText="1"/>
      <protection locked="0" hidden="0"/>
    </xf>
    <xf numFmtId="0" fontId="6" fillId="4" borderId="78" applyAlignment="1" applyProtection="1" pivotButton="0" quotePrefix="0" xfId="3">
      <alignment horizontal="center" vertical="center" wrapText="1"/>
      <protection locked="0" hidden="0"/>
    </xf>
    <xf numFmtId="0" fontId="8" fillId="4" borderId="78" applyAlignment="1" applyProtection="1" pivotButton="0" quotePrefix="0" xfId="14">
      <alignment horizontal="center" vertical="center" wrapText="1"/>
      <protection locked="0" hidden="0"/>
    </xf>
    <xf numFmtId="0" fontId="6" fillId="4" borderId="78" applyAlignment="1" applyProtection="1" pivotButton="0" quotePrefix="0" xfId="14">
      <alignment horizontal="center" vertical="center" wrapText="1"/>
      <protection locked="0" hidden="0"/>
    </xf>
    <xf numFmtId="0" fontId="6" fillId="4" borderId="78" applyAlignment="1" applyProtection="1" pivotButton="0" quotePrefix="0" xfId="2">
      <alignment horizontal="center" vertical="center" wrapText="1"/>
      <protection locked="0" hidden="0"/>
    </xf>
    <xf numFmtId="0" fontId="6" fillId="4" borderId="78" applyAlignment="1" applyProtection="1" pivotButton="0" quotePrefix="0" xfId="3">
      <alignment horizontal="right" vertical="center" wrapText="1"/>
      <protection locked="0" hidden="0"/>
    </xf>
    <xf numFmtId="0" fontId="6" fillId="11" borderId="78" applyAlignment="1" applyProtection="1" pivotButton="0" quotePrefix="0" xfId="0">
      <alignment horizontal="center" vertical="center" wrapText="1"/>
      <protection locked="0" hidden="0"/>
    </xf>
    <xf numFmtId="0" fontId="6" fillId="4" borderId="1" applyAlignment="1" applyProtection="1" pivotButton="0" quotePrefix="0" xfId="3">
      <alignment horizontal="center" vertical="center" wrapText="1"/>
      <protection locked="0" hidden="0"/>
    </xf>
    <xf numFmtId="0" fontId="6" fillId="4" borderId="46" applyAlignment="1" applyProtection="1" pivotButton="0" quotePrefix="0" xfId="0">
      <alignment horizontal="center" vertical="center" wrapText="1"/>
      <protection locked="0" hidden="0"/>
    </xf>
    <xf numFmtId="0" fontId="6" fillId="4" borderId="1" applyAlignment="1" applyProtection="1" pivotButton="0" quotePrefix="0" xfId="0">
      <alignment horizontal="center" vertical="center" wrapText="1"/>
      <protection locked="0" hidden="0"/>
    </xf>
    <xf numFmtId="0" fontId="6" fillId="4" borderId="63" applyAlignment="1" applyProtection="1" pivotButton="0" quotePrefix="0" xfId="3">
      <alignment horizontal="left" vertical="center" wrapText="1"/>
      <protection locked="0" hidden="0"/>
    </xf>
    <xf numFmtId="0" fontId="6" fillId="4" borderId="27" applyAlignment="1" applyProtection="1" pivotButton="0" quotePrefix="0" xfId="3">
      <alignment horizontal="left" vertical="center" wrapText="1"/>
      <protection locked="0" hidden="0"/>
    </xf>
    <xf numFmtId="9" fontId="6" fillId="0" borderId="0" applyAlignment="1" applyProtection="1" pivotButton="0" quotePrefix="0" xfId="11">
      <alignment horizontal="center" vertical="center"/>
      <protection locked="0" hidden="0"/>
    </xf>
    <xf numFmtId="0" fontId="8" fillId="3" borderId="3" applyAlignment="1" pivotButton="0" quotePrefix="0" xfId="2">
      <alignment horizontal="center" vertical="center" wrapText="1"/>
    </xf>
    <xf numFmtId="0" fontId="8" fillId="3" borderId="31" applyAlignment="1" pivotButton="0" quotePrefix="0" xfId="2">
      <alignment horizontal="center" vertical="center" wrapText="1"/>
    </xf>
    <xf numFmtId="165" fontId="6" fillId="0" borderId="0" applyAlignment="1" pivotButton="0" quotePrefix="0" xfId="0">
      <alignment horizontal="center" vertical="center"/>
    </xf>
    <xf numFmtId="165" fontId="6" fillId="0" borderId="0" applyAlignment="1" applyProtection="1" pivotButton="0" quotePrefix="0" xfId="0">
      <alignment horizontal="center" vertical="center"/>
      <protection locked="0" hidden="0"/>
    </xf>
    <xf numFmtId="0" fontId="6" fillId="0" borderId="78" applyAlignment="1" pivotButton="0" quotePrefix="0" xfId="3">
      <alignment horizontal="right" vertical="center" wrapText="1"/>
    </xf>
    <xf numFmtId="9" fontId="6" fillId="0" borderId="0" applyAlignment="1" pivotButton="0" quotePrefix="0" xfId="11">
      <alignment horizontal="center" vertical="center"/>
    </xf>
    <xf numFmtId="0" fontId="6" fillId="0" borderId="0" applyAlignment="1" pivotButton="0" quotePrefix="0" xfId="0">
      <alignment horizontal="right" vertical="center" wrapText="1"/>
    </xf>
    <xf numFmtId="0" fontId="8" fillId="4" borderId="2" applyAlignment="1" pivotButton="0" quotePrefix="0" xfId="14">
      <alignment horizontal="center" vertical="center" wrapText="1"/>
    </xf>
    <xf numFmtId="0" fontId="6" fillId="4" borderId="2" applyAlignment="1" pivotButton="0" quotePrefix="0" xfId="14">
      <alignment horizontal="center" vertical="center" wrapText="1"/>
    </xf>
    <xf numFmtId="0" fontId="6" fillId="4" borderId="16" applyAlignment="1" pivotButton="0" quotePrefix="0" xfId="3">
      <alignment horizontal="left" vertical="center" wrapText="1"/>
    </xf>
    <xf numFmtId="0" fontId="6" fillId="4" borderId="16" applyAlignment="1" pivotButton="0" quotePrefix="0" xfId="0">
      <alignment horizontal="left" vertical="center" wrapText="1"/>
    </xf>
    <xf numFmtId="0" fontId="6" fillId="4" borderId="16" applyAlignment="1" applyProtection="1" pivotButton="0" quotePrefix="0" xfId="0">
      <alignment horizontal="left" vertical="center" wrapText="1"/>
      <protection locked="0" hidden="0"/>
    </xf>
    <xf numFmtId="0" fontId="6" fillId="4" borderId="78" applyAlignment="1" pivotButton="0" quotePrefix="0" xfId="2">
      <alignment horizontal="center" vertical="center" wrapText="1"/>
    </xf>
    <xf numFmtId="0" fontId="6" fillId="0" borderId="1" applyAlignment="1" pivotButton="0" quotePrefix="0" xfId="0">
      <alignment horizontal="right" vertical="center" wrapText="1"/>
    </xf>
    <xf numFmtId="0" fontId="6" fillId="0" borderId="46" applyAlignment="1" pivotButton="0" quotePrefix="0" xfId="0">
      <alignment wrapText="1"/>
    </xf>
    <xf numFmtId="0" fontId="6" fillId="4" borderId="48" applyAlignment="1" pivotButton="0" quotePrefix="0" xfId="0">
      <alignment horizontal="left" vertical="center" wrapText="1"/>
    </xf>
    <xf numFmtId="9" fontId="6" fillId="4" borderId="0" applyAlignment="1" applyProtection="1" pivotButton="0" quotePrefix="0" xfId="11">
      <alignment horizontal="center" vertical="center"/>
      <protection locked="0" hidden="0"/>
    </xf>
    <xf numFmtId="165" fontId="6" fillId="4" borderId="0" applyAlignment="1" applyProtection="1" pivotButton="0" quotePrefix="0" xfId="0">
      <alignment horizontal="center" vertical="center"/>
      <protection locked="0" hidden="0"/>
    </xf>
    <xf numFmtId="9" fontId="6" fillId="4" borderId="0" applyAlignment="1" applyProtection="1" pivotButton="0" quotePrefix="0" xfId="11">
      <alignment horizontal="center" vertical="center" wrapText="1"/>
      <protection locked="0" hidden="0"/>
    </xf>
    <xf numFmtId="165" fontId="6" fillId="4" borderId="0" applyAlignment="1" applyProtection="1" pivotButton="0" quotePrefix="0" xfId="0">
      <alignment horizontal="center" vertical="center" wrapText="1"/>
      <protection locked="0" hidden="0"/>
    </xf>
    <xf numFmtId="165" fontId="6" fillId="4" borderId="0" applyAlignment="1" pivotButton="0" quotePrefix="0" xfId="0">
      <alignment horizontal="center" vertical="center"/>
    </xf>
    <xf numFmtId="9" fontId="6" fillId="0" borderId="0" applyAlignment="1" pivotButton="0" quotePrefix="0" xfId="11">
      <alignment horizontal="center" vertical="center" wrapText="1"/>
    </xf>
    <xf numFmtId="165" fontId="6" fillId="0" borderId="0" applyAlignment="1" pivotButton="0" quotePrefix="0" xfId="0">
      <alignment horizontal="center" vertical="center" wrapText="1"/>
    </xf>
    <xf numFmtId="9" fontId="6" fillId="10" borderId="0" applyAlignment="1" pivotButton="0" quotePrefix="0" xfId="11">
      <alignment horizontal="left" vertical="center"/>
    </xf>
    <xf numFmtId="165" fontId="6" fillId="10" borderId="0" applyAlignment="1" pivotButton="0" quotePrefix="0" xfId="0">
      <alignment horizontal="left" vertical="center"/>
    </xf>
    <xf numFmtId="0" fontId="6" fillId="4" borderId="0" applyAlignment="1" pivotButton="0" quotePrefix="0" xfId="0">
      <alignment vertical="center" wrapText="1"/>
    </xf>
    <xf numFmtId="0" fontId="6" fillId="4" borderId="2" applyAlignment="1" pivotButton="0" quotePrefix="0" xfId="2">
      <alignment horizontal="center" vertical="center" wrapText="1"/>
    </xf>
    <xf numFmtId="0" fontId="6" fillId="4" borderId="13" applyAlignment="1" pivotButton="0" quotePrefix="0" xfId="3">
      <alignment horizontal="left" vertical="center" wrapText="1"/>
    </xf>
    <xf numFmtId="49" fontId="6" fillId="4" borderId="36" applyAlignment="1" pivotButton="0" quotePrefix="0" xfId="0">
      <alignment horizontal="left" vertical="center" wrapText="1"/>
    </xf>
    <xf numFmtId="165" fontId="6" fillId="0" borderId="0" applyAlignment="1" pivotButton="0" quotePrefix="0" xfId="0">
      <alignment horizontal="right" vertical="center"/>
    </xf>
    <xf numFmtId="9" fontId="6" fillId="0" borderId="0" applyAlignment="1" applyProtection="1" pivotButton="0" quotePrefix="0" xfId="11">
      <alignment horizontal="right" vertical="center"/>
      <protection locked="0" hidden="0"/>
    </xf>
    <xf numFmtId="165" fontId="6" fillId="0" borderId="0" applyAlignment="1" applyProtection="1" pivotButton="0" quotePrefix="0" xfId="0">
      <alignment horizontal="right" vertical="center"/>
      <protection locked="0" hidden="0"/>
    </xf>
    <xf numFmtId="0" fontId="6" fillId="0" borderId="0" applyAlignment="1" applyProtection="1" pivotButton="0" quotePrefix="0" xfId="0">
      <alignment horizontal="right" vertical="center"/>
      <protection locked="0" hidden="0"/>
    </xf>
    <xf numFmtId="9" fontId="8" fillId="0" borderId="30" applyAlignment="1" applyProtection="1" pivotButton="0" quotePrefix="0" xfId="11">
      <alignment horizontal="right" vertical="center"/>
      <protection locked="0" hidden="0"/>
    </xf>
    <xf numFmtId="0" fontId="8" fillId="0" borderId="30" applyAlignment="1" applyProtection="1" pivotButton="0" quotePrefix="0" xfId="0">
      <alignment horizontal="right" vertical="center"/>
      <protection locked="0" hidden="0"/>
    </xf>
    <xf numFmtId="2" fontId="8" fillId="0" borderId="31" applyAlignment="1" applyProtection="1" pivotButton="0" quotePrefix="0" xfId="0">
      <alignment horizontal="right" vertical="center"/>
      <protection locked="0" hidden="0"/>
    </xf>
    <xf numFmtId="9" fontId="8" fillId="0" borderId="61" applyAlignment="1" applyProtection="1" pivotButton="0" quotePrefix="0" xfId="11">
      <alignment horizontal="right" vertical="center"/>
      <protection locked="0" hidden="0"/>
    </xf>
    <xf numFmtId="0" fontId="8" fillId="0" borderId="61" applyAlignment="1" applyProtection="1" pivotButton="0" quotePrefix="0" xfId="0">
      <alignment horizontal="right" vertical="center"/>
      <protection locked="0" hidden="0"/>
    </xf>
    <xf numFmtId="2" fontId="8" fillId="0" borderId="60" applyAlignment="1" applyProtection="1" pivotButton="0" quotePrefix="0" xfId="0">
      <alignment horizontal="right" vertical="center"/>
      <protection locked="0" hidden="0"/>
    </xf>
    <xf numFmtId="2" fontId="8" fillId="0" borderId="10" applyAlignment="1" applyProtection="1" pivotButton="0" quotePrefix="0" xfId="0">
      <alignment horizontal="right" vertical="center"/>
      <protection locked="0" hidden="0"/>
    </xf>
    <xf numFmtId="0" fontId="17" fillId="0" borderId="13" applyAlignment="1" pivotButton="0" quotePrefix="0" xfId="5">
      <alignment horizontal="left" vertical="center" wrapText="1"/>
    </xf>
    <xf numFmtId="0" fontId="17" fillId="0" borderId="13" applyAlignment="1" pivotButton="0" quotePrefix="0" xfId="3">
      <alignment horizontal="left" vertical="center" wrapText="1"/>
    </xf>
    <xf numFmtId="0" fontId="17" fillId="0" borderId="14" applyAlignment="1" pivotButton="0" quotePrefix="0" xfId="3">
      <alignment horizontal="left" vertical="center" wrapText="1"/>
    </xf>
    <xf numFmtId="0" fontId="17" fillId="0" borderId="16" applyAlignment="1" pivotButton="0" quotePrefix="0" xfId="2">
      <alignment horizontal="left" vertical="center"/>
    </xf>
    <xf numFmtId="0" fontId="17" fillId="4" borderId="16" applyAlignment="1" pivotButton="0" quotePrefix="0" xfId="3">
      <alignment horizontal="left" vertical="center" wrapText="1"/>
    </xf>
    <xf numFmtId="0" fontId="17" fillId="0" borderId="78" applyProtection="1" pivotButton="0" quotePrefix="0" xfId="3">
      <protection locked="0" hidden="0"/>
    </xf>
    <xf numFmtId="0" fontId="17" fillId="0" borderId="78" applyAlignment="1" pivotButton="0" quotePrefix="0" xfId="3">
      <alignment horizontal="left" vertical="center" wrapText="1"/>
    </xf>
    <xf numFmtId="0" fontId="17" fillId="0" borderId="16" applyAlignment="1" pivotButton="0" quotePrefix="0" xfId="2">
      <alignment horizontal="left" vertical="center" wrapText="1"/>
    </xf>
    <xf numFmtId="0" fontId="18" fillId="0" borderId="78" applyAlignment="1" applyProtection="1" pivotButton="0" quotePrefix="0" xfId="3">
      <alignment vertical="center" wrapText="1"/>
      <protection locked="0" hidden="0"/>
    </xf>
    <xf numFmtId="0" fontId="18" fillId="0" borderId="16" applyAlignment="1" applyProtection="1" pivotButton="0" quotePrefix="0" xfId="3">
      <alignment vertical="center" wrapText="1"/>
      <protection locked="0" hidden="0"/>
    </xf>
    <xf numFmtId="0" fontId="17" fillId="4" borderId="12" applyAlignment="1" pivotButton="0" quotePrefix="0" xfId="3">
      <alignment horizontal="left" vertical="center" wrapText="1"/>
    </xf>
    <xf numFmtId="0" fontId="17" fillId="4" borderId="78" applyAlignment="1" pivotButton="0" quotePrefix="0" xfId="3">
      <alignment horizontal="left" vertical="center" wrapText="1"/>
    </xf>
    <xf numFmtId="0" fontId="17" fillId="4" borderId="78" applyAlignment="1" applyProtection="1" pivotButton="0" quotePrefix="0" xfId="3">
      <alignment horizontal="left" vertical="center" wrapText="1"/>
      <protection locked="0" hidden="0"/>
    </xf>
    <xf numFmtId="0" fontId="17" fillId="4" borderId="14" applyAlignment="1" pivotButton="0" quotePrefix="0" xfId="3">
      <alignment horizontal="left" vertical="center" wrapText="1"/>
    </xf>
    <xf numFmtId="0" fontId="17" fillId="4" borderId="16" applyAlignment="1" applyProtection="1" pivotButton="0" quotePrefix="0" xfId="3">
      <alignment horizontal="left" vertical="center" wrapText="1"/>
      <protection locked="0" hidden="0"/>
    </xf>
    <xf numFmtId="0" fontId="17" fillId="0" borderId="13" applyAlignment="1" pivotButton="0" quotePrefix="0" xfId="2">
      <alignment horizontal="left" vertical="center" wrapText="1"/>
    </xf>
    <xf numFmtId="0" fontId="17" fillId="4" borderId="13" applyAlignment="1" applyProtection="1" pivotButton="0" quotePrefix="0" xfId="2">
      <alignment horizontal="left" vertical="center" wrapText="1"/>
      <protection locked="0" hidden="0"/>
    </xf>
    <xf numFmtId="0" fontId="17" fillId="4" borderId="18" applyAlignment="1" applyProtection="1" pivotButton="0" quotePrefix="0" xfId="3">
      <alignment horizontal="left" vertical="center" wrapText="1"/>
      <protection locked="0" hidden="0"/>
    </xf>
    <xf numFmtId="0" fontId="17" fillId="4" borderId="13" applyAlignment="1" pivotButton="0" quotePrefix="0" xfId="2">
      <alignment horizontal="left" vertical="center" wrapText="1"/>
    </xf>
    <xf numFmtId="0" fontId="17" fillId="0" borderId="78" applyAlignment="1" pivotButton="0" quotePrefix="0" xfId="2">
      <alignment horizontal="left" vertical="center" wrapText="1"/>
    </xf>
    <xf numFmtId="0" fontId="17" fillId="4" borderId="16" applyAlignment="1" applyProtection="1" pivotButton="0" quotePrefix="0" xfId="2">
      <alignment horizontal="left" vertical="center" wrapText="1"/>
      <protection locked="0" hidden="0"/>
    </xf>
    <xf numFmtId="0" fontId="17" fillId="0" borderId="0" applyAlignment="1" pivotButton="0" quotePrefix="0" xfId="3">
      <alignment horizontal="left" vertical="center" wrapText="1"/>
    </xf>
    <xf numFmtId="0" fontId="17" fillId="0" borderId="13" applyAlignment="1" pivotButton="0" quotePrefix="0" xfId="0">
      <alignment vertical="center"/>
    </xf>
    <xf numFmtId="0" fontId="17" fillId="4" borderId="13" applyAlignment="1" applyProtection="1" pivotButton="0" quotePrefix="0" xfId="3">
      <alignment horizontal="left" vertical="center" wrapText="1"/>
      <protection locked="0" hidden="0"/>
    </xf>
    <xf numFmtId="0" fontId="17" fillId="4" borderId="14" applyAlignment="1" applyProtection="1" pivotButton="0" quotePrefix="0" xfId="3">
      <alignment horizontal="left" vertical="center" wrapText="1"/>
      <protection locked="0" hidden="0"/>
    </xf>
    <xf numFmtId="0" fontId="17" fillId="0" borderId="18" applyAlignment="1" pivotButton="0" quotePrefix="0" xfId="3">
      <alignment horizontal="left" vertical="center" wrapText="1"/>
    </xf>
    <xf numFmtId="0" fontId="17" fillId="4" borderId="1" applyAlignment="1" applyProtection="1" pivotButton="0" quotePrefix="0" xfId="3">
      <alignment horizontal="left" vertical="center" wrapText="1"/>
      <protection locked="0" hidden="0"/>
    </xf>
    <xf numFmtId="0" fontId="17" fillId="0" borderId="0" applyProtection="1" pivotButton="0" quotePrefix="0" xfId="0">
      <protection locked="0" hidden="0"/>
    </xf>
    <xf numFmtId="0" fontId="18" fillId="0" borderId="30" applyProtection="1" pivotButton="0" quotePrefix="0" xfId="0">
      <protection locked="0" hidden="0"/>
    </xf>
    <xf numFmtId="0" fontId="18" fillId="0" borderId="61" applyProtection="1" pivotButton="0" quotePrefix="0" xfId="0">
      <protection locked="0" hidden="0"/>
    </xf>
    <xf numFmtId="0" fontId="8" fillId="4" borderId="0" applyAlignment="1" applyProtection="1" pivotButton="0" quotePrefix="0" xfId="0">
      <alignment horizontal="center" vertical="center"/>
      <protection locked="0" hidden="0"/>
    </xf>
    <xf numFmtId="0" fontId="18" fillId="4" borderId="16" applyAlignment="1" pivotButton="0" quotePrefix="0" xfId="3">
      <alignment horizontal="left" vertical="center" wrapText="1"/>
    </xf>
    <xf numFmtId="0" fontId="18" fillId="0" borderId="15" applyAlignment="1" pivotButton="0" quotePrefix="0" xfId="2">
      <alignment horizontal="left" vertical="center" wrapText="1"/>
    </xf>
    <xf numFmtId="0" fontId="6" fillId="4" borderId="78" applyAlignment="1" applyProtection="1" pivotButton="0" quotePrefix="0" xfId="3">
      <alignment horizontal="center" vertical="center"/>
      <protection locked="0" hidden="0"/>
    </xf>
    <xf numFmtId="0" fontId="1" fillId="0" borderId="20" pivotButton="0" quotePrefix="0" xfId="20"/>
    <xf numFmtId="0" fontId="1" fillId="0" borderId="23" pivotButton="0" quotePrefix="0" xfId="20"/>
    <xf numFmtId="0" fontId="1" fillId="0" borderId="23" applyAlignment="1" pivotButton="0" quotePrefix="0" xfId="20">
      <alignment horizontal="left" vertical="center"/>
    </xf>
    <xf numFmtId="0" fontId="1" fillId="0" borderId="21" pivotButton="0" quotePrefix="0" xfId="20"/>
    <xf numFmtId="0" fontId="1" fillId="0" borderId="52" pivotButton="0" quotePrefix="0" xfId="20"/>
    <xf numFmtId="0" fontId="11" fillId="0" borderId="4" applyAlignment="1" pivotButton="0" quotePrefix="0" xfId="20">
      <alignment horizontal="center"/>
    </xf>
    <xf numFmtId="0" fontId="11" fillId="0" borderId="3" applyAlignment="1" pivotButton="0" quotePrefix="0" xfId="20">
      <alignment horizontal="center"/>
    </xf>
    <xf numFmtId="0" fontId="11" fillId="0" borderId="15" applyAlignment="1" pivotButton="0" quotePrefix="0" xfId="20">
      <alignment horizontal="center"/>
    </xf>
    <xf numFmtId="0" fontId="11" fillId="0" borderId="37" applyAlignment="1" pivotButton="0" quotePrefix="0" xfId="20">
      <alignment horizontal="center" vertical="center"/>
    </xf>
    <xf numFmtId="0" fontId="11" fillId="0" borderId="65" applyAlignment="1" pivotButton="0" quotePrefix="0" xfId="21">
      <alignment horizontal="center" vertical="center"/>
    </xf>
    <xf numFmtId="0" fontId="11" fillId="0" borderId="31" applyAlignment="1" pivotButton="0" quotePrefix="0" xfId="20">
      <alignment horizontal="center"/>
    </xf>
    <xf numFmtId="0" fontId="1" fillId="0" borderId="22" pivotButton="0" quotePrefix="0" xfId="20"/>
    <xf numFmtId="0" fontId="12" fillId="0" borderId="41" applyAlignment="1" pivotButton="0" quotePrefix="0" xfId="20">
      <alignment vertical="center"/>
    </xf>
    <xf numFmtId="1" fontId="1" fillId="7" borderId="78" applyAlignment="1" pivotButton="0" quotePrefix="0" xfId="21">
      <alignment horizontal="center" vertical="center"/>
    </xf>
    <xf numFmtId="0" fontId="1" fillId="7" borderId="57" applyAlignment="1" applyProtection="1" pivotButton="0" quotePrefix="0" xfId="20">
      <alignment horizontal="center" vertical="center"/>
      <protection locked="0" hidden="0"/>
    </xf>
    <xf numFmtId="0" fontId="12" fillId="0" borderId="43" applyAlignment="1" pivotButton="0" quotePrefix="0" xfId="20">
      <alignment horizontal="left" vertical="center" wrapText="1"/>
    </xf>
    <xf numFmtId="0" fontId="12" fillId="0" borderId="78" applyAlignment="1" pivotButton="0" quotePrefix="0" xfId="21">
      <alignment vertical="center" wrapText="1"/>
    </xf>
    <xf numFmtId="0" fontId="12" fillId="0" borderId="42" applyAlignment="1" pivotButton="0" quotePrefix="0" xfId="20">
      <alignment horizontal="center" vertical="center" wrapText="1"/>
    </xf>
    <xf numFmtId="0" fontId="12" fillId="0" borderId="44" applyAlignment="1" pivotButton="0" quotePrefix="0" xfId="20">
      <alignment horizontal="center" vertical="center" wrapText="1"/>
    </xf>
    <xf numFmtId="0" fontId="12" fillId="0" borderId="7" applyAlignment="1" pivotButton="0" quotePrefix="0" xfId="20">
      <alignment vertical="center"/>
    </xf>
    <xf numFmtId="0" fontId="1" fillId="7" borderId="13" applyAlignment="1" applyProtection="1" pivotButton="0" quotePrefix="0" xfId="20">
      <alignment horizontal="center" vertical="center"/>
      <protection locked="0" hidden="0"/>
    </xf>
    <xf numFmtId="0" fontId="12" fillId="0" borderId="39" applyAlignment="1" pivotButton="0" quotePrefix="0" xfId="20">
      <alignment horizontal="left" vertical="center" wrapText="1"/>
    </xf>
    <xf numFmtId="0" fontId="12" fillId="0" borderId="78" applyAlignment="1" pivotButton="0" quotePrefix="0" xfId="20">
      <alignment horizontal="center" vertical="center" wrapText="1"/>
    </xf>
    <xf numFmtId="0" fontId="12" fillId="0" borderId="38" applyAlignment="1" pivotButton="0" quotePrefix="0" xfId="20">
      <alignment horizontal="center" vertical="center" wrapText="1"/>
    </xf>
    <xf numFmtId="0" fontId="1" fillId="0" borderId="78" applyAlignment="1" pivotButton="0" quotePrefix="0" xfId="20">
      <alignment horizontal="center" vertical="center"/>
    </xf>
    <xf numFmtId="0" fontId="1" fillId="7" borderId="78" applyAlignment="1" applyProtection="1" pivotButton="0" quotePrefix="0" xfId="21">
      <alignment horizontal="center" vertical="center"/>
      <protection locked="0" hidden="0"/>
    </xf>
    <xf numFmtId="0" fontId="1" fillId="7" borderId="78" applyAlignment="1" applyProtection="1" pivotButton="0" quotePrefix="0" xfId="20">
      <alignment horizontal="center" vertical="center"/>
      <protection locked="0" hidden="0"/>
    </xf>
    <xf numFmtId="0" fontId="13" fillId="0" borderId="39" applyAlignment="1" pivotButton="0" quotePrefix="0" xfId="20">
      <alignment horizontal="left" vertical="center" wrapText="1"/>
    </xf>
    <xf numFmtId="0" fontId="13" fillId="0" borderId="78" applyAlignment="1" pivotButton="0" quotePrefix="0" xfId="21">
      <alignment vertical="center" wrapText="1"/>
    </xf>
    <xf numFmtId="0" fontId="13" fillId="0" borderId="78" applyAlignment="1" pivotButton="0" quotePrefix="0" xfId="20">
      <alignment horizontal="center" vertical="center" wrapText="1"/>
    </xf>
    <xf numFmtId="0" fontId="13" fillId="0" borderId="38" applyAlignment="1" pivotButton="0" quotePrefix="0" xfId="20">
      <alignment horizontal="center" vertical="center" wrapText="1"/>
    </xf>
    <xf numFmtId="0" fontId="13" fillId="0" borderId="66" applyAlignment="1" pivotButton="0" quotePrefix="0" xfId="21">
      <alignment vertical="center" wrapText="1"/>
    </xf>
    <xf numFmtId="0" fontId="13" fillId="0" borderId="40" applyAlignment="1" pivotButton="0" quotePrefix="0" xfId="20">
      <alignment horizontal="center" vertical="center" wrapText="1"/>
    </xf>
    <xf numFmtId="0" fontId="14" fillId="0" borderId="7" applyAlignment="1" pivotButton="0" quotePrefix="0" xfId="20">
      <alignment vertical="center"/>
    </xf>
    <xf numFmtId="0" fontId="1" fillId="7" borderId="78" applyAlignment="1" applyProtection="1" pivotButton="0" quotePrefix="0" xfId="21">
      <alignment horizontal="center" vertical="center" wrapText="1"/>
      <protection locked="0" hidden="0"/>
    </xf>
    <xf numFmtId="0" fontId="1" fillId="7" borderId="13" applyAlignment="1" applyProtection="1" pivotButton="0" quotePrefix="1" xfId="21">
      <alignment horizontal="center" vertical="center" wrapText="1"/>
      <protection locked="0" hidden="0"/>
    </xf>
    <xf numFmtId="0" fontId="13" fillId="0" borderId="39" applyAlignment="1" pivotButton="0" quotePrefix="0" xfId="21">
      <alignment vertical="center" wrapText="1"/>
    </xf>
    <xf numFmtId="0" fontId="13" fillId="0" borderId="63" applyAlignment="1" pivotButton="0" quotePrefix="0" xfId="20">
      <alignment horizontal="center" vertical="center" wrapText="1"/>
    </xf>
    <xf numFmtId="0" fontId="14" fillId="0" borderId="53" applyAlignment="1" pivotButton="0" quotePrefix="0" xfId="20">
      <alignment vertical="center"/>
    </xf>
    <xf numFmtId="2" fontId="1" fillId="4" borderId="9" applyAlignment="1" pivotButton="0" quotePrefix="0" xfId="21">
      <alignment horizontal="center" vertical="center"/>
    </xf>
    <xf numFmtId="2" fontId="1" fillId="7" borderId="64" applyAlignment="1" applyProtection="1" pivotButton="0" quotePrefix="0" xfId="21">
      <alignment horizontal="center" vertical="center" wrapText="1"/>
      <protection locked="0" hidden="0"/>
    </xf>
    <xf numFmtId="0" fontId="13" fillId="0" borderId="54" applyAlignment="1" pivotButton="0" quotePrefix="0" xfId="21">
      <alignment vertical="center" wrapText="1"/>
    </xf>
    <xf numFmtId="0" fontId="13" fillId="0" borderId="72" applyAlignment="1" pivotButton="0" quotePrefix="0" xfId="20">
      <alignment vertical="center" wrapText="1"/>
    </xf>
    <xf numFmtId="2" fontId="13" fillId="0" borderId="11" applyAlignment="1" pivotButton="0" quotePrefix="0" xfId="20">
      <alignment horizontal="center" vertical="center" wrapText="1"/>
    </xf>
    <xf numFmtId="2" fontId="13" fillId="0" borderId="49" applyAlignment="1" pivotButton="0" quotePrefix="0" xfId="21">
      <alignment horizontal="center" vertical="center" wrapText="1"/>
    </xf>
    <xf numFmtId="0" fontId="12" fillId="0" borderId="6" applyAlignment="1" pivotButton="0" quotePrefix="0" xfId="20">
      <alignment vertical="center"/>
    </xf>
    <xf numFmtId="0" fontId="1" fillId="7" borderId="16" applyAlignment="1" applyProtection="1" pivotButton="0" quotePrefix="0" xfId="20">
      <alignment horizontal="center" vertical="center"/>
      <protection locked="0" hidden="0"/>
    </xf>
    <xf numFmtId="0" fontId="12" fillId="0" borderId="55" applyAlignment="1" pivotButton="0" quotePrefix="0" xfId="20">
      <alignment horizontal="left" vertical="center" wrapText="1"/>
    </xf>
    <xf numFmtId="0" fontId="12" fillId="0" borderId="73" applyAlignment="1" pivotButton="0" quotePrefix="0" xfId="20">
      <alignment wrapText="1"/>
    </xf>
    <xf numFmtId="0" fontId="12" fillId="0" borderId="2" applyAlignment="1" pivotButton="0" quotePrefix="0" xfId="20">
      <alignment horizontal="center" vertical="center" wrapText="1"/>
    </xf>
    <xf numFmtId="0" fontId="12" fillId="0" borderId="56" applyAlignment="1" pivotButton="0" quotePrefix="0" xfId="20">
      <alignment horizontal="center" vertical="center" wrapText="1"/>
    </xf>
    <xf numFmtId="0" fontId="12" fillId="0" borderId="7" applyAlignment="1" pivotButton="0" quotePrefix="0" xfId="21">
      <alignment horizontal="left" vertical="center"/>
    </xf>
    <xf numFmtId="1" fontId="1" fillId="0" borderId="78" applyAlignment="1" pivotButton="0" quotePrefix="0" xfId="21">
      <alignment horizontal="center" vertical="center"/>
    </xf>
    <xf numFmtId="1" fontId="1" fillId="7" borderId="13" applyAlignment="1" applyProtection="1" pivotButton="0" quotePrefix="0" xfId="21">
      <alignment horizontal="center" vertical="center"/>
      <protection locked="0" hidden="0"/>
    </xf>
    <xf numFmtId="0" fontId="13" fillId="0" borderId="39" applyAlignment="1" pivotButton="0" quotePrefix="0" xfId="20">
      <alignment vertical="center" wrapText="1"/>
    </xf>
    <xf numFmtId="0" fontId="13" fillId="0" borderId="66" applyAlignment="1" pivotButton="0" quotePrefix="0" xfId="20">
      <alignment vertical="center" wrapText="1"/>
    </xf>
    <xf numFmtId="3" fontId="13" fillId="0" borderId="78" applyAlignment="1" pivotButton="0" quotePrefix="0" xfId="21">
      <alignment horizontal="center" vertical="center" wrapText="1"/>
    </xf>
    <xf numFmtId="3" fontId="1" fillId="4" borderId="63" applyAlignment="1" pivotButton="0" quotePrefix="0" xfId="21">
      <alignment horizontal="center" vertical="center"/>
    </xf>
    <xf numFmtId="3" fontId="13" fillId="0" borderId="78" applyAlignment="1" pivotButton="0" quotePrefix="0" xfId="20">
      <alignment horizontal="center" vertical="center" wrapText="1"/>
    </xf>
    <xf numFmtId="0" fontId="13" fillId="4" borderId="0" applyAlignment="1" pivotButton="0" quotePrefix="0" xfId="20">
      <alignment wrapText="1"/>
    </xf>
    <xf numFmtId="0" fontId="13" fillId="0" borderId="71" applyAlignment="1" pivotButton="0" quotePrefix="0" xfId="20">
      <alignment vertical="center" wrapText="1"/>
    </xf>
    <xf numFmtId="0" fontId="1" fillId="0" borderId="24" pivotButton="0" quotePrefix="0" xfId="20"/>
    <xf numFmtId="0" fontId="14" fillId="0" borderId="8" applyAlignment="1" pivotButton="0" quotePrefix="0" xfId="20">
      <alignment vertical="center"/>
    </xf>
    <xf numFmtId="0" fontId="1" fillId="7" borderId="9" applyAlignment="1" applyProtection="1" pivotButton="0" quotePrefix="0" xfId="20">
      <alignment horizontal="center" vertical="center"/>
      <protection locked="0" hidden="0"/>
    </xf>
    <xf numFmtId="0" fontId="1" fillId="7" borderId="17" applyAlignment="1" applyProtection="1" pivotButton="0" quotePrefix="0" xfId="20">
      <alignment horizontal="center" vertical="center"/>
      <protection locked="0" hidden="0"/>
    </xf>
    <xf numFmtId="0" fontId="13" fillId="0" borderId="51" applyAlignment="1" pivotButton="0" quotePrefix="0" xfId="20">
      <alignment horizontal="left" vertical="center" wrapText="1"/>
    </xf>
    <xf numFmtId="0" fontId="13" fillId="0" borderId="68" applyAlignment="1" pivotButton="0" quotePrefix="0" xfId="20">
      <alignment vertical="center" wrapText="1"/>
    </xf>
    <xf numFmtId="0" fontId="13" fillId="0" borderId="9" applyAlignment="1" pivotButton="0" quotePrefix="0" xfId="20">
      <alignment horizontal="center" vertical="center" wrapText="1"/>
    </xf>
    <xf numFmtId="0" fontId="13" fillId="0" borderId="45" applyAlignment="1" pivotButton="0" quotePrefix="0" xfId="20">
      <alignment horizontal="center" vertical="center" wrapText="1"/>
    </xf>
    <xf numFmtId="0" fontId="1" fillId="0" borderId="26" applyAlignment="1" pivotButton="0" quotePrefix="0" xfId="20">
      <alignment wrapText="1"/>
    </xf>
    <xf numFmtId="0" fontId="12" fillId="0" borderId="53" applyAlignment="1" pivotButton="0" quotePrefix="0" xfId="20">
      <alignment vertical="center"/>
    </xf>
    <xf numFmtId="0" fontId="1" fillId="0" borderId="11" applyAlignment="1" pivotButton="0" quotePrefix="0" xfId="20">
      <alignment horizontal="center" vertical="center"/>
    </xf>
    <xf numFmtId="0" fontId="1" fillId="0" borderId="64" applyAlignment="1" pivotButton="0" quotePrefix="0" xfId="20">
      <alignment horizontal="center" vertical="center"/>
    </xf>
    <xf numFmtId="0" fontId="13" fillId="0" borderId="54" applyAlignment="1" pivotButton="0" quotePrefix="0" xfId="20">
      <alignment horizontal="left" vertical="center" wrapText="1"/>
    </xf>
    <xf numFmtId="0" fontId="13" fillId="4" borderId="67" applyAlignment="1" pivotButton="0" quotePrefix="0" xfId="21">
      <alignment vertical="center" wrapText="1"/>
    </xf>
    <xf numFmtId="0" fontId="13" fillId="0" borderId="11" applyAlignment="1" pivotButton="0" quotePrefix="0" xfId="20">
      <alignment horizontal="center" vertical="center" wrapText="1"/>
    </xf>
    <xf numFmtId="0" fontId="13" fillId="4" borderId="49" applyAlignment="1" pivotButton="0" quotePrefix="0" xfId="21">
      <alignment horizontal="center" vertical="center" wrapText="1"/>
    </xf>
    <xf numFmtId="0" fontId="14" fillId="0" borderId="41" applyAlignment="1" pivotButton="0" quotePrefix="0" xfId="20">
      <alignment horizontal="left" vertical="center" wrapText="1"/>
    </xf>
    <xf numFmtId="166" fontId="1" fillId="0" borderId="42" applyAlignment="1" applyProtection="1" pivotButton="0" quotePrefix="0" xfId="21">
      <alignment horizontal="center" vertical="center"/>
      <protection locked="0" hidden="0"/>
    </xf>
    <xf numFmtId="166" fontId="1" fillId="7" borderId="42" applyAlignment="1" applyProtection="1" pivotButton="0" quotePrefix="0" xfId="20">
      <alignment horizontal="center" vertical="center"/>
      <protection locked="0" hidden="0"/>
    </xf>
    <xf numFmtId="0" fontId="16" fillId="0" borderId="42" applyAlignment="1" pivotButton="0" quotePrefix="0" xfId="21">
      <alignment vertical="center" wrapText="1"/>
    </xf>
    <xf numFmtId="0" fontId="13" fillId="0" borderId="74" applyAlignment="1" pivotButton="0" quotePrefix="0" xfId="20">
      <alignment vertical="center" wrapText="1"/>
    </xf>
    <xf numFmtId="0" fontId="14" fillId="0" borderId="7" applyAlignment="1" pivotButton="0" quotePrefix="0" xfId="20">
      <alignment horizontal="left" vertical="center" wrapText="1"/>
    </xf>
    <xf numFmtId="166" fontId="1" fillId="0" borderId="12" applyAlignment="1" applyProtection="1" pivotButton="0" quotePrefix="0" xfId="21">
      <alignment horizontal="center" vertical="center"/>
      <protection locked="0" hidden="0"/>
    </xf>
    <xf numFmtId="166" fontId="1" fillId="7" borderId="78" applyAlignment="1" applyProtection="1" pivotButton="0" quotePrefix="0" xfId="20">
      <alignment horizontal="center" vertical="center"/>
      <protection locked="0" hidden="0"/>
    </xf>
    <xf numFmtId="0" fontId="16" fillId="0" borderId="78" applyAlignment="1" pivotButton="0" quotePrefix="0" xfId="21">
      <alignment vertical="center" wrapText="1"/>
    </xf>
    <xf numFmtId="0" fontId="13" fillId="0" borderId="69" applyAlignment="1" pivotButton="0" quotePrefix="0" xfId="20">
      <alignment vertical="center" wrapText="1"/>
    </xf>
    <xf numFmtId="0" fontId="14" fillId="0" borderId="8" applyAlignment="1" pivotButton="0" quotePrefix="0" xfId="20">
      <alignment horizontal="left" vertical="center" wrapText="1"/>
    </xf>
    <xf numFmtId="166" fontId="1" fillId="0" borderId="9" applyAlignment="1" applyProtection="1" pivotButton="0" quotePrefix="0" xfId="21">
      <alignment horizontal="center" vertical="center"/>
      <protection locked="0" hidden="0"/>
    </xf>
    <xf numFmtId="166" fontId="1" fillId="7" borderId="9" applyAlignment="1" applyProtection="1" pivotButton="0" quotePrefix="0" xfId="20">
      <alignment horizontal="center" vertical="center"/>
      <protection locked="0" hidden="0"/>
    </xf>
    <xf numFmtId="0" fontId="16" fillId="0" borderId="9" applyAlignment="1" pivotButton="0" quotePrefix="0" xfId="21">
      <alignment vertical="center" wrapText="1"/>
    </xf>
    <xf numFmtId="0" fontId="1" fillId="0" borderId="24" applyAlignment="1" pivotButton="0" quotePrefix="0" xfId="20">
      <alignment horizontal="left" vertical="center"/>
    </xf>
    <xf numFmtId="0" fontId="1" fillId="0" borderId="20" applyAlignment="1" pivotButton="0" quotePrefix="0" xfId="20">
      <alignment horizontal="left" vertical="center"/>
    </xf>
    <xf numFmtId="0" fontId="15" fillId="0" borderId="78" applyAlignment="1" pivotButton="0" quotePrefix="0" xfId="0">
      <alignment horizontal="center" vertical="center" wrapText="1"/>
    </xf>
    <xf numFmtId="0" fontId="15" fillId="0" borderId="78" applyAlignment="1" pivotButton="0" quotePrefix="0" xfId="0">
      <alignment horizontal="center" vertical="center"/>
    </xf>
    <xf numFmtId="0" fontId="8" fillId="7" borderId="78" applyAlignment="1" applyProtection="1" pivotButton="0" quotePrefix="0" xfId="7">
      <alignment horizontal="center" vertical="center"/>
      <protection locked="0" hidden="0"/>
    </xf>
    <xf numFmtId="0" fontId="5" fillId="0" borderId="78" pivotButton="0" quotePrefix="0" xfId="0"/>
    <xf numFmtId="0" fontId="5" fillId="0" borderId="78" applyAlignment="1" pivotButton="0" quotePrefix="0" xfId="0">
      <alignment horizontal="center"/>
    </xf>
    <xf numFmtId="0" fontId="5" fillId="0" borderId="78" applyAlignment="1" pivotButton="0" quotePrefix="0" xfId="0">
      <alignment readingOrder="2"/>
    </xf>
    <xf numFmtId="0" fontId="8" fillId="0" borderId="78" applyAlignment="1" pivotButton="0" quotePrefix="0" xfId="7">
      <alignment horizontal="center" vertical="center"/>
    </xf>
    <xf numFmtId="0" fontId="15" fillId="0" borderId="78" pivotButton="0" quotePrefix="0" xfId="0"/>
    <xf numFmtId="0" fontId="20" fillId="0" borderId="78" applyAlignment="1" pivotButton="0" quotePrefix="0" xfId="0">
      <alignment horizontal="center" vertical="top"/>
    </xf>
    <xf numFmtId="0" fontId="17" fillId="0" borderId="78" applyAlignment="1" applyProtection="1" pivotButton="0" quotePrefix="0" xfId="3">
      <alignment horizontal="left" vertical="center" wrapText="1"/>
      <protection locked="0" hidden="0"/>
    </xf>
    <xf numFmtId="0" fontId="9" fillId="0" borderId="34" applyAlignment="1" applyProtection="1" pivotButton="0" quotePrefix="0" xfId="3">
      <alignment horizontal="left" vertical="center" wrapText="1"/>
      <protection locked="0" hidden="0"/>
    </xf>
    <xf numFmtId="0" fontId="6" fillId="0" borderId="16" applyAlignment="1" applyProtection="1" pivotButton="0" quotePrefix="0" xfId="0">
      <alignment horizontal="center" vertical="center" wrapText="1"/>
      <protection locked="0" hidden="0"/>
    </xf>
    <xf numFmtId="0" fontId="8" fillId="0" borderId="1" applyAlignment="1" applyProtection="1" pivotButton="0" quotePrefix="0" xfId="14">
      <alignment horizontal="center" vertical="center" wrapText="1"/>
      <protection locked="0" hidden="0"/>
    </xf>
    <xf numFmtId="0" fontId="6" fillId="0" borderId="1" applyAlignment="1" applyProtection="1" pivotButton="0" quotePrefix="0" xfId="14">
      <alignment horizontal="center" vertical="center" wrapText="1"/>
      <protection locked="0" hidden="0"/>
    </xf>
    <xf numFmtId="0" fontId="18" fillId="0" borderId="78" applyAlignment="1" applyProtection="1" pivotButton="0" quotePrefix="0" xfId="3">
      <alignment horizontal="left" vertical="center" wrapText="1"/>
      <protection locked="0" hidden="0"/>
    </xf>
    <xf numFmtId="9" fontId="6" fillId="0" borderId="0" applyAlignment="1" applyProtection="1" pivotButton="0" quotePrefix="0" xfId="11">
      <alignment horizontal="center" vertical="center" wrapText="1"/>
      <protection locked="0" hidden="0"/>
    </xf>
    <xf numFmtId="0" fontId="8" fillId="0" borderId="0" applyAlignment="1" applyProtection="1" pivotButton="0" quotePrefix="0" xfId="3">
      <alignment horizontal="center" vertical="center" wrapText="1"/>
      <protection locked="0" hidden="0"/>
    </xf>
    <xf numFmtId="165" fontId="6" fillId="0" borderId="0" applyAlignment="1" applyProtection="1" pivotButton="0" quotePrefix="0" xfId="0">
      <alignment horizontal="center" vertical="center" wrapText="1"/>
      <protection locked="0" hidden="0"/>
    </xf>
    <xf numFmtId="0" fontId="6" fillId="0" borderId="0" applyAlignment="1" applyProtection="1" pivotButton="0" quotePrefix="0" xfId="3">
      <alignment horizontal="center" vertical="center" wrapText="1"/>
      <protection locked="0" hidden="0"/>
    </xf>
    <xf numFmtId="0" fontId="6" fillId="0" borderId="13" applyAlignment="1" applyProtection="1" pivotButton="0" quotePrefix="0" xfId="0">
      <alignment horizontal="center" vertical="center" wrapText="1"/>
      <protection locked="0" hidden="0"/>
    </xf>
    <xf numFmtId="0" fontId="6" fillId="0" borderId="46" applyAlignment="1" applyProtection="1" pivotButton="0" quotePrefix="0" xfId="3">
      <alignment horizontal="left" vertical="center" wrapText="1"/>
      <protection locked="0" hidden="0"/>
    </xf>
    <xf numFmtId="0" fontId="6" fillId="0" borderId="46" applyAlignment="1" applyProtection="1" pivotButton="0" quotePrefix="0" xfId="3">
      <alignment horizontal="right" vertical="center" wrapText="1"/>
      <protection locked="0" hidden="0"/>
    </xf>
    <xf numFmtId="0" fontId="10" fillId="0" borderId="34" applyAlignment="1" applyProtection="1" pivotButton="0" quotePrefix="0" xfId="3">
      <alignment horizontal="left" vertical="center" wrapText="1"/>
      <protection locked="0" hidden="0"/>
    </xf>
    <xf numFmtId="0" fontId="6" fillId="12" borderId="7" applyAlignment="1" applyProtection="1" pivotButton="0" quotePrefix="0" xfId="2">
      <alignment horizontal="center" vertical="center"/>
      <protection locked="0" hidden="0"/>
    </xf>
    <xf numFmtId="0" fontId="8" fillId="12" borderId="2" applyAlignment="1" applyProtection="1" pivotButton="0" quotePrefix="0" xfId="14">
      <alignment horizontal="center" vertical="center" wrapText="1"/>
      <protection locked="0" hidden="0"/>
    </xf>
    <xf numFmtId="0" fontId="6" fillId="12" borderId="2" applyAlignment="1" applyProtection="1" pivotButton="0" quotePrefix="0" xfId="2">
      <alignment horizontal="center" vertical="center"/>
      <protection locked="0" hidden="0"/>
    </xf>
    <xf numFmtId="0" fontId="6" fillId="12" borderId="2" applyAlignment="1" applyProtection="1" pivotButton="0" quotePrefix="0" xfId="2">
      <alignment horizontal="left" vertical="center" wrapText="1"/>
      <protection locked="0" hidden="0"/>
    </xf>
    <xf numFmtId="0" fontId="6" fillId="12" borderId="0" applyAlignment="1" applyProtection="1" pivotButton="0" quotePrefix="0" xfId="2">
      <alignment horizontal="right" vertical="center" wrapText="1"/>
      <protection locked="0" hidden="0"/>
    </xf>
    <xf numFmtId="0" fontId="6" fillId="12" borderId="16" applyAlignment="1" applyProtection="1" pivotButton="0" quotePrefix="0" xfId="3">
      <alignment horizontal="left" vertical="center" wrapText="1"/>
      <protection locked="0" hidden="0"/>
    </xf>
    <xf numFmtId="0" fontId="6" fillId="12" borderId="16" applyAlignment="1" applyProtection="1" pivotButton="0" quotePrefix="0" xfId="2">
      <alignment horizontal="left" vertical="center" wrapText="1"/>
      <protection locked="0" hidden="0"/>
    </xf>
    <xf numFmtId="0" fontId="17" fillId="12" borderId="16" applyAlignment="1" applyProtection="1" pivotButton="0" quotePrefix="0" xfId="2">
      <alignment horizontal="center" vertical="center" wrapText="1"/>
      <protection locked="0" hidden="0"/>
    </xf>
    <xf numFmtId="0" fontId="6" fillId="12" borderId="16" applyAlignment="1" applyProtection="1" pivotButton="0" quotePrefix="0" xfId="2">
      <alignment horizontal="center" vertical="center"/>
      <protection locked="0" hidden="0"/>
    </xf>
    <xf numFmtId="0" fontId="6" fillId="12" borderId="47" applyAlignment="1" applyProtection="1" pivotButton="0" quotePrefix="0" xfId="3">
      <alignment horizontal="left" vertical="center" wrapText="1"/>
      <protection locked="0" hidden="0"/>
    </xf>
    <xf numFmtId="9" fontId="6" fillId="12" borderId="0" applyAlignment="1" applyProtection="1" pivotButton="0" quotePrefix="0" xfId="11">
      <alignment horizontal="center" vertical="center"/>
      <protection locked="0" hidden="0"/>
    </xf>
    <xf numFmtId="0" fontId="6" fillId="12" borderId="0" applyAlignment="1" applyProtection="1" pivotButton="0" quotePrefix="0" xfId="0">
      <alignment horizontal="center" vertical="center"/>
      <protection locked="0" hidden="0"/>
    </xf>
    <xf numFmtId="0" fontId="6" fillId="12" borderId="0" applyProtection="1" pivotButton="0" quotePrefix="0" xfId="3">
      <protection locked="0" hidden="0"/>
    </xf>
    <xf numFmtId="0" fontId="8" fillId="12" borderId="0" applyAlignment="1" applyProtection="1" pivotButton="0" quotePrefix="0" xfId="3">
      <alignment horizontal="center" vertical="center"/>
      <protection locked="0" hidden="0"/>
    </xf>
    <xf numFmtId="0" fontId="6" fillId="12" borderId="0" applyProtection="1" pivotButton="0" quotePrefix="0" xfId="0">
      <protection locked="0" hidden="0"/>
    </xf>
    <xf numFmtId="165" fontId="6" fillId="12" borderId="0" applyAlignment="1" applyProtection="1" pivotButton="0" quotePrefix="0" xfId="0">
      <alignment horizontal="center" vertical="center"/>
      <protection locked="0" hidden="0"/>
    </xf>
    <xf numFmtId="0" fontId="6" fillId="12" borderId="16" applyAlignment="1" applyProtection="1" pivotButton="0" quotePrefix="0" xfId="3">
      <alignment horizontal="center" vertical="center" wrapText="1"/>
      <protection locked="0" hidden="0"/>
    </xf>
    <xf numFmtId="0" fontId="19" fillId="0" borderId="78" applyAlignment="1" applyProtection="1" pivotButton="0" quotePrefix="0" xfId="3">
      <alignment horizontal="left" vertical="center" wrapText="1"/>
      <protection locked="0" hidden="0"/>
    </xf>
    <xf numFmtId="0" fontId="6" fillId="12" borderId="78" applyAlignment="1" applyProtection="1" pivotButton="0" quotePrefix="0" xfId="14">
      <alignment horizontal="center" vertical="center" wrapText="1"/>
      <protection locked="0" hidden="0"/>
    </xf>
    <xf numFmtId="0" fontId="6" fillId="12" borderId="78" applyAlignment="1" applyProtection="1" pivotButton="0" quotePrefix="0" xfId="3">
      <alignment horizontal="left" vertical="center" wrapText="1"/>
      <protection locked="0" hidden="0"/>
    </xf>
    <xf numFmtId="0" fontId="6" fillId="12" borderId="78" applyAlignment="1" applyProtection="1" pivotButton="0" quotePrefix="0" xfId="2">
      <alignment horizontal="center" vertical="center" wrapText="1"/>
      <protection locked="0" hidden="0"/>
    </xf>
    <xf numFmtId="0" fontId="6" fillId="12" borderId="78" applyAlignment="1" applyProtection="1" pivotButton="0" quotePrefix="0" xfId="3">
      <alignment horizontal="right" vertical="center" wrapText="1"/>
      <protection locked="0" hidden="0"/>
    </xf>
    <xf numFmtId="0" fontId="6" fillId="12" borderId="78" applyAlignment="1" applyProtection="1" pivotButton="0" quotePrefix="0" xfId="3">
      <alignment horizontal="center" vertical="center" wrapText="1"/>
      <protection locked="0" hidden="0"/>
    </xf>
    <xf numFmtId="9" fontId="13" fillId="12" borderId="78" applyAlignment="1" applyProtection="1" pivotButton="0" quotePrefix="0" xfId="11">
      <alignment horizontal="center" vertical="center"/>
      <protection locked="0" hidden="0"/>
    </xf>
    <xf numFmtId="0" fontId="6" fillId="12" borderId="78" applyAlignment="1" applyProtection="1" pivotButton="0" quotePrefix="0" xfId="0">
      <alignment horizontal="center" vertical="center"/>
      <protection locked="0" hidden="0"/>
    </xf>
    <xf numFmtId="165" fontId="13" fillId="12" borderId="0" applyAlignment="1" applyProtection="1" pivotButton="0" quotePrefix="0" xfId="0">
      <alignment horizontal="center" vertical="center"/>
      <protection locked="0" hidden="0"/>
    </xf>
    <xf numFmtId="0" fontId="6" fillId="12" borderId="6" applyAlignment="1" applyProtection="1" pivotButton="0" quotePrefix="0" xfId="2">
      <alignment horizontal="center" vertical="center"/>
      <protection locked="0" hidden="0"/>
    </xf>
    <xf numFmtId="0" fontId="6" fillId="12" borderId="2" applyAlignment="1" pivotButton="0" quotePrefix="0" xfId="0">
      <alignment horizontal="center" vertical="center" wrapText="1"/>
    </xf>
    <xf numFmtId="0" fontId="6" fillId="12" borderId="16" applyAlignment="1" pivotButton="0" quotePrefix="0" xfId="3">
      <alignment horizontal="center" vertical="center" wrapText="1"/>
    </xf>
    <xf numFmtId="0" fontId="6" fillId="12" borderId="13" applyAlignment="1" pivotButton="0" quotePrefix="0" xfId="2">
      <alignment horizontal="left" vertical="center" wrapText="1"/>
    </xf>
    <xf numFmtId="0" fontId="17" fillId="12" borderId="13" applyAlignment="1" pivotButton="0" quotePrefix="0" xfId="2">
      <alignment horizontal="left" vertical="center" wrapText="1"/>
    </xf>
    <xf numFmtId="0" fontId="6" fillId="12" borderId="13" applyAlignment="1" applyProtection="1" pivotButton="0" quotePrefix="0" xfId="2">
      <alignment horizontal="left" vertical="center" wrapText="1"/>
      <protection locked="0" hidden="0"/>
    </xf>
    <xf numFmtId="0" fontId="6" fillId="12" borderId="34" applyAlignment="1" applyProtection="1" pivotButton="0" quotePrefix="0" xfId="3">
      <alignment horizontal="left" vertical="center" wrapText="1"/>
      <protection locked="0" hidden="0"/>
    </xf>
    <xf numFmtId="9" fontId="6" fillId="12" borderId="0" applyAlignment="1" pivotButton="0" quotePrefix="0" xfId="11">
      <alignment horizontal="center" vertical="center"/>
    </xf>
    <xf numFmtId="0" fontId="8" fillId="12" borderId="0" applyAlignment="1" pivotButton="0" quotePrefix="0" xfId="3">
      <alignment horizontal="center" vertical="center"/>
    </xf>
    <xf numFmtId="165" fontId="6" fillId="12" borderId="0" applyAlignment="1" pivotButton="0" quotePrefix="0" xfId="0">
      <alignment horizontal="center" vertical="center"/>
    </xf>
    <xf numFmtId="0" fontId="19" fillId="12" borderId="13" applyAlignment="1" pivotButton="0" quotePrefix="0" xfId="2">
      <alignment horizontal="left" vertical="center" wrapText="1"/>
    </xf>
    <xf numFmtId="0" fontId="6" fillId="12" borderId="6" applyAlignment="1" applyProtection="1" pivotButton="0" quotePrefix="0" xfId="2">
      <alignment horizontal="center" vertical="center" wrapText="1"/>
      <protection locked="0" hidden="0"/>
    </xf>
    <xf numFmtId="0" fontId="8" fillId="12" borderId="2" applyAlignment="1" pivotButton="0" quotePrefix="0" xfId="14">
      <alignment horizontal="center" vertical="center" wrapText="1"/>
    </xf>
    <xf numFmtId="0" fontId="21" fillId="12" borderId="2" applyAlignment="1" pivotButton="0" quotePrefix="0" xfId="3">
      <alignment horizontal="left" vertical="center" wrapText="1"/>
    </xf>
    <xf numFmtId="0" fontId="6" fillId="12" borderId="2" applyAlignment="1" pivotButton="0" quotePrefix="0" xfId="2">
      <alignment horizontal="center" vertical="center" wrapText="1"/>
    </xf>
    <xf numFmtId="0" fontId="6" fillId="12" borderId="2" applyAlignment="1" pivotButton="0" quotePrefix="0" xfId="3">
      <alignment horizontal="right" vertical="center" wrapText="1"/>
    </xf>
    <xf numFmtId="0" fontId="6" fillId="12" borderId="2" applyAlignment="1" pivotButton="0" quotePrefix="0" xfId="3">
      <alignment horizontal="center" vertical="center" wrapText="1"/>
    </xf>
    <xf numFmtId="0" fontId="6" fillId="12" borderId="78" applyAlignment="1" pivotButton="0" quotePrefix="0" xfId="2">
      <alignment horizontal="center" vertical="center" wrapText="1"/>
    </xf>
    <xf numFmtId="0" fontId="6" fillId="12" borderId="16" applyAlignment="1" pivotButton="0" quotePrefix="0" xfId="3">
      <alignment horizontal="left" vertical="center" wrapText="1"/>
    </xf>
    <xf numFmtId="0" fontId="6" fillId="12" borderId="33" applyAlignment="1" applyProtection="1" pivotButton="0" quotePrefix="0" xfId="3">
      <alignment horizontal="left" vertical="center" wrapText="1"/>
      <protection locked="0" hidden="0"/>
    </xf>
    <xf numFmtId="9" fontId="13" fillId="12" borderId="0" applyAlignment="1" pivotButton="0" quotePrefix="0" xfId="11">
      <alignment horizontal="center" vertical="center"/>
    </xf>
    <xf numFmtId="0" fontId="6" fillId="12" borderId="0" applyAlignment="1" applyProtection="1" pivotButton="0" quotePrefix="0" xfId="0">
      <alignment horizontal="center" vertical="center" wrapText="1"/>
      <protection locked="0" hidden="0"/>
    </xf>
    <xf numFmtId="0" fontId="6" fillId="12" borderId="0" applyAlignment="1" applyProtection="1" pivotButton="0" quotePrefix="0" xfId="3">
      <alignment wrapText="1"/>
      <protection locked="0" hidden="0"/>
    </xf>
    <xf numFmtId="0" fontId="8" fillId="12" borderId="0" applyAlignment="1" pivotButton="0" quotePrefix="0" xfId="3">
      <alignment horizontal="center" vertical="center" wrapText="1"/>
    </xf>
    <xf numFmtId="0" fontId="6" fillId="12" borderId="0" applyAlignment="1" applyProtection="1" pivotButton="0" quotePrefix="0" xfId="0">
      <alignment wrapText="1"/>
      <protection locked="0" hidden="0"/>
    </xf>
    <xf numFmtId="165" fontId="13" fillId="12" borderId="0" applyAlignment="1" pivotButton="0" quotePrefix="0" xfId="0">
      <alignment horizontal="center" vertical="center" wrapText="1"/>
    </xf>
    <xf numFmtId="165" fontId="13" fillId="12" borderId="0" applyAlignment="1" pivotButton="0" quotePrefix="0" xfId="0">
      <alignment horizontal="center" vertical="center"/>
    </xf>
    <xf numFmtId="0" fontId="6" fillId="4" borderId="46" applyAlignment="1" applyProtection="1" pivotButton="0" quotePrefix="0" xfId="0">
      <alignment horizontal="center" vertical="center"/>
      <protection locked="0" hidden="0"/>
    </xf>
    <xf numFmtId="0" fontId="6" fillId="12" borderId="2" applyAlignment="1" pivotButton="0" quotePrefix="0" xfId="14">
      <alignment horizontal="center" vertical="center" wrapText="1"/>
    </xf>
    <xf numFmtId="0" fontId="6" fillId="12" borderId="78" applyAlignment="1" pivotButton="0" quotePrefix="0" xfId="3">
      <alignment horizontal="left" vertical="center" wrapText="1"/>
    </xf>
    <xf numFmtId="0" fontId="6" fillId="12" borderId="78" applyAlignment="1" pivotButton="0" quotePrefix="0" xfId="0">
      <alignment horizontal="center" vertical="center" wrapText="1"/>
    </xf>
    <xf numFmtId="0" fontId="6" fillId="12" borderId="0" applyAlignment="1" pivotButton="0" quotePrefix="0" xfId="3">
      <alignment horizontal="left" vertical="center" wrapText="1"/>
    </xf>
    <xf numFmtId="0" fontId="6" fillId="12" borderId="46" applyAlignment="1" pivotButton="0" quotePrefix="0" xfId="3">
      <alignment horizontal="left" vertical="center" wrapText="1"/>
    </xf>
    <xf numFmtId="0" fontId="6" fillId="12" borderId="13" applyAlignment="1" pivotButton="0" quotePrefix="0" xfId="3">
      <alignment horizontal="left" vertical="center" wrapText="1"/>
    </xf>
    <xf numFmtId="0" fontId="17" fillId="12" borderId="16" applyAlignment="1" pivotButton="0" quotePrefix="0" xfId="3">
      <alignment horizontal="left" vertical="center" wrapText="1"/>
    </xf>
    <xf numFmtId="0" fontId="6" fillId="12" borderId="16" applyAlignment="1" pivotButton="0" quotePrefix="0" xfId="0">
      <alignment horizontal="left" vertical="center" wrapText="1"/>
    </xf>
    <xf numFmtId="0" fontId="6" fillId="12" borderId="16" applyAlignment="1" applyProtection="1" pivotButton="0" quotePrefix="0" xfId="0">
      <alignment horizontal="left" vertical="center" wrapText="1"/>
      <protection locked="0" hidden="0"/>
    </xf>
    <xf numFmtId="0" fontId="6" fillId="0" borderId="78" applyAlignment="1" pivotButton="0" quotePrefix="0" xfId="5">
      <alignment horizontal="left" vertical="center" wrapText="1"/>
    </xf>
    <xf numFmtId="0" fontId="6" fillId="0" borderId="78" applyAlignment="1" pivotButton="0" quotePrefix="0" xfId="5">
      <alignment horizontal="right" vertical="center" wrapText="1"/>
    </xf>
    <xf numFmtId="0" fontId="6" fillId="0" borderId="78" applyAlignment="1" applyProtection="1" pivotButton="0" quotePrefix="0" xfId="0">
      <alignment horizontal="left" vertical="center" wrapText="1"/>
      <protection locked="0" hidden="0"/>
    </xf>
    <xf numFmtId="0" fontId="6" fillId="4" borderId="78" applyAlignment="1" applyProtection="1" pivotButton="0" quotePrefix="0" xfId="0">
      <alignment horizontal="right" vertical="center" wrapText="1"/>
      <protection locked="0" hidden="0"/>
    </xf>
    <xf numFmtId="0" fontId="6" fillId="0" borderId="78" applyAlignment="1" pivotButton="0" quotePrefix="0" xfId="0">
      <alignment horizontal="right" vertical="center" wrapText="1"/>
    </xf>
    <xf numFmtId="0" fontId="6" fillId="0" borderId="78" applyAlignment="1" pivotButton="0" quotePrefix="0" xfId="3">
      <alignment vertical="center" wrapText="1"/>
    </xf>
    <xf numFmtId="0" fontId="6" fillId="0" borderId="78" applyAlignment="1" pivotButton="0" quotePrefix="0" xfId="2">
      <alignment horizontal="center" vertical="center"/>
    </xf>
    <xf numFmtId="0" fontId="6" fillId="0" borderId="78" applyAlignment="1" pivotButton="0" quotePrefix="0" xfId="3">
      <alignment horizontal="center" vertical="center"/>
    </xf>
    <xf numFmtId="0" fontId="6" fillId="4" borderId="78" applyAlignment="1" pivotButton="0" quotePrefix="0" xfId="3">
      <alignment horizontal="center" vertical="center" wrapText="1"/>
    </xf>
    <xf numFmtId="0" fontId="6" fillId="4" borderId="78" applyAlignment="1" pivotButton="0" quotePrefix="0" xfId="3">
      <alignment horizontal="left" vertical="center" wrapText="1"/>
    </xf>
    <xf numFmtId="0" fontId="6" fillId="4" borderId="78" applyAlignment="1" pivotButton="0" quotePrefix="0" xfId="0">
      <alignment horizontal="left" vertical="center" wrapText="1"/>
    </xf>
    <xf numFmtId="0" fontId="6" fillId="4" borderId="78" applyAlignment="1" pivotButton="0" quotePrefix="0" xfId="0">
      <alignment horizontal="right" vertical="center" wrapText="1"/>
    </xf>
    <xf numFmtId="0" fontId="6" fillId="0" borderId="78" applyAlignment="1" pivotButton="0" quotePrefix="0" xfId="0">
      <alignment horizontal="center" vertical="center" wrapText="1"/>
    </xf>
    <xf numFmtId="0" fontId="8" fillId="0" borderId="78" applyAlignment="1" applyProtection="1" pivotButton="0" quotePrefix="0" xfId="14">
      <alignment horizontal="center" vertical="center" wrapText="1"/>
      <protection locked="0" hidden="0"/>
    </xf>
    <xf numFmtId="0" fontId="6" fillId="0" borderId="78" applyAlignment="1" applyProtection="1" pivotButton="0" quotePrefix="0" xfId="14">
      <alignment horizontal="center" vertical="center" wrapText="1"/>
      <protection locked="0" hidden="0"/>
    </xf>
    <xf numFmtId="0" fontId="6" fillId="0" borderId="78" applyAlignment="1" applyProtection="1" pivotButton="0" quotePrefix="0" xfId="2">
      <alignment horizontal="center" vertical="center" wrapText="1"/>
      <protection locked="0" hidden="0"/>
    </xf>
    <xf numFmtId="0" fontId="6" fillId="0" borderId="78" applyAlignment="1" applyProtection="1" pivotButton="0" quotePrefix="0" xfId="0">
      <alignment horizontal="right" vertical="center" wrapText="1"/>
      <protection locked="0" hidden="0"/>
    </xf>
    <xf numFmtId="0" fontId="6" fillId="0" borderId="78" applyAlignment="1" applyProtection="1" pivotButton="0" quotePrefix="0" xfId="0">
      <alignment horizontal="center" vertical="center" wrapText="1"/>
      <protection locked="0" hidden="0"/>
    </xf>
    <xf numFmtId="0" fontId="6" fillId="0" borderId="78" applyAlignment="1" applyProtection="1" pivotButton="0" quotePrefix="0" xfId="3">
      <alignment vertical="center" wrapText="1"/>
      <protection locked="0" hidden="0"/>
    </xf>
    <xf numFmtId="0" fontId="8" fillId="4" borderId="78" applyAlignment="1" pivotButton="0" quotePrefix="0" xfId="14">
      <alignment horizontal="center" vertical="center" wrapText="1"/>
    </xf>
    <xf numFmtId="0" fontId="6" fillId="0" borderId="78" applyAlignment="1" applyProtection="1" pivotButton="0" quotePrefix="0" xfId="3">
      <alignment horizontal="center" vertical="center" wrapText="1"/>
      <protection locked="0" hidden="0"/>
    </xf>
    <xf numFmtId="0" fontId="9" fillId="0" borderId="78" applyAlignment="1" applyProtection="1" pivotButton="0" quotePrefix="0" xfId="3">
      <alignment vertical="center" wrapText="1"/>
      <protection locked="0" hidden="0"/>
    </xf>
    <xf numFmtId="0" fontId="6" fillId="4" borderId="78" applyAlignment="1" pivotButton="0" quotePrefix="0" xfId="0">
      <alignment horizontal="center" vertical="center" wrapText="1"/>
    </xf>
    <xf numFmtId="0" fontId="9" fillId="4" borderId="78" applyAlignment="1" applyProtection="1" pivotButton="0" quotePrefix="0" xfId="3">
      <alignment vertical="center" wrapText="1"/>
      <protection locked="0" hidden="0"/>
    </xf>
    <xf numFmtId="0" fontId="6" fillId="4" borderId="78" applyAlignment="1" applyProtection="1" pivotButton="0" quotePrefix="0" xfId="3">
      <alignment vertical="center" wrapText="1"/>
      <protection locked="0" hidden="0"/>
    </xf>
    <xf numFmtId="0" fontId="6" fillId="4" borderId="78" applyAlignment="1" applyProtection="1" pivotButton="0" quotePrefix="0" xfId="0">
      <alignment horizontal="center" vertical="center" wrapText="1"/>
      <protection locked="0" hidden="0"/>
    </xf>
    <xf numFmtId="0" fontId="6" fillId="4" borderId="78" applyAlignment="1" applyProtection="1" pivotButton="0" quotePrefix="0" xfId="0">
      <alignment horizontal="left" vertical="center" wrapText="1"/>
      <protection locked="0" hidden="0"/>
    </xf>
    <xf numFmtId="0" fontId="6" fillId="0" borderId="78" applyAlignment="1" applyProtection="1" pivotButton="0" quotePrefix="0" xfId="3">
      <alignment horizontal="left" vertical="center" wrapText="1"/>
      <protection locked="0" hidden="0"/>
    </xf>
    <xf numFmtId="0" fontId="6" fillId="4" borderId="78" applyAlignment="1" pivotButton="0" quotePrefix="0" xfId="0">
      <alignment wrapText="1"/>
    </xf>
    <xf numFmtId="0" fontId="6" fillId="4" borderId="78" applyAlignment="1" applyProtection="1" pivotButton="0" quotePrefix="0" xfId="2">
      <alignment horizontal="right" vertical="center" wrapText="1"/>
      <protection locked="0" hidden="0"/>
    </xf>
    <xf numFmtId="0" fontId="8" fillId="0" borderId="78" applyAlignment="1" applyProtection="1" pivotButton="0" quotePrefix="0" xfId="2">
      <alignment horizontal="center" vertical="center" wrapText="1"/>
      <protection locked="0" hidden="0"/>
    </xf>
    <xf numFmtId="0" fontId="6" fillId="0" borderId="78" applyAlignment="1" pivotButton="0" quotePrefix="0" xfId="0">
      <alignment wrapText="1"/>
    </xf>
    <xf numFmtId="0" fontId="6" fillId="0" borderId="78" applyAlignment="1" applyProtection="1" pivotButton="0" quotePrefix="0" xfId="2">
      <alignment horizontal="right" vertical="center" wrapText="1"/>
      <protection locked="0" hidden="0"/>
    </xf>
    <xf numFmtId="0" fontId="6" fillId="4" borderId="78" applyAlignment="1" applyProtection="1" pivotButton="0" quotePrefix="0" xfId="0">
      <alignment vertical="center" wrapText="1"/>
      <protection locked="0" hidden="0"/>
    </xf>
    <xf numFmtId="0" fontId="6" fillId="4" borderId="78" applyAlignment="1" applyProtection="1" pivotButton="0" quotePrefix="0" xfId="0">
      <alignment vertical="top" wrapText="1"/>
      <protection locked="0" hidden="0"/>
    </xf>
    <xf numFmtId="0" fontId="8" fillId="12" borderId="78" applyAlignment="1" pivotButton="0" quotePrefix="0" xfId="14">
      <alignment horizontal="center" vertical="center" wrapText="1"/>
    </xf>
    <xf numFmtId="0" fontId="6" fillId="12" borderId="78" applyAlignment="1" pivotButton="0" quotePrefix="0" xfId="3">
      <alignment vertical="top" wrapText="1"/>
    </xf>
    <xf numFmtId="0" fontId="6" fillId="12" borderId="78" applyAlignment="1" pivotButton="0" quotePrefix="0" xfId="0">
      <alignment vertical="center" wrapText="1"/>
    </xf>
    <xf numFmtId="0" fontId="6" fillId="12" borderId="78" applyAlignment="1" pivotButton="0" quotePrefix="0" xfId="3">
      <alignment horizontal="center" vertical="center" wrapText="1"/>
    </xf>
    <xf numFmtId="0" fontId="6" fillId="4" borderId="78" applyAlignment="1" pivotButton="0" quotePrefix="0" xfId="2">
      <alignment horizontal="right" vertical="center" wrapText="1"/>
    </xf>
    <xf numFmtId="0" fontId="6" fillId="4" borderId="78" applyAlignment="1" pivotButton="0" quotePrefix="0" xfId="2">
      <alignment horizontal="left" vertical="center" wrapText="1"/>
    </xf>
    <xf numFmtId="0" fontId="6" fillId="4" borderId="78" applyAlignment="1" applyProtection="1" pivotButton="0" quotePrefix="0" xfId="2">
      <alignment horizontal="left" vertical="center" wrapText="1"/>
      <protection locked="0" hidden="0"/>
    </xf>
    <xf numFmtId="0" fontId="6" fillId="11" borderId="78" applyAlignment="1" applyProtection="1" pivotButton="0" quotePrefix="0" xfId="0">
      <alignment horizontal="left" vertical="center" wrapText="1"/>
      <protection locked="0" hidden="0"/>
    </xf>
    <xf numFmtId="0" fontId="8" fillId="0" borderId="78" applyAlignment="1" pivotButton="0" quotePrefix="0" xfId="2">
      <alignment horizontal="center" vertical="center" wrapText="1"/>
    </xf>
    <xf numFmtId="0" fontId="8" fillId="4" borderId="78" applyAlignment="1" applyProtection="1" pivotButton="0" quotePrefix="0" xfId="2">
      <alignment horizontal="center" vertical="center" wrapText="1"/>
      <protection locked="0" hidden="0"/>
    </xf>
    <xf numFmtId="0" fontId="8" fillId="0" borderId="78" applyAlignment="1" pivotButton="0" quotePrefix="0" xfId="0">
      <alignment horizontal="center" vertical="center"/>
    </xf>
    <xf numFmtId="0" fontId="6" fillId="0" borderId="78" applyAlignment="1" pivotButton="0" quotePrefix="0" xfId="0">
      <alignment horizontal="center" vertical="center"/>
    </xf>
    <xf numFmtId="0" fontId="6" fillId="4" borderId="78" applyProtection="1" pivotButton="0" quotePrefix="0" xfId="3">
      <protection locked="0" hidden="0"/>
    </xf>
    <xf numFmtId="0" fontId="10" fillId="4" borderId="78" applyAlignment="1" applyProtection="1" pivotButton="0" quotePrefix="0" xfId="3">
      <alignment vertical="center" wrapText="1"/>
      <protection locked="0" hidden="0"/>
    </xf>
    <xf numFmtId="0" fontId="8" fillId="4" borderId="78" applyAlignment="1" pivotButton="0" quotePrefix="0" xfId="0">
      <alignment horizontal="center" vertical="center" wrapText="1"/>
    </xf>
    <xf numFmtId="0" fontId="6" fillId="5" borderId="26" applyAlignment="1" pivotButton="0" quotePrefix="0" xfId="2">
      <alignment horizontal="center" vertical="center"/>
    </xf>
    <xf numFmtId="0" fontId="6" fillId="0" borderId="30" pivotButton="0" quotePrefix="0" xfId="0"/>
    <xf numFmtId="0" fontId="6" fillId="0" borderId="31" pivotButton="0" quotePrefix="0" xfId="0"/>
    <xf numFmtId="0" fontId="6" fillId="3" borderId="58" applyAlignment="1" pivotButton="0" quotePrefix="0" xfId="14">
      <alignment horizontal="center" vertical="center" wrapText="1"/>
    </xf>
    <xf numFmtId="0" fontId="6" fillId="0" borderId="59" pivotButton="0" quotePrefix="0" xfId="0"/>
    <xf numFmtId="0" fontId="6" fillId="2" borderId="25" applyAlignment="1" pivotButton="0" quotePrefix="0" xfId="14">
      <alignment horizontal="center" vertical="center" wrapText="1"/>
    </xf>
    <xf numFmtId="0" fontId="8" fillId="0" borderId="0" applyProtection="1" pivotButton="0" quotePrefix="0" xfId="0">
      <protection locked="0" hidden="0"/>
    </xf>
    <xf numFmtId="0" fontId="6" fillId="0" borderId="0" applyAlignment="1" applyProtection="1" pivotButton="0" quotePrefix="0" xfId="0">
      <alignment horizontal="center"/>
      <protection locked="0" hidden="0"/>
    </xf>
    <xf numFmtId="0" fontId="6" fillId="0" borderId="0" applyAlignment="1" applyProtection="1" pivotButton="0" quotePrefix="0" xfId="0">
      <alignment wrapText="1"/>
      <protection locked="0" hidden="0"/>
    </xf>
    <xf numFmtId="0" fontId="6" fillId="0" borderId="0" applyProtection="1" pivotButton="0" quotePrefix="0" xfId="0">
      <protection locked="0" hidden="0"/>
    </xf>
    <xf numFmtId="0" fontId="6" fillId="5" borderId="27" applyAlignment="1" pivotButton="0" quotePrefix="0" xfId="2">
      <alignment horizontal="center" vertical="center"/>
    </xf>
    <xf numFmtId="0" fontId="6" fillId="0" borderId="61" pivotButton="0" quotePrefix="0" xfId="0"/>
    <xf numFmtId="0" fontId="6" fillId="0" borderId="49" pivotButton="0" quotePrefix="0" xfId="0"/>
    <xf numFmtId="0" fontId="8" fillId="3" borderId="26" applyAlignment="1" pivotButton="0" quotePrefix="0" xfId="2">
      <alignment horizontal="center" vertical="center" wrapText="1"/>
    </xf>
    <xf numFmtId="0" fontId="6" fillId="0" borderId="28" pivotButton="0" quotePrefix="0" xfId="0"/>
    <xf numFmtId="0" fontId="9" fillId="9" borderId="78" applyAlignment="1" pivotButton="0" quotePrefix="0" xfId="3">
      <alignment horizontal="center" vertical="center" wrapText="1"/>
    </xf>
    <xf numFmtId="0" fontId="6" fillId="5" borderId="29" applyAlignment="1" pivotButton="0" quotePrefix="0" xfId="2">
      <alignment horizontal="center" vertical="center"/>
    </xf>
    <xf numFmtId="0" fontId="6" fillId="5" borderId="30" applyAlignment="1" pivotButton="0" quotePrefix="0" xfId="2">
      <alignment horizontal="center" vertical="center"/>
    </xf>
    <xf numFmtId="0" fontId="6" fillId="5" borderId="31" applyAlignment="1" pivotButton="0" quotePrefix="0" xfId="2">
      <alignment horizontal="center" vertical="center"/>
    </xf>
    <xf numFmtId="0" fontId="6" fillId="0" borderId="0" pivotButton="0" quotePrefix="0" xfId="0"/>
    <xf numFmtId="0" fontId="1" fillId="0" borderId="26" applyAlignment="1" pivotButton="0" quotePrefix="0" xfId="20">
      <alignment horizontal="center" vertical="top" textRotation="90" wrapText="1"/>
    </xf>
    <xf numFmtId="0" fontId="0" fillId="0" borderId="27" pivotButton="0" quotePrefix="0" xfId="0"/>
    <xf numFmtId="0" fontId="0" fillId="0" borderId="28" pivotButton="0" quotePrefix="0" xfId="0"/>
    <xf numFmtId="0" fontId="1" fillId="0" borderId="26" applyAlignment="1" pivotButton="0" quotePrefix="0" xfId="20">
      <alignment horizontal="center" vertical="top" textRotation="90"/>
    </xf>
    <xf numFmtId="0" fontId="0" fillId="0" borderId="59" pivotButton="0" quotePrefix="0" xfId="0"/>
    <xf numFmtId="0" fontId="0" fillId="0" borderId="30" pivotButton="0" quotePrefix="0" xfId="0"/>
    <xf numFmtId="0" fontId="0" fillId="0" borderId="31" pivotButton="0" quotePrefix="0" xfId="0"/>
    <xf numFmtId="165" fontId="6" fillId="0" borderId="0" applyAlignment="1" pivotButton="0" quotePrefix="0" xfId="0">
      <alignment horizontal="center" vertical="center"/>
    </xf>
    <xf numFmtId="165" fontId="6" fillId="0" borderId="0" applyAlignment="1" applyProtection="1" pivotButton="0" quotePrefix="0" xfId="0">
      <alignment horizontal="center" vertical="center"/>
      <protection locked="0" hidden="0"/>
    </xf>
    <xf numFmtId="165" fontId="6" fillId="4" borderId="0" applyAlignment="1" applyProtection="1" pivotButton="0" quotePrefix="0" xfId="0">
      <alignment horizontal="center" vertical="center"/>
      <protection locked="0" hidden="0"/>
    </xf>
    <xf numFmtId="0" fontId="0" fillId="0" borderId="83" pivotButton="0" quotePrefix="0" xfId="0"/>
    <xf numFmtId="0" fontId="0" fillId="0" borderId="2" pivotButton="0" quotePrefix="0" xfId="0"/>
    <xf numFmtId="164" fontId="6" fillId="0" borderId="1" applyAlignment="1" pivotButton="0" quotePrefix="0" xfId="0">
      <alignment horizontal="right" vertical="center" wrapText="1"/>
    </xf>
    <xf numFmtId="164" fontId="6" fillId="0" borderId="78" applyAlignment="1" pivotButton="0" quotePrefix="0" xfId="0">
      <alignment horizontal="right" vertical="center" wrapText="1"/>
    </xf>
    <xf numFmtId="165" fontId="6" fillId="12" borderId="0" applyAlignment="1" applyProtection="1" pivotButton="0" quotePrefix="0" xfId="0">
      <alignment horizontal="center" vertical="center"/>
      <protection locked="0" hidden="0"/>
    </xf>
    <xf numFmtId="165" fontId="6" fillId="0" borderId="0" applyAlignment="1" applyProtection="1" pivotButton="0" quotePrefix="0" xfId="0">
      <alignment horizontal="center" vertical="center" wrapText="1"/>
      <protection locked="0" hidden="0"/>
    </xf>
    <xf numFmtId="165" fontId="6" fillId="4" borderId="0" applyAlignment="1" applyProtection="1" pivotButton="0" quotePrefix="0" xfId="0">
      <alignment horizontal="center" vertical="center" wrapText="1"/>
      <protection locked="0" hidden="0"/>
    </xf>
    <xf numFmtId="165" fontId="6" fillId="4" borderId="0" applyAlignment="1" pivotButton="0" quotePrefix="0" xfId="0">
      <alignment horizontal="center" vertical="center"/>
    </xf>
    <xf numFmtId="165" fontId="6" fillId="0" borderId="0" applyAlignment="1" pivotButton="0" quotePrefix="0" xfId="0">
      <alignment horizontal="center" vertical="center" wrapText="1"/>
    </xf>
    <xf numFmtId="165" fontId="6" fillId="12" borderId="0" applyAlignment="1" pivotButton="0" quotePrefix="0" xfId="0">
      <alignment horizontal="center" vertical="center"/>
    </xf>
    <xf numFmtId="165" fontId="13" fillId="12" borderId="0" applyAlignment="1" applyProtection="1" pivotButton="0" quotePrefix="0" xfId="0">
      <alignment horizontal="center" vertical="center"/>
      <protection locked="0" hidden="0"/>
    </xf>
    <xf numFmtId="0" fontId="6" fillId="5" borderId="28" applyAlignment="1" pivotButton="0" quotePrefix="0" xfId="2">
      <alignment horizontal="center" vertical="center"/>
    </xf>
    <xf numFmtId="0" fontId="0" fillId="0" borderId="61" pivotButton="0" quotePrefix="0" xfId="0"/>
    <xf numFmtId="0" fontId="0" fillId="0" borderId="49" pivotButton="0" quotePrefix="0" xfId="0"/>
    <xf numFmtId="165" fontId="6" fillId="10" borderId="0" applyAlignment="1" pivotButton="0" quotePrefix="0" xfId="0">
      <alignment horizontal="left" vertical="center"/>
    </xf>
    <xf numFmtId="165" fontId="13" fillId="12" borderId="0" applyAlignment="1" pivotButton="0" quotePrefix="0" xfId="0">
      <alignment horizontal="center" vertical="center" wrapText="1"/>
    </xf>
    <xf numFmtId="165" fontId="13" fillId="12" borderId="0" applyAlignment="1" pivotButton="0" quotePrefix="0" xfId="0">
      <alignment horizontal="center" vertical="center"/>
    </xf>
    <xf numFmtId="165" fontId="6" fillId="0" borderId="0" applyAlignment="1" pivotButton="0" quotePrefix="0" xfId="0">
      <alignment horizontal="right" vertical="center"/>
    </xf>
    <xf numFmtId="165" fontId="6" fillId="0" borderId="0" applyAlignment="1" applyProtection="1" pivotButton="0" quotePrefix="0" xfId="0">
      <alignment horizontal="right" vertical="center"/>
      <protection locked="0" hidden="0"/>
    </xf>
  </cellXfs>
  <cellStyles count="22">
    <cellStyle name="Normal" xfId="0" builtinId="0"/>
    <cellStyle name="Normal 2" xfId="1"/>
    <cellStyle name="Normal 5" xfId="2"/>
    <cellStyle name="Normal 3" xfId="3"/>
    <cellStyle name="Normal 2 2" xfId="4"/>
    <cellStyle name="Normal 4" xfId="5"/>
    <cellStyle name="Normal 3 2" xfId="6"/>
    <cellStyle name="Check Cell" xfId="7" builtinId="23"/>
    <cellStyle name="Normal 2 3" xfId="8"/>
    <cellStyle name="Normal 2 2 2" xfId="9"/>
    <cellStyle name="Normal 4 2" xfId="10"/>
    <cellStyle name="Percent" xfId="11" builtinId="5"/>
    <cellStyle name="Normal 4 2 2" xfId="12"/>
    <cellStyle name="Normal 2 4" xfId="13"/>
    <cellStyle name="Normal 2 2 3" xfId="14"/>
    <cellStyle name="Normal 2 2 3 2" xfId="15"/>
    <cellStyle name="Normal 4 2 2 2" xfId="16"/>
    <cellStyle name="Normal 2 2 3 3" xfId="17"/>
    <cellStyle name="Normal 2 2 3 4" xfId="18"/>
    <cellStyle name="Normal 6" xfId="19"/>
    <cellStyle name="Normal 4 2 3" xfId="20"/>
    <cellStyle name="Normal 4 2 2 2 2" xfId="21"/>
  </cellStyles>
  <dxfs count="2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D44B"/>
        </patternFill>
      </fill>
    </dxf>
    <dxf>
      <fill>
        <patternFill>
          <bgColor rgb="FFEEB400"/>
        </patternFill>
      </fill>
    </dxf>
    <dxf>
      <fill>
        <patternFill patternType="solid">
          <fgColor indexed="64"/>
          <bgColor rgb="FFE4E300"/>
        </patternFill>
      </fill>
    </dxf>
    <dxf>
      <fill>
        <patternFill>
          <bgColor rgb="FFF2DBDA"/>
        </patternFill>
      </fill>
    </dxf>
    <dxf>
      <fill>
        <patternFill>
          <bgColor rgb="FFEEB400"/>
        </patternFill>
      </fill>
    </dxf>
    <dxf>
      <fill>
        <patternFill>
          <bgColor rgb="FF4685D2"/>
        </patternFill>
      </fill>
    </dxf>
    <dxf>
      <fill>
        <patternFill patternType="solid">
          <fgColor indexed="64"/>
          <bgColor rgb="FFBA005D"/>
        </patternFill>
      </fill>
    </dxf>
    <dxf>
      <fill>
        <patternFill patternType="solid">
          <fgColor indexed="64"/>
          <bgColor rgb="FF9E004F"/>
        </patternFill>
      </fill>
    </dxf>
    <dxf>
      <fill>
        <patternFill>
          <bgColor rgb="FFE1AAA9"/>
        </patternFill>
      </fill>
    </dxf>
    <dxf>
      <fill>
        <patternFill>
          <bgColor theme="7" tint="0.5999633777886288"/>
        </patternFill>
      </fill>
    </dxf>
    <dxf>
      <fill>
        <patternFill>
          <bgColor theme="7" tint="0.3999450666829432"/>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theme="6" tint="0.3999450666829432"/>
        </patternFill>
      </fill>
    </dxf>
    <dxf>
      <fill>
        <patternFill>
          <bgColor rgb="FFE3E0CF"/>
        </patternFill>
      </fill>
    </dxf>
    <dxf>
      <fill>
        <patternFill>
          <bgColor theme="2" tint="-0.249946592608417"/>
        </patternFill>
      </fill>
    </dxf>
    <dxf>
      <fill>
        <patternFill>
          <bgColor rgb="FFFF0000"/>
        </patternFill>
      </fill>
    </dxf>
    <dxf>
      <fill>
        <patternFill patternType="solid">
          <fgColor indexed="64"/>
          <bgColor theme="0" tint="-0.0499893185216834"/>
        </patternFill>
      </fill>
    </dxf>
    <dxf>
      <fill>
        <patternFill patternType="solid">
          <fgColor indexed="64"/>
          <bgColor theme="6" tint="0.7999816888943144"/>
        </patternFill>
      </fill>
    </dxf>
    <dxf>
      <fill>
        <patternFill patternType="solid">
          <fgColor indexed="64"/>
          <bgColor theme="6" tint="0.5999938962981048"/>
        </patternFill>
      </fill>
    </dxf>
    <dxf>
      <fill>
        <patternFill>
          <bgColor rgb="FF99BCE7"/>
        </patternFill>
      </fill>
    </dxf>
    <dxf>
      <fill>
        <patternFill patternType="solid">
          <fgColor indexed="64"/>
          <bgColor theme="4" tint="0.7999816888943144"/>
        </patternFill>
      </fill>
    </dxf>
    <dxf>
      <fill>
        <patternFill patternType="solid">
          <fgColor indexed="64"/>
          <bgColor theme="4" tint="0.5999938962981048"/>
        </patternFill>
      </fill>
    </dxf>
    <dxf>
      <fill>
        <patternFill>
          <bgColor theme="9" tint="0.5999633777886288"/>
        </patternFill>
      </fill>
    </dxf>
    <dxf>
      <fill>
        <patternFill>
          <bgColor theme="9" tint="0.3999450666829432"/>
        </patternFill>
      </fill>
    </dxf>
    <dxf>
      <fill>
        <patternFill>
          <bgColor rgb="FFFF9900"/>
        </patternFill>
      </fill>
    </dxf>
    <dxf>
      <fill>
        <patternFill>
          <bgColor rgb="FFFFBB57"/>
        </patternFill>
      </fill>
    </dxf>
    <dxf>
      <fill>
        <patternFill>
          <bgColor rgb="FFFF9900"/>
        </patternFill>
      </fill>
    </dxf>
    <dxf>
      <fill>
        <patternFill>
          <bgColor theme="2" tint="-0.249946592608417"/>
        </patternFill>
      </fill>
    </dxf>
    <dxf>
      <fill>
        <patternFill>
          <bgColor rgb="FFEEB400"/>
        </patternFill>
      </fill>
    </dxf>
    <dxf>
      <fill>
        <patternFill>
          <bgColor rgb="FFFFD44B"/>
        </patternFill>
      </fill>
    </dxf>
    <dxf>
      <fill>
        <patternFill>
          <bgColor rgb="FFFF0000"/>
        </patternFill>
      </fill>
    </dxf>
    <dxf>
      <fill>
        <patternFill patternType="solid">
          <fgColor indexed="64"/>
          <bgColor theme="6" tint="0.7999816888943144"/>
        </patternFill>
      </fill>
    </dxf>
    <dxf>
      <fill>
        <patternFill>
          <bgColor theme="6" tint="0.3999450666829432"/>
        </patternFill>
      </fill>
    </dxf>
    <dxf>
      <fill>
        <patternFill patternType="solid">
          <fgColor indexed="64"/>
          <bgColor theme="6" tint="0.5999938962981048"/>
        </patternFill>
      </fill>
    </dxf>
    <dxf>
      <fill>
        <patternFill>
          <bgColor rgb="FF99BCE7"/>
        </patternFill>
      </fill>
    </dxf>
    <dxf>
      <fill>
        <patternFill>
          <bgColor rgb="FF4685D2"/>
        </patternFill>
      </fill>
    </dxf>
    <dxf>
      <fill>
        <patternFill>
          <bgColor rgb="FFFF9900"/>
        </patternFill>
      </fill>
    </dxf>
    <dxf>
      <fill>
        <patternFill patternType="solid">
          <fgColor indexed="64"/>
          <bgColor theme="4" tint="0.5999938962981048"/>
        </patternFill>
      </fill>
    </dxf>
    <dxf>
      <fill>
        <patternFill>
          <bgColor theme="9" tint="0.5999633777886288"/>
        </patternFill>
      </fill>
    </dxf>
    <dxf>
      <fill>
        <patternFill>
          <bgColor theme="9" tint="0.3999450666829432"/>
        </patternFill>
      </fill>
    </dxf>
    <dxf>
      <fill>
        <patternFill patternType="solid">
          <fgColor indexed="64"/>
          <bgColor theme="0" tint="-0.0499893185216834"/>
        </patternFill>
      </fill>
    </dxf>
    <dxf>
      <fill>
        <patternFill>
          <bgColor rgb="FFFF9900"/>
        </patternFill>
      </fill>
    </dxf>
    <dxf>
      <fill>
        <patternFill patternType="solid">
          <fgColor indexed="64"/>
          <bgColor theme="4" tint="0.7999816888943144"/>
        </patternFill>
      </fill>
    </dxf>
    <dxf>
      <fill>
        <patternFill patternType="solid">
          <fgColor indexed="64"/>
          <bgColor rgb="FFBA005D"/>
        </patternFill>
      </fill>
    </dxf>
    <dxf>
      <fill>
        <patternFill patternType="solid">
          <fgColor indexed="64"/>
          <bgColor rgb="FF9E004F"/>
        </patternFill>
      </fill>
    </dxf>
    <dxf>
      <fill>
        <patternFill>
          <bgColor rgb="FFF2DBDA"/>
        </patternFill>
      </fill>
    </dxf>
    <dxf>
      <fill>
        <patternFill>
          <bgColor rgb="FFE1AAA9"/>
        </patternFill>
      </fill>
    </dxf>
    <dxf>
      <fill>
        <patternFill>
          <bgColor theme="7" tint="0.3999450666829432"/>
        </patternFill>
      </fill>
    </dxf>
    <dxf>
      <fill>
        <patternFill>
          <bgColor rgb="FFFFBB57"/>
        </patternFill>
      </fill>
    </dxf>
    <dxf>
      <fill>
        <patternFill patternType="solid">
          <fgColor indexed="64"/>
          <bgColor rgb="FFE4E300"/>
        </patternFill>
      </fill>
    </dxf>
    <dxf>
      <fill>
        <patternFill patternType="solid">
          <fgColor indexed="64"/>
          <bgColor rgb="FFE7D480"/>
        </patternFill>
      </fill>
    </dxf>
    <dxf>
      <fill>
        <patternFill>
          <bgColor rgb="FFEEB400"/>
        </patternFill>
      </fill>
    </dxf>
    <dxf>
      <fill>
        <patternFill patternType="solid">
          <fgColor indexed="64"/>
          <bgColor rgb="FFDCC97A"/>
        </patternFill>
      </fill>
    </dxf>
    <dxf>
      <fill>
        <patternFill>
          <bgColor rgb="FFDDE8C6"/>
        </patternFill>
      </fill>
    </dxf>
    <dxf>
      <fill>
        <patternFill>
          <bgColor theme="7" tint="0.5999633777886288"/>
        </patternFill>
      </fill>
    </dxf>
    <dxf>
      <fill>
        <patternFill>
          <bgColor rgb="FFE3E0CF"/>
        </patternFill>
      </fill>
    </dxf>
    <dxf>
      <fill>
        <patternFill>
          <bgColor theme="6" tint="0.3999450666829432"/>
        </patternFill>
      </fill>
    </dxf>
    <dxf>
      <fill>
        <patternFill>
          <bgColor theme="9"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BA005D"/>
        </patternFill>
      </fill>
    </dxf>
    <dxf>
      <fill>
        <patternFill patternType="solid">
          <fgColor indexed="64"/>
          <bgColor rgb="FF9E004F"/>
        </patternFill>
      </fill>
    </dxf>
    <dxf>
      <fill>
        <patternFill>
          <bgColor theme="2" tint="-0.249946592608417"/>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rgb="FFE3E0CF"/>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ont>
        <color rgb="FF9C0006"/>
      </font>
      <fill>
        <patternFill>
          <bgColor rgb="FFFFC7CE"/>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E1AAA9"/>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externalLink" Target="/xl/externalLinks/externalLink1.xml" Id="rId5" /><Relationship Type="http://schemas.openxmlformats.org/officeDocument/2006/relationships/styles" Target="styles.xml" Id="rId6" /><Relationship Type="http://schemas.openxmlformats.org/officeDocument/2006/relationships/theme" Target="theme/theme1.xml" Id="rId7"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28916</rowOff>
    </from>
    <ext cx="935182" cy="411480"/>
    <pic>
      <nvPicPr>
        <cNvPr id="2" name="Picture 4"/>
        <cNvPicPr>
          <a:picLocks noChangeAspect="1"/>
        </cNvPicPr>
      </nvPicPr>
      <blipFill>
        <a:blip cstate="print" r:embed="rId1"/>
        <a:srcRect t="26785" b="35417"/>
        <a:stretch>
          <a:fillRect/>
        </a:stretch>
      </blipFill>
      <spPr bwMode="auto">
        <a:xfrm>
          <a:off x="0" y="28916"/>
          <a:ext cx="935182" cy="411480"/>
        </a:xfrm>
        <a:prstGeom prst="rect">
          <avLst/>
        </a:prstGeom>
        <a:noFill/>
        <a:ln>
          <a:noFill/>
          <a:prstDash val="solid"/>
        </a:ln>
      </spPr>
    </pic>
    <clientData/>
  </oneCellAnchor>
</wsDr>
</file>

<file path=xl/externalLinks/_rels/externalLink1.xml.rels><Relationships xmlns="http://schemas.openxmlformats.org/package/2006/relationships"><Relationship Type="http://schemas.microsoft.com/office/2006/relationships/xlExternalLinkPath/xlPathMissing" Target="RecoveredExternalLink1"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survey"/>
      <sheetName val="displacement module"/>
      <sheetName val="New Durations"/>
      <sheetName val="Crop list"/>
      <sheetName val="Additional information"/>
    </sheetNames>
    <sheetDataSet>
      <sheetData sheetId="0"/>
      <sheetData sheetId="1"/>
      <sheetData sheetId="2"/>
      <sheetData sheetId="3"/>
      <sheetData sheetId="4">
        <row r="17">
          <cell r="D17">
            <v>0.91</v>
          </cell>
        </row>
      </sheetData>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theme="9" tint="-0.499984740745262"/>
    <outlinePr summaryBelow="1" summaryRight="1"/>
    <pageSetUpPr/>
  </sheetPr>
  <dimension ref="A1:AI211"/>
  <sheetViews>
    <sheetView tabSelected="1" zoomScale="70" zoomScaleNormal="70" workbookViewId="0">
      <pane xSplit="4" ySplit="3" topLeftCell="E4" activePane="bottomRight" state="frozen"/>
      <selection pane="topRight" activeCell="B3" sqref="B3"/>
      <selection pane="bottomLeft" activeCell="B3" sqref="B3"/>
      <selection pane="bottomRight" activeCell="C204" sqref="C204"/>
    </sheetView>
  </sheetViews>
  <sheetFormatPr baseColWidth="8" defaultColWidth="8.453125" defaultRowHeight="15.5"/>
  <cols>
    <col width="13.1796875" customWidth="1" style="613" min="1" max="1"/>
    <col width="19.453125" customWidth="1" style="610" min="2" max="2"/>
    <col width="28.81640625" bestFit="1" customWidth="1" style="611" min="3" max="3"/>
    <col width="58.453125" customWidth="1" style="612" min="4" max="4"/>
    <col hidden="1" width="9.453125" customWidth="1" style="613" min="5" max="5"/>
    <col width="55.453125" customWidth="1" style="612" min="6" max="6"/>
    <col hidden="1" width="9.453125" customWidth="1" style="613" min="7" max="7"/>
    <col width="15.453125" customWidth="1" style="613" min="8" max="8"/>
    <col hidden="1" width="12.453125" customWidth="1" style="613" min="9" max="9"/>
    <col width="35.81640625" customWidth="1" style="613" min="10" max="10"/>
    <col width="26" customWidth="1" style="613" min="11" max="11"/>
    <col width="27.54296875" customWidth="1" style="613" min="12" max="12"/>
    <col width="38.1796875" customWidth="1" style="613" min="13" max="13"/>
    <col width="29.81640625" customWidth="1" style="368" min="14" max="14"/>
    <col width="35.81640625" customWidth="1" style="613" min="15" max="15"/>
    <col width="22.453125" customWidth="1" style="613" min="16" max="16"/>
    <col width="40.453125" customWidth="1" style="613" min="17" max="17"/>
    <col hidden="1" width="15" customWidth="1" style="331" min="18" max="18"/>
    <col hidden="1" width="8.453125" customWidth="1" style="613" min="19" max="20"/>
    <col hidden="1" width="20.453125" customWidth="1" style="81" min="21" max="21"/>
    <col hidden="1" outlineLevel="1" width="8.453125" customWidth="1" style="613" min="22" max="22"/>
    <col hidden="1" collapsed="1" width="8.453125" customWidth="1" style="613" min="23" max="23"/>
    <col hidden="1" width="8.453125" customWidth="1" style="613" min="24" max="24"/>
    <col hidden="1" width="15.453125" customWidth="1" style="333" min="25" max="25"/>
    <col width="11.453125" customWidth="1" style="333" min="26" max="26"/>
    <col hidden="1" outlineLevel="1" width="10.453125" customWidth="1" style="613" min="27" max="27"/>
    <col collapsed="1" width="8.453125" customWidth="1" style="613" min="28" max="28"/>
    <col width="8.453125" customWidth="1" style="613" min="29" max="32"/>
    <col width="8.453125" customWidth="1" style="613" min="33" max="16384"/>
  </cols>
  <sheetData>
    <row r="1" ht="18.75" customHeight="1" thickBot="1">
      <c r="A1" s="609" t="inlineStr">
        <is>
          <t>GeoPoll Submission Form</t>
        </is>
      </c>
      <c r="R1" s="300" t="n"/>
      <c r="S1" s="53" t="n"/>
      <c r="U1" s="53" t="n"/>
      <c r="Y1" s="53" t="n"/>
      <c r="Z1" s="53" t="n"/>
    </row>
    <row r="2" ht="15" customHeight="1" thickBot="1">
      <c r="A2" s="607" t="inlineStr">
        <is>
          <t>FAO - Household Questionnaire</t>
        </is>
      </c>
      <c r="B2" s="628" t="n"/>
      <c r="C2" s="628" t="n"/>
      <c r="D2" s="628" t="n"/>
      <c r="E2" s="628" t="n"/>
      <c r="F2" s="628" t="n"/>
      <c r="G2" s="628" t="n"/>
      <c r="H2" s="628" t="n"/>
      <c r="I2" s="628" t="n"/>
      <c r="J2" s="628" t="n"/>
      <c r="K2" s="628" t="n"/>
      <c r="L2" s="628" t="n"/>
      <c r="M2" s="628" t="n"/>
      <c r="N2" s="628" t="n"/>
      <c r="O2" s="628" t="n"/>
      <c r="P2" s="628" t="n"/>
      <c r="Q2" s="617" t="inlineStr">
        <is>
          <t>Additional notes</t>
        </is>
      </c>
      <c r="R2" s="300" t="n"/>
      <c r="S2" s="53" t="n"/>
      <c r="Y2" s="53" t="n"/>
      <c r="Z2" s="53" t="n"/>
    </row>
    <row r="3" ht="61.5" customFormat="1" customHeight="1" s="610" thickBot="1">
      <c r="A3" s="106" t="inlineStr">
        <is>
          <t>Q #</t>
        </is>
      </c>
      <c r="B3" s="105" t="inlineStr">
        <is>
          <t>Q Name</t>
        </is>
      </c>
      <c r="C3" s="103" t="inlineStr">
        <is>
          <t>Suggested Qname</t>
        </is>
      </c>
      <c r="D3" s="105" t="inlineStr">
        <is>
          <t>English</t>
        </is>
      </c>
      <c r="E3" s="104" t="inlineStr">
        <is>
          <t>Length</t>
        </is>
      </c>
      <c r="F3" s="105" t="inlineStr">
        <is>
          <t>ar-JO_Arabic</t>
        </is>
      </c>
      <c r="G3" s="104" t="inlineStr">
        <is>
          <t>Length</t>
        </is>
      </c>
      <c r="H3" s="105" t="inlineStr">
        <is>
          <t>Q Type</t>
        </is>
      </c>
      <c r="I3" s="104" t="inlineStr">
        <is>
          <t>Randomize</t>
        </is>
      </c>
      <c r="J3" s="103" t="inlineStr">
        <is>
          <t>Conditional</t>
        </is>
      </c>
      <c r="K3" s="103" t="inlineStr">
        <is>
          <t>Programming Instructions</t>
        </is>
      </c>
      <c r="L3" s="102" t="inlineStr">
        <is>
          <t>Codes</t>
        </is>
      </c>
      <c r="M3" s="102" t="inlineStr">
        <is>
          <t>Skip Pattern</t>
        </is>
      </c>
      <c r="N3" s="102" t="inlineStr">
        <is>
          <t>GeoPoll Comments</t>
        </is>
      </c>
      <c r="O3" s="101" t="inlineStr">
        <is>
          <t xml:space="preserve">Default skip patterns &amp; conditional </t>
        </is>
      </c>
      <c r="P3" s="101" t="inlineStr">
        <is>
          <t>Specify skip pattern variable (from blue text)</t>
        </is>
      </c>
      <c r="Q3" s="626" t="n"/>
      <c r="R3" s="301" t="inlineStr">
        <is>
          <t>Estimated percentage of repondents</t>
        </is>
      </c>
      <c r="S3" s="118" t="n"/>
      <c r="U3" s="133" t="inlineStr">
        <is>
          <t>Mandatory</t>
        </is>
      </c>
      <c r="Y3" s="301" t="inlineStr">
        <is>
          <t>Duration (sec)</t>
        </is>
      </c>
      <c r="Z3" s="302" t="inlineStr">
        <is>
          <t>Weighted duration</t>
        </is>
      </c>
      <c r="AA3" s="302" t="inlineStr">
        <is>
          <t>Core questions only</t>
        </is>
      </c>
    </row>
    <row r="4" ht="18" customHeight="1" thickBot="1">
      <c r="A4" s="604" t="inlineStr">
        <is>
          <t>A. PRESENTATION OF THE SURVEY AND ELIGIBILITY CRITERIA SELECTION</t>
        </is>
      </c>
      <c r="B4" s="629" t="n"/>
      <c r="C4" s="629" t="n"/>
      <c r="D4" s="629" t="n"/>
      <c r="E4" s="629" t="n"/>
      <c r="F4" s="629" t="n"/>
      <c r="G4" s="629" t="n"/>
      <c r="H4" s="629" t="n"/>
      <c r="I4" s="629" t="n"/>
      <c r="J4" s="629" t="n"/>
      <c r="K4" s="629" t="n"/>
      <c r="L4" s="629" t="n"/>
      <c r="M4" s="629" t="n"/>
      <c r="N4" s="629" t="n"/>
      <c r="O4" s="629" t="n"/>
      <c r="P4" s="629" t="n"/>
      <c r="Q4" s="630" t="n"/>
      <c r="R4" s="300" t="n"/>
      <c r="S4" s="53" t="n"/>
      <c r="U4" s="81" t="inlineStr">
        <is>
          <t>no</t>
        </is>
      </c>
      <c r="Y4" s="53" t="n"/>
      <c r="Z4" s="631">
        <f>IF(Y4="","",Y4*W4)</f>
        <v/>
      </c>
      <c r="AA4" s="53">
        <f>IF(U4="yes",Z4,"")</f>
        <v/>
      </c>
    </row>
    <row r="5" ht="26.25" customHeight="1">
      <c r="A5" s="38" t="inlineStr">
        <is>
          <t>NA</t>
        </is>
      </c>
      <c r="B5" s="114" t="inlineStr">
        <is>
          <t>Optin</t>
        </is>
      </c>
      <c r="C5" s="116" t="inlineStr"/>
      <c r="D5" s="57" t="inlineStr">
        <is>
          <t>Optin</t>
        </is>
      </c>
      <c r="E5" s="56">
        <f>LEN(D5)</f>
        <v/>
      </c>
      <c r="F5" s="57" t="inlineStr">
        <is>
          <t>Optin</t>
        </is>
      </c>
      <c r="G5" s="56">
        <f>LEN(F5)</f>
        <v/>
      </c>
      <c r="H5" s="56" t="inlineStr">
        <is>
          <t>Open Ended</t>
        </is>
      </c>
      <c r="I5" s="56" t="inlineStr">
        <is>
          <t>NA</t>
        </is>
      </c>
      <c r="J5" s="56" t="inlineStr">
        <is>
          <t>NA</t>
        </is>
      </c>
      <c r="K5" s="56" t="inlineStr">
        <is>
          <t>Form Type - TextBox</t>
        </is>
      </c>
      <c r="L5" s="100" t="inlineStr">
        <is>
          <t>NA</t>
        </is>
      </c>
      <c r="M5" s="55" t="inlineStr">
        <is>
          <t>Any Response = calldispo</t>
        </is>
      </c>
      <c r="N5" s="195" t="n"/>
      <c r="O5" s="100" t="inlineStr">
        <is>
          <t>NA</t>
        </is>
      </c>
      <c r="P5" s="24" t="inlineStr"/>
      <c r="Q5" s="8" t="n"/>
      <c r="R5" s="300" t="n"/>
      <c r="S5" s="53" t="n"/>
      <c r="U5" s="81" t="inlineStr">
        <is>
          <t>no</t>
        </is>
      </c>
      <c r="Y5" s="632" t="n">
        <v>0</v>
      </c>
      <c r="Z5" s="631">
        <f>IF(Y5="","",Y5*R5)</f>
        <v/>
      </c>
      <c r="AA5" s="53" t="inlineStr"/>
    </row>
    <row r="6" ht="124.75" customHeight="1">
      <c r="A6" s="18" t="inlineStr">
        <is>
          <t>NA</t>
        </is>
      </c>
      <c r="B6" s="182" t="inlineStr">
        <is>
          <t>calldispo</t>
        </is>
      </c>
      <c r="C6" s="58" t="inlineStr">
        <is>
          <t>calldispo</t>
        </is>
      </c>
      <c r="D6" s="184" t="inlineStr">
        <is>
          <t>Phone number: #CATI_MOBILENUMBER#
1)Someone answers
2)No answer
3)Refusal
4)Call back
5)Non-Working Number</t>
        </is>
      </c>
      <c r="E6" s="179">
        <f>LEN(D6)</f>
        <v/>
      </c>
      <c r="F6" s="305" t="inlineStr">
        <is>
          <t>رقم الهاتف: #CATI_MOBILENUMBER#
1) يجيب شخص ما 
2) لا جواب
3) الرفض
4) معاودة الاتصال
5)رقم غير صالح للعمل</t>
        </is>
      </c>
      <c r="G6" s="179">
        <f>LEN(F6)</f>
        <v/>
      </c>
      <c r="H6" s="186" t="inlineStr">
        <is>
          <t>Single Choice</t>
        </is>
      </c>
      <c r="I6" s="179" t="inlineStr">
        <is>
          <t>NA</t>
        </is>
      </c>
      <c r="J6" s="179" t="inlineStr">
        <is>
          <t>NA</t>
        </is>
      </c>
      <c r="K6" s="179" t="inlineStr">
        <is>
          <t>Form Type - Buttons</t>
        </is>
      </c>
      <c r="L6" s="100" t="inlineStr">
        <is>
          <t>NA</t>
        </is>
      </c>
      <c r="M6" s="63" t="inlineStr">
        <is>
          <t>1 = resp_language
2 = NoAnswer
3 = Refusal
4 = WhenCallBack
5 = NonWorkingNumber</t>
        </is>
      </c>
      <c r="N6" s="196" t="n"/>
      <c r="O6" s="90" t="inlineStr">
        <is>
          <t>NA</t>
        </is>
      </c>
      <c r="P6" s="25" t="inlineStr"/>
      <c r="Q6" s="9" t="n"/>
      <c r="R6" s="300" t="n"/>
      <c r="S6" s="53" t="n"/>
      <c r="U6" s="81" t="inlineStr">
        <is>
          <t>no</t>
        </is>
      </c>
      <c r="Y6" s="632" t="n">
        <v>14.69530773162842</v>
      </c>
      <c r="Z6" s="631">
        <f>IF(Y6="","",Y6*R6)</f>
        <v/>
      </c>
      <c r="AA6" s="53" t="inlineStr"/>
    </row>
    <row r="7" ht="37.5" customHeight="1">
      <c r="A7" s="18" t="inlineStr">
        <is>
          <t>NA</t>
        </is>
      </c>
      <c r="B7" s="182" t="inlineStr">
        <is>
          <t>NoAnswer</t>
        </is>
      </c>
      <c r="C7" s="58" t="inlineStr">
        <is>
          <t>calldispo_noanswer</t>
        </is>
      </c>
      <c r="D7" s="554" t="inlineStr">
        <is>
          <t>Phone rang and no one answered.</t>
        </is>
      </c>
      <c r="E7" s="179">
        <f>LEN(D7)</f>
        <v/>
      </c>
      <c r="F7" s="555" t="inlineStr">
        <is>
          <t>رن الهاتف ولم يرد أحد</t>
        </is>
      </c>
      <c r="G7" s="179">
        <f>LEN(F7)</f>
        <v/>
      </c>
      <c r="H7" s="186" t="inlineStr">
        <is>
          <t>NA</t>
        </is>
      </c>
      <c r="I7" s="186" t="inlineStr">
        <is>
          <t>NA</t>
        </is>
      </c>
      <c r="J7" s="186" t="inlineStr">
        <is>
          <t>NA</t>
        </is>
      </c>
      <c r="K7" s="186" t="inlineStr">
        <is>
          <t>NA</t>
        </is>
      </c>
      <c r="L7" s="100" t="inlineStr">
        <is>
          <t>NA</t>
        </is>
      </c>
      <c r="M7" s="99" t="inlineStr">
        <is>
          <t>End Poll NoAnswer</t>
        </is>
      </c>
      <c r="N7" s="341" t="n"/>
      <c r="O7" s="98" t="inlineStr">
        <is>
          <t>NA</t>
        </is>
      </c>
      <c r="P7" s="26" t="inlineStr"/>
      <c r="Q7" s="10" t="n"/>
      <c r="R7" s="300" t="n"/>
      <c r="S7" s="53" t="n"/>
      <c r="U7" s="81" t="inlineStr">
        <is>
          <t>no</t>
        </is>
      </c>
      <c r="Y7" s="632" t="n">
        <v>0</v>
      </c>
      <c r="Z7" s="631">
        <f>IF(Y7="","",Y7*R7)</f>
        <v/>
      </c>
      <c r="AA7" s="53" t="inlineStr"/>
    </row>
    <row r="8" ht="37.5" customHeight="1">
      <c r="A8" s="18" t="inlineStr">
        <is>
          <t>NA</t>
        </is>
      </c>
      <c r="B8" s="182" t="inlineStr">
        <is>
          <t>NonWorkingNumber</t>
        </is>
      </c>
      <c r="C8" s="58" t="inlineStr">
        <is>
          <t>calldispo_disconnected</t>
        </is>
      </c>
      <c r="D8" s="554" t="inlineStr">
        <is>
          <t>Phone was disconnected or out of service.</t>
        </is>
      </c>
      <c r="E8" s="179">
        <f>LEN(D8)</f>
        <v/>
      </c>
      <c r="F8" s="555" t="inlineStr">
        <is>
          <t>تم فصل الهاتف أو الهاتف خارج الخدمة</t>
        </is>
      </c>
      <c r="G8" s="179">
        <f>LEN(F8)</f>
        <v/>
      </c>
      <c r="H8" s="186" t="inlineStr">
        <is>
          <t>NA</t>
        </is>
      </c>
      <c r="I8" s="186" t="inlineStr">
        <is>
          <t>NA</t>
        </is>
      </c>
      <c r="J8" s="186" t="inlineStr">
        <is>
          <t>NA</t>
        </is>
      </c>
      <c r="K8" s="186" t="inlineStr">
        <is>
          <t>NA</t>
        </is>
      </c>
      <c r="L8" s="100" t="inlineStr">
        <is>
          <t>NA</t>
        </is>
      </c>
      <c r="M8" s="99" t="inlineStr">
        <is>
          <t>End Poll NonWorkingNumber</t>
        </is>
      </c>
      <c r="N8" s="341" t="n"/>
      <c r="O8" s="98" t="inlineStr">
        <is>
          <t>NA</t>
        </is>
      </c>
      <c r="P8" s="26" t="inlineStr"/>
      <c r="Q8" s="10" t="n"/>
      <c r="R8" s="300" t="n"/>
      <c r="S8" s="53" t="n"/>
      <c r="U8" s="81" t="inlineStr">
        <is>
          <t>no</t>
        </is>
      </c>
      <c r="Y8" s="632" t="n">
        <v>0</v>
      </c>
      <c r="Z8" s="631">
        <f>IF(Y8="","",Y8*R8)</f>
        <v/>
      </c>
      <c r="AA8" s="53" t="inlineStr"/>
    </row>
    <row r="9" ht="111.75" customHeight="1">
      <c r="A9" s="18" t="inlineStr">
        <is>
          <t>NA</t>
        </is>
      </c>
      <c r="B9" s="182" t="inlineStr">
        <is>
          <t>resp_language</t>
        </is>
      </c>
      <c r="C9" s="58" t="inlineStr">
        <is>
          <t>resp_language</t>
        </is>
      </c>
      <c r="D9" s="138" t="inlineStr">
        <is>
          <t>Which language do you wish to proceed with?
[OPERATOR: READ ANSWER CHOICES. SINGLE RESPONSE.]
1)Arabic
2)English -TESTING</t>
        </is>
      </c>
      <c r="E9" s="179">
        <f>LEN(D9)</f>
        <v/>
      </c>
      <c r="F9" s="172" t="inlineStr">
        <is>
          <t>ما هي اللغة التي ترغب في المتابعة بها؟
[المُشغل: اقرأ خيارات الإجابة. استجابة واحدة.]
1) عربي
2) اختبار اللغة الإنجليزية</t>
        </is>
      </c>
      <c r="G9" s="179">
        <f>LEN(F9)</f>
        <v/>
      </c>
      <c r="H9" s="186" t="inlineStr">
        <is>
          <t>Single Choice</t>
        </is>
      </c>
      <c r="I9" s="179" t="inlineStr">
        <is>
          <t>NA</t>
        </is>
      </c>
      <c r="J9" s="179" t="inlineStr">
        <is>
          <t>NA</t>
        </is>
      </c>
      <c r="K9" s="179" t="inlineStr">
        <is>
          <t>Form Type - Buttons</t>
        </is>
      </c>
      <c r="L9" s="100" t="inlineStr">
        <is>
          <t>NA</t>
        </is>
      </c>
      <c r="M9" s="63" t="inlineStr">
        <is>
          <t>1 = introduction [Arabic]
2 = introduction [English]</t>
        </is>
      </c>
      <c r="N9" s="342" t="n"/>
      <c r="O9" s="97" t="inlineStr">
        <is>
          <t>For any response, go to introduction</t>
        </is>
      </c>
      <c r="P9" s="27" t="inlineStr"/>
      <c r="Q9" s="11" t="inlineStr">
        <is>
          <t>Arabic</t>
        </is>
      </c>
      <c r="R9" s="300" t="n"/>
      <c r="S9" s="53" t="n"/>
      <c r="U9" s="81" t="inlineStr">
        <is>
          <t>no</t>
        </is>
      </c>
      <c r="Y9" s="632" t="n">
        <v>3.103272438049316</v>
      </c>
      <c r="Z9" s="631">
        <f>IF(Y9="","",Y9*R9)</f>
        <v/>
      </c>
      <c r="AA9" s="53" t="inlineStr"/>
    </row>
    <row r="10" ht="408.65" customHeight="1">
      <c r="A10" s="18" t="inlineStr">
        <is>
          <t>NA</t>
        </is>
      </c>
      <c r="B10" s="182" t="inlineStr">
        <is>
          <t>introduction</t>
        </is>
      </c>
      <c r="C10" s="58" t="inlineStr">
        <is>
          <t>introduction</t>
        </is>
      </c>
      <c r="D10" s="556" t="inlineStr">
        <is>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20-30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Please note that this call may be recorded for quality purposes.
Do you have any questions?
[OPERATOR: ADDRESS QUESTIONS FROM RESPONDENT, IF ANY.]
1)CONTINUE</t>
        </is>
      </c>
      <c r="E10" s="179">
        <f>LEN(D10)</f>
        <v/>
      </c>
      <c r="F10" s="172" t="inlineStr">
        <is>
          <t>مرحبًا سيدي / سيدتي ، اسمي #OPERATOR#. أتصل من وكالة GeoPoll الاستقصائية نيابة عن  منظمة الأغذية والزراعة للأمم المتحدة (الفاو). نجري دراسة استقصائية حول سبل عيش الأسر والقدرة على الوصول إلى الغذاء في منطقتك. أود أن أطرح عليك بعض الأسئلة حول أسرتك.
يستغرق الاستبيان عادةً 20-30 دقيقة. سيتم الاحتفاظ بسرية تامة بأي معلومات تقدمها ، ولن يتم استخدامها إلا لغرض الدراسة ولن يتم عرضها لأشخاص آخرين.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مهمة.
يرجى الملاحظة أنه قد يتم تسجيل هذه المكالمة لغاية مراقبة الجودة.
هل لديك اسئلة؟
[المُشغل: أجب على أسئلة المُجيب ، إن وجدت.]
1) تابع</t>
        </is>
      </c>
      <c r="G10" s="179">
        <f>LEN(F10)</f>
        <v/>
      </c>
      <c r="H10" s="186" t="inlineStr">
        <is>
          <t>Single Choice</t>
        </is>
      </c>
      <c r="I10" s="179" t="inlineStr">
        <is>
          <t>NA</t>
        </is>
      </c>
      <c r="J10" s="179" t="inlineStr">
        <is>
          <t>NA</t>
        </is>
      </c>
      <c r="K10" s="179" t="inlineStr">
        <is>
          <t>Form Type - Buttons</t>
        </is>
      </c>
      <c r="L10" s="100" t="inlineStr">
        <is>
          <t>NA</t>
        </is>
      </c>
      <c r="M10" s="63" t="inlineStr">
        <is>
          <t>1 = Agree</t>
        </is>
      </c>
      <c r="N10" s="342" t="n"/>
      <c r="O10" s="97" t="inlineStr">
        <is>
          <t>For any response, go to Agree</t>
        </is>
      </c>
      <c r="P10" s="27" t="inlineStr"/>
      <c r="Q10" s="11" t="n">
        <v>0</v>
      </c>
      <c r="R10" s="300" t="n"/>
      <c r="S10" s="53" t="n"/>
      <c r="U10" s="81" t="inlineStr">
        <is>
          <t>no</t>
        </is>
      </c>
      <c r="Y10" s="632" t="n">
        <v>37.41844940185547</v>
      </c>
      <c r="Z10" s="631">
        <f>IF(Y10="","",Y10*R10)</f>
        <v/>
      </c>
      <c r="AA10" s="53" t="inlineStr"/>
    </row>
    <row r="11" ht="109.4" customFormat="1" customHeight="1" s="59">
      <c r="A11" s="18" t="inlineStr">
        <is>
          <t>NA</t>
        </is>
      </c>
      <c r="B11" s="182" t="inlineStr">
        <is>
          <t>Agree</t>
        </is>
      </c>
      <c r="C11" s="58" t="inlineStr">
        <is>
          <t>resp_agree</t>
        </is>
      </c>
      <c r="D11" s="184" t="inlineStr">
        <is>
          <t>Are you interested in participating in this survey?
[OPERATOR: SINGLE RESPONSE]
1)Yes 
2)Not now but another time in the week 
3)No</t>
        </is>
      </c>
      <c r="E11" s="179">
        <f>LEN(D11)</f>
        <v/>
      </c>
      <c r="F11" s="172" t="inlineStr">
        <is>
          <t>هل لديك رغبة في بالمشاركة في هذه الدراسة؟
[المشغل: استجابة واحدة]
1) نعم
2) ليس الآن ولكن في وقت آخر في الأسبوع
3) لا</t>
        </is>
      </c>
      <c r="G11" s="179">
        <f>LEN(F11)</f>
        <v/>
      </c>
      <c r="H11" s="186" t="inlineStr">
        <is>
          <t>StartRecording</t>
        </is>
      </c>
      <c r="I11" s="179" t="inlineStr">
        <is>
          <t>NA</t>
        </is>
      </c>
      <c r="J11" s="179" t="inlineStr">
        <is>
          <t>NA</t>
        </is>
      </c>
      <c r="K11" s="179" t="inlineStr">
        <is>
          <t>Form Type - Buttons</t>
        </is>
      </c>
      <c r="L11" s="100" t="inlineStr">
        <is>
          <t>NA</t>
        </is>
      </c>
      <c r="M11" s="63" t="inlineStr">
        <is>
          <t>1 = id_panel
2 = WhenCallBack
3 = resp_refusalwhy</t>
        </is>
      </c>
      <c r="N11" s="342" t="n"/>
      <c r="O11" s="63" t="inlineStr">
        <is>
          <t>if Agree = 1, go to id_panel OR resp_firstname
if Agree = 2, go to WhenCallBack
if Agree = 3, go to resp_refusalwhy</t>
        </is>
      </c>
      <c r="P11" s="21" t="inlineStr">
        <is>
          <t>id_panel</t>
        </is>
      </c>
      <c r="Q11" s="9" t="n"/>
      <c r="R11" s="300" t="n">
        <v>1</v>
      </c>
      <c r="S11" s="53" t="n"/>
      <c r="U11" s="81" t="inlineStr">
        <is>
          <t>no</t>
        </is>
      </c>
      <c r="V11" s="613" t="n"/>
      <c r="Y11" s="632" t="n">
        <v>3.805951595306396</v>
      </c>
      <c r="Z11" s="631">
        <f>IF(Y11="","",Y11*R11)</f>
        <v/>
      </c>
      <c r="AA11" s="53" t="inlineStr"/>
    </row>
    <row r="12" ht="124.75" customFormat="1" customHeight="1" s="218">
      <c r="A12" s="125" t="inlineStr">
        <is>
          <t>NA</t>
        </is>
      </c>
      <c r="B12" s="290" t="inlineStr">
        <is>
          <t>id_panel</t>
        </is>
      </c>
      <c r="C12" s="255" t="inlineStr">
        <is>
          <t>id_panel</t>
        </is>
      </c>
      <c r="D12" s="230" t="inlineStr">
        <is>
          <t>Have you or any member of your household received a call on behalf of FAO regarding this topic in the past two years?
[OPERATOR: SINGLE RESPONSE.]
1)YES
2)NO
3)DON'T KNOW</t>
        </is>
      </c>
      <c r="E12" s="292">
        <f>LEN(D12)</f>
        <v/>
      </c>
      <c r="F12" s="557" t="inlineStr">
        <is>
          <t>هل تلقيت انت أو أي أحد من أفراد أسرتك أي مكالمه بالنيابة عن منظمة الأغذيه و الزراعه [ الفاو ] بخصوص هذا الموضوع خلال العامين السابقين ؟
[ المشغل : أجابه واحده ]
1)نعم
2)لا
3)لا أعرف</t>
        </is>
      </c>
      <c r="G12" s="254">
        <f>LEN(F12)</f>
        <v/>
      </c>
      <c r="H12" s="289" t="inlineStr">
        <is>
          <t>Single Choice</t>
        </is>
      </c>
      <c r="I12" s="292" t="inlineStr">
        <is>
          <t>NA</t>
        </is>
      </c>
      <c r="J12" s="292" t="inlineStr">
        <is>
          <t>NA</t>
        </is>
      </c>
      <c r="K12" s="292" t="inlineStr">
        <is>
          <t>Form Type - Buttons</t>
        </is>
      </c>
      <c r="L12" s="215" t="inlineStr">
        <is>
          <t>NA</t>
        </is>
      </c>
      <c r="M12" s="229" t="inlineStr">
        <is>
          <t>1-3 = resp_firstname</t>
        </is>
      </c>
      <c r="N12" s="364" t="n"/>
      <c r="O12" s="229" t="inlineStr">
        <is>
          <t>For any response, go to resp_firstname</t>
        </is>
      </c>
      <c r="P12" s="229" t="inlineStr"/>
      <c r="Q12" s="241" t="inlineStr">
        <is>
          <t xml:space="preserve">It is highly recommended to include the question id_panel if a panelist approach is used. </t>
        </is>
      </c>
      <c r="R12" s="317" t="n">
        <v>1</v>
      </c>
      <c r="S12" s="217" t="n"/>
      <c r="U12" s="371" t="inlineStr">
        <is>
          <t>no</t>
        </is>
      </c>
      <c r="V12" s="220" t="n"/>
      <c r="Y12" s="633" t="n"/>
      <c r="Z12" s="633" t="n"/>
      <c r="AA12" s="217" t="inlineStr"/>
    </row>
    <row r="13" ht="139.5" customFormat="1" customHeight="1" s="59">
      <c r="A13" s="18" t="inlineStr">
        <is>
          <t>NA</t>
        </is>
      </c>
      <c r="B13" s="182" t="inlineStr">
        <is>
          <t>resp_refusalwhy</t>
        </is>
      </c>
      <c r="C13" s="58" t="inlineStr">
        <is>
          <t>resp_refusalwhy</t>
        </is>
      </c>
      <c r="D13" s="187" t="inlineStr">
        <is>
          <t>Please let us know why you have REFUSED to take the survey.
[OPERATOR: SINGLE RESPONSE]
1)Not interested
2)Do not want to be recorded
3)Other [specify]</t>
        </is>
      </c>
      <c r="E13" s="179">
        <f>LEN(D13)</f>
        <v/>
      </c>
      <c r="F13" s="558" t="inlineStr">
        <is>
          <t>يرجى إخبارنا سبب رفضك للمشاركة في هذه الدراسة.
[المشغل: استجابة واحدة]
1) غير مهتم
2) لا أريد أن يتم تسجيلي
3) آخر [حدد]</t>
        </is>
      </c>
      <c r="G13" s="179">
        <f>LEN(F13)</f>
        <v/>
      </c>
      <c r="H13" s="186" t="inlineStr">
        <is>
          <t>Open Ended-Single Choice</t>
        </is>
      </c>
      <c r="I13" s="179" t="inlineStr">
        <is>
          <t>NA</t>
        </is>
      </c>
      <c r="J13" s="179" t="inlineStr">
        <is>
          <t>NA</t>
        </is>
      </c>
      <c r="K13" s="179" t="inlineStr">
        <is>
          <t>Form Type - RadioList</t>
        </is>
      </c>
      <c r="L13" s="100" t="inlineStr">
        <is>
          <t>NA</t>
        </is>
      </c>
      <c r="M13" s="63" t="inlineStr">
        <is>
          <t>1-3 = Refusal</t>
        </is>
      </c>
      <c r="N13" s="342" t="n"/>
      <c r="O13" s="63" t="inlineStr">
        <is>
          <t>For any response, go to Refusal</t>
        </is>
      </c>
      <c r="P13" s="28" t="inlineStr"/>
      <c r="Q13" s="9" t="n"/>
      <c r="R13" s="300" t="n">
        <v>1</v>
      </c>
      <c r="S13" s="53" t="n"/>
      <c r="U13" s="61" t="inlineStr">
        <is>
          <t>no</t>
        </is>
      </c>
      <c r="V13" s="613" t="n"/>
      <c r="Y13" s="632" t="n">
        <v>0</v>
      </c>
      <c r="Z13" s="631">
        <f>IF(Y13="","",Y13*R13)</f>
        <v/>
      </c>
      <c r="AA13" s="53" t="inlineStr"/>
    </row>
    <row r="14" ht="46.75" customFormat="1" customHeight="1" s="59">
      <c r="A14" s="18" t="inlineStr">
        <is>
          <t>NA</t>
        </is>
      </c>
      <c r="B14" s="182" t="inlineStr">
        <is>
          <t>WhenCallBack</t>
        </is>
      </c>
      <c r="C14" s="58" t="inlineStr">
        <is>
          <t>resp_whencallback</t>
        </is>
      </c>
      <c r="D14" s="184" t="inlineStr">
        <is>
          <t>When would it be a good time to call you back?
[RECORD HH/MM/DD/MM OF CALLBACK]</t>
        </is>
      </c>
      <c r="E14" s="179">
        <f>LEN(D14)</f>
        <v/>
      </c>
      <c r="F14" s="559" t="inlineStr">
        <is>
          <t>ما هو التاريخ / الوقت المناسب لمعاودة الاتصال بك؟
[RECORD HH / MM / DD / MM of CALLBACK]</t>
        </is>
      </c>
      <c r="G14" s="179">
        <f>LEN(F14)</f>
        <v/>
      </c>
      <c r="H14" s="186" t="inlineStr">
        <is>
          <t>Open Ended</t>
        </is>
      </c>
      <c r="I14" s="179" t="inlineStr">
        <is>
          <t>NA</t>
        </is>
      </c>
      <c r="J14" s="179" t="inlineStr">
        <is>
          <t>NA</t>
        </is>
      </c>
      <c r="K14" s="179" t="inlineStr">
        <is>
          <t>Form Type - TextBox
IsCallBackDemographic</t>
        </is>
      </c>
      <c r="L14" s="100" t="inlineStr">
        <is>
          <t>NA</t>
        </is>
      </c>
      <c r="M14" s="63" t="inlineStr">
        <is>
          <t>Any Response = CallbackMessageEN</t>
        </is>
      </c>
      <c r="N14" s="342" t="n"/>
      <c r="O14" s="63" t="inlineStr">
        <is>
          <t>For any response, go to CallbackMessageEN</t>
        </is>
      </c>
      <c r="P14" s="28" t="inlineStr"/>
      <c r="Q14" s="9" t="n"/>
      <c r="R14" s="300" t="n">
        <v>1</v>
      </c>
      <c r="S14" s="53" t="n"/>
      <c r="U14" s="61" t="inlineStr">
        <is>
          <t>no</t>
        </is>
      </c>
      <c r="V14" s="613" t="n"/>
      <c r="Y14" s="632" t="n">
        <v>0</v>
      </c>
      <c r="Z14" s="631">
        <f>IF(Y14="","",Y14*R14)</f>
        <v/>
      </c>
      <c r="AA14" s="53" t="inlineStr"/>
    </row>
    <row r="15" ht="78" customFormat="1" customHeight="1" s="59">
      <c r="A15" s="18" t="inlineStr">
        <is>
          <t>NA</t>
        </is>
      </c>
      <c r="B15" s="182" t="inlineStr">
        <is>
          <t>CallbackMessageEN</t>
        </is>
      </c>
      <c r="C15" s="58" t="inlineStr">
        <is>
          <t>callbackmessage_en</t>
        </is>
      </c>
      <c r="D15" s="184" t="inlineStr">
        <is>
          <t>Thank you, we will call you back at {WhenCallBack} you requested. Thank you again and have a great day!
[OPERATOR: ENTER CALL NOTES BELOW, WHO YOU SPOKE TO AND WHAT THEY SAID]</t>
        </is>
      </c>
      <c r="E15" s="179">
        <f>LEN(D15)</f>
        <v/>
      </c>
      <c r="F15" s="305" t="inlineStr">
        <is>
          <t>شكرًا لك ، سوف نعاود الاتصال بك في {WhenCallBack} الذي طلبته. شكرا لك مرة أخرى و نتمنى لك يوم جميل!
[المُشغل: أدخل ملاحظات الاتصال أدناه ، مع من تحدثت وماذا قالوا]</t>
        </is>
      </c>
      <c r="G15" s="179">
        <f>LEN(F15)</f>
        <v/>
      </c>
      <c r="H15" s="186" t="inlineStr">
        <is>
          <t>Open Ended</t>
        </is>
      </c>
      <c r="I15" s="179" t="inlineStr">
        <is>
          <t>NA</t>
        </is>
      </c>
      <c r="J15" s="179" t="inlineStr">
        <is>
          <t>NA</t>
        </is>
      </c>
      <c r="K15" s="179" t="inlineStr">
        <is>
          <t>Form Type - TextBox</t>
        </is>
      </c>
      <c r="L15" s="100" t="inlineStr">
        <is>
          <t>NA</t>
        </is>
      </c>
      <c r="M15" s="63" t="inlineStr">
        <is>
          <t>Any Response = End poll callback</t>
        </is>
      </c>
      <c r="N15" s="342" t="n"/>
      <c r="O15" s="90" t="inlineStr">
        <is>
          <t>NA</t>
        </is>
      </c>
      <c r="P15" s="25" t="inlineStr"/>
      <c r="Q15" s="9" t="n"/>
      <c r="R15" s="300" t="n">
        <v>1</v>
      </c>
      <c r="S15" s="53" t="n"/>
      <c r="U15" s="61" t="inlineStr">
        <is>
          <t>no</t>
        </is>
      </c>
      <c r="V15" s="613" t="n"/>
      <c r="Y15" s="632" t="n">
        <v>0</v>
      </c>
      <c r="Z15" s="631">
        <f>IF(Y15="","",Y15*R15)</f>
        <v/>
      </c>
      <c r="AA15" s="53" t="inlineStr"/>
    </row>
    <row r="16" ht="50.25" customFormat="1" customHeight="1" s="59">
      <c r="A16" s="18" t="inlineStr">
        <is>
          <t>NA</t>
        </is>
      </c>
      <c r="B16" s="182" t="inlineStr">
        <is>
          <t>Ineligible</t>
        </is>
      </c>
      <c r="C16" s="58" t="inlineStr">
        <is>
          <t>NA</t>
        </is>
      </c>
      <c r="D16" s="184" t="inlineStr">
        <is>
          <t>You are ineligible for this survey. Thank you for your time and please look out for future surveys!</t>
        </is>
      </c>
      <c r="E16" s="179">
        <f>LEN(D16)</f>
        <v/>
      </c>
      <c r="F16" s="305" t="inlineStr">
        <is>
          <t xml:space="preserve">أنت غير مؤهل للمشاركة في هذه الدراسة، شكرًا لك على وقتك. ترقب دراسات GeoPoll المستقبلية! </t>
        </is>
      </c>
      <c r="G16" s="179">
        <f>LEN(F16)</f>
        <v/>
      </c>
      <c r="H16" s="186" t="inlineStr">
        <is>
          <t>NA</t>
        </is>
      </c>
      <c r="I16" s="179" t="inlineStr">
        <is>
          <t>NA</t>
        </is>
      </c>
      <c r="J16" s="179" t="inlineStr">
        <is>
          <t>NA</t>
        </is>
      </c>
      <c r="K16" s="179" t="inlineStr">
        <is>
          <t>NA</t>
        </is>
      </c>
      <c r="L16" s="100" t="inlineStr">
        <is>
          <t>NA</t>
        </is>
      </c>
      <c r="M16" s="63" t="inlineStr">
        <is>
          <t>End Poll Ineligible</t>
        </is>
      </c>
      <c r="N16" s="342" t="n"/>
      <c r="O16" s="90" t="inlineStr">
        <is>
          <t>NA</t>
        </is>
      </c>
      <c r="P16" s="25" t="inlineStr"/>
      <c r="Q16" s="9" t="n"/>
      <c r="R16" s="300" t="n">
        <v>1</v>
      </c>
      <c r="S16" s="53" t="n"/>
      <c r="U16" s="61" t="inlineStr">
        <is>
          <t>no</t>
        </is>
      </c>
      <c r="V16" s="613" t="n"/>
      <c r="Y16" s="632" t="n">
        <v>0</v>
      </c>
      <c r="Z16" s="631">
        <f>IF(Y16="","",Y16*R16)</f>
        <v/>
      </c>
      <c r="AA16" s="53" t="inlineStr"/>
    </row>
    <row r="17" ht="50.25" customFormat="1" customHeight="1" s="59" thickBot="1">
      <c r="A17" s="132" t="inlineStr">
        <is>
          <t>NA</t>
        </is>
      </c>
      <c r="B17" s="96" t="inlineStr">
        <is>
          <t>Refusal</t>
        </is>
      </c>
      <c r="C17" s="95" t="inlineStr">
        <is>
          <t>NA</t>
        </is>
      </c>
      <c r="D17" s="94" t="inlineStr">
        <is>
          <t>Thank you for your time, you will be removed from today's survey.</t>
        </is>
      </c>
      <c r="E17" s="92">
        <f>LEN(D17)</f>
        <v/>
      </c>
      <c r="F17" s="164" t="inlineStr">
        <is>
          <t>شكراً جزيلاً على وقتك، سنقوم بحذف إسمك من دراسة اليوم.</t>
        </is>
      </c>
      <c r="G17" s="92">
        <f>LEN(F17)</f>
        <v/>
      </c>
      <c r="H17" s="93" t="inlineStr">
        <is>
          <t>NA</t>
        </is>
      </c>
      <c r="I17" s="92" t="inlineStr">
        <is>
          <t>NA</t>
        </is>
      </c>
      <c r="J17" s="92" t="inlineStr">
        <is>
          <t>NA</t>
        </is>
      </c>
      <c r="K17" s="92" t="inlineStr">
        <is>
          <t>NA</t>
        </is>
      </c>
      <c r="L17" s="100" t="inlineStr">
        <is>
          <t>NA</t>
        </is>
      </c>
      <c r="M17" s="91" t="inlineStr">
        <is>
          <t>End Poll Refusal</t>
        </is>
      </c>
      <c r="N17" s="343" t="n"/>
      <c r="O17" s="90" t="inlineStr">
        <is>
          <t>NA</t>
        </is>
      </c>
      <c r="P17" s="29" t="inlineStr"/>
      <c r="Q17" s="12" t="n"/>
      <c r="R17" s="300" t="n">
        <v>1</v>
      </c>
      <c r="S17" s="53" t="n"/>
      <c r="U17" s="61" t="inlineStr">
        <is>
          <t>no</t>
        </is>
      </c>
      <c r="V17" s="613" t="n"/>
      <c r="Y17" s="632" t="n">
        <v>0</v>
      </c>
      <c r="Z17" s="631">
        <f>IF(Y17="","",Y17*R17)</f>
        <v/>
      </c>
      <c r="AA17" s="53" t="inlineStr"/>
    </row>
    <row r="18" ht="16.4" customFormat="1" customHeight="1" s="149" thickBot="1">
      <c r="A18" s="604" t="inlineStr">
        <is>
          <t>B. GENERAL INFORMATION &amp; ELIGIBILITY CRITERIA</t>
        </is>
      </c>
      <c r="B18" s="629" t="n"/>
      <c r="C18" s="629" t="n"/>
      <c r="D18" s="629" t="n"/>
      <c r="E18" s="629" t="n"/>
      <c r="F18" s="629" t="n"/>
      <c r="G18" s="629" t="n"/>
      <c r="H18" s="629" t="n"/>
      <c r="I18" s="629" t="n"/>
      <c r="J18" s="629" t="n"/>
      <c r="K18" s="629" t="n"/>
      <c r="L18" s="629" t="n"/>
      <c r="M18" s="629" t="n"/>
      <c r="N18" s="629" t="n"/>
      <c r="O18" s="629" t="n"/>
      <c r="P18" s="629" t="n"/>
      <c r="Q18" s="630" t="n"/>
      <c r="R18" s="306" t="n"/>
      <c r="S18" s="151" t="n"/>
      <c r="U18" s="150" t="n"/>
      <c r="V18" s="623" t="n"/>
      <c r="Y18" s="631" t="n"/>
      <c r="Z18" s="631">
        <f>IF(Y18="","",Y18*R18)</f>
        <v/>
      </c>
      <c r="AA18" s="151">
        <f>IF(U18="yes",Z18,"")</f>
        <v/>
      </c>
    </row>
    <row r="19" ht="68.25" customFormat="1" customHeight="1" s="59">
      <c r="A19" s="131" t="n">
        <v>1</v>
      </c>
      <c r="B19" s="89" t="inlineStr">
        <is>
          <t>resp_firstname</t>
        </is>
      </c>
      <c r="C19" s="84" t="inlineStr">
        <is>
          <t>resp_firstname</t>
        </is>
      </c>
      <c r="D19" s="88" t="inlineStr">
        <is>
          <t>What is your first name?
[OPERATOR: RECORD THE RESPONDENT'S FIRST NAME. ENTER 999 FOR REFUSED.]</t>
        </is>
      </c>
      <c r="E19" s="560">
        <f>LEN(D19)</f>
        <v/>
      </c>
      <c r="F19" s="165" t="inlineStr">
        <is>
          <t>ما اسمك؟
[المُشغل: سجل اسم المجيب. أدخل 999 في حالة الرفض.]</t>
        </is>
      </c>
      <c r="G19" s="560">
        <f>LEN(F19)</f>
        <v/>
      </c>
      <c r="H19" s="561" t="inlineStr">
        <is>
          <t>Open Ended</t>
        </is>
      </c>
      <c r="I19" s="560" t="inlineStr">
        <is>
          <t>NA</t>
        </is>
      </c>
      <c r="J19" s="560" t="inlineStr">
        <is>
          <t>NA</t>
        </is>
      </c>
      <c r="K19" s="560" t="inlineStr">
        <is>
          <t>Form Type - TextBox</t>
        </is>
      </c>
      <c r="L19" s="100" t="inlineStr">
        <is>
          <t>NA</t>
        </is>
      </c>
      <c r="M19" s="87" t="inlineStr">
        <is>
          <t>Any Response = resp_lastname</t>
        </is>
      </c>
      <c r="N19" s="344" t="n"/>
      <c r="O19" s="88" t="inlineStr">
        <is>
          <t>For any response, go to resp_lastname</t>
        </is>
      </c>
      <c r="P19" s="86" t="inlineStr"/>
      <c r="Q19" s="23" t="n"/>
      <c r="R19" s="306">
        <f>1</f>
        <v/>
      </c>
      <c r="S19" s="53" t="n"/>
      <c r="U19" s="150" t="inlineStr">
        <is>
          <t>yes</t>
        </is>
      </c>
      <c r="V19" s="613" t="n"/>
      <c r="Y19" s="631" t="n">
        <v>25.87402725219727</v>
      </c>
      <c r="Z19" s="631">
        <f>IF(Y19="","",Y19*R19)</f>
        <v/>
      </c>
      <c r="AA19" s="53" t="inlineStr">
        <is>
          <t>25.87402725219727</t>
        </is>
      </c>
    </row>
    <row r="20" ht="62.5" customFormat="1" customHeight="1" s="59">
      <c r="A20" s="18" t="n">
        <v>2</v>
      </c>
      <c r="B20" s="89" t="inlineStr">
        <is>
          <t>resp_lastname</t>
        </is>
      </c>
      <c r="C20" s="84" t="inlineStr">
        <is>
          <t>resp_lastname</t>
        </is>
      </c>
      <c r="D20" s="88" t="inlineStr">
        <is>
          <t>What is your last name? 
[OPERATOR: RECORD THE RESPONDENT'S LAST NAME. ENTER 999 FOR REFUSED.]</t>
        </is>
      </c>
      <c r="E20" s="560">
        <f>LEN(D20)</f>
        <v/>
      </c>
      <c r="F20" s="165" t="inlineStr">
        <is>
          <t>ما هو اسم عائلتك؟
[المُشغل: سجل اسم عائلة المجيب. أدخل 999 في حالة الرفض.]</t>
        </is>
      </c>
      <c r="G20" s="560">
        <f>LEN(F20)</f>
        <v/>
      </c>
      <c r="H20" s="561" t="inlineStr">
        <is>
          <t>Open Ended</t>
        </is>
      </c>
      <c r="I20" s="560" t="inlineStr">
        <is>
          <t>NA</t>
        </is>
      </c>
      <c r="J20" s="560" t="inlineStr">
        <is>
          <t>NA</t>
        </is>
      </c>
      <c r="K20" s="560" t="inlineStr">
        <is>
          <t>Form Type - TextBox</t>
        </is>
      </c>
      <c r="L20" s="100" t="inlineStr">
        <is>
          <t>NA</t>
        </is>
      </c>
      <c r="M20" s="87" t="inlineStr">
        <is>
          <t>Any Response = resp_age</t>
        </is>
      </c>
      <c r="N20" s="344" t="n"/>
      <c r="O20" s="71" t="inlineStr">
        <is>
          <t>For any response, go to resp_age</t>
        </is>
      </c>
      <c r="P20" s="86" t="inlineStr"/>
      <c r="Q20" s="23" t="n"/>
      <c r="R20" s="306">
        <f>1</f>
        <v/>
      </c>
      <c r="S20" s="53" t="n"/>
      <c r="U20" s="150" t="inlineStr">
        <is>
          <t>yes</t>
        </is>
      </c>
      <c r="V20" s="613" t="n"/>
      <c r="Y20" s="631" t="n">
        <v>8.599481582641602</v>
      </c>
      <c r="Z20" s="631">
        <f>IF(Y20="","",Y20*R20)</f>
        <v/>
      </c>
      <c r="AA20" s="53" t="inlineStr">
        <is>
          <t>8.599481582641602</t>
        </is>
      </c>
    </row>
    <row r="21" ht="78" customFormat="1" customHeight="1" s="59">
      <c r="A21" s="18" t="n">
        <v>3</v>
      </c>
      <c r="B21" s="117" t="inlineStr">
        <is>
          <t>resp_age</t>
        </is>
      </c>
      <c r="C21" s="85" t="inlineStr">
        <is>
          <t>resp_age</t>
        </is>
      </c>
      <c r="D21" s="57" t="inlineStr">
        <is>
          <t>How old are you? 
[OPERATOR: RECORD AGE IN NUMBER OF YEARS. ROUND UP TO NEAREST WHOLE NUMBER. IF THE RESPONDENT GIVES BIRTH YEAR, REPEAT THE QUESTION. ENTER 00 FOR DON'T KNOW.]</t>
        </is>
      </c>
      <c r="E21" s="84">
        <f>LEN(D21)</f>
        <v/>
      </c>
      <c r="F21" s="166" t="inlineStr">
        <is>
          <t>كم عمرك؟
[المُشغل: سجل العمر في عدد السنوات. قم بالتقريب لأقرب رقم كامل. إذا أعطى المجيب سنة الميلاد ، فكرر السؤال. أدخل 00 للا أعرف.]</t>
        </is>
      </c>
      <c r="G21" s="84">
        <f>LEN(F21)</f>
        <v/>
      </c>
      <c r="H21" s="84" t="inlineStr">
        <is>
          <t>Range</t>
        </is>
      </c>
      <c r="I21" s="84" t="inlineStr">
        <is>
          <t>NA</t>
        </is>
      </c>
      <c r="J21" s="84" t="inlineStr">
        <is>
          <t>NA</t>
        </is>
      </c>
      <c r="K21" s="84" t="inlineStr">
        <is>
          <t>Form Type - TextBox</t>
        </is>
      </c>
      <c r="L21" s="100" t="inlineStr">
        <is>
          <t>NA</t>
        </is>
      </c>
      <c r="M21" s="55" t="inlineStr">
        <is>
          <t>0-17 = Ineligible
18-100 = resp_gender
00 = Ineligible</t>
        </is>
      </c>
      <c r="N21" s="195" t="n"/>
      <c r="O21" s="83" t="inlineStr">
        <is>
          <t>Only respondents from 18-100 will be eligible for the survey.</t>
        </is>
      </c>
      <c r="P21" s="82" t="inlineStr"/>
      <c r="Q21" s="23" t="n"/>
      <c r="R21" s="306">
        <f>1</f>
        <v/>
      </c>
      <c r="S21" s="53" t="n"/>
      <c r="U21" s="154" t="inlineStr">
        <is>
          <t>yes</t>
        </is>
      </c>
      <c r="V21" s="613" t="n"/>
      <c r="Y21" s="631" t="n">
        <v>9.890718460083008</v>
      </c>
      <c r="Z21" s="631">
        <f>IF(Y21="","",Y21*R21)</f>
        <v/>
      </c>
      <c r="AA21" s="53" t="inlineStr">
        <is>
          <t>9.890718460083008</t>
        </is>
      </c>
    </row>
    <row r="22" ht="140.5" customFormat="1" customHeight="1" s="59">
      <c r="A22" s="18" t="n">
        <v>4</v>
      </c>
      <c r="B22" s="182" t="inlineStr">
        <is>
          <t>resp_gender</t>
        </is>
      </c>
      <c r="C22" s="58" t="inlineStr">
        <is>
          <t>resp_gender</t>
        </is>
      </c>
      <c r="D22" s="184" t="inlineStr">
        <is>
          <t>What is the gender of the respondent?
[OPERATOR: DO NOT ASK THIS QUESTION OUT LOUD. LISTEN TO THE VOICE AND SELECT THE GENDER.]
1)Male
2)Female
3)DON'T KNOW
4)REFUSED</t>
        </is>
      </c>
      <c r="E22" s="179">
        <f>LEN(D22)</f>
        <v/>
      </c>
      <c r="F22" s="305" t="inlineStr">
        <is>
          <t>ما هو جنس المجيب؟
[المُشغل: لا تطرح هذا السؤال. استمع إلى الصوت وحدد المربع الصحيح.]
1) ذكر
2) أنثى
3) لا أعرف
4) رفض الإجابة</t>
        </is>
      </c>
      <c r="G22" s="179">
        <f>LEN(F22)</f>
        <v/>
      </c>
      <c r="H22" s="186" t="inlineStr">
        <is>
          <t>Single Choice</t>
        </is>
      </c>
      <c r="I22" s="179" t="inlineStr">
        <is>
          <t>NA</t>
        </is>
      </c>
      <c r="J22" s="179" t="inlineStr">
        <is>
          <t>NA</t>
        </is>
      </c>
      <c r="K22" s="179" t="inlineStr">
        <is>
          <t>Form Type - Buttons</t>
        </is>
      </c>
      <c r="L22" s="100" t="inlineStr">
        <is>
          <t>NA</t>
        </is>
      </c>
      <c r="M22" s="63" t="inlineStr">
        <is>
          <t>1-4 = phone_number_conf</t>
        </is>
      </c>
      <c r="N22" s="195" t="n"/>
      <c r="O22" s="55" t="inlineStr">
        <is>
          <t>For any response, go to phone_number_conf</t>
        </is>
      </c>
      <c r="P22" s="30" t="inlineStr"/>
      <c r="Q22" s="9" t="n"/>
      <c r="R22" s="306">
        <f>1</f>
        <v/>
      </c>
      <c r="S22" s="53" t="n"/>
      <c r="U22" s="154" t="inlineStr">
        <is>
          <t>yes</t>
        </is>
      </c>
      <c r="V22" s="613" t="n"/>
      <c r="Y22" s="631" t="n">
        <v>1.715648174285889</v>
      </c>
      <c r="Z22" s="631">
        <f>IF(Y22="","",Y22*R22)</f>
        <v/>
      </c>
      <c r="AA22" s="53" t="inlineStr">
        <is>
          <t>1.715648174285889</t>
        </is>
      </c>
    </row>
    <row r="23" ht="135.65" customFormat="1" customHeight="1" s="59">
      <c r="A23" s="18" t="n">
        <v>5</v>
      </c>
      <c r="B23" s="114" t="inlineStr">
        <is>
          <t>phone_number_conf</t>
        </is>
      </c>
      <c r="C23" s="116" t="inlineStr">
        <is>
          <t>phone_number_conf</t>
        </is>
      </c>
      <c r="D23" s="198" t="inlineStr">
        <is>
          <t>Is the phone number I am calling you on yours or a household members?
[OPERATOR: SINGLE RESPONSE.]
1)YES
2)NO
3)DON'T KNOW
4)REFUSED</t>
        </is>
      </c>
      <c r="E23" s="179">
        <f>LEN(D23)</f>
        <v/>
      </c>
      <c r="F23" s="198" t="inlineStr">
        <is>
          <t>هل رقم الهاتف الذي أتصل به هو رقمك أو رقم أحد أفراد أسرتك؟
[المشغل: استجابة واحدة.]
1) نعم
2) لا
3) لا أعرف
4) رفض الإجابة</t>
        </is>
      </c>
      <c r="G23" s="179">
        <f>LEN(F23)</f>
        <v/>
      </c>
      <c r="H23" s="186" t="inlineStr">
        <is>
          <t>Single Choice</t>
        </is>
      </c>
      <c r="I23" s="179" t="inlineStr">
        <is>
          <t>NA</t>
        </is>
      </c>
      <c r="J23" s="179" t="inlineStr">
        <is>
          <t>NA</t>
        </is>
      </c>
      <c r="K23" s="179" t="inlineStr">
        <is>
          <t>Form Type - Buttons</t>
        </is>
      </c>
      <c r="L23" s="100" t="inlineStr">
        <is>
          <t>NA</t>
        </is>
      </c>
      <c r="M23" s="55" t="inlineStr">
        <is>
          <t>1 = contact_2
2 = phone_number_personal
3-4 = contact_2</t>
        </is>
      </c>
      <c r="N23" s="195" t="n"/>
      <c r="O23" s="55" t="inlineStr">
        <is>
          <t>if phone_number_conf = 1, go to contact_2
if phone_number_conf = 2, go to phone_number_personal
if phone_number_conf = 3-4, go to contact_2</t>
        </is>
      </c>
      <c r="P23" s="30" t="inlineStr"/>
      <c r="Q23" s="9" t="n"/>
      <c r="R23" s="306">
        <f>1</f>
        <v/>
      </c>
      <c r="S23" s="53" t="n"/>
      <c r="U23" s="153" t="inlineStr">
        <is>
          <t>yes - panel</t>
        </is>
      </c>
      <c r="V23" s="613" t="n"/>
      <c r="Y23" s="631" t="n">
        <v>6.375236988067627</v>
      </c>
      <c r="Z23" s="631">
        <f>IF(Y23="","",Y23*R23)</f>
        <v/>
      </c>
      <c r="AA23" s="53" t="inlineStr"/>
    </row>
    <row r="24" ht="57" customFormat="1" customHeight="1" s="59">
      <c r="A24" s="18" t="n">
        <v>6</v>
      </c>
      <c r="B24" s="114" t="inlineStr">
        <is>
          <t>phone_number_personal</t>
        </is>
      </c>
      <c r="C24" s="116" t="inlineStr">
        <is>
          <t>phone_number_pers</t>
        </is>
      </c>
      <c r="D24" s="198" t="inlineStr">
        <is>
          <t>What is your phone number?
[OPERATOR: RECORD THE NUMBER GIVEN]</t>
        </is>
      </c>
      <c r="E24" s="179">
        <f>LEN(D24)</f>
        <v/>
      </c>
      <c r="F24" s="307" t="inlineStr">
        <is>
          <t>ما هو رقم هاتفك؟
[ المشغل: قم بتسجيل الرقم المعطى لك]</t>
        </is>
      </c>
      <c r="G24" s="179">
        <f>LEN(F24)</f>
        <v/>
      </c>
      <c r="H24" s="186" t="inlineStr">
        <is>
          <t>MobileNumberReferral</t>
        </is>
      </c>
      <c r="I24" s="179" t="inlineStr">
        <is>
          <t>NA</t>
        </is>
      </c>
      <c r="J24" s="179" t="inlineStr">
        <is>
          <t>NA</t>
        </is>
      </c>
      <c r="K24" s="179" t="inlineStr">
        <is>
          <t>Form Type - TextBox</t>
        </is>
      </c>
      <c r="L24" s="100" t="inlineStr">
        <is>
          <t>NA</t>
        </is>
      </c>
      <c r="M24" s="55" t="inlineStr">
        <is>
          <t>1000000-999999999999 = contact_2</t>
        </is>
      </c>
      <c r="N24" s="195" t="n"/>
      <c r="O24" s="184" t="inlineStr">
        <is>
          <t>For any response, go to contact_2</t>
        </is>
      </c>
      <c r="P24" s="28" t="inlineStr"/>
      <c r="Q24" s="9" t="n"/>
      <c r="R24" s="306">
        <f>1</f>
        <v/>
      </c>
      <c r="S24" s="53" t="n"/>
      <c r="U24" s="153" t="inlineStr">
        <is>
          <t>yes - panel</t>
        </is>
      </c>
      <c r="V24" s="613" t="n"/>
      <c r="Y24" s="631" t="n">
        <v>28.70000076293945</v>
      </c>
      <c r="Z24" s="631">
        <f>IF(Y24="","",Y24*R24)</f>
        <v/>
      </c>
      <c r="AA24" s="53" t="inlineStr"/>
    </row>
    <row r="25" ht="187.4" customFormat="1" customHeight="1" s="59">
      <c r="A25" s="18" t="n">
        <v>7</v>
      </c>
      <c r="B25" s="308" t="inlineStr">
        <is>
          <t>contact_2</t>
        </is>
      </c>
      <c r="C25" s="309" t="inlineStr">
        <is>
          <t>contact_2</t>
        </is>
      </c>
      <c r="D25" s="198"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25" s="313">
        <f>LEN(D25)</f>
        <v/>
      </c>
      <c r="F25" s="199" t="inlineStr">
        <is>
          <t>هل يمكن أن تعطيني رقم هاتف إضافي يخصك، أو أحد أفراد الأسرة، أو قريب يعيش خارج المنزل ويمكن التواصل معك عبره؟
[المشغل: استجابة واحدة.]
1) نعم - لي
2) نعم - فرد اخر من أفراد الأسرة
3) نعم - صديق أو أحد الأقارب [ ليس فردا من أفراد الأسرة ]
4) لا
5) لا أعرف
6) رفض الإجابة</t>
        </is>
      </c>
      <c r="G25" s="313">
        <f>LEN(F25)</f>
        <v/>
      </c>
      <c r="H25" s="562" t="inlineStr">
        <is>
          <t>Single Choice</t>
        </is>
      </c>
      <c r="I25" s="313" t="inlineStr">
        <is>
          <t>NA</t>
        </is>
      </c>
      <c r="J25" s="313" t="inlineStr">
        <is>
          <t>NA</t>
        </is>
      </c>
      <c r="K25" s="313" t="inlineStr">
        <is>
          <t>Form Type - Buttons</t>
        </is>
      </c>
      <c r="L25" s="100" t="inlineStr">
        <is>
          <t>NA</t>
        </is>
      </c>
      <c r="M25" s="310" t="inlineStr">
        <is>
          <t>1-3 = phone_number_2
4-6 = hh_admin1</t>
        </is>
      </c>
      <c r="N25" s="345" t="n"/>
      <c r="O25" s="311" t="inlineStr">
        <is>
          <t>if contact_2 = 1-3, go to phone_number_2
if contact_2 = 4-6, go to contact_3</t>
        </is>
      </c>
      <c r="P25" s="312" t="inlineStr"/>
      <c r="Q25" s="238" t="n"/>
      <c r="R25" s="306">
        <f>1</f>
        <v/>
      </c>
      <c r="S25" s="53" t="n"/>
      <c r="U25" s="153" t="inlineStr">
        <is>
          <t>yes - panel</t>
        </is>
      </c>
      <c r="V25" s="613" t="n"/>
      <c r="Y25" s="631" t="n">
        <v>10.14181709289551</v>
      </c>
      <c r="Z25" s="631">
        <f>IF(Y25="","",Y25*R25)</f>
        <v/>
      </c>
      <c r="AA25" s="53" t="inlineStr"/>
    </row>
    <row r="26" ht="46.75" customFormat="1" customHeight="1" s="59">
      <c r="A26" s="18" t="n">
        <v>8</v>
      </c>
      <c r="B26" s="308" t="inlineStr">
        <is>
          <t>phone_number_2</t>
        </is>
      </c>
      <c r="C26" s="309" t="inlineStr">
        <is>
          <t>phone_number_2</t>
        </is>
      </c>
      <c r="D26" s="198" t="inlineStr">
        <is>
          <t>What is the additional phone number?
[OPERATOR: RECORD THE NUMBER GIVEN]</t>
        </is>
      </c>
      <c r="E26" s="313">
        <f>LEN(D26)</f>
        <v/>
      </c>
      <c r="F26" s="307" t="inlineStr">
        <is>
          <t>ما هو رقم الهاتف الإضافي؟
[ المشغل: قم بتسجيل الرقم المعطى لك]</t>
        </is>
      </c>
      <c r="G26" s="313">
        <f>LEN(F26)</f>
        <v/>
      </c>
      <c r="H26" s="186" t="inlineStr">
        <is>
          <t>MobileNumberReferral</t>
        </is>
      </c>
      <c r="I26" s="313" t="inlineStr">
        <is>
          <t>NA</t>
        </is>
      </c>
      <c r="J26" s="313" t="inlineStr">
        <is>
          <t>NA</t>
        </is>
      </c>
      <c r="K26" s="313" t="inlineStr">
        <is>
          <t>Form Type - TextBox</t>
        </is>
      </c>
      <c r="L26" s="100" t="inlineStr">
        <is>
          <t>NA</t>
        </is>
      </c>
      <c r="M26" s="310" t="inlineStr">
        <is>
          <t>1000000-999999999999 = contact_2_name</t>
        </is>
      </c>
      <c r="N26" s="345" t="n"/>
      <c r="O26" s="563" t="inlineStr">
        <is>
          <t>For any response, go to contact_2_name</t>
        </is>
      </c>
      <c r="P26" s="229" t="inlineStr"/>
      <c r="Q26" s="238" t="n"/>
      <c r="R26" s="306">
        <f>1</f>
        <v/>
      </c>
      <c r="S26" s="53" t="n"/>
      <c r="U26" s="153" t="inlineStr">
        <is>
          <t>yes - panel</t>
        </is>
      </c>
      <c r="V26" s="613" t="n"/>
      <c r="Y26" s="631" t="n">
        <v>21.65998268127441</v>
      </c>
      <c r="Z26" s="631">
        <f>IF(Y26="","",Y26*R26)</f>
        <v/>
      </c>
      <c r="AA26" s="53" t="inlineStr"/>
    </row>
    <row r="27" ht="90" customFormat="1" customHeight="1" s="59">
      <c r="A27" s="18" t="n">
        <v>9</v>
      </c>
      <c r="B27" s="308" t="inlineStr">
        <is>
          <t>contact_2_name</t>
        </is>
      </c>
      <c r="C27" s="309" t="inlineStr">
        <is>
          <t>contact_2_name</t>
        </is>
      </c>
      <c r="D27" s="198" t="inlineStr">
        <is>
          <t>What is the name of the contact?
[OPERATOR: RECORD THE NAME OF THE CONTACT FOR THE PHONE NUMBER.]</t>
        </is>
      </c>
      <c r="E27" s="313">
        <f>LEN(D27)</f>
        <v/>
      </c>
      <c r="F27" s="199" t="inlineStr">
        <is>
          <t>ما هو اسم صاحب رقم الهاتف الإضافي الذي قمت بمشاركته؟
[ المشغل: قم بتسجيل اسم صاحب رقم الهاتف ]</t>
        </is>
      </c>
      <c r="G27" s="313">
        <f>LEN(F27)</f>
        <v/>
      </c>
      <c r="H27" s="562" t="inlineStr">
        <is>
          <t>Open Ended</t>
        </is>
      </c>
      <c r="I27" s="313" t="inlineStr">
        <is>
          <t>NA</t>
        </is>
      </c>
      <c r="J27" s="179" t="inlineStr">
        <is>
          <t>Send if "contact_2" "Equals" "YES - other household member" Or "contact_2" "Equals" "YES - friend or relative [non-household member]" if not satisfied go to "contact_3"</t>
        </is>
      </c>
      <c r="K27" s="313" t="inlineStr">
        <is>
          <t>Form Type - TextBox</t>
        </is>
      </c>
      <c r="L27" s="100" t="inlineStr">
        <is>
          <t>NA</t>
        </is>
      </c>
      <c r="M27" s="310" t="inlineStr">
        <is>
          <t>Any Response = contact_3</t>
        </is>
      </c>
      <c r="N27" s="345" t="n"/>
      <c r="O27" s="563" t="inlineStr">
        <is>
          <t>Asked if response to contact_2 was "YES - other household member" or "YES - friend or relative [non-household member]". Otherwise, it skips to "contact_3".
For any response, go to contact_3</t>
        </is>
      </c>
      <c r="P27" s="256" t="inlineStr"/>
      <c r="Q27" s="238" t="n"/>
      <c r="R27" s="306">
        <f>1</f>
        <v/>
      </c>
      <c r="S27" s="53" t="n"/>
      <c r="U27" s="153" t="inlineStr">
        <is>
          <t>yes - panel</t>
        </is>
      </c>
      <c r="V27" s="613" t="n"/>
      <c r="Y27" s="631" t="n">
        <v>11.82179641723633</v>
      </c>
      <c r="Z27" s="631">
        <f>IF(Y27="","",Y27*R27)</f>
        <v/>
      </c>
      <c r="AA27" s="53" t="inlineStr"/>
    </row>
    <row r="28" ht="187.4" customFormat="1" customHeight="1" s="59">
      <c r="A28" s="18" t="n">
        <v>10</v>
      </c>
      <c r="B28" s="308" t="inlineStr">
        <is>
          <t>contact_3</t>
        </is>
      </c>
      <c r="C28" s="309" t="inlineStr">
        <is>
          <t>contact_3</t>
        </is>
      </c>
      <c r="D28" s="198"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28" s="313">
        <f>LEN(D28)</f>
        <v/>
      </c>
      <c r="F28" s="199" t="inlineStr">
        <is>
          <t>هل يمكن أن تعطيني رقم هاتف إضافي يخصك، أو أحد أفراد الأسرة، أو قريب يعيش خارج المنزل ويمكن التواصل معك عبره؟
[المشغل: استجابة واحدة.]
1) نعم - لي
2) نعم - فرد اخر من أفراد الأسرة
3) نعم - صديق أو أحد الأقارب [ ليس فردا من أفراد الأسرة ]
4) لا
5) لا أعرف
6) رفض الإجابة</t>
        </is>
      </c>
      <c r="G28" s="313">
        <f>LEN(F28)</f>
        <v/>
      </c>
      <c r="H28" s="562" t="inlineStr">
        <is>
          <t>Single Choice</t>
        </is>
      </c>
      <c r="I28" s="313" t="inlineStr">
        <is>
          <t>NA</t>
        </is>
      </c>
      <c r="J28" s="313" t="inlineStr">
        <is>
          <t>NA</t>
        </is>
      </c>
      <c r="K28" s="313" t="inlineStr">
        <is>
          <t>Form Type - Buttons</t>
        </is>
      </c>
      <c r="L28" s="100" t="inlineStr">
        <is>
          <t>NA</t>
        </is>
      </c>
      <c r="M28" s="310" t="inlineStr">
        <is>
          <t>1-3= phone_number_3
4-6 = hh_admin1</t>
        </is>
      </c>
      <c r="N28" s="345" t="n"/>
      <c r="O28" s="311" t="inlineStr">
        <is>
          <t>if contact_3 = 1-3, go to phone_number_3
if contact_3 = 4-6, go to hh_admin1</t>
        </is>
      </c>
      <c r="P28" s="312" t="inlineStr"/>
      <c r="Q28" s="238" t="n"/>
      <c r="R28" s="306">
        <f>1</f>
        <v/>
      </c>
      <c r="S28" s="53" t="n"/>
      <c r="U28" s="153" t="inlineStr">
        <is>
          <t>yes - panel</t>
        </is>
      </c>
      <c r="V28" s="613" t="n"/>
      <c r="Y28" s="631" t="n">
        <v>3.163594007492065</v>
      </c>
      <c r="Z28" s="631">
        <f>IF(Y28="","",Y28*R28)</f>
        <v/>
      </c>
      <c r="AA28" s="53" t="inlineStr"/>
    </row>
    <row r="29" ht="46.75" customFormat="1" customHeight="1" s="59">
      <c r="A29" s="18" t="n">
        <v>11</v>
      </c>
      <c r="B29" s="308" t="inlineStr">
        <is>
          <t>phone_number_3</t>
        </is>
      </c>
      <c r="C29" s="309" t="inlineStr">
        <is>
          <t>phone_number_3</t>
        </is>
      </c>
      <c r="D29" s="198" t="inlineStr">
        <is>
          <t>What is the additional phone number?
[OPERATOR: RECORD THE NUMBER GIVEN]</t>
        </is>
      </c>
      <c r="E29" s="313">
        <f>LEN(D29)</f>
        <v/>
      </c>
      <c r="F29" s="307" t="inlineStr">
        <is>
          <t>ما هو رقم الهاتف الإضافي؟
[ المشغل: قم بتسجيل الرقم المعطى لك]</t>
        </is>
      </c>
      <c r="G29" s="313">
        <f>LEN(F29)</f>
        <v/>
      </c>
      <c r="H29" s="186" t="inlineStr">
        <is>
          <t>MobileNumberReferral</t>
        </is>
      </c>
      <c r="I29" s="313" t="inlineStr">
        <is>
          <t>NA</t>
        </is>
      </c>
      <c r="J29" s="313" t="inlineStr">
        <is>
          <t>NA</t>
        </is>
      </c>
      <c r="K29" s="313" t="inlineStr">
        <is>
          <t>Form Type - TextBox</t>
        </is>
      </c>
      <c r="L29" s="100" t="inlineStr">
        <is>
          <t>NA</t>
        </is>
      </c>
      <c r="M29" s="310" t="inlineStr">
        <is>
          <t>1000000-999999999999 = contact_3_name</t>
        </is>
      </c>
      <c r="N29" s="345" t="n"/>
      <c r="O29" s="563" t="inlineStr">
        <is>
          <t>For any response, go to contact_3_name</t>
        </is>
      </c>
      <c r="P29" s="229" t="inlineStr"/>
      <c r="Q29" s="238" t="n"/>
      <c r="R29" s="306">
        <f>1</f>
        <v/>
      </c>
      <c r="S29" s="53" t="n"/>
      <c r="U29" s="153" t="inlineStr">
        <is>
          <t>yes - panel</t>
        </is>
      </c>
      <c r="V29" s="613" t="n"/>
      <c r="Y29" s="631" t="n">
        <v>10.83014392852783</v>
      </c>
      <c r="Z29" s="631">
        <f>IF(Y29="","",Y29*R29)</f>
        <v/>
      </c>
      <c r="AA29" s="53" t="inlineStr"/>
    </row>
    <row r="30" ht="90" customFormat="1" customHeight="1" s="59">
      <c r="A30" s="18" t="n">
        <v>12</v>
      </c>
      <c r="B30" s="308" t="inlineStr">
        <is>
          <t>contact_3_name</t>
        </is>
      </c>
      <c r="C30" s="308" t="inlineStr">
        <is>
          <t>phone_number_3_name</t>
        </is>
      </c>
      <c r="D30" s="198" t="inlineStr">
        <is>
          <t>What is the name of the contact?
[OPERATOR: RECORD THE NAME OF THE CONTACT FOR THE PHONE NUMBER.]</t>
        </is>
      </c>
      <c r="E30" s="313">
        <f>LEN(D30)</f>
        <v/>
      </c>
      <c r="F30" s="199" t="inlineStr">
        <is>
          <t>ما هو اسم صاحب رقم الهاتف الإضافي الذي قمت بمشاركته؟
[المشغل: قم بتسجيل اسم صاحب رقم الهاتف]</t>
        </is>
      </c>
      <c r="G30" s="313">
        <f>LEN(F30)</f>
        <v/>
      </c>
      <c r="H30" s="562" t="inlineStr">
        <is>
          <t>Open Ended</t>
        </is>
      </c>
      <c r="I30" s="313" t="inlineStr">
        <is>
          <t>NA</t>
        </is>
      </c>
      <c r="J30" s="179" t="inlineStr">
        <is>
          <t>Send if "contact_3" "Equals" "YES - other household member" Or "contact_3" "Equals" "YES - friend or relative [non-household member]" if not satisfied go to "hh_admin1"</t>
        </is>
      </c>
      <c r="K30" s="313" t="inlineStr">
        <is>
          <t>Form Type - TextBox</t>
        </is>
      </c>
      <c r="L30" s="100" t="inlineStr">
        <is>
          <t>NA</t>
        </is>
      </c>
      <c r="M30" s="310" t="inlineStr">
        <is>
          <t>Any Response = hh_admin1</t>
        </is>
      </c>
      <c r="N30" s="345" t="n"/>
      <c r="O30" s="563" t="inlineStr">
        <is>
          <t>Asked if response to contact_3 was "YES - other household member" or "YES - friend or relative [non-household member]". Otherwise, it skips to "hh_admin1".
For any response, go to hh_admin1</t>
        </is>
      </c>
      <c r="P30" s="256" t="inlineStr"/>
      <c r="Q30" s="238" t="n"/>
      <c r="R30" s="306">
        <f>1</f>
        <v/>
      </c>
      <c r="S30" s="53" t="n"/>
      <c r="U30" s="153" t="inlineStr">
        <is>
          <t>yes - panel</t>
        </is>
      </c>
      <c r="V30" s="613" t="n"/>
      <c r="Y30" s="631" t="n">
        <v>11.26041698455811</v>
      </c>
      <c r="Z30" s="631">
        <f>IF(Y30="","",Y30*R30)</f>
        <v/>
      </c>
      <c r="AA30" s="53" t="inlineStr"/>
    </row>
    <row r="31" ht="409.5" customFormat="1" customHeight="1" s="59">
      <c r="A31" s="18" t="n">
        <v>13</v>
      </c>
      <c r="B31" s="114" t="inlineStr">
        <is>
          <t>hh_admin1</t>
        </is>
      </c>
      <c r="C31" s="58" t="inlineStr">
        <is>
          <t>hh_admin1</t>
        </is>
      </c>
      <c r="D31" s="184" t="inlineStr">
        <is>
          <t>Currently, in which Governorate does your household reside?
[OPERATOR: SINGLE SELECTION.]
[HINT: HOUSEHOLD CONSISTS OF ALL MEMBERS LIVING TOGETHER, SHARING RESOURCES &amp; EATING FROM THE SAME POT.]
1)ABYAN
2)AL DHALE'E 
3)ADEN
4)AL BAYDA
5)AL HUDAYDAH
6)AL JAWF
7)AL MAHARAH
8)AL MAHWIT
9)AMRAN
10)DHAMAR
11)HADRAMAWT
12)HAJJAH
13)IBB
14)LAHJ
15)MARIB
16)RAYMAH
17)SA'ADA
18)SANA'A
19)AMANAT AL ASIMAH
20)SHABWAH
21)SOCOTRA
22)TAIZZ
23)DON'T KNOW
24)REFUSED</t>
        </is>
      </c>
      <c r="E31" s="179">
        <f>LEN(D31)</f>
        <v/>
      </c>
      <c r="F31" s="305" t="inlineStr">
        <is>
          <t>حاليًا ، في أي محافظة تقيم أسرتك؟
[المشغل: استجابة واحدة.]
[ملحوظة: تتكون الأسرة من جميع الأعضاء الذين يعيشون معًا ، ويتشاركون الموارد ويأكلون من نفس القدر.]
1)ابين
2)الضالع
3)عدن
4)البيضاء
5)الحديده
6)الجوف
7)المهره
8)المحويت
9)عمران
10)ذمار
11)حضرموت
12)حجه
13)اب
14)لحج
15)مارب
16)ريمه
17)صعده
18)صنعاء
19)امانة العاصمه
20)شبوه
21)سقطرى
22)تعز
23) لا أعرف
24) رفض الإجابة</t>
        </is>
      </c>
      <c r="G31" s="179">
        <f>LEN(F31)</f>
        <v/>
      </c>
      <c r="H31" s="186" t="inlineStr">
        <is>
          <t>Single Choice</t>
        </is>
      </c>
      <c r="I31" s="56" t="inlineStr">
        <is>
          <t>NA</t>
        </is>
      </c>
      <c r="J31" s="56" t="inlineStr">
        <is>
          <t>NA</t>
        </is>
      </c>
      <c r="K31" s="56" t="inlineStr">
        <is>
          <t>Form Type - Dropdown
IsDemographic - ADM1</t>
        </is>
      </c>
      <c r="L31" s="178" t="inlineStr"/>
      <c r="M31" s="55" t="inlineStr">
        <is>
          <t>1 = hh_admin2_1
2 = hh_admin2_2
3 = hh_admin2_3
4 = hh_admin2_4
5 = hh_admin2_5
6 = hh_admin2_6
7 = hh_admin2_7
8 = hh_admin2_8
9 = hh_admin2_9
10 = hh_admin2_10
11 = hh_admin2_11
12 = hh_admin2_12
13 = hh_admin2_13
14 = hh_admin2_14
15 = hh_admin2_15
16 = hh_admin2_16
17 = hh_admin2_17
18 = hh_admin2_18
19 = hh_admin2_19
20 = hh_admin2_20
21 = hh_admin2_21
22 = hh_admin2_22
23-24 = Ineligible</t>
        </is>
      </c>
      <c r="N31" s="196" t="n"/>
      <c r="O31" s="619" t="inlineStr">
        <is>
          <t>The administrative information will be updated by GeoPoll based on the sample design document and the administrative boundaries provided by the dashboard team after the questionnaire validation.</t>
        </is>
      </c>
      <c r="P31" s="121" t="inlineStr"/>
      <c r="Q31" s="9" t="n"/>
      <c r="R31" s="306">
        <f>1</f>
        <v/>
      </c>
      <c r="S31" s="53" t="n"/>
      <c r="U31" s="154" t="inlineStr">
        <is>
          <t>yes</t>
        </is>
      </c>
      <c r="V31" s="613" t="n"/>
      <c r="Y31" s="631" t="n">
        <v>13.95725891910985</v>
      </c>
      <c r="Z31" s="631">
        <f>IF(Y31="","",Y31*R31)</f>
        <v/>
      </c>
      <c r="AA31" s="53" t="inlineStr">
        <is>
          <t>13.95725891910985</t>
        </is>
      </c>
    </row>
    <row r="32" ht="313.5" customFormat="1" customHeight="1" s="59">
      <c r="A32" s="18" t="n">
        <v>14</v>
      </c>
      <c r="B32" s="182" t="inlineStr">
        <is>
          <t>hh_admin2_1</t>
        </is>
      </c>
      <c r="C32" s="58" t="inlineStr">
        <is>
          <t>hh_admin2_1</t>
        </is>
      </c>
      <c r="D32" s="135" t="inlineStr">
        <is>
          <t>Currently, in which district does your household reside?
[OPERATOR: SINGLE RESPONSE.]
1)AL MAHFAD
2)MUDIYAH
3)JAYSHAN
4)LAWDAR
5)SIBAH
6)RASAD
7)SARAR
8)AL WADE'A
9)AHWAR
10)ZINGIBAR
11)KHANFIR
12)DON'T KNOW
13)REFUSED</t>
        </is>
      </c>
      <c r="E32" s="179">
        <f>LEN(D32)</f>
        <v/>
      </c>
      <c r="F32"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1)المحفد
2)موديه
3)جيشان
4)لودر
5)سباح
6)رصد
7)سرار
8)الوضيع
9)احوار
10)زنجبار
11)خنفر
12) لا أعرف
13) رفض الإجابة </t>
        </is>
      </c>
      <c r="G32" s="179">
        <f>LEN(F32)</f>
        <v/>
      </c>
      <c r="H32" s="186" t="inlineStr">
        <is>
          <t>Single Choice</t>
        </is>
      </c>
      <c r="I32" s="179" t="inlineStr">
        <is>
          <t>NA</t>
        </is>
      </c>
      <c r="J32" s="179" t="inlineStr">
        <is>
          <t>NA</t>
        </is>
      </c>
      <c r="K32" s="179" t="inlineStr">
        <is>
          <t>Form Type - Dropdown
IsDemographic - ADM2</t>
        </is>
      </c>
      <c r="L32" s="177" t="inlineStr"/>
      <c r="M32" s="63" t="inlineStr">
        <is>
          <t>1-11 = quotareached
12-13 = Ineligible</t>
        </is>
      </c>
      <c r="N32" s="196" t="n"/>
      <c r="O32" s="634" t="n"/>
      <c r="P32" s="180" t="inlineStr"/>
      <c r="Q32" s="44" t="n"/>
      <c r="R32" s="306">
        <f>1</f>
        <v/>
      </c>
      <c r="S32" s="53" t="n"/>
      <c r="U32" s="154" t="inlineStr">
        <is>
          <t>yes</t>
        </is>
      </c>
      <c r="V32" s="613" t="n"/>
      <c r="Y32" s="631" t="n">
        <v>7.954998970031738</v>
      </c>
      <c r="Z32" s="631">
        <f>IF(Y32="","",Y32*R32)</f>
        <v/>
      </c>
      <c r="AA32" s="53" t="inlineStr">
        <is>
          <t>7.954998970031738</t>
        </is>
      </c>
    </row>
    <row r="33" ht="263.5" customFormat="1" customHeight="1" s="59">
      <c r="A33" s="18" t="n">
        <v>15</v>
      </c>
      <c r="B33" s="182" t="inlineStr">
        <is>
          <t>hh_admin2_2</t>
        </is>
      </c>
      <c r="C33" s="58" t="inlineStr">
        <is>
          <t>hh_admin2_2</t>
        </is>
      </c>
      <c r="D33" s="135" t="inlineStr">
        <is>
          <t>Currently, in which district does your household reside?
[OPERATOR: SINGLE RESPONSE.]
1)JUBAN
2)DAMT
3)QA'ATABAH
4)ASH SHU'AYB
5)AL HUSSEIN
6)AD DHALE'E
7)JAHAF
8)AL AZARIQ
9)AL HUSHA
10)DON'T KNOW
11)REFUSED</t>
        </is>
      </c>
      <c r="E33" s="179">
        <f>LEN(D33)</f>
        <v/>
      </c>
      <c r="F33" s="314" t="inlineStr">
        <is>
          <t>حاليًا ، في أي مديرية تقيم أسرتك؟
[المشغل: استجابة واحدة.]
[ملحوظة: تتكون الأسرة من جميع الأعضاء الذين يعيشون معًا ، ويتشاركون الموارد ويأكلون من نفس القدر.]
1)جبن
2)دمت
3)قعطبة
4)الشعيب
5)الحصين
6)الضالع
7)جحاف
8)الازارق
9)الحشاء
10) لا أعرف
11) رفض الإجابة</t>
        </is>
      </c>
      <c r="G33" s="179">
        <f>LEN(F33)</f>
        <v/>
      </c>
      <c r="H33" s="186" t="inlineStr">
        <is>
          <t>Single Choice</t>
        </is>
      </c>
      <c r="I33" s="179" t="inlineStr">
        <is>
          <t>NA</t>
        </is>
      </c>
      <c r="J33" s="179" t="inlineStr">
        <is>
          <t>NA</t>
        </is>
      </c>
      <c r="K33" s="179" t="inlineStr">
        <is>
          <t>Form Type - Dropdown
IsDemographic - ADM2</t>
        </is>
      </c>
      <c r="L33" s="177" t="inlineStr"/>
      <c r="M33" s="63" t="inlineStr">
        <is>
          <t>1-9 = quotareached
10-11 = Ineligible</t>
        </is>
      </c>
      <c r="N33" s="346" t="n"/>
      <c r="O33" s="634" t="n"/>
      <c r="P33" s="180" t="inlineStr"/>
      <c r="Q33" s="44" t="n"/>
      <c r="R33" s="306">
        <f>1</f>
        <v/>
      </c>
      <c r="S33" s="53" t="n"/>
      <c r="U33" s="154" t="inlineStr">
        <is>
          <t>yes</t>
        </is>
      </c>
      <c r="V33" s="613" t="n"/>
      <c r="Y33" s="631" t="n">
        <v>7.954998970031738</v>
      </c>
      <c r="Z33" s="631">
        <f>IF(Y33="","",Y33*R33)</f>
        <v/>
      </c>
      <c r="AA33" t="inlineStr"/>
    </row>
    <row r="34" ht="248" customFormat="1" customHeight="1" s="59">
      <c r="A34" s="18" t="n">
        <v>16</v>
      </c>
      <c r="B34" s="182" t="inlineStr">
        <is>
          <t>hh_admin2_3</t>
        </is>
      </c>
      <c r="C34" s="58" t="inlineStr">
        <is>
          <t>hh_admin2_3</t>
        </is>
      </c>
      <c r="D34" s="135" t="inlineStr">
        <is>
          <t>Currently, in which district does your household reside?
[OPERATOR: SINGLE RESPONSE.]
1)DAR SAD
2)ASH SHAIKH OUTHMAN
3)AL MANSURA
4)AL BURAIQEH
5)ATTAWAHI
6)AL MUALLA
7)CRAITER
8)KHUR MAKSAR
9)DON'T KNOW
10)REFUSED</t>
        </is>
      </c>
      <c r="E34" s="179">
        <f>LEN(D34)</f>
        <v/>
      </c>
      <c r="F34" s="314" t="inlineStr">
        <is>
          <t>حاليًا ، في أي مديرية تقيم أسرتك؟
[المشغل: استجابة واحدة.]
[ملحوظة: تتكون الأسرة من جميع الأعضاء الذين يعيشون معًا ، ويتشاركون الموارد ويأكلون من نفس القدر.]
1)دار سعد
2)الشيخ عثمان
3)المنصورة
4)البريقه
5)التواهي
6)المعلا
7)كريتر
8)خور مكسر
9) لا أعرف
10) رفض الإجابة</t>
        </is>
      </c>
      <c r="G34" s="179">
        <f>LEN(F34)</f>
        <v/>
      </c>
      <c r="H34" s="186" t="inlineStr">
        <is>
          <t>Single Choice</t>
        </is>
      </c>
      <c r="I34" s="179" t="inlineStr">
        <is>
          <t>NA</t>
        </is>
      </c>
      <c r="J34" s="179" t="inlineStr">
        <is>
          <t>NA</t>
        </is>
      </c>
      <c r="K34" s="179" t="inlineStr">
        <is>
          <t>Form Type - Dropdown
IsDemographic - ADM2</t>
        </is>
      </c>
      <c r="L34" s="177" t="inlineStr"/>
      <c r="M34" s="63" t="inlineStr">
        <is>
          <t>1-8 = quotareached
9-10 = Ineligible</t>
        </is>
      </c>
      <c r="N34" s="346" t="n"/>
      <c r="O34" s="634" t="n"/>
      <c r="P34" s="180" t="inlineStr"/>
      <c r="Q34" s="44" t="n"/>
      <c r="R34" s="306">
        <f>1</f>
        <v/>
      </c>
      <c r="S34" s="53" t="n"/>
      <c r="U34" s="154" t="inlineStr">
        <is>
          <t>yes</t>
        </is>
      </c>
      <c r="V34" s="613" t="n"/>
      <c r="Y34" s="631" t="n">
        <v>7.954998970031738</v>
      </c>
      <c r="Z34" s="631">
        <f>IF(Y34="","",Y34*R34)</f>
        <v/>
      </c>
      <c r="AA34" t="inlineStr"/>
    </row>
    <row r="35" ht="409.5" customFormat="1" customHeight="1" s="59">
      <c r="A35" s="18" t="n">
        <v>17</v>
      </c>
      <c r="B35" s="182" t="inlineStr">
        <is>
          <t>hh_admin2_4</t>
        </is>
      </c>
      <c r="C35" s="58" t="inlineStr">
        <is>
          <t>hh_admin2_4</t>
        </is>
      </c>
      <c r="D35" s="135" t="inlineStr">
        <is>
          <t>Currently, in which district does your household reside?
[OPERATOR: SINGLE RESPONSE.]
1)NA'MAN
2)NATI'
3)MASWARAH
4)AS SAWMA'AH
5)AZ ZAHIR
6)DHI NA'IM
7)AT TAFFAH
8)MUKAYRAS
9)AL BAYDA CITY
10)AL BAYDA
11)AS SAWADIYAH
12)RADMAN AL AWAD
13)RADA'
14)AL QURAISHYAH
15)WALD RABI'
16)AL A'RSH
17)SABAH
18)AR RYASHYYAH
19)ASH SHARYAH
20)AL MALAGIM
21) DON'T KNOW
22) REFUSED</t>
        </is>
      </c>
      <c r="E35" s="179">
        <f>LEN(D35)</f>
        <v/>
      </c>
      <c r="F35"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1)نعمان
2)ناطع
3)مسورة
4)الصومعة
5)الزاهر
6)ذي ناعم
7)الطفة
8)مكيراس
9)مدينة البيضاء
10)البيضاء
11)السوادية
12)ردمان
13)رداع
14)القريشية
15)ولد ربيع
16)العرش
17)صباح
18)الرياشية
19)الشرية
20)الملاجم
21) لا أعرف
22) رفض الإجابة  </t>
        </is>
      </c>
      <c r="G35" s="179">
        <f>LEN(F35)</f>
        <v/>
      </c>
      <c r="H35" s="186" t="inlineStr">
        <is>
          <t>Single Choice</t>
        </is>
      </c>
      <c r="I35" s="179" t="inlineStr">
        <is>
          <t>NA</t>
        </is>
      </c>
      <c r="J35" s="179" t="inlineStr">
        <is>
          <t>NA</t>
        </is>
      </c>
      <c r="K35" s="179" t="inlineStr">
        <is>
          <t>Form Type - Dropdown
IsDemographic - ADM2</t>
        </is>
      </c>
      <c r="L35" s="177" t="inlineStr"/>
      <c r="M35" s="63" t="inlineStr">
        <is>
          <t>1-20 = quotareached
21-22 = Ineligible</t>
        </is>
      </c>
      <c r="N35" s="346" t="n"/>
      <c r="O35" s="634" t="n"/>
      <c r="P35" s="180" t="inlineStr"/>
      <c r="Q35" s="44" t="n"/>
      <c r="R35" s="306">
        <f>1</f>
        <v/>
      </c>
      <c r="S35" s="53" t="n"/>
      <c r="U35" s="154" t="inlineStr">
        <is>
          <t>yes</t>
        </is>
      </c>
      <c r="V35" s="613" t="n"/>
      <c r="Y35" s="631" t="n">
        <v>7.954998970031738</v>
      </c>
      <c r="Z35" s="631">
        <f>IF(Y35="","",Y35*R35)</f>
        <v/>
      </c>
      <c r="AA35" t="inlineStr"/>
    </row>
    <row r="36" ht="409.5" customFormat="1" customHeight="1" s="59">
      <c r="A36" s="18" t="n">
        <v>18</v>
      </c>
      <c r="B36" s="182" t="inlineStr">
        <is>
          <t>hh_admin2_5</t>
        </is>
      </c>
      <c r="C36" s="58" t="inlineStr">
        <is>
          <t>hh_admin2_5</t>
        </is>
      </c>
      <c r="D36" s="135" t="inlineStr">
        <is>
          <t>Currently, in which district does your household reside?
[OPERATOR: SINGLE RESPONSE.]
1)AZ ZUHRAH
2)ALLUHEYAH
3)KAMARAN
4)AS SALIF
5)AL MUNIRAH
6)AL QANAWIS
7)AZ ZAYDIYAH
8)AL MIGHLAF
9)AD DAHI
10)BAJIL
11)AL HAJJAYLAH
12)BURA
13)AL MARAWI'AH
14)AD DURAYHIMI
15)AS SUKHNAH
16)AL MANSURIYAH
17)BAYT AL FAQIAH
18)JABAL RA'S
19)HAYS
20)AL KHAWKHAH
21)AL HAWAK
22)AL MINA
23)AL HALI
24)ZABID
25)AL GARRAHI
26)AT TUHAYAT
27)DON'T KNOW
28)REFUSED</t>
        </is>
      </c>
      <c r="E36" s="179">
        <f>LEN(D36)</f>
        <v/>
      </c>
      <c r="F36"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1)الزهرة
2)اللحية
3)كمران
4)الصليف
5)المنيرة
6)القناوص
7)الزيدية
8)المغلاف
9)الضحي
10)باجل
11)الحجيلة
12)براع
13)المراوعة
14)الدريهمي
15)السخنة
16)المنصورية
17)بيت الفقيه
18)جبل راس
19)حيس
20)الخوخه
21)الحوك
22)الميناء
23)الحالي
24)زبيد
25)الجراحي
26)التحيتا
27) لا أعرف
28) رفض الإجابة </t>
        </is>
      </c>
      <c r="G36" s="179">
        <f>LEN(F36)</f>
        <v/>
      </c>
      <c r="H36" s="186" t="inlineStr">
        <is>
          <t>Single Choice</t>
        </is>
      </c>
      <c r="I36" s="179" t="inlineStr">
        <is>
          <t>NA</t>
        </is>
      </c>
      <c r="J36" s="179" t="inlineStr">
        <is>
          <t>NA</t>
        </is>
      </c>
      <c r="K36" s="179" t="inlineStr">
        <is>
          <t>Form Type - Dropdown
IsDemographic - ADM2</t>
        </is>
      </c>
      <c r="L36" s="177" t="inlineStr"/>
      <c r="M36" s="63" t="inlineStr">
        <is>
          <t>1-26 = quotareached
27-28 = Ineligible</t>
        </is>
      </c>
      <c r="N36" s="346" t="n"/>
      <c r="O36" s="634" t="n"/>
      <c r="P36" s="180" t="inlineStr"/>
      <c r="Q36" s="44" t="n"/>
      <c r="R36" s="306">
        <f>1</f>
        <v/>
      </c>
      <c r="S36" s="53" t="n"/>
      <c r="U36" s="154" t="inlineStr">
        <is>
          <t>yes</t>
        </is>
      </c>
      <c r="V36" s="613" t="n"/>
      <c r="Y36" s="631" t="n">
        <v>7.954998970031738</v>
      </c>
      <c r="Z36" s="631">
        <f>IF(Y36="","",Y36*R36)</f>
        <v/>
      </c>
      <c r="AA36" t="inlineStr"/>
    </row>
    <row r="37" ht="310" customFormat="1" customHeight="1" s="59">
      <c r="A37" s="18" t="n">
        <v>19</v>
      </c>
      <c r="B37" s="182" t="inlineStr">
        <is>
          <t>hh_admin2_6</t>
        </is>
      </c>
      <c r="C37" s="58" t="inlineStr">
        <is>
          <t>hh_admin2_6</t>
        </is>
      </c>
      <c r="D37" s="135" t="inlineStr">
        <is>
          <t>Currently, in which district does your household reside?
[OPERATOR: SINGLE RESPONSE.]
1)KHABB WA ASH SHA'AF
2)AL HUMAYDAT
3)AL MATAMMAH
4)AZ ZAHIR
5)AL HAZM
6)AL MATON
7)AL MASLUB
8)AL GHAYL
9)AL KHALQ
10)BART AL ANAN
11)RAJUZAH
12)KHARAB AL MARASHI
13)DON'T KNOW
14) REFUSED</t>
        </is>
      </c>
      <c r="E37" s="179">
        <f>LEN(D37)</f>
        <v/>
      </c>
      <c r="F37"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1)خب و الشعف
2)الحميدات
3)المطمه
4)الزاهر
5)الحزم
6)المتون
7)المصلوب
8)الغيل
9)الخلق
10)برط العنان
11)رجوزه
12)خراب المراشى
13) لا أعرف
14) رفض الإجابة </t>
        </is>
      </c>
      <c r="G37" s="179">
        <f>LEN(F37)</f>
        <v/>
      </c>
      <c r="H37" s="186" t="inlineStr">
        <is>
          <t>Single Choice</t>
        </is>
      </c>
      <c r="I37" s="179" t="inlineStr">
        <is>
          <t>NA</t>
        </is>
      </c>
      <c r="J37" s="179" t="inlineStr">
        <is>
          <t>NA</t>
        </is>
      </c>
      <c r="K37" s="179" t="inlineStr">
        <is>
          <t>Form Type - Dropdown
IsDemographic - ADM2</t>
        </is>
      </c>
      <c r="L37" s="177" t="inlineStr"/>
      <c r="M37" s="63" t="inlineStr">
        <is>
          <t>1-12 = quotareached
13-14 = Ineligible</t>
        </is>
      </c>
      <c r="N37" s="346" t="n"/>
      <c r="O37" s="634" t="n"/>
      <c r="P37" s="180" t="inlineStr"/>
      <c r="Q37" s="44" t="n"/>
      <c r="R37" s="306">
        <f>1</f>
        <v/>
      </c>
      <c r="S37" s="53" t="n"/>
      <c r="U37" s="154" t="inlineStr">
        <is>
          <t>yes</t>
        </is>
      </c>
      <c r="V37" s="613" t="n"/>
      <c r="Y37" s="631" t="n">
        <v>7.954998970031738</v>
      </c>
      <c r="Z37" s="631">
        <f>IF(Y37="","",Y37*R37)</f>
        <v/>
      </c>
      <c r="AA37" t="inlineStr"/>
    </row>
    <row r="38" ht="263.5" customFormat="1" customHeight="1" s="59">
      <c r="A38" s="18" t="n">
        <v>20</v>
      </c>
      <c r="B38" s="182" t="inlineStr">
        <is>
          <t>hh_admin2_7</t>
        </is>
      </c>
      <c r="C38" s="58" t="inlineStr">
        <is>
          <t>hh_admin2_7</t>
        </is>
      </c>
      <c r="D38" s="135" t="inlineStr">
        <is>
          <t>Currently, in which district does your household reside?
[OPERATOR: SINGLE RESPONSE.]
1)SHAHAN
2)HAT
3)HAWF
4)AL GHAYDAH
5)MAN'AR
6)AL MASILAH
7)SAYHUT
8)QISHN
9)HUSWAIN
10)DON'T KNOW
11)REFUSED</t>
        </is>
      </c>
      <c r="E38" s="179">
        <f>LEN(D38)</f>
        <v/>
      </c>
      <c r="F38" s="314" t="inlineStr">
        <is>
          <t>حاليًا ، في أي مديرية تقيم أسرتك؟
[المشغل: استجابة واحدة.]
[ملحوظة: تتكون الأسرة من جميع الأعضاء الذين يعيشون معًا ، ويتشاركون الموارد ويأكلون من نفس القدر.]
1)شحن
2)حات
3)حوف
4)الغيظه
5)منعر
6)المسيلة
7)سيحوت
8)قشن
9)حصوين
10) لا أعرف
11) رفض الإجابة</t>
        </is>
      </c>
      <c r="G38" s="179">
        <f>LEN(F38)</f>
        <v/>
      </c>
      <c r="H38" s="186" t="inlineStr">
        <is>
          <t>Single Choice</t>
        </is>
      </c>
      <c r="I38" s="179" t="inlineStr">
        <is>
          <t>NA</t>
        </is>
      </c>
      <c r="J38" s="179" t="inlineStr">
        <is>
          <t>NA</t>
        </is>
      </c>
      <c r="K38" s="179" t="inlineStr">
        <is>
          <t>Form Type - Dropdown
IsDemographic - ADM2</t>
        </is>
      </c>
      <c r="L38" s="177" t="inlineStr"/>
      <c r="M38" s="63" t="inlineStr">
        <is>
          <t>1-9 = quotareached
10-11 = Ineligible</t>
        </is>
      </c>
      <c r="N38" s="346" t="n"/>
      <c r="O38" s="634" t="n"/>
      <c r="P38" s="180" t="inlineStr"/>
      <c r="Q38" s="44" t="n"/>
      <c r="R38" s="306">
        <f>1</f>
        <v/>
      </c>
      <c r="S38" s="53" t="n"/>
      <c r="U38" s="154" t="inlineStr">
        <is>
          <t>yes</t>
        </is>
      </c>
      <c r="V38" s="613" t="n"/>
      <c r="Y38" s="631" t="n">
        <v>7.954998970031738</v>
      </c>
      <c r="Z38" s="631">
        <f>IF(Y38="","",Y38*R38)</f>
        <v/>
      </c>
      <c r="AA38" t="inlineStr"/>
    </row>
    <row r="39" ht="263.5" customFormat="1" customHeight="1" s="59">
      <c r="A39" s="18" t="n">
        <v>21</v>
      </c>
      <c r="B39" s="182" t="inlineStr">
        <is>
          <t>hh_admin2_8</t>
        </is>
      </c>
      <c r="C39" s="58" t="inlineStr">
        <is>
          <t>hh_admin2_8</t>
        </is>
      </c>
      <c r="D39" s="135" t="inlineStr">
        <is>
          <t>Currently, in which district does your household reside?
[OPERATOR: SINGLE RESPONSE.]
1)SHIBAM KAWKABAN
2)AT TAWILAH
3)AR RUJUM
4)AL KHABT
5)MILHAN
6)HUFASH
7)BANI SA'D
8)AL MAHWAIT CITY
9)AL MAHWAIT
10)DON'T KNOW
11)REFUSED</t>
        </is>
      </c>
      <c r="E39" s="179">
        <f>LEN(D39)</f>
        <v/>
      </c>
      <c r="F39"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1)شبام كوكبان
2)الطويلة
3)الرجم
4)الخبت
5)ملحان
6)حفاش
7)بني سعد
8)مدينة المحويت
9)المحويت
10) لا أعرف
11) رفض الإجابة </t>
        </is>
      </c>
      <c r="G39" s="179">
        <f>LEN(F39)</f>
        <v/>
      </c>
      <c r="H39" s="186" t="inlineStr">
        <is>
          <t>Single Choice</t>
        </is>
      </c>
      <c r="I39" s="179" t="inlineStr">
        <is>
          <t>NA</t>
        </is>
      </c>
      <c r="J39" s="179" t="inlineStr">
        <is>
          <t>NA</t>
        </is>
      </c>
      <c r="K39" s="179" t="inlineStr">
        <is>
          <t>Form Type - Dropdown
IsDemographic - ADM2</t>
        </is>
      </c>
      <c r="L39" s="177" t="inlineStr"/>
      <c r="M39" s="63" t="inlineStr">
        <is>
          <t>1-9 = quotareached
10-11 = Ineligible</t>
        </is>
      </c>
      <c r="N39" s="346" t="n"/>
      <c r="O39" s="634" t="n"/>
      <c r="P39" s="180" t="inlineStr"/>
      <c r="Q39" s="44" t="n"/>
      <c r="R39" s="306">
        <f>1</f>
        <v/>
      </c>
      <c r="S39" s="53" t="n"/>
      <c r="U39" s="154" t="inlineStr">
        <is>
          <t>yes</t>
        </is>
      </c>
      <c r="V39" s="613" t="n"/>
      <c r="Y39" s="631" t="n">
        <v>7.954998970031738</v>
      </c>
      <c r="Z39" s="631">
        <f>IF(Y39="","",Y39*R39)</f>
        <v/>
      </c>
      <c r="AA39" t="inlineStr"/>
    </row>
    <row r="40" ht="409.5" customFormat="1" customHeight="1" s="59">
      <c r="A40" s="18" t="n">
        <v>22</v>
      </c>
      <c r="B40" s="182" t="inlineStr">
        <is>
          <t>hh_admin2_9</t>
        </is>
      </c>
      <c r="C40" s="58" t="inlineStr">
        <is>
          <t>hh_admin2_9</t>
        </is>
      </c>
      <c r="D40" s="135" t="inlineStr">
        <is>
          <t>Currently, in which district does your household reside?
[OPERATOR: SINGLE RESPONSE.]
1)HARF SUFYAN
2)HUTH
3)AL ASHAH
4)AL QAFLAH
5)SHAHARAH
6)AL MADAN
7)SUWAYR
8)HABUR ZULAYMAH
9)DHI BIN
10)KHARIF
11)RAYDAH
12)JABAL IYAL YAZID
13)AS SUDAH
14)AS SAWD
15)AMRAN
16)MASWAR
17)THULA
18)IYAL SURAYH
19)KHAMIR
20)BANI SURAIM
21)DON'T KNOW
22)REFUSED</t>
        </is>
      </c>
      <c r="E40" s="179">
        <f>LEN(D40)</f>
        <v/>
      </c>
      <c r="F40"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1)حرف سفيان
2)حوث
3)العشـــــه
4)القفلة
5)شهاره
6)المــدان
7)صـويــــر
8)حبور ظليمة
9)ذيبين
10)خارف
11)ريده
12)جبل عيال يزيد
13)السوده
14)السود
15)عمران
16)مسور
17)ثلاء
18)عيال سريح
19)خمر
20)بني صريم
21) لا أعرف
22) رفض الإجابة </t>
        </is>
      </c>
      <c r="G40" s="179">
        <f>LEN(F40)</f>
        <v/>
      </c>
      <c r="H40" s="186" t="inlineStr">
        <is>
          <t>Single Choice</t>
        </is>
      </c>
      <c r="I40" s="179" t="inlineStr">
        <is>
          <t>NA</t>
        </is>
      </c>
      <c r="J40" s="179" t="inlineStr">
        <is>
          <t>NA</t>
        </is>
      </c>
      <c r="K40" s="179" t="inlineStr">
        <is>
          <t>Form Type - Dropdown
IsDemographic - ADM2</t>
        </is>
      </c>
      <c r="L40" s="177" t="inlineStr"/>
      <c r="M40" s="63" t="inlineStr">
        <is>
          <t>1-20 = quotareached
21-22 = Ineligible</t>
        </is>
      </c>
      <c r="N40" s="346" t="n"/>
      <c r="O40" s="634" t="n"/>
      <c r="P40" s="180" t="inlineStr"/>
      <c r="Q40" s="44" t="n"/>
      <c r="R40" s="306">
        <f>1</f>
        <v/>
      </c>
      <c r="S40" s="53" t="n"/>
      <c r="U40" s="154" t="inlineStr">
        <is>
          <t>yes</t>
        </is>
      </c>
      <c r="V40" s="613" t="n"/>
      <c r="Y40" s="631" t="n">
        <v>7.954998970031738</v>
      </c>
      <c r="Z40" s="631">
        <f>IF(Y40="","",Y40*R40)</f>
        <v/>
      </c>
      <c r="AA40" t="inlineStr"/>
    </row>
    <row r="41" ht="310" customFormat="1" customHeight="1" s="59">
      <c r="A41" s="18" t="n">
        <v>23</v>
      </c>
      <c r="B41" s="182" t="inlineStr">
        <is>
          <t>hh_admin2_10</t>
        </is>
      </c>
      <c r="C41" s="58" t="inlineStr">
        <is>
          <t>hh_admin2_10</t>
        </is>
      </c>
      <c r="D41" s="135" t="inlineStr">
        <is>
          <t>Currently, in which district does your household reside?
[OPERATOR: SINGLE RESPONSE.]
1)AL HADA
2)JAHRAN
3)JABAL ASH SHARQ
4)MAGHIRIB ANS
5)UTMAH
6)WUSAB AL ALI
7)WUSAB AS SAFIL
8)DHAMAR CITY
9)MAYFA'AT ANSS
10)ANSS
11)DAWRAN ANESS
12)AL MANAR
13)DON'T KNOW
14)REFUSED</t>
        </is>
      </c>
      <c r="E41" s="179">
        <f>LEN(D41)</f>
        <v/>
      </c>
      <c r="F41"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1)الحداء
2)جهران
3)جبل الشرق
4)مغرب عنس
5)عتمة
6)وصاب العالي
7)وصاب السافل
8)مدينة ذمار
9)ميفعة عنس
10)عنس
11)ضوران اًنس
12)المنار
13) لا أعرف
14) رفض الإجابة </t>
        </is>
      </c>
      <c r="G41" s="179">
        <f>LEN(F41)</f>
        <v/>
      </c>
      <c r="H41" s="186" t="inlineStr">
        <is>
          <t>Single Choice</t>
        </is>
      </c>
      <c r="I41" s="179" t="inlineStr">
        <is>
          <t>NA</t>
        </is>
      </c>
      <c r="J41" s="179" t="inlineStr">
        <is>
          <t>NA</t>
        </is>
      </c>
      <c r="K41" s="179" t="inlineStr">
        <is>
          <t>Form Type - Dropdown
IsDemographic - ADM2</t>
        </is>
      </c>
      <c r="L41" s="177" t="inlineStr"/>
      <c r="M41" s="63" t="inlineStr">
        <is>
          <t>1-12 = quotareached
13-14 = Ineligible</t>
        </is>
      </c>
      <c r="N41" s="346" t="n"/>
      <c r="O41" s="634" t="n"/>
      <c r="P41" s="180" t="inlineStr"/>
      <c r="Q41" s="44" t="n"/>
      <c r="R41" s="306">
        <f>1</f>
        <v/>
      </c>
      <c r="S41" s="53" t="n"/>
      <c r="U41" s="154" t="inlineStr">
        <is>
          <t>yes</t>
        </is>
      </c>
      <c r="V41" s="613" t="n"/>
      <c r="Y41" s="631" t="n">
        <v>7.954998970031738</v>
      </c>
      <c r="Z41" s="631">
        <f>IF(Y41="","",Y41*R41)</f>
        <v/>
      </c>
      <c r="AA41" t="inlineStr"/>
    </row>
    <row r="42" ht="409.5" customFormat="1" customHeight="1" s="59">
      <c r="A42" s="18" t="n">
        <v>24</v>
      </c>
      <c r="B42" s="182" t="inlineStr">
        <is>
          <t>hh_admin2_11</t>
        </is>
      </c>
      <c r="C42" s="58" t="inlineStr">
        <is>
          <t>hh_admin2_11</t>
        </is>
      </c>
      <c r="D42" s="135" t="inlineStr">
        <is>
          <t>Currently, in which district does your household reside?
[OPERATOR: SINGLE RESPONSE.]
1)RUMAH
2)THAMUD
3)AL QAF
4)ZAMAKH WA MANWAKH
5)HAGR AS SAI'AR
6)AL ABR
7)AL QATN
8)SHIBAM
9)SAH
10)SAYUN
11)TARIM
12)AS SAWM
13)AR RAYDAH WA QUSAYAR
14)AD DIS
15)ASH SHIHR
16)GHAYL BIN YAMIN
17)GHAYL BA WAZIR
18)DAW'AN
19)WADI AL AYN
20)RAKHYAH
21)AMD
22)ADH DHLIA'AH
23)YABUTH
24)HAJR
25)BROM MAYFA
26)AL MUKALLA
27)AL MUKALLA CITY
28)HURAIDHAH
29)DON'T KNOW
30)REFUSED</t>
        </is>
      </c>
      <c r="E42" s="179">
        <f>LEN(D42)</f>
        <v/>
      </c>
      <c r="F42"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1)رماه
2)ثمود
3)القف
4)زموخ ومنوخ
5)حجر الصيعر
6)العبر
7)القطن
8)شبام
9)ساه
10)سيئون
11)تريم
12)السوم
13)الريده وقصيعر
14)الديس
15)الشحر
16)غيل بن يمين
17)غيل باوزير
18)دوعن
19)وادي العين وحوره
20)رخيه
21)عمد
22)الضليعه
23)يبعث
24)حجر
25)بروم ميفع
26)المكلا
27)مدينة المكلا
28)حريضه
29) لا أعرف
30) رفض الإجابة </t>
        </is>
      </c>
      <c r="G42" s="179">
        <f>LEN(F42)</f>
        <v/>
      </c>
      <c r="H42" s="186" t="inlineStr">
        <is>
          <t>Single Choice</t>
        </is>
      </c>
      <c r="I42" s="179" t="inlineStr">
        <is>
          <t>NA</t>
        </is>
      </c>
      <c r="J42" s="179" t="inlineStr">
        <is>
          <t>NA</t>
        </is>
      </c>
      <c r="K42" s="179" t="inlineStr">
        <is>
          <t>Form Type - Dropdown
IsDemographic - ADM2</t>
        </is>
      </c>
      <c r="L42" s="177" t="inlineStr"/>
      <c r="M42" s="63" t="inlineStr">
        <is>
          <t>1-28 = quotareached
29-30 = Ineligible</t>
        </is>
      </c>
      <c r="N42" s="346" t="n"/>
      <c r="O42" s="634" t="n"/>
      <c r="P42" s="180" t="inlineStr"/>
      <c r="Q42" s="44" t="n"/>
      <c r="R42" s="306">
        <f>1</f>
        <v/>
      </c>
      <c r="S42" s="53" t="n"/>
      <c r="U42" s="154" t="inlineStr">
        <is>
          <t>yes</t>
        </is>
      </c>
      <c r="V42" s="613" t="n"/>
      <c r="Y42" s="631" t="n">
        <v>7.954998970031738</v>
      </c>
      <c r="Z42" s="631">
        <f>IF(Y42="","",Y42*R42)</f>
        <v/>
      </c>
      <c r="AA42" t="inlineStr"/>
    </row>
    <row r="43" ht="409.5" customFormat="1" customHeight="1" s="59">
      <c r="A43" s="18" t="n">
        <v>25</v>
      </c>
      <c r="B43" s="182" t="inlineStr">
        <is>
          <t>hh_admin2_12</t>
        </is>
      </c>
      <c r="C43" s="58" t="inlineStr">
        <is>
          <t>hh_admin2_12</t>
        </is>
      </c>
      <c r="D43" s="135" t="inlineStr">
        <is>
          <t>Currently, in which district does your household reside?
[OPERATOR: SINGLE RESPONSE.]
1)BAKIL AL MIR
2)HARADH
3)MIDI
4)ABS
5)HAYRAN
6)MUSTABA
7)KUSHAR
8)AL JAMIMAH
9)KUHLAN ASH SHARAF
10)AFLAH ASH SHAWM
11)KHAYRAN AL MUHARRAQ
12)ASLEM
13)QAFL SHAMER
14)AFLAH AL YAMAN
15)AL MAHABISHAH
16)AL MIFTAH
17)AL MAGHRABAH
18)KUHLAN AFFAR
19)SHARAS
20)MABYAN
21)ASH SHAHIL
22)KU'AYDINAH
23)WADHRAH
24)BANI QA'IS
25)ASH SHAGHADIRAH
26)NAJRAH
27)BANI AL AWAM
28)HAJJAH CITY
29)HAJJAH
30)WASHHAH
31)QARAH
32)DON'T KNOW
33)REFUSED</t>
        </is>
      </c>
      <c r="E43" s="179">
        <f>LEN(D43)</f>
        <v/>
      </c>
      <c r="F43"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1)بكيل المير
2)حرض
3)ميدي
4)عبس
5)حيران
6)مستباء
7)كشر
8)الجميمة
9)كحلان الشرف
10)افلح الشام
11)خيران المحرق
12)اسلم
13)قفل شمر
14)افلح اليمن
15)المحابشة
16)المفتاح
17)المغربة
18)كحلان عفار
19)شرس
20)مبين
21)الشاهل
22)كعيدنه
23)وضرة
24)بني قيس
25)الشغادرة
26)نجرة
27)بني العوام
28)مدينة حجة
29)حجة
30)وشحة
31)قارة
32) لا أعرف
33) رفض الإجابة </t>
        </is>
      </c>
      <c r="G43" s="179">
        <f>LEN(F43)</f>
        <v/>
      </c>
      <c r="H43" s="186" t="inlineStr">
        <is>
          <t>Single Choice</t>
        </is>
      </c>
      <c r="I43" s="179" t="inlineStr">
        <is>
          <t>NA</t>
        </is>
      </c>
      <c r="J43" s="179" t="inlineStr">
        <is>
          <t>NA</t>
        </is>
      </c>
      <c r="K43" s="179" t="inlineStr">
        <is>
          <t>Form Type - Dropdown
IsDemographic - ADM2</t>
        </is>
      </c>
      <c r="L43" s="177" t="inlineStr"/>
      <c r="M43" s="63" t="inlineStr">
        <is>
          <t>1-31 = quotareached
32-33 = Ineligible</t>
        </is>
      </c>
      <c r="N43" s="346" t="n"/>
      <c r="O43" s="634" t="n"/>
      <c r="P43" s="180" t="inlineStr"/>
      <c r="Q43" s="44" t="n"/>
      <c r="R43" s="306">
        <f>1</f>
        <v/>
      </c>
      <c r="S43" s="53" t="n"/>
      <c r="U43" s="154" t="inlineStr">
        <is>
          <t>yes</t>
        </is>
      </c>
      <c r="V43" s="613" t="n"/>
      <c r="Y43" s="631" t="n">
        <v>7.954998970031738</v>
      </c>
      <c r="Z43" s="631">
        <f>IF(Y43="","",Y43*R43)</f>
        <v/>
      </c>
      <c r="AA43" t="inlineStr"/>
    </row>
    <row r="44" ht="409.5" customFormat="1" customHeight="1" s="59">
      <c r="A44" s="18" t="n">
        <v>26</v>
      </c>
      <c r="B44" s="182" t="inlineStr">
        <is>
          <t>hh_admin2_13</t>
        </is>
      </c>
      <c r="C44" s="58" t="inlineStr">
        <is>
          <t>hh_admin2_13</t>
        </is>
      </c>
      <c r="D44" s="135" t="inlineStr">
        <is>
          <t>Currently, in which district does your household reside?
[OPERATOR: SINGLE RESPONSE.]
1)AL QAFR
2)YARIM
3)AR RADMAH
4)AN NADIRAH
5)ASH SHA'IR
6)AS SADDAH
7)AL MAKHADIR
8)HUBAYSH
9)HAZM AL UDAYN
10)FAR AL UDAYN
11)AL UDAYN
12)JIBLAH
13)BA'DAN
14)AS SABRAH
15)AS SAYYANI
16)DHI AS SUFAL
17)MUDHAYKHIRAH
18)AL MASHANNAH
19)AL DHIHAR
20)IBB
21)DON'T KNOW
22)REFUSED</t>
        </is>
      </c>
      <c r="E44" s="179">
        <f>LEN(D44)</f>
        <v/>
      </c>
      <c r="F44"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1)القفر
2)يريم
3)الرضمة
4)النادرة
5)الشعر
6)السدة
7)المخادر
8)حبيش
9)حزم العدين
10)فرع العدين
11)العدين
12)جبلة
13)بعدان
14)السبرة
15)السياني
16)ذي السفال
17)مذيخرة
18)المشنة
19)الظهار
20)إب
21) لا أعرف
22) رفض الإجابة  </t>
        </is>
      </c>
      <c r="G44" s="179">
        <f>LEN(F44)</f>
        <v/>
      </c>
      <c r="H44" s="186" t="inlineStr">
        <is>
          <t>Single Choice</t>
        </is>
      </c>
      <c r="I44" s="179" t="inlineStr">
        <is>
          <t>NA</t>
        </is>
      </c>
      <c r="J44" s="179" t="inlineStr">
        <is>
          <t>NA</t>
        </is>
      </c>
      <c r="K44" s="179" t="inlineStr">
        <is>
          <t>Form Type - Dropdown
IsDemographic - ADM2</t>
        </is>
      </c>
      <c r="L44" s="177" t="inlineStr"/>
      <c r="M44" s="63" t="inlineStr">
        <is>
          <t>1-20 = quotareached
21-22 = Ineligible</t>
        </is>
      </c>
      <c r="N44" s="346" t="n"/>
      <c r="O44" s="634" t="n"/>
      <c r="P44" s="180" t="inlineStr"/>
      <c r="Q44" s="44" t="n"/>
      <c r="R44" s="306">
        <f>1</f>
        <v/>
      </c>
      <c r="S44" s="53" t="n"/>
      <c r="U44" s="154" t="inlineStr">
        <is>
          <t>yes</t>
        </is>
      </c>
      <c r="V44" s="613" t="n"/>
      <c r="Y44" s="631" t="n">
        <v>7.954998970031738</v>
      </c>
      <c r="Z44" s="631">
        <f>IF(Y44="","",Y44*R44)</f>
        <v/>
      </c>
      <c r="AA44" t="inlineStr"/>
    </row>
    <row r="45" ht="356.5" customFormat="1" customHeight="1" s="59">
      <c r="A45" s="18" t="n">
        <v>27</v>
      </c>
      <c r="B45" s="182" t="inlineStr">
        <is>
          <t>hh_admin2_14</t>
        </is>
      </c>
      <c r="C45" s="58" t="inlineStr">
        <is>
          <t>hh_admin2_14</t>
        </is>
      </c>
      <c r="D45" s="135" t="inlineStr">
        <is>
          <t>Currently, in which district does your household reside?
[OPERATOR: SINGLE RESPONSE.]
1)AL HAD
2)YAFA'A
3)AL MAFLAHY
4)YAHR
5)HABIL JABR
6)HALIMAYN
7)RADFAN
8)AL MILAH
9)AL MUSAYMIR
10)AL QABBAYTAH
11)TUR AL BAHAH
12)AL MAQATIRAH
13)AL MADARIBAH WA AL ARAH
14)AL  HAWTAH
15)TUBAN
16)DON'T KNOW
17)REFUSED</t>
        </is>
      </c>
      <c r="E45" s="179">
        <f>LEN(D45)</f>
        <v/>
      </c>
      <c r="F45"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1)الحد
2)يافع
3)المفلحي
4)يهر
5)حبيل جبر
6)حالمين
7)ردفان
8)الملاح
9)المسيمير
10)القبيطه
11)طور الباحة
12)المقاطرة
13)المضاربة و العاره
14)الحوطة
15)تبن
16) لا أعرف
17) رفض الإجابة  </t>
        </is>
      </c>
      <c r="G45" s="179">
        <f>LEN(F45)</f>
        <v/>
      </c>
      <c r="H45" s="186" t="inlineStr">
        <is>
          <t>Single Choice</t>
        </is>
      </c>
      <c r="I45" s="179" t="inlineStr">
        <is>
          <t>NA</t>
        </is>
      </c>
      <c r="J45" s="179" t="inlineStr">
        <is>
          <t>NA</t>
        </is>
      </c>
      <c r="K45" s="179" t="inlineStr">
        <is>
          <t>Form Type - Dropdown
IsDemographic - ADM2</t>
        </is>
      </c>
      <c r="L45" s="177" t="inlineStr"/>
      <c r="M45" s="63" t="inlineStr">
        <is>
          <t>1-15 = quotareached
16-17 = Ineligible</t>
        </is>
      </c>
      <c r="N45" s="346" t="n"/>
      <c r="O45" s="634" t="n"/>
      <c r="P45" s="180" t="inlineStr"/>
      <c r="Q45" s="44" t="n"/>
      <c r="R45" s="306">
        <f>1</f>
        <v/>
      </c>
      <c r="S45" s="53" t="n"/>
      <c r="U45" s="154" t="inlineStr">
        <is>
          <t>yes</t>
        </is>
      </c>
      <c r="V45" s="613" t="n"/>
      <c r="Y45" s="631" t="n">
        <v>7.954998970031738</v>
      </c>
      <c r="Z45" s="631">
        <f>IF(Y45="","",Y45*R45)</f>
        <v/>
      </c>
      <c r="AA45" t="inlineStr"/>
    </row>
    <row r="46" ht="341" customFormat="1" customHeight="1" s="59">
      <c r="A46" s="18" t="n">
        <v>28</v>
      </c>
      <c r="B46" s="182" t="inlineStr">
        <is>
          <t>hh_admin2_15</t>
        </is>
      </c>
      <c r="C46" s="58" t="inlineStr">
        <is>
          <t>hh_admin2_15</t>
        </is>
      </c>
      <c r="D46" s="135" t="inlineStr">
        <is>
          <t>Currently, in which district does your household reside?
[OPERATOR: SINGLE RESPONSE.]
1)MAJZAR
2)RAGHWAN
3)MEDGHAL
4)HARIB AL QARAMISH
5)BIDBADAH
6)SIRWAH
7)AL JUBAH
8)RAHABAH
9)HARIB
10)MAHLIYAH
11)AL ABDIYAH
12)MARIB CITY
13)MARIB
14)JABAL MURAD
15)DON'T KNOW
16)REFUSED</t>
        </is>
      </c>
      <c r="E46" s="179">
        <f>LEN(D46)</f>
        <v/>
      </c>
      <c r="F46"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1)مجزر
2)رغوان
3)مدغل
4)حريب القرامش
5)بدبده
6)صرواح
7)الجوبة
8)رحبه
9)حريب
10)ماهليه
11)العبدية
12)مدينة مأرب
13)مأرب
14)جبل مراد
15) لا أعرف
16) رفض الإجابة  </t>
        </is>
      </c>
      <c r="G46" s="179">
        <f>LEN(F46)</f>
        <v/>
      </c>
      <c r="H46" s="186" t="inlineStr">
        <is>
          <t>Single Choice</t>
        </is>
      </c>
      <c r="I46" s="179" t="inlineStr">
        <is>
          <t>NA</t>
        </is>
      </c>
      <c r="J46" s="179" t="inlineStr">
        <is>
          <t>NA</t>
        </is>
      </c>
      <c r="K46" s="179" t="inlineStr">
        <is>
          <t>Form Type - Dropdown
IsDemographic - ADM2</t>
        </is>
      </c>
      <c r="L46" s="177" t="inlineStr"/>
      <c r="M46" s="63" t="inlineStr">
        <is>
          <t>1-14 = quotareached
15-16 = Ineligible</t>
        </is>
      </c>
      <c r="N46" s="346" t="n"/>
      <c r="O46" s="634" t="n"/>
      <c r="P46" s="180" t="inlineStr"/>
      <c r="Q46" s="44" t="n"/>
      <c r="R46" s="306">
        <f>1</f>
        <v/>
      </c>
      <c r="S46" s="53" t="n"/>
      <c r="U46" s="154" t="inlineStr">
        <is>
          <t>yes</t>
        </is>
      </c>
      <c r="V46" s="613" t="n"/>
      <c r="Y46" s="631" t="n">
        <v>7.954998970031738</v>
      </c>
      <c r="Z46" s="631">
        <f>IF(Y46="","",Y46*R46)</f>
        <v/>
      </c>
      <c r="AA46" t="inlineStr"/>
    </row>
    <row r="47" ht="217" customFormat="1" customHeight="1" s="59">
      <c r="A47" s="18" t="n">
        <v>29</v>
      </c>
      <c r="B47" s="182" t="inlineStr">
        <is>
          <t>hh_admin2_16</t>
        </is>
      </c>
      <c r="C47" s="58" t="inlineStr">
        <is>
          <t>hh_admin2_16</t>
        </is>
      </c>
      <c r="D47" s="135" t="inlineStr">
        <is>
          <t>Currently, in which district does your household reside?
[OPERATOR: SINGLE RESPONSE.]
1)BILAD AT TA'AM
2)AS SALAFIYAH
3)AL JABIN
4)MAZHAR
5)KUSMAH
6)AL JAFARIYAH
7)DON'T KNOW
8)REFUSED</t>
        </is>
      </c>
      <c r="E47" s="179">
        <f>LEN(D47)</f>
        <v/>
      </c>
      <c r="F47"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1)بلاد الطعام
2)السلفية
3)الجبين
4)مزهر
5)كسمه
6)الجعفرية
7) لا أعرف
8) رفض الإجابة  </t>
        </is>
      </c>
      <c r="G47" s="179">
        <f>LEN(F47)</f>
        <v/>
      </c>
      <c r="H47" s="186" t="inlineStr">
        <is>
          <t>Single Choice</t>
        </is>
      </c>
      <c r="I47" s="179" t="inlineStr">
        <is>
          <t>NA</t>
        </is>
      </c>
      <c r="J47" s="179" t="inlineStr">
        <is>
          <t>NA</t>
        </is>
      </c>
      <c r="K47" s="179" t="inlineStr">
        <is>
          <t>Form Type - Dropdown
IsDemographic - ADM2</t>
        </is>
      </c>
      <c r="L47" s="177" t="inlineStr"/>
      <c r="M47" s="63" t="inlineStr">
        <is>
          <t>1-6 = quotareached
7-8 = Ineligible</t>
        </is>
      </c>
      <c r="N47" s="346" t="n"/>
      <c r="O47" s="634" t="n"/>
      <c r="P47" s="180" t="inlineStr"/>
      <c r="Q47" s="44" t="n"/>
      <c r="R47" s="306">
        <f>1</f>
        <v/>
      </c>
      <c r="S47" s="53" t="n"/>
      <c r="U47" s="154" t="inlineStr">
        <is>
          <t>yes</t>
        </is>
      </c>
      <c r="V47" s="613" t="n"/>
      <c r="Y47" s="631" t="n">
        <v>7.954998970031738</v>
      </c>
      <c r="Z47" s="631">
        <f>IF(Y47="","",Y47*R47)</f>
        <v/>
      </c>
      <c r="AA47" t="inlineStr"/>
    </row>
    <row r="48" ht="356.5" customFormat="1" customHeight="1" s="59">
      <c r="A48" s="18" t="n">
        <v>30</v>
      </c>
      <c r="B48" s="182" t="inlineStr">
        <is>
          <t>hh_admin2_17</t>
        </is>
      </c>
      <c r="C48" s="58" t="inlineStr">
        <is>
          <t>hh_admin2_17</t>
        </is>
      </c>
      <c r="D48" s="135" t="inlineStr">
        <is>
          <t>Currently, in which district does your household reside?
[OPERATOR: SINGLE RESPONSE.]
1)BAQIM
2)QATABIR
3)MONABBIH
4)GHAMR
5)RAZIH
6)SHADA'A
7)AL DHAHER
8)HAYDAN
9)SAQAYN
10)MAJZ
11)SAHAR
12)AS SAFRA
13)AL HASHWAH
14)KITAF WA AL BOQE'E
15)SA'ADAH
16)DON'T KNOW
17)REFUSED</t>
        </is>
      </c>
      <c r="E48" s="179">
        <f>LEN(D48)</f>
        <v/>
      </c>
      <c r="F48"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1)باقم
2)قطابر
3)منبه
4)غمر
5)رازح
6)شداء
7)الظاهر
8)حيدان
9)ساقين
10)مجز
11)سحار
12)الصفراء
13)الحشوه
14)كتاف والبقع
15)صعدة
16) لا أعرف
17) رفض الإجابة  </t>
        </is>
      </c>
      <c r="G48" s="179">
        <f>LEN(F48)</f>
        <v/>
      </c>
      <c r="H48" s="186" t="inlineStr">
        <is>
          <t>Single Choice</t>
        </is>
      </c>
      <c r="I48" s="179" t="inlineStr">
        <is>
          <t>NA</t>
        </is>
      </c>
      <c r="J48" s="179" t="inlineStr">
        <is>
          <t>NA</t>
        </is>
      </c>
      <c r="K48" s="179" t="inlineStr">
        <is>
          <t>Form Type - Dropdown
IsDemographic - ADM2</t>
        </is>
      </c>
      <c r="L48" s="177" t="inlineStr"/>
      <c r="M48" s="63" t="inlineStr">
        <is>
          <t>1-15 = quotareached
16-17 = Ineligible</t>
        </is>
      </c>
      <c r="N48" s="346" t="n"/>
      <c r="O48" s="634" t="n"/>
      <c r="P48" s="180" t="inlineStr"/>
      <c r="Q48" s="44" t="n"/>
      <c r="R48" s="306">
        <f>1</f>
        <v/>
      </c>
      <c r="S48" s="53" t="n"/>
      <c r="U48" s="154" t="inlineStr">
        <is>
          <t>yes</t>
        </is>
      </c>
      <c r="V48" s="613" t="n"/>
      <c r="Y48" s="631" t="n">
        <v>7.954998970031738</v>
      </c>
      <c r="Z48" s="631">
        <f>IF(Y48="","",Y48*R48)</f>
        <v/>
      </c>
      <c r="AA48" t="inlineStr"/>
    </row>
    <row r="49" ht="372" customFormat="1" customHeight="1" s="59">
      <c r="A49" s="18" t="n">
        <v>31</v>
      </c>
      <c r="B49" s="182" t="inlineStr">
        <is>
          <t>hh_admin2_18</t>
        </is>
      </c>
      <c r="C49" s="58" t="inlineStr">
        <is>
          <t>hh_admin2_18</t>
        </is>
      </c>
      <c r="D49" s="135" t="inlineStr">
        <is>
          <t>Currently, in which district does your household reside?
[OPERATOR: SINGLE RESPONSE.]
1)ARHAB
2)NIHM
3)BANI HUSHAYSH
4)SANHAN
5)BILAD AR RUS
6)BANI MATAR
7)AL HAYMAH AD DAKHILIYAH
8)AL HAYMAH AL KHARIJIYAH
9)MANAKHAH
10)SA'FAN
11)KHWLAN
12)ATTYAL
13)BANI DHABYAN
14)AL HUSN
15)JIHANAH
16)HAMDAN
17)DON'T KNOW
18)REFUSED</t>
        </is>
      </c>
      <c r="E49" s="179">
        <f>LEN(D49)</f>
        <v/>
      </c>
      <c r="F49"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1)ارحب
2)نهم
3)بني حشيش
4)سنحان وبني بهلول
5)بلاد الروس
6)بني مطر
7)الحيمة الداخلية
8)الحيمة الخارجية
9)مناخه
10)صعفان
11)خولان
12)الطيال
13)بني ضبيان
14)الحصن
15)جحانة
16)همدان
17) لا أعرف
18) رفض الإجابة  </t>
        </is>
      </c>
      <c r="G49" s="179">
        <f>LEN(F49)</f>
        <v/>
      </c>
      <c r="H49" s="186" t="inlineStr">
        <is>
          <t>Single Choice</t>
        </is>
      </c>
      <c r="I49" s="179" t="inlineStr">
        <is>
          <t>NA</t>
        </is>
      </c>
      <c r="J49" s="179" t="inlineStr">
        <is>
          <t>NA</t>
        </is>
      </c>
      <c r="K49" s="179" t="inlineStr">
        <is>
          <t>Form Type - Dropdown
IsDemographic - ADM2</t>
        </is>
      </c>
      <c r="L49" s="177" t="inlineStr"/>
      <c r="M49" s="63" t="inlineStr">
        <is>
          <t>1-16 = quotareached
17-18 = Ineligible</t>
        </is>
      </c>
      <c r="N49" s="346" t="n"/>
      <c r="O49" s="634" t="n"/>
      <c r="P49" s="180" t="inlineStr"/>
      <c r="Q49" s="44" t="n"/>
      <c r="R49" s="306">
        <f>1</f>
        <v/>
      </c>
      <c r="S49" s="53" t="n"/>
      <c r="U49" s="154" t="inlineStr">
        <is>
          <t>yes</t>
        </is>
      </c>
      <c r="V49" s="613" t="n"/>
      <c r="Y49" s="631" t="n">
        <v>7.954998970031738</v>
      </c>
      <c r="Z49" s="631">
        <f>IF(Y49="","",Y49*R49)</f>
        <v/>
      </c>
      <c r="AA49" t="inlineStr"/>
    </row>
    <row r="50" ht="279" customFormat="1" customHeight="1" s="59">
      <c r="A50" s="18" t="n">
        <v>32</v>
      </c>
      <c r="B50" s="182" t="inlineStr">
        <is>
          <t>hh_admin2_19</t>
        </is>
      </c>
      <c r="C50" s="58" t="inlineStr">
        <is>
          <t>hh_admin2_19</t>
        </is>
      </c>
      <c r="D50" s="135" t="inlineStr">
        <is>
          <t>Currently, in which district does your household reside?
[OPERATOR: SINGLE RESPONSE.]
1)OLD CITY
2)SHU'AUB
3)AZ'ZAL
4)ASSAFI'YAH
5)AS SABAIN
6)AL WAHDAH
7)AT TAHRIR
8)MA'AIN
9)ATH'THAORAH
10)BANI AL HARITH
11)DON'T KNOW
12)REFUSED</t>
        </is>
      </c>
      <c r="E50" s="179">
        <f>LEN(D50)</f>
        <v/>
      </c>
      <c r="F50"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1)صنعاء القديمة
2)شعوب
3)أزال
4)الصافية
5)السبعين
6)الوحدة
7)التحرير
8)معين
9)الثورة
10)بني الحارث
11) لا أعرف
12) رفض الإجابة  </t>
        </is>
      </c>
      <c r="G50" s="179">
        <f>LEN(F50)</f>
        <v/>
      </c>
      <c r="H50" s="186" t="inlineStr">
        <is>
          <t>Single Choice</t>
        </is>
      </c>
      <c r="I50" s="179" t="inlineStr">
        <is>
          <t>NA</t>
        </is>
      </c>
      <c r="J50" s="179" t="inlineStr">
        <is>
          <t>NA</t>
        </is>
      </c>
      <c r="K50" s="179" t="inlineStr">
        <is>
          <t>Form Type - Dropdown
IsDemographic - ADM2</t>
        </is>
      </c>
      <c r="L50" s="177" t="inlineStr"/>
      <c r="M50" s="63" t="inlineStr">
        <is>
          <t>1-10 = quotareached
11-12 = Ineligible</t>
        </is>
      </c>
      <c r="N50" s="346" t="n"/>
      <c r="O50" s="634" t="n"/>
      <c r="P50" s="180" t="inlineStr"/>
      <c r="Q50" s="44" t="n"/>
      <c r="R50" s="306">
        <f>1</f>
        <v/>
      </c>
      <c r="S50" s="53" t="n"/>
      <c r="U50" s="154" t="inlineStr">
        <is>
          <t>yes</t>
        </is>
      </c>
      <c r="V50" s="613" t="n"/>
      <c r="Y50" s="631" t="n">
        <v>7.954998970031738</v>
      </c>
      <c r="Z50" s="631">
        <f>IF(Y50="","",Y50*R50)</f>
        <v/>
      </c>
      <c r="AA50" t="inlineStr"/>
    </row>
    <row r="51" ht="387.5" customFormat="1" customHeight="1" s="59">
      <c r="A51" s="18" t="n">
        <v>33</v>
      </c>
      <c r="B51" s="182" t="inlineStr">
        <is>
          <t>hh_admin2_20</t>
        </is>
      </c>
      <c r="C51" s="58" t="inlineStr">
        <is>
          <t>hh_admin2_20</t>
        </is>
      </c>
      <c r="D51" s="135" t="inlineStr">
        <is>
          <t>Currently, in which district does your household reside?
[OPERATOR: SINGLE RESPONSE.]
1)DHAR
2)AL TALH
3)JARDAN
4)ARMA
5)USAYLAN
6)AIN
7)BAYHAN
8)MERKHAH AL ULYA
9)MERKHAH AS SUFLA
10)NISAB
11)HATIB
12)AS SAID
13)ATAQ
14)HABBAN
15)AR RAWDAH
16)MAYFA'A
17)RUDUM
18)DON'T KNOW
19)REFUSED</t>
        </is>
      </c>
      <c r="E51" s="179">
        <f>LEN(D51)</f>
        <v/>
      </c>
      <c r="F51"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1)دهر
2)الطلح
3)جردان
4)عرماء
5)عسيلان
6)عين
7)بيحان
8)مرخه العليا
9)مرخه السفلى
10)نصاب
11)حطيب
12)الصعيد
13)عتق
14)حبان
15)الروضه
16)ميفعه
17)رضوم
18) لا أعرف
19) رفض الإجابة  </t>
        </is>
      </c>
      <c r="G51" s="179">
        <f>LEN(F51)</f>
        <v/>
      </c>
      <c r="H51" s="186" t="inlineStr">
        <is>
          <t>Single Choice</t>
        </is>
      </c>
      <c r="I51" s="179" t="inlineStr">
        <is>
          <t>NA</t>
        </is>
      </c>
      <c r="J51" s="179" t="inlineStr">
        <is>
          <t>NA</t>
        </is>
      </c>
      <c r="K51" s="179" t="inlineStr">
        <is>
          <t>Form Type - Dropdown
IsDemographic - ADM2</t>
        </is>
      </c>
      <c r="L51" s="177" t="inlineStr"/>
      <c r="M51" s="63" t="inlineStr">
        <is>
          <t>1-17 = quotareached
18-19 = Ineligible</t>
        </is>
      </c>
      <c r="N51" s="346" t="n"/>
      <c r="O51" s="634" t="n"/>
      <c r="P51" s="180" t="inlineStr"/>
      <c r="Q51" s="44" t="n"/>
      <c r="R51" s="306">
        <f>1</f>
        <v/>
      </c>
      <c r="S51" s="53" t="n"/>
      <c r="U51" s="154" t="inlineStr">
        <is>
          <t>yes</t>
        </is>
      </c>
      <c r="V51" s="613" t="n"/>
      <c r="Y51" s="631" t="n">
        <v>7.954998970031738</v>
      </c>
      <c r="Z51" s="631">
        <f>IF(Y51="","",Y51*R51)</f>
        <v/>
      </c>
      <c r="AA51" t="inlineStr"/>
    </row>
    <row r="52" ht="155" customFormat="1" customHeight="1" s="59">
      <c r="A52" s="18" t="n">
        <v>34</v>
      </c>
      <c r="B52" s="182" t="inlineStr">
        <is>
          <t>hh_admin2_21</t>
        </is>
      </c>
      <c r="C52" s="58" t="inlineStr">
        <is>
          <t>hh_admin2_21</t>
        </is>
      </c>
      <c r="D52" s="135" t="inlineStr">
        <is>
          <t>Currently, in which district does your household reside?
[OPERATOR: SINGLE RESPONSE.]
1)HIDAYBU
2)QULENSYA WA ABD AL KURI
3)DON'T KNOW
4)REFUSED</t>
        </is>
      </c>
      <c r="E52" s="179">
        <f>LEN(D52)</f>
        <v/>
      </c>
      <c r="F52"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1)حديبو
2)قلنسيه وعبدالكوري
3) لا أعرف
4) رفض الإجابة  </t>
        </is>
      </c>
      <c r="G52" s="179">
        <f>LEN(F52)</f>
        <v/>
      </c>
      <c r="H52" s="186" t="inlineStr">
        <is>
          <t>Single Choice</t>
        </is>
      </c>
      <c r="I52" s="179" t="inlineStr">
        <is>
          <t>NA</t>
        </is>
      </c>
      <c r="J52" s="179" t="inlineStr">
        <is>
          <t>NA</t>
        </is>
      </c>
      <c r="K52" s="179" t="inlineStr">
        <is>
          <t>Form Type - Buttons
IsDemographic - ADM2</t>
        </is>
      </c>
      <c r="L52" s="177" t="inlineStr"/>
      <c r="M52" s="63" t="inlineStr">
        <is>
          <t>1-2 = quotareached
3-4 = Ineligible</t>
        </is>
      </c>
      <c r="N52" s="346" t="n"/>
      <c r="O52" s="634" t="n"/>
      <c r="P52" s="180" t="inlineStr"/>
      <c r="Q52" s="44" t="n"/>
      <c r="R52" s="306">
        <f>1</f>
        <v/>
      </c>
      <c r="S52" s="53" t="n"/>
      <c r="U52" s="154" t="inlineStr">
        <is>
          <t>yes</t>
        </is>
      </c>
      <c r="V52" s="613" t="n"/>
      <c r="Y52" s="631" t="n">
        <v>7.954998970031738</v>
      </c>
      <c r="Z52" s="631">
        <f>IF(Y52="","",Y52*R52)</f>
        <v/>
      </c>
      <c r="AA52" t="inlineStr"/>
    </row>
    <row r="53" ht="409.5" customFormat="1" customHeight="1" s="59">
      <c r="A53" s="18" t="n">
        <v>35</v>
      </c>
      <c r="B53" s="182" t="inlineStr">
        <is>
          <t>hh_admin2_22</t>
        </is>
      </c>
      <c r="C53" s="58" t="inlineStr">
        <is>
          <t>hh_admin2_22</t>
        </is>
      </c>
      <c r="D53" s="135" t="inlineStr">
        <is>
          <t>Currently, in which district does your household reside?
[OPERATOR: SINGLE RESPONSE.]
1)MAWIYAH
2)SHARA'B AS SALAM
3)SHARA'B AR RAWNAH
4)MAQBANAH
5)AL  MUKHA
6)DHUBAB
7)MAWZA
8)JABAL HABASHY
9)MASHRA'A WA HADNAN
10)SABIR AL MAWADIM
11)AL MISRAKH
12)DIMNAT KHADIR
13)AS SILW
14)ASH SHAMAYATAYN
15)AL WAZI'IYAH
16)HAYFAN
17)AL MUDHAFFAR
18)AL QAHIRAH
19)SALH
20)AT TA'IZIYAH
21)AL MA'AFER
22)AL MAWASIT
23)SAMA
24)DON'T KNOW
25)REFUSED</t>
        </is>
      </c>
      <c r="E53" s="179">
        <f>LEN(D53)</f>
        <v/>
      </c>
      <c r="F53"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1)ماوية
2)شرعب السلام
3)شرعب الرونة
4)مقبنة
5)المخاء
6)ذباب
7)موزع
8)جبل حبشي
9)مشرعة وحدنان
10)صبر الموادم
11)المسراخ
12)دمنة خدير
13)الصلو
14)الشمايتين
15)الوازعية
16)حيفان
17)المظفر
18)القاهرة
19)صالة
20)التعزية
21)المعافر
22)المواسط
23)سامع
24) لا أعرف
25) رفض الإجابة  </t>
        </is>
      </c>
      <c r="G53" s="179">
        <f>LEN(F53)</f>
        <v/>
      </c>
      <c r="H53" s="186" t="inlineStr">
        <is>
          <t>Single Choice</t>
        </is>
      </c>
      <c r="I53" s="179" t="inlineStr">
        <is>
          <t>NA</t>
        </is>
      </c>
      <c r="J53" s="179" t="inlineStr">
        <is>
          <t>NA</t>
        </is>
      </c>
      <c r="K53" s="179" t="inlineStr">
        <is>
          <t>Form Type - Dropdown
IsDemographic - ADM2</t>
        </is>
      </c>
      <c r="L53" s="177" t="inlineStr"/>
      <c r="M53" s="63" t="inlineStr">
        <is>
          <t>1-23 = quotareached
24-25 = Ineligible</t>
        </is>
      </c>
      <c r="N53" s="346" t="n"/>
      <c r="O53" s="635" t="n"/>
      <c r="P53" s="180" t="inlineStr"/>
      <c r="Q53" s="44" t="n"/>
      <c r="R53" s="306">
        <f>1</f>
        <v/>
      </c>
      <c r="S53" s="53" t="n"/>
      <c r="U53" s="154" t="inlineStr">
        <is>
          <t>yes</t>
        </is>
      </c>
      <c r="V53" s="613" t="n"/>
      <c r="Y53" s="631" t="n">
        <v>7.954998970031738</v>
      </c>
      <c r="Z53" s="631">
        <f>IF(Y53="","",Y53*R53)</f>
        <v/>
      </c>
      <c r="AA53" t="inlineStr"/>
    </row>
    <row r="54" ht="140.5" customFormat="1" customHeight="1" s="59">
      <c r="A54" s="18" t="n">
        <v>36</v>
      </c>
      <c r="B54" s="115" t="inlineStr">
        <is>
          <t>quotareached</t>
        </is>
      </c>
      <c r="C54" s="52" t="inlineStr">
        <is>
          <t>quotareached</t>
        </is>
      </c>
      <c r="D54" s="184" t="inlineStr">
        <is>
          <t>[OPERATOR: DO NOT READ. ANSWER QUESTION BELOW.]
THIS RESPONDENT REPORTED THEY LIVE IN:
{ADM1}
{ADM2}
1)THE GOAL FOR THIS LOCATION HAS BEEN ACHIEVED - END SURVEY
2)THE GOAL FOR THIS LOCATION IS OPEN - CONTINUE SURVEY</t>
        </is>
      </c>
      <c r="E54" s="179">
        <f>LEN(D54)</f>
        <v/>
      </c>
      <c r="F54" s="636" t="inlineStr">
        <is>
          <t>[المُشغل: لا تقرأ. أجب على السؤال أدناه.]
أبلغ هذا المجيب أنه يعيش في:
{ADM1}
{ADM2}
1) تم تحقيق الهدف لهذا الموقع - إنه الاستبيان
2) لا يزال يتعين تحقيق الهدف لهذا الموقع - تابع الاستبيان</t>
        </is>
      </c>
      <c r="G54" s="179">
        <f>LEN(F54)</f>
        <v/>
      </c>
      <c r="H54" s="186" t="inlineStr">
        <is>
          <t>Single Choice</t>
        </is>
      </c>
      <c r="I54" s="186" t="inlineStr">
        <is>
          <t>NA</t>
        </is>
      </c>
      <c r="J54" s="186" t="inlineStr">
        <is>
          <t>NA</t>
        </is>
      </c>
      <c r="K54" s="186" t="inlineStr">
        <is>
          <t>Form Type - Buttons</t>
        </is>
      </c>
      <c r="L54" s="100" t="inlineStr">
        <is>
          <t>NA</t>
        </is>
      </c>
      <c r="M54" s="63" t="inlineStr">
        <is>
          <t>1 = End Poll Quota Reached
2 = hh_agricactivity</t>
        </is>
      </c>
      <c r="N54" s="195" t="n"/>
      <c r="O54" s="71" t="inlineStr"/>
      <c r="P54" s="176" t="inlineStr"/>
      <c r="Q54" s="19" t="n"/>
      <c r="R54" s="631" t="n"/>
      <c r="S54" s="631" t="n"/>
      <c r="T54" s="53" t="n"/>
      <c r="U54" t="inlineStr"/>
      <c r="V54" s="81" t="n"/>
      <c r="W54" s="613" t="n"/>
      <c r="Z54" s="631" t="n"/>
      <c r="AA54" s="631" t="inlineStr"/>
      <c r="AB54" s="53" t="n"/>
    </row>
    <row r="55" ht="300.75" customFormat="1" customHeight="1" s="59">
      <c r="A55" s="18" t="n">
        <v>37</v>
      </c>
      <c r="B55" s="182" t="inlineStr">
        <is>
          <t>hh_agricactivity</t>
        </is>
      </c>
      <c r="C55" s="183" t="inlineStr">
        <is>
          <t>hh_agricactivity</t>
        </is>
      </c>
      <c r="D55" s="184" t="inlineStr">
        <is>
          <t>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t>
        </is>
      </c>
      <c r="E55" s="179">
        <f>LEN(D55)</f>
        <v/>
      </c>
      <c r="F55" s="637" t="inlineStr">
        <is>
          <t>هل قام أي شخص في أسرتك بإنتاج المحاصيل أو الماشية للاستهلاك المنزلي أو للبيع خلال الاثني عشر شهرًا الماضية ، بما في ذلك أفراد الأسرة الغير موجودين بغرض التنقل الرعوي؟
[المشغل: استجابة واحدة. هذا هو سؤال الفرز الرئيسي.]
[ملحوظة للتحقيق: هل قمت بزراعة أي نباتات للبيع أو الاستهلاك ؟ هل قمت بتربية أي حيوانات بنية البيع أو الاستهلاك أو انتاج منتجات مثل اللحوم و الالبان و الصوف و الجلد ؟ هل أي فرد من أفراد أسرتك حاليا بعيدًا عن الأسرة مع الماشية أو حيوانات أخري بغرض التنقل الرعوي ؟]
1) نعم - إنتاج المحاصيل
2) نعم - إنتاج الماشية
3) نعم - كل من إنتاج المحاصيل والماشية
4) لا
5) لا أعرف
6) رفض الإجابة</t>
        </is>
      </c>
      <c r="G55" s="179">
        <f>LEN(F55)</f>
        <v/>
      </c>
      <c r="H55" s="186" t="inlineStr">
        <is>
          <t>Single Choice</t>
        </is>
      </c>
      <c r="I55" s="179" t="inlineStr">
        <is>
          <t>NA</t>
        </is>
      </c>
      <c r="J55" s="179" t="inlineStr">
        <is>
          <t>NA</t>
        </is>
      </c>
      <c r="K55" s="179" t="inlineStr">
        <is>
          <t>Form Type - Buttons</t>
        </is>
      </c>
      <c r="L55" s="186" t="inlineStr">
        <is>
          <t>NA</t>
        </is>
      </c>
      <c r="M55" s="184" t="inlineStr">
        <is>
          <t>1-4 = o_fishery_activity
5-6 = Ineligible</t>
        </is>
      </c>
      <c r="N55" s="347" t="n"/>
      <c r="O55" s="187" t="inlineStr">
        <is>
          <t>if hh_agricactivity = 1-4, go to resp_id or hh_fish. Otherwise, the respondent is ineligible.</t>
        </is>
      </c>
      <c r="P55" s="181" t="inlineStr">
        <is>
          <t>hh_fish</t>
        </is>
      </c>
      <c r="Q55" s="13" t="n"/>
      <c r="R55" s="306">
        <f>1</f>
        <v/>
      </c>
      <c r="S55" s="53" t="n"/>
      <c r="U55" s="154" t="inlineStr">
        <is>
          <t>yes</t>
        </is>
      </c>
      <c r="V55" s="613" t="n"/>
      <c r="Y55" s="631" t="n">
        <v>24.41083908081055</v>
      </c>
      <c r="Z55" s="631">
        <f>IF(Y55="","",Y55*R55)</f>
        <v/>
      </c>
      <c r="AA55" s="53" t="inlineStr">
        <is>
          <t>24.41083908081055</t>
        </is>
      </c>
    </row>
    <row r="56" ht="220" customFormat="1" customHeight="1" s="503" thickBot="1">
      <c r="A56" s="491" t="n">
        <v>38</v>
      </c>
      <c r="B56" s="492" t="inlineStr">
        <is>
          <t>hh_fish</t>
        </is>
      </c>
      <c r="C56" s="493" t="inlineStr">
        <is>
          <t>hh_fish</t>
        </is>
      </c>
      <c r="D56" s="494" t="inlineStr">
        <is>
          <t>Has anybody in your household been engaged in aquatic production [fish catch or aquaculture farming] for household consumption or for sales in the past 12 months? 
[OPERATOR: SINGLE RESPONSE.]
[HINT FOR PROBING: It should not include sports fishing. It should be about production of aquatic products [fish catch or aquaculture farming] for household consumption or sales.]
1)YES
2)NO
3)DON'T KNOW
4)REFUSED</t>
        </is>
      </c>
      <c r="E56" s="493" t="n"/>
      <c r="F56" s="495" t="inlineStr">
        <is>
          <t>هل شارك أي شخص في منزلك في الإنتاج البحري [صيد الأسماك أو زراعة الأحياء المائية] لاستهلاك المنزل أو للبيع خلال الـ 12 شهرًا الماضية؟
[المشغل: استجابة واحدة.]
تلميح للتوضيح: يجب ألا يشمل ذلك صيد الأسماك للترفيه، ينبغي أن يكون السؤال عن إنتاج المنتجات المائية
[صيد الأسماك أو زراعة الأحياء المائية] لاستهلاك المنزل أو للبيعا
1) نعم
2) لا
3) لا أعرف
4) رفض الإجابة</t>
        </is>
      </c>
      <c r="G56" s="493" t="n"/>
      <c r="H56" s="493" t="inlineStr">
        <is>
          <t>Single Choice</t>
        </is>
      </c>
      <c r="I56" s="493" t="inlineStr"/>
      <c r="J56" s="493" t="inlineStr">
        <is>
          <t>NA</t>
        </is>
      </c>
      <c r="K56" s="493" t="inlineStr">
        <is>
          <t>Form Type - Buttons</t>
        </is>
      </c>
      <c r="L56" s="507" t="inlineStr">
        <is>
          <t>NA</t>
        </is>
      </c>
      <c r="M56" s="497" t="inlineStr">
        <is>
          <t>1-4 = resp_id</t>
        </is>
      </c>
      <c r="N56" s="498" t="n"/>
      <c r="O56" s="499" t="inlineStr">
        <is>
          <t>For any response, go to resp_id</t>
        </is>
      </c>
      <c r="P56" s="499" t="inlineStr">
        <is>
          <t>resp_id</t>
        </is>
      </c>
      <c r="Q56" s="500" t="inlineStr">
        <is>
          <t xml:space="preserve">Use this question if the survey seeks to gather important information on fisheries and/or aquaculture in the country. </t>
        </is>
      </c>
      <c r="R56" s="501" t="n"/>
      <c r="S56" s="502" t="n"/>
      <c r="U56" s="504" t="inlineStr"/>
      <c r="V56" s="505" t="n"/>
      <c r="Y56" s="638" t="n"/>
      <c r="Z56" s="638" t="n"/>
      <c r="AA56" s="502" t="inlineStr"/>
    </row>
    <row r="57" ht="16.4" customFormat="1" customHeight="1" s="59" thickBot="1">
      <c r="A57" s="604" t="inlineStr">
        <is>
          <t>B. GENERAL HOUSEHOLD INFORMATION</t>
        </is>
      </c>
      <c r="B57" s="629" t="n"/>
      <c r="C57" s="629" t="n"/>
      <c r="D57" s="629" t="n"/>
      <c r="E57" s="629" t="n"/>
      <c r="F57" s="629" t="n"/>
      <c r="G57" s="629" t="n"/>
      <c r="H57" s="629" t="n"/>
      <c r="I57" s="629" t="n"/>
      <c r="J57" s="629" t="n"/>
      <c r="K57" s="629" t="n"/>
      <c r="L57" s="629" t="n"/>
      <c r="M57" s="629" t="n"/>
      <c r="N57" s="629" t="n"/>
      <c r="O57" s="629" t="n"/>
      <c r="P57" s="629" t="n"/>
      <c r="Q57" s="630" t="n"/>
      <c r="R57" s="300" t="n"/>
      <c r="S57" s="53" t="n"/>
      <c r="U57" s="61" t="n"/>
      <c r="V57" s="613" t="n"/>
      <c r="Y57" s="632" t="n"/>
      <c r="Z57" s="631">
        <f>IF(Y57="","",Y57*R57)</f>
        <v/>
      </c>
      <c r="AA57" s="53">
        <f>IF(U57="yes",Z57,"")</f>
        <v/>
      </c>
    </row>
    <row r="58" ht="135" customFormat="1" customHeight="1" s="59">
      <c r="A58" s="38">
        <f>A56+1</f>
        <v/>
      </c>
      <c r="B58" s="89" t="inlineStr">
        <is>
          <t>resp_id</t>
        </is>
      </c>
      <c r="C58" s="84" t="inlineStr">
        <is>
          <t>resp_id</t>
        </is>
      </c>
      <c r="D58" s="315" t="inlineStr">
        <is>
          <t>Are you the head of household? 
[OPERATOR: SINGLE RESPONSE.]
1)Yes
2)No
3)DON'T KNOW
4)REFUSED</t>
        </is>
      </c>
      <c r="E58" s="84">
        <f>LEN(D58)</f>
        <v/>
      </c>
      <c r="F58" s="637" t="inlineStr">
        <is>
          <t>هل أنت رب الأسرة ؟
[المشغل: استجابة واحدة.]
1) نعم
2) لا
3) لا أعرف
4) رفض الإجابة</t>
        </is>
      </c>
      <c r="G58" s="84">
        <f>LEN(F58)</f>
        <v/>
      </c>
      <c r="H58" s="84" t="inlineStr">
        <is>
          <t>Single Choice</t>
        </is>
      </c>
      <c r="I58" s="84" t="inlineStr">
        <is>
          <t>NA</t>
        </is>
      </c>
      <c r="J58" s="84" t="inlineStr">
        <is>
          <t>NA</t>
        </is>
      </c>
      <c r="K58" s="84" t="inlineStr">
        <is>
          <t>Form Type - Buttons</t>
        </is>
      </c>
      <c r="L58" s="100" t="inlineStr">
        <is>
          <t>NA</t>
        </is>
      </c>
      <c r="M58" s="71" t="inlineStr">
        <is>
          <t>1 = hh_education 
2-4 = hh_gender</t>
        </is>
      </c>
      <c r="N58" s="348" t="n"/>
      <c r="O58" s="71" t="inlineStr">
        <is>
          <t>if resp_id = 1, go to hh_education. 
Otherwise, go to hh_gender.</t>
        </is>
      </c>
      <c r="P58" s="176" t="inlineStr"/>
      <c r="Q58" s="19" t="n"/>
      <c r="R58" s="300" t="n">
        <v>1</v>
      </c>
      <c r="S58" s="53" t="n"/>
      <c r="U58" s="150" t="inlineStr">
        <is>
          <t>yes</t>
        </is>
      </c>
      <c r="V58" s="613" t="n"/>
      <c r="Y58" s="631" t="n">
        <v>10.5</v>
      </c>
      <c r="Z58" s="631">
        <f>IF(Y58="","",Y58*R58)</f>
        <v/>
      </c>
      <c r="AA58" s="53" t="inlineStr">
        <is>
          <t>10.5</t>
        </is>
      </c>
    </row>
    <row r="59" ht="124.75" customFormat="1" customHeight="1" s="59">
      <c r="A59" s="38">
        <f>A58+1</f>
        <v/>
      </c>
      <c r="B59" s="114" t="inlineStr">
        <is>
          <t>hh_gender</t>
        </is>
      </c>
      <c r="C59" s="58" t="inlineStr">
        <is>
          <t>hh_gender</t>
        </is>
      </c>
      <c r="D59" s="80" t="inlineStr">
        <is>
          <t>Is the head of your household male or female?
[OPERATOR: SINGLE RESPONSE.]
1)Male 
2)Female
3)DON'T KNOW
4)REFUSED</t>
        </is>
      </c>
      <c r="E59" s="56">
        <f>LEN(D59)</f>
        <v/>
      </c>
      <c r="F59" s="168" t="inlineStr">
        <is>
          <t>هل رب أسرتك ذكر أم أنثى؟
[المشغل: استجابة واحدة.]
1) ذكر
2) أنثى
3) لا أعرف
4) رفض الإجابة</t>
        </is>
      </c>
      <c r="G59" s="56">
        <f>LEN(F59)</f>
        <v/>
      </c>
      <c r="H59" s="58" t="inlineStr">
        <is>
          <t>Single Choice</t>
        </is>
      </c>
      <c r="I59" s="56" t="inlineStr">
        <is>
          <t>NA</t>
        </is>
      </c>
      <c r="J59" s="56" t="inlineStr">
        <is>
          <t>NA</t>
        </is>
      </c>
      <c r="K59" s="56" t="inlineStr">
        <is>
          <t>Form Type - Buttons</t>
        </is>
      </c>
      <c r="L59" s="100" t="inlineStr">
        <is>
          <t>NA</t>
        </is>
      </c>
      <c r="M59" s="55" t="inlineStr">
        <is>
          <t>1-4 = hh_education</t>
        </is>
      </c>
      <c r="N59" s="195" t="n"/>
      <c r="O59" s="55" t="inlineStr">
        <is>
          <t>if hh_gender = 1-4, go to hh_education.</t>
        </is>
      </c>
      <c r="P59" s="30" t="inlineStr"/>
      <c r="Q59" s="19" t="n"/>
      <c r="R59" s="306">
        <f>1</f>
        <v/>
      </c>
      <c r="S59" s="53" t="n"/>
      <c r="U59" s="150" t="inlineStr">
        <is>
          <t>yes</t>
        </is>
      </c>
      <c r="V59" s="613" t="n"/>
      <c r="Y59" s="631" t="n">
        <v>10.5045337677002</v>
      </c>
      <c r="Z59" s="631">
        <f>IF(Y59="","",Y59*R59)</f>
        <v/>
      </c>
      <c r="AA59" s="53" t="inlineStr">
        <is>
          <t>10.5045337677002</t>
        </is>
      </c>
    </row>
    <row r="60" ht="215.25" customFormat="1" customHeight="1" s="59">
      <c r="A60" s="18">
        <f>A59+1</f>
        <v/>
      </c>
      <c r="B60" s="182" t="inlineStr">
        <is>
          <t>hh_education</t>
        </is>
      </c>
      <c r="C60" s="58" t="inlineStr">
        <is>
          <t>hh_education</t>
        </is>
      </c>
      <c r="D60" s="564" t="inlineStr">
        <is>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is>
      </c>
      <c r="E60" s="179">
        <f>LEN(D60)</f>
        <v/>
      </c>
      <c r="F60" s="565" t="inlineStr">
        <is>
          <t>ما هو المستوى التعليمي الذي وصل إليه رب الأسرة؟
[المشغل: استجابة واحدة.]
1) لا شيء أو لم يكمل المرحلة الابتدائية
2) أكمل المرحلة الابتدائية
3) أكمل المرحلة الثانوية
4) أكمل درجة تعليم عالي [جامعة / كلية]
5) تربية دينية أو غير رسمية فقط
6) لا أعرف
7) رفض الإجابة</t>
        </is>
      </c>
      <c r="G60" s="179">
        <f>LEN(F60)</f>
        <v/>
      </c>
      <c r="H60" s="566" t="inlineStr">
        <is>
          <t>Single Choice</t>
        </is>
      </c>
      <c r="I60" s="179" t="inlineStr">
        <is>
          <t>NA</t>
        </is>
      </c>
      <c r="J60" s="179" t="inlineStr">
        <is>
          <t>NA</t>
        </is>
      </c>
      <c r="K60" s="179" t="inlineStr">
        <is>
          <t>Form Type - Buttons</t>
        </is>
      </c>
      <c r="L60" s="100" t="inlineStr">
        <is>
          <t>NA</t>
        </is>
      </c>
      <c r="M60" s="63" t="inlineStr">
        <is>
          <t>1-7 = o_hh_wealth_water</t>
        </is>
      </c>
      <c r="N60" s="195" t="n"/>
      <c r="O60" s="55" t="inlineStr">
        <is>
          <t>if hh_education = 1-7, go to o_hh_wealth_water.</t>
        </is>
      </c>
      <c r="P60" s="30" t="inlineStr"/>
      <c r="Q60" s="13" t="n"/>
      <c r="R60" s="306">
        <f>1</f>
        <v/>
      </c>
      <c r="S60" s="53" t="n"/>
      <c r="U60" s="150" t="inlineStr">
        <is>
          <t>yes</t>
        </is>
      </c>
      <c r="V60" s="613" t="n"/>
      <c r="Y60" s="631" t="n">
        <v>12.42189884185791</v>
      </c>
      <c r="Z60" s="631">
        <f>IF(Y60="","",Y60*R60)</f>
        <v/>
      </c>
      <c r="AA60" s="53" t="inlineStr">
        <is>
          <t>12.42189884185791</t>
        </is>
      </c>
    </row>
    <row r="61" ht="323.25" customFormat="1" customHeight="1" s="59">
      <c r="A61" s="18">
        <f>A60+1</f>
        <v/>
      </c>
      <c r="B61" s="567" t="inlineStr">
        <is>
          <t>o_hh_wealth_water</t>
        </is>
      </c>
      <c r="C61" s="568" t="inlineStr">
        <is>
          <t>hh_wealth_water</t>
        </is>
      </c>
      <c r="D61" s="556" t="inlineStr">
        <is>
          <t>Where does the water that you drink at home come from?
[OPERATOR: SINGLE CHOICE.]
1) Piped water to premise [public or private] 
2) Public tap
3) Well
4) Covered well
5) Covered spring
6) Rainwater
7) Bottled water [mineral/Kawthar]
8) Valley/stream/canal
9) Unprotected well
10) Unprotected spring
11) Water trucks/drum on carts/donkeys
12) Water cistern/reservoir/dam
13)DON'T KNOW
14)REFUSED</t>
        </is>
      </c>
      <c r="E61" s="569">
        <f>LEN(D61)</f>
        <v/>
      </c>
      <c r="F61" s="570" t="inlineStr">
        <is>
          <t>من أين تأتي المياه التي تشربونها في المنزل؟
[المُشغل: استجابة واحدة.]
1) مشروع مياه موصل إلى المنازل [حكومي أو خاص] 
2) حنفية عامة
3) بئر ارتوازية
4) بئر مغطاة
5) عين مغطاة
6) مياه الأمطار
7) مياه معالجة [معدنية أو كوثر] 
8) وادي أو جدول أو غيل 
9) بئر مكشوفة
10) ماء عين مكشوفة
11) شاحنات / عربات/ دواب لنقل المياه
12) صهاريج/ حواجز مائية/ سدود
13) لا أعرف
14) رفض الإجابة</t>
        </is>
      </c>
      <c r="G61" s="569">
        <f>LEN(F61)</f>
        <v/>
      </c>
      <c r="H61" s="571" t="inlineStr">
        <is>
          <t>Single Choice</t>
        </is>
      </c>
      <c r="I61" s="569" t="inlineStr">
        <is>
          <t>NA</t>
        </is>
      </c>
      <c r="J61" s="569" t="inlineStr">
        <is>
          <t>NA</t>
        </is>
      </c>
      <c r="K61" s="569" t="inlineStr">
        <is>
          <t>Form Type - Buttons</t>
        </is>
      </c>
      <c r="L61" s="24" t="inlineStr">
        <is>
          <t>NA</t>
        </is>
      </c>
      <c r="M61" s="200" t="inlineStr">
        <is>
          <t>1-14 = o_rural_urban</t>
        </is>
      </c>
      <c r="N61" s="349" t="n"/>
      <c r="O61" s="572" t="inlineStr">
        <is>
          <t>For any response, go to [income_main OR other optional question]</t>
        </is>
      </c>
      <c r="P61" s="22" t="inlineStr">
        <is>
          <t>1-14 = o_rural_urban</t>
        </is>
      </c>
      <c r="Q61" s="175" t="inlineStr">
        <is>
          <t>Select wealth indicators based on baseline information available; you can delete those that you do not want to use. 
If none of these indicators work in the context of your country, other wealth proxies are proposed in the optional questions below. 
Remember that baseline data will be necessary, and the variable should be defined properly in the "weight_input_table".</t>
        </is>
      </c>
      <c r="R61" s="300">
        <f>1</f>
        <v/>
      </c>
      <c r="S61" s="53" t="n"/>
      <c r="U61" s="61" t="inlineStr">
        <is>
          <t>yes</t>
        </is>
      </c>
      <c r="V61" s="613" t="n"/>
      <c r="Y61" s="632" t="n">
        <v>16.61565589904785</v>
      </c>
      <c r="Z61" s="632">
        <f>IF(Y61="","",Y61*R61)</f>
        <v/>
      </c>
      <c r="AA61" s="53" t="inlineStr">
        <is>
          <t>16.61565589904785</t>
        </is>
      </c>
    </row>
    <row r="62" ht="135" customFormat="1" customHeight="1" s="59">
      <c r="A62" s="18">
        <f>A61+1</f>
        <v/>
      </c>
      <c r="B62" s="567" t="inlineStr">
        <is>
          <t>o_rural_urban</t>
        </is>
      </c>
      <c r="C62" s="119" t="inlineStr">
        <is>
          <t>o_rural_urban</t>
        </is>
      </c>
      <c r="D62" s="556" t="inlineStr">
        <is>
          <t>Which of these best describes the area where you live?
[OPERATOR: SINGLE RESPONSE]
1)Rural
2)Urban
3)Sub-urban</t>
        </is>
      </c>
      <c r="E62" s="40" t="n">
        <v>112</v>
      </c>
      <c r="F62" s="570" t="inlineStr">
        <is>
          <t>أي من هؤلاء يصف المنطقة التي تعيش فيها ؟
[المشغل: استجابة واحدة]
1)الريف
2)الحضر
3)ضواحي الحضر</t>
        </is>
      </c>
      <c r="G62" s="40" t="n">
        <v>96</v>
      </c>
      <c r="H62" s="39" t="inlineStr">
        <is>
          <t>Single Choice</t>
        </is>
      </c>
      <c r="I62" s="40" t="inlineStr">
        <is>
          <t>NA</t>
        </is>
      </c>
      <c r="J62" s="40" t="inlineStr">
        <is>
          <t>NA</t>
        </is>
      </c>
      <c r="K62" s="40" t="inlineStr">
        <is>
          <t>Form Type - Buttons</t>
        </is>
      </c>
      <c r="L62" s="30" t="inlineStr"/>
      <c r="M62" s="201" t="inlineStr">
        <is>
          <t>1-3 = hh_residencetype</t>
        </is>
      </c>
      <c r="N62" s="350" t="n"/>
      <c r="O62" s="120" t="inlineStr"/>
      <c r="P62" s="22" t="inlineStr">
        <is>
          <t>1-3 = hh_residencetype</t>
        </is>
      </c>
      <c r="Q62" s="130" t="n"/>
      <c r="R62" s="300">
        <f>1</f>
        <v/>
      </c>
      <c r="S62" s="53" t="n"/>
      <c r="U62" s="61" t="inlineStr"/>
      <c r="V62" s="613" t="n"/>
      <c r="Y62" s="632" t="n"/>
      <c r="Z62" s="632">
        <f>IF(Y62="","",Y62*R62)</f>
        <v/>
      </c>
      <c r="AA62" s="53" t="inlineStr"/>
    </row>
    <row r="63" ht="294.75" customFormat="1" customHeight="1" s="218">
      <c r="A63" s="18">
        <f>A62+1</f>
        <v/>
      </c>
      <c r="B63" s="573" t="inlineStr">
        <is>
          <t>hh_residencetype</t>
        </is>
      </c>
      <c r="C63" s="208" t="inlineStr">
        <is>
          <t>hh_residencetype</t>
        </is>
      </c>
      <c r="D63" s="316" t="inlineStr">
        <is>
          <t>How would you describe your residence status? Are you a... 
[OPERATOR: READ OUT THE OPTIONS. SINGLE RESPONSE.]
[HINT: IF RESPONDENT IS ONLY AWAY FROM THE HOUSEHOLD FOR SHORT SEASONAL WORK (&lt;6 MONTHS) OR TRANSHUMANCE, MAKE SURE TO REFER TO THEIR HOUSEHOLD WHERE THEY TYPICALLY ARE LOCATED.]
1)Permanent resident
2)Returnee
3)Internally displaced person [IDP]
4)Refugee
5)DON'T KNOW
6)REFUSED</t>
        </is>
      </c>
      <c r="E63" s="209">
        <f>LEN(D63)</f>
        <v/>
      </c>
      <c r="F63" s="210" t="inlineStr">
        <is>
          <t>كيف تصف حالة إقامتك؟ هل أنت...
[المُشغل: اقرأ الخيارات. استجابة واحدة.]
[ملحوظة: إذا كان المجيب بعيدًا فقط عن الأسرة للعمل الموسمي القصير (أقل من 6 أشهر) أو بغرض التنقل الرعوي ، فتأكد من الرجوع إلى أسرته في المكان الذي يوجد فيه عادةً.]
1) مقيم دائم
2) عائد
3) نازح داخليًا
4) لاجئ
5) لا أعرف
6) رفض الإجابة</t>
        </is>
      </c>
      <c r="G63" s="209">
        <f>LEN(F63)</f>
        <v/>
      </c>
      <c r="H63" s="211" t="inlineStr">
        <is>
          <t>Single Choice</t>
        </is>
      </c>
      <c r="I63" s="209" t="inlineStr">
        <is>
          <t>NA</t>
        </is>
      </c>
      <c r="J63" s="209" t="inlineStr">
        <is>
          <t>NA</t>
        </is>
      </c>
      <c r="K63" s="209" t="inlineStr">
        <is>
          <t>Form Type - Buttons</t>
        </is>
      </c>
      <c r="L63" s="212" t="inlineStr">
        <is>
          <t>NA</t>
        </is>
      </c>
      <c r="M63" s="213" t="inlineStr">
        <is>
          <t>1 = hh_residencecomp
2-4 = hh_arrivaltime
5-6 = hh_residencecomp</t>
        </is>
      </c>
      <c r="N63" s="351" t="n"/>
      <c r="O63" s="214" t="inlineStr">
        <is>
          <t>1 = hh_residencecomp
2-4 = hh_arrivaltime
5-6 = hh_residencecomp</t>
        </is>
      </c>
      <c r="P63" s="215" t="inlineStr"/>
      <c r="Q63" s="216" t="n"/>
      <c r="R63" s="317">
        <f>1</f>
        <v/>
      </c>
      <c r="S63" s="217" t="n"/>
      <c r="U63" s="219" t="inlineStr">
        <is>
          <t>yes</t>
        </is>
      </c>
      <c r="V63" s="220" t="n"/>
      <c r="Y63" s="633" t="n">
        <v>13.22066497802734</v>
      </c>
      <c r="Z63" s="633">
        <f>IF(Y63="","",Y63*R63)</f>
        <v/>
      </c>
      <c r="AA63" s="217" t="inlineStr">
        <is>
          <t>13.22066497802734</t>
        </is>
      </c>
      <c r="AD63" s="221" t="n"/>
      <c r="AE63" s="222" t="inlineStr">
        <is>
          <t>Important to define different categories in training material</t>
        </is>
      </c>
      <c r="AG63" s="223" t="n"/>
      <c r="AI63" s="224" t="n"/>
    </row>
    <row r="64" ht="184.5" customFormat="1" customHeight="1" s="59">
      <c r="A64" s="18">
        <f>A63+1</f>
        <v/>
      </c>
      <c r="B64" s="182" t="inlineStr">
        <is>
          <t>hh_arrivaltime</t>
        </is>
      </c>
      <c r="C64" s="566" t="inlineStr">
        <is>
          <t>hh_arivaltime</t>
        </is>
      </c>
      <c r="D64" s="187" t="inlineStr">
        <is>
          <t>How long ago did you arrive in this place?
[OPERATOR: INDICATE THE NUMBER OF MONTHS. YOU MAY NEED TO CALCULATE THIS. ENTER 888 FOR DON'T KNOW &amp; 999 FOR REFUSED.]</t>
        </is>
      </c>
      <c r="E64" s="179">
        <f>LEN(D64)</f>
        <v/>
      </c>
      <c r="F64" s="558" t="inlineStr">
        <is>
          <t>منذ متى وصلت إلى هذا المكان؟
[المشغل: حدد عدد الأشهر. قد تحتاج إلى حساب ذلك. أدخل 888 لـ "لا أعرف" و999 لـ "رفض".]</t>
        </is>
      </c>
      <c r="G64" s="179">
        <f>LEN(F64)</f>
        <v/>
      </c>
      <c r="H64" s="566" t="inlineStr">
        <is>
          <t>Range</t>
        </is>
      </c>
      <c r="I64" s="179" t="inlineStr">
        <is>
          <t>NA</t>
        </is>
      </c>
      <c r="J64" s="179" t="inlineStr">
        <is>
          <t>Send if "hh_residencetype" "Equals" "Internally displaced person [IDP]" Or "hh_residencetype" "Equals" "Returnee" Or "hh_residencetype" "Equals" "Refugee" if not satisfied go to "hh_residencecomp"</t>
        </is>
      </c>
      <c r="K64" s="179" t="inlineStr">
        <is>
          <t>Form Type - TextBox</t>
        </is>
      </c>
      <c r="L64" s="574" t="inlineStr">
        <is>
          <t>NA</t>
        </is>
      </c>
      <c r="M64" s="184" t="inlineStr">
        <is>
          <t>0-200 = hh_displacementfreq
888-888 = hh_displacementfreq
999-999 = hh_displacementfreq</t>
        </is>
      </c>
      <c r="N64" s="347" t="n"/>
      <c r="O64" s="575" t="inlineStr">
        <is>
          <t>Asked to respondents that answered "Returnee", "IDP" or "Refugee" to hh_residencetype. All other respondents will skip to hh_residencecomp. 
For any response, go to hh_displacementfreq.</t>
        </is>
      </c>
      <c r="P64" s="24" t="inlineStr"/>
      <c r="Q64" s="19" t="n"/>
      <c r="R64" s="483" t="n"/>
      <c r="S64" s="54" t="n"/>
      <c r="T64" s="113" t="n"/>
      <c r="U64" s="484" t="inlineStr">
        <is>
          <t>yes</t>
        </is>
      </c>
      <c r="V64" s="612" t="n"/>
      <c r="W64" s="113" t="n"/>
      <c r="X64" s="113" t="n"/>
      <c r="Y64" s="639" t="n"/>
      <c r="Z64" s="639" t="n"/>
      <c r="AA64" s="53" t="inlineStr"/>
    </row>
    <row r="65" ht="163.5" customFormat="1" customHeight="1" s="226">
      <c r="A65" s="18">
        <f>A64+1</f>
        <v/>
      </c>
      <c r="B65" s="573" t="inlineStr">
        <is>
          <t>hh_displacementfreq</t>
        </is>
      </c>
      <c r="C65" s="576" t="inlineStr">
        <is>
          <t>hh_displacementfreq</t>
        </is>
      </c>
      <c r="D65" s="564" t="inlineStr">
        <is>
          <t>How many times have you [respondent] been forced to move due to conflict, insecurity or disaster since you were first displaced?
[OPERATOR: ENTER 888 FOR DON'T KNOW &amp; 999 FOR REFUSED.]</t>
        </is>
      </c>
      <c r="E65" s="313">
        <f>LEN(D65)</f>
        <v/>
      </c>
      <c r="F65" s="565" t="inlineStr">
        <is>
          <t>كم مرة اضطررت [المستجيب] إلى الانتقال بسبب الصراع أو انعدام الأمن أو الكوارث منذ نزوحك لأول مرة؟
[المشغل: أدخل 888 في حالة عدم المعرفة و999 في حالة الرفض.]</t>
        </is>
      </c>
      <c r="G65" s="313">
        <f>LEN(F65)</f>
        <v/>
      </c>
      <c r="H65" s="576" t="inlineStr">
        <is>
          <t>Range</t>
        </is>
      </c>
      <c r="I65" s="313" t="inlineStr">
        <is>
          <t>NA</t>
        </is>
      </c>
      <c r="J65" s="313" t="inlineStr">
        <is>
          <t>NA</t>
        </is>
      </c>
      <c r="K65" s="313" t="inlineStr">
        <is>
          <t>Form Type - TextBox</t>
        </is>
      </c>
      <c r="L65" s="289" t="inlineStr">
        <is>
          <t>NA</t>
        </is>
      </c>
      <c r="M65" s="563" t="inlineStr">
        <is>
          <t>0-100 = hh_residencecomp
888-888 = hh_residencecomp
999-999 = hh_residencecomp</t>
        </is>
      </c>
      <c r="N65" s="352" t="n"/>
      <c r="O65" s="577" t="inlineStr">
        <is>
          <t>Asked to respondents that answered "Returnee", "IDP" or "Refugee" to hh_residencetype. All other respondents will skip to hh_residencecomp. 
For any response, go to hh_residencecomp.</t>
        </is>
      </c>
      <c r="P65" s="215" t="inlineStr"/>
      <c r="Q65" s="216" t="n"/>
      <c r="R65" s="319" t="n"/>
      <c r="S65" s="225" t="n"/>
      <c r="U65" s="227" t="inlineStr">
        <is>
          <t>yes</t>
        </is>
      </c>
      <c r="V65" s="228" t="n"/>
      <c r="Y65" s="640" t="n"/>
      <c r="Z65" s="640" t="n"/>
      <c r="AA65" s="225" t="inlineStr"/>
      <c r="AD65" s="221" t="inlineStr">
        <is>
          <t xml:space="preserve">Necessary for categorization of household residence type. Will depend on country context but these questions allow for flexibility of the definition. </t>
        </is>
      </c>
      <c r="AE65" s="221" t="inlineStr">
        <is>
          <t>
</t>
        </is>
      </c>
      <c r="AI65" s="224" t="n"/>
    </row>
    <row r="66" ht="213.75" customFormat="1" customHeight="1" s="226">
      <c r="A66" s="18">
        <f>A65+1</f>
        <v/>
      </c>
      <c r="B66" s="573" t="inlineStr">
        <is>
          <t>hh_residencecomp</t>
        </is>
      </c>
      <c r="C66" s="576" t="inlineStr">
        <is>
          <t>hh_residencecomp
1)hh_residencecomp_none
2)hh_residencecomp_permresident
3)hh_residencecomp_returnee
4)hh_residencecomp_idp
5)hh_residencecomp_refugee
6)hh_residencecomp_dk
7)hh_residencecomp_ref</t>
        </is>
      </c>
      <c r="D66" s="564" t="inlineStr">
        <is>
          <t>Does your household include any members with a different status type than the one you reported? And if so, which one(s)?
[OPERATOR: MULTIPLE RESPONSES POSSIBLE. SELECT ALL THAT APPLY.]
1)No other status
2)Permanent resident
3)Returnee
4)Internally displaced person [IDP]
5)Refugee
6)DON'T KNOW
7)REFUSED</t>
        </is>
      </c>
      <c r="E66" s="313">
        <f>LEN(D66)</f>
        <v/>
      </c>
      <c r="F66" s="565" t="inlineStr">
        <is>
          <t>هل تضم أسرتك أي أفراد لديهم نمط (حالة) إقامة مختلفة عن النمط الذي ذكرته؟ وإذا كان الأمر كذلك، فما هو النمط (الانماط)؟
[المشغل: إجابات متعددة ممكنة. حدد كل ما ينطبق.]
1) لا يوجد وضع آخر
2) مقيم دائم
3) عائد
4) نازح داخليًا
5) لاجئ
6) لا أعرف
7) رفض الإجابة</t>
        </is>
      </c>
      <c r="G66" s="313">
        <f>LEN(F66)</f>
        <v/>
      </c>
      <c r="H66" s="576" t="inlineStr">
        <is>
          <t>Select All That Apply</t>
        </is>
      </c>
      <c r="I66" s="313" t="inlineStr">
        <is>
          <t>NA</t>
        </is>
      </c>
      <c r="J66" s="313" t="inlineStr">
        <is>
          <t>Send if "hh_residencetype" "Equals" "Internally displaced person [IDP]" Or "hh_residencetype" "Equals" "Returnee" Or "hh_residencetype" "Equals" "Refugee" Or "hh_residencetype" "Equals" "Permanent resident" if not satisfied go to "hh_site"</t>
        </is>
      </c>
      <c r="K66" s="313" t="inlineStr">
        <is>
          <t>Form Type - Checklist
Included unselected "hh_residencetype"
1,6,7= IsNone</t>
        </is>
      </c>
      <c r="L66" s="289" t="inlineStr">
        <is>
          <t>1)hh_residencecomp_none
2)hh_residencecomp_permresident
3)hh_residencecomp_returnee
4)hh_residencecomp_idp
5)hh_residencecomp_refugee
6)hh_residencecomp_dk
7)hh_residencecomp_ref</t>
        </is>
      </c>
      <c r="M66" s="563" t="inlineStr">
        <is>
          <t>1-7 = hh_site</t>
        </is>
      </c>
      <c r="N66" s="352" t="n"/>
      <c r="O66" s="578" t="inlineStr">
        <is>
          <t>Asked only to respondents who stated a status in hh_residencetype. Otherwise, go to hh_size .
For any response, go to hh_site</t>
        </is>
      </c>
      <c r="P66" s="229" t="inlineStr"/>
      <c r="Q66" s="216" t="n"/>
      <c r="R66" s="319" t="n"/>
      <c r="S66" s="225" t="n"/>
      <c r="U66" s="227" t="inlineStr">
        <is>
          <t>yes</t>
        </is>
      </c>
      <c r="V66" s="228" t="n"/>
      <c r="Y66" s="640" t="n"/>
      <c r="Z66" s="640" t="n"/>
      <c r="AA66" s="225" t="inlineStr"/>
      <c r="AD66" s="221" t="inlineStr">
        <is>
          <t xml:space="preserve">Necessary for categorization of household residence type. Will depend on country context but these questions allow for flexibility of the definition. </t>
        </is>
      </c>
      <c r="AE66" s="226" t="inlineStr">
        <is>
          <t>In enumerator training, include explanation of status type</t>
        </is>
      </c>
      <c r="AI66" s="224" t="n"/>
    </row>
    <row r="67" ht="198" customFormat="1" customHeight="1" s="226">
      <c r="A67" s="18">
        <f>A66+1</f>
        <v/>
      </c>
      <c r="B67" s="290" t="inlineStr">
        <is>
          <t>hh_site</t>
        </is>
      </c>
      <c r="C67" s="579" t="inlineStr">
        <is>
          <t>hh_site</t>
        </is>
      </c>
      <c r="D67" s="580" t="inlineStr">
        <is>
          <t>Which of the following best describes where you live? 
[OPERATOR: READ ANSWERS OUT LOUD. SINGLE RESPONSE.]
1)Formal camp or settlement
2)Informal camp or settlement
3)Outside of a camp or settlement/ with a host family
4)Outside of a camp or settlement/ on my own
5)DON'T KNOW
6)REFUSED</t>
        </is>
      </c>
      <c r="E67" s="292">
        <f>LEN(D67)</f>
        <v/>
      </c>
      <c r="F67" s="557" t="inlineStr">
        <is>
          <t>أي مما يلي يصف المكان الذي تعيش فيه على أفضل نحو؟
[المشغل: اقرأ الإجابات بصوت واضح. إجابة واحدة.]
1) مخيم نازحين رسمي
2) مخيم نازحين غير رسمي
3) خارج مخيمات النازحين، مع عائلة مضيفة
4) خارج مخيمات النازحين، بمفردي
5) لا أعرف
6) رفض الإجابة</t>
        </is>
      </c>
      <c r="G67" s="292">
        <f>LEN(F67)</f>
        <v/>
      </c>
      <c r="H67" s="579" t="inlineStr">
        <is>
          <t>Single Choice</t>
        </is>
      </c>
      <c r="I67" s="292" t="inlineStr">
        <is>
          <t>NA</t>
        </is>
      </c>
      <c r="J67" s="292" t="inlineStr">
        <is>
          <t>Send if "hh_residencetype" "Equals" "Internally displaced person [IDP]" Or "hh_residencetype" "Equals" "Returnee" Or "hh_residencetype" "Equals" "Refugee" if not satisfied go to "hh_shelter"</t>
        </is>
      </c>
      <c r="K67" s="292" t="inlineStr">
        <is>
          <t>Form Type - Buttons</t>
        </is>
      </c>
      <c r="L67" s="289" t="inlineStr">
        <is>
          <t>NA</t>
        </is>
      </c>
      <c r="M67" s="230" t="inlineStr">
        <is>
          <t>1-6 = hh_shelter</t>
        </is>
      </c>
      <c r="N67" s="353" t="n"/>
      <c r="O67" s="577" t="inlineStr">
        <is>
          <t>Asked to respondents that answered "Returnee", "IDP" or "Refugee" to hh_residencetype. All other respondents will skip to hh_shelter. 
For any response, go to hh_shelter</t>
        </is>
      </c>
      <c r="P67" s="215" t="inlineStr"/>
      <c r="Q67" s="216" t="n"/>
      <c r="R67" s="319" t="n"/>
      <c r="S67" s="225" t="n"/>
      <c r="U67" s="227" t="inlineStr">
        <is>
          <t>no</t>
        </is>
      </c>
      <c r="V67" s="228" t="n"/>
      <c r="Y67" s="640" t="n"/>
      <c r="Z67" s="640" t="n"/>
      <c r="AA67" s="225" t="inlineStr"/>
      <c r="AE67" s="226" t="inlineStr">
        <is>
          <t xml:space="preserve">Note to explain to COs the importance of site/shelter for vulnerability assessments </t>
        </is>
      </c>
    </row>
    <row r="68" ht="270" customFormat="1" customHeight="1" s="226">
      <c r="A68" s="18">
        <f>A67+1</f>
        <v/>
      </c>
      <c r="B68" s="290" t="inlineStr">
        <is>
          <t>hh_shelter</t>
        </is>
      </c>
      <c r="C68" s="579" t="inlineStr">
        <is>
          <t>hh_shelter</t>
        </is>
      </c>
      <c r="D68" s="580" t="inlineStr">
        <is>
          <t>What kind of shelter is your household living in?
[OPERATOR: SINGLE RESPONSE.]
1)Apartment/house/ good condition
2)Apartment/house/ damaged/destroyed/ bad condition
3)Hotel/motel/short term rental
4)Unfinished or abandoned building
5)Tent/makeshift shelter
6)Mud or block structure
7)Container/caravan
8)Public building or collective shelter
9)Other shelter [eg garage/ farm building etc]
10)DON'T KNOW
11)REFUSED</t>
        </is>
      </c>
      <c r="E68" s="292">
        <f>LEN(D68)</f>
        <v/>
      </c>
      <c r="F68" s="557" t="inlineStr">
        <is>
          <t>ما نوع المأوى الذي تعيش فيه أسرتك؟
[المشغل: إجابة واحدة.]
1) شقة/منزل، بحالة جيدة
2) شقة/منزل، متضرر/مدمر، بحالة سيئة
3) فندق/لوكندا /إيجار قصير الأجل
4) مبنى غير مكتمل أو مهجور
5) خيمة/مأوى مؤقت
6) مبنى طيني أو من الطوب
7) حاوية/مقطورة
8) مبنى عام أو مأوى جماعي [مدارس أو ما شابه]
9) مأوى آخر [مثل المرآب أو مبنى المزرعة وما إلى ذلك]
10) لا أعرف
11) رفض الإجابة</t>
        </is>
      </c>
      <c r="G68" s="292">
        <f>LEN(F68)</f>
        <v/>
      </c>
      <c r="H68" s="579" t="inlineStr">
        <is>
          <t>Single Choice</t>
        </is>
      </c>
      <c r="I68" s="292" t="inlineStr">
        <is>
          <t>NA</t>
        </is>
      </c>
      <c r="J68" s="292" t="inlineStr">
        <is>
          <t>NA</t>
        </is>
      </c>
      <c r="K68" s="292" t="inlineStr">
        <is>
          <t>Form Type - Buttons</t>
        </is>
      </c>
      <c r="L68" s="289" t="inlineStr">
        <is>
          <t>NA</t>
        </is>
      </c>
      <c r="M68" s="230" t="inlineStr">
        <is>
          <t>1-11 = hh_predisp_agricactivity</t>
        </is>
      </c>
      <c r="N68" s="353" t="n"/>
      <c r="O68" s="578" t="inlineStr">
        <is>
          <t>For any response, go to hh_predisp_agricactivity.</t>
        </is>
      </c>
      <c r="P68" s="215" t="inlineStr"/>
      <c r="Q68" s="216" t="n"/>
      <c r="R68" s="319" t="n"/>
      <c r="S68" s="225" t="n"/>
      <c r="U68" s="227" t="inlineStr">
        <is>
          <t>no</t>
        </is>
      </c>
      <c r="V68" s="228" t="n"/>
      <c r="Y68" s="640" t="n"/>
      <c r="Z68" s="640" t="n"/>
      <c r="AA68" s="225" t="inlineStr"/>
      <c r="AI68" s="221" t="inlineStr">
        <is>
          <t>Consider whether shelter should be mandatory vulnerability proxy</t>
        </is>
      </c>
    </row>
    <row r="69" ht="184.5" customFormat="1" customHeight="1" s="113">
      <c r="A69" s="18">
        <f>A68+1</f>
        <v/>
      </c>
      <c r="B69" s="480" t="inlineStr">
        <is>
          <t>hh_predisp_agricactivity</t>
        </is>
      </c>
      <c r="C69" s="487" t="inlineStr">
        <is>
          <t>hh_predisp_agricactivity</t>
        </is>
      </c>
      <c r="D69" s="556" t="inlineStr">
        <is>
          <t>Did you or others in your household engage in agricultural activities prior to your displacement?
[OPERATOR: SINGLE RESPONSE.]
1)YES
2)NO
3)DON'T KNOW
4)REFUSED</t>
        </is>
      </c>
      <c r="E69" s="569">
        <f>LEN(D69)</f>
        <v/>
      </c>
      <c r="F69" s="570" t="inlineStr">
        <is>
          <t>هل شاركت أنت أو أي شخص آخر في أسرتك في أنشطة زراعية قبل نزوحك؟
[المشغل: إجابة واحدة.]
1)نعم
2)لا
3)لا أعرف
4) رفض الإجابة</t>
        </is>
      </c>
      <c r="G69" s="569">
        <f>LEN(F69)</f>
        <v/>
      </c>
      <c r="H69" s="571" t="inlineStr">
        <is>
          <t>Single Choice</t>
        </is>
      </c>
      <c r="I69" s="569" t="inlineStr">
        <is>
          <t>NA</t>
        </is>
      </c>
      <c r="J69" s="50" t="inlineStr">
        <is>
          <t>Send if "hh_residencetype" "Equals" "Returnee" Or "hh_residencetype" "Equals" "Internally displaced person [IDP]" Or "hh_residencetype" "Equals" "Refugee" Or "hh_residencecomp" "Contains" "Returnee" Or "hh_residencecomp" "Contains" "Internally displaced person [IDP]" Or "hh_residencecomp" "Contains" "Refugee" if not satisfied go to "hh_size"</t>
        </is>
      </c>
      <c r="K69" s="569" t="inlineStr">
        <is>
          <t>Form Type - Buttons</t>
        </is>
      </c>
      <c r="L69" s="24" t="inlineStr">
        <is>
          <t>NA</t>
        </is>
      </c>
      <c r="M69" s="581" t="inlineStr">
        <is>
          <t>1 = hh_predisp_agricactivity_type
2-4 = hh_size</t>
        </is>
      </c>
      <c r="N69" s="482" t="n"/>
      <c r="O69" s="572" t="inlineStr">
        <is>
          <t>If hh_disp_agricactivity = 1, go to hh_disp_agricactivity_type; otherwise, go to hh_size.</t>
        </is>
      </c>
      <c r="P69" s="24" t="inlineStr"/>
      <c r="Q69" s="19" t="n"/>
      <c r="R69" s="483" t="n"/>
      <c r="S69" s="54" t="n"/>
      <c r="U69" s="484" t="inlineStr">
        <is>
          <t>no</t>
        </is>
      </c>
      <c r="V69" s="612" t="n"/>
      <c r="Y69" s="639" t="n"/>
      <c r="Z69" s="639" t="n"/>
      <c r="AA69" s="54" t="inlineStr"/>
      <c r="AI69" s="486" t="n"/>
    </row>
    <row r="70" ht="162" customFormat="1" customHeight="1" s="113">
      <c r="A70" s="18">
        <f>A69+1</f>
        <v/>
      </c>
      <c r="B70" s="480" t="inlineStr">
        <is>
          <t>hh_predisp_agricactivity_type</t>
        </is>
      </c>
      <c r="C70" s="481" t="inlineStr">
        <is>
          <t>hh_predisp_agricactivity_type
1)hh_predisp_crpprod
2)hh_predisp_lsprod
3)hh_predisp_fishprod
4)hh_predisp_dk
5)hh_predisp_ref</t>
        </is>
      </c>
      <c r="D70" s="556" t="inlineStr">
        <is>
          <t>What type of agricultural activities were they? 
[OPERATOR: MULTIPLE RESPONSES POSSIBLE.]
1)Crop production
2) Livestock production
3)Fisheries or aquaculture production
4)DON'T KNOW
5)REFUSED</t>
        </is>
      </c>
      <c r="E70" s="569">
        <f>LEN(D70)</f>
        <v/>
      </c>
      <c r="F70" s="570" t="inlineStr">
        <is>
          <t>ما نوع الأنشطة الزراعية التي مارستها/مارسوها؟
[المشغل: إجابات متعددة ممكنة.]
1) إنتاج المحاصيل
2) إنتاج الثروة الحيوانية
3) إنتاج  الأسماك أو تربية الأحياء المائية
4) لا أعرف
5) رفض الإجابة</t>
        </is>
      </c>
      <c r="G70" s="569">
        <f>LEN(F70)</f>
        <v/>
      </c>
      <c r="H70" s="571" t="inlineStr">
        <is>
          <t>Select All That Apply</t>
        </is>
      </c>
      <c r="I70" s="569" t="inlineStr">
        <is>
          <t>NA</t>
        </is>
      </c>
      <c r="J70" s="569" t="inlineStr">
        <is>
          <t>NA</t>
        </is>
      </c>
      <c r="K70" s="569" t="inlineStr">
        <is>
          <t>Form Type - Checklist
4,5= IsNone</t>
        </is>
      </c>
      <c r="L70" s="568" t="inlineStr">
        <is>
          <t>1)hh_predisp_crpprod
2)hh_predisp_lsprod
3)hh_predisp_fishprod
4)hh_predisp_dk
5)hh_predisp_ref</t>
        </is>
      </c>
      <c r="M70" s="581" t="inlineStr">
        <is>
          <t>1-5 = crp_returnee_plotaccess</t>
        </is>
      </c>
      <c r="N70" s="482" t="inlineStr">
        <is>
          <t>GeoPoll  [10/14/2025] Changed the skip pattern here from "hh_size" to " crp_returnee_plotaccess"</t>
        </is>
      </c>
      <c r="O70" s="572" t="inlineStr">
        <is>
          <t>For any response, go to hh_size.</t>
        </is>
      </c>
      <c r="P70" s="24" t="inlineStr"/>
      <c r="Q70" s="19" t="n"/>
      <c r="R70" s="483" t="n"/>
      <c r="S70" s="54" t="n"/>
      <c r="U70" s="484" t="inlineStr">
        <is>
          <t>no</t>
        </is>
      </c>
      <c r="V70" s="612" t="n"/>
      <c r="Y70" s="639" t="n"/>
      <c r="Z70" s="639" t="n"/>
      <c r="AA70" s="54" t="inlineStr"/>
      <c r="AI70" s="486" t="n"/>
    </row>
    <row r="71" ht="180" customFormat="1" customHeight="1" s="218">
      <c r="A71" s="18">
        <f>A70+1</f>
        <v/>
      </c>
      <c r="B71" s="234" t="inlineStr">
        <is>
          <t>crp_returnee_plotaccess</t>
        </is>
      </c>
      <c r="C71" s="235" t="inlineStr">
        <is>
          <t>crp_returnee_plotaccess</t>
        </is>
      </c>
      <c r="D71" s="582" t="inlineStr">
        <is>
          <t>If you used to cultivate land in this area, fled and have since returned, are you able to access the same land as before?
[OPERATOR: SINGLE RESPONSE.]
1)YES
2)NO
3)I never had land here
4)DON'T KNOW
5)REFUSED</t>
        </is>
      </c>
      <c r="E71" s="313">
        <f>LEN(D71)</f>
        <v/>
      </c>
      <c r="F71" s="583" t="inlineStr">
        <is>
          <t>إذا كنت تزرع أرضًا في هذه المنطقة، ثم نزحت وعدت منذ ذلك الحين، فهل يمكنك الوصول إلى نفس الأرض كما كنت تفعل من قبل؟
[المشغل: إجابة واحدة.]
1)نعم
2)لا
3)لم يكن لدي أرض هنا قط
4)لا أعرف
5) رفض الإجابة</t>
        </is>
      </c>
      <c r="G71" s="292">
        <f>LEN(F71)</f>
        <v/>
      </c>
      <c r="H71" s="576" t="inlineStr">
        <is>
          <t>Single Choice</t>
        </is>
      </c>
      <c r="I71" s="313" t="inlineStr">
        <is>
          <t>NA</t>
        </is>
      </c>
      <c r="J71" s="232" t="inlineStr">
        <is>
          <t>Send if "hh_residencetype" "Equals" "Returnee" if not satisfied go to "hh_size"</t>
        </is>
      </c>
      <c r="K71" s="232" t="inlineStr">
        <is>
          <t>Form Type - Buttons</t>
        </is>
      </c>
      <c r="L71" s="236" t="inlineStr">
        <is>
          <t>NA</t>
        </is>
      </c>
      <c r="M71" s="237" t="inlineStr">
        <is>
          <t>1 = hh_size
2 = crp_orig_plot
3-5 =hh_size</t>
        </is>
      </c>
      <c r="N71" s="354" t="n"/>
      <c r="O71" s="563" t="inlineStr">
        <is>
          <t>Asked only to respondents that indicated returnees as head of household, if non-returnee, proceed to hh_size.
If crp_returnee_plotaccess = 1,3-5, go to hh_size
if crp_returnee_plotaccess = 2, go to crp_orig_plot</t>
        </is>
      </c>
      <c r="P71" s="215" t="inlineStr"/>
      <c r="Q71" s="238" t="n"/>
      <c r="R71" s="317" t="n"/>
      <c r="S71" s="217" t="n"/>
      <c r="U71" s="239" t="inlineStr">
        <is>
          <t>no</t>
        </is>
      </c>
      <c r="V71" s="220" t="n"/>
      <c r="Y71" s="641" t="n"/>
      <c r="Z71" s="641" t="n"/>
      <c r="AA71" s="217" t="inlineStr"/>
    </row>
    <row r="72" ht="245.15" customFormat="1" customHeight="1" s="59">
      <c r="A72" s="18">
        <f>A71+1</f>
        <v/>
      </c>
      <c r="B72" s="584" t="inlineStr">
        <is>
          <t>crp_orig_plot</t>
        </is>
      </c>
      <c r="C72" s="479" t="inlineStr">
        <is>
          <t>crp_orig_plot_
1)crp_origplot_occup_comm
2)crp_origplot_occup_displacedppl
3)crp_origplot_occup_armedgps
4)crp_plot_unsafe_armedgps
5)crp_plot_unsafe_explosives
6)crp_orig_plot_distance
7)crp_orig_plot_other
8)crp_orig_plot_dk
9)crp_orig_plot_ref</t>
        </is>
      </c>
      <c r="D72" s="585" t="inlineStr">
        <is>
          <t>Why are you unable to access your original land for cultivation?
[OPERATOR: MULTIPLE RESPONSES POSSIBLE.]
1)Occupied by someone else from my community
2)Land given away to / occupied by displaced persons
3)Occupied by armed groups 
4)No safe access - presence of armed groups  
5)No safe access - there are explosive ordnance/ IEDs/ or landmines on the land
6)Land is too far from where I'm settled
7)Other [specify]
8)DON'T KNOW
9)REFUSED</t>
        </is>
      </c>
      <c r="E72" s="179">
        <f>LEN(D72)</f>
        <v/>
      </c>
      <c r="F72" s="586" t="inlineStr">
        <is>
          <t>لماذا لا تستطيع الوصول إلى أرضك الأصلية للزراعة؟
[المشغل: إجابات متعددة ممكنة.]
1) محتلة من قبل شخص آخر من مجتمعي
2) الأرض مُنحت للنازحين/محتلة من قبلهم
3) محتلة من قبل الجماعات المسلحة
4) عدم وجود وصول آمن - وجود الجماعات المسلحة
5) عدم وجود وصول آمن - هناك ذخائر متفجرة أو عبوات ناسفة أو ألغام أرضية على الأرض
6) الأرض بعيدة جدًا عن المكان الذي أستقر فيه
7) أخرى [حدد]
8) لا أعرف
9) رفض الإجابة</t>
        </is>
      </c>
      <c r="G72" s="569">
        <f>LEN(F72)</f>
        <v/>
      </c>
      <c r="H72" s="566" t="inlineStr">
        <is>
          <t>Open Ended-Select All That Apply</t>
        </is>
      </c>
      <c r="I72" s="569" t="inlineStr">
        <is>
          <t>NA</t>
        </is>
      </c>
      <c r="J72" s="569" t="inlineStr">
        <is>
          <t>NA</t>
        </is>
      </c>
      <c r="K72" s="569" t="inlineStr">
        <is>
          <t>Form Type - Checklist
8,9 = IsNone</t>
        </is>
      </c>
      <c r="L72" s="25" t="inlineStr">
        <is>
          <t>1)crp_origplot_occup_comm
2)crp_origplot_occup_displacedppl
3)crp_origplot_occup_armedgps
4)crp_plot_unsafe_armedgps
5)crp_plot_unsafe_explosives
6)crp_orig_plot_distance
7)crp_orig_plot_other
8)crp_orig_plot_dk
9)crp_orig_plot_ref</t>
        </is>
      </c>
      <c r="M72" s="581" t="inlineStr">
        <is>
          <t>1-9 = hh_size</t>
        </is>
      </c>
      <c r="N72" s="477" t="inlineStr">
        <is>
          <t xml:space="preserve">GeoPoll [10/14/2025]. Updated the skip patterns range from 8 to 9. </t>
        </is>
      </c>
      <c r="O72" s="572" t="inlineStr">
        <is>
          <t>For any response, go to hh_size.</t>
        </is>
      </c>
      <c r="P72" s="24" t="inlineStr"/>
      <c r="Q72" s="9" t="n"/>
      <c r="R72" s="300">
        <f>'[1]Additional information'!$D$17</f>
        <v/>
      </c>
      <c r="S72" s="53" t="n"/>
      <c r="U72" s="61" t="inlineStr">
        <is>
          <t>no</t>
        </is>
      </c>
      <c r="V72" s="613" t="n"/>
      <c r="Y72" s="632" t="n"/>
      <c r="Z72" s="632">
        <f>IF(Y72="","",Y72*R72)</f>
        <v/>
      </c>
      <c r="AA72" s="53" t="inlineStr"/>
    </row>
    <row r="73" ht="142.5" customFormat="1" customHeight="1" s="218">
      <c r="A73" s="18">
        <f>A72+1</f>
        <v/>
      </c>
      <c r="B73" s="290" t="inlineStr">
        <is>
          <t>hh_size</t>
        </is>
      </c>
      <c r="C73" s="579" t="inlineStr">
        <is>
          <t>hh_size</t>
        </is>
      </c>
      <c r="D73" s="580" t="inlineStr">
        <is>
          <t>How many people are part of the household?
[OPERATOR: RECORD NUMBER OF MEMBERS IN HOUSEHOLD. ENTER 88 FOR DON'T KNOW &amp; 99 FOR REFUSED.]
[HINT: TO BE A PART OF THE SAME HOUSEHOLD, MEMBERS MUST LIVE UNDER THE SAME ROOF, SHARE THE SAME RESOURCES &amp; EAT FROM THE SAME POT.]</t>
        </is>
      </c>
      <c r="E73" s="292">
        <f>LEN(D73)</f>
        <v/>
      </c>
      <c r="F73" s="557" t="inlineStr">
        <is>
          <t>كم عدد الأشخاص الذين هم جزء من الأسرة؟
[المُشغل: سجل عدد أعضاء الأسرة. أدخل 88 للا أعرف و 99 في حالة الرفض.]
[ملحوظة: لكي يكونوا جزءًا من نفس الأسرة، يجب أن يكون جميع الاعضاء يعيشون تحت سقف منزل واحد، و يتشاركون نفس الموارد و يأكلون من نفس القدر]</t>
        </is>
      </c>
      <c r="G73" s="292">
        <f>LEN(F73)</f>
        <v/>
      </c>
      <c r="H73" s="579" t="inlineStr">
        <is>
          <t>Range</t>
        </is>
      </c>
      <c r="I73" s="292" t="inlineStr">
        <is>
          <t>NA</t>
        </is>
      </c>
      <c r="J73" s="292" t="inlineStr">
        <is>
          <t>NA</t>
        </is>
      </c>
      <c r="K73" s="292" t="inlineStr">
        <is>
          <t>Form Type - TextBox</t>
        </is>
      </c>
      <c r="L73" s="215" t="inlineStr">
        <is>
          <t>NA</t>
        </is>
      </c>
      <c r="M73" s="230" t="inlineStr">
        <is>
          <t>1-50 = o_hh_asset
88-88 = o_hh_asset
99-99 = o_hh_asset</t>
        </is>
      </c>
      <c r="N73" s="353" t="n"/>
      <c r="O73" s="578" t="inlineStr">
        <is>
          <t>For any response, go to [next question]</t>
        </is>
      </c>
      <c r="P73" s="240" t="inlineStr">
        <is>
          <t>For any response, go to  o_hh_asset</t>
        </is>
      </c>
      <c r="Q73" s="238" t="n"/>
      <c r="R73" s="317">
        <f>1</f>
        <v/>
      </c>
      <c r="S73" s="217" t="n"/>
      <c r="U73" s="219" t="inlineStr">
        <is>
          <t>no</t>
        </is>
      </c>
      <c r="V73" s="220" t="n"/>
      <c r="Y73" s="633" t="n">
        <v>16.90229415893555</v>
      </c>
      <c r="Z73" s="633">
        <f>IF(Y73="","",Y73*R73)</f>
        <v/>
      </c>
      <c r="AA73" s="217" t="inlineStr"/>
    </row>
    <row r="74" ht="409.5" customFormat="1" customHeight="1" s="59">
      <c r="A74" s="18">
        <f>A73+1</f>
        <v/>
      </c>
      <c r="B74" s="567" t="inlineStr">
        <is>
          <t>o_hh_asset</t>
        </is>
      </c>
      <c r="C74" s="568" t="inlineStr">
        <is>
          <t>1)o_hh_asset_Land
2)o_hh_asset_Farm/agriculture tools [manual items like a plough/ sickle/ rake etc.]
3)o_hh_asset_Farm/agriculture machinery [e.g. tractor/ power harvester/ etc.]
4)o_hh_asset_Water/irrigation pump
5)o_hh_asset_Processing assets [e.g. grinding/crushing machine/ mill/ oil press]
6)o_hh_asset_Fishing net
7)o_hh_asset_Fishing boat
8)o_hh_asset_Livestock [cattle/goats/sheep]
9)o_hh_asset_Taxi/ Truck/Van [small truck]
10)o_hh_asset_Car
11)o_hh_asset_Motorbike / scooter / auto rickshaw
12)o_hh_asset_Bicycle
13)o_hh_asset_Sewing machine or weaving tool
14)o_hh_asset_Other productive assets
15)o_hh_asset_Do not own any productive assets
16)o_hh_asset_House/Apartment
17)o_hh_asset_Mattress or sofa
18)o_hh_asset_Stove
19)o_hh_asset_Fridge
20)o_hh_asset_Television
21)o_hh_asset_Radio
22)o_hh_asset_Mobile phone
23)o_hh_asset_Internet
24)o_hh_asset_Bank savings/jewellery/other savings
25)o_hh_asset_Generator
26)o_hh_asset_Electric bulbs/solar panels/batteries
27)o_hh_asset_Other household assets
28)o_hh_asset_Do not own any household assets
29)o_hh_asset_DON'T KNOW
30)o_hh_asset_REFUSED</t>
        </is>
      </c>
      <c r="D74" s="556" t="inlineStr">
        <is>
          <t>Does your household own any of the following assets? 
[OPERATOR: MULTIPLE RESPONSES POSSIBLE. READ ANSWER OPTIONS OUT LOUD.]
1)Land
2)Farm/agriculture tools [manual items like a plough/ sickle/ rake etc.]
3)Farm/agriculture machinery [e.g. tractor/ power harvester/ etc.]
4)Water/irrigation pump
5)Processing assets [e.g. grinding/crushing machine/ mill/ oil press]
6)Fishing net
7)Fishing boat
8)Livestock [cattle/goats/sheep]
9)Taxi/ Truck/Van [small truck]
10)Car
11)Motorbike / scooter / auto rickshaw
12)Bicycle
13)Sewing machine or weaving tool
14)Other productive assets
15)Do not own any productive assets
16)House/Apartment
17)Mattress or sofa
18)Stove
19)Fridge
20)Television
21)Radio
22)Mobile phone
23)Internet
24)Bank savings/jewellery/other savings
25)Generator
26)Electric bulbs/solar panels/batteries 
27)Other household assets
28)Do not own any household assets
29)DON’T KNOW
30)REFUSED</t>
        </is>
      </c>
      <c r="E74" s="569">
        <f>LEN(D74)</f>
        <v/>
      </c>
      <c r="F74" s="570" t="inlineStr">
        <is>
          <t>هل تمتلك أسرتك أيًا من الأصول التالية؟
[المشغل: عدة استجابات محتملة. يرجي قراءة اختيارات الإجابة بصوت مرتفع]
1) أرض
2) معدات زراعية [معدات زراعية يدوية مثل المحراث ، والمنجل ، مجرفة ، إلخ]
3) آلات زراعية [على سبيل المثال حراثة ، حصادة كهربائية ، إلخ]
4) مضخة مياه / ري
5) ادوات تستخدم لمعاملات ما بعد الحصاد [على سبيل المثال آلة طحن / سحق ، مطحنة ، معصرة زيت]
6) شبكة صيد
7) قارب صيد
8) الثروة الحيوانية [الأبقار / الماعز / الأغنام]
9) تاكسي / شاحنة / سيارة نقل [شاحنة صغيرة]
10) سيارة
11) دراجة نارية / دراجة صغيرة / عربة آلية
12) دراجة هوائية
13) ماكينة الخياطة أو أداة النسيج
14) أصول إنتاجية أخرى
15) لا تملك أي أصول إنتاجية
16) بيت / شقة
17) مرتبة أو أريكة
18) موقد
19) ثلاجة
20) تلفاز
21) راديو
22) الهاتف المحمول
23) الإنترنت
24) مدخرات بنكية / مجوهرات / مدخرات أخرى
25) مولد
26) المصابيح الكهربائية / الألواح الشمسية / البطاريات
27) أصول الأسرة الأخرى
28) لا تملك أي أصول منزلية
29) لا أعرف
30) رفض الإجابة</t>
        </is>
      </c>
      <c r="G74" s="569">
        <f>LEN(F74)</f>
        <v/>
      </c>
      <c r="H74" s="571" t="inlineStr">
        <is>
          <t>Select All That Apply</t>
        </is>
      </c>
      <c r="I74" s="569" t="inlineStr">
        <is>
          <t>NA</t>
        </is>
      </c>
      <c r="J74" s="569" t="inlineStr">
        <is>
          <t>NA</t>
        </is>
      </c>
      <c r="K74" s="569" t="inlineStr">
        <is>
          <t>Form Type - Checklist
28,29,30 = IsNone</t>
        </is>
      </c>
      <c r="L74" s="24" t="inlineStr">
        <is>
          <t>1)o_hh_asset_Land
2)o_hh_asset_Farm/agriculture tools [manual items like a plough/ sickle/ rake etc.]
3)o_hh_asset_Farm/agriculture machinery [e.g. tractor/ power harvester/ etc.]
4)o_hh_asset_Water/irrigation pump
5)o_hh_asset_Processing assets [e.g. grinding/crushing machine/ mill/ oil press]
6)o_hh_asset_Fishing net
7)o_hh_asset_Fishing boat
8)o_hh_asset_Livestock [cattle/goats/sheep]
9)o_hh_asset_Taxi/ Truck/Van [small truck]
10)o_hh_asset_Car
11)o_hh_asset_Motorbike / scooter / auto rickshaw
12)o_hh_asset_Bicycle
13)o_hh_asset_Sewing machine or weaving tool
14)o_hh_asset_Other productive assets
15)o_hh_asset_Do not own any productive assets
16)o_hh_asset_House/Apartment
17)o_hh_asset_Mattress or sofa
18)o_hh_asset_Stove
19)o_hh_asset_Fridge
20)o_hh_asset_Television
21)o_hh_asset_Radio
22)o_hh_asset_Mobile phone
23)o_hh_asset_Internet
24)o_hh_asset_Bank savings/jewellery/other savings
25)o_hh_asset_Generator
26)o_hh_asset_Electric bulbs/solar panels/batteries
27)o_hh_asset_Other household assets
28)o_hh_asset_Do not own any household assets
29)o_hh_asset_DON'T KNOW
30)o_hh_asset_REFUSED</t>
        </is>
      </c>
      <c r="M74" s="581" t="inlineStr">
        <is>
          <t>1-30 =  hh_maritalstat</t>
        </is>
      </c>
      <c r="N74" s="508" t="inlineStr">
        <is>
          <t>GeoPoll [10/14/2025]. Updated the Qnames and codes to align with R11 and R12. The validated questionnaire for R13 had the following codes/Qnames:hh_asset_prod_
1)hh_asset_prod_process
2)hh_asset_prod_farmmach
3)hh_asset_prod_sewing
4)hh_asset_prod_taxi
5)hh_asset_prod_truck
6)hh_asset_prod_other
7) hh_asset_prod_none
8) hh_asset_prod_dk
9) hh_asset_prod_ref</t>
        </is>
      </c>
      <c r="O74" s="572" t="inlineStr">
        <is>
          <t>For any response, go to [hh_maritalstat]</t>
        </is>
      </c>
      <c r="P74" s="24" t="inlineStr">
        <is>
          <t>1-30 =  hh_maritalstat</t>
        </is>
      </c>
      <c r="Q74" s="478" t="inlineStr">
        <is>
          <t xml:space="preserve">This wealth indicator may be useful to Identify poor households in middle income countries. It could be interesting for F2F surveys, to be used as baseline reference for follow-up surveys. </t>
        </is>
      </c>
      <c r="R74" s="300">
        <f>1</f>
        <v/>
      </c>
      <c r="S74" s="53" t="n"/>
      <c r="U74" s="61" t="inlineStr">
        <is>
          <t>no</t>
        </is>
      </c>
      <c r="V74" s="613" t="n"/>
      <c r="Y74" s="632" t="n">
        <v>16.95780372619629</v>
      </c>
      <c r="Z74" s="632">
        <f>IF(Y74="","",Y74*R74)</f>
        <v/>
      </c>
      <c r="AA74" s="53" t="inlineStr"/>
    </row>
    <row r="75" ht="191.25" customFormat="1" customHeight="1" s="218">
      <c r="A75" s="18">
        <f>A74+1</f>
        <v/>
      </c>
      <c r="B75" s="242" t="inlineStr">
        <is>
          <t>hh_maritalstat</t>
        </is>
      </c>
      <c r="C75" s="243" t="inlineStr">
        <is>
          <t>hh_maritalstat</t>
        </is>
      </c>
      <c r="D75" s="244" t="inlineStr">
        <is>
          <t>What is the head of household’s current marital status? 
[OPERATOR: SINGLE RESPONSE.]
1)Single / never married 
2)Married
3)Separated
4)Divorced
5)Widowed
6)DON’T KNOW
7)REFUSED</t>
        </is>
      </c>
      <c r="E75" s="245">
        <f>LEN(D75)</f>
        <v/>
      </c>
      <c r="F75" s="246" t="inlineStr">
        <is>
          <t>ما هي الحالة الاجتماعية الحالية لرب الأسرة؟
[المشغل: استجابة واحدة.]
1) أعزب / لم يتزوج قط
2) متزوج
3) منفصل
4) مطلق
5) أرمل
6) لا أعرف
7) رفض الإجابة</t>
        </is>
      </c>
      <c r="G75" s="245">
        <f>LEN(F75)</f>
        <v/>
      </c>
      <c r="H75" s="579" t="inlineStr">
        <is>
          <t>Single Choice</t>
        </is>
      </c>
      <c r="I75" s="247" t="inlineStr">
        <is>
          <t>NA</t>
        </is>
      </c>
      <c r="J75" s="247" t="inlineStr">
        <is>
          <t>NA</t>
        </is>
      </c>
      <c r="K75" s="292" t="inlineStr">
        <is>
          <t>Form Type - Buttons</t>
        </is>
      </c>
      <c r="L75" s="215" t="inlineStr">
        <is>
          <t>NA</t>
        </is>
      </c>
      <c r="M75" s="230" t="inlineStr">
        <is>
          <t>1-7 = hh_age</t>
        </is>
      </c>
      <c r="N75" s="353" t="n"/>
      <c r="O75" s="578" t="inlineStr">
        <is>
          <t>For any response, go to [next question]</t>
        </is>
      </c>
      <c r="P75" s="215" t="inlineStr">
        <is>
          <t>1-7 = hh_age</t>
        </is>
      </c>
      <c r="Q75" s="248" t="n"/>
      <c r="R75" s="317">
        <f>1</f>
        <v/>
      </c>
      <c r="S75" s="217" t="n"/>
      <c r="U75" s="219" t="inlineStr">
        <is>
          <t>no</t>
        </is>
      </c>
      <c r="V75" s="220" t="n"/>
      <c r="Y75" s="633" t="n">
        <v>9.96186637878418</v>
      </c>
      <c r="Z75" s="633">
        <f>IF(Y75="","",Y75*R75)</f>
        <v/>
      </c>
      <c r="AA75" s="217" t="inlineStr"/>
    </row>
    <row r="76" ht="183.75" customFormat="1" customHeight="1" s="218" thickBot="1">
      <c r="A76" s="18">
        <f>A75+1</f>
        <v/>
      </c>
      <c r="B76" s="231" t="inlineStr">
        <is>
          <t>hh_age</t>
        </is>
      </c>
      <c r="C76" s="233" t="inlineStr">
        <is>
          <t>hh_age</t>
        </is>
      </c>
      <c r="D76" s="249" t="inlineStr">
        <is>
          <t>How old is the head of household? 
[OPERATOR: SINGLE RESPONSE.]
1)Under 18
2)18 to 40 
3)41 to 65 
4)Over 65
5)DON'T KNOW
6)REFUSED</t>
        </is>
      </c>
      <c r="E76" s="245">
        <f>LEN(D76)</f>
        <v/>
      </c>
      <c r="F76" s="250" t="inlineStr">
        <is>
          <t>كم عمر رب الاسرة؟
[المشغل: استجابة واحدة.]
1) أقل من 18 عامًا
2) بين 18 و 40 عامًا
3) بين 41 و 65 عامًا
4) فوق 65 عامًا
5) لا أعرف
6) رفض الإجابة</t>
        </is>
      </c>
      <c r="G76" s="245">
        <f>LEN(F76)</f>
        <v/>
      </c>
      <c r="H76" s="579" t="inlineStr">
        <is>
          <t>Single Choice</t>
        </is>
      </c>
      <c r="I76" s="245" t="inlineStr">
        <is>
          <t>NA</t>
        </is>
      </c>
      <c r="J76" s="245" t="inlineStr">
        <is>
          <t>NA</t>
        </is>
      </c>
      <c r="K76" s="292" t="inlineStr">
        <is>
          <t>Form Type - Buttons</t>
        </is>
      </c>
      <c r="L76" s="215" t="inlineStr">
        <is>
          <t>NA</t>
        </is>
      </c>
      <c r="M76" s="230" t="inlineStr">
        <is>
          <t>1-6 = income_main</t>
        </is>
      </c>
      <c r="N76" s="353" t="n"/>
      <c r="O76" s="578" t="inlineStr">
        <is>
          <t>For any response, go to [next question]</t>
        </is>
      </c>
      <c r="P76" s="215" t="inlineStr">
        <is>
          <t>1-6 = o_fishery_activity</t>
        </is>
      </c>
      <c r="Q76" s="238" t="n"/>
      <c r="R76" s="317">
        <f>1</f>
        <v/>
      </c>
      <c r="S76" s="217" t="n"/>
      <c r="U76" s="219" t="inlineStr">
        <is>
          <t>no</t>
        </is>
      </c>
      <c r="V76" s="220" t="n"/>
      <c r="Y76" s="633" t="n">
        <v>7.02484130859375</v>
      </c>
      <c r="Z76" s="633">
        <f>IF(Y76="","",Y76*R76)</f>
        <v/>
      </c>
      <c r="AA76" s="217" t="inlineStr"/>
    </row>
    <row r="77" ht="16.4" customFormat="1" customHeight="1" s="149" thickBot="1">
      <c r="A77" s="604" t="inlineStr">
        <is>
          <t>C. INCOME SOURCES, LIVELIHOOD AND SHOCKS</t>
        </is>
      </c>
      <c r="B77" s="629" t="n"/>
      <c r="C77" s="629" t="n"/>
      <c r="D77" s="629" t="n"/>
      <c r="E77" s="629" t="n"/>
      <c r="F77" s="629" t="n"/>
      <c r="G77" s="629" t="n"/>
      <c r="H77" s="629" t="n"/>
      <c r="I77" s="629" t="n"/>
      <c r="J77" s="629" t="n"/>
      <c r="K77" s="629" t="n"/>
      <c r="L77" s="629" t="n"/>
      <c r="M77" s="629" t="n"/>
      <c r="N77" s="629" t="n"/>
      <c r="O77" s="629" t="n"/>
      <c r="P77" s="629" t="n"/>
      <c r="Q77" s="630" t="n"/>
      <c r="R77" s="306" t="n"/>
      <c r="S77" s="151" t="n"/>
      <c r="U77" s="150" t="n"/>
      <c r="V77" s="623" t="n"/>
      <c r="Y77" s="631" t="n"/>
      <c r="Z77" s="631">
        <f>IF(Y77="","",Y77*R77)</f>
        <v/>
      </c>
      <c r="AA77" s="151">
        <f>IF(U77="yes",Z77,"")</f>
        <v/>
      </c>
    </row>
    <row r="78" ht="409.5" customFormat="1" customHeight="1" s="59">
      <c r="A78" s="38">
        <f>A76+1</f>
        <v/>
      </c>
      <c r="B78" s="114" t="inlineStr">
        <is>
          <t>income_main</t>
        </is>
      </c>
      <c r="C78" s="58" t="inlineStr">
        <is>
          <t>income_main</t>
        </is>
      </c>
      <c r="D78" s="57" t="inlineStr">
        <is>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is>
      </c>
      <c r="E78" s="56">
        <f>LEN(D78)</f>
        <v/>
      </c>
      <c r="F78" s="143" t="inlineStr">
        <is>
          <t>ما كان مصدر الدخل الرئيسي لأسرتك في الأشهر الثلاثة الماضية؟
[المشغل: استجابة واحدة. يجب تجنب الخيار "رفض الإجابة" قدر الإمكان.]
1) إنتاج وبيع المحاصيل الأساسية
2) إنتاج وبيع الخضار أو الفاكهة
3) إنتاج وبيع المحاصيل النقدية
4) إنتاج وبيع الحيوانات الأليفة أو منتجاتها
5) انتاج و بيع العسل أو منتجات النحل 
6) إنتاج وبيع الأسماك أو منتجات المنتجات المائية
7) جمع وبيع منتجات الغابات أو الأحراش
8) التجارة الزراعية الرسمية و غير الرسمية باستثناء المنتجين
9) الأجر اليومي في المزارع وغيرها من العمالة العرضية في قطاع الزراعة
10) العمالة المستقرة في القطاع الزراعي
11) العاملين لحسابهم الخاص غير الزراعيين أو المهنة الحرة / طبيب / مهندس معماري / محامٍ / بما في ذلك مطعم
12) الأجور اليومية خارج المزرعة وغيرها من العمالة العرضية غير الزراعية
13) العمالة المستقرة في القطاع غير الزراعي
14) الوظائف العامة
15) الدخل غير المستمد من العمل / الاعمال الخيرية 
16) الدخل غير المستمد من العمل / المدفوعات التحويلية ، المعاش التقاعدي ، المساعدات الإنسانية
17) الدخل غير المستمد من العمل / التحويلات
18) الدخل غير المستمد من العمل / الدخل من الإيجارات الأخرى
19) لم يكن هناك مصدر دخل خلال الأشهر الثلاثة الماضية واستخدمت المدخرات أو الدين حصريًا
20) رفض الإجابة</t>
        </is>
      </c>
      <c r="G78" s="56">
        <f>LEN(F78)</f>
        <v/>
      </c>
      <c r="H78" s="58" t="inlineStr">
        <is>
          <t>Single Choice</t>
        </is>
      </c>
      <c r="I78" s="56" t="inlineStr">
        <is>
          <t>NA</t>
        </is>
      </c>
      <c r="J78" s="56" t="inlineStr">
        <is>
          <t>NA</t>
        </is>
      </c>
      <c r="K78" s="56" t="inlineStr">
        <is>
          <t>Form Type - Buttons
IsDemographic - income_main</t>
        </is>
      </c>
      <c r="L78" s="100" t="inlineStr">
        <is>
          <t>NA</t>
        </is>
      </c>
      <c r="M78" s="55" t="inlineStr">
        <is>
          <t>1-3 = income_main_crop_check
4 = income_main_ls_check 
5 = income_main_gender
6 = income_main_fish_check 
7-18 = income_main_gender
19-20 = shock</t>
        </is>
      </c>
      <c r="N78" s="195" t="n"/>
      <c r="O78" s="62" t="inlineStr">
        <is>
          <t>if options #1-3 selected go to income_main_crop_check 
if options #4 selected go to income_main_ls_check 
if options #6 selected go to income_main_fish_check
if options #5, 7-18 selected, go to [income_main_comp OR optional question] 
if options #19-20 selected, go to shock</t>
        </is>
      </c>
      <c r="P78" s="14" t="inlineStr">
        <is>
          <t>income_main_gender</t>
        </is>
      </c>
      <c r="Q78" s="19" t="n"/>
      <c r="R78" s="306">
        <f>1</f>
        <v/>
      </c>
      <c r="S78" s="53" t="n"/>
      <c r="U78" s="150" t="inlineStr">
        <is>
          <t>yes</t>
        </is>
      </c>
      <c r="V78" s="613" t="n"/>
      <c r="Y78" s="631" t="n">
        <v>31.88833427429199</v>
      </c>
      <c r="Z78" s="631">
        <f>IF(Y78="","",Y78*R78)</f>
        <v/>
      </c>
      <c r="AA78" s="53" t="inlineStr">
        <is>
          <t>31.88833427429199</t>
        </is>
      </c>
    </row>
    <row r="79" ht="147.75" customFormat="1" customHeight="1" s="59">
      <c r="A79" s="38">
        <f>A78+1</f>
        <v/>
      </c>
      <c r="B79" s="114" t="inlineStr">
        <is>
          <t>income_main_crop_check</t>
        </is>
      </c>
      <c r="C79" s="116" t="inlineStr">
        <is>
          <t>income_main_crop_check</t>
        </is>
      </c>
      <c r="D79" s="63" t="inlineStr">
        <is>
          <t>Are the crops sold also produced by you or anyone in your household?
[OPERATOR: SINGLE RESPONSE.]
1)YES
2)NO
3)DON'T KNOW
4)REFUSED</t>
        </is>
      </c>
      <c r="E79" s="56">
        <f>LEN(D79)</f>
        <v/>
      </c>
      <c r="F79" s="143" t="inlineStr">
        <is>
          <t>هل تم إنتاج المحاصيل التي تبيعها أنت أو أي شخص في منزلك أيضًا؟
[المشغل: استجابة واحدة.]
1) نعم
2) لا
3) لا أعرف
4) رفض الإجابة</t>
        </is>
      </c>
      <c r="G79" s="56">
        <f>LEN(F79)</f>
        <v/>
      </c>
      <c r="H79" s="58" t="inlineStr">
        <is>
          <t>Single Choice</t>
        </is>
      </c>
      <c r="I79" s="56" t="inlineStr">
        <is>
          <t>NA</t>
        </is>
      </c>
      <c r="J79" s="56" t="inlineStr">
        <is>
          <t>NA</t>
        </is>
      </c>
      <c r="K79" s="56" t="inlineStr">
        <is>
          <t>Form Type - Buttons</t>
        </is>
      </c>
      <c r="L79" s="100" t="inlineStr">
        <is>
          <t>NA</t>
        </is>
      </c>
      <c r="M79" s="55" t="inlineStr">
        <is>
          <t>1-4 = income_main_gender</t>
        </is>
      </c>
      <c r="N79" s="195" t="n"/>
      <c r="O79" s="62" t="inlineStr">
        <is>
          <t>if income_main_crop_check = 1-4, go to [income_main_comp OR optional question]</t>
        </is>
      </c>
      <c r="P79" s="14" t="inlineStr">
        <is>
          <t>1-4 = income_main_gender</t>
        </is>
      </c>
      <c r="Q79" s="19" t="n"/>
      <c r="R79" s="306">
        <f>1</f>
        <v/>
      </c>
      <c r="S79" s="53" t="n"/>
      <c r="U79" s="150" t="inlineStr">
        <is>
          <t>yes</t>
        </is>
      </c>
      <c r="V79" s="613" t="n"/>
      <c r="Y79" s="631" t="n">
        <v>8</v>
      </c>
      <c r="Z79" s="631">
        <f>IF(Y79="","",Y79*R79)</f>
        <v/>
      </c>
      <c r="AA79" s="53" t="inlineStr">
        <is>
          <t>8</t>
        </is>
      </c>
    </row>
    <row r="80" ht="140.5" customFormat="1" customHeight="1" s="59">
      <c r="A80" s="38">
        <f>A79+1</f>
        <v/>
      </c>
      <c r="B80" s="114" t="inlineStr">
        <is>
          <t>income_main_ls_check</t>
        </is>
      </c>
      <c r="C80" s="116" t="inlineStr">
        <is>
          <t>income_main_ls_check</t>
        </is>
      </c>
      <c r="D80" s="63" t="inlineStr">
        <is>
          <t>Are the livestock or livestock products sold also produced by you or anyone in your household?
[OPERATOR: SINGLE RESPONSE.]
1)YES
2)NO
3)DON'T KNOW
4)REFUSED</t>
        </is>
      </c>
      <c r="E80" s="56">
        <f>LEN(D80)</f>
        <v/>
      </c>
      <c r="F80" s="143" t="inlineStr">
        <is>
          <t>هل تم إنتاج المواشي ومنتجاتها التي تبيعها أنت أو أي شخص في منزلك أيضًا؟
[المشغل: استجابة واحدة.]
1) نعم
2) لا
3) لا أعرف
4) رفض الإجابة</t>
        </is>
      </c>
      <c r="G80" s="56">
        <f>LEN(F80)</f>
        <v/>
      </c>
      <c r="H80" s="58" t="inlineStr">
        <is>
          <t>Single Choice</t>
        </is>
      </c>
      <c r="I80" s="56" t="inlineStr">
        <is>
          <t>NA</t>
        </is>
      </c>
      <c r="J80" s="56" t="inlineStr">
        <is>
          <t>NA</t>
        </is>
      </c>
      <c r="K80" s="56" t="inlineStr">
        <is>
          <t>Form Type - Buttons</t>
        </is>
      </c>
      <c r="L80" s="100" t="inlineStr">
        <is>
          <t>NA</t>
        </is>
      </c>
      <c r="M80" s="55" t="inlineStr">
        <is>
          <t>1-4 = income_main_gender</t>
        </is>
      </c>
      <c r="N80" s="195" t="n"/>
      <c r="O80" s="62" t="inlineStr">
        <is>
          <t>if income_main_ls_check = 1-4, go to [income_main_comp OR optional question]</t>
        </is>
      </c>
      <c r="P80" s="14" t="inlineStr">
        <is>
          <t>1-4 = income_main_gender</t>
        </is>
      </c>
      <c r="Q80" s="19" t="n"/>
      <c r="R80" s="306">
        <f>1</f>
        <v/>
      </c>
      <c r="S80" s="53" t="n"/>
      <c r="U80" s="150" t="inlineStr">
        <is>
          <t>yes</t>
        </is>
      </c>
      <c r="V80" s="613" t="n"/>
      <c r="Y80" s="631" t="n">
        <v>8</v>
      </c>
      <c r="Z80" s="631">
        <f>IF(Y80="","",Y80*R80)</f>
        <v/>
      </c>
      <c r="AA80" s="53" t="inlineStr">
        <is>
          <t>8</t>
        </is>
      </c>
    </row>
    <row r="81" ht="171" customFormat="1" customHeight="1" s="59">
      <c r="A81" s="38">
        <f>A80+1</f>
        <v/>
      </c>
      <c r="B81" s="114" t="inlineStr">
        <is>
          <t>income_main_fish_check</t>
        </is>
      </c>
      <c r="C81" s="116" t="inlineStr">
        <is>
          <t>income_main_fish_check</t>
        </is>
      </c>
      <c r="D81" s="63" t="inlineStr">
        <is>
          <t>Are the fish or aquatic products sold also captured/harvested by you or anyone in your household?
[OPERATOR: SINGLE RESPONSE.]
1)YES
2)NO
3)DON'T KNOW
4)REFUSED</t>
        </is>
      </c>
      <c r="E81" s="56">
        <f>LEN(D81)</f>
        <v/>
      </c>
      <c r="F81" s="143" t="inlineStr">
        <is>
          <t>هل الأسماك أو المنتجات المائية التي تُباع تم أيضًا صيدها أو جمعها بواسطتك أو أي شخص في منزلك؟
[المشغل: استجابة واحدة.]
1) نعم
2) لا
3) لا أعرف
4) رفض الإجابة</t>
        </is>
      </c>
      <c r="G81" s="56">
        <f>LEN(F81)</f>
        <v/>
      </c>
      <c r="H81" s="58" t="inlineStr">
        <is>
          <t>Single Choice</t>
        </is>
      </c>
      <c r="I81" s="56" t="inlineStr">
        <is>
          <t>NA</t>
        </is>
      </c>
      <c r="J81" s="56" t="inlineStr">
        <is>
          <t>NA</t>
        </is>
      </c>
      <c r="K81" s="56" t="inlineStr">
        <is>
          <t>Form Type - Buttons</t>
        </is>
      </c>
      <c r="L81" s="100" t="inlineStr">
        <is>
          <t>NA</t>
        </is>
      </c>
      <c r="M81" s="55" t="inlineStr">
        <is>
          <t>1-4 = income_main_gender</t>
        </is>
      </c>
      <c r="N81" s="195" t="n"/>
      <c r="O81" s="62" t="inlineStr">
        <is>
          <t>if income_main_fish_check = 1-4, go to [income_main_comp OR optional question]</t>
        </is>
      </c>
      <c r="P81" s="14" t="inlineStr">
        <is>
          <t>1-4 = income_main_gender</t>
        </is>
      </c>
      <c r="Q81" s="19" t="n"/>
      <c r="R81" s="306">
        <f>1</f>
        <v/>
      </c>
      <c r="S81" s="53" t="n"/>
      <c r="U81" s="150" t="inlineStr">
        <is>
          <t>yes</t>
        </is>
      </c>
      <c r="V81" s="613" t="n"/>
      <c r="Y81" s="631" t="n">
        <v>8</v>
      </c>
      <c r="Z81" s="631">
        <f>IF(Y81="","",Y81*R81)</f>
        <v/>
      </c>
      <c r="AA81" s="53" t="inlineStr">
        <is>
          <t>8</t>
        </is>
      </c>
    </row>
    <row r="82" ht="177.75" customFormat="1" customHeight="1" s="218">
      <c r="A82" s="38">
        <f>A81+1</f>
        <v/>
      </c>
      <c r="B82" s="251" t="inlineStr">
        <is>
          <t>income_main_gender</t>
        </is>
      </c>
      <c r="C82" s="252" t="inlineStr">
        <is>
          <t>income_main_gender</t>
        </is>
      </c>
      <c r="D82" s="253" t="inlineStr">
        <is>
          <t>What is the gender of the household member[s] generating income from this source? 
[OPERATOR: SINGLE RESPONSE.]
1)Male
2)Female
3)Joint [both male &amp; female]
4)DON'T KNOW
5)REFUSED</t>
        </is>
      </c>
      <c r="E82" s="254">
        <f>LEN(D82)</f>
        <v/>
      </c>
      <c r="F82" s="293" t="inlineStr">
        <is>
          <t>ما هو جنس الفرد [ الأفراد ] داخل الاسرة الذين يحصلون علي الدخل من هذا المصدر ؟
[المشغل: استجابة واحدة.]
1) ذكر
2) أنثى 
3) مختلط [ ذكر و أنثى ]
4) لا أعرف
5) رفض الإجابة</t>
        </is>
      </c>
      <c r="G82" s="292">
        <f>LEN(F82)</f>
        <v/>
      </c>
      <c r="H82" s="255" t="inlineStr">
        <is>
          <t>Single Choice</t>
        </is>
      </c>
      <c r="I82" s="254" t="inlineStr">
        <is>
          <t>NA</t>
        </is>
      </c>
      <c r="J82" s="254" t="inlineStr">
        <is>
          <t>NA</t>
        </is>
      </c>
      <c r="K82" s="254" t="inlineStr">
        <is>
          <t>Form Type - Buttons</t>
        </is>
      </c>
      <c r="L82" s="215" t="inlineStr">
        <is>
          <t>NA</t>
        </is>
      </c>
      <c r="M82" s="256" t="inlineStr">
        <is>
          <t>1-5 = income_main_comp</t>
        </is>
      </c>
      <c r="N82" s="355" t="n"/>
      <c r="O82" s="257" t="inlineStr">
        <is>
          <t>if income_main_gender = 1-5, go to income_main_comp or optional question</t>
        </is>
      </c>
      <c r="P82" s="257" t="inlineStr">
        <is>
          <t>1-5 = income_main_comp</t>
        </is>
      </c>
      <c r="Q82" s="216" t="n"/>
      <c r="R82" s="317">
        <f>1</f>
        <v/>
      </c>
      <c r="S82" s="217" t="n"/>
      <c r="U82" s="219" t="inlineStr">
        <is>
          <t>no</t>
        </is>
      </c>
      <c r="V82" s="220" t="n"/>
      <c r="Y82" s="633" t="n">
        <v>4.787401676177979</v>
      </c>
      <c r="Z82" s="633">
        <f>IF(Y82="","",Y82*R82)</f>
        <v/>
      </c>
      <c r="AA82" s="217" t="inlineStr"/>
    </row>
    <row r="83" ht="234.75" customFormat="1" customHeight="1" s="59">
      <c r="A83" s="38">
        <f>A82+1</f>
        <v/>
      </c>
      <c r="B83" s="182" t="inlineStr">
        <is>
          <t>income_main_comp</t>
        </is>
      </c>
      <c r="C83" s="58" t="inlineStr">
        <is>
          <t>income_main_comp</t>
        </is>
      </c>
      <c r="D83" s="559" t="inlineStr">
        <is>
          <t>Has your household's income from {income_main} changed in the last 3 months compared to the same period of last year?
[OPERATOR: SINGLE RESPONSE.]
1)A lot more [increased by more than 50%]
2)Slightly more
3)Same
4)Slightly less
5)A lot less [less than half as much]
6)DON'T KNOW
7)REFUSED</t>
        </is>
      </c>
      <c r="E83" s="179">
        <f>LEN(D83)</f>
        <v/>
      </c>
      <c r="F83" s="559" t="inlineStr">
        <is>
          <t>هل تغير دخل أسرتك من {income_main} في الأشهر الثلاثة الماضية مقارنة بنفس الفترة من العام الماضي؟
[المشغل: استجابة واحدة.]
1) أكثر بكثير [زاد بنسبة تزيد عن 50٪]
2) أكثر قليلا
3) نفس الشيء
4) أقل قليلاً
5) أقل بكثير [أقل من نصف الكمية]
6) لا أعرف
7) رفض الإجابة</t>
        </is>
      </c>
      <c r="G83" s="179">
        <f>LEN(F83)</f>
        <v/>
      </c>
      <c r="H83" s="186" t="inlineStr">
        <is>
          <t>Single Choice</t>
        </is>
      </c>
      <c r="I83" s="179" t="inlineStr">
        <is>
          <t>NA</t>
        </is>
      </c>
      <c r="J83" s="179" t="inlineStr">
        <is>
          <t>NA</t>
        </is>
      </c>
      <c r="K83" s="179" t="inlineStr">
        <is>
          <t>Form Type - Buttons</t>
        </is>
      </c>
      <c r="L83" s="100" t="inlineStr">
        <is>
          <t>NA</t>
        </is>
      </c>
      <c r="M83" s="74" t="inlineStr">
        <is>
          <t>1-7= income_sec</t>
        </is>
      </c>
      <c r="N83" s="356" t="n"/>
      <c r="O83" s="74" t="inlineStr">
        <is>
          <t>if income_main_comp = 1-7, go to income_sec</t>
        </is>
      </c>
      <c r="P83" s="20" t="inlineStr"/>
      <c r="Q83" s="9" t="n"/>
      <c r="R83" s="306">
        <f>1</f>
        <v/>
      </c>
      <c r="S83" s="53" t="n"/>
      <c r="U83" s="150" t="inlineStr">
        <is>
          <t>yes</t>
        </is>
      </c>
      <c r="V83" s="613" t="n"/>
      <c r="Y83" s="631" t="n">
        <v>22.1262149810791</v>
      </c>
      <c r="Z83" s="631">
        <f>IF(Y83="","",Y83*R83)</f>
        <v/>
      </c>
      <c r="AA83" s="53" t="inlineStr">
        <is>
          <t>22.1262149810791</t>
        </is>
      </c>
    </row>
    <row r="84" ht="408.75" customFormat="1" customHeight="1" s="59">
      <c r="A84" s="38">
        <f>A83+1</f>
        <v/>
      </c>
      <c r="B84" s="182" t="inlineStr">
        <is>
          <t>income_sec</t>
        </is>
      </c>
      <c r="C84" s="58" t="inlineStr">
        <is>
          <t>income_sec</t>
        </is>
      </c>
      <c r="D84" s="559" t="inlineStr">
        <is>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is>
      </c>
      <c r="E84" s="179">
        <f>LEN(D84)</f>
        <v/>
      </c>
      <c r="F84" s="559" t="inlineStr">
        <is>
          <t>ما هو ثاني أهم مصدر دخل لأسرتك فى الثلاثة أشهر الماضية ؟
[المشغل: استجابة واحدة. يجب تجنب خيارات الإجابة "لا أعرف" و "رفض الإجابة" قدر الإمكان.]
1) إنتاج وبيع المحاصيل الأساسية
2) إنتاج وبيع الخضار أو الفاكهة
3) إنتاج وبيع المحاصيل النقدية
4) إنتاج وبيع الحيوانات الأليفة أو منتجاتها
5) انتاج و بيع العسل أو منتجات النحل 
6) إنتاج وبيع الأسماك أو منتجات المنتجات المائية
7) جمع وبيع منتجات الغابات أو الأحراش
8) التجارة الزراعية الرسمية و غير الرسمية باستثناء المنتجين
9) الأجر اليومي في المزارع وغيرها من العمالة العرضية في قطاع الزراعة
10) العمالة المستقرة في القطاع الزراعي
11) العاملين لحسابهم الخاص غير الزراعيين أو المهنة الحرة / طبيب / مهندس معماري / محامٍ / بما في ذلك مطعم
12) الأجور اليومية خارج المزرعة وغيرها من العمالة العرضية غير الزراعية
13) العمالة المستقرة في القطاع غير الزراعي
14) الوظائف العامة
15) الدخل غير المستمد من العمل / الاعمال الخيرية 
16) الدخل غير المستمد من العمل / المدفوعات التحويلية ، المعاش التقاعدي ، المساعدات الإنسانية
17) الدخل غير المستمد من العمل / التحويلات
18) الدخل غير المستمد من العمل / الدخل من الإيجارات الأخرى
19) لم يكن هناك مصدر دخل ثانٍ
20) لا أعرف
21) رفض الإجابة</t>
        </is>
      </c>
      <c r="G84" s="179">
        <f>LEN(F84)</f>
        <v/>
      </c>
      <c r="H84" s="186" t="inlineStr">
        <is>
          <t>Single Choice</t>
        </is>
      </c>
      <c r="I84" s="179" t="inlineStr">
        <is>
          <t>NA</t>
        </is>
      </c>
      <c r="J84" s="179" t="inlineStr">
        <is>
          <t>NA</t>
        </is>
      </c>
      <c r="K84" s="179" t="inlineStr">
        <is>
          <t>Form Type - Buttons
exclude selected "income_main"
IsDemographic - income_sec</t>
        </is>
      </c>
      <c r="L84" s="100" t="inlineStr">
        <is>
          <t>NA</t>
        </is>
      </c>
      <c r="M84" s="55" t="inlineStr">
        <is>
          <t>1-3 = income_sec_crop_check
4 = income_sec_ls_check
5 = income_sec_gender
6 = income_sec_fish_check
7-18 = income_sec_gender
19-21 = shock</t>
        </is>
      </c>
      <c r="N84" s="195" t="n"/>
      <c r="O84" s="62" t="inlineStr">
        <is>
          <t>if options #1-3 selected, go to income_sec_crop_check
if options #4 selected, go to income_sec_ls_check
if options #6 selected, go to income_sec_fish_check 
if options #5, 7-18 selected, go to [income_sec_comp OR optional question]
if options #19-21 selected, go to shock</t>
        </is>
      </c>
      <c r="P84" s="14" t="inlineStr">
        <is>
          <t>income_sec_gender</t>
        </is>
      </c>
      <c r="Q84" s="9" t="n"/>
      <c r="R84" s="306">
        <f>1</f>
        <v/>
      </c>
      <c r="S84" s="53" t="n"/>
      <c r="U84" s="150" t="inlineStr">
        <is>
          <t>yes</t>
        </is>
      </c>
      <c r="V84" s="613" t="n"/>
      <c r="Y84" s="631" t="n">
        <v>18.71065330505371</v>
      </c>
      <c r="Z84" s="631">
        <f>IF(Y84="","",Y84*R84)</f>
        <v/>
      </c>
      <c r="AA84" s="53" t="inlineStr">
        <is>
          <t>18.71065330505371</t>
        </is>
      </c>
    </row>
    <row r="85" ht="182.15" customFormat="1" customHeight="1" s="113">
      <c r="A85" s="38">
        <f>A84+1</f>
        <v/>
      </c>
      <c r="B85" s="114" t="inlineStr">
        <is>
          <t>income_sec_crop_check</t>
        </is>
      </c>
      <c r="C85" s="116" t="inlineStr">
        <is>
          <t>income_sec_crop_check</t>
        </is>
      </c>
      <c r="D85" s="63" t="inlineStr">
        <is>
          <t>Are the crops sold also produced by you or anyone in your household?
[OPERATOR: SINGLE RESPONSE.]
1)YES
2)NO
3)DON'T KNOW
4)REFUSED</t>
        </is>
      </c>
      <c r="E85" s="56">
        <f>LEN(D85)</f>
        <v/>
      </c>
      <c r="F85" s="143" t="inlineStr">
        <is>
          <t>هل تم إنتاج المحاصيل التي تبيعها أنت أو أي شخص في منزلك أيضًا؟
[المشغل: استجابة واحدة.]
1) نعم
2) لا
3) لا أعرف
4) رفض الإجابة</t>
        </is>
      </c>
      <c r="G85" s="179">
        <f>LEN(F85)</f>
        <v/>
      </c>
      <c r="H85" s="58" t="inlineStr">
        <is>
          <t>Single Choice</t>
        </is>
      </c>
      <c r="I85" s="56" t="inlineStr">
        <is>
          <t>NA</t>
        </is>
      </c>
      <c r="J85" s="56" t="inlineStr">
        <is>
          <t>NA</t>
        </is>
      </c>
      <c r="K85" s="56" t="inlineStr">
        <is>
          <t>Form Type - Buttons</t>
        </is>
      </c>
      <c r="L85" s="100" t="inlineStr">
        <is>
          <t>NA</t>
        </is>
      </c>
      <c r="M85" s="55" t="inlineStr">
        <is>
          <t>1-4 = income_sec_gender</t>
        </is>
      </c>
      <c r="N85" s="195" t="n"/>
      <c r="O85" s="62" t="inlineStr">
        <is>
          <t>if income_sec_crop_check = 1-4, go to [income_sec_comp OR optional question]</t>
        </is>
      </c>
      <c r="P85" s="14" t="inlineStr">
        <is>
          <t>1-4 = income_sec_gender</t>
        </is>
      </c>
      <c r="Q85" s="19" t="n"/>
      <c r="R85" s="322">
        <f>1</f>
        <v/>
      </c>
      <c r="S85" s="54" t="n"/>
      <c r="U85" s="153" t="inlineStr">
        <is>
          <t>yes</t>
        </is>
      </c>
      <c r="V85" s="612" t="n"/>
      <c r="Y85" s="642" t="n">
        <v>8</v>
      </c>
      <c r="Z85" s="642">
        <f>IF(Y85="","",Y85*R85)</f>
        <v/>
      </c>
      <c r="AA85" s="54" t="inlineStr">
        <is>
          <t>8</t>
        </is>
      </c>
    </row>
    <row r="86" ht="182.15" customFormat="1" customHeight="1" s="113">
      <c r="A86" s="38">
        <f>A85+1</f>
        <v/>
      </c>
      <c r="B86" s="114" t="inlineStr">
        <is>
          <t>income_sec_ls_check</t>
        </is>
      </c>
      <c r="C86" s="116" t="inlineStr">
        <is>
          <t>income_sec_ls_check</t>
        </is>
      </c>
      <c r="D86" s="63" t="inlineStr">
        <is>
          <t>Are the livestock or livestock products sold also produced by you or anyone in your household?
[OPERATOR: SINGLE RESPONSE.]
1)YES
2)NO
3)DON'T KNOW
4)REFUSED</t>
        </is>
      </c>
      <c r="E86" s="56">
        <f>LEN(D86)</f>
        <v/>
      </c>
      <c r="F86" s="143" t="inlineStr">
        <is>
          <t>هل تم إنتاج المواشي ومنتجاتها التي تبيعها أنت أو أي شخص في منزلك أيضًا؟
[المشغل: استجابة واحدة.]
1) نعم
2) لا
3) لا أعرف
4) رفض الإجابة</t>
        </is>
      </c>
      <c r="G86" s="179">
        <f>LEN(F86)</f>
        <v/>
      </c>
      <c r="H86" s="58" t="inlineStr">
        <is>
          <t>Single Choice</t>
        </is>
      </c>
      <c r="I86" s="56" t="inlineStr">
        <is>
          <t>NA</t>
        </is>
      </c>
      <c r="J86" s="56" t="inlineStr">
        <is>
          <t>NA</t>
        </is>
      </c>
      <c r="K86" s="56" t="inlineStr">
        <is>
          <t>Form Type - Buttons</t>
        </is>
      </c>
      <c r="L86" s="100" t="inlineStr">
        <is>
          <t>NA</t>
        </is>
      </c>
      <c r="M86" s="55" t="inlineStr">
        <is>
          <t>1-4 = income_sec_gender</t>
        </is>
      </c>
      <c r="N86" s="195" t="n"/>
      <c r="O86" s="62" t="inlineStr">
        <is>
          <t>if income_sec_ls_check = 1-4, go to [income_sec_comp OR optional question]</t>
        </is>
      </c>
      <c r="P86" s="14" t="inlineStr">
        <is>
          <t>1-4 = income_sec_gender</t>
        </is>
      </c>
      <c r="Q86" s="19" t="n"/>
      <c r="R86" s="322">
        <f>1</f>
        <v/>
      </c>
      <c r="S86" s="54" t="n"/>
      <c r="U86" s="153" t="inlineStr">
        <is>
          <t>yes</t>
        </is>
      </c>
      <c r="V86" s="612" t="n"/>
      <c r="Y86" s="642" t="n">
        <v>8</v>
      </c>
      <c r="Z86" s="642">
        <f>IF(Y86="","",Y86*R86)</f>
        <v/>
      </c>
      <c r="AA86" s="54" t="inlineStr">
        <is>
          <t>8</t>
        </is>
      </c>
    </row>
    <row r="87" ht="182.15" customFormat="1" customHeight="1" s="59">
      <c r="A87" s="38">
        <f>A86+1</f>
        <v/>
      </c>
      <c r="B87" s="114" t="inlineStr">
        <is>
          <t>income_sec_fish_check</t>
        </is>
      </c>
      <c r="C87" s="116" t="inlineStr">
        <is>
          <t>income_sec_fish_check</t>
        </is>
      </c>
      <c r="D87" s="63" t="inlineStr">
        <is>
          <t>Are the fish or aquatic products sold also captured/harvested by you or anyone in your household?
[OPERATOR: SINGLE RESPONSE.]
1)YES
2)NO
3)DON'T KNOW
4)REFUSED</t>
        </is>
      </c>
      <c r="E87" s="56">
        <f>LEN(D87)</f>
        <v/>
      </c>
      <c r="F87" s="143" t="inlineStr">
        <is>
          <t>هل الأسماك أو المنتجات المائية التي تُباع تم أيضًا صيدها أو جمعها بواسطتك أو أي شخص في منزلك؟
[المشغل: استجابة واحدة.]
1) نعم
2) لا
3) لا أعرف
4) رفض الإجابة</t>
        </is>
      </c>
      <c r="G87" s="179">
        <f>LEN(F87)</f>
        <v/>
      </c>
      <c r="H87" s="58" t="inlineStr">
        <is>
          <t>Single Choice</t>
        </is>
      </c>
      <c r="I87" s="56" t="inlineStr">
        <is>
          <t>NA</t>
        </is>
      </c>
      <c r="J87" s="56" t="inlineStr">
        <is>
          <t>NA</t>
        </is>
      </c>
      <c r="K87" s="56" t="inlineStr">
        <is>
          <t>Form Type - Buttons</t>
        </is>
      </c>
      <c r="L87" s="100" t="inlineStr">
        <is>
          <t>NA</t>
        </is>
      </c>
      <c r="M87" s="55" t="inlineStr">
        <is>
          <t>1-4 = income_sec_gender</t>
        </is>
      </c>
      <c r="N87" s="195" t="n"/>
      <c r="O87" s="62" t="inlineStr">
        <is>
          <t>if income_sec_fish_check = 1-4, go to [income_sec_comp OR optional question]</t>
        </is>
      </c>
      <c r="P87" s="14" t="inlineStr">
        <is>
          <t>1-4 = income_sec_gender</t>
        </is>
      </c>
      <c r="Q87" s="19" t="n"/>
      <c r="R87" s="306">
        <f>1</f>
        <v/>
      </c>
      <c r="S87" s="53" t="n"/>
      <c r="U87" s="150" t="inlineStr">
        <is>
          <t>yes</t>
        </is>
      </c>
      <c r="V87" s="613" t="n"/>
      <c r="Y87" s="631" t="n">
        <v>8</v>
      </c>
      <c r="Z87" s="631">
        <f>IF(Y87="","",Y87*R87)</f>
        <v/>
      </c>
      <c r="AA87" s="53" t="inlineStr">
        <is>
          <t>8</t>
        </is>
      </c>
    </row>
    <row r="88" ht="193.5" customFormat="1" customHeight="1" s="218">
      <c r="A88" s="38">
        <f>A87+1</f>
        <v/>
      </c>
      <c r="B88" s="251" t="inlineStr">
        <is>
          <t>income_sec_gender</t>
        </is>
      </c>
      <c r="C88" s="252" t="inlineStr">
        <is>
          <t>income_sec_gender</t>
        </is>
      </c>
      <c r="D88" s="253" t="inlineStr">
        <is>
          <t>What is the gender of the household member[s] generating income from this source? 
[OPERATOR: SINGLE RESPONSE.]
1)Male
2)Female
3)Joint [both male &amp; female]
4)DON'T KNOW
5)REFUSED</t>
        </is>
      </c>
      <c r="E88" s="254">
        <f>LEN(D88)</f>
        <v/>
      </c>
      <c r="F88" s="293" t="inlineStr">
        <is>
          <t>ما هو جنس الفرد [ الأفراد ] داخل الاسرة الذين يحصلون علي الدخل من هذا المصدر ؟ 
[المشغل: استجابة واحدة.]
1) ذكر
2) أنثى 
3) مختلط [ ذكر و أنثى ]
4) لا أعرف
5) رفض الإجابة</t>
        </is>
      </c>
      <c r="G88" s="292">
        <f>LEN(F88)</f>
        <v/>
      </c>
      <c r="H88" s="255" t="inlineStr">
        <is>
          <t>Single Choice</t>
        </is>
      </c>
      <c r="I88" s="254" t="inlineStr">
        <is>
          <t>NA</t>
        </is>
      </c>
      <c r="J88" s="254" t="inlineStr">
        <is>
          <t>NA</t>
        </is>
      </c>
      <c r="K88" s="254" t="inlineStr">
        <is>
          <t>Form Type - Buttons</t>
        </is>
      </c>
      <c r="L88" s="215" t="inlineStr">
        <is>
          <t>NA</t>
        </is>
      </c>
      <c r="M88" s="256" t="inlineStr">
        <is>
          <t>1-5 = income_sec_comp</t>
        </is>
      </c>
      <c r="N88" s="355" t="n"/>
      <c r="O88" s="257" t="inlineStr">
        <is>
          <t>if income_sec_gender = 1-5, go to income_sec_comp or optional question</t>
        </is>
      </c>
      <c r="P88" s="257" t="inlineStr">
        <is>
          <t>1-5 = income_sec_comp</t>
        </is>
      </c>
      <c r="Q88" s="216" t="n"/>
      <c r="R88" s="317">
        <f>1</f>
        <v/>
      </c>
      <c r="S88" s="217" t="n"/>
      <c r="U88" s="219" t="inlineStr">
        <is>
          <t>no</t>
        </is>
      </c>
      <c r="V88" s="220" t="n"/>
      <c r="Y88" s="633" t="n">
        <v>4.787401676177979</v>
      </c>
      <c r="Z88" s="633">
        <f>IF(Y88="","",Y88*R88)</f>
        <v/>
      </c>
      <c r="AA88" s="217" t="inlineStr"/>
    </row>
    <row r="89" ht="226.5" customFormat="1" customHeight="1" s="59">
      <c r="A89" s="38">
        <f>A88+1</f>
        <v/>
      </c>
      <c r="B89" s="182" t="inlineStr">
        <is>
          <t>income_sec_comp</t>
        </is>
      </c>
      <c r="C89" s="58" t="inlineStr">
        <is>
          <t>income_sec_comp</t>
        </is>
      </c>
      <c r="D89" s="559" t="inlineStr">
        <is>
          <t>Has your household's income from {income_sec} changed in the last 3 months compared to the same period of  last year? 
[OPERATOR: SINGLE RESPONSE.]
1)A lot more [increased by more than 50%]
2)Slightly more
3)Same
4)Slightly less
5)A lot less [less than half as much]
6)DON'T KNOW
7)REFUSED</t>
        </is>
      </c>
      <c r="E89" s="179">
        <f>LEN(D89)</f>
        <v/>
      </c>
      <c r="F89" s="559" t="inlineStr">
        <is>
          <t>هل تغير دخل أسرتك من {income_sec} في الأشهر الثلاثة الماضية مقارنة بنفس الفترة من العام الماضي؟
[المشغل: استجابة واحدة.]
1) أكثر بكثير [زاد بنسبة تزيد عن 50٪]
2) أكثر قليلا
3) نفس الشيء
4) أقل قليلاً
5) أقل بكثير [أقل من نصف الكمية]
6) لا أعرف
7) رفض الإجابة</t>
        </is>
      </c>
      <c r="G89" s="179">
        <f>LEN(F89)</f>
        <v/>
      </c>
      <c r="H89" s="186" t="inlineStr">
        <is>
          <t>Single Choice</t>
        </is>
      </c>
      <c r="I89" s="179" t="inlineStr">
        <is>
          <t>NA</t>
        </is>
      </c>
      <c r="J89" s="179" t="inlineStr">
        <is>
          <t>NA</t>
        </is>
      </c>
      <c r="K89" s="179" t="inlineStr">
        <is>
          <t>Form Type - Buttons</t>
        </is>
      </c>
      <c r="L89" s="100" t="inlineStr">
        <is>
          <t>NA</t>
        </is>
      </c>
      <c r="M89" s="74" t="inlineStr">
        <is>
          <t>1-7= income_third</t>
        </is>
      </c>
      <c r="N89" s="356" t="n"/>
      <c r="O89" s="74" t="inlineStr">
        <is>
          <t>if income_sec_comp = 1-7, go to income_third</t>
        </is>
      </c>
      <c r="P89" s="20" t="inlineStr"/>
      <c r="Q89" s="9" t="n"/>
      <c r="R89" s="306">
        <f>1</f>
        <v/>
      </c>
      <c r="S89" s="53" t="n"/>
      <c r="U89" s="150" t="inlineStr">
        <is>
          <t>yes</t>
        </is>
      </c>
      <c r="V89" s="613" t="n"/>
      <c r="Y89" s="631" t="n">
        <v>17.26140213012695</v>
      </c>
      <c r="Z89" s="631">
        <f>IF(Y89="","",Y89*R89)</f>
        <v/>
      </c>
      <c r="AA89" s="53" t="inlineStr">
        <is>
          <t>17.26140213012695</t>
        </is>
      </c>
    </row>
    <row r="90" ht="409.5" customFormat="1" customHeight="1" s="59">
      <c r="A90" s="38">
        <f>A89+1</f>
        <v/>
      </c>
      <c r="B90" s="182" t="inlineStr">
        <is>
          <t>income_third</t>
        </is>
      </c>
      <c r="C90" s="58" t="inlineStr">
        <is>
          <t>income_third</t>
        </is>
      </c>
      <c r="D90" s="559" t="inlineStr">
        <is>
          <t>What was your household's third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is>
      </c>
      <c r="E90" s="179">
        <f>LEN(D90)</f>
        <v/>
      </c>
      <c r="F90" s="559" t="inlineStr">
        <is>
          <t>ما هو ثالث أهم مصدر دخل لأسرتك فى الثلاثة أشهر الماضية ؟
[المشغل: استجابة واحدة. يجب تجنب خيارات الإجابة "لا أعرف" و "رفض الإجابة" قدر الإمكان.]
1) إنتاج وبيع المحاصيل الأساسية
2) إنتاج وبيع الخضار أو الفاكهة
3) إنتاج وبيع المحاصيل النقدية
4) إنتاج وبيع الحيوانات الأليفة أو منتجاتها
5) انتاج و بيع العسل أو منتجات النحل 
6) إنتاج وبيع الأسماك أو منتجات المنتجات المائية
7) جمع وبيع منتجات الغابات أو الأحراش
8) التجارة الزراعية الرسمية و غير الرسمية باستثناء المنتجين
9) الأجر اليومي في المزارع وغيرها من العمالة العرضية في قطاع الزراعة
10) العمالة المستقرة في القطاع الزراعي
11) العاملين لحسابهم الخاص غير الزراعيين أو المهنة الحرة / طبيب / مهندس معماري / محامٍ / بما في ذلك مطعم
12) الأجور اليومية خارج المزرعة وغيرها من العمالة العرضية غير الزراعية
13) العمالة المستقرة في القطاع غير الزراعي
14) الوظائف العامة
15) الدخل غير المستمد من العمل / الاعمال الخيرية 
16) الدخل غير المستمد من العمل / المدفوعات التحويلية ، المعاش التقاعدي ، المساعدات الإنسانية
17) الدخل غير المستمد من العمل / التحويلات
18) الدخل غير المستمد من العمل / الدخل من الإيجارات الأخرى
19) لم يكن هناك مصدر دخل ثالث
20) لا أعرف
21) رفض الإجابة</t>
        </is>
      </c>
      <c r="G90" s="179">
        <f>LEN(F90)</f>
        <v/>
      </c>
      <c r="H90" s="186" t="inlineStr">
        <is>
          <t>Single Choice</t>
        </is>
      </c>
      <c r="I90" s="179" t="inlineStr">
        <is>
          <t>NA</t>
        </is>
      </c>
      <c r="J90" s="179" t="inlineStr">
        <is>
          <t>NA</t>
        </is>
      </c>
      <c r="K90" s="179" t="inlineStr">
        <is>
          <t>Form Type - Buttons
exclude selected "income_main"
exclude selected "income_sec"
IsDemographic - income_third</t>
        </is>
      </c>
      <c r="L90" s="100" t="inlineStr">
        <is>
          <t>NA</t>
        </is>
      </c>
      <c r="M90" s="55" t="inlineStr">
        <is>
          <t>1-3 = income_third_crop_check
4 = income_third_ls_check
5 = income_third_gender
6 = income_third_fish_check
7-18 = income_third_gender
19-21 = shock</t>
        </is>
      </c>
      <c r="N90" s="195" t="n"/>
      <c r="O90" s="62" t="inlineStr">
        <is>
          <t>if options #1-3 selected, go to income_third_crop_check
if options #4 selected, go to income_third_ls_check
if option #6 selected, go to income_third_fish_check 
if options #5, 7-18 selected, go to [income_third_comp OR optional question] 
if options #19-21 selected, go to shock</t>
        </is>
      </c>
      <c r="P90" s="14" t="inlineStr">
        <is>
          <t>income_third_gender</t>
        </is>
      </c>
      <c r="Q90" s="9" t="n"/>
      <c r="R90" s="306">
        <f>1</f>
        <v/>
      </c>
      <c r="S90" s="53" t="n"/>
      <c r="U90" s="150" t="inlineStr">
        <is>
          <t>yes</t>
        </is>
      </c>
      <c r="V90" s="613" t="n"/>
      <c r="Y90" s="631" t="n">
        <v>14.47539234161377</v>
      </c>
      <c r="Z90" s="631">
        <f>IF(Y90="","",Y90*R90)</f>
        <v/>
      </c>
      <c r="AA90" s="53" t="inlineStr">
        <is>
          <t>14.47539234161377</t>
        </is>
      </c>
    </row>
    <row r="91" ht="182.15" customFormat="1" customHeight="1" s="113">
      <c r="A91" s="38">
        <f>A90+1</f>
        <v/>
      </c>
      <c r="B91" s="114" t="inlineStr">
        <is>
          <t>income_third_crop_check</t>
        </is>
      </c>
      <c r="C91" s="116" t="inlineStr">
        <is>
          <t>income_third_crop_check</t>
        </is>
      </c>
      <c r="D91" s="63" t="inlineStr">
        <is>
          <t>Are the crops sold also produced by you or anyone in your household?
[OPERATOR: SINGLE RESPONSE.]
1)YES
2)NO
3)DON'T KNOW
4)REFUSED</t>
        </is>
      </c>
      <c r="E91" s="56">
        <f>LEN(D91)</f>
        <v/>
      </c>
      <c r="F91" s="143" t="inlineStr">
        <is>
          <t>هل تم إنتاج المحاصيل التي تبيعها أنت أو أي شخص في منزلك أيضًا؟
[المشغل: استجابة واحدة.]
1) نعم
2) لا
3) لا أعرف
4) رفض الإجابة</t>
        </is>
      </c>
      <c r="G91" s="179">
        <f>LEN(F91)</f>
        <v/>
      </c>
      <c r="H91" s="58" t="inlineStr">
        <is>
          <t>Single Choice</t>
        </is>
      </c>
      <c r="I91" s="56" t="inlineStr">
        <is>
          <t>NA</t>
        </is>
      </c>
      <c r="J91" s="56" t="inlineStr">
        <is>
          <t>NA</t>
        </is>
      </c>
      <c r="K91" s="56" t="inlineStr">
        <is>
          <t>Form Type - Buttons</t>
        </is>
      </c>
      <c r="L91" s="100" t="inlineStr">
        <is>
          <t>NA</t>
        </is>
      </c>
      <c r="M91" s="55" t="inlineStr">
        <is>
          <t>1-4 = income_third_gender</t>
        </is>
      </c>
      <c r="N91" s="195" t="n"/>
      <c r="O91" s="62" t="inlineStr">
        <is>
          <t>if income_third_crop_check = 1-4, go to [income_third_comp OR optional question]</t>
        </is>
      </c>
      <c r="P91" s="14" t="inlineStr">
        <is>
          <t>1-4 = income_third_gender</t>
        </is>
      </c>
      <c r="Q91" s="19" t="n"/>
      <c r="R91" s="322">
        <f>1</f>
        <v/>
      </c>
      <c r="S91" s="54" t="n"/>
      <c r="U91" s="153" t="inlineStr">
        <is>
          <t>yes</t>
        </is>
      </c>
      <c r="V91" s="612" t="n"/>
      <c r="Y91" s="642" t="n">
        <v>8</v>
      </c>
      <c r="Z91" s="642">
        <f>IF(Y91="","",Y91*R91)</f>
        <v/>
      </c>
      <c r="AA91" s="54" t="inlineStr">
        <is>
          <t>8</t>
        </is>
      </c>
    </row>
    <row r="92" ht="182.15" customFormat="1" customHeight="1" s="113">
      <c r="A92" s="38">
        <f>A91+1</f>
        <v/>
      </c>
      <c r="B92" s="114" t="inlineStr">
        <is>
          <t>income_third_ls_check</t>
        </is>
      </c>
      <c r="C92" s="116" t="inlineStr">
        <is>
          <t>income_third_ls_check</t>
        </is>
      </c>
      <c r="D92" s="63" t="inlineStr">
        <is>
          <t>Are the livestock or livestock products sold also produced by you or anyone in your household?
[OPERATOR: SINGLE RESPONSE.]
1)YES
2)NO
3)DON'T KNOW
4)REFUSED</t>
        </is>
      </c>
      <c r="E92" s="56">
        <f>LEN(D92)</f>
        <v/>
      </c>
      <c r="F92" s="143" t="inlineStr">
        <is>
          <t>هل تم إنتاج المواشي ومنتجاتها التي تبيعها أنت أو أي شخص في منزلك أيضًا؟
[المشغل: استجابة واحدة.]
1) نعم
2) لا
3) لا أعرف
4) رفض الإجابة</t>
        </is>
      </c>
      <c r="G92" s="179">
        <f>LEN(F92)</f>
        <v/>
      </c>
      <c r="H92" s="58" t="inlineStr">
        <is>
          <t>Single Choice</t>
        </is>
      </c>
      <c r="I92" s="56" t="inlineStr">
        <is>
          <t>NA</t>
        </is>
      </c>
      <c r="J92" s="56" t="inlineStr">
        <is>
          <t>NA</t>
        </is>
      </c>
      <c r="K92" s="56" t="inlineStr">
        <is>
          <t>Form Type - Buttons</t>
        </is>
      </c>
      <c r="L92" s="100" t="inlineStr">
        <is>
          <t>NA</t>
        </is>
      </c>
      <c r="M92" s="55" t="inlineStr">
        <is>
          <t>1-4 = income_third_gender</t>
        </is>
      </c>
      <c r="N92" s="195" t="n"/>
      <c r="O92" s="62" t="inlineStr">
        <is>
          <t>if income_third_ls_check = 1-4, go to [income_third_comp OR optional question]</t>
        </is>
      </c>
      <c r="P92" s="14" t="inlineStr">
        <is>
          <t>1-4 = income_third_gender</t>
        </is>
      </c>
      <c r="Q92" s="19" t="n"/>
      <c r="R92" s="322">
        <f>1</f>
        <v/>
      </c>
      <c r="S92" s="54" t="n"/>
      <c r="U92" s="153" t="inlineStr">
        <is>
          <t>yes</t>
        </is>
      </c>
      <c r="V92" s="612" t="n"/>
      <c r="Y92" s="642" t="n">
        <v>8</v>
      </c>
      <c r="Z92" s="642">
        <f>IF(Y92="","",Y92*R92)</f>
        <v/>
      </c>
      <c r="AA92" s="54" t="inlineStr">
        <is>
          <t>8</t>
        </is>
      </c>
    </row>
    <row r="93" ht="182.15" customFormat="1" customHeight="1" s="59">
      <c r="A93" s="38">
        <f>A92+1</f>
        <v/>
      </c>
      <c r="B93" s="114" t="inlineStr">
        <is>
          <t>income_third_fish_check</t>
        </is>
      </c>
      <c r="C93" s="116" t="inlineStr">
        <is>
          <t>income_third_fish_check</t>
        </is>
      </c>
      <c r="D93" s="63" t="inlineStr">
        <is>
          <t>Are the fish or aquatic products sold also captured/harvested by you or anyone in your household?
[OPERATOR: SINGLE RESPONSE.]
1)YES
2)NO
3)DON'T KNOW
4)REFUSED</t>
        </is>
      </c>
      <c r="E93" s="56">
        <f>LEN(D93)</f>
        <v/>
      </c>
      <c r="F93" s="143" t="inlineStr">
        <is>
          <t>هل الأسماك أو المنتجات المائية التي تُباع تم أيضًا صيدها أو جمعها بواسطتك أو أي شخص في منزلك؟
[المشغل: استجابة واحدة.]
1) نعم
2) لا
3) لا أعرف
4) رفض الإجابة</t>
        </is>
      </c>
      <c r="G93" s="179">
        <f>LEN(F93)</f>
        <v/>
      </c>
      <c r="H93" s="58" t="inlineStr">
        <is>
          <t>Single Choice</t>
        </is>
      </c>
      <c r="I93" s="56" t="inlineStr">
        <is>
          <t>NA</t>
        </is>
      </c>
      <c r="J93" s="56" t="inlineStr">
        <is>
          <t>NA</t>
        </is>
      </c>
      <c r="K93" s="56" t="inlineStr">
        <is>
          <t>Form Type - Buttons</t>
        </is>
      </c>
      <c r="L93" s="100" t="inlineStr">
        <is>
          <t>NA</t>
        </is>
      </c>
      <c r="M93" s="55" t="inlineStr">
        <is>
          <t>1-4 = income_third_gender</t>
        </is>
      </c>
      <c r="N93" s="195" t="n"/>
      <c r="O93" s="62" t="inlineStr">
        <is>
          <t>if income_third_fish_check = 1-4, go to [income_third_comp OR optional question]</t>
        </is>
      </c>
      <c r="P93" s="14" t="inlineStr">
        <is>
          <t>1-4 = income_third_gender</t>
        </is>
      </c>
      <c r="Q93" s="19" t="n"/>
      <c r="R93" s="306">
        <f>1</f>
        <v/>
      </c>
      <c r="S93" s="53" t="n"/>
      <c r="U93" s="150" t="inlineStr">
        <is>
          <t>yes</t>
        </is>
      </c>
      <c r="V93" s="613" t="n"/>
      <c r="Y93" s="631" t="n">
        <v>8</v>
      </c>
      <c r="Z93" s="631">
        <f>IF(Y93="","",Y93*R93)</f>
        <v/>
      </c>
      <c r="AA93" s="53" t="inlineStr">
        <is>
          <t>8</t>
        </is>
      </c>
    </row>
    <row r="94" ht="156" customFormat="1" customHeight="1" s="218">
      <c r="A94" s="38">
        <f>A93+1</f>
        <v/>
      </c>
      <c r="B94" s="251" t="inlineStr">
        <is>
          <t>income_third_gender</t>
        </is>
      </c>
      <c r="C94" s="252" t="inlineStr">
        <is>
          <t>income_third_gender</t>
        </is>
      </c>
      <c r="D94" s="253" t="inlineStr">
        <is>
          <t>What is the gender of the household member[s] generating income from this source? 
[OPERATOR: SINGLE RESPONSE.]
1)Male
2)Female
3)Joint [both male &amp; female]
4)DON'T KNOW
5)REFUSED</t>
        </is>
      </c>
      <c r="E94" s="254">
        <f>LEN(D94)</f>
        <v/>
      </c>
      <c r="F94" s="293" t="inlineStr">
        <is>
          <t>ما هو جنس الفرد [ الأفراد ] داخل الاسرة الذين يحصلون علي الدخل من هذا المصدر ؟
[المشغل: استجابة واحدة.]
1) ذكر
2) أنثى 
3) مختلط [ ذكر و أنثى ]
4) لا أعرف
5) رفض الإجابة</t>
        </is>
      </c>
      <c r="G94" s="292">
        <f>LEN(F94)</f>
        <v/>
      </c>
      <c r="H94" s="255" t="inlineStr">
        <is>
          <t>Single Choice</t>
        </is>
      </c>
      <c r="I94" s="254" t="inlineStr">
        <is>
          <t>NA</t>
        </is>
      </c>
      <c r="J94" s="254" t="inlineStr">
        <is>
          <t>NA</t>
        </is>
      </c>
      <c r="K94" s="254" t="inlineStr">
        <is>
          <t>Form Type - Buttons</t>
        </is>
      </c>
      <c r="L94" s="215" t="inlineStr">
        <is>
          <t>NA</t>
        </is>
      </c>
      <c r="M94" s="256" t="inlineStr">
        <is>
          <t>1-5 = income_third_comp</t>
        </is>
      </c>
      <c r="N94" s="355" t="n"/>
      <c r="O94" s="257" t="inlineStr">
        <is>
          <t>if income_third_gender = 1-5, go to [income_third_comp or optional question]</t>
        </is>
      </c>
      <c r="P94" s="257" t="inlineStr">
        <is>
          <t>1-5 = income_third_comp</t>
        </is>
      </c>
      <c r="Q94" s="216" t="n"/>
      <c r="R94" s="317">
        <f>1</f>
        <v/>
      </c>
      <c r="S94" s="217" t="n"/>
      <c r="U94" s="219" t="inlineStr">
        <is>
          <t>no</t>
        </is>
      </c>
      <c r="V94" s="220" t="n"/>
      <c r="Y94" s="633" t="n">
        <v>4.787401676177979</v>
      </c>
      <c r="Z94" s="633">
        <f>IF(Y94="","",Y94*R94)</f>
        <v/>
      </c>
      <c r="AA94" s="217" t="inlineStr"/>
    </row>
    <row r="95" ht="209.25" customFormat="1" customHeight="1" s="59">
      <c r="A95" s="38">
        <f>A94+1</f>
        <v/>
      </c>
      <c r="B95" s="182" t="inlineStr">
        <is>
          <t>income_third_comp</t>
        </is>
      </c>
      <c r="C95" s="58" t="inlineStr">
        <is>
          <t>income_third_comp</t>
        </is>
      </c>
      <c r="D95" s="197" t="inlineStr">
        <is>
          <t>Has your household's income from {income_third} changed in the last 3 months compared to the same period of  last year?
[OPERATOR: SINGLE RESPONSE.]
1)A lot more [increased by more than 50%]
2)Slightly more
3)Same
4)Slightly less
5)A lot less [less than half as much]
6)DON'T KNOW
7)REFUSED</t>
        </is>
      </c>
      <c r="E95" s="179">
        <f>LEN(D95)</f>
        <v/>
      </c>
      <c r="F95" s="197" t="inlineStr">
        <is>
          <t>هل تغير دخل أسرتك من {income_third} في الأشهر الثلاثة الماضية مقارنة بنفس الفترة من العام الماضي؟
[المشغل: استجابة واحدة.]
1) أكثر بكثير [زاد بنسبة تزيد عن 50٪]
2) أكثر قليلا
3) نفس الشيء
4) أقل قليلاً
5) أقل بكثير [أقل من نصف الكمية]
6) لا أعرف
7) رفض الإجابة</t>
        </is>
      </c>
      <c r="G95" s="179">
        <f>LEN(F95)</f>
        <v/>
      </c>
      <c r="H95" s="186" t="inlineStr">
        <is>
          <t>Single Choice</t>
        </is>
      </c>
      <c r="I95" s="179" t="inlineStr">
        <is>
          <t>NA</t>
        </is>
      </c>
      <c r="J95" s="179" t="inlineStr">
        <is>
          <t>NA</t>
        </is>
      </c>
      <c r="K95" s="179" t="inlineStr">
        <is>
          <t>Form Type - Buttons</t>
        </is>
      </c>
      <c r="L95" s="100" t="inlineStr">
        <is>
          <t>NA</t>
        </is>
      </c>
      <c r="M95" s="74" t="inlineStr">
        <is>
          <t>1-7= o_debt</t>
        </is>
      </c>
      <c r="N95" s="356" t="n"/>
      <c r="O95" s="74" t="inlineStr">
        <is>
          <t>if income_third_comp = 1-7, go to shock</t>
        </is>
      </c>
      <c r="P95" s="14" t="inlineStr">
        <is>
          <t>1-7 = o_debt</t>
        </is>
      </c>
      <c r="Q95" s="9" t="n"/>
      <c r="R95" s="306">
        <f>1</f>
        <v/>
      </c>
      <c r="S95" s="53" t="n"/>
      <c r="U95" s="150" t="inlineStr">
        <is>
          <t>yes</t>
        </is>
      </c>
      <c r="V95" s="613" t="n"/>
      <c r="Y95" s="631" t="n">
        <v>15.87650299072266</v>
      </c>
      <c r="Z95" s="631">
        <f>IF(Y95="","",Y95*R95)</f>
        <v/>
      </c>
      <c r="AA95" s="53" t="inlineStr">
        <is>
          <t>15.87650299072266</t>
        </is>
      </c>
    </row>
    <row r="96" ht="156" customFormat="1" customHeight="1" s="218">
      <c r="A96" s="38">
        <f>A95+1</f>
        <v/>
      </c>
      <c r="B96" s="290" t="inlineStr">
        <is>
          <t>o_debt</t>
        </is>
      </c>
      <c r="C96" s="290" t="inlineStr">
        <is>
          <t>o_debt</t>
        </is>
      </c>
      <c r="D96" s="587" t="inlineStr">
        <is>
          <t>Have you incurred any new debt in the past three months which you have not repaid?
[OPERATOR: SINGLE RESPONSE.]
1)YES
2)NO
3)DON’T KNOW
4)REFUSED</t>
        </is>
      </c>
      <c r="E96" s="292" t="n"/>
      <c r="F96" s="583" t="inlineStr">
        <is>
          <t>هل تكبدت أي ديون جديدة في الأشهر الثلاثة الماضية لم تسددها؟
[المشغل: استجابة واحدة.]
1) نعم
2) لا
3) لا أعرف
4) رفض الإجابة</t>
        </is>
      </c>
      <c r="G96" s="292" t="n"/>
      <c r="H96" s="289" t="inlineStr">
        <is>
          <t>Single Choice</t>
        </is>
      </c>
      <c r="I96" s="292" t="inlineStr"/>
      <c r="J96" s="313" t="inlineStr">
        <is>
          <t>NA</t>
        </is>
      </c>
      <c r="K96" s="313" t="inlineStr">
        <is>
          <t>Form Type - Buttons</t>
        </is>
      </c>
      <c r="L96" s="236" t="inlineStr">
        <is>
          <t>NA</t>
        </is>
      </c>
      <c r="M96" s="258" t="inlineStr">
        <is>
          <t>1 = o_debt_amount
2-4 = shock</t>
        </is>
      </c>
      <c r="N96" s="357" t="n"/>
      <c r="O96" s="258" t="inlineStr"/>
      <c r="P96" s="257" t="inlineStr">
        <is>
          <t>1 = o_debt_amount;
2-4 = shock</t>
        </is>
      </c>
      <c r="Q96" s="238" t="n"/>
      <c r="R96" s="317">
        <f>1</f>
        <v/>
      </c>
      <c r="S96" s="217" t="n"/>
      <c r="U96" s="219" t="inlineStr"/>
      <c r="V96" s="220" t="n"/>
      <c r="Y96" s="633" t="n"/>
      <c r="Z96" s="633">
        <f>IF(Y96="","",Y96*R96)</f>
        <v/>
      </c>
      <c r="AA96" s="217" t="inlineStr"/>
    </row>
    <row r="97" ht="105.65" customFormat="1" customHeight="1" s="218">
      <c r="A97" s="38">
        <f>A96+1</f>
        <v/>
      </c>
      <c r="B97" s="290" t="inlineStr">
        <is>
          <t>o_debt_amount</t>
        </is>
      </c>
      <c r="C97" s="255" t="inlineStr">
        <is>
          <t>o_debt_amount</t>
        </is>
      </c>
      <c r="D97" s="588" t="inlineStr">
        <is>
          <t>What is the total amount of debt you currently have [in Rial]?
[OPERATOR: DOUBLE CHECK FOR OUTLIERS &amp; MAKE SURE THE INFORMATION IS RECORDED IN THE CORRECT CURRENCY. ENTER 8888888 FOR DON'T KNOW AND 9999999 FOR REFUSED.]</t>
        </is>
      </c>
      <c r="E97" s="292" t="n"/>
      <c r="F97" s="583" t="inlineStr">
        <is>
          <t>ما هو المبلغ الإجمالي للديون التي عليك حاليًا [بالريال]؟
[المُشغل: تحقق مزدوج من القيم المتطرفة وتأكد من تسجيل المعلومات بالعملة الصحيحة. أدخل 8888888 للا أعرف و 9999999 في حالة الرفض.]</t>
        </is>
      </c>
      <c r="G97" s="292" t="n"/>
      <c r="H97" s="289" t="inlineStr">
        <is>
          <t>Range</t>
        </is>
      </c>
      <c r="I97" s="292" t="inlineStr"/>
      <c r="J97" s="292" t="inlineStr">
        <is>
          <t>NA</t>
        </is>
      </c>
      <c r="K97" s="313" t="inlineStr">
        <is>
          <t>Form Type - TextBox</t>
        </is>
      </c>
      <c r="L97" s="236" t="inlineStr">
        <is>
          <t>NA</t>
        </is>
      </c>
      <c r="M97" s="258" t="inlineStr">
        <is>
          <t>1000-1000000 = shock
8888888-8888888 = shock
9999999-9999999 = shock</t>
        </is>
      </c>
      <c r="N97" s="357" t="n"/>
      <c r="O97" s="258" t="inlineStr"/>
      <c r="P97" s="257" t="inlineStr">
        <is>
          <t>Any response go to shock</t>
        </is>
      </c>
      <c r="Q97" s="259" t="inlineStr">
        <is>
          <t>Debt minimum: YER 1000
Debt Maximum: YER 1000000</t>
        </is>
      </c>
      <c r="R97" s="317" t="n"/>
      <c r="S97" s="217" t="n"/>
      <c r="U97" s="219" t="inlineStr"/>
      <c r="V97" s="220" t="n"/>
      <c r="Y97" s="633" t="n"/>
      <c r="Z97" s="633" t="n"/>
      <c r="AA97" s="217" t="inlineStr"/>
    </row>
    <row r="98" ht="409.4" customFormat="1" customHeight="1" s="503">
      <c r="A98" s="517">
        <f>A97+1</f>
        <v/>
      </c>
      <c r="B98" s="589" t="inlineStr">
        <is>
          <t>shock</t>
        </is>
      </c>
      <c r="C98" s="518" t="inlineStr">
        <is>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is>
      </c>
      <c r="D98" s="590" t="inlineStr">
        <is>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is>
      </c>
      <c r="E98" s="534">
        <f>LEN(D98)</f>
        <v/>
      </c>
      <c r="F98" s="591" t="inlineStr">
        <is>
          <t>هل واجهت أسرتك أو هل واجه مجتمعك أي كارثة أو أزمة معينة أثرت على قدرة أسرتك على إدرار الدخل و / أو إنتاج الغذاء للاستهلاك الذاتي في الأشهر الثلاثة الماضية ، وإذا كان الأمر كذلك ، فما كانت؟
[المُشغل: حدد الصدمات ذات الصلة التي اختبرتها الأسرة. استجابات متعددة ممكنة. راجع الصدمات الاقتصادية والصدمات التي تصيب المحصول والمواشي و داخل الأسرة والمخاطر الطبيعية والأخطار التي يسببها الإنسان.]
1) لا صدمة
2) مرض أو حادث أو وفاة أحد أفراد الأسرة [مرض العائل / النفقات الطبية المرتفعة بشكل غير عادي / نفقات الجنازة / وفاة العائل]
3) فرص العمل أو العمل المفقودة [ليس بسبب مرض / حادث]
4) صدمة أخرى داخل الأسرة
5) أسعار المواد الغذائية أعلى بكثير من المعتاد
6) أسعار الوقود  أو أسعار النقل أعلى بكثير من المعتاد
7) القيود المفروضة على حركة السكان [على سبيل المثال بسبب الوباء أو تلف البنية التحتية]
8) صدمة اقتصادية أخرى
9) تفشي الآفات
10) أمراض نباتية
11) أمراض حيوانية تصيب العديد من الحيوانات أو تتسبب بنفقها
12) عدم إمكانية الوصول للمراعي 
13) صدمة أخرى للمحاصيل والماشية
14) درجات الحرارة الباردة أو البرد
15)  الفيضانات / تآكل ضفاف الأنهار
16) إعصار 
17) الجفاف / الإجهاد الحراري
18) زلزال
19) الانهيارات الارضية
20) حريق مسبب من كارثة طبيعية
21) مخاطر طبيعية أخرى
22) العنف وانعدام الأمن / النزاع
23) سرقة أصول الإنتاج [الأرض / الماشية / الأدوات / إلخ]
24) حريق مسبب من كارثة من صنع الإنسان
25) مخاطر أخرى من صنع الإنسان
26) لا أعرف
27) رفض الإجابة</t>
        </is>
      </c>
      <c r="G98" s="534">
        <f>LEN(F98)</f>
        <v/>
      </c>
      <c r="H98" s="592" t="inlineStr">
        <is>
          <t>Select All That Apply</t>
        </is>
      </c>
      <c r="I98" s="534" t="inlineStr">
        <is>
          <t>NA</t>
        </is>
      </c>
      <c r="J98" s="534" t="inlineStr">
        <is>
          <t>NA</t>
        </is>
      </c>
      <c r="K98" s="534" t="inlineStr">
        <is>
          <t>Form Type - Checklist 
1,26,27 = IsNone</t>
        </is>
      </c>
      <c r="L98" s="519" t="inlineStr">
        <is>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is>
      </c>
      <c r="M98" s="527" t="inlineStr">
        <is>
          <t>1-27 = o_flood_loss_agri_assets</t>
        </is>
      </c>
      <c r="N98" s="521" t="inlineStr">
        <is>
          <t xml:space="preserve">GeoPoll [10/14/2025]. Updated skip patterns. </t>
        </is>
      </c>
      <c r="O98" s="520" t="inlineStr">
        <is>
          <t>if shock = 1-27, go to [confl_wellbeing]</t>
        </is>
      </c>
      <c r="P98" s="522" t="inlineStr">
        <is>
          <t>1-27 = confl_wellbeing</t>
        </is>
      </c>
      <c r="Q98" s="523" t="n"/>
      <c r="R98" s="524">
        <f>1</f>
        <v/>
      </c>
      <c r="S98" s="502" t="n"/>
      <c r="U98" s="525" t="inlineStr">
        <is>
          <t>yes</t>
        </is>
      </c>
      <c r="V98" s="505" t="n"/>
      <c r="Y98" s="643" t="n">
        <v>37.85363006591797</v>
      </c>
      <c r="Z98" s="643">
        <f>IF(Y98="","",Y98*R98)</f>
        <v/>
      </c>
      <c r="AA98" s="502" t="inlineStr">
        <is>
          <t>37.85363006591797</t>
        </is>
      </c>
    </row>
    <row r="99" ht="153" customFormat="1" customHeight="1" s="503">
      <c r="A99" s="517">
        <f>A98+1</f>
        <v/>
      </c>
      <c r="B99" s="509" t="inlineStr">
        <is>
          <t>o_flood_loss_agri_assets</t>
        </is>
      </c>
      <c r="C99" s="509" t="inlineStr">
        <is>
          <t>o_flood_loss_agri_assets</t>
        </is>
      </c>
      <c r="D99" s="510" t="inlineStr">
        <is>
          <t>Did your household lose any agricultural land, crops, livestock, or fishery assets due to the recent floods?
[OPERATOR: SINGLE RESPONSE.]
1)YES
2)NO
3)DON’T KNOW
4)REFUSED</t>
        </is>
      </c>
      <c r="E99" s="511">
        <f>LEN(D99)</f>
        <v/>
      </c>
      <c r="F99" s="512" t="inlineStr">
        <is>
          <t>هل فقدت أسرتك أي أراضي زراعية أو محاصيل أو ثروة حيوانية أو أصول سمكية بسبب الفيضانات الأخيرة؟
[المشغل: استجابة واحدة.]
1) نعم
2) لا
3) لا أعرف
4) رفض الإجابة</t>
        </is>
      </c>
      <c r="G99" s="511" t="n"/>
      <c r="H99" s="511" t="inlineStr">
        <is>
          <t>Single Choice</t>
        </is>
      </c>
      <c r="I99" s="511" t="inlineStr">
        <is>
          <t>NA</t>
        </is>
      </c>
      <c r="J99" s="513" t="inlineStr">
        <is>
          <t>Send if "shock" "Contains" "Flood / riverbank erosion" Or "shock" "Contains" "Hurricane / cyclone / tornado" if not satisfied go to "confl_wellbeing"</t>
        </is>
      </c>
      <c r="K99" s="513" t="inlineStr">
        <is>
          <t>Form Type - Buttons</t>
        </is>
      </c>
      <c r="L99" s="513" t="inlineStr">
        <is>
          <t>NA</t>
        </is>
      </c>
      <c r="M99" s="510" t="inlineStr">
        <is>
          <t>1 = o_flood_asset_loss_type
2-4 = confl_wellbeing</t>
        </is>
      </c>
      <c r="N99" s="510" t="n"/>
      <c r="O99" s="514" t="inlineStr"/>
      <c r="P99" s="515" t="inlineStr"/>
      <c r="R99" s="504" t="n"/>
      <c r="S99" s="505" t="n"/>
      <c r="U99" t="inlineStr"/>
      <c r="V99" s="644" t="n"/>
      <c r="W99" s="644" t="n"/>
      <c r="X99" s="502" t="n"/>
      <c r="AA99" t="inlineStr"/>
    </row>
    <row r="100" ht="170.15" customFormat="1" customHeight="1" s="503">
      <c r="A100" s="517">
        <f>A99+1</f>
        <v/>
      </c>
      <c r="B100" s="509" t="inlineStr">
        <is>
          <t>o_flood_asset_loss_type</t>
        </is>
      </c>
      <c r="C100" s="509" t="inlineStr">
        <is>
          <t>o_flood_asset_loss_type</t>
        </is>
      </c>
      <c r="D100" s="510" t="inlineStr">
        <is>
          <t>What type of loss did your household experience?
[OPERATOR: MULTIPLE RESPONSES POSSIBLE. SELECT ALL THAT APPLY.]
1)Agricultural land
2)Crops
3)Livestock
4)Fishery assets
5)DON'T KNOW
6)REFUSED</t>
        </is>
      </c>
      <c r="E100" s="511">
        <f>LEN(D100)</f>
        <v/>
      </c>
      <c r="F100" s="512" t="inlineStr">
        <is>
          <t>ما نوع الخسارة التي تعرضت لها أسرتك؟
[المشغل: إجابات متعددة ممكنة. حدد كل ما ينطبق.]
1) الأراضي الزراعية
2) المحاصيل
3) الثروة الحيوانية
4) أصول الثروة السمكية
5) لا أعرف
6) رفض الإجابة</t>
        </is>
      </c>
      <c r="G100" s="511" t="n"/>
      <c r="H100" s="511" t="inlineStr">
        <is>
          <t>Select All That Apply</t>
        </is>
      </c>
      <c r="I100" s="511" t="inlineStr">
        <is>
          <t>NA</t>
        </is>
      </c>
      <c r="J100" s="513" t="inlineStr">
        <is>
          <t>NA</t>
        </is>
      </c>
      <c r="K100" s="513" t="inlineStr">
        <is>
          <t>Form Type - Buttons</t>
        </is>
      </c>
      <c r="L100" s="513" t="inlineStr">
        <is>
          <t>NA</t>
        </is>
      </c>
      <c r="M100" s="510" t="inlineStr">
        <is>
          <t>1-6 = confl_wellbeing</t>
        </is>
      </c>
      <c r="N100" s="510" t="n"/>
      <c r="O100" s="514" t="inlineStr"/>
      <c r="P100" s="515" t="inlineStr"/>
      <c r="R100" s="504" t="n"/>
      <c r="S100" s="505" t="n"/>
      <c r="U100" t="inlineStr"/>
      <c r="V100" s="644" t="n"/>
      <c r="W100" s="644" t="n"/>
      <c r="X100" s="502" t="n"/>
      <c r="AA100" t="inlineStr"/>
    </row>
    <row r="101" ht="21.75" customFormat="1" customHeight="1" s="189" thickBot="1">
      <c r="A101" s="645" t="inlineStr">
        <is>
          <t>CONFLICT MODULE</t>
        </is>
      </c>
      <c r="B101" s="646" t="n"/>
      <c r="C101" s="646" t="n"/>
      <c r="D101" s="646" t="n"/>
      <c r="E101" s="646" t="n"/>
      <c r="F101" s="646" t="n"/>
      <c r="G101" s="646" t="n"/>
      <c r="H101" s="646" t="n"/>
      <c r="I101" s="646" t="n"/>
      <c r="J101" s="646" t="n"/>
      <c r="K101" s="646" t="n"/>
      <c r="L101" s="646" t="n"/>
      <c r="M101" s="646" t="n"/>
      <c r="N101" s="646" t="n"/>
      <c r="O101" s="646" t="n"/>
      <c r="P101" s="646" t="n"/>
      <c r="Q101" s="647" t="n"/>
      <c r="R101" s="324" t="n"/>
      <c r="S101" s="188" t="n"/>
      <c r="U101" s="190" t="n"/>
      <c r="V101" s="191" t="n"/>
      <c r="Y101" s="648" t="n"/>
      <c r="Z101" s="648">
        <f>IF(Y101="","",Y101*R101)</f>
        <v/>
      </c>
      <c r="AA101" s="188">
        <f>IF(U101="yes",Z101,"")</f>
        <v/>
      </c>
    </row>
    <row r="102" ht="393.75" customFormat="1" customHeight="1" s="218">
      <c r="A102" s="374" t="n">
        <v>81</v>
      </c>
      <c r="B102" s="290" t="inlineStr">
        <is>
          <t>confl_wellbeing</t>
        </is>
      </c>
      <c r="C102" s="260" t="inlineStr">
        <is>
          <t>confl_wellbeing
1)confl_wb_none
2)confl_wb_livelihood
3)confl_wb_health
4)confl_wb_transport
5)confl_wb_edu
6)confl_wb_food_water
7)confl_wb_safety
8)confl_wb_land_sec
9)confl_wb_lack_justice
10)confl_wb_corrupt
11)confl_wb_lack_gov
12)confl_wb_assistance
13)confl_wb_other
14)confl_wb_dk
15)confl_wb_ref</t>
        </is>
      </c>
      <c r="D102" s="261" t="inlineStr">
        <is>
          <t>What are the main problems affecting the community's wellbeing?
[OPERATOR: UP TO THREE RESPONSES ALLOWED]
1)There are no issues or concerns
2)Employment / livelihoods [lack of or inadequate]
3)Health care [lack of or inadequate]
4)Transportation [lack of or inadequate]
5)Education [lack of or inadequate]
6)Access to food/water [lack of or inadequate]
7)Security and safety of family members [lack of or inadequate]
8)Security of land or property [lack of or inadequate]
9)Lack of justice
10)Corruption
11)Lack of governance
12)Accessing or receiving assistance
13)Other [specify]
14)DON'T KNOW
15)REFUSED</t>
        </is>
      </c>
      <c r="E102" s="262">
        <f>LEN(D102)</f>
        <v/>
      </c>
      <c r="F102" s="583" t="inlineStr">
        <is>
          <t>ما هي المشاكل الرئيسية التي تؤثر على تحسين حال المجتمع؟
[المشغل: مسموح بثلاث إجابات كحد أقصى]
1) لا توجد مشكلات أو مخاوف
2) التوظيف / سبل العيش [نقص أو عدم كفاية]
3) الرعاية الصحية [نقص أو عدم كفاية]
4) وسائل النقل [نقص أو عدم كفاية]
5) التعليم [نقص أو عدم كفاية]
6) الوصول إلى الغذاء / المياه [نقص أو عدم كفاية]
7) أمن وسلامة أفراد الأسرة [نقص أو عدم كفاية]
8) أمان الأرض أو الممتلكات [نقص أو عدم كفاية] 
9) نقص العدالة 
10) الفساد
11) عدم الحوكمة
12) الوصول إلى المساعدة أو تلقيها
13) آخر [حدد]
14) لا أعرف
15) رفض الإجابة</t>
        </is>
      </c>
      <c r="G102" s="263">
        <f>LEN(F102)</f>
        <v/>
      </c>
      <c r="H102" s="289" t="inlineStr">
        <is>
          <t>Open Ended-Select All That Apply</t>
        </is>
      </c>
      <c r="I102" s="292" t="inlineStr">
        <is>
          <t>NA</t>
        </is>
      </c>
      <c r="J102" s="292" t="inlineStr">
        <is>
          <t>NA</t>
        </is>
      </c>
      <c r="K102" s="292" t="inlineStr">
        <is>
          <t>Form Type - Checklist
1,14,15 = IsNone
Min = 1
Max = 3</t>
        </is>
      </c>
      <c r="L102" s="260" t="inlineStr">
        <is>
          <t>1)confl_wb_none
2)confl_wb_livelihood
3)confl_wb_health
4)confl_wb_transport
5)confl_wb_edu
6)confl_wb_food_water
7)confl_wb_safety
8)confl_wb_land_sec
9)confl_wb_lack_justice
10)confl_wb_corrupt
11)confl_wb_lack_gov
12)confl_wb_assistance
13)confl_wb_other
14)confl_wb_dk
15)confl_wb_ref</t>
        </is>
      </c>
      <c r="M102" s="264" t="inlineStr">
        <is>
          <t>1-15 = confl_yn</t>
        </is>
      </c>
      <c r="N102" s="358" t="n"/>
      <c r="O102" s="265" t="inlineStr">
        <is>
          <t>For any response, go to confl_yn.</t>
        </is>
      </c>
      <c r="P102" s="229" t="inlineStr"/>
      <c r="Q102" s="238" t="n"/>
      <c r="R102" s="317" t="n"/>
      <c r="S102" s="217" t="n"/>
      <c r="U102" s="219" t="inlineStr">
        <is>
          <t>no</t>
        </is>
      </c>
      <c r="V102" s="220" t="n"/>
      <c r="Y102" s="633" t="n"/>
      <c r="Z102" s="633" t="n"/>
      <c r="AA102" s="217" t="inlineStr"/>
      <c r="AI102" s="222" t="inlineStr">
        <is>
          <t>Better if optional. Some options might be a bit sensitive in some contexts (e.g. corruption)</t>
        </is>
      </c>
    </row>
    <row r="103" ht="162.75" customFormat="1" customHeight="1" s="218">
      <c r="A103" s="374" t="n">
        <v>82</v>
      </c>
      <c r="B103" s="573" t="inlineStr">
        <is>
          <t>confl_yn</t>
        </is>
      </c>
      <c r="C103" s="208" t="inlineStr">
        <is>
          <t>confl_yn</t>
        </is>
      </c>
      <c r="D103" s="266" t="inlineStr">
        <is>
          <t>Have you or anyone within your household been affected by any form of insecurity or conflict during the past 3 months?
[OPERATOR: SINGLE RESPONSE.]
1)YES
2)NO
3)DON'T KNOW
4)REFUSED</t>
        </is>
      </c>
      <c r="E103" s="313">
        <f>LEN(D103)</f>
        <v/>
      </c>
      <c r="F103" s="593" t="inlineStr">
        <is>
          <t>هل تأثرت أنت أو أي شخص في أسرتك بأي شكل من أشكال انعدام الأمن أو الصراع خلال الأشهر الثلاثة الماضية؟
[المشغل: إجابة واحدة.]
1)نعم
2)لا
3) لا أعرف
4) رفض الإجابة</t>
        </is>
      </c>
      <c r="G103" s="313">
        <f>LEN(F103)</f>
        <v/>
      </c>
      <c r="H103" s="562" t="inlineStr">
        <is>
          <t>Single Choice</t>
        </is>
      </c>
      <c r="I103" s="313" t="inlineStr">
        <is>
          <t>NA</t>
        </is>
      </c>
      <c r="J103" s="313" t="inlineStr">
        <is>
          <t>NA</t>
        </is>
      </c>
      <c r="K103" s="313" t="inlineStr">
        <is>
          <t>Form Type - Buttons</t>
        </is>
      </c>
      <c r="L103" s="267" t="inlineStr">
        <is>
          <t>NA</t>
        </is>
      </c>
      <c r="M103" s="268" t="inlineStr">
        <is>
          <t>1 = confl_pimary_insec
2-4 = crp_intro</t>
        </is>
      </c>
      <c r="N103" s="359" t="n"/>
      <c r="O103" s="594" t="inlineStr">
        <is>
          <t>if confl_yn = 1, go to confl_prim_insec.
Otherwise, go to crp_intro</t>
        </is>
      </c>
      <c r="P103" s="258" t="inlineStr"/>
      <c r="Q103" s="238" t="n"/>
      <c r="R103" s="317" t="n"/>
      <c r="S103" s="217" t="n"/>
      <c r="U103" s="219" t="inlineStr">
        <is>
          <t>yes</t>
        </is>
      </c>
      <c r="V103" s="220" t="n"/>
      <c r="Y103" s="633" t="n"/>
      <c r="Z103" s="633" t="n"/>
      <c r="AA103" s="217" t="inlineStr"/>
      <c r="AI103" s="222" t="inlineStr">
        <is>
          <t>Better with 3 months recall period indeed</t>
        </is>
      </c>
    </row>
    <row r="104" ht="223.5" customFormat="1" customHeight="1" s="218">
      <c r="A104" s="374" t="n">
        <v>83</v>
      </c>
      <c r="B104" s="290" t="inlineStr">
        <is>
          <t>confl_pimary_insec</t>
        </is>
      </c>
      <c r="C104" s="255" t="inlineStr">
        <is>
          <t>confl_prim_insec</t>
        </is>
      </c>
      <c r="D104" s="269" t="inlineStr">
        <is>
          <t>What has been the primary type of insecurity affecting your household?
[OPERATOR: SINGLE RESPONSE.]
1)Disputes or conflicts over land/ water or pasture
2)Criminality/ gang violence or banditry
3)Conflict between community groups
4)Armed conflict
5)Disputes or conflicts over assistance being provided
6)Other [specify]
7)DON'T KNOW
8)REFUSED</t>
        </is>
      </c>
      <c r="E104" s="292">
        <f>LEN(D104)</f>
        <v/>
      </c>
      <c r="F104" s="583" t="inlineStr">
        <is>
          <t>ما هو نوع عدم الأمان الرئيسي الذي يؤثر على أسرتك؟
[المشغل: إجابة واحدة.]
1) النزاعات حول الأرض أو المياه أو المراعي 
2) الإجرام أو عنف العصابات أو اللصوصية
3) النزاعات/ الخلافات بين مجموعات المجتمع
4) النزاعات المسلحة أو الأعمال العدائية المسلحة
5) النزاعات أو الصراعات حول تقديم المساعدة
6) أخرى [حدد]
7) لا أعرف
8) رفض الإجابة</t>
        </is>
      </c>
      <c r="G104" s="292">
        <f>LEN(F104)</f>
        <v/>
      </c>
      <c r="H104" s="289" t="inlineStr">
        <is>
          <t>Open Ended-Single Choice</t>
        </is>
      </c>
      <c r="I104" s="292" t="inlineStr">
        <is>
          <t>NA</t>
        </is>
      </c>
      <c r="J104" s="292" t="inlineStr">
        <is>
          <t>NA</t>
        </is>
      </c>
      <c r="K104" s="292" t="inlineStr">
        <is>
          <t>Form Type - Radiolist</t>
        </is>
      </c>
      <c r="L104" s="270" t="inlineStr">
        <is>
          <t>NA</t>
        </is>
      </c>
      <c r="M104" s="258" t="inlineStr">
        <is>
          <t>1-8 = confl_agri_imp</t>
        </is>
      </c>
      <c r="N104" s="357" t="n"/>
      <c r="O104" s="595" t="inlineStr">
        <is>
          <t>if confl_prim_insec = 1-8, go to confl_agri_imp.</t>
        </is>
      </c>
      <c r="P104" s="229" t="inlineStr"/>
      <c r="Q104" s="216" t="n"/>
      <c r="R104" s="317" t="n"/>
      <c r="S104" s="217" t="n"/>
      <c r="U104" s="219" t="inlineStr">
        <is>
          <t>no</t>
        </is>
      </c>
      <c r="V104" s="220" t="n"/>
      <c r="Y104" s="633" t="n"/>
      <c r="Z104" s="633" t="n"/>
      <c r="AA104" s="217" t="inlineStr"/>
      <c r="AE104" s="226" t="inlineStr">
        <is>
          <t>In enumerator training, include explanation/examples of ''insecurity''</t>
        </is>
      </c>
      <c r="AI104" s="224" t="n"/>
    </row>
    <row r="105" ht="390" customFormat="1" customHeight="1" s="218">
      <c r="A105" s="374" t="n">
        <v>84</v>
      </c>
      <c r="B105" s="573" t="inlineStr">
        <is>
          <t>confl_agri_imp</t>
        </is>
      </c>
      <c r="C105" s="208" t="inlineStr">
        <is>
          <t>confl_agri_imp
1)confl_agri_none
2)confl_agri_access_field
3)confl_agri_inputs
4)confl_agri_prod_asset
5)confl_agri_water_infra
6)confl_agri_crp_damage
7)confl_agri_crp_theft_occup
8)confl_agri_ls_reduce_mob
9)confl_agri_ls_damage
10)confl_agri_ls_theft
11)confl_agri_land_contam
12)confl_agri_extortion
13)confl_agri_other
14)confl_agri_dk
15)confl_agri_ref</t>
        </is>
      </c>
      <c r="D105" s="271" t="inlineStr">
        <is>
          <t>How has insecurity and/or conflict affected your household's farming, livestock or fishing activities? 
[OPERATOR: SELECT UP TO THREE IMPACTS.]
1)No effect on my household's agricultural activities
2)Could not access or limited access to fields/fishing areas
3)Could not access [or poor quality] inputs [seeds/ fertiliser]
4)Damage or destruction of productive assets [tools/ machinery]
5)Damage to water infrastructure and/or reduced access to water
6)Damage or destruction of crops
7)Theft/occupation of agricultural land
8)Reduced livestock mobility due to insecurity
9)Death or injury of livestock
10)Theft of livestock
11)Land contaminated by landmines and/or explosive remnants of war
12)Extortion [e.g. payments demanded by armed groups]
13)Other [specify]
14)DON'T KNOW
15)REFUSED</t>
        </is>
      </c>
      <c r="E105" s="313">
        <f>LEN(D105)</f>
        <v/>
      </c>
      <c r="F105" s="593" t="inlineStr">
        <is>
          <t>كيف أثر انعدام الأمن على أنشطة الزراعة أو الثروة الحيوانية أو صيد السماك في أسرتك؟
[المشغل: حدد ما يصل إلى ثلاثة تأثيرات.]
1) لا يوجد تأثير على الأنشطة الزراعية لأسرتي
2) عدم القدرة على الوصول إلى الحقول/مناطق الصيد أو تقييد الوصول إليها
3) عدم القدرة على الوصول إلى المدخلات [البذور والأسمدة] [أو جودتها رديئة]
4) إتلاف أو تدمير الأصول الإنتاجية [الأدوات والآلات]
5) إتلاف البنية التحتية للمياه و/أو انخفاض الوصول إلى المياه
6) إتلاف أو تدمير المحاصيل
7) سرقة/احتلال الأراضي الزراعية
8) تقليل حركة الماشية بسبب انعدام الأمن
9) موت أو إصابة الماشية
10) سرقة الماشية
11) تلوث الأراضي بالألغام الأرضية و/أو آثار الحروب المتفجرة
12) الابتزاز [على سبيل المثال الجبايات التي تطالب بها الجماعات المسلحة]
13) أخرى [حدد] 
14) لا أعرف
15) رفض الإجابة</t>
        </is>
      </c>
      <c r="G105" s="313">
        <f>LEN(F105)</f>
        <v/>
      </c>
      <c r="H105" s="562" t="inlineStr">
        <is>
          <t>Open Ended-Select All That Apply</t>
        </is>
      </c>
      <c r="I105" s="313" t="inlineStr">
        <is>
          <t>NA</t>
        </is>
      </c>
      <c r="J105" s="313" t="inlineStr">
        <is>
          <t>NA</t>
        </is>
      </c>
      <c r="K105" s="313" t="inlineStr">
        <is>
          <t>Form Type - Checklist
1,14,15 = IsNone
Min = 1
Max = 3</t>
        </is>
      </c>
      <c r="L105" s="208" t="inlineStr">
        <is>
          <t>1)confl_agri_none
2)confl_agri_access_field
3)confl_agri_inputs
4)confl_agri_prod_asset
5)confl_agri_water_infra
6)confl_agri_crp_damage
7)confl_agri_crp_theft_occup
8)confl_agri_ls_reduce_mob
9)confl_agri_ls_damage
10)confl_agri_ls_theft
11)confl_agri_land_contam
12)confl_agri_extortion
13)confl_agri_other
14)confl_agri_dk
15)confl_agri_ref</t>
        </is>
      </c>
      <c r="M105" s="268" t="inlineStr">
        <is>
          <t>1-15 = confl_foodsec_imp</t>
        </is>
      </c>
      <c r="N105" s="359" t="n"/>
      <c r="O105" s="594" t="inlineStr">
        <is>
          <t>if confl_agri_imp = 1-15, go to confl_foodsec_imp.</t>
        </is>
      </c>
      <c r="P105" s="258" t="inlineStr"/>
      <c r="Q105" s="216" t="n"/>
      <c r="R105" s="317" t="n"/>
      <c r="S105" s="217" t="n"/>
      <c r="U105" s="219" t="inlineStr">
        <is>
          <t>yes</t>
        </is>
      </c>
      <c r="V105" s="220" t="n"/>
      <c r="Y105" s="633" t="n"/>
      <c r="Z105" s="633" t="n"/>
      <c r="AA105" s="217" t="inlineStr"/>
      <c r="AI105" s="224" t="n"/>
    </row>
    <row r="106" ht="335.25" customFormat="1" customHeight="1" s="218" thickBot="1">
      <c r="A106" s="374" t="n">
        <v>85</v>
      </c>
      <c r="B106" s="290" t="inlineStr">
        <is>
          <t>confl_foodsec_imp</t>
        </is>
      </c>
      <c r="C106" s="255" t="inlineStr">
        <is>
          <t>confl_foodsec_imp
1)confl_fs_none
2)confl_fs_high_cost
3)confl_fs_lack_food_mkt
4)confl_fs_access_mkt
5)confl_fs_reduced_income
6)confl_fs_access_assistance
7)confl_fs_theft_damage
8)confl_fs_illicit_pay
9)confl_fs_other
10)confl_fs_dk
11)confl_fs_ref</t>
        </is>
      </c>
      <c r="D106" s="326" t="inlineStr">
        <is>
          <t>How has insecurity  affected your household's access to food?
[OPERATOR: SELECT UP TO THREE IMPACTS.]
1)No effect on my access to food
2)High food costs
3)Lack of food in the markets
4)Difficult/dangerous to access markets
5)Reduced income to buy food
6)Difficult to access assistance [food/ cash or vouchers]
7)Theft/damage to household food stores
8)Demands for illicit payments or taxes
9)Other [specify]
10)DON'T KNOW
11)REFUSED</t>
        </is>
      </c>
      <c r="E106" s="292">
        <f>LEN(D106)</f>
        <v/>
      </c>
      <c r="F106" s="583" t="inlineStr">
        <is>
          <t>كيف أثر انعدام الأمن على قدرة أسرتك على الوصول إلى الغذاء؟
[المشغل: حدد ما يصل إلى ثلاثة تأثيرات.]
1) لا يوجد تأثير على قدرتي على الوصول إلى الغذاء
2) ارتفاع تكاليف الغذاء
3) نقص الغذاء في الأسواق
4) صعوبة/خطورة الوصول إلى الأسواق
5) انخفاض الدخل لشراء الغذاء
6) صعوبة الوصول إلى المساعدة [الغذائية أو النقدية أو القسائم]
7) سرقة/تلف مخازن الغذاء المنزلية
8) مطالبات بمدفوعات أو ضرائب غير مشروعة
9) أخرى [حدد]
10) لا أعرف
11) رفض الإجابة</t>
        </is>
      </c>
      <c r="G106" s="292">
        <f>LEN(F106)</f>
        <v/>
      </c>
      <c r="H106" s="289" t="inlineStr">
        <is>
          <t>Open Ended-Select All That Apply</t>
        </is>
      </c>
      <c r="I106" s="292" t="inlineStr">
        <is>
          <t>NA</t>
        </is>
      </c>
      <c r="J106" s="292" t="inlineStr">
        <is>
          <t>NA</t>
        </is>
      </c>
      <c r="K106" s="292" t="inlineStr">
        <is>
          <t>Form Type - Checklist
1,10,11 = IsNone
Min = 1
Max = 3</t>
        </is>
      </c>
      <c r="L106" s="255" t="inlineStr">
        <is>
          <t>1)confl_fs_none
2)confl_fs_high_cost
3)confl_fs_lack_food_mkt
4)confl_fs_access_mkt
5)confl_fs_reduced_income
6)confl_fs_access_assistance
7)confl_fs_theft_damage
8)confl_fs_illicit_pay
9)confl_fs_other
10)confl_fs_dk
11)confl_fs_ref</t>
        </is>
      </c>
      <c r="M106" s="258" t="inlineStr">
        <is>
          <t>1-11 = crp_intro</t>
        </is>
      </c>
      <c r="N106" s="357" t="n"/>
      <c r="O106" s="596" t="inlineStr">
        <is>
          <t>if confl_foodsec_imp = 1-11, go to crp_intro.</t>
        </is>
      </c>
      <c r="P106" s="229" t="inlineStr"/>
      <c r="Q106" s="216" t="n"/>
      <c r="R106" s="317" t="n"/>
      <c r="S106" s="217" t="n"/>
      <c r="U106" s="219" t="inlineStr">
        <is>
          <t>no</t>
        </is>
      </c>
      <c r="V106" s="220" t="n"/>
      <c r="Y106" s="633" t="n"/>
      <c r="Z106" s="633" t="n"/>
      <c r="AA106" s="217" t="inlineStr"/>
    </row>
    <row r="107" ht="16.4" customFormat="1" customHeight="1" s="149" thickBot="1">
      <c r="A107" s="604" t="inlineStr">
        <is>
          <t>D. CROP PRODUCTION</t>
        </is>
      </c>
      <c r="B107" s="629" t="n"/>
      <c r="C107" s="629" t="n"/>
      <c r="D107" s="629" t="n"/>
      <c r="E107" s="629" t="n"/>
      <c r="F107" s="629" t="n"/>
      <c r="G107" s="629" t="n"/>
      <c r="H107" s="629" t="n"/>
      <c r="I107" s="629" t="n"/>
      <c r="J107" s="629" t="n"/>
      <c r="K107" s="629" t="n"/>
      <c r="L107" s="629" t="n"/>
      <c r="M107" s="629" t="n"/>
      <c r="N107" s="629" t="n"/>
      <c r="O107" s="629" t="n"/>
      <c r="P107" s="629" t="n"/>
      <c r="Q107" s="630" t="n"/>
      <c r="R107" s="306" t="n"/>
      <c r="S107" s="151" t="n"/>
      <c r="U107" s="150" t="n"/>
      <c r="V107" s="623" t="n"/>
      <c r="Y107" s="631" t="n"/>
      <c r="Z107" s="631">
        <f>IF(Y107="","",Y107*R107)</f>
        <v/>
      </c>
      <c r="AA107" s="151">
        <f>IF(U107="yes",Z107,"")</f>
        <v/>
      </c>
    </row>
    <row r="108" ht="156" customFormat="1" customHeight="1" s="59">
      <c r="A108" s="38">
        <f>A106+1</f>
        <v/>
      </c>
      <c r="B108" s="79" t="inlineStr">
        <is>
          <t>crp_intro</t>
        </is>
      </c>
      <c r="C108" s="58" t="inlineStr">
        <is>
          <t>crp_intro</t>
        </is>
      </c>
      <c r="D108" s="72" t="inlineStr">
        <is>
          <t>We will now ask you some questions about crop production which apply to you and anyone in your household that is involved in crop production or sales. All questions refer to the crops grown during Ongoing season.
1)CONTINUE</t>
        </is>
      </c>
      <c r="E108" s="56">
        <f>LEN(D108)</f>
        <v/>
      </c>
      <c r="F108" s="72" t="inlineStr">
        <is>
          <t>سنطرح عليك الآن بعض الأسئلة حول إنتاج المحاصيل التي تنطبق عليك وعلى أي شخص في أسرتك يشارك في إنتاج المحاصيل أو بيعها. تشير جميع الأسئلة إلى المحاصيل المزروعة خلال الموسم الحالي. 
1) تابع</t>
        </is>
      </c>
      <c r="G108" s="56">
        <f>LEN(F108)</f>
        <v/>
      </c>
      <c r="H108" s="64" t="inlineStr">
        <is>
          <t>Single Choice</t>
        </is>
      </c>
      <c r="I108" s="56" t="inlineStr">
        <is>
          <t>NA</t>
        </is>
      </c>
      <c r="J108" s="56" t="inlineStr">
        <is>
          <t>Send if "hh_agricactivity" "Equals" "Yes - crop production" Or "hh_agricactivity" "Equals" "Yes - both crop and livestock production" Or "income_main_crop_check" "Equals" "YES" Or "income_sec_crop_check" "Equals" "YES" Or "income_third_crop_check" "Equals" "YES" if not satisfied go to "crp_salesmain"</t>
        </is>
      </c>
      <c r="K108" s="179" t="inlineStr">
        <is>
          <t>Form Type - Buttons</t>
        </is>
      </c>
      <c r="L108" s="100" t="inlineStr">
        <is>
          <t>NA</t>
        </is>
      </c>
      <c r="M108" s="71" t="inlineStr">
        <is>
          <t>1 = crp_landsize_num</t>
        </is>
      </c>
      <c r="N108" s="348" t="n"/>
      <c r="O108" s="62" t="inlineStr">
        <is>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is>
      </c>
      <c r="P108" s="73" t="inlineStr"/>
      <c r="Q108" s="78" t="n"/>
      <c r="R108" s="300">
        <f>#REF!</f>
        <v/>
      </c>
      <c r="S108" s="53" t="n"/>
      <c r="U108" s="150" t="inlineStr">
        <is>
          <t>yes</t>
        </is>
      </c>
      <c r="V108" s="613" t="n"/>
      <c r="Y108" s="631" t="n">
        <v>7.304072856903076</v>
      </c>
      <c r="Z108" s="631">
        <f>IF(Y108="","",Y108*R108)</f>
        <v/>
      </c>
      <c r="AA108" s="53" t="e">
        <v>#REF!</v>
      </c>
    </row>
    <row r="109" ht="93.65000000000001" customFormat="1" customHeight="1" s="59">
      <c r="A109" s="38" t="n">
        <v>87</v>
      </c>
      <c r="B109" s="597" t="inlineStr">
        <is>
          <t>crp_landsize_num</t>
        </is>
      </c>
      <c r="C109" s="179" t="inlineStr">
        <is>
          <t>crp_landsize_num</t>
        </is>
      </c>
      <c r="D109" s="559" t="inlineStr">
        <is>
          <t>What is the total size of the land you can cultivate?
[OPERATOR: RECORD THE TOTAL LAND SIZE PROVIDED BY THE RESPONDENT. WRITE 8888888 FOR DON'T KNOW AND 9999999 FOR REFUSED. MEASUREMENT UNIT WILL BE SPECIFIED IN THE FOLLOWING QUESTION.]</t>
        </is>
      </c>
      <c r="E109" s="179">
        <f>LEN(D109)</f>
        <v/>
      </c>
      <c r="F109" s="559" t="inlineStr">
        <is>
          <t>ما هو الحجم الإجمالي للأرض التي يمكنك زراعتها؟
[المُشغل: سجل إجمالي حجم الأرض الذي ذكره المجيب. اكتب 8888888 للا أعرف و 9999999 في حالة الرفض. سيتم تحديد وحدة القياس في السؤال التالي.]</t>
        </is>
      </c>
      <c r="G109" s="179">
        <f>LEN(F109)</f>
        <v/>
      </c>
      <c r="H109" s="566" t="inlineStr">
        <is>
          <t>Range</t>
        </is>
      </c>
      <c r="I109" s="179" t="inlineStr">
        <is>
          <t>NA</t>
        </is>
      </c>
      <c r="J109" s="179" t="inlineStr">
        <is>
          <t>NA</t>
        </is>
      </c>
      <c r="K109" s="179" t="inlineStr">
        <is>
          <t>Form Type - TextBox</t>
        </is>
      </c>
      <c r="L109" s="100" t="inlineStr">
        <is>
          <t>NA</t>
        </is>
      </c>
      <c r="M109" s="74" t="inlineStr">
        <is>
          <t>0-1000000 = crp_landsize_unit
8888888-8888888 = crp_main
9999999-9999999 = crp_main</t>
        </is>
      </c>
      <c r="N109" s="348" t="n"/>
      <c r="O109" s="62" t="inlineStr">
        <is>
          <t>For any response, go to crp_landsize_unit. Range is between 0 and 1000000. For "Don't know" and "Refused", go to crp_main.</t>
        </is>
      </c>
      <c r="P109" s="77" t="inlineStr"/>
      <c r="Q109" s="76" t="n"/>
      <c r="R109" s="300">
        <f>#REF!</f>
        <v/>
      </c>
      <c r="S109" s="53" t="n"/>
      <c r="U109" s="150" t="inlineStr">
        <is>
          <t>yes</t>
        </is>
      </c>
      <c r="V109" s="613" t="n"/>
      <c r="Y109" s="631" t="n">
        <v>23.93990516662598</v>
      </c>
      <c r="Z109" s="631">
        <f>IF(Y109="","",Y109*R109)</f>
        <v/>
      </c>
      <c r="AA109" s="53" t="e">
        <v>#REF!</v>
      </c>
    </row>
    <row r="110" ht="409.5" customFormat="1" customHeight="1" s="59">
      <c r="A110" s="38" t="n">
        <v>88</v>
      </c>
      <c r="B110" s="597" t="inlineStr">
        <is>
          <t>crp_landsize_unit</t>
        </is>
      </c>
      <c r="C110" s="179" t="inlineStr">
        <is>
          <t>crp_landsize_unit</t>
        </is>
      </c>
      <c r="D110" s="559" t="inlineStr">
        <is>
          <t>Unit of measurement for land size: 
[OPERATOR: DO NOT READ. SINGLE RESPONSE.]
1)Acres
2)Hectares
3)Square meters
4)Square feet
5)Labneh
6)Qassabh
7)Hablah
8)Ma'ad
9)Salook
10)Shaklah
11)Neiha
12)Matreh
13)Wadan
14)Oqum
15)Asaoo
16)Shagan
17)Arfad
18)Aber
19)Taleem
20)Magabi
21)Hediah
22)Thera'a
23)Materah</t>
        </is>
      </c>
      <c r="E110" s="179">
        <f>LEN(D110)</f>
        <v/>
      </c>
      <c r="F110" s="559" t="inlineStr">
        <is>
          <t>وحدة قياس مساحة الارض:
[المُشغل: لا تقرأ. استجابة واحدة.]
1) فدان
2) هكتار
3) متر مربع
4) قدم مربع
5)لبنة
6)قصبة
7) حبل/حبلة
8) معاد
9)سلوق
10) شكلة
11) نيحة
12) مطرح
13)ودن
14) عقم
15)اسعاو
16) شجن
17)رفد/ارفاد
18) عبر
19) تليم
20)مجابي
21) حدية
22) ذراع
23) مطبرة</t>
        </is>
      </c>
      <c r="G110" s="179">
        <f>LEN(F110)</f>
        <v/>
      </c>
      <c r="H110" s="566" t="inlineStr">
        <is>
          <t>Single Choice</t>
        </is>
      </c>
      <c r="I110" s="179" t="inlineStr">
        <is>
          <t>NA</t>
        </is>
      </c>
      <c r="J110" s="179" t="inlineStr">
        <is>
          <t>NA</t>
        </is>
      </c>
      <c r="K110" s="179" t="inlineStr">
        <is>
          <t>Form Type - Dropdown</t>
        </is>
      </c>
      <c r="L110" s="100" t="inlineStr">
        <is>
          <t>NA</t>
        </is>
      </c>
      <c r="M110" s="74" t="inlineStr">
        <is>
          <t>1-23 = crp_main</t>
        </is>
      </c>
      <c r="N110" s="348" t="n"/>
      <c r="O110" s="62" t="inlineStr">
        <is>
          <t>if crp_landsize_unit = 1-5, go to crp_main</t>
        </is>
      </c>
      <c r="P110" s="73" t="inlineStr"/>
      <c r="Q110" s="75" t="n"/>
      <c r="R110" s="300">
        <f>#REF!</f>
        <v/>
      </c>
      <c r="S110" s="53" t="n"/>
      <c r="U110" s="150" t="inlineStr">
        <is>
          <t>yes</t>
        </is>
      </c>
      <c r="V110" s="613" t="n"/>
      <c r="Y110" s="631" t="n">
        <v>2.249462604522705</v>
      </c>
      <c r="Z110" s="631">
        <f>IF(Y110="","",Y110*R110)</f>
        <v/>
      </c>
      <c r="AA110" s="53" t="e">
        <v>#REF!</v>
      </c>
    </row>
    <row r="111" ht="408.75" customFormat="1" customHeight="1" s="59">
      <c r="A111" s="38" t="n">
        <v>89</v>
      </c>
      <c r="B111" s="114" t="inlineStr">
        <is>
          <t>crp_main</t>
        </is>
      </c>
      <c r="C111" s="58" t="inlineStr">
        <is>
          <t>crp_main</t>
        </is>
      </c>
      <c r="D111" s="72" t="inlineStr">
        <is>
          <t>What has been the main crop that your household has grown for food and income generation in Ongoing season, if any? 
[OPERATOR: SINGLE RESPONSE. "NO CROP PRODUCTION" IS IN LAST OPTIONS AT THE END.] 
1)Wheat
2)Millet
3)Sorghum
4)Potatoe
5)Lentils
6)Tomatoes
7)Okra
8)Orange
9)Grapes
10)Coffee
11)Qat
12)Maize
13)Barley
14)Other Cereal
15)Cassava
16)Sweet Potatoes
17)Yams
18)Carrots
19)Cocoyam
20)Other tubers
21)Beans
22)Peas
23)Soybeans
24)Chickpeas
25)Fava beans
26)Broad beans
27)Other pulses
28)Cabbage
29)Lettuce
30)Spinach-Amaranth
31)Cassava leaves
32)Potatoe leaves
33)Moringa
34)Sorrel Hibiscus / Rosselle
35)Green salad herbs [thyme/ parsley/ mint/ rocca/ other]
36)Cauliflower
37)Other leafy vegetables
38)Cucumber
39)Pumpkin
40)Eggplant/aubergine
41)Zucchini
42)Bell pepper
43)Onions
44)Haricot
45)Green peas
46)Fava beans green
47)Other non leafy vegs
48)Lemon
49)Grapefruit
50)Mandarins/clementines
51)Other citrus fruit
52)Sweet Banana
53)Plantains
54)Papaya
55)Mango
56)Guava
57)Pineapple
58)Avocado
59)Water Melon
60)Dates
61)Figs
62)Olives
63)Apple
64)Apricot
65)Cherries
66)Peach/nectarine
67)Strawberries
68)Melon [Cantaloupe]
69)Other fruit
70)Coconuts
71)Groundnut/peanut
72)Cashew Nut
73)Kola Nut
74)Sesame
75)Bambara nut
76)Almond
77)Walnut
78)Other nuts
79)Cocoa
80)Tea
81)Sugarcane
82)Sunflower
83)Other food cash crop
84)Cotton
85)Rubber
86)Jute
87)Fodder
88)Tobacco
89)Other non-food cash crop
90)Rice
91)No crop production
92)DON'T KNOW
93)REFUSED</t>
        </is>
      </c>
      <c r="E111" s="56">
        <f>LEN(D111)</f>
        <v/>
      </c>
      <c r="F111" s="72" t="inlineStr">
        <is>
          <t>ما هو المحصول الرئيسي الذي تزرعه أسرتك من أجل الغذاء وتوليد الدخل في موسم  الموسم الحالي  ، إن وجد؟ 
 [المشغل: استجابة واحدة. 'لا إنتاج للمحصول' في آخر الخيارات في النهاية.] 
1)القمح
2)الدخن
3)الذرة الرفيعة
4)البطاطا
5)العدس
6)الطماطم
7)البامية
8)البرتقال
9)العنب
10)القهوة
11)القات
12)الذرة
13)الشعير
14)الحبوب الأخرى
15)الكسافا
16)البطاطا الحلوة
17)اليام
18)الجزر
19)القلقاس
20)الدرنات الأخرى
21)الفاصوليا
22)البازيلاء
23)فول الصويا
24)الحمص
25)الفول
26)الفاصوليا العريضة
27)البقول الاخرى
28)الملفوف
29)الخس
30)السبانخ - القطيفة
31)أوراق الكسافا
32)أوراق البطاطا
33)المورينجا
34)الكركديه
35)أعشاب السلطة الخضراء [زعتر ، بقدونس ، نعناع ، جرجير ، أنواع أخرى]
36)القرنبيط
37)الخضار الورقية الأخرى
38)الخيار
39)اليقطين
40)الباذنجان
41)الكوسة
42)الفلفل حلو
43)بصل
44)اللوبياء
45)البازلاء الخضراء
46)الفول الأخضر
47)الخضار غير الورقية الأخرى
48)الليمون
49)الجريب فروت
50)اليوسفي / الكليمنتين
51)الحمضيات الأخرى
52)الموز
53)موز الجنة
54)البابايا
55)المانجو
56)الجوافة
57)الأناناس
58)الأفوكادو
59)البطيخ الأحمر
60)التمر
61)التين
62)الزيتون
63)التفاح
64)المشمش
65)الكرز
66)الدراق / النكتارين
67)الفراولة
68)الشمام
69)الفواكه الأخرى
70)جوز الهند
71)الفول السوداني
72)الكاجو
73)جوز الكولا
74)السمسم
75)جوز البامبارا
76)اللوز
77)الجوز
78)المكسرات الأخرى
79)الكاكاو
80)الشاي
81)قصب السكر
82)دوار الشمس
83)المحاصيل الغذائية النقدية الأخرى 
84)القطن
85)المطاط
86)الجوت
87)العلف
88)التبغ
89) المحاصيل النقدية غير الغذائية الأخرى 
90)الرز
91)لا إنتاج المحاصيل
92)لا أعرف
93)رفض</t>
        </is>
      </c>
      <c r="G111" s="56">
        <f>LEN(F111)</f>
        <v/>
      </c>
      <c r="H111" s="64" t="inlineStr">
        <is>
          <t>Single Choice</t>
        </is>
      </c>
      <c r="I111" s="56" t="inlineStr">
        <is>
          <t>NA</t>
        </is>
      </c>
      <c r="J111" s="56" t="inlineStr">
        <is>
          <t>NA</t>
        </is>
      </c>
      <c r="K111" s="58" t="inlineStr">
        <is>
          <t>Form Type - Dropdown
IsDemographic - crp_main</t>
        </is>
      </c>
      <c r="L111" s="100" t="inlineStr">
        <is>
          <t>1)1.2
2)1.3
3)1.4
4)2.2
5)3.2
6)5.1
7)5.6
8)6.1
9)7.11
10)9.2
11)10.6
12)1.5
13)1.6
14)1.99
15)2.1
16)2.3
17)2.4
18)2.5
19)2.6
20)2.99
21)3.1
22)3.3
23)3.4
24)3.5
25)3.6
26)3.7
27)3.99
28)4.1
29)4.2
30)4.3
31)4.4
32)4.5
33)4.6
34)4.7
35)4.9
36)4.101
37)4.99
38)5.2
39)5.3
40)5.4
41)5.5
42)5.7
43)5.8
44)5.9
45)5.101
46)5.11
47)5.99
48)6.2
49)6.3
50)6.4
51)6.99
52)7.1
53)7.2
54)7.3
55)7.4
56)7.5
57)7.6
58)7.7
59)7.8
60)7.9
61)7.101
62)7.12
63)7.13
64)7.14
65)7.15
66)7.16
67)7.17
68)7.18
69)7.99
70)8.1
71)8.2
72)8.3
73)8.4
74)8.5
75)8.6
76)8.7
77)8.8
78)8.99
79)9.1
80)9.3
81)9.4
82)9.5
83)9.99
84)10.1
85)10.2
86)10.3
87)10.4
88)10.5
89)10.99
90)1.1
91)777
92)888
93)999</t>
        </is>
      </c>
      <c r="M111" s="194" t="inlineStr">
        <is>
          <t>1-90 = crp_irrig_source
91 = crp_main_check
92-93 = crp_salesmain</t>
        </is>
      </c>
      <c r="N111" s="360" t="n"/>
      <c r="O111" s="193" t="inlineStr">
        <is>
          <t>if crp_main = any type of crop, go to crp_irrig_source;
if crp_main = "No crop production", go to crp_main_check
if crp_main = "Don't know" or "Refused", go to crp_salesmain</t>
        </is>
      </c>
      <c r="P111" s="202" t="inlineStr"/>
      <c r="Q111" s="19" t="n"/>
      <c r="R111" s="300">
        <f>#REF!</f>
        <v/>
      </c>
      <c r="S111" s="53" t="n"/>
      <c r="U111" s="150" t="inlineStr">
        <is>
          <t>yes</t>
        </is>
      </c>
      <c r="V111" s="613" t="n"/>
      <c r="Y111" s="631" t="n">
        <v>23.44011688232422</v>
      </c>
      <c r="Z111" s="631">
        <f>IF(Y111="","",Y111*R111)</f>
        <v/>
      </c>
      <c r="AA111" s="53" t="e">
        <v>#REF!</v>
      </c>
    </row>
    <row r="112" ht="125.25" customFormat="1" customHeight="1" s="59">
      <c r="A112" s="38" t="n">
        <v>90</v>
      </c>
      <c r="B112" s="114" t="inlineStr">
        <is>
          <t>crp_main_check</t>
        </is>
      </c>
      <c r="C112" s="58" t="inlineStr">
        <is>
          <t>crp_main_check</t>
        </is>
      </c>
      <c r="D112" s="72" t="inlineStr">
        <is>
          <t>Why did you not produce any crops in Ongoing season?
[OPERATOR: SINGLE RESPONSE.]
1)Don’t usually produce during this season 
2)Wasn't able to produce [e.g. due to difficulties]</t>
        </is>
      </c>
      <c r="E112" s="56">
        <f>LEN(D112)</f>
        <v/>
      </c>
      <c r="F112" s="72" t="inlineStr">
        <is>
          <t>لماذا لم تنتج أي محاصيل في الموسم الحالي؟
[المشغل: استجابة واحدة.]
1) لا أنتج عادة محاصيل خلال هذا الموسم
2) لم أتمكن من إنتاج المحاصيل [على سبيل المثال بسبب الصعوبات]</t>
        </is>
      </c>
      <c r="G112" s="56">
        <f>LEN(F112)</f>
        <v/>
      </c>
      <c r="H112" s="64" t="inlineStr">
        <is>
          <t>Single Choice</t>
        </is>
      </c>
      <c r="I112" s="56" t="inlineStr">
        <is>
          <t>NA</t>
        </is>
      </c>
      <c r="J112" s="56" t="inlineStr">
        <is>
          <t>NA</t>
        </is>
      </c>
      <c r="K112" s="58" t="inlineStr">
        <is>
          <t>Form Type - Buttons</t>
        </is>
      </c>
      <c r="L112" s="100" t="inlineStr">
        <is>
          <t>NA</t>
        </is>
      </c>
      <c r="M112" s="194" t="inlineStr">
        <is>
          <t>1 = crp_salesmain
2 = crp_proddif</t>
        </is>
      </c>
      <c r="N112" s="360" t="n"/>
      <c r="O112" s="193" t="inlineStr">
        <is>
          <t>if crp_main_check = 1, go to crp_salesmain
if crp_main_check = 2, go to crp_proddif</t>
        </is>
      </c>
      <c r="P112" s="202" t="inlineStr"/>
      <c r="Q112" s="19" t="n"/>
      <c r="R112" s="300">
        <f>#REF!</f>
        <v/>
      </c>
      <c r="S112" s="53" t="n"/>
      <c r="U112" s="150" t="inlineStr">
        <is>
          <t>yes</t>
        </is>
      </c>
      <c r="V112" s="613" t="n"/>
      <c r="Y112" s="631" t="n">
        <v>7.765957355499268</v>
      </c>
      <c r="Z112" s="631">
        <f>IF(Y112="","",Y112*R112)</f>
        <v/>
      </c>
      <c r="AA112" s="53" t="e">
        <v>#REF!</v>
      </c>
    </row>
    <row r="113" ht="237.75" customFormat="1" customHeight="1" s="59">
      <c r="A113" s="38" t="n">
        <v>91</v>
      </c>
      <c r="B113" s="597" t="inlineStr">
        <is>
          <t>crp_irrig_source</t>
        </is>
      </c>
      <c r="C113" s="179" t="inlineStr">
        <is>
          <t>crp_irrig_source</t>
        </is>
      </c>
      <c r="D113" s="559" t="inlineStr">
        <is>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is>
      </c>
      <c r="E113" s="179">
        <f>LEN(D113)</f>
        <v/>
      </c>
      <c r="F113" s="72" t="inlineStr">
        <is>
          <t>كيف  تحصل عادة على الماء لري {crp_main} بشكل رئيسي؟
[المشغل: استجابة واحدة.]
1) بعلي [لا يوجد نظام ري]
2) مياه جوفية
3) مياه سطحية طبيعية [ نهر / بحيرة / بركة مياه / إلخ ]
4) نقطة مياه منشأة [ قناة / سد / إلخ]
5) نظام تزويد مياه عام [ ماء الصنبور علي سبيل المثال ]
6)  آخر [حدد]
7) لا أعرف
8) رفض الإجابة</t>
        </is>
      </c>
      <c r="G113" s="179">
        <f>LEN(F113)</f>
        <v/>
      </c>
      <c r="H113" s="566" t="inlineStr">
        <is>
          <t>Open Ended-Single Choice</t>
        </is>
      </c>
      <c r="I113" s="179" t="inlineStr">
        <is>
          <t>NA</t>
        </is>
      </c>
      <c r="J113" s="179" t="inlineStr">
        <is>
          <t>NA</t>
        </is>
      </c>
      <c r="K113" s="179" t="inlineStr">
        <is>
          <t>Form Type - RadioList</t>
        </is>
      </c>
      <c r="L113" s="100" t="inlineStr">
        <is>
          <t>NA</t>
        </is>
      </c>
      <c r="M113" s="194" t="inlineStr">
        <is>
          <t>1-8 = crp_seed_supply</t>
        </is>
      </c>
      <c r="N113" s="360" t="n"/>
      <c r="O113" s="193" t="inlineStr">
        <is>
          <t>if crp_irrig_source = crp_seed_supply</t>
        </is>
      </c>
      <c r="P113" s="203" t="inlineStr">
        <is>
          <t>1-8=crp_seed_supply</t>
        </is>
      </c>
      <c r="Q113" s="9" t="n"/>
      <c r="R113" s="300">
        <f>#REF!</f>
        <v/>
      </c>
      <c r="S113" s="53" t="n"/>
      <c r="U113" s="150" t="inlineStr">
        <is>
          <t>yes</t>
        </is>
      </c>
      <c r="V113" s="613" t="n"/>
      <c r="Y113" s="631" t="n">
        <v>16.48175621032715</v>
      </c>
      <c r="Z113" s="631">
        <f>IF(Y113="","",Y113*R113)</f>
        <v/>
      </c>
      <c r="AA113" s="53" t="e">
        <v>#REF!</v>
      </c>
    </row>
    <row r="114" ht="263.25" customFormat="1" customHeight="1" s="218">
      <c r="A114" s="38" t="n">
        <v>92</v>
      </c>
      <c r="B114" s="598" t="inlineStr">
        <is>
          <t>crp_seed_supply</t>
        </is>
      </c>
      <c r="C114" s="292" t="inlineStr">
        <is>
          <t>crp_seed_supply
1) crp_seed_ownprod
2) crp_seed_market
3) crp_seed_company
4) crp_seed_ngo
5) crp_seed_organized_community
6) crp_seed_gov
7) crp_seed_relatives_friends
8) crp_seed_other
9) crp_seed_dk
10) crp_seed_ref</t>
        </is>
      </c>
      <c r="D114" s="578" t="inlineStr">
        <is>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is>
      </c>
      <c r="E114" s="292">
        <f>LEN(D114)</f>
        <v/>
      </c>
      <c r="F114" s="578" t="inlineStr">
        <is>
          <t>من أين تحصل عادة على البذور؟
[المُشغل: احتمال وجود عدة استجابات.]
1) الإنتاج الخاص
2) اشتريها من السوق أو متجر المدخلات الزراعية
3) اشتريها  من شركة بذور خاصة
4) المنظمات الغير حكومية
5) بنوك البذور المجتمعية / شبكات المزارعين / إلخ
6) الحكومة [ وزارة الزراعة علي سبيل المثال ]
7) الاقارب أو الاصدقاء
8) آخر
9) لا أعرف
10) رفض الإجابة</t>
        </is>
      </c>
      <c r="G114" s="292">
        <f>LEN(F114)</f>
        <v/>
      </c>
      <c r="H114" s="255" t="inlineStr">
        <is>
          <t>Select All That Apply</t>
        </is>
      </c>
      <c r="I114" s="254" t="inlineStr">
        <is>
          <t>NA</t>
        </is>
      </c>
      <c r="J114" s="254" t="inlineStr">
        <is>
          <t>NA</t>
        </is>
      </c>
      <c r="K114" s="254" t="inlineStr">
        <is>
          <t>Form Type - Checklist
9,10 = IsNone</t>
        </is>
      </c>
      <c r="L114" s="215" t="inlineStr">
        <is>
          <t>1)crp_seed_ownprod
2)crp_seed_market
3)crp_seed_company
4)crp_seed_ngo
5)crp_seed_organized_community
6)crp_seed_gov
7)crp_seed_relatives_friends
8)crp_seed_other
9)crp_seed_dk
10)crp_seed_ref</t>
        </is>
      </c>
      <c r="M114" s="272" t="inlineStr">
        <is>
          <t>1-10 = crp_area_change</t>
        </is>
      </c>
      <c r="N114" s="361" t="n"/>
      <c r="O114" s="273" t="inlineStr">
        <is>
          <t>if crp_seed_supply = 1-10, go to crp_area_change</t>
        </is>
      </c>
      <c r="P114" s="274" t="inlineStr"/>
      <c r="Q114" s="238" t="n"/>
      <c r="R114" s="317">
        <f>#REF!</f>
        <v/>
      </c>
      <c r="S114" s="217" t="n"/>
      <c r="U114" s="219" t="inlineStr">
        <is>
          <t>no</t>
        </is>
      </c>
      <c r="V114" s="220" t="n"/>
      <c r="Y114" s="633" t="n">
        <v>18.51111030578613</v>
      </c>
      <c r="Z114" s="633">
        <f>IF(Y114="","",Y114*R114)</f>
        <v/>
      </c>
      <c r="AA114" s="217" t="inlineStr"/>
    </row>
    <row r="115" ht="217.5" customFormat="1" customHeight="1" s="59">
      <c r="A115" s="38" t="n">
        <v>93</v>
      </c>
      <c r="B115" s="182" t="inlineStr">
        <is>
          <t>crp_area_change</t>
        </is>
      </c>
      <c r="C115" s="183" t="inlineStr">
        <is>
          <t>crp_area_change</t>
        </is>
      </c>
      <c r="D115" s="559" t="inlineStr">
        <is>
          <t>How did the area planted for {crp_main} from Ongoing season compare to  last year?
[OPERATOR: SINGLE RESPONSE.]
1)A lot more [increased by more than 50%]
2)Slightly more
3)Same
4)Slightly less
5)A lot less [less than half as much]
6)DON'T KNOW
7)REFUSED</t>
        </is>
      </c>
      <c r="E115" s="179">
        <f>LEN(D115)</f>
        <v/>
      </c>
      <c r="F115" s="559" t="inlineStr">
        <is>
          <t>كيف يمكن مقارنة المساحة المزروعة ل {crp_main} في الموسم الحالي نسبةً ل العام الماضي؟
[المشغل: استجابة واحدة.]
1) أكثر بكثير [زادت بنسبة تزيد عن 50٪]
2) أكثر قليلا
3) نفس الشيء
4) أقل قليلاً
5) أقل بكثير [أقل من نصف الكمية]
6) لا أعرف
7) رفض الإجابة</t>
        </is>
      </c>
      <c r="G115" s="179">
        <f>LEN(F115)</f>
        <v/>
      </c>
      <c r="H115" s="186" t="inlineStr">
        <is>
          <t>Single Choice</t>
        </is>
      </c>
      <c r="I115" s="179" t="inlineStr">
        <is>
          <t>NA</t>
        </is>
      </c>
      <c r="J115" s="179" t="inlineStr">
        <is>
          <t>NA</t>
        </is>
      </c>
      <c r="K115" s="179" t="inlineStr">
        <is>
          <t>Form Type - Buttons</t>
        </is>
      </c>
      <c r="L115" s="100" t="inlineStr">
        <is>
          <t>NA</t>
        </is>
      </c>
      <c r="M115" s="74" t="inlineStr">
        <is>
          <t>1-7 = crp_harv_change</t>
        </is>
      </c>
      <c r="N115" s="356" t="n"/>
      <c r="O115" s="74" t="inlineStr">
        <is>
          <t>if crp_area_change = 1-7, go to crp_harv_change</t>
        </is>
      </c>
      <c r="P115" s="20" t="inlineStr"/>
      <c r="Q115" s="9" t="n"/>
      <c r="R115" s="300">
        <f>#REF!</f>
        <v/>
      </c>
      <c r="S115" s="53" t="n"/>
      <c r="U115" s="150" t="inlineStr">
        <is>
          <t>yes</t>
        </is>
      </c>
      <c r="V115" s="613" t="n"/>
      <c r="Y115" s="631" t="n">
        <v>20.30868148803711</v>
      </c>
      <c r="Z115" s="631">
        <f>IF(Y115="","",Y115*R115)</f>
        <v/>
      </c>
      <c r="AA115" s="53" t="e">
        <v>#REF!</v>
      </c>
    </row>
    <row r="116" ht="208.5" customFormat="1" customHeight="1" s="59">
      <c r="A116" s="38" t="n">
        <v>94</v>
      </c>
      <c r="B116" s="597" t="inlineStr">
        <is>
          <t>crp_harv_change</t>
        </is>
      </c>
      <c r="C116" s="179" t="inlineStr">
        <is>
          <t>crp_harv_change</t>
        </is>
      </c>
      <c r="D116" s="559" t="inlineStr">
        <is>
          <t>How does the  harvest of {crp_main} in the Ongoing season compare to  last year? 
[OPERATOR: SINGLE RESPONSE.]
1)A lot more [increased by more than 50%]
2)Slightly more
3)Same
4)Slightly less
5)A lot less [less than half as much]
6)DON'T KNOW
7)REFUSED</t>
        </is>
      </c>
      <c r="E116" s="179">
        <f>LEN(D116)</f>
        <v/>
      </c>
      <c r="F116" s="559" t="inlineStr">
        <is>
          <t>كيف يمكن مقارنة الحصاد   لـ {crp_main} في الموسم الحالي نسبةً ل العام الماضي؟
[المشغل: استجابة واحدة.]
1) أكثر بكثير [زادت بنسبة تزيد عن 50٪]
2) أكثر قليلا
3) نفس الشيء
4) أقل قليلاً
5) أقل بكثير [أقل من نصف الكمية]
6) لا أعرف
7) رفض الإجابة</t>
        </is>
      </c>
      <c r="G116" s="179">
        <f>LEN(F116)</f>
        <v/>
      </c>
      <c r="H116" s="186" t="inlineStr">
        <is>
          <t>Single Choice</t>
        </is>
      </c>
      <c r="I116" s="179" t="inlineStr">
        <is>
          <t>NA</t>
        </is>
      </c>
      <c r="J116" s="179" t="inlineStr">
        <is>
          <t>NA</t>
        </is>
      </c>
      <c r="K116" s="179" t="inlineStr">
        <is>
          <t>Form Type - Buttons</t>
        </is>
      </c>
      <c r="L116" s="100" t="inlineStr">
        <is>
          <t>NA</t>
        </is>
      </c>
      <c r="M116" s="184" t="inlineStr">
        <is>
          <t>1-7 = crp_proddif</t>
        </is>
      </c>
      <c r="N116" s="362" t="n"/>
      <c r="O116" s="204" t="inlineStr">
        <is>
          <t>if crp_harv_change = 1-7, go to [crp_proddif or crp_harv_vol]</t>
        </is>
      </c>
      <c r="P116" s="205" t="inlineStr">
        <is>
          <t>1-7 = crp_proddif</t>
        </is>
      </c>
      <c r="Q116" s="44" t="n"/>
      <c r="R116" s="300">
        <f>#REF!</f>
        <v/>
      </c>
      <c r="S116" s="53" t="n"/>
      <c r="U116" s="150" t="inlineStr">
        <is>
          <t>yes</t>
        </is>
      </c>
      <c r="V116" s="613" t="n"/>
      <c r="Y116" s="631" t="n">
        <v>15.44861221313477</v>
      </c>
      <c r="Z116" s="631">
        <f>IF(Y116="","",Y116*R116)</f>
        <v/>
      </c>
      <c r="AA116" s="53" t="e">
        <v>#REF!</v>
      </c>
    </row>
    <row r="117" ht="177.75" customFormat="1" customHeight="1" s="59">
      <c r="A117" s="38" t="n">
        <v>95</v>
      </c>
      <c r="B117" s="597" t="inlineStr">
        <is>
          <t>crp_proddif</t>
        </is>
      </c>
      <c r="C117" s="58" t="inlineStr">
        <is>
          <t>crp_proddif</t>
        </is>
      </c>
      <c r="D117" s="184" t="inlineStr">
        <is>
          <t>Has your household faced any significant difficulty in terms of crop production in Ongoing season?
[OPERATOR: SINGLE RESPONSE.]
1)YES
2)NO
3)DON'T KNOW
4)REFUSED</t>
        </is>
      </c>
      <c r="E117" s="179">
        <f>LEN(D117)</f>
        <v/>
      </c>
      <c r="F117" s="305" t="inlineStr">
        <is>
          <t>هل واجهت أسرتك أي صعوبة في إنتاج المحاصيل في الموسم الحالي؟
[المشغل: استجابة واحدة.]
1) نعم
2) لا
3) لا أعرف
4) رفض الإجابة</t>
        </is>
      </c>
      <c r="G117" s="179">
        <f>LEN(F117)</f>
        <v/>
      </c>
      <c r="H117" s="186" t="inlineStr">
        <is>
          <t>Single Choice</t>
        </is>
      </c>
      <c r="I117" s="179" t="inlineStr">
        <is>
          <t>NA</t>
        </is>
      </c>
      <c r="J117" s="179" t="inlineStr">
        <is>
          <t>NA</t>
        </is>
      </c>
      <c r="K117" s="179" t="inlineStr">
        <is>
          <t>Form Type - Buttons</t>
        </is>
      </c>
      <c r="L117" s="100" t="inlineStr">
        <is>
          <t>NA</t>
        </is>
      </c>
      <c r="M117" s="63" t="inlineStr">
        <is>
          <t>1 = crp_proddif_2
2-4 = crp_salesmain</t>
        </is>
      </c>
      <c r="N117" s="342" t="n"/>
      <c r="O117" s="63" t="inlineStr">
        <is>
          <t>if crp_proddif = 1, go to crp_proddif_2 ; 
if crp_proddif = 2-4, go to [crp_salesmain or optional question]</t>
        </is>
      </c>
      <c r="P117" s="21" t="inlineStr">
        <is>
          <t>1 = crp_proddif_2
2-4 = crp_salesmain</t>
        </is>
      </c>
      <c r="Q117" s="9" t="n"/>
      <c r="R117" s="300">
        <f>#REF!</f>
        <v/>
      </c>
      <c r="S117" s="53" t="n"/>
      <c r="U117" s="150" t="inlineStr">
        <is>
          <t>yes</t>
        </is>
      </c>
      <c r="V117" s="613" t="n"/>
      <c r="Y117" s="631" t="n">
        <v>11.37532997131348</v>
      </c>
      <c r="Z117" s="631">
        <f>IF(Y117="","",Y117*R117)</f>
        <v/>
      </c>
      <c r="AA117" s="53" t="e">
        <v>#REF!</v>
      </c>
    </row>
    <row r="118" ht="408.75" customFormat="1" customHeight="1" s="59" thickBot="1">
      <c r="A118" s="38" t="n">
        <v>96</v>
      </c>
      <c r="B118" s="115" t="inlineStr">
        <is>
          <t>crp_proddif_2</t>
        </is>
      </c>
      <c r="C118" s="566" t="inlineStr">
        <is>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is>
      </c>
      <c r="D118" s="138" t="inlineStr">
        <is>
          <t>Which difficulty has your household faced with crop production in Ongoing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is>
      </c>
      <c r="E118" s="50">
        <f>LEN(D118)</f>
        <v/>
      </c>
      <c r="F118" s="305" t="inlineStr">
        <is>
          <t>ما الصعوبات التي واجهتها أسرتك في إنتاج المحاصيل في الموسم الحالي؟
[المُشغل: عدة استجابات محتملة. حدد الخيار (الخيارات) الأنسب للمعلومات المقدمة من المجيب.]
1) مرض نباتي
2) تفشي الافات [ بما في ذلك الطيور ]
3) رعي الحيوانات الغير منضبط
4) الوصول إلى قطعة الأرض
5) الوصول إلى الأسمدة [غير متوفرة في الأسواق أو أن اسعارها مرتفعة جداً]
6) الوصول الي البذور الجيدة
7)  الوصول إلى ما يكفي من البذور [غير متوفرة في الأسواق أو أن اسعارها مرتفعة جداً]
8) الوصول إلى المبيدات الحشرية
9) الوصول إلى العمالة أو القوى العاملة
10)  الوصول إلى آلات أو أدوات أو حيوانات للحراثة
11) الحصول على الوقود أو الكهرباء لتشغيل المعدات الزراعية
12) تعرية التربة
13) عدم كفاية مياه الري أو مياه الأمطار
14) زيادة مياه الري
15) الحصول على تمويل
16) آخر
17) لا أعرف
18) رفض الإجابة</t>
        </is>
      </c>
      <c r="G118" s="50">
        <f>LEN(F118)</f>
        <v/>
      </c>
      <c r="H118" s="58" t="inlineStr">
        <is>
          <t>Select All That Apply</t>
        </is>
      </c>
      <c r="I118" s="50" t="inlineStr">
        <is>
          <t>NA</t>
        </is>
      </c>
      <c r="J118" s="50" t="inlineStr">
        <is>
          <t>NA</t>
        </is>
      </c>
      <c r="K118" s="50" t="inlineStr">
        <is>
          <t>Form Type - Checklist
17,18 = IsNone</t>
        </is>
      </c>
      <c r="L118" s="100" t="inlineStr">
        <is>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is>
      </c>
      <c r="M118" s="137" t="inlineStr">
        <is>
          <t>1-18 = crp_salesmain</t>
        </is>
      </c>
      <c r="N118" s="343" t="n"/>
      <c r="O118" s="184" t="inlineStr">
        <is>
          <t>if crp_proddif_2 = 1-18, go to [crp_salesmain OR optional question]</t>
        </is>
      </c>
      <c r="P118" s="21" t="inlineStr">
        <is>
          <t>1-18 = crp_salesmain</t>
        </is>
      </c>
      <c r="Q118" s="9" t="n"/>
      <c r="R118" s="300">
        <f>#REF!</f>
        <v/>
      </c>
      <c r="S118" s="53" t="n"/>
      <c r="U118" s="150" t="inlineStr">
        <is>
          <t>yes</t>
        </is>
      </c>
      <c r="V118" s="613" t="n"/>
      <c r="Y118" s="631" t="n">
        <v>25.84499931335449</v>
      </c>
      <c r="Z118" s="631">
        <f>IF(Y118="","",Y118*R118)</f>
        <v/>
      </c>
      <c r="AA118" s="53" t="e">
        <v>#REF!</v>
      </c>
    </row>
    <row r="119" ht="16.4" customFormat="1" customHeight="1" s="149" thickBot="1">
      <c r="A119" s="604" t="inlineStr">
        <is>
          <t>D. CROP MARKETING</t>
        </is>
      </c>
      <c r="B119" s="629" t="n"/>
      <c r="C119" s="629" t="n"/>
      <c r="D119" s="629" t="n"/>
      <c r="E119" s="629" t="n"/>
      <c r="F119" s="629" t="n"/>
      <c r="G119" s="629" t="n"/>
      <c r="H119" s="629" t="n"/>
      <c r="I119" s="629" t="n"/>
      <c r="J119" s="629" t="n"/>
      <c r="K119" s="629" t="n"/>
      <c r="L119" s="629" t="n"/>
      <c r="M119" s="629" t="n"/>
      <c r="N119" s="629" t="n"/>
      <c r="O119" s="629" t="n"/>
      <c r="P119" s="629" t="n"/>
      <c r="Q119" s="630" t="n"/>
      <c r="R119" s="306" t="n"/>
      <c r="S119" s="151" t="n"/>
      <c r="U119" s="150" t="n"/>
      <c r="V119" s="623" t="n"/>
      <c r="Y119" s="631" t="n"/>
      <c r="Z119" s="631">
        <f>IF(Y119="","",Y119*R119)</f>
        <v/>
      </c>
      <c r="AA119" s="151">
        <f>IF(U119="yes",Z119,"")</f>
        <v/>
      </c>
    </row>
    <row r="120" ht="265.4" customFormat="1" customHeight="1" s="59">
      <c r="A120" s="38" t="n">
        <v>97</v>
      </c>
      <c r="B120" s="114" t="inlineStr">
        <is>
          <t>crp_salesmain</t>
        </is>
      </c>
      <c r="C120" s="116" t="inlineStr">
        <is>
          <t>crp_salesmain</t>
        </is>
      </c>
      <c r="D120" s="80" t="inlineStr">
        <is>
          <t>What has been the main crop that you have sold over the last 3 months?
[OPERATOR: SELECT ALL CROPS LISTED BY THE RESPONDENT.]
1)Wheat
2)Millet
3)Sorghum
4)Potatoe
5)Lentils
6)Tomatoes
7)Okra
8)Orange
9)Grapes
10)Coffee
11)Qat
12)Maize
13)Barley
14)Other Cereal
15)Cassava
16)Sweet Potatoes
17)Yams
18)Carrots
19)Cocoyam
20)Other tubers
21)Beans
22)Peas
23)Soybeans
24)Chickpeas
25)Fava beans
26)Broad beans
27)Other pulses
28)Cabbage
29)Lettuce
30)Spinach-Amaranth
31)Cassava leaves
32)Potatoe leaves
33)Moringa
34)Sorrel Hibiscus / Rosselle
35)Green salad herbs [thyme/ parsley/ mint/ rocca/ other]
36)Cauliflower
37)Other leafy vegetables
38)Cucumber
39)Pumpkin
40)Eggplant/aubergine
41)Zucchini
42)Bell pepper
43)Onions
44)Haricot
45)Green peas
46)Fava beans green
47)Other non leafy vegs
48)Lemon
49)Grapefruit
50)Mandarins/clementines
51)Other citrus fruit
52)Sweet Banana
53)Plantains
54)Papaya
55)Mango
56)Guava
57)Pineapple
58)Avocado
59)Water Melon
60)Dates
61)Figs
62)Olives
63)Apple
64)Apricot
65)Cherries
66)Peach/nectarine
67)Strawberries
68)Melon [Cantaloupe]
69)Other fruit
70)Coconuts
71)Groundnut/peanut
72)Cashew Nut
73)Kola Nut
74)Sesame
75)Bambara nut
76)Almond
77)Walnut
78)Other nuts
79)Cocoa
80)Tea
81)Sugarcane
82)Sunflower
83)Other food cash crop
84)Cotton
85)Rubber
86)Jute
87)Fodder
88)Tobacco
89)Other non-food cash crop
90)Rice
91)DON'T KNOW
92)REFUSED</t>
        </is>
      </c>
      <c r="E120" s="56">
        <f>LEN(D120)</f>
        <v/>
      </c>
      <c r="F120" s="166" t="inlineStr">
        <is>
          <t>ما هو المحصول الرئيسي الذي بعته خلال الأشهر الثلاثة الماضية؟ 
 [حدد جميع المحاصيل التي سجلها المجيب.] 
1)القمح
2)الدخن
3)الذرة الرفيعة
4)البطاطا
5)العدس
6)الطماطم
7)البامية
8)البرتقال
9)العنب
10)القهوة
11)القات
12)الذرة
13)الشعير
14)الحبوب الأخرى
15)الكسافا
16)البطاطا الحلوة
17)اليام
18)الجزر
19)القلقاس
20)الدرنات الأخرى
21)الفاصوليا
22)البازيلاء
23)فول الصويا
24)الحمص
25)الفول
26)الفاصوليا العريضة
27)البقول الاخرى
28)الملفوف
29)الخس
30)السبانخ - القطيفة
31)أوراق الكسافا
32)أوراق البطاطا
33)المورينجا
34)الكركديه
35)أعشاب السلطة الخضراء [زعتر ، بقدونس ، نعناع ، جرجير ، أنواع أخرى]
36)القرنبيط
37)الخضار الورقية الأخرى
38)الخيار
39)اليقطين
40)الباذنجان
41)الكوسة
42)الفلفل حلو
43)بصل
44)اللوبياء
45)البازلاء الخضراء
46)الفول الأخضر
47)الخضار غير الورقية الأخرى
48)الليمون
49)الجريب فروت
50)اليوسفي / الكليمنتين
51)الحمضيات الأخرى
52)الموز
53)موز الجنة
54)البابايا
55)المانجو
56)الجوافة
57)الأناناس
58)الأفوكادو
59)البطيخ الأحمر
60)التمر
61)التين
62)الزيتون
63)التفاح
64)المشمش
65)الكرز
66)الدراق / النكتارين
67)الفراولة
68)الشمام
69)الفواكه الأخرى
70)جوز الهند
71)الفول السوداني
72)الكاجو
73)جوز الكولا
74)السمسم
75)جوز البامبارا
76)اللوز
77)الجوز
78)المكسرات الأخرى
79)الكاكاو
80)الشاي
81)قصب السكر
82)دوار الشمس
83)المحاصيل الغذائية النقدية الأخرى 
84)القطن
85)المطاط
86)الجوت
87)العلف
88)التبغ
89) المحاصيل النقدية غير الغذائية الأخرى 
90)الرز
91) لا اعرف
92)رفض الإجابة</t>
        </is>
      </c>
      <c r="G120" s="56">
        <f>LEN(F120)</f>
        <v/>
      </c>
      <c r="H120" s="64" t="inlineStr">
        <is>
          <t>Single Choice</t>
        </is>
      </c>
      <c r="I120" s="56" t="inlineStr">
        <is>
          <t>NA</t>
        </is>
      </c>
      <c r="J120" s="58" t="inlineStr">
        <is>
          <t>Send if "income_main" "Equals" "Production and sale of staple crops" Or "income_main" "Equals" "Production and sale of vegetables or fruit" Or "income_main" "Equals" "Production and sale of cashcrops" Or "income_sec" "Equals" "Production and sale of staple crops" Or "income_sec" "Equals" "Production and sale of vegetables or fruit" Or "income_sec" "Equals" "Production and sale of cashcrops"  Or "income_third" "Equals" "Production and sale of staple crops" Or "income_third" "Equals" "Production and sale of vegetables or fruit" Or "income_third" "Equals" "Production and sale of cashcrops" if not satisfied go to "ls_intro"</t>
        </is>
      </c>
      <c r="K120" s="56" t="inlineStr">
        <is>
          <t>Form Type - Dropdown
IsDemographic - crp_salesmain</t>
        </is>
      </c>
      <c r="L120" s="100" t="inlineStr">
        <is>
          <t>1)1.2
2)1.3
3)1.4
4)2.2
5)3.2
6)5.1
7)5.6
8)6.1
9)7.11
10)9.2
11)10.6
12)1.5
13)1.6
14)1.99
15)2.1
16)2.3
17)2.4
18)2.5
19)2.6
20)2.99
21)3.1
22)3.3
23)3.4
24)3.5
25)3.6
26)3.7
27)3.99
28)4.1
29)4.2
30)4.3
31)4.4
32)4.5
33)4.6
34)4.7
35)4.9
36)4.101
37)4.99
38)5.2
39)5.3
40)5.4
41)5.5
42)5.7
43)5.8
44)5.9
45)5.101
46)5.11
47)5.99
48)6.2
49)6.3
50)6.4
51)6.99
52)7.1
53)7.2
54)7.3
55)7.4
56)7.5
57)7.6
58)7.7
59)7.8
60)7.9
61)7.101
62)7.12
63)7.13
64)7.14
65)7.15
66)7.16
67)7.17
68)7.18
69)7.99
70)8.1
71)8.2
72)8.3
73)8.4
74)8.5
75)8.6
76)8.7
77)8.8
78)8.99
79)9.1
80)9.3
81)9.4
82)9.5
83)9.99
84)10.1
85)10.2
86)10.3
87)10.4
88)10.5
89)10.99
90)1.1
91)888
92)999</t>
        </is>
      </c>
      <c r="M120" s="55" t="inlineStr">
        <is>
          <t>1-90 = crp_salesdif
91-92 = ls_intro</t>
        </is>
      </c>
      <c r="N120" s="195" t="n"/>
      <c r="O120" s="55" t="inlineStr">
        <is>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is>
      </c>
      <c r="P120" s="30" t="inlineStr"/>
      <c r="Q120" s="19" t="n"/>
      <c r="R120" s="300">
        <f>#REF!</f>
        <v/>
      </c>
      <c r="S120" s="53" t="n"/>
      <c r="U120" s="150" t="inlineStr">
        <is>
          <t>yes</t>
        </is>
      </c>
      <c r="V120" s="613" t="n"/>
      <c r="Y120" s="631" t="n">
        <v>17.61201477050781</v>
      </c>
      <c r="Z120" s="631">
        <f>IF(Y120="","",Y120*R120)</f>
        <v/>
      </c>
      <c r="AA120" s="53" t="e">
        <v>#REF!</v>
      </c>
    </row>
    <row r="121" ht="222" customFormat="1" customHeight="1" s="59">
      <c r="A121" s="38" t="n">
        <v>98</v>
      </c>
      <c r="B121" s="139" t="inlineStr">
        <is>
          <t>crp_salesdif</t>
        </is>
      </c>
      <c r="C121" s="58" t="inlineStr">
        <is>
          <t>crp_salesdif</t>
        </is>
      </c>
      <c r="D121" s="57" t="inlineStr">
        <is>
          <t>Has your household faced any significant difficulty in the last 3 months selling your {crp_salesmain}?
[OPERATOR: SINGLE RESPONSE.]
1)YES
2)NO
3)DON'T KNOW
4)REFUSED</t>
        </is>
      </c>
      <c r="E121" s="56">
        <f>LEN(D121)</f>
        <v/>
      </c>
      <c r="F121" s="166" t="inlineStr">
        <is>
          <t>هل واجهت أسرتك أي صعوبة خلال الأشهر الثلاثة الماضية في بيع {crp_salesmain}؟
[المشغل: استجابة واحدة.]
1) نعم
2) لا
3) لا أعرف
4) رفض الإجابة</t>
        </is>
      </c>
      <c r="G121" s="56">
        <f>LEN(F121)</f>
        <v/>
      </c>
      <c r="H121" s="64" t="inlineStr">
        <is>
          <t>Single Choice</t>
        </is>
      </c>
      <c r="I121" s="56" t="inlineStr">
        <is>
          <t>NA</t>
        </is>
      </c>
      <c r="J121" s="58" t="inlineStr">
        <is>
          <t>NA</t>
        </is>
      </c>
      <c r="K121" s="56" t="inlineStr">
        <is>
          <t>Form Type - Buttons</t>
        </is>
      </c>
      <c r="L121" s="100" t="inlineStr">
        <is>
          <t>NA</t>
        </is>
      </c>
      <c r="M121" s="55" t="inlineStr">
        <is>
          <t>1 = crp_salesdif_2
2-4 = crp_salesprice</t>
        </is>
      </c>
      <c r="N121" s="195" t="n"/>
      <c r="O121" s="55" t="inlineStr">
        <is>
          <t>if crp_salesdif = 1, go to crp_salesdif_2 ; 
if crp_salesdif = 2-4, go to crp_salesprice</t>
        </is>
      </c>
      <c r="P121" s="30" t="inlineStr"/>
      <c r="Q121" s="19" t="n"/>
      <c r="R121" s="300">
        <f>#REF!</f>
        <v/>
      </c>
      <c r="S121" s="53" t="n"/>
      <c r="U121" s="150" t="inlineStr">
        <is>
          <t>yes</t>
        </is>
      </c>
      <c r="V121" s="613" t="n"/>
      <c r="Y121" s="631" t="n">
        <v>10.45715618133545</v>
      </c>
      <c r="Z121" s="631">
        <f>IF(Y121="","",Y121*R121)</f>
        <v/>
      </c>
      <c r="AA121" s="53" t="e">
        <v>#REF!</v>
      </c>
    </row>
    <row r="122" ht="346.5" customFormat="1" customHeight="1" s="59">
      <c r="A122" s="38" t="n">
        <v>99</v>
      </c>
      <c r="B122" s="182" t="inlineStr">
        <is>
          <t>crp_salesdif_2</t>
        </is>
      </c>
      <c r="C122" s="58" t="inlineStr">
        <is>
          <t>crp_saledif_
1) crp_saledif_marketing_cost
2) crp_saledif_damage_losses
3) crp_saledif_low_demand
4) crp_saledif_pay_delay
5) crp_saledif_low_price
6) crp_saledif_processing
7) crp_saledif_competition
8) crp_saledif_other
9) crp_saledif_dk
10) crp_saledif_ref</t>
        </is>
      </c>
      <c r="D122" s="138" t="inlineStr">
        <is>
          <t>Which difficulties has your household faced in the last 3 months selling your {crp_salesmain}?
[OPERATOR: MULTIPLE RESPONSES POSSIBLE. SELECT OPTION(S) THAT BEST FIT THE INFORMATION PROVIDED BY THE RESPONDENTS.]
1)High transportation or other marketing costs
2)Damages and losses due to storage difficulties and/or difficulty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is>
      </c>
      <c r="E122" s="56">
        <f>LEN(D122)</f>
        <v/>
      </c>
      <c r="F122" s="166" t="inlineStr">
        <is>
          <t xml:space="preserve">ما الصعوبات التي واجهتها أسرتك في الأشهر الثلاثة الماضية عند بيع {crp_salesmain}؟
[المشغل: عدة استجابات محتملة. حدد الخيار [الخيارات] الأنسب للمعلومات المقدمة من المجيب.]
1) ارتفاع تكاليف النقل أو تكاليف التسويق الأخرى
2) الاضرار و الخسائر نتيجة صعوبات التخزين و صعوبة الوصول الي السوق [ انعدام الامن / البنية التحتية الفقيرة و غيرها ] 
3) قلة الطلب من المشترين و التجار المعتادين
4) تأخر المدفوعات من التجار و المشترين
5) انخفاض أسعار البيع [ مقارنة باسعار المدخلات / التضخم علي سبيل المثال ] 
6) صعوبة معالجة المنتج [قلة مدخلات المعالجة ، المعدات و غيرها ] 
7) تشبع السوق بالمنتجات 
8) آخر
9) لا اعرف
10) رفض الإجابة </t>
        </is>
      </c>
      <c r="G122" s="56">
        <f>LEN(F122)</f>
        <v/>
      </c>
      <c r="H122" s="58" t="inlineStr">
        <is>
          <t>Select All That Apply</t>
        </is>
      </c>
      <c r="I122" s="179" t="inlineStr">
        <is>
          <t>NA</t>
        </is>
      </c>
      <c r="J122" s="561" t="inlineStr">
        <is>
          <t>NA</t>
        </is>
      </c>
      <c r="K122" s="179" t="inlineStr">
        <is>
          <t>Form Type - Checklist
9,10 = IsNone</t>
        </is>
      </c>
      <c r="L122" s="100" t="inlineStr">
        <is>
          <t>1)crp_saledif_marketing_cost
2)crp_saledif_damage_losses
3)crp_saledif_low_demand
4)crp_saledif_pay_delay
5)crp_saledif_low_price
6)crp_saledif_processing
7)crp_saledif_competition
8)crp_saledif_other
9)crp_saledif_dk
10)crp_saledif_ref</t>
        </is>
      </c>
      <c r="M122" s="63" t="inlineStr">
        <is>
          <t>1-10 = crp_salesprice</t>
        </is>
      </c>
      <c r="N122" s="342" t="n"/>
      <c r="O122" s="63" t="inlineStr">
        <is>
          <t>if crp_salesdif_2 = 1-10, go to crp_salesprice</t>
        </is>
      </c>
      <c r="P122" s="28" t="inlineStr"/>
      <c r="Q122" s="9" t="n"/>
      <c r="R122" s="300">
        <f>#REF!</f>
        <v/>
      </c>
      <c r="S122" s="53" t="n"/>
      <c r="U122" s="150" t="inlineStr">
        <is>
          <t>yes</t>
        </is>
      </c>
      <c r="V122" s="613" t="n"/>
      <c r="Y122" s="631" t="n">
        <v>20.76996231079102</v>
      </c>
      <c r="Z122" s="631">
        <f>IF(Y122="","",Y122*R122)</f>
        <v/>
      </c>
      <c r="AA122" s="53" t="e">
        <v>#REF!</v>
      </c>
    </row>
    <row r="123" ht="261" customFormat="1" customHeight="1" s="59" thickBot="1">
      <c r="A123" s="38" t="n">
        <v>100</v>
      </c>
      <c r="B123" s="182" t="inlineStr">
        <is>
          <t>crp_salesprice</t>
        </is>
      </c>
      <c r="C123" s="58" t="inlineStr">
        <is>
          <t>crp_salesprice</t>
        </is>
      </c>
      <c r="D123" s="184" t="inlineStr">
        <is>
          <t>How does the current price of your household's {crp_salesmain} compare to the average price in the same period of  last year? 
[OPERATOR: SINGLE RESPONSE. INSIST ON THE MAIN PRODUCT MENTIONED.]
1)A lot more [increased by more than 50%]
2)Slightly more
3)Same
4)Slightly less
5)A lot less [less than half as much]
6)DON'T KNOW
7)REFUSED</t>
        </is>
      </c>
      <c r="E123" s="179">
        <f>LEN(D123)</f>
        <v/>
      </c>
      <c r="F123" s="305" t="inlineStr">
        <is>
          <t>كيف تقارن السعر الحالي ل{crp_salesmain} لأسرتك بمتوسط ​​السعر في نفس الفترة من العام الماضي؟
[المشغل: استجابة واحدة. قم بالإصرار على المحصول الرئيسي المذكور.]
1) أكثر بكثير [زادت بنسبة تزيد عن 50٪]
2) أكثر قليلا
3) نفس الشيء
4) أقل قليلاً
5) أقل بكثير [أقل من نصف الكمية]
6) لا أعرف
7) رفض الإجابة</t>
        </is>
      </c>
      <c r="G123" s="179">
        <f>LEN(F123)</f>
        <v/>
      </c>
      <c r="H123" s="186" t="inlineStr">
        <is>
          <t>Single Choice</t>
        </is>
      </c>
      <c r="I123" s="179" t="inlineStr">
        <is>
          <t>NA</t>
        </is>
      </c>
      <c r="J123" s="179" t="inlineStr">
        <is>
          <t>NA</t>
        </is>
      </c>
      <c r="K123" s="179" t="inlineStr">
        <is>
          <t>Form Type - Buttons</t>
        </is>
      </c>
      <c r="L123" s="100" t="inlineStr">
        <is>
          <t>NA</t>
        </is>
      </c>
      <c r="M123" s="74" t="inlineStr">
        <is>
          <t>1-7 = ls_intro</t>
        </is>
      </c>
      <c r="N123" s="348" t="n"/>
      <c r="O123" s="62" t="inlineStr">
        <is>
          <t>if crp_salesprice = 1-7, go to ls_intro</t>
        </is>
      </c>
      <c r="P123" s="73" t="inlineStr"/>
      <c r="Q123" s="9" t="n"/>
      <c r="R123" s="300">
        <f>#REF!</f>
        <v/>
      </c>
      <c r="S123" s="53" t="n"/>
      <c r="U123" s="150" t="inlineStr">
        <is>
          <t>yes</t>
        </is>
      </c>
      <c r="V123" s="613" t="n"/>
      <c r="Y123" s="631" t="n">
        <v>23.56972122192383</v>
      </c>
      <c r="Z123" s="631">
        <f>IF(Y123="","",Y123*R123)</f>
        <v/>
      </c>
      <c r="AA123" s="53" t="e">
        <v>#REF!</v>
      </c>
    </row>
    <row r="124" ht="16.4" customFormat="1" customHeight="1" s="149" thickBot="1">
      <c r="A124" s="604" t="inlineStr">
        <is>
          <t>E. LIVESTOCK PRODUCTION</t>
        </is>
      </c>
      <c r="B124" s="629" t="n"/>
      <c r="C124" s="629" t="n"/>
      <c r="D124" s="629" t="n"/>
      <c r="E124" s="629" t="n"/>
      <c r="F124" s="629" t="n"/>
      <c r="G124" s="629" t="n"/>
      <c r="H124" s="629" t="n"/>
      <c r="I124" s="629" t="n"/>
      <c r="J124" s="629" t="n"/>
      <c r="K124" s="629" t="n"/>
      <c r="L124" s="629" t="n"/>
      <c r="M124" s="629" t="n"/>
      <c r="N124" s="629" t="n"/>
      <c r="O124" s="629" t="n"/>
      <c r="P124" s="629" t="n"/>
      <c r="Q124" s="630" t="n"/>
      <c r="R124" s="306" t="n"/>
      <c r="S124" s="151" t="n"/>
      <c r="U124" s="150" t="n"/>
      <c r="V124" s="623" t="n"/>
      <c r="Y124" s="631" t="n"/>
      <c r="Z124" s="631">
        <f>IF(Y124="","",Y124*R124)</f>
        <v/>
      </c>
      <c r="AA124" s="151">
        <f>IF(U124="yes",Z124,"")</f>
        <v/>
      </c>
    </row>
    <row r="125" ht="144.75" customFormat="1" customHeight="1" s="59">
      <c r="A125" s="38">
        <f>A123+1</f>
        <v/>
      </c>
      <c r="B125" s="147" t="inlineStr">
        <is>
          <t>ls_intro</t>
        </is>
      </c>
      <c r="C125" s="148" t="inlineStr">
        <is>
          <t>ls_intro</t>
        </is>
      </c>
      <c r="D125" s="140" t="inlineStr">
        <is>
          <t>We will now ask you some questions about livestock production which apply to you and anyone in your household that is involved in livestock production or sales. 
1)CONTINUE</t>
        </is>
      </c>
      <c r="E125" s="56">
        <f>LEN(D125)</f>
        <v/>
      </c>
      <c r="F125" s="140" t="inlineStr">
        <is>
          <t>سنطرح عليك الآن بعض الأسئلة حول إنتاج الماشية التي تنطبق عليك وعلى أي شخص في أسرتك يشارك في إنتاج الماشية أو بيعها.
1) تابع</t>
        </is>
      </c>
      <c r="G125" s="56">
        <f>LEN(F125)</f>
        <v/>
      </c>
      <c r="H125" s="56" t="inlineStr">
        <is>
          <t>Single Choice</t>
        </is>
      </c>
      <c r="I125" s="56" t="inlineStr">
        <is>
          <t>NA</t>
        </is>
      </c>
      <c r="J125" s="56" t="inlineStr">
        <is>
          <t>Send if "hh_agricactivity" "Equals" "Yes - livestock production" Or "hh_agricactivity" "Equals" "Yes - both crop and livestock production" Or "income_main_ls_check" "Equals" "YES" Or "income_sec_ls_check" "Equals" "YES" Or "income_third_ls_check" "Equals" "YES" if not satisfied go to "ls_salesmain"</t>
        </is>
      </c>
      <c r="K125" s="56" t="inlineStr">
        <is>
          <t>Form Type - Buttons</t>
        </is>
      </c>
      <c r="L125" s="100" t="inlineStr">
        <is>
          <t>NA</t>
        </is>
      </c>
      <c r="M125" s="55" t="inlineStr">
        <is>
          <t>1 = ls_main</t>
        </is>
      </c>
      <c r="N125" s="195" t="n"/>
      <c r="O125" s="62" t="inlineStr">
        <is>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is>
      </c>
      <c r="P125" s="73" t="inlineStr"/>
      <c r="Q125" s="8" t="n"/>
      <c r="R125" s="306">
        <f>#REF!</f>
        <v/>
      </c>
      <c r="S125" s="53" t="n"/>
      <c r="U125" s="150" t="inlineStr">
        <is>
          <t>yes</t>
        </is>
      </c>
      <c r="V125" s="613" t="n"/>
      <c r="Y125" s="631" t="n">
        <v>4.50195837020874</v>
      </c>
      <c r="Z125" s="631">
        <f>IF(Y125="","",Y125*R125)</f>
        <v/>
      </c>
      <c r="AA125" s="53" t="e">
        <v>#REF!</v>
      </c>
    </row>
    <row r="126" ht="339.75" customFormat="1" customHeight="1" s="59">
      <c r="A126" s="38">
        <f>A125+1</f>
        <v/>
      </c>
      <c r="B126" s="114" t="inlineStr">
        <is>
          <t>ls_main</t>
        </is>
      </c>
      <c r="C126" s="58" t="inlineStr">
        <is>
          <t>ls_main</t>
        </is>
      </c>
      <c r="D126" s="57" t="inlineStr">
        <is>
          <t>What was the main animal raised by your household for food or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is>
      </c>
      <c r="E126" s="56">
        <f>LEN(D126)</f>
        <v/>
      </c>
      <c r="F126" s="166" t="inlineStr">
        <is>
          <t>ما هو الحيوان الرئيسي الذي قامت أسرتك بتربيته للاستخدام الغذائي أو لتوليد الدخل خلال الاثني عشر شهرًا الماضية؟
[المشغل: استجابة واحدة. اسأل عن الحيوان الأكثر أهمية فقط.] [ملحوظة: لا تنسَ التحقيق في مسألة التنقل الرعوي - نقل االماشية من أرض رعي إلى أخرى.]
1) البقر [بقرة / ثور / عجل  / ياك / جاموس]
2) الماعز
3) الأغنام
4) الخنازير [خنزير / خنزير بري / إلخ]
5) الحمير/ الأحصنة
6) الثدييات المستأنسة الصغيرة [الأرانب / المنك / خنازير غينيا / إلخ]
7) دواجن [دجاج / دجاج غينيا / بطة / سمان / ديك رومي / إلخ]
8) الإبل
9) آخر
10) لا أعرف
11) رفض الإجابة</t>
        </is>
      </c>
      <c r="G126" s="56">
        <f>LEN(F126)</f>
        <v/>
      </c>
      <c r="H126" s="56" t="inlineStr">
        <is>
          <t>Single Choice</t>
        </is>
      </c>
      <c r="I126" s="56" t="inlineStr">
        <is>
          <t>NA</t>
        </is>
      </c>
      <c r="J126" s="56" t="inlineStr">
        <is>
          <t>NA</t>
        </is>
      </c>
      <c r="K126" s="58" t="inlineStr">
        <is>
          <t>Form Type - Buttons
IsDemographic - ls_main</t>
        </is>
      </c>
      <c r="L126" s="100" t="inlineStr">
        <is>
          <t>NA</t>
        </is>
      </c>
      <c r="M126" s="55" t="inlineStr">
        <is>
          <t>1-9 = ls_num_lastyr
10-11 = ls_proddif</t>
        </is>
      </c>
      <c r="N126" s="195" t="n"/>
      <c r="O126" s="62" t="inlineStr">
        <is>
          <t>if ls_main = 1-9, go to ls_num_lastyr ; 
If ls_main = 10-11, go to ls_proddif</t>
        </is>
      </c>
      <c r="P126" s="73" t="inlineStr"/>
      <c r="Q126" s="19" t="n"/>
      <c r="R126" s="306">
        <f>#REF!</f>
        <v/>
      </c>
      <c r="S126" s="53" t="n"/>
      <c r="U126" s="150" t="inlineStr">
        <is>
          <t>yes</t>
        </is>
      </c>
      <c r="V126" s="613" t="n"/>
      <c r="Y126" s="631" t="n">
        <v>17.40248489379883</v>
      </c>
      <c r="Z126" s="631">
        <f>IF(Y126="","",Y126*R126)</f>
        <v/>
      </c>
      <c r="AA126" s="53" t="e">
        <v>#REF!</v>
      </c>
    </row>
    <row r="127" ht="62.5" customFormat="1" customHeight="1" s="59">
      <c r="A127" s="18">
        <f>A126+1</f>
        <v/>
      </c>
      <c r="B127" s="182" t="inlineStr">
        <is>
          <t>ls_num_lastyr</t>
        </is>
      </c>
      <c r="C127" s="58" t="inlineStr">
        <is>
          <t>ls_num_lastyr</t>
        </is>
      </c>
      <c r="D127" s="184" t="inlineStr">
        <is>
          <t>How many {ls_main} did you have at the same time last year?
[OPERATOR: RECORD THE NUMBER OF ANIMALS. ENTER 88888 FOR DON'T KNOW AND 99999 FOR REFUSED.]</t>
        </is>
      </c>
      <c r="E127" s="179">
        <f>LEN(D127)</f>
        <v/>
      </c>
      <c r="F127" s="305" t="inlineStr">
        <is>
          <t>كم {ls_main} كان لديك في نفس الوقت من العام الماضي؟
[المُشغل: سجل عدد الحيوانات. أدخل 88888 للا أعرف و 99999 في حالة الرفض.]</t>
        </is>
      </c>
      <c r="G127" s="179">
        <f>LEN(F127)</f>
        <v/>
      </c>
      <c r="H127" s="186" t="inlineStr">
        <is>
          <t>Range</t>
        </is>
      </c>
      <c r="I127" s="179" t="inlineStr">
        <is>
          <t>NA</t>
        </is>
      </c>
      <c r="J127" s="179" t="inlineStr">
        <is>
          <t>NA</t>
        </is>
      </c>
      <c r="K127" s="179" t="inlineStr">
        <is>
          <t>Form Type - TextBox</t>
        </is>
      </c>
      <c r="L127" s="100" t="inlineStr">
        <is>
          <t>NA</t>
        </is>
      </c>
      <c r="M127" s="63" t="inlineStr">
        <is>
          <t>0-10000 = ls_num_now
88888-88888 = ls_num_now
99999-99999 = ls_num_now</t>
        </is>
      </c>
      <c r="N127" s="342" t="n"/>
      <c r="O127" s="63" t="inlineStr">
        <is>
          <t>answers can range from 0-10000; any response goes to ls_num_now</t>
        </is>
      </c>
      <c r="P127" s="30" t="inlineStr"/>
      <c r="Q127" s="9" t="n"/>
      <c r="R127" s="306">
        <f>#REF!</f>
        <v/>
      </c>
      <c r="S127" s="53" t="n"/>
      <c r="U127" s="150" t="inlineStr">
        <is>
          <t>yes</t>
        </is>
      </c>
      <c r="V127" s="613" t="n"/>
      <c r="Y127" s="631" t="n">
        <v>16.33288192749023</v>
      </c>
      <c r="Z127" s="631">
        <f>IF(Y127="","",Y127*R127)</f>
        <v/>
      </c>
      <c r="AA127" s="53" t="e">
        <v>#REF!</v>
      </c>
    </row>
    <row r="128" ht="62.5" customFormat="1" customHeight="1" s="59">
      <c r="A128" s="18">
        <f>A127+1</f>
        <v/>
      </c>
      <c r="B128" s="182" t="inlineStr">
        <is>
          <t>ls_num_now</t>
        </is>
      </c>
      <c r="C128" s="58" t="inlineStr">
        <is>
          <t>ls_num_now</t>
        </is>
      </c>
      <c r="D128" s="559" t="inlineStr">
        <is>
          <t>How many {ls_main} do you have now?
[OPERATOR: RECORD THE NUMBER OF ANIMALS. ENTER 88888 FOR DON'T KNOW AND 99999 FOR REFUSED.]</t>
        </is>
      </c>
      <c r="E128" s="179">
        <f>LEN(D128)</f>
        <v/>
      </c>
      <c r="F128" s="559" t="inlineStr">
        <is>
          <t>كم {ls_main} لديك الآن؟
[المُشغل: سجل عدد الحيوانات. أدخل 88888 للا أعرف و 99999 في حالة الرفض.]</t>
        </is>
      </c>
      <c r="G128" s="179">
        <f>LEN(F128)</f>
        <v/>
      </c>
      <c r="H128" s="186" t="inlineStr">
        <is>
          <t>Range</t>
        </is>
      </c>
      <c r="I128" s="179" t="inlineStr">
        <is>
          <t>NA</t>
        </is>
      </c>
      <c r="J128" s="179" t="inlineStr">
        <is>
          <t>NA</t>
        </is>
      </c>
      <c r="K128" s="179" t="inlineStr">
        <is>
          <t>Form Type - TextBox</t>
        </is>
      </c>
      <c r="L128" s="100" t="inlineStr">
        <is>
          <t>NA</t>
        </is>
      </c>
      <c r="M128" s="63" t="inlineStr">
        <is>
          <t>0-10000 = ls_num_change
88888-88888 = ls_num_change
99999-99999 = ls_num_change</t>
        </is>
      </c>
      <c r="N128" s="342" t="n"/>
      <c r="O128" s="63" t="inlineStr">
        <is>
          <t>answers can range from 0-10000; any response goes to ls_num_change</t>
        </is>
      </c>
      <c r="P128" s="30" t="inlineStr"/>
      <c r="Q128" s="9" t="n"/>
      <c r="R128" s="306">
        <f>#REF!</f>
        <v/>
      </c>
      <c r="S128" s="53" t="n"/>
      <c r="U128" s="150" t="inlineStr">
        <is>
          <t>yes</t>
        </is>
      </c>
      <c r="V128" s="613" t="n"/>
      <c r="Y128" s="631" t="n">
        <v>7.41445255279541</v>
      </c>
      <c r="Z128" s="631">
        <f>IF(Y128="","",Y128*R128)</f>
        <v/>
      </c>
      <c r="AA128" s="53" t="e">
        <v>#REF!</v>
      </c>
    </row>
    <row r="129" ht="383.25" customFormat="1" customHeight="1" s="59">
      <c r="A129" s="18">
        <f>A128+1</f>
        <v/>
      </c>
      <c r="B129" s="182" t="inlineStr">
        <is>
          <t>ls_num_change</t>
        </is>
      </c>
      <c r="C129" s="58" t="inlineStr">
        <is>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is>
      </c>
      <c r="D129" s="138" t="inlineStr">
        <is>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12)Other
13)DON’T KNOW
14)REFUSED</t>
        </is>
      </c>
      <c r="E129" s="179">
        <f>LEN(D129)</f>
        <v/>
      </c>
      <c r="F129" s="559" t="inlineStr">
        <is>
          <t>لماذا تغير عدد الماشية؟
[المُشغل: احتمال وجود عدة استجابات.]
1) لا تغيير ملحوظ في عدد الماشية
2) لم نتمكن البيع بنفس المقدار
3) زيادة عدد المواليد
4) شراء أو مقايضة المزيد من الحيوانات هذا العام
5) إستلام حيوانات مجانًا [إعادة تخزين / هدية]
6) وفاة الحيوانات نتيجة سوء التغذية / الجفاف / قلة الغذاء
7) وفاة الحيوانات نتيجة عوامل أخرى [ الامراض / الطفيليات / الإصابات علي سبيل المثال ]
8) بيعت أكثر من المعتاد بسبب الأسعار الجيدة
9) تم البيع أكثر من المعتاد بسبب المبيعات الضائقة [عدم القدرة على إطعام الحيوانات / بحاجة ماسة إلى المال لتلبية الاحتياجات الأساسية للأسرة حتى لو كانت المبيعات غير مستدامة]
10) هروب الحيوانات أو فقدانها أو سرقتها
11) قتل أو توزيع حيوانات أكثر من المعتاد للاستهلاك المنزلي أو للاحتفالات [زواج / جنازات / إلخ]
12) آخر
13) لا أعرف
14) رفض الإجابة</t>
        </is>
      </c>
      <c r="G129" s="179">
        <f>LEN(F129)</f>
        <v/>
      </c>
      <c r="H129" s="58" t="inlineStr">
        <is>
          <t>Select All That Apply</t>
        </is>
      </c>
      <c r="I129" s="179" t="inlineStr">
        <is>
          <t>NA</t>
        </is>
      </c>
      <c r="J129" s="179" t="inlineStr">
        <is>
          <t>NA</t>
        </is>
      </c>
      <c r="K129" s="179" t="inlineStr">
        <is>
          <t>Form Type - Checklist
1,13,14 = IsNone</t>
        </is>
      </c>
      <c r="L129" s="100" t="inlineStr">
        <is>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is>
      </c>
      <c r="M129" s="63" t="inlineStr">
        <is>
          <t>1-14 = ls_feed</t>
        </is>
      </c>
      <c r="N129" s="195" t="n"/>
      <c r="O129" s="62" t="inlineStr">
        <is>
          <t>If ls_num_change 1-14 = [ls_feed]</t>
        </is>
      </c>
      <c r="P129" s="14" t="inlineStr">
        <is>
          <t>1-14 = ls_feed</t>
        </is>
      </c>
      <c r="Q129" s="9" t="n"/>
      <c r="R129" s="306">
        <f>#REF!</f>
        <v/>
      </c>
      <c r="S129" s="53" t="n"/>
      <c r="U129" s="150" t="inlineStr">
        <is>
          <t>yes</t>
        </is>
      </c>
      <c r="V129" s="613" t="n"/>
      <c r="Y129" s="631" t="n">
        <v>17.79113578796387</v>
      </c>
      <c r="Z129" s="631">
        <f>IF(Y129="","",Y129*R129)</f>
        <v/>
      </c>
      <c r="AA129" s="53" t="e">
        <v>#REF!</v>
      </c>
    </row>
    <row r="130" ht="238.4" customFormat="1" customHeight="1" s="218">
      <c r="A130" s="18">
        <f>A129+1</f>
        <v/>
      </c>
      <c r="B130" s="290" t="inlineStr">
        <is>
          <t>ls_feed</t>
        </is>
      </c>
      <c r="C130" s="255" t="inlineStr">
        <is>
          <t>ls_feed
1) ls_feed_open_pasture
2) ls_feed_common_pasture
3) ls_feed_self_produced
4) ls_feed_purchased
5) ls_feed_free_dist
6) ls_feed_other
7) ls_feed_dk
8) ls_feed_ref</t>
        </is>
      </c>
      <c r="D130" s="230" t="inlineStr">
        <is>
          <t>Where do you usually access feed for your {ls_main}?  
[OPERATOR: MULTIPLE RESPONSES POSSIBLE.] 
1)Open pasture
2)Community-managed pasture land
3)Owned or rented field or self-produced fodder
4)Purchase feed or fodder at the market
5)Free distribution
6)Other
7)DON'T KNOW
8)REFUSED</t>
        </is>
      </c>
      <c r="E130" s="292">
        <f>LEN(D130)</f>
        <v/>
      </c>
      <c r="F130" s="293" t="inlineStr">
        <is>
          <t>من أين تحصل على الغذاء ل {ls_main} ؟
[المُشغل: احتمال وجود عدة استجابات.]
1) المرعى المفتوح
2) أراضي المراعي التي يديرها المجتمع
3) الحقول المملوكة أو المؤجرة أو الأعلاف المنتجة ذاتيا
4) شراء العلف من الأسواق
5) التوزيع المجاني
6) آخر
7) لا أعرف
8) رفض الإجابة</t>
        </is>
      </c>
      <c r="G130" s="292">
        <f>LEN(F130)</f>
        <v/>
      </c>
      <c r="H130" s="275" t="inlineStr">
        <is>
          <t>Select All That Apply</t>
        </is>
      </c>
      <c r="I130" s="292" t="inlineStr">
        <is>
          <t>NA</t>
        </is>
      </c>
      <c r="J130" s="292" t="inlineStr">
        <is>
          <t>NA</t>
        </is>
      </c>
      <c r="K130" s="292" t="inlineStr">
        <is>
          <t>Form Type - Checklist
7,8 = IsNone</t>
        </is>
      </c>
      <c r="L130" s="215" t="inlineStr">
        <is>
          <t>1)ls_feed_open_pasture
2)ls_feed_common_pasture
3)ls_feed_self_produced
4)ls_feed_purchased
5)ls_feed_free_dist
6)ls_feed_other
7)ls_feed_dk
8)ls_feed_ref</t>
        </is>
      </c>
      <c r="M130" s="229" t="inlineStr">
        <is>
          <t>1-8 = ls_proddif</t>
        </is>
      </c>
      <c r="N130" s="355" t="n"/>
      <c r="O130" s="273" t="inlineStr">
        <is>
          <t>For any response, go to ls_proddif</t>
        </is>
      </c>
      <c r="P130" s="274" t="inlineStr"/>
      <c r="Q130" s="238" t="n"/>
      <c r="R130" s="317">
        <f>#REF!</f>
        <v/>
      </c>
      <c r="S130" s="217" t="n"/>
      <c r="U130" s="219" t="inlineStr">
        <is>
          <t>no</t>
        </is>
      </c>
      <c r="V130" s="220" t="n"/>
      <c r="Y130" s="633" t="n">
        <v>18.08681678771973</v>
      </c>
      <c r="Z130" s="633">
        <f>IF(Y130="","",Y130*R130)</f>
        <v/>
      </c>
      <c r="AA130" s="217" t="inlineStr"/>
    </row>
    <row r="131" ht="140.5" customFormat="1" customHeight="1" s="59">
      <c r="A131" s="18">
        <f>A130+1</f>
        <v/>
      </c>
      <c r="B131" s="182" t="inlineStr">
        <is>
          <t>ls_proddif</t>
        </is>
      </c>
      <c r="C131" s="58" t="inlineStr">
        <is>
          <t>ls_proddif</t>
        </is>
      </c>
      <c r="D131" s="184" t="inlineStr">
        <is>
          <t>Has your household faced any significant difficulty with livestock production over the last 3 months?
[OPERATOR: SINGLE RESPONSE.]
1)YES 
2)NO
3)DON'T KNOW
4)REFUSED</t>
        </is>
      </c>
      <c r="E131" s="179">
        <f>LEN(D131)</f>
        <v/>
      </c>
      <c r="F131" s="305" t="inlineStr">
        <is>
          <t>هل واجهت أسرتك أي صعوبة في إنتاج الماشية خلال الأشهر الثلاثة الماضية؟
[المشغل: استجابة واحدة.]
1) نعم
2) لا
3) لا أعرف
4) رفض الإجابة</t>
        </is>
      </c>
      <c r="G131" s="179">
        <f>LEN(F131)</f>
        <v/>
      </c>
      <c r="H131" s="186" t="inlineStr">
        <is>
          <t>Single Choice</t>
        </is>
      </c>
      <c r="I131" s="179" t="inlineStr">
        <is>
          <t>NA</t>
        </is>
      </c>
      <c r="J131" s="179" t="inlineStr">
        <is>
          <t>NA</t>
        </is>
      </c>
      <c r="K131" s="179" t="inlineStr">
        <is>
          <t>Form Type - Buttons</t>
        </is>
      </c>
      <c r="L131" s="100" t="inlineStr">
        <is>
          <t>NA</t>
        </is>
      </c>
      <c r="M131" s="63" t="inlineStr">
        <is>
          <t>1=ls_proddif_2
2-4= ls_salesmain</t>
        </is>
      </c>
      <c r="N131" s="342" t="n"/>
      <c r="O131" s="63" t="inlineStr">
        <is>
          <t>if ls_proddif = 1, go to ls_proddif_2 ; 
if ls_proddif = 2-4, go to [ls_salesmain OR optional question]</t>
        </is>
      </c>
      <c r="P131" s="16" t="inlineStr">
        <is>
          <t>1=ls_proddif_2
2-4= ls_salesmain</t>
        </is>
      </c>
      <c r="Q131" s="9" t="n"/>
      <c r="R131" s="306">
        <f>#REF!</f>
        <v/>
      </c>
      <c r="S131" s="53" t="n"/>
      <c r="U131" s="150" t="inlineStr">
        <is>
          <t>yes</t>
        </is>
      </c>
      <c r="V131" s="613" t="n"/>
      <c r="Y131" s="631" t="n">
        <v>10.37455940246582</v>
      </c>
      <c r="Z131" s="631">
        <f>IF(Y131="","",Y131*R131)</f>
        <v/>
      </c>
      <c r="AA131" s="53" t="e">
        <v>#REF!</v>
      </c>
    </row>
    <row r="132" ht="327.65" customFormat="1" customHeight="1" s="59" thickBot="1">
      <c r="A132" s="18">
        <f>A131+1</f>
        <v/>
      </c>
      <c r="B132" s="115" t="inlineStr">
        <is>
          <t>ls_proddif_2</t>
        </is>
      </c>
      <c r="C132" s="52" t="inlineStr">
        <is>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is>
      </c>
      <c r="D132" s="184" t="inlineStr">
        <is>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is>
      </c>
      <c r="E132" s="179">
        <f>LEN(D132)</f>
        <v/>
      </c>
      <c r="F132" s="305" t="inlineStr">
        <is>
          <t>ما الصعوبات التي واجهتها أسرتك في إنتاج الماشية في الأشهر الثلاثة الماضية؟
[المُشغل: عدة استجابات محتملة. حدد الخيار [الخيارات] الأنسب للمعلومات المقدمة من المجيب.]
1) صعوبة شراء العلف [الأسعار أو الوصول إلى السوق]
2) الوصول إلى المراعي
3) الحصول على الماء
4) الحصول على الخدمات البيطرية [ التطعيمات / العلاج / نصائح الرش و غيرها ]
5) الوصول إلى المدخلات البيطرية [أدوية للحيوانات / أدوات لصحة الحيوان / إلخ]
6) أمراض الماشية أو الموت
7) سرقة المواشي
8) الوصول إلى سوق المواشي لشراء الحيوانات الصغيرة العمر
9) الحصول على الائتمان
10) الوصول إلى القوى العاملة
11) آخر
12) لا أعرف
13) رفض الإجابة</t>
        </is>
      </c>
      <c r="G132" s="179">
        <f>LEN(F132)</f>
        <v/>
      </c>
      <c r="H132" s="58" t="inlineStr">
        <is>
          <t>Select All That Apply</t>
        </is>
      </c>
      <c r="I132" s="179" t="inlineStr">
        <is>
          <t>NA</t>
        </is>
      </c>
      <c r="J132" s="179" t="inlineStr">
        <is>
          <t>NA</t>
        </is>
      </c>
      <c r="K132" s="179" t="inlineStr">
        <is>
          <t>Form Type - Checklist
12,13 = IsNone</t>
        </is>
      </c>
      <c r="L132" s="100" t="inlineStr">
        <is>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is>
      </c>
      <c r="M132" s="184" t="inlineStr">
        <is>
          <t>1-13 = ls_salesmain</t>
        </is>
      </c>
      <c r="N132" s="347" t="n"/>
      <c r="O132" s="184" t="inlineStr">
        <is>
          <t>if ls_proddif_2 = 1-13, go to ls_salesmain OR optional question</t>
        </is>
      </c>
      <c r="P132" s="21" t="inlineStr">
        <is>
          <t>1-13 = ls_salesmain</t>
        </is>
      </c>
      <c r="Q132" s="9" t="n"/>
      <c r="R132" s="306">
        <f>#REF!</f>
        <v/>
      </c>
      <c r="S132" s="53" t="n"/>
      <c r="U132" s="150" t="inlineStr">
        <is>
          <t>yes</t>
        </is>
      </c>
      <c r="V132" s="613" t="n"/>
      <c r="Y132" s="631" t="n">
        <v>19.61676216125488</v>
      </c>
      <c r="Z132" s="631">
        <f>IF(Y132="","",Y132*R132)</f>
        <v/>
      </c>
      <c r="AA132" s="53" t="e">
        <v>#REF!</v>
      </c>
    </row>
    <row r="133" ht="16.4" customFormat="1" customHeight="1" s="149" thickBot="1">
      <c r="A133" s="604" t="inlineStr">
        <is>
          <t>E. LIVESTOCK MARKETING</t>
        </is>
      </c>
      <c r="B133" s="629" t="n"/>
      <c r="C133" s="629" t="n"/>
      <c r="D133" s="629" t="n"/>
      <c r="E133" s="629" t="n"/>
      <c r="F133" s="629" t="n"/>
      <c r="G133" s="629" t="n"/>
      <c r="H133" s="629" t="n"/>
      <c r="I133" s="629" t="n"/>
      <c r="J133" s="629" t="n"/>
      <c r="K133" s="629" t="n"/>
      <c r="L133" s="629" t="n"/>
      <c r="M133" s="629" t="n"/>
      <c r="N133" s="629" t="n"/>
      <c r="O133" s="629" t="n"/>
      <c r="P133" s="629" t="n"/>
      <c r="Q133" s="630" t="n"/>
      <c r="R133" s="306" t="n"/>
      <c r="S133" s="151" t="n"/>
      <c r="U133" s="150" t="n"/>
      <c r="V133" s="623" t="n"/>
      <c r="Y133" s="631" t="n"/>
      <c r="Z133" s="631">
        <f>IF(Y133="","",Y133*R133)</f>
        <v/>
      </c>
      <c r="AA133" s="151">
        <f>IF(U133="yes",Z133,"")</f>
        <v/>
      </c>
    </row>
    <row r="134" ht="333" customFormat="1" customHeight="1" s="59">
      <c r="A134" s="38">
        <f>A132+1</f>
        <v/>
      </c>
      <c r="B134" s="114" t="inlineStr">
        <is>
          <t>ls_salesmain</t>
        </is>
      </c>
      <c r="C134" s="58" t="inlineStr">
        <is>
          <t>ls_salesmain</t>
        </is>
      </c>
      <c r="D134" s="72" t="inlineStr">
        <is>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is>
      </c>
      <c r="E134" s="56">
        <f>LEN(D134)</f>
        <v/>
      </c>
      <c r="F134" s="72" t="inlineStr">
        <is>
          <t>ما كان نوع الماشية الأساسي أو المنتج الحيواني الرئيسي الذي باعته أسرتك في الأشهر الثلاثة الماضية؟
[المشغل: استجابة واحدة. قم بالإصرار على المنتج الرئيسي.]
1) البقر [بقرة / ثور / عجل / ياك / جاموس]
2) الماعز
3) الأغنام
4) الخنازير [خنزير / خنزير بري / إلخ]
5) الحمير/ الأحصنة
6) الثدييات المستأنسة الصغيرة [الأرانب / المنك / خنازير غينيا / إلخ]
7) دواجن [دجاج / دجاج غينيا / بطة / سمان / ديك رومي / إلخ]
8) الإبل
9) البيض
10) الحليب أو مشتقاته
11) الجلد أو الصوف
12) لا أعرف
13) رفض الإجابة</t>
        </is>
      </c>
      <c r="G134" s="56">
        <f>LEN(F134)</f>
        <v/>
      </c>
      <c r="H134" s="64" t="inlineStr">
        <is>
          <t>Single Choice</t>
        </is>
      </c>
      <c r="I134" s="56" t="inlineStr">
        <is>
          <t>NA</t>
        </is>
      </c>
      <c r="J134" s="56" t="inlineStr">
        <is>
          <t>Send if "income_main" "Equals" "Production and sale of livestock or livestock products" Or "income_sec" "Equals" "Production and sale of livestock or livestock products" Or "income_third" "Equals" "Production and sale of livestock or livestock products" if not satisfied go to "fish_intro"</t>
        </is>
      </c>
      <c r="K134" s="58" t="inlineStr">
        <is>
          <t>Form Type - Buttons
IsDemographic - ls_salesmain</t>
        </is>
      </c>
      <c r="L134" s="100" t="inlineStr">
        <is>
          <t>NA</t>
        </is>
      </c>
      <c r="M134" s="55" t="inlineStr">
        <is>
          <t>1-11 = ls_salesdif
12-13 = fish_intro</t>
        </is>
      </c>
      <c r="N134" s="195" t="n"/>
      <c r="O134" s="55" t="inlineStr">
        <is>
          <t>If either income_main or income_sec or income_third = "Production and sale of livestock or livestock products", then this section will be asked to respondents.
Otherwise, skip to fish_main.
if ls_salesmain = 1-11, go to ls_salesdif ; 
if ls_salesmain = 12-13, go to fish_intro</t>
        </is>
      </c>
      <c r="P134" s="30" t="inlineStr"/>
      <c r="Q134" s="8" t="n"/>
      <c r="R134" s="306">
        <f>#REF!</f>
        <v/>
      </c>
      <c r="S134" s="53" t="n"/>
      <c r="U134" s="150" t="inlineStr">
        <is>
          <t>yes</t>
        </is>
      </c>
      <c r="V134" s="613" t="n"/>
      <c r="Y134" s="631" t="n">
        <v>12.99236297607422</v>
      </c>
      <c r="Z134" s="631">
        <f>IF(Y134="","",Y134*R134)</f>
        <v/>
      </c>
      <c r="AA134" s="53" t="e">
        <v>#REF!</v>
      </c>
    </row>
    <row r="135" ht="165.75" customFormat="1" customHeight="1" s="59">
      <c r="A135" s="18">
        <f>A134+1</f>
        <v/>
      </c>
      <c r="B135" s="597" t="inlineStr">
        <is>
          <t>ls_salesdif</t>
        </is>
      </c>
      <c r="C135" s="58" t="inlineStr">
        <is>
          <t>ls_salesdif</t>
        </is>
      </c>
      <c r="D135" s="184" t="inlineStr">
        <is>
          <t>Has your household faced any significant difficulty in the last 3 months selling your {ls_salesmain}?
[OPERATOR: SINGLE RESPONSE.]
1)YES
2)NO
3)DON'T KNOW
4)REFUSED</t>
        </is>
      </c>
      <c r="E135" s="179">
        <f>LEN(D135)</f>
        <v/>
      </c>
      <c r="F135" s="305" t="inlineStr">
        <is>
          <t>هل واجهت أسرتك أي صعوبة خلال الأشهر الثلاثة الماضية في بيع {ls_salesmain}؟
[المشغل: استجابة واحدة.]
1) نعم
2) لا
3) لا أعرف
4) رفض الإجابة</t>
        </is>
      </c>
      <c r="G135" s="179">
        <f>LEN(F135)</f>
        <v/>
      </c>
      <c r="H135" s="186" t="inlineStr">
        <is>
          <t>Single Choice</t>
        </is>
      </c>
      <c r="I135" s="179" t="inlineStr">
        <is>
          <t>NA</t>
        </is>
      </c>
      <c r="J135" s="179" t="inlineStr">
        <is>
          <t>NA</t>
        </is>
      </c>
      <c r="K135" s="179" t="inlineStr">
        <is>
          <t>Form Type - Buttons</t>
        </is>
      </c>
      <c r="L135" s="100" t="inlineStr">
        <is>
          <t>NA</t>
        </is>
      </c>
      <c r="M135" s="63" t="inlineStr">
        <is>
          <t>1 = ls_salesdif_2
2-4 = ls_salesprice</t>
        </is>
      </c>
      <c r="N135" s="342" t="n"/>
      <c r="O135" s="63" t="inlineStr">
        <is>
          <t>if ls_salesdif = 1, go to ls_salesdif_2 ; 
if ls_salesdif = 2-4, go to ls_salesprice</t>
        </is>
      </c>
      <c r="P135" s="28" t="inlineStr"/>
      <c r="Q135" s="9" t="n"/>
      <c r="R135" s="306">
        <f>#REF!</f>
        <v/>
      </c>
      <c r="S135" s="53" t="n"/>
      <c r="U135" s="150" t="inlineStr">
        <is>
          <t>yes</t>
        </is>
      </c>
      <c r="V135" s="613" t="n"/>
      <c r="Y135" s="631" t="n">
        <v>8.629570960998535</v>
      </c>
      <c r="Z135" s="631">
        <f>IF(Y135="","",Y135*R135)</f>
        <v/>
      </c>
      <c r="AA135" s="53" t="e">
        <v>#REF!</v>
      </c>
    </row>
    <row r="136" ht="296.5" customFormat="1" customHeight="1" s="59">
      <c r="A136" s="18">
        <f>A135+1</f>
        <v/>
      </c>
      <c r="B136" s="182" t="inlineStr">
        <is>
          <t>ls_salesdif_2</t>
        </is>
      </c>
      <c r="C136" s="58" t="inlineStr">
        <is>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is>
      </c>
      <c r="D136" s="138" t="inlineStr">
        <is>
          <t>Which difficulties has your household faced in the last 3 months selling your {ls_salesmain}?
[OPERATOR: MULTIPLE RESPONSES POSSIBLE. SELECT OPTION(S) THAT BEST FIT THE INFORMATION PROVIDED BY THE RESPONDENTS.]
1)High transportation or other marketing costs
2)Damage and losses during transportation or difficulty accessing the market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is>
      </c>
      <c r="E136" s="179">
        <f>LEN(D136)</f>
        <v/>
      </c>
      <c r="F136" s="172" t="inlineStr">
        <is>
          <t>ما الصعوبات التي واجهتها أسرتك خلال الأشهر الثلاثة الماضية في بيع {ls_salesmain}؟
[المُشغل: عدة استجابات محتملة. حدد الخيار [الخيارات] الأنسب للمعلومات المقدمة من المجيب.]
1) ارتفاع تكاليف النقل أو تكاليف التسويق الأخرى
2) الأضرار والخسائر أثناء النقل أو صعوبة الوصول إلى السوق
3) انخفاض الطلب من التجار و المشترين المعتادين
4) تأخر المدفوعات من التجار و المشترين 
5) أسعار بيع منخفضة [على سبيل المثال مقارنة بأسعار المدخلات / التضخم]
6) إغلاق المسالخ أو صعوبة الوصول إلى المسالخ
7) صعوبات في معالجة المنتج بخلاف إغلاق المسلخ [تعثر الوصول إلى مدخلات المعالجة / المعدات / إلخ]
8) تشبع السوق بالمنتجات
9) آخر
10) لا أعرف
11) رفض الإجابة</t>
        </is>
      </c>
      <c r="G136" s="179">
        <f>LEN(F136)</f>
        <v/>
      </c>
      <c r="H136" s="58" t="inlineStr">
        <is>
          <t>Select All That Apply</t>
        </is>
      </c>
      <c r="I136" s="179" t="inlineStr">
        <is>
          <t>NA</t>
        </is>
      </c>
      <c r="J136" s="179" t="inlineStr">
        <is>
          <t>NA</t>
        </is>
      </c>
      <c r="K136" s="179" t="inlineStr">
        <is>
          <t>Form Type - Checklist
10,11 = IsNone</t>
        </is>
      </c>
      <c r="L136" s="100" t="inlineStr">
        <is>
          <t>1)ls_salesdif_marketing_cost
2)ls_salesdif_damage_losses
3)ls_salesdif_low_demand
4)ls_salesdif_pay_delay
5)ls_salesdif_low_price
6)ls_salesdif_slaughterhouse
7)ls_salesdif_processing
8)ls_salesdif_competition
9)ls_salesdif_other
10)ls_salesdif_dk
11)ls_salesdif_ref</t>
        </is>
      </c>
      <c r="M136" s="63" t="inlineStr">
        <is>
          <t>1-11 = ls_salesprice</t>
        </is>
      </c>
      <c r="N136" s="342" t="n"/>
      <c r="O136" s="63" t="inlineStr">
        <is>
          <t>if ls_salesdif_2 = 1-11, go to ls_salesprice</t>
        </is>
      </c>
      <c r="P136" s="28" t="inlineStr"/>
      <c r="Q136" s="9" t="n"/>
      <c r="R136" s="306">
        <f>#REF!</f>
        <v/>
      </c>
      <c r="S136" s="53" t="n"/>
      <c r="U136" s="150" t="inlineStr">
        <is>
          <t>yes</t>
        </is>
      </c>
      <c r="V136" s="613" t="n"/>
      <c r="Y136" s="631" t="n">
        <v>18.25617218017578</v>
      </c>
      <c r="Z136" s="631">
        <f>IF(Y136="","",Y136*R136)</f>
        <v/>
      </c>
      <c r="AA136" s="53" t="e">
        <v>#REF!</v>
      </c>
    </row>
    <row r="137" ht="242.25" customFormat="1" customHeight="1" s="59" thickBot="1">
      <c r="A137" s="18">
        <f>A136+1</f>
        <v/>
      </c>
      <c r="B137" s="182" t="inlineStr">
        <is>
          <t>ls_salesprice</t>
        </is>
      </c>
      <c r="C137" s="58" t="inlineStr">
        <is>
          <t>ls_salesprice</t>
        </is>
      </c>
      <c r="D137" s="184" t="inlineStr">
        <is>
          <t>How does the current price of your household's {ls_salesmain} compare to the average price in the same period of  last year?
[OPERATOR: SINGLE RESPONSE. INSIST ON THE MAIN PRODUCT MENTIONED.]
1)A lot more [increased by more than 50%]
2)Slightly more
3)Same
4)Slightly less
5)A lot less [less than half as much]
6)DON'T KNOW
7)REFUSED</t>
        </is>
      </c>
      <c r="E137" s="179">
        <f>LEN(D137)</f>
        <v/>
      </c>
      <c r="F137" s="305" t="inlineStr">
        <is>
          <t>كيف تقارن السعر الحالي ل {ls_salesmain} لأسرتك بمتوسط ​​السعر في نفس الفترة من العام الماضي؟ 
[المشغل: استجابة واحدة. قم بالإصرار على المنتج الرئيسي المذكور.]
1) أكثر بكثير [زادت بنسبة تزيد عن 50٪]
2) أكثر قليلا
3) نفس الشيء
4) أقل قليلاً
5) أقل بكثير [أقل من نصف الكمية]
6) لا أعرف
7) رفض الإجابة</t>
        </is>
      </c>
      <c r="G137" s="179">
        <f>LEN(F137)</f>
        <v/>
      </c>
      <c r="H137" s="186" t="inlineStr">
        <is>
          <t>Single Choice</t>
        </is>
      </c>
      <c r="I137" s="179" t="inlineStr">
        <is>
          <t>NA</t>
        </is>
      </c>
      <c r="J137" s="179" t="inlineStr">
        <is>
          <t>NA</t>
        </is>
      </c>
      <c r="K137" s="179" t="inlineStr">
        <is>
          <t>Form Type - Buttons</t>
        </is>
      </c>
      <c r="L137" s="100" t="inlineStr">
        <is>
          <t>NA</t>
        </is>
      </c>
      <c r="M137" s="74" t="inlineStr">
        <is>
          <t>1-7 = fish_intro</t>
        </is>
      </c>
      <c r="N137" s="356" t="n"/>
      <c r="O137" s="74" t="inlineStr">
        <is>
          <t>For options #1-7, go to fish_intro</t>
        </is>
      </c>
      <c r="P137" s="20" t="inlineStr"/>
      <c r="Q137" s="9" t="n"/>
      <c r="R137" s="306">
        <f>#REF!</f>
        <v/>
      </c>
      <c r="S137" s="53" t="n"/>
      <c r="U137" s="150" t="inlineStr">
        <is>
          <t>yes</t>
        </is>
      </c>
      <c r="V137" s="613" t="n"/>
      <c r="Y137" s="631" t="n">
        <v>15.45627975463867</v>
      </c>
      <c r="Z137" s="631">
        <f>IF(Y137="","",Y137*R137)</f>
        <v/>
      </c>
      <c r="AA137" s="53" t="e">
        <v>#REF!</v>
      </c>
    </row>
    <row r="138" ht="16.4" customFormat="1" customHeight="1" s="149" thickBot="1">
      <c r="A138" s="604" t="inlineStr">
        <is>
          <t>F. FISHERIES PRODUCTION</t>
        </is>
      </c>
      <c r="B138" s="629" t="n"/>
      <c r="C138" s="629" t="n"/>
      <c r="D138" s="629" t="n"/>
      <c r="E138" s="629" t="n"/>
      <c r="F138" s="629" t="n"/>
      <c r="G138" s="629" t="n"/>
      <c r="H138" s="629" t="n"/>
      <c r="I138" s="629" t="n"/>
      <c r="J138" s="629" t="n"/>
      <c r="K138" s="629" t="n"/>
      <c r="L138" s="629" t="n"/>
      <c r="M138" s="629" t="n"/>
      <c r="N138" s="629" t="n"/>
      <c r="O138" s="629" t="n"/>
      <c r="P138" s="629" t="n"/>
      <c r="Q138" s="630" t="n"/>
      <c r="R138" s="306" t="n"/>
      <c r="S138" s="151" t="n"/>
      <c r="U138" s="150" t="n"/>
      <c r="V138" s="623" t="n"/>
      <c r="Y138" s="631" t="n"/>
      <c r="Z138" s="631">
        <f>IF(Y138="","",Y138*R138)</f>
        <v/>
      </c>
      <c r="AA138" s="151">
        <f>IF(U138="yes",Z138,"")</f>
        <v/>
      </c>
    </row>
    <row r="139" ht="120" customFormat="1" customHeight="1" s="59">
      <c r="A139" s="38">
        <f>A137+1</f>
        <v/>
      </c>
      <c r="B139" s="114" t="inlineStr">
        <is>
          <t>fish_intro</t>
        </is>
      </c>
      <c r="C139" s="58" t="inlineStr">
        <is>
          <t>fish_intro</t>
        </is>
      </c>
      <c r="D139" s="140" t="inlineStr">
        <is>
          <t>We will now ask you some questions about fishing and aquaculture production which apply to you and anyone in your household that is involved in the capture, culture, or harvest of fish and aquatic products.
1)CONTINUE</t>
        </is>
      </c>
      <c r="E139" s="56">
        <f>LEN(D139)</f>
        <v/>
      </c>
      <c r="F139" s="166" t="inlineStr">
        <is>
          <t>سنطرح عليك الآن بعض الأسئلة حول صيد الأسماك وتربية الأحياء المائية، وهي تنطبق عليك وعلى أي شخص في أسرتك يشارك في الصيد أو تربية الأسماك والمنتجات المائية، أو حصادها وتجهيزها وبيعها.
1) تابع</t>
        </is>
      </c>
      <c r="G139" s="56">
        <f>LEN(F139)</f>
        <v/>
      </c>
      <c r="H139" s="56" t="inlineStr">
        <is>
          <t>Single Choice</t>
        </is>
      </c>
      <c r="I139" s="56" t="inlineStr">
        <is>
          <t>NA</t>
        </is>
      </c>
      <c r="J139" s="56" t="inlineStr">
        <is>
          <t>Send if "income_main_fish_check" "Equals" "YES" Or "income_sec_fish_check" "Equals" "YES" Or "income_third_fish_check" "Equals" "YES" Or "o_fishery_activity" "Equals" "YES" if not satisfied go to "fies_intro"</t>
        </is>
      </c>
      <c r="K139" s="179" t="inlineStr">
        <is>
          <t>Form Type - Buttons</t>
        </is>
      </c>
      <c r="L139" s="100" t="inlineStr">
        <is>
          <t>NA</t>
        </is>
      </c>
      <c r="M139" s="55" t="inlineStr">
        <is>
          <t>1 = fish_main</t>
        </is>
      </c>
      <c r="N139" s="196" t="n"/>
      <c r="O139" s="62" t="inlineStr">
        <is>
          <t>If the respondent reported production and sales of fish in one of the three main income sources and confirmed that they are involved in production, or if they indicated being involved involved in fishing or aquaculture activities in the past 12 months in hh_fish, then this section will be administered to respondents. Otherwise, skip to fies</t>
        </is>
      </c>
      <c r="P139" s="174" t="inlineStr"/>
      <c r="Q139" s="8" t="n"/>
      <c r="R139" s="306">
        <f>#REF!</f>
        <v/>
      </c>
      <c r="S139" s="53" t="n"/>
      <c r="U139" s="150" t="inlineStr">
        <is>
          <t>yes</t>
        </is>
      </c>
      <c r="V139" s="613" t="n"/>
      <c r="Y139" s="631" t="n">
        <v>2.480132341384888</v>
      </c>
      <c r="Z139" s="631">
        <f>IF(Y139="","",Y139*R139)</f>
        <v/>
      </c>
      <c r="AA139" s="53" t="e">
        <v>#REF!</v>
      </c>
    </row>
    <row r="140" ht="198.75" customFormat="1" customHeight="1" s="59">
      <c r="A140" s="38">
        <f>A139+1</f>
        <v/>
      </c>
      <c r="B140" s="114" t="inlineStr">
        <is>
          <t>fish_main</t>
        </is>
      </c>
      <c r="C140" s="141" t="inlineStr">
        <is>
          <t>fish_main_
1) fish_main_coastal
2) fish_main_offshore_sea
3) fish_main_freshwater
4) fish_main_aquaculture
5) fish_main_dk
6) fish_main_ref</t>
        </is>
      </c>
      <c r="D140" s="138" t="inlineStr">
        <is>
          <t>What type of fishing activity does your household generally practice?
[OPERATOR: MULTIPLE RESPONSES POSSIBLE.]
1)Near coastal/ delta/ lagoon fishing
2)Offshore sea fishing
3)Freshwater fishing [in lakes/ reservoirs/ ponds/ rivers/ or wetlands]
4)Aquaculture
5)DON'T KNOW
6)REFUSED</t>
        </is>
      </c>
      <c r="E140" s="56">
        <f>LEN(D140)</f>
        <v/>
      </c>
      <c r="F140" s="166" t="inlineStr">
        <is>
          <t>ما نوع نشاط الصيد الذي تمارسه أسرتك بشكل عام؟
[المُشغل: احتمال وجود عدة استجابات.]
1) الصيد الساحلي بالقرب من الساحل و الدلتا و البحيرات
2) الصيد البحري المفتوح
3) صيد الأسماك في المياه العذبة [على سبيل المثال البحيرات والبرك والأنهار]
4) تربية الأحياء المائية
5) لا أعرف
6) رفض الإجابة</t>
        </is>
      </c>
      <c r="G140" s="56">
        <f>LEN(F140)</f>
        <v/>
      </c>
      <c r="H140" s="58" t="inlineStr">
        <is>
          <t>Select All That Apply</t>
        </is>
      </c>
      <c r="I140" s="56" t="inlineStr">
        <is>
          <t>NA</t>
        </is>
      </c>
      <c r="J140" s="56" t="inlineStr">
        <is>
          <t>NA</t>
        </is>
      </c>
      <c r="K140" s="56" t="inlineStr">
        <is>
          <t>Form Type - Checklist
5,6 = IsNone</t>
        </is>
      </c>
      <c r="L140" s="100" t="inlineStr">
        <is>
          <t>1)fish_main_coastal
2)fish_main_offshore_sea
3)fish_main_freshwater
4)fish_main_aquaculture
5)fish_main_dk
6)fish_main_ref</t>
        </is>
      </c>
      <c r="M140" s="55" t="inlineStr">
        <is>
          <t>1-6 = fish_change</t>
        </is>
      </c>
      <c r="N140" s="195" t="n"/>
      <c r="O140" s="55" t="inlineStr">
        <is>
          <t>if fish_main = 1-6, go to fish_change</t>
        </is>
      </c>
      <c r="P140" s="30" t="inlineStr"/>
      <c r="Q140" s="19" t="n"/>
      <c r="R140" s="306">
        <f>#REF!</f>
        <v/>
      </c>
      <c r="S140" s="53" t="n"/>
      <c r="U140" s="150" t="inlineStr">
        <is>
          <t>yes</t>
        </is>
      </c>
      <c r="V140" s="613" t="n"/>
      <c r="Y140" s="631" t="n">
        <v>12.71689510345459</v>
      </c>
      <c r="Z140" s="631">
        <f>IF(Y140="","",Y140*R140)</f>
        <v/>
      </c>
      <c r="AA140" s="53" t="e">
        <v>#REF!</v>
      </c>
    </row>
    <row r="141" ht="225" customHeight="1">
      <c r="A141" s="38">
        <f>A140+1</f>
        <v/>
      </c>
      <c r="B141" s="599" t="inlineStr">
        <is>
          <t>fish_change</t>
        </is>
      </c>
      <c r="C141" s="600" t="inlineStr">
        <is>
          <t>fish_change</t>
        </is>
      </c>
      <c r="D141" s="138" t="inlineStr">
        <is>
          <t>How does your fish catch [farmed] in the last 3 months [last harvest] compare to the same period [harvest] last year?
[OPERATOR: SINGLE RESPONSE.]
1)A lot more [increased by more than 50%]
2)Slightly more
3)Same
4)Slightly less
5)A lot less [less than half as much]
6)DON'T KNOW
7)REFUSED</t>
        </is>
      </c>
      <c r="E141" s="56">
        <f>LEN(D141)</f>
        <v/>
      </c>
      <c r="F141" s="305" t="inlineStr">
        <is>
          <t>كيف يتم إنتاج الأسماك [زراعتها] في الأشهر الثلاثة الماضية [آخر حصاد] مقارنة بنفس الفترة [الحصاد] في العام الماضي؟
[المشغل: استجابة واحدة.]
1) أكثر بكثير [زادت بنسبة تزيد عن 50٪]
2) أكثر قليلا
3) نفس الشيء
4) أقل قليلاً
5) أقل بكثير [أقل من نصف الكمية]
6) لا أعرف
7) رفض الإجابة</t>
        </is>
      </c>
      <c r="G141" s="56">
        <f>LEN(F141)</f>
        <v/>
      </c>
      <c r="H141" s="600" t="inlineStr">
        <is>
          <t>Single Choice</t>
        </is>
      </c>
      <c r="I141" s="600" t="inlineStr">
        <is>
          <t>NA</t>
        </is>
      </c>
      <c r="J141" s="600" t="inlineStr">
        <is>
          <t>NA</t>
        </is>
      </c>
      <c r="K141" s="600" t="inlineStr">
        <is>
          <t>Form Type - Buttons</t>
        </is>
      </c>
      <c r="L141" s="100" t="inlineStr">
        <is>
          <t>NA</t>
        </is>
      </c>
      <c r="M141" s="142" t="inlineStr">
        <is>
          <t>1-7 = fish_proddif</t>
        </is>
      </c>
      <c r="N141" s="363" t="n"/>
      <c r="O141" s="197" t="inlineStr">
        <is>
          <t>if fish_change = 1-7, go to fish_proddif</t>
        </is>
      </c>
      <c r="P141" s="31" t="inlineStr"/>
      <c r="Q141" s="9" t="n"/>
      <c r="R141" s="306">
        <f>#REF!</f>
        <v/>
      </c>
      <c r="S141" s="53" t="n"/>
      <c r="U141" s="150" t="inlineStr">
        <is>
          <t>yes</t>
        </is>
      </c>
      <c r="Y141" s="631" t="n">
        <v>10.51750373840332</v>
      </c>
      <c r="Z141" s="631">
        <f>IF(Y141="","",Y141*R141)</f>
        <v/>
      </c>
      <c r="AA141" s="53" t="e">
        <v>#REF!</v>
      </c>
    </row>
    <row r="142" ht="154.5" customFormat="1" customHeight="1" s="59">
      <c r="A142" s="38">
        <f>A141+1</f>
        <v/>
      </c>
      <c r="B142" s="114" t="inlineStr">
        <is>
          <t>fish_proddif</t>
        </is>
      </c>
      <c r="C142" s="58" t="inlineStr">
        <is>
          <t>fish_proddif</t>
        </is>
      </c>
      <c r="D142" s="138" t="inlineStr">
        <is>
          <t>Has your household faced any significant difficulty with fish catch / harvest / farming in the last 3 months?
[OPERATOR: SINGLE RESPONSE.]
1)YES
2)NO
3)DON'T KNOW
4)REFUSED</t>
        </is>
      </c>
      <c r="E142" s="56">
        <f>LEN(D142)</f>
        <v/>
      </c>
      <c r="F142" s="166" t="inlineStr">
        <is>
          <t>هل واجهت أسرتك أي صعوبة كبيرة في صيد الأسماك أو حصادها أو تربيتها خلال الأشهر الثلاثة الماضية؟
[المشغل: استجابة واحدة.]
1) نعم
2) لا
3) لا أعرف
4) رفض الإجابة</t>
        </is>
      </c>
      <c r="G142" s="56">
        <f>LEN(F142)</f>
        <v/>
      </c>
      <c r="H142" s="64" t="inlineStr">
        <is>
          <t>Single Choice</t>
        </is>
      </c>
      <c r="I142" s="56" t="inlineStr">
        <is>
          <t>NA</t>
        </is>
      </c>
      <c r="J142" s="56" t="inlineStr">
        <is>
          <t>NA</t>
        </is>
      </c>
      <c r="K142" s="56" t="inlineStr">
        <is>
          <t>Form Type - Buttons</t>
        </is>
      </c>
      <c r="L142" s="100" t="inlineStr">
        <is>
          <t>NA</t>
        </is>
      </c>
      <c r="M142" s="55" t="inlineStr">
        <is>
          <t>1=fish_proddif_2
2-4= fish_salesmain</t>
        </is>
      </c>
      <c r="N142" s="195" t="n"/>
      <c r="O142" s="63" t="inlineStr">
        <is>
          <t>if fish_proddif = 1, go to fish_proddif_2 ; 
if fish_proddif = 2-4, go to fish_salesmain OR optional question</t>
        </is>
      </c>
      <c r="P142" s="16" t="inlineStr">
        <is>
          <t>1=fish_proddif_2
2-4= fish_salesmain</t>
        </is>
      </c>
      <c r="Q142" s="9" t="n"/>
      <c r="R142" s="306">
        <f>#REF!</f>
        <v/>
      </c>
      <c r="S142" s="53" t="n"/>
      <c r="U142" s="150" t="inlineStr">
        <is>
          <t>yes</t>
        </is>
      </c>
      <c r="V142" s="613" t="n"/>
      <c r="Y142" s="631" t="n">
        <v>6.48249626159668</v>
      </c>
      <c r="Z142" s="631">
        <f>IF(Y142="","",Y142*R142)</f>
        <v/>
      </c>
      <c r="AA142" s="53" t="e">
        <v>#REF!</v>
      </c>
    </row>
    <row r="143" ht="397.5" customFormat="1" customHeight="1" s="59">
      <c r="A143" s="18">
        <f>A142+1</f>
        <v/>
      </c>
      <c r="B143" s="114" t="inlineStr">
        <is>
          <t>fish_proddif_2</t>
        </is>
      </c>
      <c r="C143" s="58" t="inlineStr">
        <is>
          <t>fish_proddif_
1) fish_proddif_find_fish
2) fish_proddif_pests
3) fish_proddif_access_area
4) fish_proddif_fuel
5) fish_proddif_input_access
6) fish_proddif_labour
7) fish_proddif_infrastructure
8) fish_proddif_damage_equip
9) fish_proddif_other
10) fish_proddif_dk
11) fish_proddif_ref</t>
        </is>
      </c>
      <c r="D143" s="138" t="inlineStr">
        <is>
          <t>Which difficulties has your household faced with fish catch / harvest / farming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is>
      </c>
      <c r="E143" s="179">
        <f>LEN(D143)</f>
        <v/>
      </c>
      <c r="F143" s="166" t="inlineStr">
        <is>
          <t>ما هي الصعوبات التي واجهتها أسرتك في صيد الأسماك و / أو حصادها أو تربيتها خلال الأشهر الثلاثة الماضية؟
[المُشغل: عدة استجابات محتملة. حدد الخيار [الخيارات] الأنسب للمعلومات المقدمة من المجيب.]
1) يصعب العثور على الأسماك مقارنة بالسنوات السابقة في نفس الموسم
2) الآفات و الامراض السمكية ( تربية الاحياء السمكية]
3) الوصول الي الاسماك أو مناطق تربية الاحياء المائية [ بسبب الطقس أو مشاكل امنية علي سبيل المثال]
4)الوصول الي الوقود [أسعار أعلى او غير متوفرة]
5) الوصول إلى مواد الصيد و- أو غيرها من المدخلات [أسعار أعلى أو غير متوفرة]
6) الوصول إلى العمالة أو طاقم العمل [أسعار أعلى أو غير متوفرة]
7) إتلاف أو تدمير البنية التحتية [الأحواض والأقفاص والموانئ ومواقع الإنزال]
8) إتلاف أو تدمير القوارب و المعدات
9) آخر 
10) لا أعرف
11) رفض الإجابة</t>
        </is>
      </c>
      <c r="G143" s="179">
        <f>LEN(F143)</f>
        <v/>
      </c>
      <c r="H143" s="58" t="inlineStr">
        <is>
          <t>Select All That Apply</t>
        </is>
      </c>
      <c r="I143" s="179" t="inlineStr">
        <is>
          <t>NA</t>
        </is>
      </c>
      <c r="J143" s="179" t="inlineStr">
        <is>
          <t>NA</t>
        </is>
      </c>
      <c r="K143" s="179" t="inlineStr">
        <is>
          <t>Form Type - Checklist
10,11 = IsNone</t>
        </is>
      </c>
      <c r="L143" s="100" t="inlineStr">
        <is>
          <t>1)fish_proddif_find_fish
2)fish_proddif_pests
3)fish_proddif_access_area
4)fish_proddif_fuel
5)fish_proddif_input_access
6)fish_proddif_labour
7)fish_proddif_infrastructure
8)fish_proddif_damage_equip
9)fish_proddif_other
10)fish_proddif_dk
11)fish_proddif_ref</t>
        </is>
      </c>
      <c r="M143" s="63" t="inlineStr">
        <is>
          <t>1-11 = fish_inputdif</t>
        </is>
      </c>
      <c r="N143" s="342" t="n"/>
      <c r="O143" s="63" t="inlineStr">
        <is>
          <t>If fish_proddif_2 = 1-11, go to fish_salesmain OR optional question</t>
        </is>
      </c>
      <c r="P143" s="21" t="inlineStr">
        <is>
          <t>5=  fish_inputdif
 1-4, 6-11 = fish_salesmain</t>
        </is>
      </c>
      <c r="Q143" s="9" t="n"/>
      <c r="R143" s="306">
        <f>#REF!</f>
        <v/>
      </c>
      <c r="S143" s="53" t="n"/>
      <c r="U143" s="150" t="inlineStr">
        <is>
          <t>yes</t>
        </is>
      </c>
      <c r="V143" s="613" t="n"/>
      <c r="Y143" s="631" t="n">
        <v>23.64215660095215</v>
      </c>
      <c r="Z143" s="631">
        <f>IF(Y143="","",Y143*R143)</f>
        <v/>
      </c>
      <c r="AA143" s="53" t="e">
        <v>#REF!</v>
      </c>
    </row>
    <row r="144" ht="294" customFormat="1" customHeight="1" s="59" thickBot="1">
      <c r="A144" s="18">
        <f>A143+1</f>
        <v/>
      </c>
      <c r="B144" s="567" t="inlineStr">
        <is>
          <t>fish_inputdif</t>
        </is>
      </c>
      <c r="C144" s="571" t="inlineStr">
        <is>
          <t>fish_inputdif_
1) fish_inputdif_bait_feed
2)fish_inputdif_fingerling
3) fish_inputdif_gear
4) fish_inputdif_ice
5) fish_inputdif_fuel
6) fish_inputdif_repairs
7) fish_inputdif_labour
8) fish_inputdif_other 
9)fish_inputdif_dk
10) fish_inputdif_ref</t>
        </is>
      </c>
      <c r="D144" s="488" t="inlineStr">
        <is>
          <t>Which fishing [culture] input material has your household had difficulties accessing in the last 3 months?
[OPERATOR: MULTIPLE RESPONSE POSSIBLE.]
1)Feed or bait
2)Fingerlings
3)Fishing gear [e.g. rods/ hooks/ nets]
4)Ice
5)Fuel
6)Equipment repairs [including boats] or spare parts
7)Labour
8)Other [specify]
9)DON'T KNOW
10)REFUSED</t>
        </is>
      </c>
      <c r="E144" s="569">
        <f>LEN(D144)</f>
        <v/>
      </c>
      <c r="F144" s="489" t="inlineStr">
        <is>
          <t>ما هي مواد الصيد أو المدخلات التي واجهت أسرتك صعوبة في الوصول إليها خلال الأشهر الثلاثة الماضية؟
[المُشغل: احتمال وجود عدة استجابات.]
1) العلف أو الطعم
2) الاسماك اليافعة [ صغار الاسماك ]
3)معدات الصيد [الشبك ، الخطاف ، القضبان علي سبيل المثال]
4) الجليد [الثلج]
5) الوقود
6) اصلاح المعدات بما فيها القوارب و قطع الغيار 
7) العمالة 
8) آخر [حدد]
9) لا أعرف
10) رفض الإجابة</t>
        </is>
      </c>
      <c r="G144" s="569">
        <f>LEN(F144)</f>
        <v/>
      </c>
      <c r="H144" s="571" t="inlineStr">
        <is>
          <t>Open Ended-Select All That Apply</t>
        </is>
      </c>
      <c r="I144" s="569" t="inlineStr">
        <is>
          <t>NA</t>
        </is>
      </c>
      <c r="J144" s="569" t="inlineStr">
        <is>
          <t>Send if "fish_proddif_2" "Contains" "Access to other fishing or culture inputs [prices higher or not available]" if not satisfied go to "fish_salesmain"</t>
        </is>
      </c>
      <c r="K144" s="569" t="inlineStr">
        <is>
          <t>Form Type - Checklist
9,10= IsNone</t>
        </is>
      </c>
      <c r="L144" s="24" t="inlineStr">
        <is>
          <t>1)fish_inputdif_bait_feed
2)fish_inputdif_fingerling
3)fish_inputdif_gear
4)fish_inputdif_ice
5)fish_inputdif_fuel
6)fish_inputdif_repairs
7)fish_inputdif_labour
8)fish_inputdif_otherspecify
9)fish_inputdif_dk
10) fish_inputdif_ref</t>
        </is>
      </c>
      <c r="M144" s="28" t="inlineStr">
        <is>
          <t>1-10 = fish_salesmain</t>
        </is>
      </c>
      <c r="N144" s="28" t="n"/>
      <c r="O144" s="28" t="inlineStr">
        <is>
          <t>Asked only to respondents that answered fish_proddif_2 = 4.
if fish_inputdif = 1-10, go to fish_salesmain</t>
        </is>
      </c>
      <c r="P144" s="28" t="inlineStr"/>
      <c r="Q144" s="490" t="n"/>
      <c r="R144" s="300">
        <f>#REF!</f>
        <v/>
      </c>
      <c r="S144" s="53" t="n"/>
      <c r="U144" s="61" t="inlineStr">
        <is>
          <t>no</t>
        </is>
      </c>
      <c r="V144" s="613" t="n"/>
      <c r="Y144" s="632" t="n">
        <v>19.20000076293945</v>
      </c>
      <c r="Z144" s="632">
        <f>IF(Y144="","",Y144*R144)</f>
        <v/>
      </c>
      <c r="AA144" s="53" t="inlineStr"/>
    </row>
    <row r="145" ht="16.4" customFormat="1" customHeight="1" s="149" thickBot="1">
      <c r="A145" s="604" t="inlineStr">
        <is>
          <t>F. FISHERIES MARKETING</t>
        </is>
      </c>
      <c r="B145" s="629" t="n"/>
      <c r="C145" s="629" t="n"/>
      <c r="D145" s="629" t="n"/>
      <c r="E145" s="629" t="n"/>
      <c r="F145" s="629" t="n"/>
      <c r="G145" s="629" t="n"/>
      <c r="H145" s="629" t="n"/>
      <c r="I145" s="629" t="n"/>
      <c r="J145" s="629" t="n"/>
      <c r="K145" s="629" t="n"/>
      <c r="L145" s="629" t="n"/>
      <c r="M145" s="629" t="n"/>
      <c r="N145" s="629" t="n"/>
      <c r="O145" s="629" t="n"/>
      <c r="P145" s="629" t="n"/>
      <c r="Q145" s="630" t="n"/>
      <c r="R145" s="306" t="n"/>
      <c r="S145" s="151" t="n"/>
      <c r="U145" s="150" t="n"/>
      <c r="V145" s="623" t="n"/>
      <c r="Y145" s="631" t="n"/>
      <c r="Z145" s="631">
        <f>IF(Y145="","",Y145*R145)</f>
        <v/>
      </c>
      <c r="AA145" s="151">
        <f>IF(U145="yes",Z145,"")</f>
        <v/>
      </c>
    </row>
    <row r="146" ht="222.75" customFormat="1" customHeight="1" s="59">
      <c r="A146" s="38">
        <f>A144+1</f>
        <v/>
      </c>
      <c r="B146" s="114" t="inlineStr">
        <is>
          <t>fish_salesmain</t>
        </is>
      </c>
      <c r="C146" s="58" t="inlineStr">
        <is>
          <t>fish_salesmain</t>
        </is>
      </c>
      <c r="D146" s="143" t="inlineStr">
        <is>
          <t>What was the main fish or aquatic product sold by your household in the last 3 months?
[OPERATOR: SINGLE RESPONSE.]
1)Fresh product [any kind/ including invertebrates]
2)Preserved product [including dry/ smoked/ fermented/ salted]
3)Frozen product
4)Canned product
5)Other [specify]
6)DON'T KNOW
7)REFUSED</t>
        </is>
      </c>
      <c r="E146" s="56">
        <f>LEN(D146)</f>
        <v/>
      </c>
      <c r="F146" s="305" t="inlineStr">
        <is>
          <t>ما هو السمك أو المنتج المائي الرئيسي الذي باعته أسرتك في الأشهر الثلاثة الماضية؟
[المشغل: استجابة واحدة.]
1) المنتج الطازج [أي نوع، بما في ذلك اللافقاريات]
2) المنتج المحفوظ [بما في ذلك الجاف، المدخن، المخمر، المملح]
3) المنتج المجمد
4) المنتج المعلب
5) آخر [حدد]
6) لا أعرف
7) رفض الإجابة</t>
        </is>
      </c>
      <c r="G146" s="56">
        <f>LEN(F146)</f>
        <v/>
      </c>
      <c r="H146" s="64" t="inlineStr">
        <is>
          <t>Open Ended-Single Choice</t>
        </is>
      </c>
      <c r="I146" s="56" t="inlineStr">
        <is>
          <t>NA</t>
        </is>
      </c>
      <c r="J146" s="56" t="inlineStr">
        <is>
          <t>Send if "income_main" "Equals" "Production and sale of fish or aquatic products" Or "income_sec" "Equals" "Production and sale of fish or aquatic products" Or "income_third" "Equals" "Production and sale of fish or aquatic products" if not satisfied go to "fies_intro"</t>
        </is>
      </c>
      <c r="K146" s="56" t="inlineStr">
        <is>
          <t>Form Type - RadioList
IsDemographic - fish_salesmain</t>
        </is>
      </c>
      <c r="L146" s="100" t="inlineStr">
        <is>
          <t>NA</t>
        </is>
      </c>
      <c r="M146" s="71" t="inlineStr">
        <is>
          <t>1-5 = fish_salesdif
6-7 = fies_intro</t>
        </is>
      </c>
      <c r="N146" s="348" t="n"/>
      <c r="O146" s="144" t="inlineStr">
        <is>
          <t>If either income_main or income_sec or income_third = "Production and sale of fish or aquatic products", then this section will be asked to respondents.
Otherwise, skip to fies.
if fish_salesmain = 1-5, go to fish_salesdif
if fish_salesmain = 6-7, go to fies</t>
        </is>
      </c>
      <c r="P146" s="32" t="inlineStr"/>
      <c r="Q146" s="8" t="n"/>
      <c r="R146" s="306">
        <f>#REF!</f>
        <v/>
      </c>
      <c r="S146" s="53" t="n"/>
      <c r="U146" s="150" t="inlineStr">
        <is>
          <t>yes</t>
        </is>
      </c>
      <c r="V146" s="613" t="n"/>
      <c r="Y146" s="631" t="n">
        <v>9.275494575500488</v>
      </c>
      <c r="Z146" s="631">
        <f>IF(Y146="","",Y146*R146)</f>
        <v/>
      </c>
      <c r="AA146" s="53" t="e">
        <v>#REF!</v>
      </c>
    </row>
    <row r="147" ht="173.25" customFormat="1" customHeight="1" s="59">
      <c r="A147" s="18">
        <f>A146+1</f>
        <v/>
      </c>
      <c r="B147" s="597" t="inlineStr">
        <is>
          <t>fish_salesdif</t>
        </is>
      </c>
      <c r="C147" s="179" t="inlineStr">
        <is>
          <t>fish_salesdif</t>
        </is>
      </c>
      <c r="D147" s="138" t="inlineStr">
        <is>
          <t>Has your household faced any significant difficulty marketing / selling your {fish_salesmain} in the last 3 months?
[OPERATOR: SINGLE RESPONSE]
1)YES
2)NO
3)DON'T KNOW
4)REFUSED</t>
        </is>
      </c>
      <c r="E147" s="179">
        <f>LEN(D147)</f>
        <v/>
      </c>
      <c r="F147" s="305" t="inlineStr">
        <is>
          <t>هل واجهت أسرتك أي صعوبة خلال الأشهر الثلاثة الماضية في بيع  و تسويق  {fish_salesmain}؟
[المشغل: استجابة واحدة]
1) نعم
2) لا
3) لا أعرف
4) رفض الإجابة</t>
        </is>
      </c>
      <c r="G147" s="179">
        <f>LEN(F147)</f>
        <v/>
      </c>
      <c r="H147" s="186" t="inlineStr">
        <is>
          <t>Single Choice</t>
        </is>
      </c>
      <c r="I147" s="179" t="inlineStr">
        <is>
          <t>NA</t>
        </is>
      </c>
      <c r="J147" s="179" t="inlineStr">
        <is>
          <t>NA</t>
        </is>
      </c>
      <c r="K147" s="179" t="inlineStr">
        <is>
          <t>Form Type - Buttons</t>
        </is>
      </c>
      <c r="L147" s="100" t="inlineStr">
        <is>
          <t>NA</t>
        </is>
      </c>
      <c r="M147" s="63" t="inlineStr">
        <is>
          <t>1 = fish_salesdif_2
2-4 = fish_salesprice</t>
        </is>
      </c>
      <c r="N147" s="343" t="n"/>
      <c r="O147" s="145" t="inlineStr">
        <is>
          <t>if fish_salesdif = 1, go to fish_salesdif_2 ;
if fish_salesdif = 2-4, go to fish_salesprice</t>
        </is>
      </c>
      <c r="P147" s="33" t="inlineStr"/>
      <c r="Q147" s="9" t="n"/>
      <c r="R147" s="306">
        <f>#REF!</f>
        <v/>
      </c>
      <c r="S147" s="53" t="n"/>
      <c r="U147" s="150" t="inlineStr">
        <is>
          <t>yes</t>
        </is>
      </c>
      <c r="V147" s="613" t="n"/>
      <c r="Y147" s="631" t="n">
        <v>6.415841579437256</v>
      </c>
      <c r="Z147" s="631">
        <f>IF(Y147="","",Y147*R147)</f>
        <v/>
      </c>
      <c r="AA147" s="53" t="e">
        <v>#REF!</v>
      </c>
    </row>
    <row r="148" ht="357.75" customFormat="1" customHeight="1" s="59">
      <c r="A148" s="18">
        <f>A147+1</f>
        <v/>
      </c>
      <c r="B148" s="182" t="inlineStr">
        <is>
          <t>fish_salesdif_2</t>
        </is>
      </c>
      <c r="C148" s="58" t="inlineStr">
        <is>
          <t>fish_saledif_
1) fish_saledif_marketing_cost
2) fish_saledif_damage_losses
3) fish_saledif_low_demand
4) fish_saledif_pay_delay
5) fish_saledif_low_prices
6) fish_saledif_processing
7) fish_saledif_competition
8) fish_saledif_other
9) fish_saledif_dk
10) fish_saledif_ref</t>
        </is>
      </c>
      <c r="D148" s="138" t="inlineStr">
        <is>
          <t>Which difficulties has your household faced in the last 3 months selling your {fish_salesmain}?
[OPERATOR: MULTIPLE RESPONSES POSSIBLE. SELECT OPTION(S) THAT BEST FIT THE INFORMATION PROVIDED BY THE RESPONDENTS.]
1)High transportation or other marketing costs
2)Deterioration and losses due to storage difficulties or delays or inability to physically access markets
3)Lack of demand from usual buyers/traders
4)Payment delays from traders/buyers 
5)Low selling prices [e.g. compared to input prices / inflation]
6)Difficulties processing product [lack of access to processing inputs / equipment / etc]
7)Market flooded with product
8)Other
9)DON'T KNOW
10)REFUSED</t>
        </is>
      </c>
      <c r="E148" s="179">
        <f>LEN(D148)</f>
        <v/>
      </c>
      <c r="F148" s="305" t="inlineStr">
        <is>
          <t>ما الصعوبات التي واجهتها أسرتك في الأشهر الثلاثة الماضية في بيع {fish_salesmain}؟
[المُشغل: عدة استجابات محتملة. حدد الخيار [الخيارات] الأنسب للمعلومات المقدمة من المجيب.]
1) ارتفاع تكاليف النقل أو تكاليف التسويق الأخرى
2) الأضرار والخسائر الناتجة عن صعوبات في التخزين أو التأخير أو عدم القدرة على الوصول  إلى الأسواق
3) قلة الطلب من التجار أو المشترين المعتادين
4) تأخر المدفوعات من التجار و المشترين 
5) أسعار بيع منخفضة [على سبيل المثال مقارنة بأسعار المدخلات / التضخم]
6) صعوبات في معالجة المنتج [تعثر الوصول إلى مدخلات المعالجة / المعدات / إلخ]
7)تشبع السوق بالمنتجات
8) آخر 
9) لا أعرف
10) رفض الإجابة</t>
        </is>
      </c>
      <c r="G148" s="179">
        <f>LEN(F148)</f>
        <v/>
      </c>
      <c r="H148" s="58" t="inlineStr">
        <is>
          <t>Select All That Apply</t>
        </is>
      </c>
      <c r="I148" s="179" t="inlineStr">
        <is>
          <t>NA</t>
        </is>
      </c>
      <c r="J148" s="179" t="inlineStr">
        <is>
          <t>NA</t>
        </is>
      </c>
      <c r="K148" s="179" t="inlineStr">
        <is>
          <t>Form Type - Checklist
9,10 = IsNone</t>
        </is>
      </c>
      <c r="L148" s="100" t="inlineStr">
        <is>
          <t>1)fish_saledif_marketing_cost
2)fish_saledif_damage_losses
3)fish_saledif_low_demand
4)fish_saledif_pay_delay
5)fish_saledif_low_prices
6)fish_saledif_processing
7)fish_saledif_competition
8)fish_saledif_other
9)fish_saledif_dk
10)fish_saledif_ref</t>
        </is>
      </c>
      <c r="M148" s="63" t="inlineStr">
        <is>
          <t>1-10 = fish_salesprice</t>
        </is>
      </c>
      <c r="N148" s="343" t="n"/>
      <c r="O148" s="137" t="inlineStr">
        <is>
          <t>if fish_salesdif = 1-10, go to fish_salesprice</t>
        </is>
      </c>
      <c r="P148" s="34" t="inlineStr"/>
      <c r="Q148" s="9" t="n"/>
      <c r="R148" s="306">
        <f>#REF!</f>
        <v/>
      </c>
      <c r="S148" s="53" t="n"/>
      <c r="U148" s="150" t="inlineStr">
        <is>
          <t>yes</t>
        </is>
      </c>
      <c r="V148" s="613" t="n"/>
      <c r="Y148" s="631" t="n">
        <v>20.53435134887695</v>
      </c>
      <c r="Z148" s="631">
        <f>IF(Y148="","",Y148*R148)</f>
        <v/>
      </c>
      <c r="AA148" s="53" t="e">
        <v>#REF!</v>
      </c>
    </row>
    <row r="149" ht="255" customFormat="1" customHeight="1" s="59" thickBot="1">
      <c r="A149" s="41">
        <f>A148+1</f>
        <v/>
      </c>
      <c r="B149" s="115" t="inlineStr">
        <is>
          <t>fish_salesprice</t>
        </is>
      </c>
      <c r="C149" s="566" t="inlineStr">
        <is>
          <t>fish_salesprice</t>
        </is>
      </c>
      <c r="D149" s="138" t="inlineStr">
        <is>
          <t>How does the current price of your household's {fish_salesmain} sold compare to the average price in the same period/harvest of  last year? 
[OPERATOR: SINGLE RESPONSE. INSIST ON THE MAIN PRODUCT MENTIONED.]
1)A lot more [increased by more than 50%]
2)Slightly more
3)Same
4)Slightly less
5)A lot less [less than half as much]
6)DON'T KNOW
7)REFUSED</t>
        </is>
      </c>
      <c r="E149" s="50">
        <f>LEN(D149)</f>
        <v/>
      </c>
      <c r="F149" s="169" t="inlineStr">
        <is>
          <t>كيف تقارن السعر الحالي لبيع  {fish_salesmain}  لأسرتك بمتوسط ​​السعر في نفس الفترة من العام الماضي؟
[المشغل: استجابة واحدة. قم بالإصرار على المنتج الرئيسي المذكور.]
1) أكثر بكثير [زادت بنسبة تزيد عن 50٪]
2) أكثر قليلا
3) نفس الشيء
4) أقل قليلاً
5) أقل بكثير [أقل من نصف الكمية]
6) لا أعرف
7) رفض الإجابة</t>
        </is>
      </c>
      <c r="G149" s="50">
        <f>LEN(F149)</f>
        <v/>
      </c>
      <c r="H149" s="136" t="inlineStr">
        <is>
          <t>Single Choice</t>
        </is>
      </c>
      <c r="I149" s="50" t="inlineStr">
        <is>
          <t>NA</t>
        </is>
      </c>
      <c r="J149" s="50" t="inlineStr">
        <is>
          <t>NA</t>
        </is>
      </c>
      <c r="K149" s="50" t="inlineStr">
        <is>
          <t>Form Type - Buttons</t>
        </is>
      </c>
      <c r="L149" s="100" t="inlineStr">
        <is>
          <t>NA</t>
        </is>
      </c>
      <c r="M149" s="137" t="inlineStr">
        <is>
          <t>1-7 = fies_intro</t>
        </is>
      </c>
      <c r="N149" s="343" t="n"/>
      <c r="O149" s="137" t="inlineStr">
        <is>
          <t>if fish_salesprice = 1-7, go to fies</t>
        </is>
      </c>
      <c r="P149" s="34" t="inlineStr"/>
      <c r="Q149" s="9" t="n"/>
      <c r="R149" s="306">
        <f>#REF!</f>
        <v/>
      </c>
      <c r="S149" s="53" t="n"/>
      <c r="U149" s="150" t="inlineStr">
        <is>
          <t>yes</t>
        </is>
      </c>
      <c r="V149" s="613" t="n"/>
      <c r="Y149" s="631" t="n">
        <v>8.306930541992188</v>
      </c>
      <c r="Z149" s="631">
        <f>IF(Y149="","",Y149*R149)</f>
        <v/>
      </c>
      <c r="AA149" s="53" t="e">
        <v>#REF!</v>
      </c>
    </row>
    <row r="150" ht="16.4" customFormat="1" customHeight="1" s="149" thickBot="1">
      <c r="A150" s="604" t="inlineStr">
        <is>
          <t>G. FOOD SECURITY AND CONSUMPTION</t>
        </is>
      </c>
      <c r="B150" s="629" t="n"/>
      <c r="C150" s="629" t="n"/>
      <c r="D150" s="629" t="n"/>
      <c r="E150" s="629" t="n"/>
      <c r="F150" s="629" t="n"/>
      <c r="G150" s="629" t="n"/>
      <c r="H150" s="629" t="n"/>
      <c r="I150" s="629" t="n"/>
      <c r="J150" s="629" t="n"/>
      <c r="K150" s="629" t="n"/>
      <c r="L150" s="629" t="n"/>
      <c r="M150" s="629" t="n"/>
      <c r="N150" s="629" t="n"/>
      <c r="O150" s="629" t="n"/>
      <c r="P150" s="629" t="n"/>
      <c r="Q150" s="630" t="n"/>
      <c r="R150" s="306" t="n"/>
      <c r="S150" s="151" t="n"/>
      <c r="U150" s="150" t="n"/>
      <c r="V150" s="623" t="n"/>
      <c r="Y150" s="631" t="n"/>
      <c r="Z150" s="631">
        <f>IF(Y150="","",Y150*R150)</f>
        <v/>
      </c>
      <c r="AA150" s="151">
        <f>IF(U150="yes",Z150,"")</f>
        <v/>
      </c>
    </row>
    <row r="151" ht="184.5" customFormat="1" customHeight="1" s="59">
      <c r="A151" s="38">
        <f>A149+1</f>
        <v/>
      </c>
      <c r="B151" s="114" t="inlineStr">
        <is>
          <t>fies_intro</t>
        </is>
      </c>
      <c r="C151" s="116" t="inlineStr">
        <is>
          <t>fies_intro</t>
        </is>
      </c>
      <c r="D151" s="57" t="inlineStr">
        <is>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is>
      </c>
      <c r="E151" s="56">
        <f>LEN(D151)</f>
        <v/>
      </c>
      <c r="F151" s="166" t="inlineStr">
        <is>
          <t>الآن أود أن أطرح عليك بعض الأسئلة حول استهلاك الغذاء ، واستخدام الغذاء و استراتيجيات المواجهة. تأكد من الرجوع إلى الفترة الزمنية الصحيحة لكل مجموعة من الأسئلة. تشير المجموعة الأولى من الأسئلة إلى التجارب التي واجهتها أنت أو أي فرد من أفراد أسرتك خلال الثلاثين يومًا الماضية.
[المشغل: استجابة واحدة]
1) التالي</t>
        </is>
      </c>
      <c r="G151" s="56">
        <f>LEN(F151)</f>
        <v/>
      </c>
      <c r="H151" s="64" t="inlineStr">
        <is>
          <t>Single Choice</t>
        </is>
      </c>
      <c r="I151" s="56" t="inlineStr">
        <is>
          <t>NA</t>
        </is>
      </c>
      <c r="J151" s="56" t="inlineStr">
        <is>
          <t>NA</t>
        </is>
      </c>
      <c r="K151" s="56" t="inlineStr">
        <is>
          <t>Form Type - Buttons</t>
        </is>
      </c>
      <c r="L151" s="100" t="inlineStr">
        <is>
          <t>NA</t>
        </is>
      </c>
      <c r="M151" s="55" t="inlineStr">
        <is>
          <t>1 = fies_worried</t>
        </is>
      </c>
      <c r="N151" s="195" t="n"/>
      <c r="O151" s="55" t="inlineStr">
        <is>
          <t>if fies = 1, go to fies_worried</t>
        </is>
      </c>
      <c r="P151" s="30" t="inlineStr"/>
      <c r="Q151" s="134" t="inlineStr">
        <is>
          <t>Check if the ESS team has an official translation.</t>
        </is>
      </c>
      <c r="R151" s="306" t="n">
        <v>1</v>
      </c>
      <c r="S151" s="53" t="n"/>
      <c r="U151" s="150" t="inlineStr">
        <is>
          <t>yes</t>
        </is>
      </c>
      <c r="V151" s="613" t="n"/>
      <c r="Y151" s="631" t="n">
        <v>8.088166236877441</v>
      </c>
      <c r="Z151" s="631">
        <f>IF(Y151="","",Y151*R151)</f>
        <v/>
      </c>
      <c r="AA151" s="53" t="inlineStr">
        <is>
          <t>8.088166236877441</t>
        </is>
      </c>
    </row>
    <row r="152" ht="206.25" customFormat="1" customHeight="1" s="59">
      <c r="A152" s="18">
        <f>A151+1</f>
        <v/>
      </c>
      <c r="B152" s="182" t="inlineStr">
        <is>
          <t>fies_worried</t>
        </is>
      </c>
      <c r="C152" s="58" t="inlineStr">
        <is>
          <t>fies_worried</t>
        </is>
      </c>
      <c r="D152" s="559" t="inlineStr">
        <is>
          <t>During the last 30 days, was there a time when you or others in your household were worried about not having enough food to eat because of lack of money or other resources?
[OPERATOR: SINGLE RESPONSE]
1)YES
2)NO
3)DON'T KNOW
4)REFUSED</t>
        </is>
      </c>
      <c r="E152" s="179">
        <f>LEN(D152)</f>
        <v/>
      </c>
      <c r="F152" s="559" t="inlineStr">
        <is>
          <t>خلال الثلاثين يومًا الماضية ، هل حدث أن كنت أنت أو الآخرين في اسرتك قلقين بأنه لن يتوفر لكم الطعام الكافي لتأكلوا بسبب نقص النقود أو المصادر الأخرى؟
[المشغل: استجابة واحدة]
1) نعم
2) لا
3) لا أعرف
4) رفض الإجابة</t>
        </is>
      </c>
      <c r="G152" s="179">
        <f>LEN(F152)</f>
        <v/>
      </c>
      <c r="H152" s="186" t="inlineStr">
        <is>
          <t>Single Choice</t>
        </is>
      </c>
      <c r="I152" s="179" t="inlineStr">
        <is>
          <t>NA</t>
        </is>
      </c>
      <c r="J152" s="179" t="inlineStr">
        <is>
          <t>NA</t>
        </is>
      </c>
      <c r="K152" s="179" t="inlineStr">
        <is>
          <t>Form Type - Buttons</t>
        </is>
      </c>
      <c r="L152" s="100" t="inlineStr">
        <is>
          <t>NA</t>
        </is>
      </c>
      <c r="M152" s="63" t="inlineStr">
        <is>
          <t>1-4 = fies_healthy</t>
        </is>
      </c>
      <c r="N152" s="342" t="n"/>
      <c r="O152" s="70" t="inlineStr">
        <is>
          <t>if fies_worried = 1-4, go to fies_healthy</t>
        </is>
      </c>
      <c r="P152" s="35" t="inlineStr"/>
      <c r="Q152" s="9" t="n"/>
      <c r="R152" s="306" t="n">
        <v>1</v>
      </c>
      <c r="S152" s="53" t="n"/>
      <c r="U152" s="150" t="inlineStr">
        <is>
          <t>yes</t>
        </is>
      </c>
      <c r="V152" s="613" t="n"/>
      <c r="Y152" s="631" t="n">
        <v>20.22456741333008</v>
      </c>
      <c r="Z152" s="631">
        <f>IF(Y152="","",Y152*R152)</f>
        <v/>
      </c>
      <c r="AA152" s="53" t="inlineStr">
        <is>
          <t>20.22456741333008</t>
        </is>
      </c>
    </row>
    <row r="153" ht="156" customFormat="1" customHeight="1" s="59">
      <c r="A153" s="18">
        <f>A152+1</f>
        <v/>
      </c>
      <c r="B153" s="182" t="inlineStr">
        <is>
          <t>fies_healthy</t>
        </is>
      </c>
      <c r="C153" s="58" t="inlineStr">
        <is>
          <t>fies_healthy</t>
        </is>
      </c>
      <c r="D153" s="559" t="inlineStr">
        <is>
          <t>During the last 30 days, was there a time when you or others in your household were unable to eat healthy and nutritious food because of lack of money or other resources?
[OPERATOR: SINGLE RESPONSE]
1)YES
2)NO
3)DON'T KNOW
4)REFUSED</t>
        </is>
      </c>
      <c r="E153" s="179">
        <f>LEN(D153)</f>
        <v/>
      </c>
      <c r="F153" s="559" t="inlineStr">
        <is>
          <t>خلال الثلاثين يومًا الماضية ، هل حدث أن لم يكن باستطاعتك أنت أو الآخرين في اسرتك أكل طعام صحي ومغذي بسبب نقص النقود أو المصادر الأخرى؟
[المشغل: استجابة واحدة]
1) نعم
2) لا
3) لا أعرف
4) رفض الإجابة</t>
        </is>
      </c>
      <c r="G153" s="179">
        <f>LEN(F153)</f>
        <v/>
      </c>
      <c r="H153" s="186" t="inlineStr">
        <is>
          <t>Single Choice</t>
        </is>
      </c>
      <c r="I153" s="179" t="inlineStr">
        <is>
          <t>NA</t>
        </is>
      </c>
      <c r="J153" s="179" t="inlineStr">
        <is>
          <t>NA</t>
        </is>
      </c>
      <c r="K153" s="179" t="inlineStr">
        <is>
          <t>Form Type - Buttons</t>
        </is>
      </c>
      <c r="L153" s="100" t="inlineStr">
        <is>
          <t>NA</t>
        </is>
      </c>
      <c r="M153" s="63" t="inlineStr">
        <is>
          <t>1-4 = fies_fewfoods</t>
        </is>
      </c>
      <c r="N153" s="342" t="n"/>
      <c r="O153" s="70" t="inlineStr">
        <is>
          <t>if fies_healthy = 1-4, go to fies_fewfoods</t>
        </is>
      </c>
      <c r="P153" s="35" t="inlineStr"/>
      <c r="Q153" s="9" t="n"/>
      <c r="R153" s="306" t="n">
        <v>1</v>
      </c>
      <c r="S153" s="53" t="n"/>
      <c r="U153" s="150" t="inlineStr">
        <is>
          <t>yes</t>
        </is>
      </c>
      <c r="V153" s="613" t="n"/>
      <c r="Y153" s="631" t="n">
        <v>14.02606105804443</v>
      </c>
      <c r="Z153" s="631">
        <f>IF(Y153="","",Y153*R153)</f>
        <v/>
      </c>
      <c r="AA153" s="53" t="inlineStr">
        <is>
          <t>14.02606105804443</t>
        </is>
      </c>
    </row>
    <row r="154" ht="156" customFormat="1" customHeight="1" s="59">
      <c r="A154" s="18">
        <f>A153+1</f>
        <v/>
      </c>
      <c r="B154" s="182" t="inlineStr">
        <is>
          <t>fies_fewfoods</t>
        </is>
      </c>
      <c r="C154" s="58" t="inlineStr">
        <is>
          <t>fies_fewfoods</t>
        </is>
      </c>
      <c r="D154" s="559" t="inlineStr">
        <is>
          <t>During the last 30 days, was there a time when you or others in your household ate only a few kinds of foods because of lack of money or other resources?
[OPERATOR: SINGLE RESPONSE]
1)YES
2)NO
3)DON'T KNOW
4)REFUSED</t>
        </is>
      </c>
      <c r="E154" s="179">
        <f>LEN(D154)</f>
        <v/>
      </c>
      <c r="F154" s="559" t="inlineStr">
        <is>
          <t>خلال الثلاثين يومًا الماضية ، هل حدث أن أنت أو الآخرين في اسرتك أكلتم أنواعاً قليلةً من الأطعمة بسبب نقص النقود أو المصادر الأخرى ؟ 
[المشغل: استجابة واحدة]
1) نعم
2) لا
3) لا أعرف
4) رفض الإجابة</t>
        </is>
      </c>
      <c r="G154" s="179">
        <f>LEN(F154)</f>
        <v/>
      </c>
      <c r="H154" s="186" t="inlineStr">
        <is>
          <t>Single Choice</t>
        </is>
      </c>
      <c r="I154" s="179" t="inlineStr">
        <is>
          <t>NA</t>
        </is>
      </c>
      <c r="J154" s="179" t="inlineStr">
        <is>
          <t>NA</t>
        </is>
      </c>
      <c r="K154" s="179" t="inlineStr">
        <is>
          <t>Form Type - Buttons</t>
        </is>
      </c>
      <c r="L154" s="100" t="inlineStr">
        <is>
          <t>NA</t>
        </is>
      </c>
      <c r="M154" s="63" t="inlineStr">
        <is>
          <t>1-4 = fies_skipped</t>
        </is>
      </c>
      <c r="N154" s="342" t="n"/>
      <c r="O154" s="70" t="inlineStr">
        <is>
          <t>if fies_fewfoods = 1-4, go to fies_skipped</t>
        </is>
      </c>
      <c r="P154" s="35" t="inlineStr"/>
      <c r="Q154" s="9" t="n"/>
      <c r="R154" s="306" t="n">
        <v>1</v>
      </c>
      <c r="S154" s="53" t="n"/>
      <c r="U154" s="150" t="inlineStr">
        <is>
          <t>yes</t>
        </is>
      </c>
      <c r="V154" s="613" t="n"/>
      <c r="Y154" s="631" t="n">
        <v>11.55850505828857</v>
      </c>
      <c r="Z154" s="631">
        <f>IF(Y154="","",Y154*R154)</f>
        <v/>
      </c>
      <c r="AA154" s="53" t="inlineStr">
        <is>
          <t>11.55850505828857</t>
        </is>
      </c>
    </row>
    <row r="155" ht="156" customFormat="1" customHeight="1" s="59">
      <c r="A155" s="18">
        <f>A154+1</f>
        <v/>
      </c>
      <c r="B155" s="182" t="inlineStr">
        <is>
          <t>fies_skipped</t>
        </is>
      </c>
      <c r="C155" s="58" t="inlineStr">
        <is>
          <t>fies_skipped</t>
        </is>
      </c>
      <c r="D155" s="559" t="inlineStr">
        <is>
          <t>During the last 30 days, was there a time when you or others in your household had to skip a meal because of lack of money or other resources to get food?
[OPERATOR: SINGLE RESPONSE]
1)YES
2)NO
3)DON'T KNOW
4)REFUSED</t>
        </is>
      </c>
      <c r="E155" s="179">
        <f>LEN(D155)</f>
        <v/>
      </c>
      <c r="F155" s="559" t="inlineStr">
        <is>
          <t>خلال الثلاثين يومًا الماضية ، هل كان عليك أنت أو الآخرين في اسرتك أن تتخلوا عن وجبة طعام بسبب نقص النقود أو المصادر الأخرى للحصول على الطعام ؟
[المشغل: استجابة واحدة]
1) نعم
2) لا
3) لا أعرف
4) رفض الإجابة</t>
        </is>
      </c>
      <c r="G155" s="179">
        <f>LEN(F155)</f>
        <v/>
      </c>
      <c r="H155" s="186" t="inlineStr">
        <is>
          <t>Single Choice</t>
        </is>
      </c>
      <c r="I155" s="179" t="inlineStr">
        <is>
          <t>NA</t>
        </is>
      </c>
      <c r="J155" s="179" t="inlineStr">
        <is>
          <t>NA</t>
        </is>
      </c>
      <c r="K155" s="179" t="inlineStr">
        <is>
          <t>Form Type - Buttons</t>
        </is>
      </c>
      <c r="L155" s="100" t="inlineStr">
        <is>
          <t>NA</t>
        </is>
      </c>
      <c r="M155" s="63" t="inlineStr">
        <is>
          <t>1-4 = fies_ateless</t>
        </is>
      </c>
      <c r="N155" s="342" t="n"/>
      <c r="O155" s="63" t="inlineStr">
        <is>
          <t>if fies_skipped = 1-4, go to fies_ateless</t>
        </is>
      </c>
      <c r="P155" s="28" t="inlineStr"/>
      <c r="Q155" s="9" t="n"/>
      <c r="R155" s="306" t="n">
        <v>1</v>
      </c>
      <c r="S155" s="53" t="n"/>
      <c r="U155" s="150" t="inlineStr">
        <is>
          <t>yes</t>
        </is>
      </c>
      <c r="V155" s="613" t="n"/>
      <c r="Y155" s="631" t="n">
        <v>11.37925720214844</v>
      </c>
      <c r="Z155" s="631">
        <f>IF(Y155="","",Y155*R155)</f>
        <v/>
      </c>
      <c r="AA155" s="53" t="inlineStr">
        <is>
          <t>11.37925720214844</t>
        </is>
      </c>
    </row>
    <row r="156" ht="156" customFormat="1" customHeight="1" s="59">
      <c r="A156" s="18">
        <f>A155+1</f>
        <v/>
      </c>
      <c r="B156" s="182" t="inlineStr">
        <is>
          <t>fies_ateless</t>
        </is>
      </c>
      <c r="C156" s="58" t="inlineStr">
        <is>
          <t>fies_ateless</t>
        </is>
      </c>
      <c r="D156" s="559" t="inlineStr">
        <is>
          <t>During the last 30 days, was there a time when you or others in your household ate less than you thought you should because of lack of money or other resources?
[OPERATOR: SINGLE RESPONSE]
1)YES
2)NO
3)DON'T KNOW
4)REFUSED</t>
        </is>
      </c>
      <c r="E156" s="179">
        <f>LEN(D156)</f>
        <v/>
      </c>
      <c r="F156" s="559" t="inlineStr">
        <is>
          <t>خلال الثلاثين يومًا الماضية ، هل حدث أن أكلت أنت أو الآخرين في اسرتك أقل مما اعتقدت أنكم يجب أن تأكلوا بسبب نقص النقود أو المصادر الأخرى؟ 
[المشغل: استجابة واحدة]
1) نعم
2) لا
3) لا أعرف
4) رفض الإجابة</t>
        </is>
      </c>
      <c r="G156" s="179">
        <f>LEN(F156)</f>
        <v/>
      </c>
      <c r="H156" s="186" t="inlineStr">
        <is>
          <t>Single Choice</t>
        </is>
      </c>
      <c r="I156" s="179" t="inlineStr">
        <is>
          <t>NA</t>
        </is>
      </c>
      <c r="J156" s="179" t="inlineStr">
        <is>
          <t>NA</t>
        </is>
      </c>
      <c r="K156" s="179" t="inlineStr">
        <is>
          <t>Form Type - Buttons</t>
        </is>
      </c>
      <c r="L156" s="100" t="inlineStr">
        <is>
          <t>NA</t>
        </is>
      </c>
      <c r="M156" s="63" t="inlineStr">
        <is>
          <t>1-4 = fies_ranout</t>
        </is>
      </c>
      <c r="N156" s="342" t="n"/>
      <c r="O156" s="63" t="inlineStr">
        <is>
          <t>if fies_ateless = 1-4, go to fies_ranout</t>
        </is>
      </c>
      <c r="P156" s="28" t="inlineStr"/>
      <c r="Q156" s="9" t="n"/>
      <c r="R156" s="306" t="n">
        <v>1</v>
      </c>
      <c r="S156" s="53" t="n"/>
      <c r="U156" s="150" t="inlineStr">
        <is>
          <t>yes</t>
        </is>
      </c>
      <c r="V156" s="613" t="n"/>
      <c r="Y156" s="631" t="n">
        <v>10.44321727752686</v>
      </c>
      <c r="Z156" s="631">
        <f>IF(Y156="","",Y156*R156)</f>
        <v/>
      </c>
      <c r="AA156" s="53" t="inlineStr">
        <is>
          <t>10.44321727752686</t>
        </is>
      </c>
    </row>
    <row r="157" ht="159" customFormat="1" customHeight="1" s="59">
      <c r="A157" s="18">
        <f>A156+1</f>
        <v/>
      </c>
      <c r="B157" s="182" t="inlineStr">
        <is>
          <t>fies_ranout</t>
        </is>
      </c>
      <c r="C157" s="183" t="inlineStr">
        <is>
          <t>fies_ranout</t>
        </is>
      </c>
      <c r="D157" s="143" t="inlineStr">
        <is>
          <t>In the past 30 days, was there ever no food to eat of any kind in your house because of lack of resources to get food?
[OPERATOR: SINGLE RESPONSE]
1)YES
2)NO
3)DON'T KNOW
4)REFUSED</t>
        </is>
      </c>
      <c r="E157" s="179">
        <f>LEN(D157)</f>
        <v/>
      </c>
      <c r="F157" s="143" t="inlineStr">
        <is>
          <t>خلال الثلاثين يومًا الماضية ، هل حدث أن لم يكن هنالك أي طعام لتأكله من أي نوع في منزلك  (نفد الطعام في منزلك) بسبب نقص الموارد للحصول على الطعام؟ 
[المشغل: استجابة واحدة]
1) نعم
2) لا
3) لا أعرف
4) رفض الإجابة</t>
        </is>
      </c>
      <c r="G157" s="179">
        <f>LEN(F157)</f>
        <v/>
      </c>
      <c r="H157" s="186" t="inlineStr">
        <is>
          <t>Single Choice</t>
        </is>
      </c>
      <c r="I157" s="179" t="inlineStr">
        <is>
          <t>NA</t>
        </is>
      </c>
      <c r="J157" s="179" t="inlineStr">
        <is>
          <t>NA</t>
        </is>
      </c>
      <c r="K157" s="179" t="inlineStr">
        <is>
          <t>Form Type - Buttons</t>
        </is>
      </c>
      <c r="L157" s="100" t="inlineStr">
        <is>
          <t>NA</t>
        </is>
      </c>
      <c r="M157" s="63" t="inlineStr">
        <is>
          <t>1=fies_ranout_hhs
2-4 = fies_hungry</t>
        </is>
      </c>
      <c r="N157" s="342" t="n"/>
      <c r="O157" s="70" t="inlineStr">
        <is>
          <t>if fies_ranout = 1, go to fies_ranout_hhs. Otherwise, go to fies_hungry</t>
        </is>
      </c>
      <c r="P157" s="35" t="inlineStr"/>
      <c r="Q157" s="9" t="n"/>
      <c r="R157" s="306" t="n">
        <v>1</v>
      </c>
      <c r="S157" s="53" t="n"/>
      <c r="U157" s="150" t="inlineStr">
        <is>
          <t>yes</t>
        </is>
      </c>
      <c r="V157" s="613" t="n"/>
      <c r="Y157" s="631" t="n">
        <v>10.73201084136963</v>
      </c>
      <c r="Z157" s="631">
        <f>IF(Y157="","",Y157*R157)</f>
        <v/>
      </c>
      <c r="AA157" s="53" t="inlineStr">
        <is>
          <t>10.73201084136963</t>
        </is>
      </c>
    </row>
    <row r="158" ht="152.25" customFormat="1" customHeight="1" s="129">
      <c r="A158" s="18">
        <f>A157+1</f>
        <v/>
      </c>
      <c r="B158" s="182" t="inlineStr">
        <is>
          <t>fies_ranout_hhs</t>
        </is>
      </c>
      <c r="C158" s="183" t="inlineStr">
        <is>
          <t>fies_ranout_hhs</t>
        </is>
      </c>
      <c r="D158" s="192" t="inlineStr">
        <is>
          <t>How often did this happen?
[OPERATOR: SINGLE RESPONSE]
1)Rarely [1-2 times in the past 30 days]
2)Sometimes [3-10 times in the past 30 days]
3)Often [more than 10 times in the last 30 days]
4)DON'T KNOW
5)REFUSED</t>
        </is>
      </c>
      <c r="E158" s="179">
        <f>LEN(D158)</f>
        <v/>
      </c>
      <c r="F158" s="192" t="inlineStr">
        <is>
          <t>كم مرة حدث ذلك؟
[المشغل: استجابة واحدة]
1) نادرًا [مرة إلى مرتين في الثلاثين يومًا الماضية]
2) في بعض الأحيان [3-10 مرات في الثلاثين يومًا الماضية]
3) في كثير من الأحيان [أكثر من 10 مرات في آخر 30 يومًا]
4) لا أعرف
5) رفض الإجابة</t>
        </is>
      </c>
      <c r="G158" s="179">
        <f>LEN(F158)</f>
        <v/>
      </c>
      <c r="H158" s="186" t="inlineStr">
        <is>
          <t>Single Choice</t>
        </is>
      </c>
      <c r="I158" s="179" t="inlineStr">
        <is>
          <t>NA</t>
        </is>
      </c>
      <c r="J158" s="179" t="inlineStr">
        <is>
          <t>NA</t>
        </is>
      </c>
      <c r="K158" s="179" t="inlineStr">
        <is>
          <t>Form Type - Buttons</t>
        </is>
      </c>
      <c r="L158" s="100" t="inlineStr">
        <is>
          <t>NA</t>
        </is>
      </c>
      <c r="M158" s="63" t="inlineStr">
        <is>
          <t>1-5 = fies_hungry</t>
        </is>
      </c>
      <c r="N158" s="342" t="n"/>
      <c r="O158" s="63" t="inlineStr">
        <is>
          <t>if fies_ranout_hhs = 1-5, go to fies_hungry</t>
        </is>
      </c>
      <c r="P158" s="28" t="inlineStr"/>
      <c r="Q158" s="9" t="n"/>
      <c r="R158" s="306" t="n">
        <v>1</v>
      </c>
      <c r="S158" s="53" t="n"/>
      <c r="U158" s="150" t="inlineStr">
        <is>
          <t>yes</t>
        </is>
      </c>
      <c r="V158" s="613" t="n"/>
      <c r="Y158" s="631" t="n">
        <v>11.58613967895508</v>
      </c>
      <c r="Z158" s="631">
        <f>IF(Y158="","",Y158*R158)</f>
        <v/>
      </c>
      <c r="AA158" s="53" t="inlineStr">
        <is>
          <t>11.58613967895508</t>
        </is>
      </c>
    </row>
    <row r="159" ht="174" customFormat="1" customHeight="1" s="59">
      <c r="A159" s="18">
        <f>A158+1</f>
        <v/>
      </c>
      <c r="B159" s="182" t="inlineStr">
        <is>
          <t>fies_hungry</t>
        </is>
      </c>
      <c r="C159" s="58" t="inlineStr">
        <is>
          <t>fies_hungry</t>
        </is>
      </c>
      <c r="D159" s="143" t="inlineStr">
        <is>
          <t>In the past 30 days, did you or any household member ever go to sleep at night hungry because there was not enough food?
[OPERATOR: SINGLE RESPONSE]
1)YES
2)NO
3)DON'T KNOW
4)REFUSED</t>
        </is>
      </c>
      <c r="E159" s="179">
        <f>LEN(D159)</f>
        <v/>
      </c>
      <c r="F159" s="143" t="inlineStr">
        <is>
          <t>خلال الثلاثين يومًا الماضية ، هل سبق لك أو لأي فرد من أفراد أسرتك أن تنام ليلاً وأنت جائعاً بسبب عدم وجود ما يكفي من الطعام؟ 
[المشغل: استجابة واحدة]
1) نعم
2) لا
3) لا أعرف
4) رفض الإجابة</t>
        </is>
      </c>
      <c r="G159" s="179">
        <f>LEN(F159)</f>
        <v/>
      </c>
      <c r="H159" s="186" t="inlineStr">
        <is>
          <t>Single Choice</t>
        </is>
      </c>
      <c r="I159" s="179" t="inlineStr">
        <is>
          <t>NA</t>
        </is>
      </c>
      <c r="J159" s="179" t="inlineStr">
        <is>
          <t>NA</t>
        </is>
      </c>
      <c r="K159" s="179" t="inlineStr">
        <is>
          <t>Form Type - Buttons</t>
        </is>
      </c>
      <c r="L159" s="100" t="inlineStr">
        <is>
          <t>NA</t>
        </is>
      </c>
      <c r="M159" s="63" t="inlineStr">
        <is>
          <t>1=fies_hungry_hhs
2-4 = fies_whlday</t>
        </is>
      </c>
      <c r="N159" s="342" t="n"/>
      <c r="O159" s="70" t="inlineStr">
        <is>
          <t>if fies_hungry = 1, go to fies_hungry_hhs. Otherwise, go to fies_whlday</t>
        </is>
      </c>
      <c r="P159" s="35" t="inlineStr"/>
      <c r="Q159" s="9" t="n"/>
      <c r="R159" s="306" t="n">
        <v>1</v>
      </c>
      <c r="S159" s="53" t="n"/>
      <c r="U159" s="150" t="inlineStr">
        <is>
          <t>yes</t>
        </is>
      </c>
      <c r="V159" s="613" t="n"/>
      <c r="Y159" s="631" t="n">
        <v>9.75520133972168</v>
      </c>
      <c r="Z159" s="631">
        <f>IF(Y159="","",Y159*R159)</f>
        <v/>
      </c>
      <c r="AA159" s="53" t="inlineStr">
        <is>
          <t>9.75520133972168</t>
        </is>
      </c>
    </row>
    <row r="160" ht="177" customFormat="1" customHeight="1" s="59">
      <c r="A160" s="18">
        <f>A159+1</f>
        <v/>
      </c>
      <c r="B160" s="182" t="inlineStr">
        <is>
          <t>fies_hungry_hhs</t>
        </is>
      </c>
      <c r="C160" s="183" t="inlineStr">
        <is>
          <t>fies_hungry_hhs</t>
        </is>
      </c>
      <c r="D160" s="192" t="inlineStr">
        <is>
          <t>How often did this happen?
[OPERATOR: SINGLE RESPONSE]
1)Rarely [1-2 times in the past 30 days]
2)Sometimes [3-10 times in the past 30 days]
3)Often [more than 10 times in the last 30 days]
4)DON'T KNOW
5)REFUSED</t>
        </is>
      </c>
      <c r="E160" s="179">
        <f>LEN(D160)</f>
        <v/>
      </c>
      <c r="F160" s="192" t="inlineStr">
        <is>
          <t>كم مرة حدث ذلك؟
[المشغل: استجابة واحدة]
1) نادرًا [مرة إلى مرتين في الثلاثين يومًا الماضية]
2) في بعض الأحيان [3-10 مرات في الثلاثين يومًا الماضية]
3) في كثير من الأحيان [أكثر من 10 مرات في آخر 30 يومًا]
4) لا أعرف
5) رفض الإجابة</t>
        </is>
      </c>
      <c r="G160" s="179">
        <f>LEN(F160)</f>
        <v/>
      </c>
      <c r="H160" s="186" t="inlineStr">
        <is>
          <t>Single Choice</t>
        </is>
      </c>
      <c r="I160" s="179" t="inlineStr">
        <is>
          <t>NA</t>
        </is>
      </c>
      <c r="J160" s="179" t="inlineStr">
        <is>
          <t>NA</t>
        </is>
      </c>
      <c r="K160" s="179" t="inlineStr">
        <is>
          <t>Form Type - Buttons</t>
        </is>
      </c>
      <c r="L160" s="100" t="inlineStr">
        <is>
          <t>NA</t>
        </is>
      </c>
      <c r="M160" s="63" t="inlineStr">
        <is>
          <t>1-5 = fies_whlday</t>
        </is>
      </c>
      <c r="N160" s="342" t="n"/>
      <c r="O160" s="63" t="inlineStr">
        <is>
          <t>if fies_hungry_hhs = 1-5, go to fies_whlday</t>
        </is>
      </c>
      <c r="P160" s="28" t="inlineStr"/>
      <c r="Q160" s="9" t="n"/>
      <c r="R160" s="306" t="n">
        <v>1</v>
      </c>
      <c r="S160" s="53" t="n"/>
      <c r="U160" s="150" t="inlineStr">
        <is>
          <t>yes</t>
        </is>
      </c>
      <c r="V160" s="613" t="n"/>
      <c r="Y160" s="631" t="n">
        <v>7.94479513168335</v>
      </c>
      <c r="Z160" s="631">
        <f>IF(Y160="","",Y160*R160)</f>
        <v/>
      </c>
      <c r="AA160" s="53" t="inlineStr">
        <is>
          <t>7.94479513168335</t>
        </is>
      </c>
    </row>
    <row r="161" ht="177.75" customFormat="1" customHeight="1" s="59">
      <c r="A161" s="18">
        <f>A160+1</f>
        <v/>
      </c>
      <c r="B161" s="182" t="inlineStr">
        <is>
          <t>fies_whlday</t>
        </is>
      </c>
      <c r="C161" s="58" t="inlineStr">
        <is>
          <t>fies_whlday</t>
        </is>
      </c>
      <c r="D161" s="143" t="inlineStr">
        <is>
          <t>In the past 30 days, did you or any household member ever go a whole day and night without eating anything at all because there was not enough food?
[OPERATOR: SINGLE RESPONSE]
1)YES
2)NO
3)DON'T KNOW
4)REFUSED</t>
        </is>
      </c>
      <c r="E161" s="179">
        <f>LEN(D161)</f>
        <v/>
      </c>
      <c r="F161" s="143" t="inlineStr">
        <is>
          <t>خلال الثلاثين يومًا الماضية ، هل بقيت أنت أو أي فرد من أفراد أسرتك يومًا كاملاً ليلاً ونهارًا دون تناول أي شيء على الإطلاق بسبب عدم وجود ما يكفي من الطعام؟ 
[المشغل: استجابة واحدة]
1) نعم
2) لا
3) لا أعرف
4) رفض الإجابة</t>
        </is>
      </c>
      <c r="G161" s="179">
        <f>LEN(F161)</f>
        <v/>
      </c>
      <c r="H161" s="186" t="inlineStr">
        <is>
          <t>Single Choice</t>
        </is>
      </c>
      <c r="I161" s="179" t="inlineStr">
        <is>
          <t>NA</t>
        </is>
      </c>
      <c r="J161" s="179" t="inlineStr">
        <is>
          <t>NA</t>
        </is>
      </c>
      <c r="K161" s="179" t="inlineStr">
        <is>
          <t>Form Type - Buttons</t>
        </is>
      </c>
      <c r="L161" s="100" t="inlineStr">
        <is>
          <t>NA</t>
        </is>
      </c>
      <c r="M161" s="63" t="inlineStr">
        <is>
          <t>1=fies_whlday_hhs
2-4 = lcsi_intro</t>
        </is>
      </c>
      <c r="N161" s="342" t="n"/>
      <c r="O161" s="70" t="inlineStr">
        <is>
          <t>if fies_whlday = 1, go to fies_whlday_hhs. Otherwise, go to lcsi_intro OR hdds</t>
        </is>
      </c>
      <c r="P161" s="15" t="inlineStr">
        <is>
          <t>2-4 = lcsi_intro</t>
        </is>
      </c>
      <c r="Q161" s="9" t="n"/>
      <c r="R161" s="306" t="n">
        <v>1</v>
      </c>
      <c r="S161" s="53" t="n"/>
      <c r="U161" s="150" t="inlineStr">
        <is>
          <t>yes</t>
        </is>
      </c>
      <c r="V161" s="613" t="n"/>
      <c r="Y161" s="631" t="n">
        <v>7.931224822998047</v>
      </c>
      <c r="Z161" s="631">
        <f>IF(Y161="","",Y161*R161)</f>
        <v/>
      </c>
      <c r="AA161" s="53" t="inlineStr">
        <is>
          <t>7.931224822998047</t>
        </is>
      </c>
    </row>
    <row r="162" ht="177" customFormat="1" customHeight="1" s="59">
      <c r="A162" s="18">
        <f>A161+1</f>
        <v/>
      </c>
      <c r="B162" s="182" t="inlineStr">
        <is>
          <t>fies_whlday_hhs</t>
        </is>
      </c>
      <c r="C162" s="183" t="inlineStr">
        <is>
          <t>fies_whlday_hhs</t>
        </is>
      </c>
      <c r="D162" s="192" t="inlineStr">
        <is>
          <t>How often did this happen?
[OPERATOR: SINGLE RESPONSE]
1)Rarely [1-2 times in the past 30 days]
2)Sometimes [3-10 times in the past 30 days]
3)Often [more than 10 times in the last 30 days]
4)DON'T KNOW
5)REFUSED</t>
        </is>
      </c>
      <c r="E162" s="179">
        <f>LEN(D162)</f>
        <v/>
      </c>
      <c r="F162" s="192" t="inlineStr">
        <is>
          <t>كم مرة حدث ذلك؟
[المشغل: استجابة واحدة]
1) نادرًا [مرة إلى مرتين في الثلاثين يومًا الماضية]
2) في بعض الأحيان [3-10 مرات في الثلاثين يومًا الماضية]
3) في كثير من الأحيان [أكثر من 10 مرات في آخر 30 يومًا]
4) لا أعرف
5) رفض الإجابة</t>
        </is>
      </c>
      <c r="G162" s="179">
        <f>LEN(F162)</f>
        <v/>
      </c>
      <c r="H162" s="186" t="inlineStr">
        <is>
          <t>Single Choice</t>
        </is>
      </c>
      <c r="I162" s="179" t="inlineStr">
        <is>
          <t>NA</t>
        </is>
      </c>
      <c r="J162" s="179" t="inlineStr">
        <is>
          <t>NA</t>
        </is>
      </c>
      <c r="K162" s="179" t="inlineStr">
        <is>
          <t>Form Type - Buttons</t>
        </is>
      </c>
      <c r="L162" s="100" t="inlineStr">
        <is>
          <t>NA</t>
        </is>
      </c>
      <c r="M162" s="63" t="inlineStr">
        <is>
          <t>1-5 = lcsi_intro</t>
        </is>
      </c>
      <c r="N162" s="342" t="n"/>
      <c r="O162" s="70" t="inlineStr">
        <is>
          <t>if fies_whlday_hhs = 1-5, go to lcsi_intro OR hdds</t>
        </is>
      </c>
      <c r="P162" s="15" t="inlineStr">
        <is>
          <t>1-5 = lcsi_intro</t>
        </is>
      </c>
      <c r="Q162" s="9" t="n"/>
      <c r="R162" s="306" t="n">
        <v>1</v>
      </c>
      <c r="S162" s="53" t="n"/>
      <c r="U162" s="150" t="inlineStr">
        <is>
          <t>yes</t>
        </is>
      </c>
      <c r="V162" s="613" t="n"/>
      <c r="Y162" s="631" t="n">
        <v>5.339005947113037</v>
      </c>
      <c r="Z162" s="631">
        <f>IF(Y162="","",Y162*R162)</f>
        <v/>
      </c>
      <c r="AA162" s="53" t="inlineStr">
        <is>
          <t>5.339005947113037</t>
        </is>
      </c>
    </row>
    <row r="163" ht="156" customFormat="1" customHeight="1" s="218">
      <c r="A163" s="125">
        <f>A162+1</f>
        <v/>
      </c>
      <c r="B163" s="290" t="inlineStr">
        <is>
          <t>lcsi_intro</t>
        </is>
      </c>
      <c r="C163" s="255" t="inlineStr">
        <is>
          <t>lcsi_intro</t>
        </is>
      </c>
      <c r="D163" s="578" t="inlineStr">
        <is>
          <t>Now I would like to ask you another set of questions on coping strategies, referring to the past 30 days.
[OPERATOR: SINGLE RESPONSE]
1)NEXT</t>
        </is>
      </c>
      <c r="E163" s="292">
        <f>LEN(D163)</f>
        <v/>
      </c>
      <c r="F163" s="578" t="inlineStr">
        <is>
          <t>الآن أود أن أسألك عن المجموعة الثانية من الأسئلة حول استراتيجيات المواجهة ، بالإشارة إلى الثلاثين يومًا الماضية.
[المشغل: استجابة واحدة]
1) التالي</t>
        </is>
      </c>
      <c r="G163" s="292">
        <f>LEN(F163)</f>
        <v/>
      </c>
      <c r="H163" s="289" t="inlineStr">
        <is>
          <t>Single Choice</t>
        </is>
      </c>
      <c r="I163" s="292" t="inlineStr">
        <is>
          <t>NA</t>
        </is>
      </c>
      <c r="J163" s="292" t="inlineStr">
        <is>
          <t>NA</t>
        </is>
      </c>
      <c r="K163" s="292" t="inlineStr">
        <is>
          <t>Form Type - Buttons</t>
        </is>
      </c>
      <c r="L163" s="215" t="inlineStr">
        <is>
          <t>NA</t>
        </is>
      </c>
      <c r="M163" s="229" t="inlineStr">
        <is>
          <t>1 = cs_stress_hh_assets</t>
        </is>
      </c>
      <c r="N163" s="365" t="n"/>
      <c r="O163" s="280" t="inlineStr"/>
      <c r="P163" s="281" t="inlineStr">
        <is>
          <t>1 = cs_stress_hh_assets</t>
        </is>
      </c>
      <c r="Q163" s="278" t="inlineStr">
        <is>
          <t>Coping strategies should be selected based on the local context. Ten (10) coping strategies should be selected; 4 in stress, 3 in crisis and 3 in emergency. 
Please delete coping strategies that you do not want to use in your survey or propose changes for the "English" column (i.e. text) under the "Additional notes" column.</t>
        </is>
      </c>
      <c r="R163" s="317" t="n">
        <v>1</v>
      </c>
      <c r="S163" s="217" t="n"/>
      <c r="U163" s="219" t="inlineStr">
        <is>
          <t>no</t>
        </is>
      </c>
      <c r="V163" s="220" t="n"/>
      <c r="Y163" s="633" t="n">
        <v>3.816555500030518</v>
      </c>
      <c r="Z163" s="633">
        <f>IF(Y163="","",Y163*R163)</f>
        <v/>
      </c>
      <c r="AA163" s="217" t="inlineStr"/>
    </row>
    <row r="164" ht="246.75" customFormat="1" customHeight="1" s="218">
      <c r="A164" s="125">
        <f>A163+1</f>
        <v/>
      </c>
      <c r="B164" s="282" t="inlineStr">
        <is>
          <t>cs_stress_hh_assets</t>
        </is>
      </c>
      <c r="C164" s="255" t="inlineStr">
        <is>
          <t>cs_stress_hh_assets</t>
        </is>
      </c>
      <c r="D164" s="230" t="inlineStr">
        <is>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is>
      </c>
      <c r="E164" s="292">
        <f>LEN(D164)</f>
        <v/>
      </c>
      <c r="F164" s="293" t="inlineStr">
        <is>
          <t>خلال الثلاثين يومًا الماضية ، هل اضطر أي شخص في أسرتك لبيع أصول / سلع منزلية [راديو ، أثاث ، تلفزيون ، مجوهرات ، إلخ]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64" s="292">
        <f>LEN(F164)</f>
        <v/>
      </c>
      <c r="H164" s="289" t="inlineStr">
        <is>
          <t>Single Choice</t>
        </is>
      </c>
      <c r="I164" s="292" t="inlineStr">
        <is>
          <t>NA</t>
        </is>
      </c>
      <c r="J164" s="292" t="inlineStr">
        <is>
          <t>NA</t>
        </is>
      </c>
      <c r="K164" s="292" t="inlineStr">
        <is>
          <t>Form Type - Buttons</t>
        </is>
      </c>
      <c r="L164" s="215" t="inlineStr">
        <is>
          <t>NA</t>
        </is>
      </c>
      <c r="M164" s="229" t="inlineStr">
        <is>
          <t>1-6 = cs_stress_spent_savings</t>
        </is>
      </c>
      <c r="N164" s="365" t="n"/>
      <c r="O164" s="279" t="inlineStr"/>
      <c r="P164" s="281" t="inlineStr">
        <is>
          <t>1-6 = cs_stress_spent_savings</t>
        </is>
      </c>
      <c r="Q164" s="238" t="n"/>
      <c r="R164" s="317" t="n">
        <v>1</v>
      </c>
      <c r="S164" s="217" t="n"/>
      <c r="U164" s="219" t="inlineStr">
        <is>
          <t>no</t>
        </is>
      </c>
      <c r="V164" s="220" t="n"/>
      <c r="Y164" s="633" t="n">
        <v>16.82703018188477</v>
      </c>
      <c r="Z164" s="633">
        <f>IF(Y164="","",Y164*R164)</f>
        <v/>
      </c>
      <c r="AA164" s="217" t="inlineStr"/>
    </row>
    <row r="165" ht="245.25" customFormat="1" customHeight="1" s="218">
      <c r="A165" s="125">
        <f>A164+1</f>
        <v/>
      </c>
      <c r="B165" s="282" t="inlineStr">
        <is>
          <t>cs_stress_spent_savings</t>
        </is>
      </c>
      <c r="C165" s="255" t="inlineStr">
        <is>
          <t>cs_stress_spent_savings</t>
        </is>
      </c>
      <c r="D165" s="230" t="inlineStr">
        <is>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is>
      </c>
      <c r="E165" s="292">
        <f>LEN(D165)</f>
        <v/>
      </c>
      <c r="F165" s="293" t="inlineStr">
        <is>
          <t>خلال الثلاثين يومًا الماضية ، هل اضطر أي فرد في أسرتك إلى إنفاق مدخرات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65" s="292">
        <f>LEN(F165)</f>
        <v/>
      </c>
      <c r="H165" s="289" t="inlineStr">
        <is>
          <t>Single Choice</t>
        </is>
      </c>
      <c r="I165" s="292" t="inlineStr">
        <is>
          <t>NA</t>
        </is>
      </c>
      <c r="J165" s="292" t="inlineStr">
        <is>
          <t>NA</t>
        </is>
      </c>
      <c r="K165" s="292" t="inlineStr">
        <is>
          <t>Form Type - Buttons</t>
        </is>
      </c>
      <c r="L165" s="215" t="inlineStr">
        <is>
          <t>NA</t>
        </is>
      </c>
      <c r="M165" s="229" t="inlineStr">
        <is>
          <t>1-6 = cs_stress_credit</t>
        </is>
      </c>
      <c r="N165" s="365" t="n"/>
      <c r="O165" s="279" t="inlineStr"/>
      <c r="P165" s="281" t="inlineStr">
        <is>
          <t>1-6 = cs_stress_credit</t>
        </is>
      </c>
      <c r="Q165" s="238" t="n"/>
      <c r="R165" s="317" t="n">
        <v>1</v>
      </c>
      <c r="S165" s="217" t="n"/>
      <c r="U165" s="219" t="inlineStr">
        <is>
          <t>no</t>
        </is>
      </c>
      <c r="V165" s="220" t="n"/>
      <c r="Y165" s="633" t="n">
        <v>12.21140480041504</v>
      </c>
      <c r="Z165" s="633">
        <f>IF(Y165="","",Y165*R165)</f>
        <v/>
      </c>
      <c r="AA165" s="217" t="inlineStr"/>
    </row>
    <row r="166" ht="241.5" customFormat="1" customHeight="1" s="218">
      <c r="A166" s="125">
        <f>A165+1</f>
        <v/>
      </c>
      <c r="B166" s="282" t="inlineStr">
        <is>
          <t>cs_stress_credit</t>
        </is>
      </c>
      <c r="C166" s="255" t="inlineStr">
        <is>
          <t>cs_stress_credit</t>
        </is>
      </c>
      <c r="D166" s="230" t="inlineStr">
        <is>
          <t>Over the past 30 days,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is>
      </c>
      <c r="E166" s="292">
        <f>LEN(D166)</f>
        <v/>
      </c>
      <c r="F166" s="293" t="inlineStr">
        <is>
          <t>خلال الثلاثين يومًا الماضية ، هل اضطر أي فرد في أسرتك إلى شراء الطعام عن طريق الائتمان أو اقتراض الطعام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66" s="292">
        <f>LEN(F166)</f>
        <v/>
      </c>
      <c r="H166" s="289" t="inlineStr">
        <is>
          <t>Single Choice</t>
        </is>
      </c>
      <c r="I166" s="292" t="inlineStr">
        <is>
          <t>NA</t>
        </is>
      </c>
      <c r="J166" s="292" t="inlineStr">
        <is>
          <t>NA</t>
        </is>
      </c>
      <c r="K166" s="292" t="inlineStr">
        <is>
          <t>Form Type - Buttons</t>
        </is>
      </c>
      <c r="L166" s="215" t="inlineStr">
        <is>
          <t>NA</t>
        </is>
      </c>
      <c r="M166" s="229" t="inlineStr">
        <is>
          <t>1-6 = cs_stress_borrowed_money</t>
        </is>
      </c>
      <c r="N166" s="365" t="n"/>
      <c r="O166" s="279" t="inlineStr"/>
      <c r="P166" s="281" t="inlineStr">
        <is>
          <t>1-6 = cs_stress_borrowed_money</t>
        </is>
      </c>
      <c r="Q166" s="238" t="n"/>
      <c r="R166" s="317" t="n">
        <v>1</v>
      </c>
      <c r="S166" s="217" t="n"/>
      <c r="U166" s="219" t="inlineStr">
        <is>
          <t>no</t>
        </is>
      </c>
      <c r="V166" s="220" t="n"/>
      <c r="Y166" s="633" t="n">
        <v>10.84387874603271</v>
      </c>
      <c r="Z166" s="633">
        <f>IF(Y166="","",Y166*R166)</f>
        <v/>
      </c>
      <c r="AA166" s="217" t="inlineStr"/>
    </row>
    <row r="167" ht="224.25" customFormat="1" customHeight="1" s="218">
      <c r="A167" s="125">
        <f>A166+1</f>
        <v/>
      </c>
      <c r="B167" s="282" t="inlineStr">
        <is>
          <t>cs_stress_borrowed_money</t>
        </is>
      </c>
      <c r="C167" s="255" t="inlineStr">
        <is>
          <t>cs_stress_borrowed_money</t>
        </is>
      </c>
      <c r="D167" s="230" t="inlineStr">
        <is>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 DON'T KNOW 
6) REFUSED</t>
        </is>
      </c>
      <c r="E167" s="292">
        <f>LEN(D167)</f>
        <v/>
      </c>
      <c r="F167" s="293" t="inlineStr">
        <is>
          <t>خلال الثلاثين يومًا الماضية ، هل اضطر أي فرد في أسرتك إلى اقتراض المال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67" s="292">
        <f>LEN(F167)</f>
        <v/>
      </c>
      <c r="H167" s="289" t="inlineStr">
        <is>
          <t>Single Choice</t>
        </is>
      </c>
      <c r="I167" s="292" t="inlineStr">
        <is>
          <t>NA</t>
        </is>
      </c>
      <c r="J167" s="292" t="inlineStr">
        <is>
          <t>NA</t>
        </is>
      </c>
      <c r="K167" s="292" t="inlineStr">
        <is>
          <t>Form Type - Buttons</t>
        </is>
      </c>
      <c r="L167" s="215" t="inlineStr">
        <is>
          <t>NA</t>
        </is>
      </c>
      <c r="M167" s="229" t="inlineStr">
        <is>
          <t>1-6 = cs_crisis_no_school</t>
        </is>
      </c>
      <c r="N167" s="365" t="n"/>
      <c r="O167" s="279" t="inlineStr"/>
      <c r="P167" s="281" t="inlineStr">
        <is>
          <t>1-6 = cs_crisis_no_school</t>
        </is>
      </c>
      <c r="Q167" s="238" t="n"/>
      <c r="R167" s="317" t="n">
        <v>1</v>
      </c>
      <c r="S167" s="217" t="n"/>
      <c r="U167" s="219" t="inlineStr">
        <is>
          <t>no</t>
        </is>
      </c>
      <c r="V167" s="220" t="n"/>
      <c r="Y167" s="633" t="n">
        <v>8.231814384460449</v>
      </c>
      <c r="Z167" s="633">
        <f>IF(Y167="","",Y167*R167)</f>
        <v/>
      </c>
      <c r="AA167" s="217" t="inlineStr"/>
    </row>
    <row r="168" ht="219.75" customFormat="1" customHeight="1" s="218">
      <c r="A168" s="125">
        <f>A167+1</f>
        <v/>
      </c>
      <c r="B168" s="282" t="inlineStr">
        <is>
          <t>cs_crisis_no_school</t>
        </is>
      </c>
      <c r="C168" s="255" t="inlineStr">
        <is>
          <t>cs_crisis_no_school</t>
        </is>
      </c>
      <c r="D168" s="230" t="inlineStr">
        <is>
          <t>Over the past 30 days, did anyone in your household have to withdraw children from school because of lack of food or money?
[OPERATOR: SINGLE RESPONSE]
1)Yes
2)No - because it wasn’t necessary
3)No - because you already sold those assets or did this activity within the last 12 months and you cannot continue to do it
4)Not applicable
5)DON'T KNOW 
6)REFUSED</t>
        </is>
      </c>
      <c r="E168" s="292">
        <f>LEN(D168)</f>
        <v/>
      </c>
      <c r="F168" s="293" t="inlineStr">
        <is>
          <t>خلال الثلاثين يومًا الماضية ، هل اضطر أي فرد في أسرتك إلى سحب أطفاله من المدرسة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68" s="292">
        <f>LEN(F168)</f>
        <v/>
      </c>
      <c r="H168" s="289" t="inlineStr">
        <is>
          <t>Single Choice</t>
        </is>
      </c>
      <c r="I168" s="292" t="inlineStr">
        <is>
          <t>NA</t>
        </is>
      </c>
      <c r="J168" s="292" t="inlineStr">
        <is>
          <t>NA</t>
        </is>
      </c>
      <c r="K168" s="292" t="inlineStr">
        <is>
          <t>Form Type - Buttons</t>
        </is>
      </c>
      <c r="L168" s="215" t="inlineStr">
        <is>
          <t>NA</t>
        </is>
      </c>
      <c r="M168" s="229" t="inlineStr">
        <is>
          <t>1-6 = cs_crisis_reduced_health_exp</t>
        </is>
      </c>
      <c r="N168" s="364" t="n"/>
      <c r="O168" s="230" t="inlineStr"/>
      <c r="P168" s="281" t="inlineStr">
        <is>
          <t>1-6 = cs_crisis_reduced_health_exp</t>
        </is>
      </c>
      <c r="Q168" s="238" t="n"/>
      <c r="R168" s="317" t="n">
        <v>1</v>
      </c>
      <c r="S168" s="217" t="n"/>
      <c r="U168" s="219" t="inlineStr">
        <is>
          <t>no</t>
        </is>
      </c>
      <c r="V168" s="220" t="n"/>
      <c r="Y168" s="633" t="n">
        <v>11.36098480224609</v>
      </c>
      <c r="Z168" s="633">
        <f>IF(Y168="","",Y168*R168)</f>
        <v/>
      </c>
      <c r="AA168" s="217" t="inlineStr"/>
    </row>
    <row r="169" ht="224.25" customFormat="1" customHeight="1" s="218">
      <c r="A169" s="125">
        <f>A168+1</f>
        <v/>
      </c>
      <c r="B169" s="282" t="inlineStr">
        <is>
          <t>cs_crisis_reduced_health_exp</t>
        </is>
      </c>
      <c r="C169" s="255" t="inlineStr">
        <is>
          <t>cs_crisis_reduced_health_exp</t>
        </is>
      </c>
      <c r="D169" s="230" t="inlineStr">
        <is>
          <t>Over the past 30 days, did anyone in your household have to reduce expenses on health [including drugs] because of lack of food or money?
[OPERATOR: SINGLE RESPONSE]
1)Yes
2)No - because it wasn’t necessary
3)No - because you already sold those assets or did this activity within the last 12 months and you cannot continue to do it
4)Not applicable
5)DON'T KNOW 
6)REFUSED</t>
        </is>
      </c>
      <c r="E169" s="292">
        <f>LEN(D169)</f>
        <v/>
      </c>
      <c r="F169" s="293" t="inlineStr">
        <is>
          <t>خلال الثلاثين يومًا الماضية ، هل اضطر أي فرد في أسرتك إلى تقليل النفقات على الصحة (بما في ذلك الأدوية)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69" s="292">
        <f>LEN(F169)</f>
        <v/>
      </c>
      <c r="H169" s="289" t="inlineStr">
        <is>
          <t>Single Choice</t>
        </is>
      </c>
      <c r="I169" s="292" t="inlineStr">
        <is>
          <t>NA</t>
        </is>
      </c>
      <c r="J169" s="292" t="inlineStr">
        <is>
          <t>NA</t>
        </is>
      </c>
      <c r="K169" s="292" t="inlineStr">
        <is>
          <t>Form Type - Buttons</t>
        </is>
      </c>
      <c r="L169" s="215" t="inlineStr">
        <is>
          <t>NA</t>
        </is>
      </c>
      <c r="M169" s="229" t="inlineStr">
        <is>
          <t>1-6 = cs_crisis_decrease_input_exp</t>
        </is>
      </c>
      <c r="N169" s="364" t="n"/>
      <c r="O169" s="601" t="inlineStr"/>
      <c r="P169" s="281" t="inlineStr">
        <is>
          <t>1-6 = cs_crisis_decrease_input_exp</t>
        </is>
      </c>
      <c r="Q169" s="238" t="n"/>
      <c r="R169" s="317" t="n"/>
      <c r="S169" s="217" t="n"/>
      <c r="U169" s="219" t="inlineStr"/>
      <c r="V169" s="220" t="n"/>
      <c r="Y169" s="633" t="n"/>
      <c r="Z169" s="633" t="n"/>
      <c r="AA169" s="217" t="inlineStr"/>
    </row>
    <row r="170" ht="202.75" customFormat="1" customHeight="1" s="218">
      <c r="A170" s="125">
        <f>A169+1</f>
        <v/>
      </c>
      <c r="B170" s="282" t="inlineStr">
        <is>
          <t>cs_crisis_decrease_input_exp</t>
        </is>
      </c>
      <c r="C170" s="255" t="inlineStr">
        <is>
          <t>cs_crisis_decrease_input_exp</t>
        </is>
      </c>
      <c r="D170" s="230" t="inlineStr">
        <is>
          <t>Over the past 30 days, did anyone in your household have to decrease expenditures on fertilizer, pesticide, fodder, animal feed, veterinary care, etc. because of lack of food or money?
[OPERATOR: SINGLE RESPONSE]
1)Yes
2)No - because it wasn’t necessary
3)No - because you already sold those assets or did this activity within the last 12 months and you cannot continue to do it
4)Not applicable
5)DON'T KNOW 
6)REFUSED</t>
        </is>
      </c>
      <c r="E170" s="292">
        <f>LEN(D170)</f>
        <v/>
      </c>
      <c r="F170" s="293" t="inlineStr">
        <is>
          <t>خلال الثلاثين يومًا الماضية ، هل اضطر أي شخص في أسرتك إلى تقليل الإنفاق على الأسمدة ومبيدات الآفات والأعلاف والأعلاف الحيوانية والرعاية البيطرية وما إلى ذلك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70" s="292">
        <f>LEN(F170)</f>
        <v/>
      </c>
      <c r="H170" s="289" t="inlineStr">
        <is>
          <t>Single Choice</t>
        </is>
      </c>
      <c r="I170" s="292" t="inlineStr">
        <is>
          <t>NA</t>
        </is>
      </c>
      <c r="J170" s="292" t="inlineStr">
        <is>
          <t>NA</t>
        </is>
      </c>
      <c r="K170" s="292" t="inlineStr">
        <is>
          <t>Form Type - Buttons</t>
        </is>
      </c>
      <c r="L170" s="215" t="inlineStr">
        <is>
          <t>NA</t>
        </is>
      </c>
      <c r="M170" s="229" t="inlineStr">
        <is>
          <t>1-6 = cs_emergency_sold_house</t>
        </is>
      </c>
      <c r="N170" s="364" t="n"/>
      <c r="O170" s="602" t="inlineStr"/>
      <c r="P170" s="281" t="inlineStr">
        <is>
          <t>1-6 = cs_emergency_sold_house</t>
        </is>
      </c>
      <c r="Q170" s="238" t="n"/>
      <c r="R170" s="317" t="n">
        <v>1</v>
      </c>
      <c r="S170" s="217" t="n"/>
      <c r="U170" s="219" t="inlineStr">
        <is>
          <t>no</t>
        </is>
      </c>
      <c r="V170" s="220" t="n"/>
      <c r="Y170" s="633" t="n">
        <v>9.023268699645996</v>
      </c>
      <c r="Z170" s="633">
        <f>IF(Y170="","",Y170*R170)</f>
        <v/>
      </c>
      <c r="AA170" s="217" t="inlineStr"/>
    </row>
    <row r="171" ht="214.5" customFormat="1" customHeight="1" s="218">
      <c r="A171" s="125">
        <f>A170+1</f>
        <v/>
      </c>
      <c r="B171" s="282" t="inlineStr">
        <is>
          <t>cs_emergency_sold_house</t>
        </is>
      </c>
      <c r="C171" s="255" t="inlineStr">
        <is>
          <t>cs_emergency_sold_house</t>
        </is>
      </c>
      <c r="D171" s="230" t="inlineStr">
        <is>
          <t>Over the past 30 days, did anyone in your household have to sell a house or land because of lack of food or money?
[OPERATOR: SINGLE RESPONSE]
1)Yes
2)No - because it wasn’t necessary
3)No - because you already sold those assets or did this activity within the last 12 months and you cannot continue to do it
4)Not applicable
5)DON'T KNOW 
6)REFUSED</t>
        </is>
      </c>
      <c r="E171" s="292">
        <f>LEN(D171)</f>
        <v/>
      </c>
      <c r="F171" s="293" t="inlineStr">
        <is>
          <t>خلال الثلاثين يومًا الماضية ، هل اضطر أي فرد في أسرتك إلى بيع منزل أو أرض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71" s="292">
        <f>LEN(F171)</f>
        <v/>
      </c>
      <c r="H171" s="289" t="inlineStr">
        <is>
          <t>Single Choice</t>
        </is>
      </c>
      <c r="I171" s="292" t="inlineStr">
        <is>
          <t>NA</t>
        </is>
      </c>
      <c r="J171" s="292" t="inlineStr">
        <is>
          <t>NA</t>
        </is>
      </c>
      <c r="K171" s="292" t="inlineStr">
        <is>
          <t>Form Type - Buttons</t>
        </is>
      </c>
      <c r="L171" s="215" t="inlineStr">
        <is>
          <t>NA</t>
        </is>
      </c>
      <c r="M171" s="229" t="inlineStr">
        <is>
          <t>1-6 = cs_emergency_begged</t>
        </is>
      </c>
      <c r="N171" s="364" t="n"/>
      <c r="O171" s="602" t="inlineStr"/>
      <c r="P171" s="281" t="inlineStr">
        <is>
          <t>1-6 = cs_emergency_begged</t>
        </is>
      </c>
      <c r="Q171" s="238" t="n"/>
      <c r="R171" s="317" t="n">
        <v>1</v>
      </c>
      <c r="S171" s="217" t="n"/>
      <c r="U171" s="219" t="inlineStr">
        <is>
          <t>no</t>
        </is>
      </c>
      <c r="V171" s="220" t="n"/>
      <c r="Y171" s="633" t="n">
        <v>9.063239097595215</v>
      </c>
      <c r="Z171" s="633">
        <f>IF(Y171="","",Y171*R171)</f>
        <v/>
      </c>
      <c r="AA171" s="217" t="inlineStr"/>
    </row>
    <row r="172" ht="187.4" customFormat="1" customHeight="1" s="218">
      <c r="A172" s="125">
        <f>A171+1</f>
        <v/>
      </c>
      <c r="B172" s="282" t="inlineStr">
        <is>
          <t>cs_emergency_begged</t>
        </is>
      </c>
      <c r="C172" s="255" t="inlineStr">
        <is>
          <t>cs_emergency_begged</t>
        </is>
      </c>
      <c r="D172" s="230" t="inlineStr">
        <is>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is>
      </c>
      <c r="E172" s="292">
        <f>LEN(D172)</f>
        <v/>
      </c>
      <c r="F172" s="293" t="inlineStr">
        <is>
          <t>خلال الثلاثين يومًا الماضية ، هل اضطر أي فرد في أسرتك إلى التسول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72" s="292">
        <f>LEN(F172)</f>
        <v/>
      </c>
      <c r="H172" s="289" t="inlineStr">
        <is>
          <t>Single Choice</t>
        </is>
      </c>
      <c r="I172" s="292" t="inlineStr">
        <is>
          <t>NA</t>
        </is>
      </c>
      <c r="J172" s="292" t="inlineStr">
        <is>
          <t>NA</t>
        </is>
      </c>
      <c r="K172" s="292" t="inlineStr">
        <is>
          <t>Form Type - Buttons</t>
        </is>
      </c>
      <c r="L172" s="215" t="inlineStr">
        <is>
          <t>NA</t>
        </is>
      </c>
      <c r="M172" s="229" t="inlineStr">
        <is>
          <t>1-6 = cs_emergency_sold_last_female</t>
        </is>
      </c>
      <c r="N172" s="364" t="n"/>
      <c r="O172" s="602" t="inlineStr"/>
      <c r="P172" s="281" t="inlineStr">
        <is>
          <t>1-6 = cs_emergency_sold_last_female</t>
        </is>
      </c>
      <c r="Q172" s="238" t="n"/>
      <c r="R172" s="317" t="n">
        <v>1</v>
      </c>
      <c r="S172" s="217" t="n"/>
      <c r="U172" s="219" t="inlineStr">
        <is>
          <t>no</t>
        </is>
      </c>
      <c r="V172" s="220" t="n"/>
      <c r="Y172" s="633" t="n">
        <v>9.105807304382324</v>
      </c>
      <c r="Z172" s="633">
        <f>IF(Y172="","",Y172*R172)</f>
        <v/>
      </c>
      <c r="AA172" s="217" t="inlineStr"/>
    </row>
    <row r="173" ht="220.4" customFormat="1" customHeight="1" s="218">
      <c r="A173" s="125">
        <f>A172+1</f>
        <v/>
      </c>
      <c r="B173" s="282" t="inlineStr">
        <is>
          <t>cs_emergency_sold_last_female</t>
        </is>
      </c>
      <c r="C173" s="255" t="inlineStr">
        <is>
          <t>cs_emergency_sold_last_female</t>
        </is>
      </c>
      <c r="D173" s="230" t="inlineStr">
        <is>
          <t>Over the past 30 days, did anyone in your household have to sell your last female animals because of lack of food or money?
[OPERATOR: SINGLE RESPONSE]
1)Yes
2)No - because it wasn’t necessary
3)No - because you already sold those assets or did this activity within the last 12 months and you cannot continue to do it
4)Not applicable
5)DON'T KNOW 
6)REFUSED</t>
        </is>
      </c>
      <c r="E173" s="292">
        <f>LEN(D173)</f>
        <v/>
      </c>
      <c r="F173" s="293" t="inlineStr">
        <is>
          <t>خلال الثلاثين يومًا الماضية ، هل اضطر أي فرد في أسرتك لبيع آخر إناث الحيوانات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73" s="292">
        <f>LEN(F173)</f>
        <v/>
      </c>
      <c r="H173" s="289" t="inlineStr">
        <is>
          <t>Single Choice</t>
        </is>
      </c>
      <c r="I173" s="292" t="inlineStr">
        <is>
          <t>NA</t>
        </is>
      </c>
      <c r="J173" s="292" t="inlineStr">
        <is>
          <t>NA</t>
        </is>
      </c>
      <c r="K173" s="292" t="inlineStr">
        <is>
          <t>Form Type - Buttons</t>
        </is>
      </c>
      <c r="L173" s="215" t="inlineStr">
        <is>
          <t>NA</t>
        </is>
      </c>
      <c r="M173" s="229" t="inlineStr">
        <is>
          <t>1-6 = hdds</t>
        </is>
      </c>
      <c r="N173" s="364" t="n"/>
      <c r="O173" s="602" t="inlineStr"/>
      <c r="P173" s="281" t="inlineStr">
        <is>
          <t>1-6 = hdds</t>
        </is>
      </c>
      <c r="Q173" s="238" t="n"/>
      <c r="R173" s="317" t="n">
        <v>1</v>
      </c>
      <c r="S173" s="217" t="n"/>
      <c r="U173" s="219" t="inlineStr">
        <is>
          <t>no</t>
        </is>
      </c>
      <c r="V173" s="220" t="n"/>
      <c r="X173" s="220" t="n"/>
      <c r="Y173" s="633" t="n">
        <v>6.293689727783203</v>
      </c>
      <c r="Z173" s="633">
        <f>IF(Y173="","",Y173*R173)</f>
        <v/>
      </c>
      <c r="AA173" s="217" t="inlineStr"/>
    </row>
    <row r="174" ht="409.5" customFormat="1" customHeight="1" s="59">
      <c r="A174" s="125">
        <f>A173+1</f>
        <v/>
      </c>
      <c r="B174" s="182" t="inlineStr">
        <is>
          <t>hdds</t>
        </is>
      </c>
      <c r="C174" s="58" t="inlineStr">
        <is>
          <t>hdds
1) hdds_cereals
2) hdds_rootstubers
3) hdds_vegetables
4) hdds_fruits
5) hdds_meat
6) hdds_eggs
7) hdds_fish
8) hdds_legumes
9) hdds_milkdairy
10) hdds_oils
11)hdds_sugar
12) hdds_condiments</t>
        </is>
      </c>
      <c r="D174" s="559" t="inlineStr">
        <is>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is>
      </c>
      <c r="E174" s="179">
        <f>LEN(D174)</f>
        <v/>
      </c>
      <c r="F174" s="559" t="inlineStr">
        <is>
          <t>الآن أود أن أسألك عن المجموعة الثالثة من الأسئلة حول استهلاك الغذاء ، بالإشارة إلى 24 ساعة أمس. يرجى وصف الأطعمة (الوجبات والوجبات الخفيفة) التي أكلتها أو شربتها أنت أو أي فرد من أفراد أسرتك في المنزل أمس (في 24 ساعة من أمس: الإفطار والغداء والعشاء والوجبات الخفيفة).
[المُشغل: حدد كل المجموعات الغذائية المستهلكة خلال الـ 24 ساعة الماضية كإجابة للمُجيب. ردود متعددة ممكنة.]
1) الحبوب [الذرة الرفيعة / الدخن / الذرة / القمح / الأرز / السباغيتي / الخبز أو أدخل أي حبوب أخرى متوفرة محليًا]
2) الجذور والدرنات [البطاطا الحلوة البيضاء / البطاطا / اليام / الكسافا أو درنات أخرى]
3) الخضار [الكل]
4) الفواكه [الكل]
5) اللحوم / الدواجن ومخلفاتها [لحم البقر / لحم الخنزير / لحم الغنم / لحم الماعز / الأرانب / الطرائد البرية / الدجاج / البط / الكبد / الكلى / القلب / أو غيرها من لحوم الأعضاء]
6) البيض
7) الأسماك أو المحار [الأسماك الطازجة أو المجففة/ المحار]
8) البقوليات والمكسرات [الفول / الفاصوليا / البازلاء / الفول السوداني / العدس / اللوز / المكسرات الأخرى]
9) الحليب ومنتجات الألبان الأخرى [حليب طازج / لبن رائب / زبادي / جبن / منتجات ألبان أخرى]
10) الزيوت والدهون [ الزبدة / المارجرين / الدهون / الزيت / الزيوت الأخرى]
11) السكر أو المنتجات السكرية [عسل / مربى / دوناتس / حلوى / شوكولاتة / بسكويت / حلو / كيك ومنتجات حلوة أخرى]
12) التوابل [الكاكاو / الملح / الثوم / البهارات / الخميرة / مسحوق الخبز (بكنج باودر) / الطماطم أو صلصة الطماطم / اللحوم أو الأسماك كتوابل] والقهوة / الشاي</t>
        </is>
      </c>
      <c r="G174" s="179">
        <f>LEN(F174)</f>
        <v/>
      </c>
      <c r="H174" s="186" t="inlineStr">
        <is>
          <t>Select All That Apply</t>
        </is>
      </c>
      <c r="I174" s="179" t="inlineStr">
        <is>
          <t>NA</t>
        </is>
      </c>
      <c r="J174" s="179" t="inlineStr">
        <is>
          <t>NA</t>
        </is>
      </c>
      <c r="K174" s="179" t="inlineStr">
        <is>
          <t>Form Type - Checklist</t>
        </is>
      </c>
      <c r="L174" s="100" t="inlineStr">
        <is>
          <t>1)hdds_cereals
2)hdds_rootstubers
3)hdds_vegetables
4)hdds_fruits
5)hdds_meat
6)hdds_eggs
7)hdds_fish
8)hdds_legumes
9)hdds_milkdairy
10)hdds_oils
11)hdds_sugar
12)hdds_condiments</t>
        </is>
      </c>
      <c r="M174" s="63" t="inlineStr">
        <is>
          <t>1-12 = hdds_confirmation</t>
        </is>
      </c>
      <c r="N174" s="342" t="n"/>
      <c r="O174" s="63" t="inlineStr">
        <is>
          <t>if hdds = 1-12, go to hdds_confirmation</t>
        </is>
      </c>
      <c r="P174" s="15" t="inlineStr">
        <is>
          <t>1-12 = hdds_confirmation</t>
        </is>
      </c>
      <c r="Q174" s="69" t="n"/>
      <c r="R174" s="306" t="n">
        <v>1</v>
      </c>
      <c r="S174" s="53" t="n"/>
      <c r="U174" s="150" t="inlineStr">
        <is>
          <t>yes</t>
        </is>
      </c>
      <c r="V174" s="613" t="n"/>
      <c r="Y174" s="631" t="n">
        <v>52.17435836791992</v>
      </c>
      <c r="Z174" s="631">
        <f>IF(Y174="","",Y174*R174)</f>
        <v/>
      </c>
      <c r="AA174" s="53" t="inlineStr">
        <is>
          <t>52.17435836791992</t>
        </is>
      </c>
    </row>
    <row r="175" ht="199.5" customFormat="1" customHeight="1" s="59">
      <c r="A175" s="125">
        <f>A174+1</f>
        <v/>
      </c>
      <c r="B175" s="115" t="inlineStr">
        <is>
          <t>hdds_confirmation</t>
        </is>
      </c>
      <c r="C175" s="183" t="inlineStr">
        <is>
          <t>hdds_confirmation</t>
        </is>
      </c>
      <c r="D175" s="68" t="inlineStr">
        <is>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is>
      </c>
      <c r="E175" s="50">
        <f>LEN(D175)</f>
        <v/>
      </c>
      <c r="F175" s="169" t="inlineStr">
        <is>
          <t>تذكر: تحقق من الوجبات الخفيفة والأطعمة الخاصة المقدمة للأطفال أو النساء الحوامل والمكونات في الأطباق المختلطة. في النهاية ، تحقق من المجموعات الغذائية التي لم يتم تناولها.
إذا قمت بالتحقق مسبقًا ، فيرجى النقر على "تابع". بخلاف ذلك ، يرجى الرجوع والتأكد من تحديد جميع المجموعات الغذائية المستهلكة في 24 ساعة من اليوم.
1) تابع</t>
        </is>
      </c>
      <c r="G175" s="50">
        <f>LEN(F175)</f>
        <v/>
      </c>
      <c r="H175" s="67" t="inlineStr">
        <is>
          <t>Single Choice</t>
        </is>
      </c>
      <c r="I175" s="51" t="inlineStr">
        <is>
          <t>NA</t>
        </is>
      </c>
      <c r="J175" s="51" t="inlineStr">
        <is>
          <t>NA</t>
        </is>
      </c>
      <c r="K175" s="51" t="inlineStr">
        <is>
          <t>Form Type - Buttons</t>
        </is>
      </c>
      <c r="L175" s="100" t="inlineStr">
        <is>
          <t>NA</t>
        </is>
      </c>
      <c r="M175" s="66" t="inlineStr">
        <is>
          <t>1 = fcs_intro</t>
        </is>
      </c>
      <c r="N175" s="366" t="n"/>
      <c r="O175" s="66" t="inlineStr">
        <is>
          <t>if hdds_confirmation = 1, go to need or optional question</t>
        </is>
      </c>
      <c r="P175" s="17" t="inlineStr">
        <is>
          <t>1= fcs_intro</t>
        </is>
      </c>
      <c r="Q175" s="65" t="n"/>
      <c r="R175" s="306" t="n">
        <v>1</v>
      </c>
      <c r="S175" s="53" t="n"/>
      <c r="U175" s="150" t="inlineStr">
        <is>
          <t>yes</t>
        </is>
      </c>
      <c r="V175" s="613" t="n"/>
      <c r="Y175" s="631" t="n">
        <v>1.287102341651917</v>
      </c>
      <c r="Z175" s="631">
        <f>IF(Y175="","",Y175*R175)</f>
        <v/>
      </c>
      <c r="AA175" s="53" t="inlineStr">
        <is>
          <t>1.287102341651917</t>
        </is>
      </c>
    </row>
    <row r="176" ht="93.65000000000001" customFormat="1" customHeight="1" s="218">
      <c r="A176" s="125">
        <f>A175+1</f>
        <v/>
      </c>
      <c r="B176" s="290" t="inlineStr">
        <is>
          <t>fcs_intro</t>
        </is>
      </c>
      <c r="C176" s="291" t="inlineStr">
        <is>
          <t>fcs_intro</t>
        </is>
      </c>
      <c r="D176" s="578" t="inlineStr">
        <is>
          <t>Now I would like to ask you about the foods and drinks your household ate or drank in the last 7 days during the day and at night [breakfast, lunch, dinner, snacks]. 
1)CONTINUE</t>
        </is>
      </c>
      <c r="E176" s="292">
        <f>LEN(D176)</f>
        <v/>
      </c>
      <c r="F176" s="578" t="inlineStr">
        <is>
          <t>الآن أود أن أسألك عن الأطعمة والمشروبات التي أكلتها أو شربتها أسرتك في آخر 7 أيام خلال النهار والليل [الإفطار ، والغداء ، والعشاء ، والوجبات الخفيفة]
1) تابع</t>
        </is>
      </c>
      <c r="G176" s="292">
        <f>LEN(F176)</f>
        <v/>
      </c>
      <c r="H176" s="289" t="inlineStr">
        <is>
          <t>Single Choice</t>
        </is>
      </c>
      <c r="I176" s="292" t="inlineStr">
        <is>
          <t>NA</t>
        </is>
      </c>
      <c r="J176" s="292" t="inlineStr">
        <is>
          <t>NA</t>
        </is>
      </c>
      <c r="K176" s="292" t="inlineStr">
        <is>
          <t>Form Type - Buttons</t>
        </is>
      </c>
      <c r="L176" s="215" t="inlineStr">
        <is>
          <t>NA</t>
        </is>
      </c>
      <c r="M176" s="229" t="inlineStr">
        <is>
          <t>1 = fcs_staple_days</t>
        </is>
      </c>
      <c r="N176" s="364" t="n"/>
      <c r="O176" s="229" t="inlineStr">
        <is>
          <t>if fcs_intro = 1, go to fcs_staple_days</t>
        </is>
      </c>
      <c r="P176" s="229" t="inlineStr"/>
      <c r="Q176" s="283" t="n"/>
      <c r="R176" s="317" t="n">
        <v>1</v>
      </c>
      <c r="S176" s="217" t="n"/>
      <c r="U176" s="219" t="inlineStr">
        <is>
          <t>no</t>
        </is>
      </c>
      <c r="V176" s="220" t="n"/>
      <c r="Y176" s="633" t="n">
        <v>5.644973278045654</v>
      </c>
      <c r="Z176" s="633">
        <f>IF(Y176="","",Y176*R176)</f>
        <v/>
      </c>
      <c r="AA176" s="217" t="inlineStr"/>
    </row>
    <row r="177" ht="130.5" customFormat="1" customHeight="1" s="218">
      <c r="A177" s="125">
        <f>A176+1</f>
        <v/>
      </c>
      <c r="B177" s="290" t="inlineStr">
        <is>
          <t>fcs_staple_days</t>
        </is>
      </c>
      <c r="C177" s="291" t="inlineStr">
        <is>
          <t>fcs_staple_days</t>
        </is>
      </c>
      <c r="D177" s="578" t="inlineStr">
        <is>
          <t>How many days over the last 7 days, did members of your household eat starches, roots and tubers such as rice, maize, pasta, bread, sorghum, millet, potato, yam, cassava, white sweet potato?
[OPERATOR: RECORD NUMBER OF DAYS 0 - 7.]
[HINT: IF CONSUMED ONLY IN SMALL QUANTITY, DO NOT INCLUDE.]</t>
        </is>
      </c>
      <c r="E177" s="292">
        <f>LEN(D177)</f>
        <v/>
      </c>
      <c r="F177" s="578" t="inlineStr">
        <is>
          <t>كم يومًا خلال السبعة أيام الماضية ، تناول أفراد أسرتك النشويات والجذور والدرنات مثل الأرز والذرة والمعكرونة والخبز والذرة الرفيعة والدخن والبطاطا والكسافا والبطاطا الحلوة البيضاء؟
[المُشغل: سجل عدد الأيام من صفر إلى 7]
[ملحوظة: إذا تم تناول هذه الأطعمة بكميات صغيرة فقط ، فلا تقم بتضمينها.]</t>
        </is>
      </c>
      <c r="G177" s="292">
        <f>LEN(F177)</f>
        <v/>
      </c>
      <c r="H177" s="289" t="inlineStr">
        <is>
          <t>Range</t>
        </is>
      </c>
      <c r="I177" s="292" t="inlineStr">
        <is>
          <t>NA</t>
        </is>
      </c>
      <c r="J177" s="292" t="inlineStr">
        <is>
          <t>NA</t>
        </is>
      </c>
      <c r="K177" s="292" t="inlineStr">
        <is>
          <t>Form Type - TextBox</t>
        </is>
      </c>
      <c r="L177" s="215" t="inlineStr">
        <is>
          <t>NA</t>
        </is>
      </c>
      <c r="M177" s="229" t="inlineStr">
        <is>
          <t>0-7 = fcs_pulses_days</t>
        </is>
      </c>
      <c r="N177" s="364" t="n"/>
      <c r="O177" s="229" t="inlineStr">
        <is>
          <t>For any response, go to fcs_pulses_days</t>
        </is>
      </c>
      <c r="P177" s="229" t="inlineStr"/>
      <c r="Q177" s="284" t="n"/>
      <c r="R177" s="317" t="n">
        <v>1</v>
      </c>
      <c r="S177" s="217" t="n"/>
      <c r="U177" s="219" t="inlineStr">
        <is>
          <t>no</t>
        </is>
      </c>
      <c r="V177" s="220" t="n"/>
      <c r="Y177" s="633" t="n">
        <v>26.99896049499512</v>
      </c>
      <c r="Z177" s="633">
        <f>IF(Y177="","",Y177*R177)</f>
        <v/>
      </c>
      <c r="AA177" s="217" t="inlineStr"/>
    </row>
    <row r="178" ht="123" customFormat="1" customHeight="1" s="218">
      <c r="A178" s="125">
        <f>A177+1</f>
        <v/>
      </c>
      <c r="B178" s="290" t="inlineStr">
        <is>
          <t>fcs_pulses_days</t>
        </is>
      </c>
      <c r="C178" s="291" t="inlineStr">
        <is>
          <t>fcs_pulses_days</t>
        </is>
      </c>
      <c r="D178" s="578" t="inlineStr">
        <is>
          <t>How many days over the last 7 days, did members of your household eat pulses and nuts such as beans, lentils, cowpeas, soybean, pigeon peas and peanuts or other nuts?
[OPERATOR: RECORD NUMBER OF DAYS 0 - 7]
[HINT: IF CONSUMED ONLY IN SMALL QUANTITY, DO NOT INCLUDE.]</t>
        </is>
      </c>
      <c r="E178" s="292">
        <f>LEN(D178)</f>
        <v/>
      </c>
      <c r="F178" s="578" t="inlineStr">
        <is>
          <t>كم يومًا خلال السبعة أيام الماضية ، تناول أفراد أسرتك البقول والمكسرات مثل الفاصوليا والعدس واللوبيا وفول الصويا والفول والفول السوداني أو غيرها من المكسرات؟
[المُشغل: سجل عدد الأيام من صفر إلى 7]
[ملحوظة: إذا تم تناول هذه الأطعمة بكميات صغيرة فقط ، فلا تقم بتضمينها.]</t>
        </is>
      </c>
      <c r="G178" s="292">
        <f>LEN(F178)</f>
        <v/>
      </c>
      <c r="H178" s="289" t="inlineStr">
        <is>
          <t>Range</t>
        </is>
      </c>
      <c r="I178" s="292" t="inlineStr">
        <is>
          <t>NA</t>
        </is>
      </c>
      <c r="J178" s="292" t="inlineStr">
        <is>
          <t>NA</t>
        </is>
      </c>
      <c r="K178" s="292" t="inlineStr">
        <is>
          <t>Form Type - TextBox</t>
        </is>
      </c>
      <c r="L178" s="215" t="inlineStr">
        <is>
          <t>NA</t>
        </is>
      </c>
      <c r="M178" s="229" t="inlineStr">
        <is>
          <t>0-7 = fcs_vegetables_days</t>
        </is>
      </c>
      <c r="N178" s="364" t="n"/>
      <c r="O178" s="229" t="inlineStr">
        <is>
          <t>For any response, go to fcs_vegetables_days</t>
        </is>
      </c>
      <c r="P178" s="229" t="inlineStr"/>
      <c r="Q178" s="284" t="n"/>
      <c r="R178" s="317" t="n">
        <v>1</v>
      </c>
      <c r="S178" s="217" t="n"/>
      <c r="U178" s="219" t="inlineStr">
        <is>
          <t>no</t>
        </is>
      </c>
      <c r="V178" s="220" t="n"/>
      <c r="Y178" s="633" t="n">
        <v>18.27383232116699</v>
      </c>
      <c r="Z178" s="633">
        <f>IF(Y178="","",Y178*R178)</f>
        <v/>
      </c>
      <c r="AA178" s="217" t="inlineStr"/>
    </row>
    <row r="179" ht="115.5" customFormat="1" customHeight="1" s="218">
      <c r="A179" s="125">
        <f>A178+1</f>
        <v/>
      </c>
      <c r="B179" s="290" t="inlineStr">
        <is>
          <t>fcs_vegetables_days</t>
        </is>
      </c>
      <c r="C179" s="291" t="inlineStr">
        <is>
          <t>fcs_vegetables_days</t>
        </is>
      </c>
      <c r="D179" s="578" t="inlineStr">
        <is>
          <t>How many days over the last 7 days, did members of your household eat vegetables or leaves such as tomatoes, okra, zucchini, cauliflower, cucumber, onions and/or other leaves/vegetables?
[OPERATOR: RECORD NUMBER OF DAYS 0 - 7] 
[HINT: IF CONSUMED ONLY IN SMALL QUANTITY, DO NOT INCLUDE.]</t>
        </is>
      </c>
      <c r="E179" s="292">
        <f>LEN(D179)</f>
        <v/>
      </c>
      <c r="F179" s="578" t="inlineStr">
        <is>
          <t>كم يومًا خلال السبعة أيام الماضية ، أكل أفراد أسرتك خضروات أو خضار ورقية مثل  طماطم ، بامية ، كوسة ، قرنييط (زهرة) ، خيار ، بصل و / أو خضار ورقية / خضروات أخرى؟
[المُشغل: سجل عدد الأيام من صفر إلى 7]
[ملحوظة: إذا تم تناول هذه الأطعمة بكميات صغيرة فقط ، فلا تقم بتضمينها.]</t>
        </is>
      </c>
      <c r="G179" s="292">
        <f>LEN(F179)</f>
        <v/>
      </c>
      <c r="H179" s="289" t="inlineStr">
        <is>
          <t>Range</t>
        </is>
      </c>
      <c r="I179" s="292" t="inlineStr">
        <is>
          <t>NA</t>
        </is>
      </c>
      <c r="J179" s="292" t="inlineStr">
        <is>
          <t>NA</t>
        </is>
      </c>
      <c r="K179" s="292" t="inlineStr">
        <is>
          <t>Form Type - TextBox</t>
        </is>
      </c>
      <c r="L179" s="215" t="inlineStr">
        <is>
          <t>NA</t>
        </is>
      </c>
      <c r="M179" s="229" t="inlineStr">
        <is>
          <t>0-7 = fcs_fruit_days</t>
        </is>
      </c>
      <c r="N179" s="364" t="n"/>
      <c r="O179" s="229" t="inlineStr">
        <is>
          <t>For any response, go to fcs_fruit_days</t>
        </is>
      </c>
      <c r="P179" s="229" t="inlineStr"/>
      <c r="Q179" s="284" t="n"/>
      <c r="R179" s="317" t="n">
        <v>1</v>
      </c>
      <c r="S179" s="217" t="n"/>
      <c r="U179" s="219" t="inlineStr">
        <is>
          <t>no</t>
        </is>
      </c>
      <c r="V179" s="220" t="n"/>
      <c r="Y179" s="633" t="n">
        <v>16.35211563110352</v>
      </c>
      <c r="Z179" s="633">
        <f>IF(Y179="","",Y179*R179)</f>
        <v/>
      </c>
      <c r="AA179" s="217" t="inlineStr"/>
    </row>
    <row r="180" ht="78" customFormat="1" customHeight="1" s="218">
      <c r="A180" s="125">
        <f>A179+1</f>
        <v/>
      </c>
      <c r="B180" s="290" t="inlineStr">
        <is>
          <t>fcs_fruit_days</t>
        </is>
      </c>
      <c r="C180" s="291" t="inlineStr">
        <is>
          <t>fcs_fruit_days</t>
        </is>
      </c>
      <c r="D180" s="578" t="inlineStr">
        <is>
          <t>How many days over the last 7 days, did members of your household eat fruit such as apple, orange, banana, grapes, mango, papaya, fig, muskmelon, red watermelon, dates and/or other fruits?
[OPERATOR: RECORD NUMBER OF DAYS 0 - 7]
[HINT: IF CONSUMED ONLY IN SMALL QUANTITY, DO NOT INCLUDE.]</t>
        </is>
      </c>
      <c r="E180" s="292">
        <f>LEN(D180)</f>
        <v/>
      </c>
      <c r="F180" s="578" t="inlineStr">
        <is>
          <t>كم يومًا خلال السبعة أيام الماضية ، تناول أفراد أسرتك فواكه مثل التفاح / البرتقال ، الموز ، العنب ، المانجو ، البابايا ، التين ، الشمام ، البطيخ الاحمر ، البلح و / أو غيرها من الفواكه؟
[المُشغل: سجل عدد الأيام من صفر إلى 7]
[ملحوظة: إذا تم تناول هذه الأطعمة بكميات صغيرة فقط ، فلا تقم بتضمينها.]</t>
        </is>
      </c>
      <c r="G180" s="292">
        <f>LEN(F180)</f>
        <v/>
      </c>
      <c r="H180" s="289" t="inlineStr">
        <is>
          <t>Range</t>
        </is>
      </c>
      <c r="I180" s="292" t="inlineStr">
        <is>
          <t>NA</t>
        </is>
      </c>
      <c r="J180" s="292" t="inlineStr">
        <is>
          <t>NA</t>
        </is>
      </c>
      <c r="K180" s="292" t="inlineStr">
        <is>
          <t>Form Type - TextBox</t>
        </is>
      </c>
      <c r="L180" s="215" t="inlineStr">
        <is>
          <t>NA</t>
        </is>
      </c>
      <c r="M180" s="229" t="inlineStr">
        <is>
          <t>0-7 = fcs_meat_fish_days</t>
        </is>
      </c>
      <c r="N180" s="364" t="n"/>
      <c r="O180" s="229" t="inlineStr">
        <is>
          <t>For any response, go to fcs_meat_fish_days</t>
        </is>
      </c>
      <c r="P180" s="229" t="inlineStr"/>
      <c r="Q180" s="284" t="n"/>
      <c r="R180" s="317" t="n">
        <v>1</v>
      </c>
      <c r="S180" s="217" t="n"/>
      <c r="U180" s="219" t="inlineStr">
        <is>
          <t>no</t>
        </is>
      </c>
      <c r="V180" s="220" t="n"/>
      <c r="Y180" s="633" t="n">
        <v>14.01507568359375</v>
      </c>
      <c r="Z180" s="633">
        <f>IF(Y180="","",Y180*R180)</f>
        <v/>
      </c>
      <c r="AA180" s="217" t="inlineStr"/>
    </row>
    <row r="181" ht="93.65000000000001" customFormat="1" customHeight="1" s="218">
      <c r="A181" s="125">
        <f>A180+1</f>
        <v/>
      </c>
      <c r="B181" s="290" t="inlineStr">
        <is>
          <t>fcs_meat_fish_days</t>
        </is>
      </c>
      <c r="C181" s="291" t="inlineStr">
        <is>
          <t>fcs_meat_fish_days</t>
        </is>
      </c>
      <c r="D181" s="578" t="inlineStr">
        <is>
          <t>How many days over the last 7 days, did members of your household eat meat, eggs or fish [any type of meat or fish including insects, birds, bush meat, seafood, or organs]?
[OPERATOR: RECORD NUMBER OF DAYS 0 - 7]
[HINT: IF CONSUMED ONLY IN SMALL QUANTITY, DO NOT INCLUDE.]</t>
        </is>
      </c>
      <c r="E181" s="292">
        <f>LEN(D181)</f>
        <v/>
      </c>
      <c r="F181" s="578" t="inlineStr">
        <is>
          <t>كم يومًا خلال السبعة أيام الماضية ، تناول أفراد أسرتك اللحوم أو البيض أو الأسماك [أي نوع من اللحوم أو الأسماك بما في ذلك الحشرات أو الطيور أو لحوم الحيوانات البرية أو المأكولات البحرية أو لحوم الأعضاء] ؟
[المُشغل: سجل عدد الأيام من صفر إلى 7]
[ملحوظة: إذا تم تناول هذه الأطعمة بكميات صغيرة فقط ، فلا تقم بتضمينها.]</t>
        </is>
      </c>
      <c r="G181" s="292">
        <f>LEN(F181)</f>
        <v/>
      </c>
      <c r="H181" s="289" t="inlineStr">
        <is>
          <t>Range</t>
        </is>
      </c>
      <c r="I181" s="292" t="inlineStr">
        <is>
          <t>NA</t>
        </is>
      </c>
      <c r="J181" s="292" t="inlineStr">
        <is>
          <t>NA</t>
        </is>
      </c>
      <c r="K181" s="292" t="inlineStr">
        <is>
          <t>Form Type - TextBox</t>
        </is>
      </c>
      <c r="L181" s="215" t="inlineStr">
        <is>
          <t>NA</t>
        </is>
      </c>
      <c r="M181" s="229" t="inlineStr">
        <is>
          <t>0-7 = fcs_dairy_days</t>
        </is>
      </c>
      <c r="N181" s="364" t="n"/>
      <c r="O181" s="229" t="inlineStr">
        <is>
          <t>For any response, go to fcs_dairy_days</t>
        </is>
      </c>
      <c r="P181" s="229" t="inlineStr"/>
      <c r="Q181" s="284" t="n"/>
      <c r="R181" s="317" t="n">
        <v>1</v>
      </c>
      <c r="S181" s="217" t="n"/>
      <c r="U181" s="219" t="inlineStr">
        <is>
          <t>no</t>
        </is>
      </c>
      <c r="V181" s="220" t="n"/>
      <c r="Y181" s="633" t="n">
        <v>17.22746658325195</v>
      </c>
      <c r="Z181" s="633">
        <f>IF(Y181="","",Y181*R181)</f>
        <v/>
      </c>
      <c r="AA181" s="217" t="inlineStr"/>
    </row>
    <row r="182" ht="93.65000000000001" customFormat="1" customHeight="1" s="218">
      <c r="A182" s="125">
        <f>A181+1</f>
        <v/>
      </c>
      <c r="B182" s="290" t="inlineStr">
        <is>
          <t>fcs_dairy_days</t>
        </is>
      </c>
      <c r="C182" s="291" t="inlineStr">
        <is>
          <t>fcs_dairy_days</t>
        </is>
      </c>
      <c r="D182" s="578" t="inlineStr">
        <is>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is>
      </c>
      <c r="E182" s="292">
        <f>LEN(D182)</f>
        <v/>
      </c>
      <c r="F182" s="578" t="inlineStr">
        <is>
          <t>كم يومًا خلال السبعة أيام الماضية ، استهلك أفراد أسرتك الحليب الطازج أو اللبن الرائب أو الزبادي أو الجبن أو منتجات الألبان الأخرى؟ [باستثناء المارجرين / الزبدة أو كميات صغيرة من الحليب للشاي / القهوة]
[المُشغل: سجل عدد الأيام من صفر إلى 7]
[ملحوظة: إذا تم تناول هذه الأطعمة بكميات صغيرة فقط ، فلا تقم بتضمينها.]</t>
        </is>
      </c>
      <c r="G182" s="292">
        <f>LEN(F182)</f>
        <v/>
      </c>
      <c r="H182" s="289" t="inlineStr">
        <is>
          <t>Range</t>
        </is>
      </c>
      <c r="I182" s="292" t="inlineStr">
        <is>
          <t>NA</t>
        </is>
      </c>
      <c r="J182" s="292" t="inlineStr">
        <is>
          <t>NA</t>
        </is>
      </c>
      <c r="K182" s="292" t="inlineStr">
        <is>
          <t>Form Type - TextBox</t>
        </is>
      </c>
      <c r="L182" s="215" t="inlineStr">
        <is>
          <t>NA</t>
        </is>
      </c>
      <c r="M182" s="229" t="inlineStr">
        <is>
          <t>0-7 = fcs_sugar_days</t>
        </is>
      </c>
      <c r="N182" s="364" t="n"/>
      <c r="O182" s="229" t="inlineStr">
        <is>
          <t>For any response, go to fcs_sugar_days</t>
        </is>
      </c>
      <c r="P182" s="229" t="inlineStr"/>
      <c r="Q182" s="284" t="n"/>
      <c r="R182" s="317" t="n">
        <v>1</v>
      </c>
      <c r="S182" s="217" t="n"/>
      <c r="U182" s="219" t="inlineStr">
        <is>
          <t>no</t>
        </is>
      </c>
      <c r="V182" s="220" t="n"/>
      <c r="Y182" s="633" t="n">
        <v>19.49277471670652</v>
      </c>
      <c r="Z182" s="633">
        <f>IF(Y182="","",Y182*R182)</f>
        <v/>
      </c>
      <c r="AA182" s="217" t="inlineStr"/>
    </row>
    <row r="183" ht="93.65000000000001" customFormat="1" customHeight="1" s="218">
      <c r="A183" s="125">
        <f>A182+1</f>
        <v/>
      </c>
      <c r="B183" s="290" t="inlineStr">
        <is>
          <t>fcs_sugar_days</t>
        </is>
      </c>
      <c r="C183" s="291" t="inlineStr">
        <is>
          <t>fcs_sugar_days</t>
        </is>
      </c>
      <c r="D183" s="578" t="inlineStr">
        <is>
          <t>How many days over the last 7 days, did members of your household consume sugar or sweets such as sugar, honey, jam, cakes, candy, cookies, pastries, cakes and other sweets and sugary drinks?
[OPERATOR: RECORD NUMBER OF DAYS 0 - 7]
[HINT: IF CONSUMED ONLY IN SMALL QUANTITY, DO NOT INCLUDE.]</t>
        </is>
      </c>
      <c r="E183" s="292">
        <f>LEN(D183)</f>
        <v/>
      </c>
      <c r="F183" s="578" t="inlineStr">
        <is>
          <t>كم يومًا خلال السبعة أيام الماضية ، استهلك أفراد أسرتك السكر أو الحلوى مثل السكر والعسل والمربى والكيك والحلو والبسكويت والحلويات الأخرى والمشروبات السكرية؟
[المُشغل: سجل عدد الأيام من صفر إلى 7]
[ملحوظة: إذا تم تناول هذه الأطعمة بكميات صغيرة فقط ، فلا تقم بتضمينها.]</t>
        </is>
      </c>
      <c r="G183" s="292">
        <f>LEN(F183)</f>
        <v/>
      </c>
      <c r="H183" s="289" t="inlineStr">
        <is>
          <t>Range</t>
        </is>
      </c>
      <c r="I183" s="292" t="inlineStr">
        <is>
          <t>NA</t>
        </is>
      </c>
      <c r="J183" s="292" t="inlineStr">
        <is>
          <t>NA</t>
        </is>
      </c>
      <c r="K183" s="292" t="inlineStr">
        <is>
          <t>Form Type - TextBox</t>
        </is>
      </c>
      <c r="L183" s="215" t="inlineStr">
        <is>
          <t>NA</t>
        </is>
      </c>
      <c r="M183" s="229" t="inlineStr">
        <is>
          <t>0-7 = fcs_oil_days</t>
        </is>
      </c>
      <c r="N183" s="364" t="n"/>
      <c r="O183" s="229" t="inlineStr">
        <is>
          <t>For any response, go to fcs_oil_days</t>
        </is>
      </c>
      <c r="P183" s="229" t="inlineStr"/>
      <c r="Q183" s="284" t="n"/>
      <c r="R183" s="317" t="n">
        <v>1</v>
      </c>
      <c r="S183" s="217" t="n"/>
      <c r="U183" s="219" t="inlineStr">
        <is>
          <t>no</t>
        </is>
      </c>
      <c r="V183" s="220" t="n"/>
      <c r="Y183" s="633" t="n">
        <v>14.17413425445557</v>
      </c>
      <c r="Z183" s="633">
        <f>IF(Y183="","",Y183*R183)</f>
        <v/>
      </c>
      <c r="AA183" s="217" t="inlineStr"/>
    </row>
    <row r="184" ht="93.65000000000001" customFormat="1" customHeight="1" s="218">
      <c r="A184" s="125">
        <f>A183+1</f>
        <v/>
      </c>
      <c r="B184" s="290" t="inlineStr">
        <is>
          <t>fcs_oil_days</t>
        </is>
      </c>
      <c r="C184" s="291" t="inlineStr">
        <is>
          <t>fcs_oil_days</t>
        </is>
      </c>
      <c r="D184" s="578" t="inlineStr">
        <is>
          <t>How many days over the last 7 days, did members of your household eat oil/fat/butter such as vegetable oil, palm oil, groundnut oil, margarine, other fats / oil?
[OPERATOR: RECORD NUMBER OF DAYS 0 - 7]
[HINT: IF CONSUMED ONLY IN SMALL QUANTITY, DO NOT INCLUDE.]</t>
        </is>
      </c>
      <c r="E184" s="292">
        <f>LEN(D184)</f>
        <v/>
      </c>
      <c r="F184" s="578" t="inlineStr">
        <is>
          <t>كم يومًا خلال السبعة أيام الماضية ، تناول أفراد أسرتك الزيت / الدهون / الزبدة مثل الزيت النباتي وزيت النخيل وزيت الفول السوداني والسمن النباتي والدهون / الزيوت الأخرى؟
[المُشغل: سجل عدد الأيام من صفر إلى 7]
[ملحوظة: إذا تم تناول هذه الأطعمة بكميات صغيرة فقط ، فلا تقم بتضمينها.]</t>
        </is>
      </c>
      <c r="G184" s="292">
        <f>LEN(F184)</f>
        <v/>
      </c>
      <c r="H184" s="289" t="inlineStr">
        <is>
          <t>Range</t>
        </is>
      </c>
      <c r="I184" s="292" t="inlineStr">
        <is>
          <t>NA</t>
        </is>
      </c>
      <c r="J184" s="292" t="inlineStr">
        <is>
          <t>NA</t>
        </is>
      </c>
      <c r="K184" s="292" t="inlineStr">
        <is>
          <t>Form Type - TextBox</t>
        </is>
      </c>
      <c r="L184" s="215" t="inlineStr">
        <is>
          <t>NA</t>
        </is>
      </c>
      <c r="M184" s="229" t="inlineStr">
        <is>
          <t>0-7 = fcs_condiments_days</t>
        </is>
      </c>
      <c r="N184" s="364" t="n"/>
      <c r="O184" s="229" t="inlineStr">
        <is>
          <t>For any response, go to fcs_condiments_days</t>
        </is>
      </c>
      <c r="P184" s="229" t="inlineStr"/>
      <c r="Q184" s="284" t="n"/>
      <c r="R184" s="317" t="n">
        <v>1</v>
      </c>
      <c r="S184" s="217" t="n"/>
      <c r="U184" s="219" t="inlineStr">
        <is>
          <t>no</t>
        </is>
      </c>
      <c r="V184" s="220" t="n"/>
      <c r="Y184" s="633" t="n">
        <v>13.37862586975098</v>
      </c>
      <c r="Z184" s="633">
        <f>IF(Y184="","",Y184*R184)</f>
        <v/>
      </c>
      <c r="AA184" s="217" t="inlineStr"/>
    </row>
    <row r="185" ht="93.65000000000001" customFormat="1" customHeight="1" s="218">
      <c r="A185" s="125">
        <f>A184+1</f>
        <v/>
      </c>
      <c r="B185" s="290" t="inlineStr">
        <is>
          <t>fcs_condiments_days</t>
        </is>
      </c>
      <c r="C185" s="291" t="inlineStr">
        <is>
          <t>fcs_condiments_days</t>
        </is>
      </c>
      <c r="D185" s="578" t="inlineStr">
        <is>
          <t>How many days over the last 7 days, did members of your household eat spices or condiments such as tea, coffee, cocoa, salt, garlic, spices, yeast, meat fish as a condiment or small amounts of milk for tea or coffee?
[OPERATOR: RECORD NUMBER OF DAYS 0 - 7]</t>
        </is>
      </c>
      <c r="E185" s="292">
        <f>LEN(D185)</f>
        <v/>
      </c>
      <c r="F185" s="578" t="inlineStr">
        <is>
          <t>كم يومًا خلال السبعة أيام الماضية ، تناول أفراد أسرتك البهارات أو التوابل مثل الشاي أو القهوة أو الكاكاو أو الملح أو الثوم أو البهارات أو الخميرة أو اللحوم والأسماك كتوابل أو كميات صغيرة من الحليب للشاي أو القهوة؟
[المُشغل: سجل عدد الأيام من صفر إلى 7]
[ملحوظة: إذا تم تناول هذه الأطعمة بكميات صغيرة فقط ، فلا تقم بتضمينها.]</t>
        </is>
      </c>
      <c r="G185" s="292">
        <f>LEN(F185)</f>
        <v/>
      </c>
      <c r="H185" s="289" t="inlineStr">
        <is>
          <t>Range</t>
        </is>
      </c>
      <c r="I185" s="292" t="inlineStr">
        <is>
          <t>NA</t>
        </is>
      </c>
      <c r="J185" s="292" t="inlineStr">
        <is>
          <t>NA</t>
        </is>
      </c>
      <c r="K185" s="292" t="inlineStr">
        <is>
          <t>Form Type - TextBox</t>
        </is>
      </c>
      <c r="L185" s="215" t="inlineStr">
        <is>
          <t>NA</t>
        </is>
      </c>
      <c r="M185" s="229" t="inlineStr">
        <is>
          <t>0-7 = rcsi_intro</t>
        </is>
      </c>
      <c r="N185" s="364" t="n"/>
      <c r="O185" s="229" t="inlineStr">
        <is>
          <t>For any response, go to rcsi_intro</t>
        </is>
      </c>
      <c r="P185" s="229" t="inlineStr"/>
      <c r="Q185" s="284" t="n"/>
      <c r="R185" s="317" t="n">
        <v>1</v>
      </c>
      <c r="S185" s="217" t="n"/>
      <c r="U185" s="219" t="inlineStr">
        <is>
          <t>no</t>
        </is>
      </c>
      <c r="V185" s="220" t="n"/>
      <c r="Y185" s="633" t="n">
        <v>12.75652313232422</v>
      </c>
      <c r="Z185" s="633">
        <f>IF(Y185="","",Y185*R185)</f>
        <v/>
      </c>
      <c r="AA185" s="217" t="inlineStr"/>
    </row>
    <row r="186" ht="78" customFormat="1" customHeight="1" s="218">
      <c r="A186" s="125">
        <f>A185+1</f>
        <v/>
      </c>
      <c r="B186" s="290" t="inlineStr">
        <is>
          <t>rcsi_intro</t>
        </is>
      </c>
      <c r="C186" s="291" t="inlineStr">
        <is>
          <t>rcsi_intro</t>
        </is>
      </c>
      <c r="D186" s="578" t="inlineStr">
        <is>
          <t>Now I will ask you about the number of days, in the last 7 days, during which the household has done some of the actions that I will mention to cope with the lack of food or money to buy food.
1)CONTINUE</t>
        </is>
      </c>
      <c r="E186" s="292">
        <f>LEN(D186)</f>
        <v/>
      </c>
      <c r="F186" s="578" t="inlineStr">
        <is>
          <t>الآن سوف أسألك عن عدد الأيام ، في الأيام السبعة الماضية ، والتي قامت خلالها الأسرة ببعض الإجراءات التي سأذكرها للتغلب على نقص الطعام أو المال لشراء الطعام.
1) تابع</t>
        </is>
      </c>
      <c r="G186" s="292">
        <f>LEN(F186)</f>
        <v/>
      </c>
      <c r="H186" s="289" t="inlineStr">
        <is>
          <t>Single Choice</t>
        </is>
      </c>
      <c r="I186" s="292" t="inlineStr">
        <is>
          <t>NA</t>
        </is>
      </c>
      <c r="J186" s="292" t="inlineStr">
        <is>
          <t>NA</t>
        </is>
      </c>
      <c r="K186" s="292" t="inlineStr">
        <is>
          <t>Form Type - Buttons</t>
        </is>
      </c>
      <c r="L186" s="215" t="inlineStr">
        <is>
          <t>NA</t>
        </is>
      </c>
      <c r="M186" s="229" t="inlineStr">
        <is>
          <t>1 = rcsi_less_preferred_foods</t>
        </is>
      </c>
      <c r="N186" s="364" t="n"/>
      <c r="O186" s="229" t="inlineStr">
        <is>
          <t>For any response, go to rcsi_less_preferred_foods</t>
        </is>
      </c>
      <c r="P186" s="229" t="inlineStr"/>
      <c r="Q186" s="284" t="n"/>
      <c r="R186" s="317" t="n">
        <v>1</v>
      </c>
      <c r="S186" s="217" t="n"/>
      <c r="U186" s="219" t="inlineStr">
        <is>
          <t>no</t>
        </is>
      </c>
      <c r="V186" s="220" t="n"/>
      <c r="Y186" s="633" t="n">
        <v>5.834917068481445</v>
      </c>
      <c r="Z186" s="633">
        <f>IF(Y186="","",Y186*R186)</f>
        <v/>
      </c>
      <c r="AA186" s="217" t="inlineStr"/>
    </row>
    <row r="187" ht="87" customFormat="1" customHeight="1" s="218">
      <c r="A187" s="125">
        <f>A186+1</f>
        <v/>
      </c>
      <c r="B187" s="290" t="inlineStr">
        <is>
          <t>rcsi_less_preferred_foods</t>
        </is>
      </c>
      <c r="C187" s="291" t="inlineStr">
        <is>
          <t>rcsi_less_preferred_foods</t>
        </is>
      </c>
      <c r="D187" s="578" t="inlineStr">
        <is>
          <t>In the past 7 days, how many days did your household rely on less preferred or less expensive food due to lack of food/money?  
[OPERATOR: RECORD NUMBER OF DAYS 0 - 7 ]</t>
        </is>
      </c>
      <c r="E187" s="292">
        <f>LEN(D187)</f>
        <v/>
      </c>
      <c r="F187" s="578" t="inlineStr">
        <is>
          <t>في الأيام السبعة الماضية ، كم عدد الأيام التي اعتمدت فيها أسرتك على طعام أقل تفضيلًا أو أقل تكلفة بسبب نقص الطعام / المال؟
[المُشغل: سجل عدد الأيام من صفر إلى 7]</t>
        </is>
      </c>
      <c r="G187" s="292">
        <f>LEN(F187)</f>
        <v/>
      </c>
      <c r="H187" s="294" t="inlineStr">
        <is>
          <t>Range</t>
        </is>
      </c>
      <c r="I187" s="292" t="inlineStr">
        <is>
          <t>NA</t>
        </is>
      </c>
      <c r="J187" s="292" t="inlineStr">
        <is>
          <t>NA</t>
        </is>
      </c>
      <c r="K187" s="292" t="inlineStr">
        <is>
          <t>Form Type - TextBox</t>
        </is>
      </c>
      <c r="L187" s="215" t="inlineStr">
        <is>
          <t>NA</t>
        </is>
      </c>
      <c r="M187" s="229" t="inlineStr">
        <is>
          <t>0-7 = rcsi_borrowed_food</t>
        </is>
      </c>
      <c r="N187" s="364" t="n"/>
      <c r="O187" s="229" t="inlineStr">
        <is>
          <t>For any response, go to rcsi_borrowed_food</t>
        </is>
      </c>
      <c r="P187" s="229" t="inlineStr"/>
      <c r="Q187" s="284" t="n"/>
      <c r="R187" s="317" t="n">
        <v>1</v>
      </c>
      <c r="S187" s="217" t="n"/>
      <c r="U187" s="219" t="inlineStr">
        <is>
          <t>no</t>
        </is>
      </c>
      <c r="V187" s="220" t="n"/>
      <c r="Y187" s="633" t="n">
        <v>28.60844549470872</v>
      </c>
      <c r="Z187" s="633">
        <f>IF(Y187="","",Y187*R187)</f>
        <v/>
      </c>
      <c r="AA187" s="217" t="inlineStr"/>
    </row>
    <row r="188" ht="78" customFormat="1" customHeight="1" s="218">
      <c r="A188" s="125">
        <f>A187+1</f>
        <v/>
      </c>
      <c r="B188" s="290" t="inlineStr">
        <is>
          <t>rcsi_borrowed_food</t>
        </is>
      </c>
      <c r="C188" s="291" t="inlineStr">
        <is>
          <t>rcsi_borrowed_food</t>
        </is>
      </c>
      <c r="D188" s="578" t="inlineStr">
        <is>
          <t>In the past 7 days, how many days did your household borrow food, or rely on help from a friend or relative due to lack of food or money to buy food? 
[OPERATOR: RECORD NUMBER OF DAYS 0 - 7 ]</t>
        </is>
      </c>
      <c r="E188" s="292">
        <f>LEN(D188)</f>
        <v/>
      </c>
      <c r="F188" s="578" t="inlineStr">
        <is>
          <t>في الأيام السبعة الماضية ، كم عدد الأيام التي استعارت فيها أسرتك الطعام ، أو اعتمدت على المساعدة من صديق أو قريب بسبب نقص الطعام أو المال لشراء الطعام؟
[المُشغل: سجل عدد الأيام من صفر إلى 7]</t>
        </is>
      </c>
      <c r="G188" s="292">
        <f>LEN(F188)</f>
        <v/>
      </c>
      <c r="H188" s="294" t="inlineStr">
        <is>
          <t>Range</t>
        </is>
      </c>
      <c r="I188" s="292" t="inlineStr">
        <is>
          <t>NA</t>
        </is>
      </c>
      <c r="J188" s="292" t="inlineStr">
        <is>
          <t>NA</t>
        </is>
      </c>
      <c r="K188" s="292" t="inlineStr">
        <is>
          <t>Form Type - TextBox</t>
        </is>
      </c>
      <c r="L188" s="215" t="inlineStr">
        <is>
          <t>NA</t>
        </is>
      </c>
      <c r="M188" s="229" t="inlineStr">
        <is>
          <t>0-7 = rcsi_reduce_number_meals</t>
        </is>
      </c>
      <c r="N188" s="364" t="n"/>
      <c r="O188" s="229" t="inlineStr">
        <is>
          <t>For any response, go to rcsi_reduce_number_meals</t>
        </is>
      </c>
      <c r="P188" s="229" t="inlineStr"/>
      <c r="Q188" s="284" t="n"/>
      <c r="R188" s="317" t="n">
        <v>1</v>
      </c>
      <c r="S188" s="217" t="n"/>
      <c r="U188" s="219" t="inlineStr">
        <is>
          <t>no</t>
        </is>
      </c>
      <c r="V188" s="220" t="n"/>
      <c r="Y188" s="633" t="n">
        <v>14.61820602416992</v>
      </c>
      <c r="Z188" s="633">
        <f>IF(Y188="","",Y188*R188)</f>
        <v/>
      </c>
      <c r="AA188" s="217" t="inlineStr"/>
    </row>
    <row r="189" ht="87.75" customFormat="1" customHeight="1" s="218">
      <c r="A189" s="125">
        <f>A188+1</f>
        <v/>
      </c>
      <c r="B189" s="231" t="inlineStr">
        <is>
          <t>rcsi_reduce_number_meals</t>
        </is>
      </c>
      <c r="C189" s="233" t="inlineStr">
        <is>
          <t>rcsi_reduce_number_meals</t>
        </is>
      </c>
      <c r="D189" s="578" t="inlineStr">
        <is>
          <t>In the past 7 days, how many days did your household reduce the number of meals eaten in a day due to lack of food or money to buy food?
[OPERATOR: RECORD NUMBER OF DAYS 0 - 7 ]</t>
        </is>
      </c>
      <c r="E189" s="292">
        <f>LEN(D189)</f>
        <v/>
      </c>
      <c r="F189" s="578" t="inlineStr">
        <is>
          <t>في الأيام السبعة الماضية ، كم عدد الأيام التي قللت فيها أسرتك عدد الوجبات التي يتم تناولها في اليوم بسبب نقص الطعام أو المال لشراء الطعام؟
[المُشغل: سجل عدد الأيام من صفر إلى 7]</t>
        </is>
      </c>
      <c r="G189" s="292">
        <f>LEN(F189)</f>
        <v/>
      </c>
      <c r="H189" s="294" t="inlineStr">
        <is>
          <t>Range</t>
        </is>
      </c>
      <c r="I189" s="292" t="inlineStr">
        <is>
          <t>NA</t>
        </is>
      </c>
      <c r="J189" s="292" t="inlineStr">
        <is>
          <t>NA</t>
        </is>
      </c>
      <c r="K189" s="292" t="inlineStr">
        <is>
          <t>Form Type - TextBox</t>
        </is>
      </c>
      <c r="L189" s="215" t="inlineStr">
        <is>
          <t>NA</t>
        </is>
      </c>
      <c r="M189" s="229" t="inlineStr">
        <is>
          <t>0-7 = rcsi_limit_portions</t>
        </is>
      </c>
      <c r="N189" s="364" t="n"/>
      <c r="O189" s="229" t="inlineStr">
        <is>
          <t>For any response, go to rcsi_limit_portions</t>
        </is>
      </c>
      <c r="P189" s="229" t="inlineStr"/>
      <c r="Q189" s="284" t="n"/>
      <c r="R189" s="317" t="n">
        <v>1</v>
      </c>
      <c r="S189" s="217" t="n"/>
      <c r="U189" s="219" t="inlineStr">
        <is>
          <t>no</t>
        </is>
      </c>
      <c r="V189" s="220" t="n"/>
      <c r="Y189" s="633" t="n">
        <v>13.777663230896</v>
      </c>
      <c r="Z189" s="633">
        <f>IF(Y189="","",Y189*R189)</f>
        <v/>
      </c>
      <c r="AA189" s="217" t="inlineStr"/>
    </row>
    <row r="190" ht="85.5" customFormat="1" customHeight="1" s="218">
      <c r="A190" s="125">
        <f>A189+1</f>
        <v/>
      </c>
      <c r="B190" s="290" t="inlineStr">
        <is>
          <t>rcsi_limit_portions</t>
        </is>
      </c>
      <c r="C190" s="291" t="inlineStr">
        <is>
          <t>rcsi_limit_portions</t>
        </is>
      </c>
      <c r="D190" s="578" t="inlineStr">
        <is>
          <t>In the past 7 days, how many days did your household limit portion sizes at mealtime due to lack of food or money to buy food? 
[OPERATOR: RECORD NUMBER OF DAYS 0 - 7 ]</t>
        </is>
      </c>
      <c r="E190" s="292">
        <f>LEN(D190)</f>
        <v/>
      </c>
      <c r="F190" s="578" t="inlineStr">
        <is>
          <t>في الأيام السبعة الماضية ، كم عدد الأيام التي حددت فيها أسرتك أحجام الحصص في وقت الوجبة بسبب نقص الطعام أو المال لشراء الطعام؟
[المُشغل: سجل عدد الأيام من صفر إلى 7]</t>
        </is>
      </c>
      <c r="G190" s="292">
        <f>LEN(F190)</f>
        <v/>
      </c>
      <c r="H190" s="294" t="inlineStr">
        <is>
          <t>Range</t>
        </is>
      </c>
      <c r="I190" s="292" t="inlineStr">
        <is>
          <t>NA</t>
        </is>
      </c>
      <c r="J190" s="292" t="inlineStr">
        <is>
          <t>NA</t>
        </is>
      </c>
      <c r="K190" s="292" t="inlineStr">
        <is>
          <t>Form Type - TextBox</t>
        </is>
      </c>
      <c r="L190" s="215" t="inlineStr">
        <is>
          <t>NA</t>
        </is>
      </c>
      <c r="M190" s="229" t="inlineStr">
        <is>
          <t>0-7 = rcsi_restrict_adult_consumpt</t>
        </is>
      </c>
      <c r="N190" s="364" t="n"/>
      <c r="O190" s="229" t="inlineStr">
        <is>
          <t>For any response, go to rcsi_restrict_adult_consumpt</t>
        </is>
      </c>
      <c r="P190" s="229" t="inlineStr"/>
      <c r="Q190" s="283" t="n"/>
      <c r="R190" s="317" t="n">
        <v>1</v>
      </c>
      <c r="S190" s="217" t="n"/>
      <c r="U190" s="219" t="inlineStr">
        <is>
          <t>no</t>
        </is>
      </c>
      <c r="V190" s="220" t="n"/>
      <c r="Y190" s="633" t="n">
        <v>12.39977359771729</v>
      </c>
      <c r="Z190" s="633">
        <f>IF(Y190="","",Y190*R190)</f>
        <v/>
      </c>
      <c r="AA190" s="217" t="inlineStr"/>
    </row>
    <row r="191" ht="95.25" customFormat="1" customHeight="1" s="218">
      <c r="A191" s="125">
        <f>A190+1</f>
        <v/>
      </c>
      <c r="B191" s="231" t="inlineStr">
        <is>
          <t>rcsi_restrict_adult_consumpt</t>
        </is>
      </c>
      <c r="C191" s="233" t="inlineStr">
        <is>
          <t>rcsi_restrict_adult_consumpt</t>
        </is>
      </c>
      <c r="D191" s="285" t="inlineStr">
        <is>
          <t>In the past 7 days, how many days did your household restrict consumption by adults so children could eat, due to lack of food or money to buy food?
[OPERATOR: RECORD NUMBER OF DAYS 0 - 7 ]</t>
        </is>
      </c>
      <c r="E191" s="245">
        <f>LEN(D191)</f>
        <v/>
      </c>
      <c r="F191" s="286" t="inlineStr">
        <is>
          <t>في الأيام السبعة الماضية ، كم عدد الأيام التي قامت فيها أسرتك بتقييد استهلاك البالغين حتى يتمكن الأطفال من تناول الطعام ، بسبب نقص الطعام أو المال لشراء الطعام؟
[المُشغل: سجل عدد الأيام من صفر إلى 7]</t>
        </is>
      </c>
      <c r="G191" s="245">
        <f>LEN(F191)</f>
        <v/>
      </c>
      <c r="H191" s="287" t="inlineStr">
        <is>
          <t>Range</t>
        </is>
      </c>
      <c r="I191" s="247" t="inlineStr">
        <is>
          <t>NA</t>
        </is>
      </c>
      <c r="J191" s="247" t="inlineStr">
        <is>
          <t>NA</t>
        </is>
      </c>
      <c r="K191" s="245" t="inlineStr">
        <is>
          <t>Form Type - TextBox</t>
        </is>
      </c>
      <c r="L191" s="288" t="inlineStr">
        <is>
          <t>NA</t>
        </is>
      </c>
      <c r="M191" s="264" t="inlineStr">
        <is>
          <t>0-7 = percep_food_insecurity</t>
        </is>
      </c>
      <c r="N191" s="358" t="n"/>
      <c r="O191" s="264" t="inlineStr">
        <is>
          <t>For any response, go to percep_food_insecurity</t>
        </is>
      </c>
      <c r="P191" s="230" t="inlineStr"/>
      <c r="Q191" s="289" t="n"/>
      <c r="R191" s="317" t="n">
        <v>1</v>
      </c>
      <c r="S191" s="217" t="n"/>
      <c r="U191" s="219" t="inlineStr">
        <is>
          <t>no</t>
        </is>
      </c>
      <c r="V191" s="220" t="n"/>
      <c r="Y191" s="633" t="n">
        <v>13.34388160705566</v>
      </c>
      <c r="Z191" s="633">
        <f>IF(Y191="","",Y191*R191)</f>
        <v/>
      </c>
      <c r="AA191" s="217" t="inlineStr"/>
    </row>
    <row r="192" ht="156.65" customFormat="1" customHeight="1" s="218">
      <c r="A192" s="125">
        <f>A191+1</f>
        <v/>
      </c>
      <c r="B192" s="290" t="inlineStr">
        <is>
          <t>percep_food_insecurity</t>
        </is>
      </c>
      <c r="C192" s="291" t="inlineStr">
        <is>
          <t>percep_food_insecurity</t>
        </is>
      </c>
      <c r="D192" s="230" t="inlineStr">
        <is>
          <t>How would you assess the current food security situation of your household compared to the same period last month?
[OPERATOR: SINGLE RESPONSE.]
1) Improved
2) Remained the same
3) Decreased
4)DON'T KNOW
5)REFUSED</t>
        </is>
      </c>
      <c r="E192" s="292">
        <f>LEN(D192)</f>
        <v/>
      </c>
      <c r="F192" s="293" t="inlineStr">
        <is>
          <t xml:space="preserve"> كيف تقيم الوضع الحالي للأمن الغذائي في أسرتك مقارنة بنفس الفترة من الشهر الماضي؟
[للمشغل: إجابة واحدة.]
1) تحسن
2) ظل على حاله
3) انخفض
4) لا أعرف
5) رفض الاجابه</t>
        </is>
      </c>
      <c r="G192" s="292" t="n">
        <v>164</v>
      </c>
      <c r="H192" s="294" t="inlineStr">
        <is>
          <t>Single Choice</t>
        </is>
      </c>
      <c r="I192" s="292" t="inlineStr">
        <is>
          <t>NA</t>
        </is>
      </c>
      <c r="J192" s="292" t="inlineStr">
        <is>
          <t>NA</t>
        </is>
      </c>
      <c r="K192" s="292" t="inlineStr">
        <is>
          <t>Form Type - Buttons</t>
        </is>
      </c>
      <c r="L192" s="288" t="inlineStr">
        <is>
          <t>NA</t>
        </is>
      </c>
      <c r="M192" s="230" t="inlineStr">
        <is>
          <t>1,3 = reason_food_insecurity
2, 4, 5 = need</t>
        </is>
      </c>
      <c r="N192" s="353" t="n"/>
      <c r="O192" s="230" t="inlineStr">
        <is>
          <t>if percep_food_insecurity = 1 or 3 go to reason_foodins
if percep_food_insecurity = 2, 4, 5 go to need</t>
        </is>
      </c>
      <c r="P192" s="230" t="inlineStr"/>
      <c r="Q192" s="289" t="n"/>
      <c r="R192" s="317" t="n"/>
      <c r="S192" s="217" t="n"/>
      <c r="U192" s="219" t="inlineStr"/>
      <c r="V192" s="220" t="n"/>
      <c r="Y192" s="633" t="n"/>
      <c r="Z192" s="633" t="n"/>
      <c r="AA192" s="217" t="inlineStr"/>
    </row>
    <row r="193" ht="78.65000000000001" customFormat="1" customHeight="1" s="218" thickBot="1">
      <c r="A193" s="125">
        <f>A192+1</f>
        <v/>
      </c>
      <c r="B193" s="231" t="inlineStr">
        <is>
          <t>reason_food_insecurity</t>
        </is>
      </c>
      <c r="C193" s="233" t="inlineStr">
        <is>
          <t>reason_food_insecurity</t>
        </is>
      </c>
      <c r="D193" s="285" t="inlineStr">
        <is>
          <t>Please specify the main reason for the increase or decrease in food security situation.
[OPERATOR: RECORD THE RESPONSE.]</t>
        </is>
      </c>
      <c r="E193" s="245">
        <f>LEN(D193)</f>
        <v/>
      </c>
      <c r="F193" s="286" t="inlineStr">
        <is>
          <t xml:space="preserve">
يرجى تحديد السبب الرئيسي لزيادة أو نقصان وضع الأمن الغذائي والذي تم تحديده اعلاه 
[المشغل: تسجيل استجابة مفتوحة.]</t>
        </is>
      </c>
      <c r="G193" s="245" t="n">
        <v>115</v>
      </c>
      <c r="H193" s="287" t="inlineStr">
        <is>
          <t>Open Ended</t>
        </is>
      </c>
      <c r="I193" s="245" t="inlineStr">
        <is>
          <t>NA</t>
        </is>
      </c>
      <c r="J193" s="245" t="inlineStr">
        <is>
          <t>NA</t>
        </is>
      </c>
      <c r="K193" s="245" t="inlineStr">
        <is>
          <t>Form Type - TextBox</t>
        </is>
      </c>
      <c r="L193" s="289" t="inlineStr">
        <is>
          <t>NA</t>
        </is>
      </c>
      <c r="M193" s="285" t="inlineStr">
        <is>
          <t>Any Response =  need</t>
        </is>
      </c>
      <c r="N193" s="367" t="n"/>
      <c r="O193" s="285" t="inlineStr">
        <is>
          <t>For any response go to need</t>
        </is>
      </c>
      <c r="P193" s="285" t="inlineStr"/>
      <c r="Q193" s="295" t="n"/>
      <c r="R193" s="317" t="n"/>
      <c r="S193" s="217" t="n"/>
      <c r="U193" s="219" t="inlineStr"/>
      <c r="V193" s="220" t="n"/>
      <c r="Y193" s="633" t="n"/>
      <c r="Z193" s="633" t="n"/>
      <c r="AA193" s="217" t="inlineStr"/>
    </row>
    <row r="194" ht="16.4" customFormat="1" customHeight="1" s="149" thickBot="1">
      <c r="A194" s="604" t="inlineStr">
        <is>
          <t>H. NEEDS ASSISTANCE</t>
        </is>
      </c>
      <c r="B194" s="629" t="n"/>
      <c r="C194" s="629" t="n"/>
      <c r="D194" s="629" t="n"/>
      <c r="E194" s="629" t="n"/>
      <c r="F194" s="629" t="n"/>
      <c r="G194" s="629" t="n"/>
      <c r="H194" s="629" t="n"/>
      <c r="I194" s="629" t="n"/>
      <c r="J194" s="629" t="n"/>
      <c r="K194" s="629" t="n"/>
      <c r="L194" s="629" t="n"/>
      <c r="M194" s="629" t="n"/>
      <c r="N194" s="629" t="n"/>
      <c r="O194" s="629" t="n"/>
      <c r="P194" s="629" t="n"/>
      <c r="Q194" s="630" t="n"/>
      <c r="R194" s="306" t="n"/>
      <c r="S194" s="151" t="n"/>
      <c r="U194" s="150" t="n"/>
      <c r="V194" s="623" t="n"/>
      <c r="Y194" s="631" t="n"/>
      <c r="Z194" s="631">
        <f>IF(Y194="","",Y194*R194)</f>
        <v/>
      </c>
      <c r="AA194" s="151">
        <f>IF(U194="yes",Z194,"")</f>
        <v/>
      </c>
    </row>
    <row r="195" ht="171.65" customFormat="1" customHeight="1" s="539">
      <c r="A195" s="528" t="n">
        <v>165</v>
      </c>
      <c r="B195" s="529" t="inlineStr">
        <is>
          <t>need</t>
        </is>
      </c>
      <c r="C195" s="518" t="inlineStr">
        <is>
          <t>need</t>
        </is>
      </c>
      <c r="D195" s="530" t="inlineStr">
        <is>
          <t>Does your household need any kind of assistance to support your ability to meet food and income needs over the next 6 months?
[OPERATOR: SINGLE RESPONSE.]
1)YES
2)NO
3)DON'T KNOW
4)REFUSED</t>
        </is>
      </c>
      <c r="E195" s="531">
        <f>LEN(D195)</f>
        <v/>
      </c>
      <c r="F195" s="532" t="inlineStr">
        <is>
          <t>هل تحتاج أسرتك إلى أي نوع من المساعدة لدعم قدرتك على تلبية احتياجاتك الغذائية والدخل خلال الأشهر الستة المقبلة؟
[المُشغِّل: إجابة واحدة]
1) نعم
2) لا
3) لا أعرف
4) رفض الإجابة</t>
        </is>
      </c>
      <c r="G195" s="531">
        <f>LEN(F195)</f>
        <v/>
      </c>
      <c r="H195" s="533" t="inlineStr">
        <is>
          <t>Single Choice</t>
        </is>
      </c>
      <c r="I195" s="531" t="inlineStr">
        <is>
          <t>NA</t>
        </is>
      </c>
      <c r="J195" s="531" t="inlineStr">
        <is>
          <t>NA</t>
        </is>
      </c>
      <c r="K195" s="534" t="inlineStr">
        <is>
          <t>Form Type - Buttons</t>
        </is>
      </c>
      <c r="L195" s="513" t="inlineStr">
        <is>
          <t>NA</t>
        </is>
      </c>
      <c r="M195" s="535" t="inlineStr">
        <is>
          <t>1 = need_type
2-4= need_received</t>
        </is>
      </c>
      <c r="N195" s="519" t="n"/>
      <c r="O195" s="535" t="inlineStr">
        <is>
          <t>if need = 1, go to need_type
if need = 2-4, go to need_received</t>
        </is>
      </c>
      <c r="P195" s="496" t="inlineStr"/>
      <c r="Q195" s="536" t="n"/>
      <c r="R195" s="537" t="n">
        <v>1</v>
      </c>
      <c r="S195" s="538" t="n"/>
      <c r="U195" s="540" t="inlineStr">
        <is>
          <t>yes</t>
        </is>
      </c>
      <c r="V195" s="541" t="n"/>
      <c r="Y195" s="649" t="n">
        <v>14.47277355194092</v>
      </c>
      <c r="Z195" s="650">
        <f>IF(Y195="","",Y195*R195)</f>
        <v/>
      </c>
      <c r="AA195" s="502" t="inlineStr">
        <is>
          <t>14.47277355194092</t>
        </is>
      </c>
    </row>
    <row r="196" ht="221.15" customFormat="1" customHeight="1" s="539">
      <c r="A196" s="528" t="n">
        <v>166</v>
      </c>
      <c r="B196" s="529" t="inlineStr">
        <is>
          <t>need_type</t>
        </is>
      </c>
      <c r="C196" s="545" t="inlineStr">
        <is>
          <t>need_type
1)need_type_food
2)need_type_ag_livelihood
3)need_type_nonag_livelihood
4)need_type_other
5)need_type_dk
6)need_type_ref</t>
        </is>
      </c>
      <c r="D196" s="546" t="inlineStr">
        <is>
          <t>What type of assistance will your household need?
[OPERATOR: MULTIPLE RESPONSE.]
1)Food aid 
2)Support for agriculture or related livelihoods [crops/ livestock/ fisheries/ and related marketing]
3)Support for non-agricultural income
4)Support for other essential needs [e.g. shelter/ healthcare/ education/ water/ sanitation]
5)DON'T KNOW 
6)REFUSED</t>
        </is>
      </c>
      <c r="E196" s="531">
        <f>LEN(D196)</f>
        <v/>
      </c>
      <c r="F196" s="532" t="inlineStr">
        <is>
          <t>ما نوع المساعدة التي ستحتاجها أسرتك؟
[المُشغِّل: إجابات متعددة]
1) مساعدات غذائية
2) دعم في سبل العيش الزراعية ذات الصلة [المحاصيل/ الثروة الحيوانية/ مصايد الأسماك/ والتسويق]
3) دعم في سبل العيش غير الزراعية
4) دعم الاحتياجات الأساسية الأخرى [مثل المأوى/ الرعاية الصحية/ التعليم/ المياه/ الصرف الصحي]
5) لا أعرف
6) رفض الإجابة</t>
        </is>
      </c>
      <c r="G196" s="531">
        <f>LEN(F196)</f>
        <v/>
      </c>
      <c r="H196" s="547" t="inlineStr">
        <is>
          <t>Open Ended - Select All That Apply</t>
        </is>
      </c>
      <c r="I196" s="534" t="inlineStr">
        <is>
          <t>NA</t>
        </is>
      </c>
      <c r="J196" s="534" t="inlineStr">
        <is>
          <t>NA</t>
        </is>
      </c>
      <c r="K196" s="534" t="inlineStr">
        <is>
          <t>Form Type - Checklist
5,6 = IsNone</t>
        </is>
      </c>
      <c r="L196" s="519" t="inlineStr">
        <is>
          <t>1)need_type_food
2)need_type_ag_livelihood
3)need_type_nonag_livelihood
4)need_type_other
5)need_type_dk
6)need_type_ref</t>
        </is>
      </c>
      <c r="M196" s="519" t="inlineStr">
        <is>
          <t>1-6=need_type_main</t>
        </is>
      </c>
      <c r="N196" s="535" t="inlineStr">
        <is>
          <t>For any response, go to need_type_main</t>
        </is>
      </c>
      <c r="O196" s="496" t="inlineStr"/>
      <c r="P196" s="500" t="inlineStr"/>
      <c r="Q196" s="537" t="n"/>
      <c r="R196" s="538" t="n"/>
      <c r="T196" s="540" t="inlineStr">
        <is>
          <t>yes</t>
        </is>
      </c>
      <c r="U196" s="541" t="inlineStr"/>
      <c r="X196" s="649" t="n">
        <v>17</v>
      </c>
      <c r="Y196" s="650" t="n">
        <v>17</v>
      </c>
      <c r="Z196" s="502">
        <f>IF(T196="yes",Y196,"")</f>
        <v/>
      </c>
      <c r="AA196" t="inlineStr"/>
    </row>
    <row r="197" ht="221.15" customFormat="1" customHeight="1" s="539">
      <c r="A197" s="528" t="n">
        <v>167</v>
      </c>
      <c r="B197" s="529" t="inlineStr">
        <is>
          <t>need_type_main</t>
        </is>
      </c>
      <c r="C197" s="545" t="inlineStr">
        <is>
          <t>need_type_main</t>
        </is>
      </c>
      <c r="D197" s="548" t="inlineStr">
        <is>
          <t>Which of these types of support is the most important for your household? 
[OPERATOR: PLEASE ONLY ASK THE QUESTION IF MORE THAN ONE ANSWER WAS PROVIDED IN THE PREVIOUS QUESTION.]
1)Food aid 
2)Support for agriculture or related livelihoods [crops/ livestock/ fisheries/ and related marketing]
3)Support for non-agricultural income
4)Support for other essential needs [e.g. shelter/ healthcare/ education/ water/ sanitation]
5)DON'T KNOW 
6)REFUSED</t>
        </is>
      </c>
      <c r="E197" s="531">
        <f>LEN(D197)</f>
        <v/>
      </c>
      <c r="F197" s="532" t="inlineStr">
        <is>
          <t xml:space="preserve">أيٌّ من أنواع الدعم التالية هو الأهم لأسرتك؟
[المُشغِّل: يُرجى طرح السؤال فقط إذا قُدِّمت أكثر من إجابة واحدة في السؤال السابق.]
1) مساعدات غذائية
2) دعم في سبل العيش الزراعية ذات الصلة [المحاصيل/ الثروة الحيوانية/ مصايد الأسماك/ والتسويق]
3) دعم في سبل العيش غير الزراعية
4) دعم الاحتياجات الأساسية الأخرى [مثل المأوى/ الرعاية الصحية/ التعليم/ المياه/ الصرف الصحي]
5) لا أعرف
6) رفض الإجابة
</t>
        </is>
      </c>
      <c r="G197" s="531" t="n"/>
      <c r="H197" s="547" t="inlineStr">
        <is>
          <t>Single Choice</t>
        </is>
      </c>
      <c r="I197" s="534" t="inlineStr">
        <is>
          <t>NA</t>
        </is>
      </c>
      <c r="J197" s="534" t="inlineStr">
        <is>
          <t>Send if "need_type" "Contains" "Food aid" Or "need_type" "Contains" "Support for non-agricultural income" Or "need_type" "Contains" "Support for other essential needs [e.g. shelter/ healthcare/ education/ water/ sanitation" Or "need_type" "Contains" "Support for agriculture or related livelihoods [crop/ livestock/ fisheries/ and related marketing]" if not satisfied go to "need_received"</t>
        </is>
      </c>
      <c r="K197" s="534" t="inlineStr">
        <is>
          <t>Form Type - Buttons
include selected "need_type"
IsDemographic</t>
        </is>
      </c>
      <c r="L197" s="535" t="inlineStr">
        <is>
          <t>Dynamics = need_2
1-2 = need_2</t>
        </is>
      </c>
      <c r="M197" s="535" t="inlineStr">
        <is>
          <t>Dynamics = need_2
1-2 = need_2</t>
        </is>
      </c>
      <c r="N197" s="519" t="n"/>
      <c r="O197" s="535" t="inlineStr">
        <is>
          <t>For any response, go to need_2</t>
        </is>
      </c>
      <c r="P197" s="496" t="inlineStr"/>
      <c r="Q197" s="500" t="n"/>
      <c r="R197" s="537" t="n"/>
      <c r="S197" s="538" t="n"/>
      <c r="U197" s="540" t="inlineStr"/>
      <c r="V197" s="541" t="n"/>
      <c r="Y197" s="649" t="n"/>
      <c r="Z197" s="650" t="n"/>
      <c r="AA197" s="502" t="inlineStr"/>
    </row>
    <row r="198" ht="409.5" customFormat="1" customHeight="1" s="503">
      <c r="A198" s="528" t="n">
        <v>168</v>
      </c>
      <c r="B198" s="529" t="inlineStr">
        <is>
          <t>need_2</t>
        </is>
      </c>
      <c r="C198" s="518" t="inlineStr">
        <is>
          <t>need_
1) need_crop_inputs
2) need_crop_infrastructure
3) need_crop_knowledge
4) need_ls_feed
5) need_ls_vet_service
6) need_ls_infrastructure
7) need_ls_knowledge
8) need_fish_inputs
9) need_fish_infrastructure
10) need_fish_knowledge
11) need_env_infra_rehab
12) need_cold_storage
13) need_marketing_supp
14) need_food
15) need_vouchers_fair
16) need_cash
17) need_other
18) need_dk
19) need_ref</t>
        </is>
      </c>
      <c r="D198" s="549" t="inlineStr">
        <is>
          <t>Over the next 6 months, what kinds of assistance does your household need to support agricultural livelihood [including both production and marketing]? 
[OPERATOR: MULTIPLE RESPONSE. DO NOT READ THE OPTIONS.]
1)Inputs for crop and/or vegetable production [e.g. seeds/ fertilizer/ tools]
2)Infrastructure for crop and/or vegetable production [e.g. irrigation/ canal rehabilitation/ pumps]
3)Training &amp; technical knowledge/advice for crop production
4)Livestock feed [fodder or supplementary feed]
5)Veterinary services [e.g. vaccination/ dips/ deworming]
6)Infrastructure for livestock [e.g. water points/ transhumance corridors/ shelter/ health points]
7)Training &amp; technical knowledge/advice for livestock production
8)Inputs for fishing or aquaculture production
9)Infrastructure for fisheries or aquaculture production [e.g. rehabilitation of port/ repair of ponds]
10)Training &amp; technical knowledge/advice for fisheries or aquaculture production
11)Environmental or infrastructure rehabilitation [community-wide]
12)Cold storage
13)Marketing or sales support [e.g. public procurement]
14)Food
15)Cash
16)Vouchers or input trade fairs
17)Other [specify]
18)DON'T KNOW
19)REFUSED</t>
        </is>
      </c>
      <c r="E198" s="534" t="n">
        <v>1183</v>
      </c>
      <c r="F198" s="532" t="inlineStr">
        <is>
          <t>على مدى الأشهر الستة المقبلة، ما هي أنواع المساعدة التي تحتاجها أسرتك لدعم سبل العيش الزراعية [بما في ذلك الإنتاج والتسويق]؟
[المشغل: عدة استجابات محتملة. لا تقرأ الخيارات إذا كان ذلك ممكنًا.]
1) مدخلات انتاج المحاصيل و الخضروات [على سبيل المثال البذور و الاسمدة و المعدات] 
2) البنية التحتية لانتاج المحاصيل و الخضروات [على سبيل المثال الري، اعادة تأهيل قنوات الري و المضخات]
3) التدريبات المهنية و المعرفة / النصائح التقنية لإنتاج المحاصيل 
4) أعلاف الحيوانات [علف أو علف تكميلي]
5) الخدمات البيطرية [على سبيل المثال التطعيم والتخلص من الديدان]
6) البنية التحتية لانتاج الماشية [على سبيل المثال نقاط المياه ، ممرات التنقل الرعوي / المأوى / النقاط الصحية]
7) التدريبات المهنية و المعرفة / النصائح التقنية لانتاج الماشية 
8) المدخلات لانتاج الاسماك و تربية الاحياء المائية 
9)البنية التحتية لانتاج مصايد الاسماك و تربية الاحياء المائية  [اعادة تأهيل الموانيء و اصلاح البرك علي سبيل المثال]
10) التدريبات المهنية و المعرفة / النصائح التقنية لانتاج مصايد الاسماك و تربية الاحياء المائية
11) اعادة ترميم البنية التحتية و البيئية [ علي نطاق مجتمعي] 
12) التخزين البارد
13) دعم المبيعات أو التسويق [المشتريات العامة علي سبيل المثال]
14) الطعام
15) المساعدة النقدية 
16) قسائم المشتريات 
17) آخر [حدد]
18)  لا أعرف
19) رفض الإجابة</t>
        </is>
      </c>
      <c r="G198" s="534">
        <f>LEN(F198)</f>
        <v/>
      </c>
      <c r="H198" s="547" t="inlineStr">
        <is>
          <t>Open Ended-Select All That Apply</t>
        </is>
      </c>
      <c r="I198" s="534" t="inlineStr">
        <is>
          <t>NA</t>
        </is>
      </c>
      <c r="J198" s="534" t="inlineStr">
        <is>
          <t>Send if "need_type" "Contains" "Support for agriculture or related livelihoods [crop, livestock, fisheries, and related marketing]" if not satisfied go to "need_received"</t>
        </is>
      </c>
      <c r="K198" s="534" t="inlineStr">
        <is>
          <t>Form Type - Checklist
18,19 = IsNone</t>
        </is>
      </c>
      <c r="L198" s="519" t="inlineStr">
        <is>
          <t>1) need_crop_inputs
2) need_crop_infrastructure
3) need_crop_knowledge
4) need_ls_feed
5) need_ls_vet_service
6) need_ls_infrastructure
7) need_ls_knowledge
8) need_fish_inputs
9) need_fish_infrastructure
10) need_fish_knowledge
11) need_env_infra_rehab
12) need_cold_storage
13) need_marketing_supp
14) need_food
15) need_vouchers_fair
16) need_cash
17) need_other
18) need_dk
19) need_ref</t>
        </is>
      </c>
      <c r="M198" s="550" t="inlineStr">
        <is>
          <t>1-19 = need_received</t>
        </is>
      </c>
      <c r="N198" s="551" t="n"/>
      <c r="O198" s="552" t="inlineStr">
        <is>
          <t>if need_2 = 1-19, go to need_received</t>
        </is>
      </c>
      <c r="P198" s="553" t="inlineStr"/>
      <c r="Q198" s="523" t="n"/>
      <c r="R198" s="524" t="n">
        <v>1</v>
      </c>
      <c r="S198" s="502" t="n"/>
      <c r="U198" s="525" t="inlineStr">
        <is>
          <t>yes</t>
        </is>
      </c>
      <c r="V198" s="505" t="n"/>
      <c r="Y198" s="643" t="n">
        <v>33.74076461791992</v>
      </c>
      <c r="Z198" s="643">
        <f>IF(Y198="","",Y198*R198)</f>
        <v/>
      </c>
      <c r="AA198" s="502" t="inlineStr">
        <is>
          <t>33.74076461791992</t>
        </is>
      </c>
    </row>
    <row r="199" ht="330.75" customFormat="1" customHeight="1" s="59">
      <c r="A199" s="18">
        <f>A198+1</f>
        <v/>
      </c>
      <c r="B199" s="182" t="inlineStr">
        <is>
          <t>need_received</t>
        </is>
      </c>
      <c r="C199" s="566" t="inlineStr">
        <is>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is>
      </c>
      <c r="D199" s="138" t="inlineStr">
        <is>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is>
      </c>
      <c r="E199" s="50">
        <f>LEN(D199)</f>
        <v/>
      </c>
      <c r="F199" s="166" t="inlineStr">
        <is>
          <t>هل تلقت أسرتك أي مساعدة خلال الأشهر الثلاثة الماضية ، وإذا كان الأمر كذلك ، فمن أي نوع؟
[المشغل: عدة استجابات محتملة. اقرأ الخيارات.]
1) الغذاء
2) مساعدة نقدية 
3) قسائم المشتريات
4) مساعدة لانتاج المحاصيل و الخضروات
5) مساعدة لانتاج الماشية 
6) مساعدة لانتاج مصايد الاسماك و تربية الاحياء المائية 
7) اعادة تأهيل البنية التحتية و البيئية علي نطاق مجتمعي 
8) دعم المبيعات أو التسويق [المشتريات العامة على سبيل المثال]
9) آخر [حدد]
10) لم تتلق المساعدة
11) لا أعرف 
12) رفض الإجابة</t>
        </is>
      </c>
      <c r="G199" s="50">
        <f>LEN(F199)</f>
        <v/>
      </c>
      <c r="H199" s="146" t="inlineStr">
        <is>
          <t>Open Ended-Select All That Apply</t>
        </is>
      </c>
      <c r="I199" s="50" t="inlineStr">
        <is>
          <t>NA</t>
        </is>
      </c>
      <c r="J199" s="50" t="inlineStr">
        <is>
          <t>NA</t>
        </is>
      </c>
      <c r="K199" s="50" t="inlineStr">
        <is>
          <t>Form Type - Checklist
10,11,12 = IsNone</t>
        </is>
      </c>
      <c r="L199" s="100" t="inlineStr">
        <is>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is>
      </c>
      <c r="M199" s="137" t="inlineStr">
        <is>
          <t>1-9 = assistance_quality 
10-12 = callback</t>
        </is>
      </c>
      <c r="N199" s="343" t="n"/>
      <c r="O199" s="137" t="inlineStr">
        <is>
          <t>if need_received = 1-9, go to assistance_quality.
Otherwise, go to callback.</t>
        </is>
      </c>
      <c r="P199" s="34" t="inlineStr"/>
      <c r="Q199" s="9" t="n"/>
      <c r="R199" s="300" t="n">
        <v>1</v>
      </c>
      <c r="S199" s="53" t="n"/>
      <c r="U199" s="150" t="inlineStr">
        <is>
          <t>yes</t>
        </is>
      </c>
      <c r="V199" s="613" t="n"/>
      <c r="Y199" s="631" t="n">
        <v>14.55059909820557</v>
      </c>
      <c r="Z199" s="631">
        <f>IF(Y199="","",Y199*R199)</f>
        <v/>
      </c>
      <c r="AA199" s="53" t="inlineStr">
        <is>
          <t>14.55059909820557</t>
        </is>
      </c>
    </row>
    <row r="200" ht="273.75" customFormat="1" customHeight="1" s="59">
      <c r="A200" s="18">
        <f>A199+1</f>
        <v/>
      </c>
      <c r="B200" s="147" t="inlineStr">
        <is>
          <t>assistance_quality</t>
        </is>
      </c>
      <c r="C200" s="148" t="inlineStr">
        <is>
          <t>assistance_quality</t>
        </is>
      </c>
      <c r="D200" s="138" t="inlineStr">
        <is>
          <t>Were you satisfied with the quality of the assistance provided? 
[OPERATOR: SINGLE RESPONSE. QUALITY OF ASSISTANCE IN TERMS OF SUFFICIENT ASSISTANCE FOR PRODUCTION OR SALES DIFFICULTY TO BE OVERCOME.]
1)Yes
2)No - not received on time
3)No - did not meet my needs
4)No - quantity was not sufficient
5)No - there was a problem with the provider
6)No - there was a malfunction of the in-kind assistance provided [e.g. poor quality tools]
7)DON'T KNOW
8)REFUSED</t>
        </is>
      </c>
      <c r="E200" s="50">
        <f>LEN(D200)</f>
        <v/>
      </c>
      <c r="F200" s="172" t="inlineStr">
        <is>
          <t>هل كنت راضيا عن جودة المساعدة التي قدمت لكم ؟ 
[المشغل: استجابة واحدة. جودة المساعدة من حيث كفاية المساعدة للتغلب على صعوبات الانتاج أو البيع.]
1) نعم
2) لا - لم يتم استلامها في الوقت المحدد
3) لا - لم تلبي احتياجاتي
4) لا - الكمية لم تكن كافية
5) لا - حدثت مشكلة مع المزود
6) لا - حدث خلل في المساعدة العينية المقدمة [على سبيل المثال أدوات ذات جودة رديئة]
7) لا أعرف
8) رفض الإجابة</t>
        </is>
      </c>
      <c r="G200" s="50">
        <f>LEN(F200)</f>
        <v/>
      </c>
      <c r="H200" s="146" t="inlineStr">
        <is>
          <t>Single Choice</t>
        </is>
      </c>
      <c r="I200" s="50" t="inlineStr">
        <is>
          <t>NA</t>
        </is>
      </c>
      <c r="J200" s="50" t="inlineStr">
        <is>
          <t>NA</t>
        </is>
      </c>
      <c r="K200" s="50" t="inlineStr">
        <is>
          <t>Form Type - Buttons</t>
        </is>
      </c>
      <c r="L200" s="100" t="inlineStr">
        <is>
          <t>NA</t>
        </is>
      </c>
      <c r="M200" s="137" t="inlineStr">
        <is>
          <t>1-8 = assistance_provider</t>
        </is>
      </c>
      <c r="N200" s="343" t="n"/>
      <c r="O200" s="63" t="inlineStr">
        <is>
          <t>if assistance_quality = 1-8, go to callback or assistance_provider</t>
        </is>
      </c>
      <c r="P200" s="17" t="inlineStr">
        <is>
          <t>1-8 = assistance provider</t>
        </is>
      </c>
      <c r="Q200" s="9" t="n"/>
      <c r="R200" s="300" t="n">
        <v>1</v>
      </c>
      <c r="S200" s="53" t="n"/>
      <c r="U200" s="150" t="inlineStr">
        <is>
          <t>yes</t>
        </is>
      </c>
      <c r="V200" s="613" t="n"/>
      <c r="Y200" s="631" t="n">
        <v>10.81245613098145</v>
      </c>
      <c r="Z200" s="631">
        <f>IF(Y200="","",Y200*R200)</f>
        <v/>
      </c>
      <c r="AA200" s="53" t="inlineStr">
        <is>
          <t>10.81245613098145</t>
        </is>
      </c>
    </row>
    <row r="201" ht="205.5" customFormat="1" customHeight="1" s="218" thickBot="1">
      <c r="A201" s="18">
        <f>A200+1</f>
        <v/>
      </c>
      <c r="B201" s="544" t="inlineStr">
        <is>
          <t>assistance_provider</t>
        </is>
      </c>
      <c r="C201" s="296" t="inlineStr">
        <is>
          <t>assistance_provider
1) assistance_fao
2) assistance_wfp
3) assistance_otherun
4) assistance_gov
5) assistance_ngo
6) assistance_dk
7) assistance_ref</t>
        </is>
      </c>
      <c r="D201" s="276" t="inlineStr">
        <is>
          <t>Who provided your household with this assistance?
[OPERATOR: MULTIPLE RESPONSE.]
1)FAO
2)WFP
3)Other UN agencies
4)Government
5)Non-governmental/local organization
6)DON'T KNOW
7)REFUSED</t>
        </is>
      </c>
      <c r="E201" s="245">
        <f>LEN(D201)</f>
        <v/>
      </c>
      <c r="F201" s="277" t="inlineStr">
        <is>
          <t>من قام بتقديم تلك المساعدة لاسرتك ؟ 
[المُشغل: احتمال وجود عدة استجابات.]
1) منطمة الاغذية و الزراعة للأمم المتحدة 
2) برنامج الغذاء العالمي 
3) منظمات أخرى تابعة للامم المتحدة
4) جهات حكومية
5) منظمة محلية / غير حكومية 
6) لا أعرف 
7) رفض الإجابة</t>
        </is>
      </c>
      <c r="G201" s="245">
        <f>LEN(F201)</f>
        <v/>
      </c>
      <c r="H201" s="297" t="inlineStr">
        <is>
          <t>Select All That Apply</t>
        </is>
      </c>
      <c r="I201" s="245" t="inlineStr">
        <is>
          <t>NA</t>
        </is>
      </c>
      <c r="J201" s="245" t="inlineStr">
        <is>
          <t>NA</t>
        </is>
      </c>
      <c r="K201" s="245" t="inlineStr">
        <is>
          <t>Form Type - Checklist
6,7 = IsNone</t>
        </is>
      </c>
      <c r="L201" s="215" t="inlineStr">
        <is>
          <t>1)assistance_fao
2)assistance_wfp
3)assistance_otherun
4)assistance_gov
5)assistance_ngo
6)assistance_dk
7)assistance_ref</t>
        </is>
      </c>
      <c r="M201" s="279" t="inlineStr">
        <is>
          <t>1-7 = callback</t>
        </is>
      </c>
      <c r="N201" s="365" t="n"/>
      <c r="O201" s="229" t="inlineStr">
        <is>
          <t>if assistance_provider = 1-7, go to callback</t>
        </is>
      </c>
      <c r="P201" s="298" t="inlineStr"/>
      <c r="Q201" s="299" t="n"/>
      <c r="R201" s="317" t="n">
        <v>1</v>
      </c>
      <c r="S201" s="217" t="n"/>
      <c r="U201" s="219" t="inlineStr">
        <is>
          <t>no</t>
        </is>
      </c>
      <c r="V201" s="220" t="n"/>
      <c r="Y201" s="633" t="n">
        <v>10.81245613098145</v>
      </c>
      <c r="Z201" s="633">
        <f>IF(Y201="","",Y201*R201)</f>
        <v/>
      </c>
      <c r="AA201" s="217" t="inlineStr"/>
    </row>
    <row r="202" ht="16.4" customFormat="1" customHeight="1" s="149" thickBot="1">
      <c r="A202" s="604" t="inlineStr">
        <is>
          <t>I. CLOSING</t>
        </is>
      </c>
      <c r="B202" s="629" t="n"/>
      <c r="C202" s="629" t="n"/>
      <c r="D202" s="629" t="n"/>
      <c r="E202" s="629" t="n"/>
      <c r="F202" s="629" t="n"/>
      <c r="G202" s="629" t="n"/>
      <c r="H202" s="629" t="n"/>
      <c r="I202" s="629" t="n"/>
      <c r="J202" s="629" t="n"/>
      <c r="K202" s="629" t="n"/>
      <c r="L202" s="629" t="n"/>
      <c r="M202" s="629" t="n"/>
      <c r="N202" s="629" t="n"/>
      <c r="O202" s="629" t="n"/>
      <c r="P202" s="629" t="n"/>
      <c r="Q202" s="630" t="n"/>
      <c r="R202" s="306" t="n"/>
      <c r="S202" s="151" t="n"/>
      <c r="U202" s="150" t="n"/>
      <c r="V202" s="623" t="n"/>
      <c r="Y202" s="631" t="n"/>
      <c r="Z202" s="631">
        <f>IF(Y202="","",Y202*R202)</f>
        <v/>
      </c>
      <c r="AA202" s="151">
        <f>IF(U202="yes",Z202,"")</f>
        <v/>
      </c>
    </row>
    <row r="203" ht="158.25" customFormat="1" customHeight="1" s="59">
      <c r="A203" s="38">
        <f>A201+1</f>
        <v/>
      </c>
      <c r="B203" s="114" t="inlineStr">
        <is>
          <t>callback</t>
        </is>
      </c>
      <c r="C203" s="58" t="inlineStr">
        <is>
          <t>callback</t>
        </is>
      </c>
      <c r="D203" s="57" t="inlineStr">
        <is>
          <t>Your answers will help us to understand and respond to your community needs. May we call you back again in a few months?
[OPERATOR: SINGLE RESPONSE.]
1)YES
2)NO</t>
        </is>
      </c>
      <c r="E203" s="56">
        <f>LEN(D203)</f>
        <v/>
      </c>
      <c r="F203" s="170" t="inlineStr">
        <is>
          <t>ستساعدنا إجاباتك على فهم احتياجات مجتمعك والاستجابة لها. هل يمكننا الاتصال بك مرة أخرى في غضون بضعة أشهر؟
[المشغل: استجابة واحدة.]
1) نعم
2) لا</t>
        </is>
      </c>
      <c r="G203" s="56">
        <f>LEN(F203)</f>
        <v/>
      </c>
      <c r="H203" s="56" t="inlineStr">
        <is>
          <t>Single Choice</t>
        </is>
      </c>
      <c r="I203" s="56" t="inlineStr">
        <is>
          <t>NA</t>
        </is>
      </c>
      <c r="J203" s="56" t="inlineStr">
        <is>
          <t>NA</t>
        </is>
      </c>
      <c r="K203" s="56" t="inlineStr">
        <is>
          <t>Form Type - Buttons</t>
        </is>
      </c>
      <c r="L203" s="100" t="inlineStr">
        <is>
          <t>NA</t>
        </is>
      </c>
      <c r="M203" s="55" t="inlineStr">
        <is>
          <t>1 = future_int_day
2 = closeout</t>
        </is>
      </c>
      <c r="N203" s="195" t="n"/>
      <c r="O203" s="55" t="inlineStr">
        <is>
          <t>if callback = 1, go to future_int_day
if 2, go to language2</t>
        </is>
      </c>
      <c r="P203" s="30" t="inlineStr"/>
      <c r="Q203" s="8" t="n"/>
      <c r="R203" s="306" t="n">
        <v>1</v>
      </c>
      <c r="S203" s="53" t="n"/>
      <c r="U203" s="150" t="inlineStr">
        <is>
          <t>yes</t>
        </is>
      </c>
      <c r="V203" s="613" t="n"/>
      <c r="Y203" s="631" t="n">
        <v>14.94646453857422</v>
      </c>
      <c r="Z203" s="631">
        <f>IF(Y203="","",Y203*R203)</f>
        <v/>
      </c>
      <c r="AA203" s="53" t="inlineStr">
        <is>
          <t>14.94646453857422</t>
        </is>
      </c>
    </row>
    <row r="204" ht="221.25" customHeight="1">
      <c r="A204" s="125">
        <f>A203+1</f>
        <v/>
      </c>
      <c r="B204" s="603" t="inlineStr">
        <is>
          <t>future_int_day</t>
        </is>
      </c>
      <c r="C204" s="576" t="inlineStr">
        <is>
          <t>future_int_day_
1) future_int_day_mon
2) future_int_day_tues
3) future_int_day_wed
4) future_int_day_thurs
5) future_int_day_fri
6) future_int_day_sat
7) future_int_day_sun</t>
        </is>
      </c>
      <c r="D204" s="206" t="inlineStr">
        <is>
          <t>For future interviews, in which day[s] can I call you?
[OPERATOR: MULTIPLE ANSWERS POSSIBLE.]
1)Monday
2)Tuesday
3)Wednesday
4)Thursday
5)Friday
6)Saturday
7)Sunday</t>
        </is>
      </c>
      <c r="E204" s="327">
        <f>LEN(D204)</f>
        <v/>
      </c>
      <c r="F204" s="207" t="inlineStr">
        <is>
          <t>للمقابلات المستقبلية ، في أي يوم [أيام] يمكنني الاتصال بك؟
[المُشغل: إمكانية الحصول على إجابات متعددة.]
1) الاثنين
2) الثلاثاء
3) الأربعاء
4) الخميس
5) الجمعة
6) السبت
7) الأحد</t>
        </is>
      </c>
      <c r="G204" s="327">
        <f>LEN(F204)</f>
        <v/>
      </c>
      <c r="H204" s="327" t="inlineStr">
        <is>
          <t>Select All That Apply</t>
        </is>
      </c>
      <c r="I204" s="327" t="inlineStr">
        <is>
          <t>NA</t>
        </is>
      </c>
      <c r="J204" s="327" t="inlineStr">
        <is>
          <t>NA</t>
        </is>
      </c>
      <c r="K204" s="327" t="inlineStr">
        <is>
          <t>Form Type - Checklist</t>
        </is>
      </c>
      <c r="L204" s="100" t="inlineStr">
        <is>
          <t>NA</t>
        </is>
      </c>
      <c r="M204" s="328" t="inlineStr">
        <is>
          <t>1-7 = future_int_time</t>
        </is>
      </c>
      <c r="N204" s="345" t="n"/>
      <c r="O204" s="310" t="inlineStr">
        <is>
          <t>if l_future_int_day = 1-7, go to future_int_time</t>
        </is>
      </c>
      <c r="P204" s="256" t="inlineStr"/>
      <c r="Q204" s="238" t="n"/>
      <c r="R204" s="306" t="n">
        <v>1</v>
      </c>
      <c r="S204" s="53" t="n"/>
      <c r="U204" s="153" t="inlineStr">
        <is>
          <t>yes - panel</t>
        </is>
      </c>
      <c r="Y204" s="642" t="n">
        <v>19.35491371154785</v>
      </c>
      <c r="Z204" s="631">
        <f>IF(Y204="","",Y204*R204)</f>
        <v/>
      </c>
      <c r="AA204" s="53" t="inlineStr"/>
    </row>
    <row r="205" ht="137.25" customHeight="1" thickBot="1">
      <c r="A205" s="125">
        <f>A204+1</f>
        <v/>
      </c>
      <c r="B205" s="603" t="inlineStr">
        <is>
          <t>future_int_time</t>
        </is>
      </c>
      <c r="C205" s="576" t="inlineStr">
        <is>
          <t>future_int_time_ 
1) future_int_time_morn
2) future_int_time_aft
3) future_int_time_eve</t>
        </is>
      </c>
      <c r="D205" s="329" t="inlineStr">
        <is>
          <t>For future interviews, at what time[s] can I call you?
[OPERATOR: MULTIPLE ANSWERS POSSIBLE.]
1)Mornings
2)Afternoons
3)Evenings</t>
        </is>
      </c>
      <c r="E205" s="327">
        <f>LEN(D205)</f>
        <v/>
      </c>
      <c r="F205" s="207" t="inlineStr">
        <is>
          <t>للمقابلات المستقبلية ، في أي وقت [أوقات] يمكنني الاتصال بك؟
[المُشغل: إمكانية الحصول على إجابات متعددة.]
1) الصباح
2) بعد الظهر
3) المساء</t>
        </is>
      </c>
      <c r="G205" s="327">
        <f>LEN(F205)</f>
        <v/>
      </c>
      <c r="H205" s="327" t="inlineStr">
        <is>
          <t>Select All That Apply</t>
        </is>
      </c>
      <c r="I205" s="327" t="inlineStr">
        <is>
          <t>NA</t>
        </is>
      </c>
      <c r="J205" s="327" t="inlineStr">
        <is>
          <t>NA</t>
        </is>
      </c>
      <c r="K205" s="327" t="inlineStr">
        <is>
          <t>Form Type - Checklist</t>
        </is>
      </c>
      <c r="L205" s="100" t="inlineStr">
        <is>
          <t>NA</t>
        </is>
      </c>
      <c r="M205" s="328" t="inlineStr">
        <is>
          <t>1-3 = closeout</t>
        </is>
      </c>
      <c r="N205" s="372" t="n"/>
      <c r="O205" s="310" t="inlineStr">
        <is>
          <t>if future_int_time = 1-3, go to closeout</t>
        </is>
      </c>
      <c r="P205" s="256" t="inlineStr"/>
      <c r="Q205" s="238" t="n"/>
      <c r="R205" s="306" t="n">
        <v>1</v>
      </c>
      <c r="S205" s="53" t="n"/>
      <c r="U205" s="153" t="inlineStr">
        <is>
          <t>yes - panel</t>
        </is>
      </c>
      <c r="Y205" s="642" t="n">
        <v>15.88939952850342</v>
      </c>
      <c r="Z205" s="631">
        <f>IF(Y205="","",Y205*R205)</f>
        <v/>
      </c>
      <c r="AA205" s="53" t="inlineStr"/>
    </row>
    <row r="206" ht="31.75" customFormat="1" customHeight="1" s="59" thickBot="1">
      <c r="A206" s="128" t="inlineStr">
        <is>
          <t>NA</t>
        </is>
      </c>
      <c r="B206" s="112" t="inlineStr">
        <is>
          <t>closeout</t>
        </is>
      </c>
      <c r="C206" s="49" t="inlineStr">
        <is>
          <t>closeout</t>
        </is>
      </c>
      <c r="D206" s="48" t="inlineStr">
        <is>
          <t>Thank you for your time. The interview has come to an end.</t>
        </is>
      </c>
      <c r="E206" s="47">
        <f>LEN(D206)</f>
        <v/>
      </c>
      <c r="F206" s="171" t="inlineStr">
        <is>
          <t xml:space="preserve">شكرا لك على وقتك. انتهت المقابلة. </t>
        </is>
      </c>
      <c r="G206" s="47">
        <f>LEN(F206)</f>
        <v/>
      </c>
      <c r="H206" s="47" t="inlineStr">
        <is>
          <t>NA</t>
        </is>
      </c>
      <c r="I206" s="47" t="inlineStr">
        <is>
          <t>NA</t>
        </is>
      </c>
      <c r="J206" s="47" t="inlineStr">
        <is>
          <t>NA</t>
        </is>
      </c>
      <c r="K206" s="47" t="inlineStr">
        <is>
          <t>NA</t>
        </is>
      </c>
      <c r="L206" s="46" t="inlineStr"/>
      <c r="M206" s="46" t="inlineStr">
        <is>
          <t>NA</t>
        </is>
      </c>
      <c r="N206" s="373" t="inlineStr">
        <is>
          <t>GeoPoll [10/14/2025]. Removed reference to incentive and deleted QName Language2</t>
        </is>
      </c>
      <c r="O206" s="45" t="inlineStr">
        <is>
          <t>NA</t>
        </is>
      </c>
      <c r="P206" s="36" t="inlineStr"/>
      <c r="Q206" s="37" t="n"/>
      <c r="R206" s="306" t="n">
        <v>1</v>
      </c>
      <c r="S206" s="613" t="n"/>
      <c r="U206" s="61" t="inlineStr">
        <is>
          <t>no</t>
        </is>
      </c>
      <c r="V206" s="613" t="n"/>
      <c r="Y206" s="651" t="n"/>
      <c r="Z206" s="631">
        <f>IF(Y206="","",Y206*R206)</f>
        <v/>
      </c>
      <c r="AA206" s="53" t="inlineStr"/>
    </row>
    <row r="207">
      <c r="Y207" s="652" t="n"/>
    </row>
    <row r="208" ht="16.4" customHeight="1" thickBot="1"/>
    <row r="209" ht="18" customHeight="1" thickBot="1">
      <c r="D209" s="111" t="inlineStr">
        <is>
          <t xml:space="preserve">AVERAGE ESTIMATED DURATION </t>
        </is>
      </c>
      <c r="E209" s="110" t="n"/>
      <c r="F209" s="111" t="n"/>
      <c r="G209" s="110" t="n"/>
      <c r="H209" s="110" t="n"/>
      <c r="I209" s="110" t="n"/>
      <c r="J209" s="110" t="n"/>
      <c r="K209" s="110" t="n"/>
      <c r="L209" s="110" t="n"/>
      <c r="M209" s="110" t="n"/>
      <c r="N209" s="369" t="n"/>
      <c r="O209" s="110" t="n"/>
      <c r="P209" s="110" t="n"/>
      <c r="Q209" s="110" t="n"/>
      <c r="R209" s="334" t="n"/>
      <c r="Y209" s="335" t="n"/>
      <c r="Z209" s="336">
        <f>(SUM(Z5:Z207))/60</f>
        <v/>
      </c>
      <c r="AA209" s="155">
        <f>SUM(AA2:AA206)/60</f>
        <v/>
      </c>
    </row>
    <row r="210" hidden="1" ht="16.4" customHeight="1" thickBot="1">
      <c r="D210" s="127" t="inlineStr">
        <is>
          <t>AVERAGE ESTIMATED DURATION (without fisheries section)</t>
        </is>
      </c>
      <c r="E210" s="126" t="n"/>
      <c r="F210" s="127" t="n"/>
      <c r="G210" s="126" t="n"/>
      <c r="H210" s="126" t="n"/>
      <c r="I210" s="126" t="n"/>
      <c r="J210" s="126" t="n"/>
      <c r="K210" s="126" t="n"/>
      <c r="L210" s="126" t="n"/>
      <c r="M210" s="126" t="n"/>
      <c r="N210" s="370" t="n"/>
      <c r="O210" s="126" t="n"/>
      <c r="P210" s="126" t="n"/>
      <c r="Q210" s="126" t="n"/>
      <c r="R210" s="337" t="n"/>
      <c r="Y210" s="338" t="n"/>
      <c r="Z210" s="339">
        <f>(SUM(Z6:Z137)+SUM(Z151:Z207))/60</f>
        <v/>
      </c>
    </row>
    <row r="211" ht="16.4" customHeight="1" thickBot="1">
      <c r="D211" s="111" t="inlineStr">
        <is>
          <t>AVERAGE ESTIMATED DURATION (without fisheries section or panel)</t>
        </is>
      </c>
      <c r="E211" s="110" t="n"/>
      <c r="F211" s="111" t="n"/>
      <c r="G211" s="110" t="n"/>
      <c r="H211" s="110" t="n"/>
      <c r="I211" s="110" t="n"/>
      <c r="J211" s="110" t="n"/>
      <c r="K211" s="110" t="n"/>
      <c r="L211" s="110" t="n"/>
      <c r="M211" s="110" t="n"/>
      <c r="N211" s="369" t="n"/>
      <c r="O211" s="110" t="n"/>
      <c r="P211" s="110" t="n"/>
      <c r="Q211" s="110" t="n"/>
      <c r="R211" s="334" t="n"/>
      <c r="Y211" s="335" t="n"/>
      <c r="Z211" s="340">
        <f>(SUM(Z6:Z22)+SUM(Z54:Z137)+SUM(Z150:Z203)+SUM(Z206:Z207))/60</f>
        <v/>
      </c>
    </row>
  </sheetData>
  <mergeCells count="18">
    <mergeCell ref="A202:Q202"/>
    <mergeCell ref="A119:Q119"/>
    <mergeCell ref="A150:Q150"/>
    <mergeCell ref="A18:Q18"/>
    <mergeCell ref="A145:Q145"/>
    <mergeCell ref="A124:Q124"/>
    <mergeCell ref="A77:Q77"/>
    <mergeCell ref="A4:Q4"/>
    <mergeCell ref="A57:Q57"/>
    <mergeCell ref="A101:Q101"/>
    <mergeCell ref="A133:Q133"/>
    <mergeCell ref="Q2:Q3"/>
    <mergeCell ref="A138:Q138"/>
    <mergeCell ref="A107:Q107"/>
    <mergeCell ref="O31:O53"/>
    <mergeCell ref="A1:Q1"/>
    <mergeCell ref="A194:Q194"/>
    <mergeCell ref="A2:P2"/>
  </mergeCells>
  <conditionalFormatting sqref="B8">
    <cfRule type="duplicateValues" priority="8" dxfId="0"/>
  </conditionalFormatting>
  <conditionalFormatting sqref="B11 B13:B16">
    <cfRule type="duplicateValues" priority="841" dxfId="0"/>
  </conditionalFormatting>
  <conditionalFormatting sqref="B12">
    <cfRule type="duplicateValues" priority="184" dxfId="0"/>
    <cfRule type="duplicateValues" priority="183" dxfId="0"/>
  </conditionalFormatting>
  <conditionalFormatting sqref="B17">
    <cfRule type="duplicateValues" priority="840" dxfId="0"/>
  </conditionalFormatting>
  <conditionalFormatting sqref="B24">
    <cfRule type="duplicateValues" priority="698" dxfId="0"/>
  </conditionalFormatting>
  <conditionalFormatting sqref="B30">
    <cfRule type="duplicateValues" priority="1324" dxfId="0"/>
  </conditionalFormatting>
  <conditionalFormatting sqref="B31:B52">
    <cfRule type="duplicateValues" priority="7" dxfId="0"/>
  </conditionalFormatting>
  <conditionalFormatting sqref="B53">
    <cfRule type="duplicateValues" priority="6" dxfId="0"/>
  </conditionalFormatting>
  <conditionalFormatting sqref="B54">
    <cfRule type="duplicateValues" priority="450" dxfId="0"/>
  </conditionalFormatting>
  <conditionalFormatting sqref="B56">
    <cfRule type="duplicateValues" priority="27" dxfId="0"/>
  </conditionalFormatting>
  <conditionalFormatting sqref="B61">
    <cfRule type="duplicateValues" priority="852" dxfId="0"/>
  </conditionalFormatting>
  <conditionalFormatting sqref="B62">
    <cfRule type="duplicateValues" priority="1169" dxfId="0"/>
  </conditionalFormatting>
  <conditionalFormatting sqref="B63">
    <cfRule type="duplicateValues" priority="16" dxfId="0"/>
  </conditionalFormatting>
  <conditionalFormatting sqref="B64">
    <cfRule type="duplicateValues" priority="17" dxfId="0"/>
  </conditionalFormatting>
  <conditionalFormatting sqref="B65">
    <cfRule type="duplicateValues" priority="1289" dxfId="0"/>
  </conditionalFormatting>
  <conditionalFormatting sqref="B66">
    <cfRule type="duplicateValues" priority="20" dxfId="0"/>
  </conditionalFormatting>
  <conditionalFormatting sqref="B67:B70">
    <cfRule type="duplicateValues" priority="24" dxfId="0"/>
  </conditionalFormatting>
  <conditionalFormatting sqref="B71">
    <cfRule type="duplicateValues" priority="23" dxfId="0"/>
  </conditionalFormatting>
  <conditionalFormatting sqref="B72">
    <cfRule type="duplicateValues" priority="22" dxfId="0"/>
  </conditionalFormatting>
  <conditionalFormatting sqref="B74">
    <cfRule type="duplicateValues" priority="1212" dxfId="0"/>
  </conditionalFormatting>
  <conditionalFormatting sqref="B79:B81">
    <cfRule type="duplicateValues" priority="460" dxfId="0"/>
  </conditionalFormatting>
  <conditionalFormatting sqref="B82">
    <cfRule type="duplicateValues" priority="476" dxfId="0"/>
  </conditionalFormatting>
  <conditionalFormatting sqref="B85:B87">
    <cfRule type="duplicateValues" priority="456" dxfId="0"/>
  </conditionalFormatting>
  <conditionalFormatting sqref="B88">
    <cfRule type="duplicateValues" priority="469" dxfId="0"/>
  </conditionalFormatting>
  <conditionalFormatting sqref="B91:B93">
    <cfRule type="duplicateValues" priority="452" dxfId="0"/>
  </conditionalFormatting>
  <conditionalFormatting sqref="B94">
    <cfRule type="duplicateValues" priority="467" dxfId="0"/>
  </conditionalFormatting>
  <conditionalFormatting sqref="B95">
    <cfRule type="duplicateValues" priority="1251" dxfId="0"/>
  </conditionalFormatting>
  <conditionalFormatting sqref="B97">
    <cfRule type="duplicateValues" priority="28" dxfId="0"/>
  </conditionalFormatting>
  <conditionalFormatting sqref="B99:B100">
    <cfRule type="duplicateValues" priority="4" dxfId="0"/>
  </conditionalFormatting>
  <conditionalFormatting sqref="B102:B106">
    <cfRule type="duplicateValues" priority="12" dxfId="0"/>
  </conditionalFormatting>
  <conditionalFormatting sqref="B115:B116">
    <cfRule type="duplicateValues" priority="1361" dxfId="0"/>
  </conditionalFormatting>
  <conditionalFormatting sqref="B118">
    <cfRule type="duplicateValues" priority="844" dxfId="0"/>
  </conditionalFormatting>
  <conditionalFormatting sqref="B120">
    <cfRule type="duplicateValues" priority="1399" dxfId="0"/>
  </conditionalFormatting>
  <conditionalFormatting sqref="B130">
    <cfRule type="duplicateValues" priority="845" dxfId="0"/>
  </conditionalFormatting>
  <conditionalFormatting sqref="B132">
    <cfRule type="duplicateValues" priority="842" dxfId="0"/>
    <cfRule type="duplicateValues" priority="843" dxfId="0"/>
  </conditionalFormatting>
  <conditionalFormatting sqref="B136">
    <cfRule type="duplicateValues" priority="1432" dxfId="0"/>
  </conditionalFormatting>
  <conditionalFormatting sqref="B139">
    <cfRule type="duplicateValues" priority="800" dxfId="0"/>
  </conditionalFormatting>
  <conditionalFormatting sqref="B140">
    <cfRule type="duplicateValues" priority="1465" dxfId="0"/>
  </conditionalFormatting>
  <conditionalFormatting sqref="B147:B149">
    <cfRule type="duplicateValues" priority="1498" dxfId="0"/>
  </conditionalFormatting>
  <conditionalFormatting sqref="B157">
    <cfRule type="duplicateValues" priority="825" dxfId="0"/>
  </conditionalFormatting>
  <conditionalFormatting sqref="B158">
    <cfRule type="duplicateValues" priority="823" dxfId="0"/>
  </conditionalFormatting>
  <conditionalFormatting sqref="B160">
    <cfRule type="duplicateValues" priority="821" dxfId="0"/>
  </conditionalFormatting>
  <conditionalFormatting sqref="B162">
    <cfRule type="duplicateValues" priority="819" dxfId="0"/>
  </conditionalFormatting>
  <conditionalFormatting sqref="B175">
    <cfRule type="duplicateValues" priority="817" dxfId="0"/>
  </conditionalFormatting>
  <conditionalFormatting sqref="B176:B184 B186:B188">
    <cfRule type="duplicateValues" priority="850" dxfId="0"/>
  </conditionalFormatting>
  <conditionalFormatting sqref="B185">
    <cfRule type="duplicateValues" priority="705" dxfId="0"/>
  </conditionalFormatting>
  <conditionalFormatting sqref="B189">
    <cfRule type="duplicateValues" priority="703" dxfId="0"/>
  </conditionalFormatting>
  <conditionalFormatting sqref="B190 C176:C184 C186:C188">
    <cfRule type="duplicateValues" priority="1136" dxfId="0"/>
  </conditionalFormatting>
  <conditionalFormatting sqref="B191:B193">
    <cfRule type="duplicateValues" priority="704" dxfId="0"/>
  </conditionalFormatting>
  <conditionalFormatting sqref="B195">
    <cfRule type="duplicateValues" priority="3" dxfId="0"/>
  </conditionalFormatting>
  <conditionalFormatting sqref="B196:B197">
    <cfRule type="duplicateValues" priority="2" dxfId="0"/>
  </conditionalFormatting>
  <conditionalFormatting sqref="B2:B3 B5:B7 B9:B11 B13:B17 B21:B23 B25:B29 B55 B59:B60 B73 B75:B76 B78 B83:B84 B89:B90 B98 B111:B112 B117 B121:B123 B126:B129 B131:B132 B134:B135 B137 B141:B144 B146 B151:B156 B159 B161 B163 B174 B198:B199 B203 B206:B210 B212:B1048576">
    <cfRule type="duplicateValues" priority="847" dxfId="0"/>
  </conditionalFormatting>
  <conditionalFormatting sqref="B211">
    <cfRule type="duplicateValues" priority="615" dxfId="0"/>
  </conditionalFormatting>
  <conditionalFormatting sqref="C23">
    <cfRule type="duplicateValues" priority="1145" dxfId="0"/>
  </conditionalFormatting>
  <conditionalFormatting sqref="C24">
    <cfRule type="duplicateValues" priority="1146" dxfId="0"/>
  </conditionalFormatting>
  <conditionalFormatting sqref="C25:C26 C28:C29">
    <cfRule type="duplicateValues" priority="1147" dxfId="0"/>
  </conditionalFormatting>
  <conditionalFormatting sqref="C27">
    <cfRule type="duplicateValues" priority="1152" dxfId="0"/>
  </conditionalFormatting>
  <conditionalFormatting sqref="C30">
    <cfRule type="duplicateValues" priority="1328" dxfId="0"/>
  </conditionalFormatting>
  <conditionalFormatting sqref="C55">
    <cfRule type="duplicateValues" priority="1250" dxfId="0"/>
  </conditionalFormatting>
  <conditionalFormatting sqref="C61">
    <cfRule type="duplicateValues" priority="1149" dxfId="0"/>
  </conditionalFormatting>
  <conditionalFormatting sqref="C62">
    <cfRule type="duplicateValues" priority="1211" dxfId="0"/>
  </conditionalFormatting>
  <conditionalFormatting sqref="C70">
    <cfRule type="duplicateValues" priority="19" dxfId="0"/>
  </conditionalFormatting>
  <conditionalFormatting sqref="C71">
    <cfRule type="duplicateValues" priority="21" dxfId="0"/>
  </conditionalFormatting>
  <conditionalFormatting sqref="C74">
    <cfRule type="duplicateValues" priority="36" dxfId="0"/>
  </conditionalFormatting>
  <conditionalFormatting sqref="C75">
    <cfRule type="duplicateValues" priority="1131" dxfId="0"/>
  </conditionalFormatting>
  <conditionalFormatting sqref="C76">
    <cfRule type="duplicateValues" priority="1132" dxfId="0"/>
  </conditionalFormatting>
  <conditionalFormatting sqref="C79">
    <cfRule type="duplicateValues" priority="458" dxfId="0"/>
  </conditionalFormatting>
  <conditionalFormatting sqref="C80">
    <cfRule type="duplicateValues" priority="457" dxfId="0"/>
  </conditionalFormatting>
  <conditionalFormatting sqref="C81">
    <cfRule type="duplicateValues" priority="459" dxfId="0"/>
  </conditionalFormatting>
  <conditionalFormatting sqref="C82">
    <cfRule type="duplicateValues" priority="1165" dxfId="0"/>
  </conditionalFormatting>
  <conditionalFormatting sqref="C85">
    <cfRule type="duplicateValues" priority="454" dxfId="0"/>
  </conditionalFormatting>
  <conditionalFormatting sqref="C86">
    <cfRule type="duplicateValues" priority="453" dxfId="0"/>
  </conditionalFormatting>
  <conditionalFormatting sqref="C87">
    <cfRule type="duplicateValues" priority="455" dxfId="0"/>
  </conditionalFormatting>
  <conditionalFormatting sqref="C88">
    <cfRule type="duplicateValues" priority="1167" dxfId="0"/>
  </conditionalFormatting>
  <conditionalFormatting sqref="C91:C93">
    <cfRule type="duplicateValues" priority="451" dxfId="0"/>
  </conditionalFormatting>
  <conditionalFormatting sqref="C94">
    <cfRule type="duplicateValues" priority="1163" dxfId="0"/>
  </conditionalFormatting>
  <conditionalFormatting sqref="C99:C100">
    <cfRule type="duplicateValues" priority="5" dxfId="0"/>
  </conditionalFormatting>
  <conditionalFormatting sqref="C102">
    <cfRule type="duplicateValues" priority="13" dxfId="0"/>
  </conditionalFormatting>
  <conditionalFormatting sqref="C115:C116">
    <cfRule type="duplicateValues" priority="1366" dxfId="0"/>
  </conditionalFormatting>
  <conditionalFormatting sqref="C120">
    <cfRule type="duplicateValues" priority="1155" dxfId="0"/>
  </conditionalFormatting>
  <conditionalFormatting sqref="C147">
    <cfRule type="duplicateValues" priority="1125" dxfId="0"/>
  </conditionalFormatting>
  <conditionalFormatting sqref="C151">
    <cfRule type="duplicateValues" priority="243" dxfId="0"/>
  </conditionalFormatting>
  <conditionalFormatting sqref="C157">
    <cfRule type="duplicateValues" priority="1126" dxfId="0"/>
  </conditionalFormatting>
  <conditionalFormatting sqref="C158">
    <cfRule type="duplicateValues" priority="1127" dxfId="0"/>
  </conditionalFormatting>
  <conditionalFormatting sqref="C160">
    <cfRule type="duplicateValues" priority="1128" dxfId="0"/>
  </conditionalFormatting>
  <conditionalFormatting sqref="C162">
    <cfRule type="duplicateValues" priority="1129" dxfId="0"/>
  </conditionalFormatting>
  <conditionalFormatting sqref="C175">
    <cfRule type="duplicateValues" priority="1130" dxfId="0"/>
  </conditionalFormatting>
  <conditionalFormatting sqref="C185">
    <cfRule type="duplicateValues" priority="1141" dxfId="0"/>
  </conditionalFormatting>
  <conditionalFormatting sqref="C189">
    <cfRule type="duplicateValues" priority="1144" dxfId="0"/>
  </conditionalFormatting>
  <conditionalFormatting sqref="C190">
    <cfRule type="duplicateValues" priority="1142" dxfId="0"/>
  </conditionalFormatting>
  <conditionalFormatting sqref="C191:C193">
    <cfRule type="duplicateValues" priority="1143" dxfId="0"/>
  </conditionalFormatting>
  <conditionalFormatting sqref="C196:C197">
    <cfRule type="duplicateValues" priority="1" dxfId="0"/>
  </conditionalFormatting>
  <conditionalFormatting sqref="D23:D30">
    <cfRule type="expression" priority="55" dxfId="25" stopIfTrue="1">
      <formula>$A23="decimal"</formula>
    </cfRule>
    <cfRule type="expression" priority="56" dxfId="9" stopIfTrue="1">
      <formula>$A23="decimal"</formula>
    </cfRule>
    <cfRule type="expression" priority="57" dxfId="26" stopIfTrue="1">
      <formula>$A23="integer"</formula>
    </cfRule>
    <cfRule type="expression" priority="58" dxfId="27" stopIfTrue="1">
      <formula>$A23="integer"</formula>
    </cfRule>
    <cfRule type="expression" priority="59" dxfId="28" stopIfTrue="1">
      <formula>$A23="text"</formula>
    </cfRule>
    <cfRule type="expression" priority="60" dxfId="29" stopIfTrue="1">
      <formula>$A23="text"</formula>
    </cfRule>
    <cfRule type="expression" priority="61" dxfId="30" stopIfTrue="1">
      <formula>$A23="end repeat"</formula>
    </cfRule>
    <cfRule type="expression" priority="62" dxfId="31" stopIfTrue="1">
      <formula>$A23="begin repeat"</formula>
    </cfRule>
    <cfRule type="expression" priority="63" dxfId="30" stopIfTrue="1">
      <formula>$A23="begin repeat"</formula>
    </cfRule>
    <cfRule type="expression" priority="64" dxfId="5" stopIfTrue="1">
      <formula>$A23="end group"</formula>
    </cfRule>
    <cfRule type="expression" priority="65" dxfId="4" stopIfTrue="1">
      <formula>$A23="begin group"</formula>
    </cfRule>
    <cfRule type="expression" priority="66" dxfId="5" stopIfTrue="1">
      <formula>$A23="begin group"</formula>
    </cfRule>
    <cfRule type="expression" priority="41" dxfId="12" stopIfTrue="1">
      <formula>$A23="image"</formula>
    </cfRule>
    <cfRule type="expression" priority="38" dxfId="10" stopIfTrue="1">
      <formula>OR($A23="audio", $A23="video")</formula>
    </cfRule>
    <cfRule type="expression" priority="39" dxfId="11" stopIfTrue="1">
      <formula>OR($A23="audio", $A23="video")</formula>
    </cfRule>
    <cfRule type="expression" priority="40" dxfId="7" stopIfTrue="1">
      <formula>$A23="image"</formula>
    </cfRule>
    <cfRule type="expression" priority="42" dxfId="13" stopIfTrue="1">
      <formula>OR($A23="date", $A23="datetime")</formula>
    </cfRule>
    <cfRule type="expression" priority="43" dxfId="14" stopIfTrue="1">
      <formula>OR($A23="date", $A23="datetime")</formula>
    </cfRule>
    <cfRule type="expression" priority="44" dxfId="6" stopIfTrue="1">
      <formula>OR($A23="calculate", $A23="calculate_here")</formula>
    </cfRule>
    <cfRule type="expression" priority="45" dxfId="15" stopIfTrue="1">
      <formula>$A23="note"</formula>
    </cfRule>
    <cfRule type="expression" priority="46" dxfId="16" stopIfTrue="1">
      <formula>$A23="note"</formula>
    </cfRule>
    <cfRule type="expression" priority="47" dxfId="17" stopIfTrue="1">
      <formula>$A23="barcode"</formula>
    </cfRule>
    <cfRule type="expression" priority="48" dxfId="18" stopIfTrue="1">
      <formula>$A23="barcode"</formula>
    </cfRule>
    <cfRule type="expression" priority="49" dxfId="19" stopIfTrue="1">
      <formula>$A23="geopoint"</formula>
    </cfRule>
    <cfRule type="expression" priority="50" dxfId="20" stopIfTrue="1">
      <formula>$A23="geopoint"</formula>
    </cfRule>
    <cfRule type="expression" priority="51" dxfId="21" stopIfTrue="1">
      <formula>OR($A23="audio audit", $A23="text audit")</formula>
    </cfRule>
    <cfRule type="expression" priority="52" dxfId="22" stopIfTrue="1">
      <formula>OR($A23="username", $A23="phonenumber", $A23="start", $A23="end", $A23="deviceid", $A23="subscriberid", $A23="simserial")</formula>
    </cfRule>
    <cfRule type="expression" priority="53" dxfId="23" stopIfTrue="1">
      <formula>OR(AND(LEFT($A23, 16)="select_multiple ", LEN($A23)&gt;16, NOT(ISNUMBER(SEARCH(" ", $A23, 17)))), AND(LEFT($A23, 11)="select_one ", LEN($A23)&gt;11, NOT(ISNUMBER(SEARCH(" ", $A23, 12)))))</formula>
    </cfRule>
    <cfRule type="expression" priority="54" dxfId="24" stopIfTrue="1">
      <formula>OR(AND(LEFT($A23, 16)="select_multiple ", LEN($A23)&gt;16, NOT(ISNUMBER(SEARCH(" ", $A23, 17)))), AND(LEFT($A23, 11)="select_one ", LEN($A23)&gt;11, NOT(ISNUMBER(SEARCH(" ", $A23, 12)))))</formula>
    </cfRule>
  </conditionalFormatting>
  <conditionalFormatting sqref="D59">
    <cfRule type="cellIs" priority="811" operator="notEqual" dxfId="0">
      <formula>$D$59</formula>
    </cfRule>
  </conditionalFormatting>
  <conditionalFormatting sqref="D204:D205">
    <cfRule type="expression" priority="167" dxfId="21" stopIfTrue="1">
      <formula>OR($A204="audio audit", $A204="text audit")</formula>
    </cfRule>
    <cfRule type="expression" priority="168" dxfId="22" stopIfTrue="1">
      <formula>OR($A204="username", $A204="phonenumber", $A204="start", $A204="end", $A204="deviceid", $A204="subscriberid", $A204="simserial")</formula>
    </cfRule>
    <cfRule type="expression" priority="169" dxfId="23" stopIfTrue="1">
      <formula>OR(AND(LEFT($A204, 16)="select_multiple ", LEN($A204)&gt;16, NOT(ISNUMBER(SEARCH(" ", $A204, 17)))), AND(LEFT($A204, 11)="select_one ", LEN($A204)&gt;11, NOT(ISNUMBER(SEARCH(" ", $A204, 12)))))</formula>
    </cfRule>
    <cfRule type="expression" priority="170" dxfId="24" stopIfTrue="1">
      <formula>OR(AND(LEFT($A204, 16)="select_multiple ", LEN($A204)&gt;16, NOT(ISNUMBER(SEARCH(" ", $A204, 17)))), AND(LEFT($A204, 11)="select_one ", LEN($A204)&gt;11, NOT(ISNUMBER(SEARCH(" ", $A204, 12)))))</formula>
    </cfRule>
    <cfRule type="expression" priority="171" dxfId="25" stopIfTrue="1">
      <formula>$A204="decimal"</formula>
    </cfRule>
    <cfRule type="expression" priority="172" dxfId="9" stopIfTrue="1">
      <formula>$A204="decimal"</formula>
    </cfRule>
    <cfRule type="expression" priority="173" dxfId="26" stopIfTrue="1">
      <formula>$A204="integer"</formula>
    </cfRule>
    <cfRule type="expression" priority="174" dxfId="27" stopIfTrue="1">
      <formula>$A204="integer"</formula>
    </cfRule>
    <cfRule type="expression" priority="175" dxfId="28" stopIfTrue="1">
      <formula>$A204="text"</formula>
    </cfRule>
    <cfRule type="expression" priority="165" dxfId="19" stopIfTrue="1">
      <formula>$A204="geopoint"</formula>
    </cfRule>
    <cfRule type="expression" priority="177" dxfId="30" stopIfTrue="1">
      <formula>$A204="end repeat"</formula>
    </cfRule>
    <cfRule type="expression" priority="178" dxfId="31" stopIfTrue="1">
      <formula>$A204="begin repeat"</formula>
    </cfRule>
    <cfRule type="expression" priority="179" dxfId="30" stopIfTrue="1">
      <formula>$A204="begin repeat"</formula>
    </cfRule>
    <cfRule type="expression" priority="180" dxfId="5" stopIfTrue="1">
      <formula>$A204="end group"</formula>
    </cfRule>
    <cfRule type="expression" priority="181" dxfId="4" stopIfTrue="1">
      <formula>$A204="begin group"</formula>
    </cfRule>
    <cfRule type="expression" priority="182" dxfId="5" stopIfTrue="1">
      <formula>$A204="begin group"</formula>
    </cfRule>
    <cfRule type="expression" priority="166" dxfId="20" stopIfTrue="1">
      <formula>$A204="geopoint"</formula>
    </cfRule>
    <cfRule type="expression" priority="155" dxfId="11" stopIfTrue="1">
      <formula>OR($A204="audio", $A204="video")</formula>
    </cfRule>
    <cfRule type="expression" priority="154" dxfId="10" stopIfTrue="1">
      <formula>OR($A204="audio", $A204="video")</formula>
    </cfRule>
    <cfRule type="expression" priority="156" dxfId="7" stopIfTrue="1">
      <formula>$A204="image"</formula>
    </cfRule>
    <cfRule type="expression" priority="157" dxfId="12" stopIfTrue="1">
      <formula>$A204="image"</formula>
    </cfRule>
    <cfRule type="expression" priority="158" dxfId="13" stopIfTrue="1">
      <formula>OR($A204="date", $A204="datetime")</formula>
    </cfRule>
    <cfRule type="expression" priority="159" dxfId="14" stopIfTrue="1">
      <formula>OR($A204="date", $A204="datetime")</formula>
    </cfRule>
    <cfRule type="expression" priority="160" dxfId="6" stopIfTrue="1">
      <formula>OR($A204="calculate", $A204="calculate_here")</formula>
    </cfRule>
    <cfRule type="expression" priority="161" dxfId="15" stopIfTrue="1">
      <formula>$A204="note"</formula>
    </cfRule>
    <cfRule type="expression" priority="162" dxfId="16" stopIfTrue="1">
      <formula>$A204="note"</formula>
    </cfRule>
    <cfRule type="expression" priority="163" dxfId="17" stopIfTrue="1">
      <formula>$A204="barcode"</formula>
    </cfRule>
    <cfRule type="expression" priority="176" dxfId="29" stopIfTrue="1">
      <formula>$A204="text"</formula>
    </cfRule>
    <cfRule type="expression" priority="164" dxfId="18" stopIfTrue="1">
      <formula>$A204="barcode"</formula>
    </cfRule>
  </conditionalFormatting>
  <conditionalFormatting sqref="F25">
    <cfRule type="expression" priority="107" dxfId="19" stopIfTrue="1">
      <formula>$A25="geopoint"</formula>
    </cfRule>
    <cfRule type="expression" priority="100" dxfId="13" stopIfTrue="1">
      <formula>OR($A25="date", $A25="datetime")</formula>
    </cfRule>
    <cfRule type="expression" priority="105" dxfId="17" stopIfTrue="1">
      <formula>$A25="barcode"</formula>
    </cfRule>
    <cfRule type="expression" priority="104" dxfId="16" stopIfTrue="1">
      <formula>$A25="note"</formula>
    </cfRule>
    <cfRule type="expression" priority="124" dxfId="5" stopIfTrue="1">
      <formula>$A25="begin group"</formula>
    </cfRule>
    <cfRule type="expression" priority="103" dxfId="15" stopIfTrue="1">
      <formula>$A25="note"</formula>
    </cfRule>
    <cfRule type="expression" priority="102" dxfId="6" stopIfTrue="1">
      <formula>OR($A25="calculate", $A25="calculate_here")</formula>
    </cfRule>
    <cfRule type="expression" priority="120" dxfId="31" stopIfTrue="1">
      <formula>$A25="begin repeat"</formula>
    </cfRule>
    <cfRule type="expression" priority="101" dxfId="14" stopIfTrue="1">
      <formula>OR($A25="date", $A25="datetime")</formula>
    </cfRule>
    <cfRule type="expression" priority="99" dxfId="12" stopIfTrue="1">
      <formula>$A25="image"</formula>
    </cfRule>
    <cfRule type="expression" priority="98" dxfId="7" stopIfTrue="1">
      <formula>$A25="image"</formula>
    </cfRule>
    <cfRule type="expression" priority="97" dxfId="11" stopIfTrue="1">
      <formula>OR($A25="audio", $A25="video")</formula>
    </cfRule>
    <cfRule type="expression" priority="96" dxfId="10" stopIfTrue="1">
      <formula>OR($A25="audio", $A25="video")</formula>
    </cfRule>
    <cfRule type="expression" priority="115" dxfId="26" stopIfTrue="1">
      <formula>$A25="integer"</formula>
    </cfRule>
    <cfRule type="expression" priority="119" dxfId="30" stopIfTrue="1">
      <formula>$A25="end repeat"</formula>
    </cfRule>
    <cfRule type="expression" priority="110" dxfId="22" stopIfTrue="1">
      <formula>OR($A25="username", $A25="phonenumber", $A25="start", $A25="end", $A25="deviceid", $A25="subscriberid", $A25="simserial")</formula>
    </cfRule>
    <cfRule type="expression" priority="118" dxfId="29" stopIfTrue="1">
      <formula>$A25="text"</formula>
    </cfRule>
    <cfRule type="expression" priority="117" dxfId="28" stopIfTrue="1">
      <formula>$A25="text"</formula>
    </cfRule>
    <cfRule type="expression" priority="116" dxfId="27" stopIfTrue="1">
      <formula>$A25="integer"</formula>
    </cfRule>
    <cfRule type="expression" priority="121" dxfId="30" stopIfTrue="1">
      <formula>$A25="begin repeat"</formula>
    </cfRule>
    <cfRule type="expression" priority="114" dxfId="9" stopIfTrue="1">
      <formula>$A25="decimal"</formula>
    </cfRule>
    <cfRule type="expression" priority="113" dxfId="25" stopIfTrue="1">
      <formula>$A25="decimal"</formula>
    </cfRule>
    <cfRule type="expression" priority="112" dxfId="24" stopIfTrue="1">
      <formula>OR(AND(LEFT($A25, 16)="select_multiple ", LEN($A25)&gt;16, NOT(ISNUMBER(SEARCH(" ", $A25, 17)))), AND(LEFT($A25, 11)="select_one ", LEN($A25)&gt;11, NOT(ISNUMBER(SEARCH(" ", $A25, 12)))))</formula>
    </cfRule>
    <cfRule type="expression" priority="106" dxfId="18" stopIfTrue="1">
      <formula>$A25="barcode"</formula>
    </cfRule>
    <cfRule type="expression" priority="111" dxfId="23" stopIfTrue="1">
      <formula>OR(AND(LEFT($A25, 16)="select_multiple ", LEN($A25)&gt;16, NOT(ISNUMBER(SEARCH(" ", $A25, 17)))), AND(LEFT($A25, 11)="select_one ", LEN($A25)&gt;11, NOT(ISNUMBER(SEARCH(" ", $A25, 12)))))</formula>
    </cfRule>
    <cfRule type="expression" priority="109" dxfId="21" stopIfTrue="1">
      <formula>OR($A25="audio audit", $A25="text audit")</formula>
    </cfRule>
    <cfRule type="expression" priority="123" dxfId="4" stopIfTrue="1">
      <formula>$A25="begin group"</formula>
    </cfRule>
    <cfRule type="expression" priority="122" dxfId="5" stopIfTrue="1">
      <formula>$A25="end group"</formula>
    </cfRule>
    <cfRule type="expression" priority="108" dxfId="20" stopIfTrue="1">
      <formula>$A25="geopoint"</formula>
    </cfRule>
  </conditionalFormatting>
  <conditionalFormatting sqref="F28">
    <cfRule type="expression" priority="150" dxfId="30" stopIfTrue="1">
      <formula>$A28="begin repeat"</formula>
    </cfRule>
    <cfRule type="expression" priority="149" dxfId="31" stopIfTrue="1">
      <formula>$A28="begin repeat"</formula>
    </cfRule>
    <cfRule type="expression" priority="148" dxfId="30" stopIfTrue="1">
      <formula>$A28="end repeat"</formula>
    </cfRule>
    <cfRule type="expression" priority="147" dxfId="29" stopIfTrue="1">
      <formula>$A28="text"</formula>
    </cfRule>
    <cfRule type="expression" priority="146" dxfId="28" stopIfTrue="1">
      <formula>$A28="text"</formula>
    </cfRule>
    <cfRule type="expression" priority="145" dxfId="27" stopIfTrue="1">
      <formula>$A28="integer"</formula>
    </cfRule>
    <cfRule type="expression" priority="144" dxfId="26" stopIfTrue="1">
      <formula>$A28="integer"</formula>
    </cfRule>
    <cfRule type="expression" priority="142" dxfId="25" stopIfTrue="1">
      <formula>$A28="decimal"</formula>
    </cfRule>
    <cfRule type="expression" priority="141" dxfId="24" stopIfTrue="1">
      <formula>OR(AND(LEFT($A28, 16)="select_multiple ", LEN($A28)&gt;16, NOT(ISNUMBER(SEARCH(" ", $A28, 17)))), AND(LEFT($A28, 11)="select_one ", LEN($A28)&gt;11, NOT(ISNUMBER(SEARCH(" ", $A28, 12)))))</formula>
    </cfRule>
    <cfRule type="expression" priority="140" dxfId="23" stopIfTrue="1">
      <formula>OR(AND(LEFT($A28, 16)="select_multiple ", LEN($A28)&gt;16, NOT(ISNUMBER(SEARCH(" ", $A28, 17)))), AND(LEFT($A28, 11)="select_one ", LEN($A28)&gt;11, NOT(ISNUMBER(SEARCH(" ", $A28, 12)))))</formula>
    </cfRule>
    <cfRule type="expression" priority="139" dxfId="22" stopIfTrue="1">
      <formula>OR($A28="username", $A28="phonenumber", $A28="start", $A28="end", $A28="deviceid", $A28="subscriberid", $A28="simserial")</formula>
    </cfRule>
    <cfRule type="expression" priority="138" dxfId="21" stopIfTrue="1">
      <formula>OR($A28="audio audit", $A28="text audit")</formula>
    </cfRule>
    <cfRule type="expression" priority="137" dxfId="20" stopIfTrue="1">
      <formula>$A28="geopoint"</formula>
    </cfRule>
    <cfRule type="expression" priority="136" dxfId="19" stopIfTrue="1">
      <formula>$A28="geopoint"</formula>
    </cfRule>
    <cfRule type="expression" priority="135" dxfId="18" stopIfTrue="1">
      <formula>$A28="barcode"</formula>
    </cfRule>
    <cfRule type="expression" priority="134" dxfId="17" stopIfTrue="1">
      <formula>$A28="barcode"</formula>
    </cfRule>
    <cfRule type="expression" priority="133" dxfId="16" stopIfTrue="1">
      <formula>$A28="note"</formula>
    </cfRule>
    <cfRule type="expression" priority="132" dxfId="15" stopIfTrue="1">
      <formula>$A28="note"</formula>
    </cfRule>
    <cfRule type="expression" priority="130" dxfId="14" stopIfTrue="1">
      <formula>OR($A28="date", $A28="datetime")</formula>
    </cfRule>
    <cfRule type="expression" priority="129" dxfId="13" stopIfTrue="1">
      <formula>OR($A28="date", $A28="datetime")</formula>
    </cfRule>
    <cfRule type="expression" priority="128" dxfId="12" stopIfTrue="1">
      <formula>$A28="image"</formula>
    </cfRule>
    <cfRule type="expression" priority="126" dxfId="11" stopIfTrue="1">
      <formula>OR($A28="audio", $A28="video")</formula>
    </cfRule>
    <cfRule type="expression" priority="125" dxfId="10" stopIfTrue="1">
      <formula>OR($A28="audio", $A28="video")</formula>
    </cfRule>
    <cfRule type="expression" priority="143" dxfId="9" stopIfTrue="1">
      <formula>$A28="decimal"</formula>
    </cfRule>
    <cfRule type="expression" priority="151" dxfId="5" stopIfTrue="1">
      <formula>$A28="end group"</formula>
    </cfRule>
    <cfRule type="expression" priority="127" dxfId="7" stopIfTrue="1">
      <formula>$A28="image"</formula>
    </cfRule>
    <cfRule type="expression" priority="131" dxfId="6" stopIfTrue="1">
      <formula>OR($A28="calculate", $A28="calculate_here")</formula>
    </cfRule>
    <cfRule type="expression" priority="153" dxfId="5" stopIfTrue="1">
      <formula>$A28="begin group"</formula>
    </cfRule>
    <cfRule type="expression" priority="152" dxfId="4" stopIfTrue="1">
      <formula>$A28="begin group"</formula>
    </cfRule>
  </conditionalFormatting>
  <conditionalFormatting sqref="L70">
    <cfRule type="duplicateValues" priority="10" dxfId="0"/>
  </conditionalFormatting>
  <conditionalFormatting sqref="L102">
    <cfRule type="duplicateValues" priority="9" dxfId="0"/>
  </conditionalFormatting>
  <pageMargins left="0.7" right="0.7" top="0.75" bottom="0.75" header="0.3" footer="0.3"/>
  <pageSetup orientation="portrait" paperSize="9"/>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B2:G94"/>
  <sheetViews>
    <sheetView workbookViewId="0">
      <pane ySplit="3" topLeftCell="A4" activePane="bottomLeft" state="frozen"/>
      <selection activeCell="B3" sqref="B3"/>
      <selection pane="bottomLeft" activeCell="C92" sqref="C92"/>
    </sheetView>
  </sheetViews>
  <sheetFormatPr baseColWidth="8" defaultColWidth="10.453125" defaultRowHeight="14.5"/>
  <cols>
    <col width="10.453125" customWidth="1" style="1" min="1" max="2"/>
    <col width="15.1796875" customWidth="1" style="2" min="3" max="3"/>
    <col hidden="1" width="10.453125" customWidth="1" style="124" min="4" max="4"/>
    <col width="10.453125" customWidth="1" style="124" min="5" max="5"/>
    <col width="41.453125" customWidth="1" style="1" min="6" max="6"/>
    <col width="46.453125" customWidth="1" style="161" min="7" max="7"/>
    <col width="10.453125" customWidth="1" style="1" min="8" max="12"/>
    <col width="10.453125" customWidth="1" style="1" min="13" max="16384"/>
  </cols>
  <sheetData>
    <row r="2">
      <c r="C2" s="4" t="n"/>
      <c r="D2" s="122" t="n"/>
      <c r="E2" s="122" t="n"/>
      <c r="F2" s="5" t="n"/>
      <c r="G2" s="159" t="n"/>
    </row>
    <row r="3" ht="28.75" customHeight="1">
      <c r="B3" s="3" t="n"/>
      <c r="C3" s="468" t="inlineStr">
        <is>
          <t xml:space="preserve">Select top 10 crops </t>
        </is>
      </c>
      <c r="D3" s="469" t="inlineStr">
        <is>
          <t>GeoPoll code</t>
        </is>
      </c>
      <c r="E3" s="469" t="inlineStr">
        <is>
          <t>Dataset code</t>
        </is>
      </c>
      <c r="F3" s="469" t="inlineStr">
        <is>
          <t>Label (EN)</t>
        </is>
      </c>
      <c r="G3" s="468" t="inlineStr">
        <is>
          <t>Label (AR)</t>
        </is>
      </c>
    </row>
    <row r="4" ht="15.65" customHeight="1">
      <c r="B4" s="3" t="n"/>
      <c r="C4" s="470" t="n"/>
      <c r="D4" s="471">
        <f t="array" ref="D4:D93">_xlfn.SEQUENCE(90,1,1,1)</f>
        <v/>
      </c>
      <c r="E4" s="472" t="inlineStr">
        <is>
          <t>1.1</t>
        </is>
      </c>
      <c r="F4" s="471" t="inlineStr">
        <is>
          <t>Rice</t>
        </is>
      </c>
      <c r="G4" s="473" t="inlineStr">
        <is>
          <t>الرز</t>
        </is>
      </c>
    </row>
    <row r="5" ht="15.65" customHeight="1">
      <c r="B5" s="3" t="n"/>
      <c r="C5" s="470" t="inlineStr">
        <is>
          <t>x</t>
        </is>
      </c>
      <c r="D5" s="471" t="n">
        <v>2</v>
      </c>
      <c r="E5" s="472" t="inlineStr">
        <is>
          <t>1.2</t>
        </is>
      </c>
      <c r="F5" s="471" t="inlineStr">
        <is>
          <t>Wheat</t>
        </is>
      </c>
      <c r="G5" s="162" t="inlineStr">
        <is>
          <t>القمح</t>
        </is>
      </c>
    </row>
    <row r="6" ht="15.65" customHeight="1">
      <c r="B6" s="3" t="n"/>
      <c r="C6" s="470" t="inlineStr">
        <is>
          <t>x</t>
        </is>
      </c>
      <c r="D6" s="471" t="n">
        <v>3</v>
      </c>
      <c r="E6" s="472" t="inlineStr">
        <is>
          <t>1.3</t>
        </is>
      </c>
      <c r="F6" s="471" t="inlineStr">
        <is>
          <t>Millet</t>
        </is>
      </c>
      <c r="G6" s="162" t="inlineStr">
        <is>
          <t>الدخن</t>
        </is>
      </c>
    </row>
    <row r="7" ht="15.65" customHeight="1">
      <c r="B7" s="3" t="n"/>
      <c r="C7" s="470" t="inlineStr">
        <is>
          <t>x</t>
        </is>
      </c>
      <c r="D7" s="471" t="n">
        <v>4</v>
      </c>
      <c r="E7" s="472" t="inlineStr">
        <is>
          <t>1.4</t>
        </is>
      </c>
      <c r="F7" s="471" t="inlineStr">
        <is>
          <t>Sorghum</t>
        </is>
      </c>
      <c r="G7" s="162" t="inlineStr">
        <is>
          <t>الذرة الرفيعة</t>
        </is>
      </c>
    </row>
    <row r="8" ht="15.65" customHeight="1">
      <c r="B8" s="3" t="n"/>
      <c r="C8" s="470" t="n"/>
      <c r="D8" s="471" t="n">
        <v>5</v>
      </c>
      <c r="E8" s="472" t="inlineStr">
        <is>
          <t>1.5</t>
        </is>
      </c>
      <c r="F8" s="471" t="inlineStr">
        <is>
          <t>Maize</t>
        </is>
      </c>
      <c r="G8" s="162" t="inlineStr">
        <is>
          <t>الذرة</t>
        </is>
      </c>
    </row>
    <row r="9" ht="15.65" customHeight="1">
      <c r="B9" s="3" t="n"/>
      <c r="C9" s="470" t="n"/>
      <c r="D9" s="471" t="n">
        <v>6</v>
      </c>
      <c r="E9" s="472" t="inlineStr">
        <is>
          <t>1.6</t>
        </is>
      </c>
      <c r="F9" s="471" t="inlineStr">
        <is>
          <t>Barley</t>
        </is>
      </c>
      <c r="G9" s="162" t="inlineStr">
        <is>
          <t>الشعير</t>
        </is>
      </c>
    </row>
    <row r="10" ht="15.65" customHeight="1">
      <c r="B10" s="3" t="n"/>
      <c r="C10" s="474" t="n"/>
      <c r="D10" s="471" t="n">
        <v>7</v>
      </c>
      <c r="E10" s="472" t="inlineStr">
        <is>
          <t>1.99</t>
        </is>
      </c>
      <c r="F10" s="475" t="inlineStr">
        <is>
          <t>Other Cereal</t>
        </is>
      </c>
      <c r="G10" s="163" t="inlineStr">
        <is>
          <t>الحبوب الأخرى</t>
        </is>
      </c>
    </row>
    <row r="11" ht="15.65" customHeight="1">
      <c r="B11" s="3" t="n"/>
      <c r="C11" s="470" t="n"/>
      <c r="D11" s="471" t="n">
        <v>8</v>
      </c>
      <c r="E11" s="472" t="inlineStr">
        <is>
          <t>2.1</t>
        </is>
      </c>
      <c r="F11" s="471" t="inlineStr">
        <is>
          <t>Cassava</t>
        </is>
      </c>
      <c r="G11" s="162" t="inlineStr">
        <is>
          <t>الكسافا</t>
        </is>
      </c>
    </row>
    <row r="12" ht="15.65" customHeight="1">
      <c r="B12" s="3" t="n"/>
      <c r="C12" s="470" t="inlineStr">
        <is>
          <t>x</t>
        </is>
      </c>
      <c r="D12" s="471" t="n">
        <v>9</v>
      </c>
      <c r="E12" s="472" t="inlineStr">
        <is>
          <t>2.2</t>
        </is>
      </c>
      <c r="F12" s="471" t="inlineStr">
        <is>
          <t>Potatoe</t>
        </is>
      </c>
      <c r="G12" s="162" t="inlineStr">
        <is>
          <t>البطاطا</t>
        </is>
      </c>
    </row>
    <row r="13" ht="15.65" customHeight="1">
      <c r="B13" s="3" t="n"/>
      <c r="C13" s="470" t="n"/>
      <c r="D13" s="471" t="n">
        <v>10</v>
      </c>
      <c r="E13" s="472" t="inlineStr">
        <is>
          <t>2.3</t>
        </is>
      </c>
      <c r="F13" s="471" t="inlineStr">
        <is>
          <t>Sweet Potatoes</t>
        </is>
      </c>
      <c r="G13" s="162" t="inlineStr">
        <is>
          <t>البطاطا الحلوة</t>
        </is>
      </c>
    </row>
    <row r="14" ht="15.65" customHeight="1">
      <c r="B14" s="3" t="n"/>
      <c r="C14" s="470" t="n"/>
      <c r="D14" s="471" t="n">
        <v>11</v>
      </c>
      <c r="E14" s="472" t="inlineStr">
        <is>
          <t>2.4</t>
        </is>
      </c>
      <c r="F14" s="471" t="inlineStr">
        <is>
          <t>Yams</t>
        </is>
      </c>
      <c r="G14" s="162" t="inlineStr">
        <is>
          <t>اليام</t>
        </is>
      </c>
    </row>
    <row r="15" ht="15.65" customHeight="1">
      <c r="B15" s="3" t="n"/>
      <c r="C15" s="470" t="n"/>
      <c r="D15" s="471" t="n">
        <v>12</v>
      </c>
      <c r="E15" s="472" t="inlineStr">
        <is>
          <t>2.5</t>
        </is>
      </c>
      <c r="F15" s="471" t="inlineStr">
        <is>
          <t>Carrots</t>
        </is>
      </c>
      <c r="G15" s="162" t="inlineStr">
        <is>
          <t>الجزر</t>
        </is>
      </c>
    </row>
    <row r="16" ht="15.65" customHeight="1">
      <c r="B16" s="3" t="n"/>
      <c r="C16" s="470" t="n"/>
      <c r="D16" s="471" t="n">
        <v>13</v>
      </c>
      <c r="E16" s="472" t="inlineStr">
        <is>
          <t>2.6</t>
        </is>
      </c>
      <c r="F16" s="471" t="inlineStr">
        <is>
          <t>Cocoyam</t>
        </is>
      </c>
      <c r="G16" s="162" t="inlineStr">
        <is>
          <t>القلقاس</t>
        </is>
      </c>
    </row>
    <row r="17" ht="15.65" customHeight="1">
      <c r="B17" s="3" t="n"/>
      <c r="C17" s="474" t="n"/>
      <c r="D17" s="471" t="n">
        <v>14</v>
      </c>
      <c r="E17" s="472" t="inlineStr">
        <is>
          <t>2.99</t>
        </is>
      </c>
      <c r="F17" s="475" t="inlineStr">
        <is>
          <t>Other tubers</t>
        </is>
      </c>
      <c r="G17" s="163" t="inlineStr">
        <is>
          <t>الدرنات الأخرى</t>
        </is>
      </c>
    </row>
    <row r="18" ht="15.65" customHeight="1">
      <c r="B18" s="3" t="n"/>
      <c r="C18" s="470" t="n"/>
      <c r="D18" s="471" t="n">
        <v>15</v>
      </c>
      <c r="E18" s="472" t="inlineStr">
        <is>
          <t>3.1</t>
        </is>
      </c>
      <c r="F18" s="471" t="inlineStr">
        <is>
          <t>Beans</t>
        </is>
      </c>
      <c r="G18" s="162" t="inlineStr">
        <is>
          <t>الفاصوليا</t>
        </is>
      </c>
    </row>
    <row r="19" ht="15.65" customHeight="1">
      <c r="B19" s="3" t="n"/>
      <c r="C19" s="470" t="inlineStr">
        <is>
          <t>x</t>
        </is>
      </c>
      <c r="D19" s="471" t="n">
        <v>16</v>
      </c>
      <c r="E19" s="472" t="inlineStr">
        <is>
          <t>3.2</t>
        </is>
      </c>
      <c r="F19" s="471" t="inlineStr">
        <is>
          <t>Lentils</t>
        </is>
      </c>
      <c r="G19" s="162" t="inlineStr">
        <is>
          <t>العدس</t>
        </is>
      </c>
    </row>
    <row r="20" ht="15.65" customHeight="1">
      <c r="B20" s="3" t="n"/>
      <c r="C20" s="470" t="n"/>
      <c r="D20" s="471" t="n">
        <v>17</v>
      </c>
      <c r="E20" s="472" t="inlineStr">
        <is>
          <t>3.3</t>
        </is>
      </c>
      <c r="F20" s="471" t="inlineStr">
        <is>
          <t>Peas</t>
        </is>
      </c>
      <c r="G20" s="162" t="inlineStr">
        <is>
          <t>البازيلاء</t>
        </is>
      </c>
    </row>
    <row r="21" ht="15.65" customHeight="1">
      <c r="B21" s="3" t="n"/>
      <c r="C21" s="470" t="n"/>
      <c r="D21" s="471" t="n">
        <v>18</v>
      </c>
      <c r="E21" s="472" t="inlineStr">
        <is>
          <t>3.4</t>
        </is>
      </c>
      <c r="F21" s="471" t="inlineStr">
        <is>
          <t>Soybeans</t>
        </is>
      </c>
      <c r="G21" s="162" t="inlineStr">
        <is>
          <t>فول الصويا</t>
        </is>
      </c>
    </row>
    <row r="22" ht="15.65" customHeight="1">
      <c r="B22" s="3" t="n"/>
      <c r="C22" s="470" t="n"/>
      <c r="D22" s="471" t="n">
        <v>19</v>
      </c>
      <c r="E22" s="472" t="inlineStr">
        <is>
          <t>3.5</t>
        </is>
      </c>
      <c r="F22" s="471" t="inlineStr">
        <is>
          <t>Chickpeas</t>
        </is>
      </c>
      <c r="G22" s="162" t="inlineStr">
        <is>
          <t>الحمص</t>
        </is>
      </c>
    </row>
    <row r="23" ht="15.65" customHeight="1">
      <c r="B23" s="3" t="n"/>
      <c r="C23" s="470" t="n"/>
      <c r="D23" s="471" t="n">
        <v>20</v>
      </c>
      <c r="E23" s="472" t="inlineStr">
        <is>
          <t>3.6</t>
        </is>
      </c>
      <c r="F23" s="471" t="inlineStr">
        <is>
          <t>Fava beans</t>
        </is>
      </c>
      <c r="G23" s="162" t="inlineStr">
        <is>
          <t>الفول</t>
        </is>
      </c>
    </row>
    <row r="24" ht="15.65" customHeight="1">
      <c r="B24" s="3" t="n"/>
      <c r="C24" s="470" t="n"/>
      <c r="D24" s="471" t="n">
        <v>21</v>
      </c>
      <c r="E24" s="472" t="inlineStr">
        <is>
          <t>3.7</t>
        </is>
      </c>
      <c r="F24" s="471" t="inlineStr">
        <is>
          <t>Broad beans</t>
        </is>
      </c>
      <c r="G24" s="162" t="inlineStr">
        <is>
          <t>الفاصوليا العريضة</t>
        </is>
      </c>
    </row>
    <row r="25" ht="15.65" customHeight="1">
      <c r="B25" s="3" t="n"/>
      <c r="C25" s="474" t="n"/>
      <c r="D25" s="471" t="n">
        <v>22</v>
      </c>
      <c r="E25" s="472" t="inlineStr">
        <is>
          <t>3.99</t>
        </is>
      </c>
      <c r="F25" s="475" t="inlineStr">
        <is>
          <t>Other pulses</t>
        </is>
      </c>
      <c r="G25" s="163" t="inlineStr">
        <is>
          <t>البقول الاخرى</t>
        </is>
      </c>
    </row>
    <row r="26" ht="15.65" customHeight="1">
      <c r="B26" s="3" t="n"/>
      <c r="C26" s="470" t="n"/>
      <c r="D26" s="471" t="n">
        <v>23</v>
      </c>
      <c r="E26" s="472" t="inlineStr">
        <is>
          <t>4.1</t>
        </is>
      </c>
      <c r="F26" s="471" t="inlineStr">
        <is>
          <t>Cabbage</t>
        </is>
      </c>
      <c r="G26" s="162" t="inlineStr">
        <is>
          <t>الملفوف</t>
        </is>
      </c>
    </row>
    <row r="27" ht="15.65" customHeight="1">
      <c r="B27" s="3" t="n"/>
      <c r="C27" s="470" t="n"/>
      <c r="D27" s="471" t="n">
        <v>24</v>
      </c>
      <c r="E27" s="472" t="inlineStr">
        <is>
          <t>4.2</t>
        </is>
      </c>
      <c r="F27" s="471" t="inlineStr">
        <is>
          <t>Lettuce</t>
        </is>
      </c>
      <c r="G27" s="162" t="inlineStr">
        <is>
          <t>الخس</t>
        </is>
      </c>
    </row>
    <row r="28" ht="15.65" customHeight="1">
      <c r="B28" s="3" t="n"/>
      <c r="C28" s="470" t="n"/>
      <c r="D28" s="471" t="n">
        <v>25</v>
      </c>
      <c r="E28" s="472" t="inlineStr">
        <is>
          <t>4.3</t>
        </is>
      </c>
      <c r="F28" s="471" t="inlineStr">
        <is>
          <t>Spinach-Amaranth</t>
        </is>
      </c>
      <c r="G28" s="162" t="inlineStr">
        <is>
          <t>السبانخ - القطيفة</t>
        </is>
      </c>
    </row>
    <row r="29" ht="15.65" customHeight="1">
      <c r="B29" s="3" t="n"/>
      <c r="C29" s="470" t="n"/>
      <c r="D29" s="471" t="n">
        <v>26</v>
      </c>
      <c r="E29" s="472" t="inlineStr">
        <is>
          <t>4.4</t>
        </is>
      </c>
      <c r="F29" s="471" t="inlineStr">
        <is>
          <t>Cassava leaves</t>
        </is>
      </c>
      <c r="G29" s="162" t="inlineStr">
        <is>
          <t>أوراق الكسافا</t>
        </is>
      </c>
    </row>
    <row r="30" ht="15.65" customHeight="1">
      <c r="B30" s="3" t="n"/>
      <c r="C30" s="470" t="n"/>
      <c r="D30" s="471" t="n">
        <v>27</v>
      </c>
      <c r="E30" s="472" t="inlineStr">
        <is>
          <t>4.5</t>
        </is>
      </c>
      <c r="F30" s="471" t="inlineStr">
        <is>
          <t>Potatoe leaves</t>
        </is>
      </c>
      <c r="G30" s="162" t="inlineStr">
        <is>
          <t>أوراق البطاطا</t>
        </is>
      </c>
    </row>
    <row r="31" ht="15.65" customHeight="1">
      <c r="B31" s="3" t="n"/>
      <c r="C31" s="470" t="n"/>
      <c r="D31" s="471" t="n">
        <v>28</v>
      </c>
      <c r="E31" s="472" t="inlineStr">
        <is>
          <t>4.6</t>
        </is>
      </c>
      <c r="F31" s="471" t="inlineStr">
        <is>
          <t>Moringa</t>
        </is>
      </c>
      <c r="G31" s="162" t="inlineStr">
        <is>
          <t>المورينجا</t>
        </is>
      </c>
    </row>
    <row r="32" ht="15.65" customHeight="1">
      <c r="B32" s="3" t="n"/>
      <c r="C32" s="470" t="n"/>
      <c r="D32" s="471" t="n">
        <v>29</v>
      </c>
      <c r="E32" s="472" t="inlineStr">
        <is>
          <t>4.7</t>
        </is>
      </c>
      <c r="F32" s="471" t="inlineStr">
        <is>
          <t>Sorrel Hibiscus / Rosselle</t>
        </is>
      </c>
      <c r="G32" s="162" t="inlineStr">
        <is>
          <t>الكركديه</t>
        </is>
      </c>
    </row>
    <row r="33" ht="15.65" customHeight="1">
      <c r="B33" s="3" t="n"/>
      <c r="C33" s="470" t="n"/>
      <c r="D33" s="471" t="n">
        <v>30</v>
      </c>
      <c r="E33" s="472" t="inlineStr">
        <is>
          <t>4.9</t>
        </is>
      </c>
      <c r="F33" s="471" t="inlineStr">
        <is>
          <t>Green salad herbs [thyme, parsley, mint, rocca, other]</t>
        </is>
      </c>
      <c r="G33" s="162" t="inlineStr">
        <is>
          <t>أعشاب السلطة الخضراء [زعتر ، بقدونس ، نعناع ، جرجير ، أنواع أخرى]</t>
        </is>
      </c>
    </row>
    <row r="34" ht="15.65" customHeight="1">
      <c r="B34" s="3" t="n"/>
      <c r="C34" s="470" t="n"/>
      <c r="D34" s="471" t="n">
        <v>31</v>
      </c>
      <c r="E34" s="472" t="inlineStr">
        <is>
          <t>4.101</t>
        </is>
      </c>
      <c r="F34" s="471" t="inlineStr">
        <is>
          <t>Cauliflower</t>
        </is>
      </c>
      <c r="G34" s="162" t="inlineStr">
        <is>
          <t>القرنبيط</t>
        </is>
      </c>
    </row>
    <row r="35" ht="15.65" customHeight="1">
      <c r="B35" s="3" t="n"/>
      <c r="C35" s="474" t="n"/>
      <c r="D35" s="471" t="n">
        <v>32</v>
      </c>
      <c r="E35" s="472" t="inlineStr">
        <is>
          <t>4.99</t>
        </is>
      </c>
      <c r="F35" s="475" t="inlineStr">
        <is>
          <t>Other leafy vegetables</t>
        </is>
      </c>
      <c r="G35" s="163" t="inlineStr">
        <is>
          <t>الخضار الورقية الأخرى</t>
        </is>
      </c>
    </row>
    <row r="36" ht="15.65" customHeight="1">
      <c r="B36" s="3" t="n"/>
      <c r="C36" s="470" t="inlineStr">
        <is>
          <t>x</t>
        </is>
      </c>
      <c r="D36" s="471" t="n">
        <v>33</v>
      </c>
      <c r="E36" s="472" t="inlineStr">
        <is>
          <t>5.1</t>
        </is>
      </c>
      <c r="F36" s="471" t="inlineStr">
        <is>
          <t>Tomatoes</t>
        </is>
      </c>
      <c r="G36" s="162" t="inlineStr">
        <is>
          <t>الطماطم</t>
        </is>
      </c>
    </row>
    <row r="37" ht="15.65" customHeight="1">
      <c r="B37" s="3" t="n"/>
      <c r="C37" s="470" t="n"/>
      <c r="D37" s="471" t="n">
        <v>34</v>
      </c>
      <c r="E37" s="472" t="inlineStr">
        <is>
          <t>5.2</t>
        </is>
      </c>
      <c r="F37" s="471" t="inlineStr">
        <is>
          <t>Cucumber</t>
        </is>
      </c>
      <c r="G37" s="162" t="inlineStr">
        <is>
          <t>الخيار</t>
        </is>
      </c>
    </row>
    <row r="38" ht="15.65" customHeight="1">
      <c r="B38" s="3" t="n"/>
      <c r="C38" s="470" t="n"/>
      <c r="D38" s="471" t="n">
        <v>35</v>
      </c>
      <c r="E38" s="472" t="inlineStr">
        <is>
          <t>5.3</t>
        </is>
      </c>
      <c r="F38" s="471" t="inlineStr">
        <is>
          <t>Pumpkin</t>
        </is>
      </c>
      <c r="G38" s="162" t="inlineStr">
        <is>
          <t>اليقطين</t>
        </is>
      </c>
    </row>
    <row r="39" ht="15.65" customHeight="1">
      <c r="B39" s="3" t="n"/>
      <c r="C39" s="470" t="n"/>
      <c r="D39" s="471" t="n">
        <v>36</v>
      </c>
      <c r="E39" s="472" t="inlineStr">
        <is>
          <t>5.4</t>
        </is>
      </c>
      <c r="F39" s="471" t="inlineStr">
        <is>
          <t>Eggplant/aubergine</t>
        </is>
      </c>
      <c r="G39" s="162" t="inlineStr">
        <is>
          <t>الباذنجان</t>
        </is>
      </c>
    </row>
    <row r="40" ht="15.65" customHeight="1">
      <c r="B40" s="3" t="n"/>
      <c r="C40" s="470" t="n"/>
      <c r="D40" s="471" t="n">
        <v>37</v>
      </c>
      <c r="E40" s="472" t="inlineStr">
        <is>
          <t>5.5</t>
        </is>
      </c>
      <c r="F40" s="471" t="inlineStr">
        <is>
          <t>Zucchini</t>
        </is>
      </c>
      <c r="G40" s="162" t="inlineStr">
        <is>
          <t>الكوسة</t>
        </is>
      </c>
    </row>
    <row r="41" ht="15.65" customHeight="1">
      <c r="B41" s="3" t="n"/>
      <c r="C41" s="470" t="inlineStr">
        <is>
          <t>x</t>
        </is>
      </c>
      <c r="D41" s="471" t="n">
        <v>38</v>
      </c>
      <c r="E41" s="472" t="inlineStr">
        <is>
          <t>5.6</t>
        </is>
      </c>
      <c r="F41" s="471" t="inlineStr">
        <is>
          <t>Okra</t>
        </is>
      </c>
      <c r="G41" s="162" t="inlineStr">
        <is>
          <t>البامية</t>
        </is>
      </c>
    </row>
    <row r="42" ht="15.65" customHeight="1">
      <c r="B42" s="3" t="n"/>
      <c r="C42" s="470" t="n"/>
      <c r="D42" s="471" t="n">
        <v>39</v>
      </c>
      <c r="E42" s="472" t="inlineStr">
        <is>
          <t>5.7</t>
        </is>
      </c>
      <c r="F42" s="471" t="inlineStr">
        <is>
          <t>Bell pepper</t>
        </is>
      </c>
      <c r="G42" s="162" t="inlineStr">
        <is>
          <t>الفلفل حلو</t>
        </is>
      </c>
    </row>
    <row r="43" ht="15.65" customHeight="1">
      <c r="B43" s="3" t="n"/>
      <c r="C43" s="470" t="n"/>
      <c r="D43" s="471" t="n">
        <v>40</v>
      </c>
      <c r="E43" s="472" t="inlineStr">
        <is>
          <t>5.8</t>
        </is>
      </c>
      <c r="F43" s="471" t="inlineStr">
        <is>
          <t>Onions</t>
        </is>
      </c>
      <c r="G43" s="162" t="inlineStr">
        <is>
          <t>بصل</t>
        </is>
      </c>
    </row>
    <row r="44" ht="15.65" customHeight="1">
      <c r="B44" s="3" t="n"/>
      <c r="C44" s="470" t="n"/>
      <c r="D44" s="471" t="n">
        <v>41</v>
      </c>
      <c r="E44" s="472" t="inlineStr">
        <is>
          <t>5.9</t>
        </is>
      </c>
      <c r="F44" s="471" t="inlineStr">
        <is>
          <t>Haricot</t>
        </is>
      </c>
      <c r="G44" s="162" t="inlineStr">
        <is>
          <t>اللوبياء</t>
        </is>
      </c>
    </row>
    <row r="45" ht="15.65" customHeight="1">
      <c r="B45" s="3" t="n"/>
      <c r="C45" s="470" t="n"/>
      <c r="D45" s="471" t="n">
        <v>42</v>
      </c>
      <c r="E45" s="472" t="inlineStr">
        <is>
          <t>5.101</t>
        </is>
      </c>
      <c r="F45" s="471" t="inlineStr">
        <is>
          <t>Green peas</t>
        </is>
      </c>
      <c r="G45" s="162" t="inlineStr">
        <is>
          <t>البازلاء الخضراء</t>
        </is>
      </c>
    </row>
    <row r="46" ht="15.65" customHeight="1">
      <c r="B46" s="3" t="n"/>
      <c r="C46" s="470" t="n"/>
      <c r="D46" s="471" t="n">
        <v>43</v>
      </c>
      <c r="E46" s="472" t="inlineStr">
        <is>
          <t>5.11</t>
        </is>
      </c>
      <c r="F46" s="471" t="inlineStr">
        <is>
          <t>Fava beans green</t>
        </is>
      </c>
      <c r="G46" s="162" t="inlineStr">
        <is>
          <t>الفول الأخضر</t>
        </is>
      </c>
    </row>
    <row r="47" ht="15.65" customHeight="1">
      <c r="B47" s="3" t="n"/>
      <c r="C47" s="474" t="n"/>
      <c r="D47" s="471" t="n">
        <v>44</v>
      </c>
      <c r="E47" s="472" t="inlineStr">
        <is>
          <t>5.99</t>
        </is>
      </c>
      <c r="F47" s="475" t="inlineStr">
        <is>
          <t>Other non leafy vegs</t>
        </is>
      </c>
      <c r="G47" s="163" t="inlineStr">
        <is>
          <t>الخضار غير الورقية الأخرى</t>
        </is>
      </c>
    </row>
    <row r="48" ht="15.65" customHeight="1">
      <c r="B48" s="3" t="n"/>
      <c r="C48" s="470" t="inlineStr">
        <is>
          <t>x</t>
        </is>
      </c>
      <c r="D48" s="471" t="n">
        <v>45</v>
      </c>
      <c r="E48" s="472" t="inlineStr">
        <is>
          <t>6.1</t>
        </is>
      </c>
      <c r="F48" s="471" t="inlineStr">
        <is>
          <t>Orange</t>
        </is>
      </c>
      <c r="G48" s="162" t="inlineStr">
        <is>
          <t>البرتقال</t>
        </is>
      </c>
    </row>
    <row r="49" ht="15.65" customHeight="1">
      <c r="B49" s="3" t="n"/>
      <c r="C49" s="470" t="n"/>
      <c r="D49" s="471" t="n">
        <v>46</v>
      </c>
      <c r="E49" s="472" t="inlineStr">
        <is>
          <t>6.2</t>
        </is>
      </c>
      <c r="F49" s="471" t="inlineStr">
        <is>
          <t>Lemon</t>
        </is>
      </c>
      <c r="G49" s="162" t="inlineStr">
        <is>
          <t>الليمون</t>
        </is>
      </c>
    </row>
    <row r="50" ht="15.65" customHeight="1">
      <c r="B50" s="3" t="n"/>
      <c r="C50" s="470" t="n"/>
      <c r="D50" s="471" t="n">
        <v>47</v>
      </c>
      <c r="E50" s="472" t="inlineStr">
        <is>
          <t>6.3</t>
        </is>
      </c>
      <c r="F50" s="471" t="inlineStr">
        <is>
          <t>Grapefruit</t>
        </is>
      </c>
      <c r="G50" s="162" t="inlineStr">
        <is>
          <t>الجريب فروت</t>
        </is>
      </c>
    </row>
    <row r="51" ht="15.65" customHeight="1">
      <c r="B51" s="3" t="n"/>
      <c r="C51" s="470" t="n"/>
      <c r="D51" s="471" t="n">
        <v>48</v>
      </c>
      <c r="E51" s="472" t="inlineStr">
        <is>
          <t>6.4</t>
        </is>
      </c>
      <c r="F51" s="471" t="inlineStr">
        <is>
          <t>Mandarins/clementines</t>
        </is>
      </c>
      <c r="G51" s="162" t="inlineStr">
        <is>
          <t>اليوسفي / الكليمنتين</t>
        </is>
      </c>
    </row>
    <row r="52" ht="15.65" customHeight="1">
      <c r="B52" s="3" t="n"/>
      <c r="C52" s="474" t="n"/>
      <c r="D52" s="471" t="n">
        <v>49</v>
      </c>
      <c r="E52" s="472" t="inlineStr">
        <is>
          <t>6.99</t>
        </is>
      </c>
      <c r="F52" s="475" t="inlineStr">
        <is>
          <t>Other citrus fruit</t>
        </is>
      </c>
      <c r="G52" s="163" t="inlineStr">
        <is>
          <t>الحمضيات الأخرى</t>
        </is>
      </c>
    </row>
    <row r="53" ht="15.65" customHeight="1">
      <c r="B53" s="3" t="n"/>
      <c r="C53" s="470" t="n"/>
      <c r="D53" s="471" t="n">
        <v>50</v>
      </c>
      <c r="E53" s="472" t="inlineStr">
        <is>
          <t>7.1</t>
        </is>
      </c>
      <c r="F53" s="471" t="inlineStr">
        <is>
          <t>Sweet Banana</t>
        </is>
      </c>
      <c r="G53" s="162" t="inlineStr">
        <is>
          <t>الموز</t>
        </is>
      </c>
    </row>
    <row r="54" ht="15.65" customHeight="1">
      <c r="B54" s="3" t="n"/>
      <c r="C54" s="470" t="n"/>
      <c r="D54" s="471" t="n">
        <v>51</v>
      </c>
      <c r="E54" s="472" t="inlineStr">
        <is>
          <t>7.2</t>
        </is>
      </c>
      <c r="F54" s="471" t="inlineStr">
        <is>
          <t>Plantains</t>
        </is>
      </c>
      <c r="G54" s="162" t="inlineStr">
        <is>
          <t>موز الجنة</t>
        </is>
      </c>
    </row>
    <row r="55" ht="15.65" customHeight="1">
      <c r="B55" s="3" t="n"/>
      <c r="C55" s="470" t="n"/>
      <c r="D55" s="471" t="n">
        <v>52</v>
      </c>
      <c r="E55" s="472" t="inlineStr">
        <is>
          <t>7.3</t>
        </is>
      </c>
      <c r="F55" s="471" t="inlineStr">
        <is>
          <t>Papaya</t>
        </is>
      </c>
      <c r="G55" s="162" t="inlineStr">
        <is>
          <t>البابايا</t>
        </is>
      </c>
    </row>
    <row r="56" ht="15.65" customHeight="1">
      <c r="B56" s="3" t="n"/>
      <c r="C56" s="470" t="n"/>
      <c r="D56" s="471" t="n">
        <v>53</v>
      </c>
      <c r="E56" s="472" t="inlineStr">
        <is>
          <t>7.4</t>
        </is>
      </c>
      <c r="F56" s="471" t="inlineStr">
        <is>
          <t>Mango</t>
        </is>
      </c>
      <c r="G56" s="162" t="inlineStr">
        <is>
          <t>المانجو</t>
        </is>
      </c>
    </row>
    <row r="57" ht="15.65" customHeight="1">
      <c r="B57" s="3" t="n"/>
      <c r="C57" s="470" t="n"/>
      <c r="D57" s="471" t="n">
        <v>54</v>
      </c>
      <c r="E57" s="472" t="inlineStr">
        <is>
          <t>7.5</t>
        </is>
      </c>
      <c r="F57" s="471" t="inlineStr">
        <is>
          <t>Guava</t>
        </is>
      </c>
      <c r="G57" s="162" t="inlineStr">
        <is>
          <t>الجوافة</t>
        </is>
      </c>
    </row>
    <row r="58" ht="15.65" customHeight="1">
      <c r="B58" s="3" t="n"/>
      <c r="C58" s="470" t="n"/>
      <c r="D58" s="471" t="n">
        <v>55</v>
      </c>
      <c r="E58" s="472" t="inlineStr">
        <is>
          <t>7.6</t>
        </is>
      </c>
      <c r="F58" s="471" t="inlineStr">
        <is>
          <t>Pineapple</t>
        </is>
      </c>
      <c r="G58" s="162" t="inlineStr">
        <is>
          <t>الأناناس</t>
        </is>
      </c>
    </row>
    <row r="59" ht="15.65" customHeight="1">
      <c r="B59" s="3" t="n"/>
      <c r="C59" s="470" t="n"/>
      <c r="D59" s="471" t="n">
        <v>56</v>
      </c>
      <c r="E59" s="472" t="inlineStr">
        <is>
          <t>7.7</t>
        </is>
      </c>
      <c r="F59" s="471" t="inlineStr">
        <is>
          <t>Avocado</t>
        </is>
      </c>
      <c r="G59" s="162" t="inlineStr">
        <is>
          <t>الأفوكادو</t>
        </is>
      </c>
    </row>
    <row r="60" ht="15.65" customHeight="1">
      <c r="B60" s="3" t="n"/>
      <c r="C60" s="470" t="n"/>
      <c r="D60" s="471" t="n">
        <v>57</v>
      </c>
      <c r="E60" s="472" t="inlineStr">
        <is>
          <t>7.8</t>
        </is>
      </c>
      <c r="F60" s="471" t="inlineStr">
        <is>
          <t>Water Melon</t>
        </is>
      </c>
      <c r="G60" s="162" t="inlineStr">
        <is>
          <t>البطيخ الأحمر</t>
        </is>
      </c>
    </row>
    <row r="61" ht="15.65" customHeight="1">
      <c r="B61" s="3" t="n"/>
      <c r="C61" s="470" t="n"/>
      <c r="D61" s="471" t="n">
        <v>58</v>
      </c>
      <c r="E61" s="472" t="inlineStr">
        <is>
          <t>7.9</t>
        </is>
      </c>
      <c r="F61" s="471" t="inlineStr">
        <is>
          <t>Dates</t>
        </is>
      </c>
      <c r="G61" s="162" t="inlineStr">
        <is>
          <t>التمر</t>
        </is>
      </c>
    </row>
    <row r="62" ht="15.65" customHeight="1">
      <c r="B62" s="3" t="n"/>
      <c r="C62" s="470" t="n"/>
      <c r="D62" s="471" t="n">
        <v>59</v>
      </c>
      <c r="E62" s="472" t="inlineStr">
        <is>
          <t>7.101</t>
        </is>
      </c>
      <c r="F62" s="471" t="inlineStr">
        <is>
          <t>Figs</t>
        </is>
      </c>
      <c r="G62" s="162" t="inlineStr">
        <is>
          <t>التين</t>
        </is>
      </c>
    </row>
    <row r="63" ht="15.65" customHeight="1">
      <c r="B63" s="3" t="n"/>
      <c r="C63" s="470" t="inlineStr">
        <is>
          <t>x</t>
        </is>
      </c>
      <c r="D63" s="471" t="n">
        <v>60</v>
      </c>
      <c r="E63" s="472" t="inlineStr">
        <is>
          <t>7.11</t>
        </is>
      </c>
      <c r="F63" s="471" t="inlineStr">
        <is>
          <t>Grapes</t>
        </is>
      </c>
      <c r="G63" s="162" t="inlineStr">
        <is>
          <t>العنب</t>
        </is>
      </c>
    </row>
    <row r="64" ht="15.65" customHeight="1">
      <c r="B64" s="3" t="n"/>
      <c r="C64" s="470" t="n"/>
      <c r="D64" s="471" t="n">
        <v>61</v>
      </c>
      <c r="E64" s="472" t="inlineStr">
        <is>
          <t>7.12</t>
        </is>
      </c>
      <c r="F64" s="471" t="inlineStr">
        <is>
          <t>Olives</t>
        </is>
      </c>
      <c r="G64" s="162" t="inlineStr">
        <is>
          <t>الزيتون</t>
        </is>
      </c>
    </row>
    <row r="65" ht="15.65" customHeight="1">
      <c r="B65" s="3" t="n"/>
      <c r="C65" s="470" t="n"/>
      <c r="D65" s="471" t="n">
        <v>62</v>
      </c>
      <c r="E65" s="472" t="inlineStr">
        <is>
          <t>7.13</t>
        </is>
      </c>
      <c r="F65" s="471" t="inlineStr">
        <is>
          <t>Apple</t>
        </is>
      </c>
      <c r="G65" s="162" t="inlineStr">
        <is>
          <t>التفاح</t>
        </is>
      </c>
    </row>
    <row r="66" ht="15.65" customHeight="1">
      <c r="B66" s="3" t="n"/>
      <c r="C66" s="470" t="n"/>
      <c r="D66" s="471" t="n">
        <v>63</v>
      </c>
      <c r="E66" s="472" t="inlineStr">
        <is>
          <t>7.14</t>
        </is>
      </c>
      <c r="F66" s="471" t="inlineStr">
        <is>
          <t>Apricot</t>
        </is>
      </c>
      <c r="G66" s="162" t="inlineStr">
        <is>
          <t>المشمش</t>
        </is>
      </c>
    </row>
    <row r="67" ht="15.65" customHeight="1">
      <c r="B67" s="3" t="n"/>
      <c r="C67" s="470" t="n"/>
      <c r="D67" s="471" t="n">
        <v>64</v>
      </c>
      <c r="E67" s="472" t="inlineStr">
        <is>
          <t>7.15</t>
        </is>
      </c>
      <c r="F67" s="471" t="inlineStr">
        <is>
          <t>Cherries</t>
        </is>
      </c>
      <c r="G67" s="162" t="inlineStr">
        <is>
          <t>الكرز</t>
        </is>
      </c>
    </row>
    <row r="68" ht="15.65" customHeight="1">
      <c r="B68" s="3" t="n"/>
      <c r="C68" s="470" t="n"/>
      <c r="D68" s="471" t="n">
        <v>65</v>
      </c>
      <c r="E68" s="472" t="inlineStr">
        <is>
          <t>7.16</t>
        </is>
      </c>
      <c r="F68" s="471" t="inlineStr">
        <is>
          <t>Peach/nectarine</t>
        </is>
      </c>
      <c r="G68" s="162" t="inlineStr">
        <is>
          <t>الدراق / النكتارين</t>
        </is>
      </c>
    </row>
    <row r="69" ht="15.65" customHeight="1">
      <c r="B69" s="3" t="n"/>
      <c r="C69" s="470" t="n"/>
      <c r="D69" s="471" t="n">
        <v>66</v>
      </c>
      <c r="E69" s="472" t="inlineStr">
        <is>
          <t>7.17</t>
        </is>
      </c>
      <c r="F69" s="471" t="inlineStr">
        <is>
          <t>Strawberries</t>
        </is>
      </c>
      <c r="G69" s="162" t="inlineStr">
        <is>
          <t>الفراولة</t>
        </is>
      </c>
    </row>
    <row r="70" ht="15.65" customHeight="1">
      <c r="B70" s="3" t="n"/>
      <c r="C70" s="470" t="n"/>
      <c r="D70" s="471" t="n">
        <v>67</v>
      </c>
      <c r="E70" s="472" t="inlineStr">
        <is>
          <t>7.18</t>
        </is>
      </c>
      <c r="F70" s="471" t="inlineStr">
        <is>
          <t>Melon [Cantaloupe]</t>
        </is>
      </c>
      <c r="G70" s="162" t="inlineStr">
        <is>
          <t>الشمام</t>
        </is>
      </c>
    </row>
    <row r="71" ht="15.65" customHeight="1">
      <c r="B71" s="3" t="n"/>
      <c r="C71" s="474" t="n"/>
      <c r="D71" s="471" t="n">
        <v>68</v>
      </c>
      <c r="E71" s="472" t="inlineStr">
        <is>
          <t>7.99</t>
        </is>
      </c>
      <c r="F71" s="475" t="inlineStr">
        <is>
          <t>Other fruit</t>
        </is>
      </c>
      <c r="G71" s="163" t="inlineStr">
        <is>
          <t>الفواكه الأخرى</t>
        </is>
      </c>
    </row>
    <row r="72" ht="15.65" customHeight="1">
      <c r="B72" s="3" t="n"/>
      <c r="C72" s="470" t="n"/>
      <c r="D72" s="471" t="n">
        <v>69</v>
      </c>
      <c r="E72" s="472" t="inlineStr">
        <is>
          <t>8.1</t>
        </is>
      </c>
      <c r="F72" s="471" t="inlineStr">
        <is>
          <t>Coconuts</t>
        </is>
      </c>
      <c r="G72" s="162" t="inlineStr">
        <is>
          <t>جوز الهند</t>
        </is>
      </c>
    </row>
    <row r="73" ht="15.65" customHeight="1">
      <c r="B73" s="3" t="n"/>
      <c r="C73" s="470" t="n"/>
      <c r="D73" s="471" t="n">
        <v>70</v>
      </c>
      <c r="E73" s="472" t="inlineStr">
        <is>
          <t>8.2</t>
        </is>
      </c>
      <c r="F73" s="471" t="inlineStr">
        <is>
          <t>Groundnut/peanut</t>
        </is>
      </c>
      <c r="G73" s="162" t="inlineStr">
        <is>
          <t>الفول السوداني</t>
        </is>
      </c>
    </row>
    <row r="74" ht="15.65" customHeight="1">
      <c r="B74" s="3" t="n"/>
      <c r="C74" s="470" t="n"/>
      <c r="D74" s="471" t="n">
        <v>71</v>
      </c>
      <c r="E74" s="472" t="inlineStr">
        <is>
          <t>8.3</t>
        </is>
      </c>
      <c r="F74" s="471" t="inlineStr">
        <is>
          <t>Cashew Nut</t>
        </is>
      </c>
      <c r="G74" s="162" t="inlineStr">
        <is>
          <t>الكاجو</t>
        </is>
      </c>
    </row>
    <row r="75" ht="15.65" customHeight="1">
      <c r="B75" s="3" t="n"/>
      <c r="C75" s="470" t="n"/>
      <c r="D75" s="471" t="n">
        <v>72</v>
      </c>
      <c r="E75" s="472" t="inlineStr">
        <is>
          <t>8.4</t>
        </is>
      </c>
      <c r="F75" s="471" t="inlineStr">
        <is>
          <t>Kola Nut</t>
        </is>
      </c>
      <c r="G75" s="162" t="inlineStr">
        <is>
          <t>جوز الكولا</t>
        </is>
      </c>
    </row>
    <row r="76" ht="15.65" customHeight="1">
      <c r="B76" s="3" t="n"/>
      <c r="C76" s="470" t="n"/>
      <c r="D76" s="471" t="n">
        <v>73</v>
      </c>
      <c r="E76" s="472" t="inlineStr">
        <is>
          <t>8.5</t>
        </is>
      </c>
      <c r="F76" s="471" t="inlineStr">
        <is>
          <t>Sesame</t>
        </is>
      </c>
      <c r="G76" s="162" t="inlineStr">
        <is>
          <t>السمسم</t>
        </is>
      </c>
    </row>
    <row r="77" ht="15.65" customHeight="1">
      <c r="B77" s="3" t="n"/>
      <c r="C77" s="470" t="n"/>
      <c r="D77" s="471" t="n">
        <v>74</v>
      </c>
      <c r="E77" s="472" t="inlineStr">
        <is>
          <t>8.6</t>
        </is>
      </c>
      <c r="F77" s="471" t="inlineStr">
        <is>
          <t>Bambara nut</t>
        </is>
      </c>
      <c r="G77" s="162" t="inlineStr">
        <is>
          <t>جوز البامبارا</t>
        </is>
      </c>
    </row>
    <row r="78" ht="15.65" customHeight="1">
      <c r="B78" s="3" t="n"/>
      <c r="C78" s="470" t="n"/>
      <c r="D78" s="471" t="n">
        <v>75</v>
      </c>
      <c r="E78" s="472" t="inlineStr">
        <is>
          <t>8.7</t>
        </is>
      </c>
      <c r="F78" s="471" t="inlineStr">
        <is>
          <t>Almond</t>
        </is>
      </c>
      <c r="G78" s="162" t="inlineStr">
        <is>
          <t>اللوز</t>
        </is>
      </c>
    </row>
    <row r="79" ht="15.65" customHeight="1">
      <c r="B79" s="3" t="n"/>
      <c r="C79" s="470" t="n"/>
      <c r="D79" s="471" t="n">
        <v>76</v>
      </c>
      <c r="E79" s="472" t="inlineStr">
        <is>
          <t>8.8</t>
        </is>
      </c>
      <c r="F79" s="471" t="inlineStr">
        <is>
          <t>Walnut</t>
        </is>
      </c>
      <c r="G79" s="162" t="inlineStr">
        <is>
          <t>الجوز</t>
        </is>
      </c>
    </row>
    <row r="80" ht="15.65" customHeight="1">
      <c r="B80" s="3" t="n"/>
      <c r="C80" s="474" t="n"/>
      <c r="D80" s="471" t="n">
        <v>77</v>
      </c>
      <c r="E80" s="472" t="inlineStr">
        <is>
          <t>8.99</t>
        </is>
      </c>
      <c r="F80" s="475" t="inlineStr">
        <is>
          <t>Other nuts</t>
        </is>
      </c>
      <c r="G80" s="163" t="inlineStr">
        <is>
          <t>المكسرات الأخرى</t>
        </is>
      </c>
    </row>
    <row r="81" ht="15.65" customHeight="1">
      <c r="B81" s="3" t="n"/>
      <c r="C81" s="470" t="n"/>
      <c r="D81" s="471" t="n">
        <v>78</v>
      </c>
      <c r="E81" s="472" t="inlineStr">
        <is>
          <t>9.1</t>
        </is>
      </c>
      <c r="F81" s="471" t="inlineStr">
        <is>
          <t>Cocoa</t>
        </is>
      </c>
      <c r="G81" s="162" t="inlineStr">
        <is>
          <t>الكاكاو</t>
        </is>
      </c>
    </row>
    <row r="82" ht="15.65" customHeight="1">
      <c r="B82" s="3" t="n"/>
      <c r="C82" s="470" t="inlineStr">
        <is>
          <t>x</t>
        </is>
      </c>
      <c r="D82" s="471" t="n">
        <v>79</v>
      </c>
      <c r="E82" s="472" t="inlineStr">
        <is>
          <t>9.2</t>
        </is>
      </c>
      <c r="F82" s="471" t="inlineStr">
        <is>
          <t>Coffee</t>
        </is>
      </c>
      <c r="G82" s="162" t="inlineStr">
        <is>
          <t>القهوة</t>
        </is>
      </c>
    </row>
    <row r="83" ht="15.65" customHeight="1">
      <c r="B83" s="3" t="n"/>
      <c r="C83" s="470" t="n"/>
      <c r="D83" s="471" t="n">
        <v>80</v>
      </c>
      <c r="E83" s="472" t="inlineStr">
        <is>
          <t>9.3</t>
        </is>
      </c>
      <c r="F83" s="471" t="inlineStr">
        <is>
          <t>Tea</t>
        </is>
      </c>
      <c r="G83" s="162" t="inlineStr">
        <is>
          <t>الشاي</t>
        </is>
      </c>
    </row>
    <row r="84" ht="15.65" customHeight="1">
      <c r="B84" s="3" t="n"/>
      <c r="C84" s="470" t="n"/>
      <c r="D84" s="471" t="n">
        <v>81</v>
      </c>
      <c r="E84" s="472" t="inlineStr">
        <is>
          <t>9.4</t>
        </is>
      </c>
      <c r="F84" s="471" t="inlineStr">
        <is>
          <t>Sugarcane</t>
        </is>
      </c>
      <c r="G84" s="162" t="inlineStr">
        <is>
          <t>قصب السكر</t>
        </is>
      </c>
    </row>
    <row r="85" ht="15.65" customHeight="1">
      <c r="B85" s="3" t="n"/>
      <c r="C85" s="470" t="n"/>
      <c r="D85" s="471" t="n">
        <v>82</v>
      </c>
      <c r="E85" s="472" t="inlineStr">
        <is>
          <t>9.5</t>
        </is>
      </c>
      <c r="F85" s="471" t="inlineStr">
        <is>
          <t>Sunflower</t>
        </is>
      </c>
      <c r="G85" s="162" t="inlineStr">
        <is>
          <t>دوار الشمس</t>
        </is>
      </c>
    </row>
    <row r="86" ht="15.65" customHeight="1">
      <c r="B86" s="3" t="n"/>
      <c r="C86" s="474" t="n"/>
      <c r="D86" s="471" t="n">
        <v>83</v>
      </c>
      <c r="E86" s="472" t="inlineStr">
        <is>
          <t>9.99</t>
        </is>
      </c>
      <c r="F86" s="475" t="inlineStr">
        <is>
          <t>Other food cash crop</t>
        </is>
      </c>
      <c r="G86" s="163" t="inlineStr">
        <is>
          <t xml:space="preserve">المحاصيل الغذائية النقدية الأخرى </t>
        </is>
      </c>
    </row>
    <row r="87" ht="15.65" customHeight="1">
      <c r="B87" s="3" t="n"/>
      <c r="C87" s="470" t="n"/>
      <c r="D87" s="471" t="n">
        <v>84</v>
      </c>
      <c r="E87" s="472" t="inlineStr">
        <is>
          <t>10.1</t>
        </is>
      </c>
      <c r="F87" s="471" t="inlineStr">
        <is>
          <t>Cotton</t>
        </is>
      </c>
      <c r="G87" s="162" t="inlineStr">
        <is>
          <t>القطن</t>
        </is>
      </c>
    </row>
    <row r="88" ht="15.65" customHeight="1">
      <c r="B88" s="3" t="n"/>
      <c r="C88" s="470" t="n"/>
      <c r="D88" s="471" t="n">
        <v>85</v>
      </c>
      <c r="E88" s="472" t="inlineStr">
        <is>
          <t>10.2</t>
        </is>
      </c>
      <c r="F88" s="471" t="inlineStr">
        <is>
          <t>Rubber</t>
        </is>
      </c>
      <c r="G88" s="162" t="inlineStr">
        <is>
          <t>المطاط</t>
        </is>
      </c>
    </row>
    <row r="89" ht="15.65" customHeight="1">
      <c r="B89" s="3" t="n"/>
      <c r="C89" s="470" t="n"/>
      <c r="D89" s="471" t="n">
        <v>86</v>
      </c>
      <c r="E89" s="472" t="inlineStr">
        <is>
          <t>10.3</t>
        </is>
      </c>
      <c r="F89" s="471" t="inlineStr">
        <is>
          <t>Jute</t>
        </is>
      </c>
      <c r="G89" s="162" t="inlineStr">
        <is>
          <t>الجوت</t>
        </is>
      </c>
    </row>
    <row r="90" ht="15.65" customHeight="1">
      <c r="B90" s="3" t="n"/>
      <c r="C90" s="470" t="n"/>
      <c r="D90" s="471" t="n">
        <v>87</v>
      </c>
      <c r="E90" s="472" t="inlineStr">
        <is>
          <t>10.4</t>
        </is>
      </c>
      <c r="F90" s="471" t="inlineStr">
        <is>
          <t>Fodder</t>
        </is>
      </c>
      <c r="G90" s="162" t="inlineStr">
        <is>
          <t>العلف</t>
        </is>
      </c>
    </row>
    <row r="91" ht="15.65" customHeight="1">
      <c r="B91" s="3" t="n"/>
      <c r="C91" s="470" t="n"/>
      <c r="D91" s="471" t="n">
        <v>88</v>
      </c>
      <c r="E91" s="472" t="inlineStr">
        <is>
          <t>10.5</t>
        </is>
      </c>
      <c r="F91" s="471" t="inlineStr">
        <is>
          <t>Tobacco</t>
        </is>
      </c>
      <c r="G91" s="162" t="inlineStr">
        <is>
          <t>التبغ</t>
        </is>
      </c>
    </row>
    <row r="92" ht="15.65" customHeight="1">
      <c r="B92" s="3" t="n"/>
      <c r="C92" s="470" t="inlineStr">
        <is>
          <t>x</t>
        </is>
      </c>
      <c r="D92" s="471" t="n">
        <v>89</v>
      </c>
      <c r="E92" s="472" t="inlineStr">
        <is>
          <t>10.6</t>
        </is>
      </c>
      <c r="F92" s="471" t="inlineStr">
        <is>
          <t>Qat</t>
        </is>
      </c>
      <c r="G92" s="162" t="inlineStr">
        <is>
          <t>القات</t>
        </is>
      </c>
    </row>
    <row r="93" ht="15.65" customHeight="1">
      <c r="B93" s="3" t="n"/>
      <c r="C93" s="474" t="n"/>
      <c r="D93" s="471" t="n">
        <v>90</v>
      </c>
      <c r="E93" s="472" t="inlineStr">
        <is>
          <t>10.99</t>
        </is>
      </c>
      <c r="F93" s="475" t="inlineStr">
        <is>
          <t>Other non-food cash crop</t>
        </is>
      </c>
      <c r="G93" s="163" t="inlineStr">
        <is>
          <t xml:space="preserve"> المحاصيل النقدية غير الغذائية الأخرى </t>
        </is>
      </c>
    </row>
    <row r="94">
      <c r="C94" s="6" t="n"/>
      <c r="D94" s="123" t="n"/>
      <c r="E94" s="123" t="n"/>
      <c r="F94" s="7" t="n"/>
      <c r="G94" s="160" t="n"/>
    </row>
  </sheetData>
  <sheetProtection selectLockedCells="1" selectUnlockedCells="0" algorithmName="SHA-512" sheet="1" objects="0" insertRows="1" insertHyperlinks="1" autoFilter="1" scenarios="0" formatColumns="1" deleteColumns="1" insertColumns="1" pivotTables="1" deleteRows="1" formatCells="1" saltValue="cWIKzc03Fyuc3wnPPS75QQ==" formatRows="1" sort="1" spinCount="100000" hashValue="Wm/5dOcziEAwbOFxe9+JwHAjza9rPxQl7DEqTHXXZ6rov1cxIrGERF2W9SyYLkMkpvx1WZaqw7Orndm0cZGeNQ=="/>
  <autoFilter ref="C3:F93"/>
  <conditionalFormatting sqref="D1:D84 D86:D1048576">
    <cfRule type="duplicateValues" priority="2" dxfId="0"/>
  </conditionalFormatting>
  <conditionalFormatting sqref="D85">
    <cfRule type="duplicateValues" priority="1" dxfId="0"/>
  </conditionalFormatting>
  <dataValidations count="1">
    <dataValidation sqref="C4:C9 C11:C16 C18:C24 C26:C34 C36:C46 C48:C51 C53:C70 C72:C79 C81:C85 C87:C92" showDropDown="0" showInputMessage="1" showErrorMessage="1" allowBlank="0" type="list">
      <formula1>"x"</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M20"/>
  <sheetViews>
    <sheetView zoomScale="80" zoomScaleNormal="80" workbookViewId="0">
      <selection activeCell="E6" sqref="E6"/>
    </sheetView>
  </sheetViews>
  <sheetFormatPr baseColWidth="8" defaultColWidth="10.453125" defaultRowHeight="15.5"/>
  <cols>
    <col width="10.453125" customWidth="1" style="375" min="1" max="1"/>
    <col width="8.453125" customWidth="1" style="375" min="2" max="2"/>
    <col width="27.453125" customWidth="1" style="375" min="3" max="3"/>
    <col width="28" customWidth="1" style="375" min="4" max="5"/>
    <col width="51.1796875" customWidth="1" style="467" min="6" max="7"/>
    <col width="22.453125" customWidth="1" style="375" min="8" max="9"/>
    <col width="10.453125" customWidth="1" style="375" min="10" max="11"/>
    <col width="44" customWidth="1" style="375" min="12" max="12"/>
    <col width="10.453125" customWidth="1" style="375" min="13" max="17"/>
    <col width="10.453125" customWidth="1" style="375" min="18" max="16384"/>
  </cols>
  <sheetData>
    <row r="1" ht="40.4" customHeight="1" thickBot="1">
      <c r="C1" s="376" t="n"/>
      <c r="D1" s="376" t="n"/>
      <c r="E1" s="376" t="n"/>
      <c r="F1" s="377" t="n"/>
      <c r="G1" s="377" t="n"/>
      <c r="H1" s="376" t="n"/>
      <c r="I1" s="376" t="n"/>
    </row>
    <row r="2" ht="16.4" customHeight="1" thickBot="1">
      <c r="A2" s="378" t="n"/>
      <c r="B2" s="379" t="n"/>
      <c r="C2" s="380" t="inlineStr">
        <is>
          <t>Original</t>
        </is>
      </c>
      <c r="D2" s="381" t="inlineStr">
        <is>
          <t>Replacement (EN)</t>
        </is>
      </c>
      <c r="E2" s="382" t="inlineStr">
        <is>
          <t>Replacement (AR)</t>
        </is>
      </c>
      <c r="F2" s="383" t="inlineStr">
        <is>
          <t>Comment (EN)</t>
        </is>
      </c>
      <c r="G2" s="384" t="inlineStr">
        <is>
          <t>Comment (AR)</t>
        </is>
      </c>
      <c r="H2" s="381" t="inlineStr">
        <is>
          <t>Example (EN)</t>
        </is>
      </c>
      <c r="I2" s="385" t="inlineStr">
        <is>
          <t>Example (AR)</t>
        </is>
      </c>
      <c r="J2" s="386" t="n"/>
    </row>
    <row r="3" ht="32.15" customHeight="1" thickBot="1">
      <c r="A3" s="378" t="n"/>
      <c r="B3" s="624" t="inlineStr">
        <is>
          <t>FOR CORE QUESTIONS    .
(Mandatory to fill out)    .</t>
        </is>
      </c>
      <c r="C3" s="387" t="inlineStr">
        <is>
          <t>ADMIN1</t>
        </is>
      </c>
      <c r="D3" s="388" t="inlineStr">
        <is>
          <t>Governorate</t>
        </is>
      </c>
      <c r="E3" s="389" t="inlineStr">
        <is>
          <t xml:space="preserve">محافظة </t>
        </is>
      </c>
      <c r="F3" s="390" t="inlineStr">
        <is>
          <t>The first subdivision of the country, after national level; region; province; governorate; etc.</t>
        </is>
      </c>
      <c r="G3" s="391" t="inlineStr">
        <is>
          <t>التقسيم الأول للبلاد ، بعد المستوى الوطني ؛ منطقة؛ محافظة؛ ولاية ؛ إلخ.</t>
        </is>
      </c>
      <c r="H3" s="392" t="inlineStr">
        <is>
          <t>region</t>
        </is>
      </c>
      <c r="I3" s="393" t="inlineStr">
        <is>
          <t>منطقة</t>
        </is>
      </c>
      <c r="J3" s="386" t="n"/>
    </row>
    <row r="4" ht="28.75" customHeight="1">
      <c r="A4" s="378" t="n"/>
      <c r="B4" s="625" t="n"/>
      <c r="C4" s="394" t="inlineStr">
        <is>
          <t>ADMIN2</t>
        </is>
      </c>
      <c r="D4" s="388" t="inlineStr">
        <is>
          <t>District</t>
        </is>
      </c>
      <c r="E4" s="395" t="inlineStr">
        <is>
          <t>مديرية</t>
        </is>
      </c>
      <c r="F4" s="396" t="inlineStr">
        <is>
          <t>The second subdivision of the country; district; municipality; LGA; etc.</t>
        </is>
      </c>
      <c r="G4" s="391" t="inlineStr">
        <is>
          <t>التقسيم الثاني للبلاد ؛ قضاء؛ بلدية؛ إلخ.</t>
        </is>
      </c>
      <c r="H4" s="397" t="inlineStr">
        <is>
          <t>district</t>
        </is>
      </c>
      <c r="I4" s="398" t="inlineStr">
        <is>
          <t>قضاء</t>
        </is>
      </c>
      <c r="J4" s="386" t="n"/>
    </row>
    <row r="5" ht="72" customHeight="1">
      <c r="A5" s="378" t="n"/>
      <c r="B5" s="625" t="n"/>
      <c r="C5" s="394" t="inlineStr">
        <is>
          <t>reference year</t>
        </is>
      </c>
      <c r="D5" s="399" t="inlineStr">
        <is>
          <t>last year</t>
        </is>
      </c>
      <c r="E5" s="400" t="inlineStr">
        <is>
          <t>العام الماضي</t>
        </is>
      </c>
      <c r="F5" s="396" t="inlineStr">
        <is>
          <t xml:space="preserve">Comparison questions will need need a reference year. Select whether you want to use "last year" or "a normal year" as a baseline. A "normal year" should refers to an average year from the past 5 years - make sure to train the enumerators accordingly. </t>
        </is>
      </c>
      <c r="G5" s="391" t="inlineStr">
        <is>
          <t>سوف تحتاج أسئلة المقارنة إلى سنة مرجعية. حدد ما إذا كنت تريد استخدام "العام الماضي" أو "العام العادي" كخط أساس. يجب أن يشير "العام العادي" إلى متوسط ​​عام من السنوات الخمس الماضية - تأكد من تدريب جامعي البيانات وفقًا لذلك.</t>
        </is>
      </c>
      <c r="H5" s="397" t="inlineStr">
        <is>
          <t>a normal year</t>
        </is>
      </c>
      <c r="I5" s="398" t="inlineStr">
        <is>
          <t>العام العادي</t>
        </is>
      </c>
      <c r="J5" s="386" t="n"/>
    </row>
    <row r="6" ht="76.40000000000001" customHeight="1">
      <c r="A6" s="378" t="n"/>
      <c r="B6" s="625" t="n"/>
      <c r="C6" s="394" t="inlineStr">
        <is>
          <t>season</t>
        </is>
      </c>
      <c r="D6" s="401" t="inlineStr">
        <is>
          <t>Ongoing season</t>
        </is>
      </c>
      <c r="E6" s="395" t="inlineStr">
        <is>
          <t>الموسم الحالي</t>
        </is>
      </c>
      <c r="F6" s="402" t="inlineStr">
        <is>
          <t>Name the crop season(s) of interest if there are several cropping seasons in the country (e.g. Meher and Belg in Ethiopia, rainy season / flood-recession cropping / irrigated dry season in the Sahel). You can refer to the “last season” or “ongoing season".</t>
        </is>
      </c>
      <c r="G6" s="403" t="inlineStr">
        <is>
          <t>قم بتسمية موسم (مواسم) المحاصيل ذات الأهمية إذا كان هناك عدة مواسم محصولية في البلد (على سبيل المثال ، Meher و Belg في إثيوبيا ، موسم الأمطار / محاصيل الركود بسبب الفيضانات / موسم الجفاف المروي في منطقة الساحل). يمكنك الرجوع إلى "الموسم الماضي" أو "الموسم الجاري".</t>
        </is>
      </c>
      <c r="H6" s="404" t="inlineStr">
        <is>
          <t>wet season</t>
        </is>
      </c>
      <c r="I6" s="405" t="inlineStr">
        <is>
          <t>موسم الأمطار</t>
        </is>
      </c>
      <c r="J6" s="386" t="n"/>
    </row>
    <row r="7" ht="105.65" customHeight="1">
      <c r="A7" s="378" t="n"/>
      <c r="B7" s="625" t="n"/>
      <c r="C7" s="394" t="inlineStr">
        <is>
          <t>season phase</t>
        </is>
      </c>
      <c r="D7" s="399" t="inlineStr">
        <is>
          <t>Growth</t>
        </is>
      </c>
      <c r="E7" s="400" t="inlineStr">
        <is>
          <t>النمو</t>
        </is>
      </c>
      <c r="F7" s="402" t="inlineStr">
        <is>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is>
      </c>
      <c r="G7" s="406" t="inlineStr">
        <is>
          <t>حدد مرحلة الموسم في وقت جمع البيانات. إذا لم يتم الحصاد من الموسم بعد ، فإن السؤال عن حصاد المحاصيل (crp_harv_change) سيتضمن كلمة "متوقع" (حيث يوجد # متوقع أو لا شيء #). إذا تم الحصاد ، لن يتم إدخال "متوقع" في السؤال .</t>
        </is>
      </c>
      <c r="H7" s="404" t="inlineStr">
        <is>
          <t>Harvesting</t>
        </is>
      </c>
      <c r="I7" s="407" t="inlineStr">
        <is>
          <t>الحصاد</t>
        </is>
      </c>
      <c r="J7" s="386" t="n"/>
    </row>
    <row r="8" ht="76.40000000000001" customHeight="1">
      <c r="A8" s="378" t="n"/>
      <c r="B8" s="625" t="n"/>
      <c r="C8" s="408" t="inlineStr">
        <is>
          <t>local measurement unit</t>
        </is>
      </c>
      <c r="D8" s="409" t="inlineStr">
        <is>
          <t>5)Labneh
6)Qassabh
7)Hablah
8)Ma'ad
9)Salook
10)Shaklah
11)Neiha
12)Matreh
13)Wadan
14)Oqum
15)Asaoo
16)Shagan
17)Arfad
18)Aber
19)Taleem
20)Magabi
21)Hediah
22)Thera'a
23)Materah</t>
        </is>
      </c>
      <c r="E8" s="410" t="inlineStr">
        <is>
          <t>5)لبنة
6)قصبة
7) حبل/حبلة
8) معاد
9)سلوق
10) شكلة
11) نيحة
12) مطرح
13)ودن
14) عقم
15)اسعاو
16) شجن
17)رفد/ارفاد
19) عبر
20) تليم
21)مجابي
22) حدية
23) ذراع
24) مطبرة</t>
        </is>
      </c>
      <c r="F8" s="411" t="inlineStr">
        <is>
          <t xml:space="preserve">Specify the local measurement unit for land size, other than acres, hectares, square meters and square feet. If no other unit of measurement is needed, keep this cell blank. </t>
        </is>
      </c>
      <c r="G8" s="406" t="inlineStr">
        <is>
          <t>حدد وحدة القياس المحلية لمساحة الأرض ، بخلاف الفدان والهكتار والمتر المربع والقدم المربع. إذا لم تكن هناك حاجة إلى وحدة قياس أخرى ، احتفظ بهذه الخلية فارغة.</t>
        </is>
      </c>
      <c r="H8" s="404" t="inlineStr">
        <is>
          <t>Jeribs</t>
        </is>
      </c>
      <c r="I8" s="412" t="inlineStr">
        <is>
          <t>جريب</t>
        </is>
      </c>
      <c r="J8" s="386" t="n"/>
    </row>
    <row r="9" ht="50.25" customHeight="1" thickBot="1">
      <c r="A9" s="378" t="n"/>
      <c r="B9" s="626" t="n"/>
      <c r="C9" s="413" t="inlineStr">
        <is>
          <t>local measurement unit conversion</t>
        </is>
      </c>
      <c r="D9" s="414" t="n"/>
      <c r="E9" s="415" t="n"/>
      <c r="F9" s="416" t="inlineStr">
        <is>
          <t>Include the conversion of the local measurement unit to hectares. In other words, how many local measurement units are in 1 ha. Only digits in Latin numbers should be inputted.</t>
        </is>
      </c>
      <c r="G9" s="417" t="inlineStr">
        <is>
          <t xml:space="preserve">قم بتضمين تحويل وحدة القياس المحلية إلى هكتار. بمعنى آخر ، إلى كم هو عدد وحدات القياس المحلية في هكتار واحد. يرجى إدخال الأرقام في الأبجدية اللاتينية (...3, 2, 1). </t>
        </is>
      </c>
      <c r="H9" s="418" t="n">
        <v>0.2</v>
      </c>
      <c r="I9" s="419" t="n">
        <v>0.2</v>
      </c>
      <c r="J9" s="386" t="n"/>
    </row>
    <row r="10" ht="32.15" customHeight="1" thickBot="1">
      <c r="A10" s="378" t="n"/>
      <c r="B10" s="624" t="inlineStr">
        <is>
          <t>FOR OPTIONAL QUESTIONS    .
(Fill out if applicable)    .</t>
        </is>
      </c>
      <c r="C10" s="420" t="inlineStr">
        <is>
          <t>currency</t>
        </is>
      </c>
      <c r="D10" s="400" t="inlineStr">
        <is>
          <t>Rial</t>
        </is>
      </c>
      <c r="E10" s="421" t="inlineStr">
        <is>
          <t>الريال</t>
        </is>
      </c>
      <c r="F10" s="422" t="inlineStr">
        <is>
          <t xml:space="preserve">The name of the main currency used nationally; USD; Naira; Rial; Pesos; etc. </t>
        </is>
      </c>
      <c r="G10" s="423" t="inlineStr">
        <is>
          <t>اسم العملة الرئيسية المستخدمة وطنيا ؛ دولار أمريكي؛ نيرة؛ الريال؛ بيزو؛ إلخ.</t>
        </is>
      </c>
      <c r="H10" s="424" t="inlineStr">
        <is>
          <t>Naira</t>
        </is>
      </c>
      <c r="I10" s="425" t="inlineStr">
        <is>
          <t>نيرة</t>
        </is>
      </c>
      <c r="J10" s="386" t="n"/>
    </row>
    <row r="11" ht="94.40000000000001" customHeight="1">
      <c r="A11" s="378" t="n"/>
      <c r="B11" s="625" t="n"/>
      <c r="C11" s="426" t="inlineStr">
        <is>
          <t>MIN AMOUNT</t>
        </is>
      </c>
      <c r="D11" s="427" t="inlineStr">
        <is>
          <t>Not applicable</t>
        </is>
      </c>
      <c r="E11" s="428" t="inlineStr">
        <is>
          <t>Not applicable</t>
        </is>
      </c>
      <c r="F11" s="429" t="inlineStr">
        <is>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in Latin numbers should be inputted.</t>
        </is>
      </c>
      <c r="G11" s="430" t="inlineStr">
        <is>
          <t xml:space="preserve">يجب تعيين الحد الأدنى لمبلغ مصدر الدخل على 0 أو أي قيمة أقل منها لا يمكن إجراء معاملة. على سبيل المثال ، يمكن أن تكون أصغر عملة / ورقة نقدية في عملة ما هي 1000 ، وفي هذه الحالة يمكنك تعيين الحد الأدنى عند 1000. يجب أن يكون هذا المبلغ بنفس العملة المحددة في الصف أعلاه. يرجى إدخال الأرقام في الأبجدية اللاتينية (...3, 2, 1). </t>
        </is>
      </c>
      <c r="H11" s="431" t="n">
        <v>5</v>
      </c>
      <c r="I11" s="432" t="n">
        <v>5</v>
      </c>
      <c r="J11" s="386" t="n"/>
      <c r="L11" s="376" t="n"/>
    </row>
    <row r="12" ht="158.15" customHeight="1">
      <c r="A12" s="378" t="n"/>
      <c r="B12" s="625" t="n"/>
      <c r="C12" s="394" t="inlineStr">
        <is>
          <t>MAX AMOUNT</t>
        </is>
      </c>
      <c r="D12" s="427" t="inlineStr">
        <is>
          <t>Not applicable</t>
        </is>
      </c>
      <c r="E12" s="428" t="inlineStr">
        <is>
          <t>Not applicable</t>
        </is>
      </c>
      <c r="F12" s="402" t="inlineStr">
        <is>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 Only digits in Latin numbers should be inputted.</t>
        </is>
      </c>
      <c r="G12" s="430" t="inlineStr">
        <is>
          <t xml:space="preserve">حدد الحد الأقصى لمبلغ مصدر الدخل على مدى 3 أشهر. لن يتمكن جامعي البيانات من إدخال قيم أعلى من هذا المبلغ في الأسئلة المتعلقة بمبالغ الدخل. باستخدام المسوح التمثيلية السابقة لهذه الفئة من السكان ، يمكنك تقدير هذا المبلغ باستخدام متوسط ​​الدخل بالإضافة إلى خمسة انحرافات معيارية ما لم يكن هناك تضخم مرتفع في الدولة. في الحالة الأخيرة ، قم بتعيين الحد الأقصى للقيمة بناءً على سياق بلدك (أعلى من النهج المقترح). يجب أن يكون هذا المبلغ بنفس العملة المحددة أعلاه.  يرجى إدخال الأرقام في الأبجدية اللاتينية (...3, 2, 1). </t>
        </is>
      </c>
      <c r="H12" s="433" t="n">
        <v>5000000</v>
      </c>
      <c r="I12" s="432" t="n">
        <v>5000000</v>
      </c>
      <c r="J12" s="386" t="n"/>
      <c r="K12" s="378" t="n"/>
      <c r="L12" s="434" t="n"/>
      <c r="M12" s="386" t="n"/>
    </row>
    <row r="13" ht="116.25" customHeight="1">
      <c r="A13" s="378" t="n"/>
      <c r="B13" s="625" t="n"/>
      <c r="C13" s="426" t="inlineStr">
        <is>
          <t>THRESHOLD</t>
        </is>
      </c>
      <c r="D13" s="427" t="inlineStr">
        <is>
          <t>Not applicable</t>
        </is>
      </c>
      <c r="E13" s="428" t="inlineStr">
        <is>
          <t>Not applicable</t>
        </is>
      </c>
      <c r="F13" s="411" t="inlineStr">
        <is>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in Latin numbers should be inputted.</t>
        </is>
      </c>
      <c r="G13" s="435" t="inlineStr">
        <is>
          <t xml:space="preserve">يجب حساب قيمة العتبة للراتب لتحديد القيم المتطرفة (الاستجابات التي تبدو مرتفعة بشكل مثير للريبة). باستخدام المسوح التمثيلية السابقة لهذه الفئة من السكان ، فإن التقدير الجيد هو المتوسط ​​زائد ثلاثة انحرافات معيارية ، والذي يجب أن يعطي قيمة العتبة لقيم الدخل الأعلى بنسبة 3 أو 4٪. يجب أن يكون هذا المبلغ بنفس العملة المحددة أعلاه. يرجى إدخال الأرقام في الأبجدية اللاتينية (...3, 2, 1). </t>
        </is>
      </c>
      <c r="H13" s="433" t="n">
        <v>1200000</v>
      </c>
      <c r="I13" s="432" t="n">
        <v>1200000</v>
      </c>
      <c r="J13" s="386" t="n"/>
      <c r="L13" s="436" t="n"/>
    </row>
    <row r="14" ht="50.25" customHeight="1">
      <c r="A14" s="378" t="n"/>
      <c r="B14" s="625" t="n"/>
      <c r="C14" s="408" t="inlineStr">
        <is>
          <t>local vegetables</t>
        </is>
      </c>
      <c r="D14" s="401" t="inlineStr">
        <is>
          <t>tomatoes, okra, zucchini, cauliflower, cucumber, onions</t>
        </is>
      </c>
      <c r="E14" s="395" t="inlineStr">
        <is>
          <t>طماطم ، بامية ، كوسة ، قرنييط (زهرة) ، خيار ، بصل</t>
        </is>
      </c>
      <c r="F14" s="402" t="inlineStr">
        <is>
          <t>Input some common local vegetables [to be used as examples in the food consumption score indicator].</t>
        </is>
      </c>
      <c r="G14" s="430" t="inlineStr">
        <is>
          <t>أدخل بعض الخضروات المحلية الشائعة [لاستخدامها كأمثلة في مؤشر درجة استهلاك الغذاء].</t>
        </is>
      </c>
      <c r="H14" s="404" t="inlineStr">
        <is>
          <t>eggplants, zucchini, cauliflower</t>
        </is>
      </c>
      <c r="I14" s="405" t="inlineStr">
        <is>
          <t>باذنجان ، كوسة ، قرنبيط</t>
        </is>
      </c>
      <c r="J14" s="386" t="n"/>
    </row>
    <row r="15" ht="50.25" customHeight="1" thickBot="1">
      <c r="A15" s="378" t="n"/>
      <c r="B15" s="626" t="n"/>
      <c r="C15" s="437" t="inlineStr">
        <is>
          <t>local fruits</t>
        </is>
      </c>
      <c r="D15" s="438" t="inlineStr">
        <is>
          <t>apple, orange, banana, grapes, mango, papaya, fig, muskmelon, red watermelon, dates</t>
        </is>
      </c>
      <c r="E15" s="439" t="inlineStr">
        <is>
          <t>التفاح / البرتقال ، الموز ، العنب ، المانجو ، البابايا ، التين ، الشمام ، البطيخ الاحمر ، البلح</t>
        </is>
      </c>
      <c r="F15" s="440" t="inlineStr">
        <is>
          <t>Input some common local fruits [to be used as examples in the food consumption score indicator].</t>
        </is>
      </c>
      <c r="G15" s="441" t="inlineStr">
        <is>
          <t>أدخل بعض الفاكهة المحلية الشائعة [لاستخدامها كأمثلة في مؤشر درجة استهلاك الغذاء].</t>
        </is>
      </c>
      <c r="H15" s="442" t="inlineStr">
        <is>
          <t>apples, bananas, oranges</t>
        </is>
      </c>
      <c r="I15" s="443" t="inlineStr">
        <is>
          <t>التفاح والموز والبرتقال</t>
        </is>
      </c>
      <c r="J15" s="386" t="n"/>
    </row>
    <row r="16" ht="5.9" customHeight="1" thickBot="1">
      <c r="A16" s="378" t="n"/>
      <c r="B16" s="444" t="n"/>
      <c r="C16" s="445" t="n"/>
      <c r="D16" s="446" t="n"/>
      <c r="E16" s="447" t="n"/>
      <c r="F16" s="448" t="n"/>
      <c r="G16" s="449" t="n"/>
      <c r="H16" s="450" t="n"/>
      <c r="I16" s="451" t="n"/>
      <c r="J16" s="386" t="n"/>
    </row>
    <row r="17" ht="133.4" customHeight="1" thickBot="1">
      <c r="A17" s="378" t="n"/>
      <c r="B17" s="627" t="inlineStr">
        <is>
          <t>FILL OUT FOR QUESTIONNAIRE DURATION ESTIMATION    .</t>
        </is>
      </c>
      <c r="C17" s="452" t="inlineStr">
        <is>
          <t>Expected percentage of respondents cultivating crops</t>
        </is>
      </c>
      <c r="D17" s="453" t="inlineStr">
        <is>
          <t>38.7% (Source: YEM10)</t>
        </is>
      </c>
      <c r="E17" s="454" t="inlineStr">
        <is>
          <t>38.7% (Source: YEM10)</t>
        </is>
      </c>
      <c r="F17" s="455" t="inlineStr">
        <is>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is>
      </c>
      <c r="G17" s="456" t="inlineStr">
        <is>
          <t xml:space="preserve">إذا كان المسح تمثيليًا وليس له حصص نسبية ، فاكتب نسبة الأسر الريفية التي تزرع محاصيل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منتج محصول ، فسيكون 100 / 110 = 91٪ (الحد الأقصى الذي يجب أن تكتبه هو 100٪). </t>
        </is>
      </c>
      <c r="H17" s="173" t="n">
        <v>0.91</v>
      </c>
      <c r="I17" s="158" t="n">
        <v>0.91</v>
      </c>
      <c r="J17" s="386" t="n"/>
    </row>
    <row r="18" ht="129.65" customHeight="1">
      <c r="A18" s="378" t="n"/>
      <c r="B18" s="625" t="n"/>
      <c r="C18" s="457" t="inlineStr">
        <is>
          <t>Expected percentage of respondents raising livestock</t>
        </is>
      </c>
      <c r="D18" s="458" t="inlineStr">
        <is>
          <t>44.7% (Source: YEM10)</t>
        </is>
      </c>
      <c r="E18" s="459" t="inlineStr">
        <is>
          <t>44.7% (Source: YEM10)</t>
        </is>
      </c>
      <c r="F18" s="460" t="inlineStr">
        <is>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is>
      </c>
      <c r="G18" s="461" t="inlineStr">
        <is>
          <t xml:space="preserve">إذا كان المسح تمثيليًا وليس له حصص نسبية ، فاكتب نسبة الأسر الريفية التي تربي الماشية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مربي الماشية ، فسيكون 100 / 110 = 91٪ (الحد الأقصى الذي يجب أن تكتبه هو 100٪). </t>
        </is>
      </c>
      <c r="H18" s="156" t="n">
        <v>0.91</v>
      </c>
      <c r="I18" s="42" t="n">
        <v>0.91</v>
      </c>
      <c r="J18" s="386" t="n"/>
    </row>
    <row r="19" ht="107.9" customHeight="1" thickBot="1">
      <c r="A19" s="378" t="n"/>
      <c r="B19" s="626" t="n"/>
      <c r="C19" s="462" t="inlineStr">
        <is>
          <t>Expected percentage of respondents involved in fishery</t>
        </is>
      </c>
      <c r="D19" s="463" t="inlineStr">
        <is>
          <t>2% (Source: YEM10)</t>
        </is>
      </c>
      <c r="E19" s="464" t="inlineStr">
        <is>
          <t>2% (Source: YEM10)</t>
        </is>
      </c>
      <c r="F19" s="465" t="inlineStr">
        <is>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is>
      </c>
      <c r="G19" s="441" t="inlineStr">
        <is>
          <t xml:space="preserve">إذا كان المسح تمثيليًا وليس له حصص نسبية ، فاكتب نسبة الأسر الريفية العاملة في مصايد الأسماك أو تربية الأحياء المائية على المستوى الوطني. وإلا إذا كنت تستخدم الحصص النسبية ، فاحسب نسبة الحصة إلى حجم العينة على المستوى الذي يتم فيه تنفيذ الحصة. (لذلك إذا لم تحدد حصة ، وكنت تتوقع أن يكون لديك نسبة تمثيلية من الصيادين ، فاكتب فقط النسبة المئوية للصيادين من السكان الذين تستهدفهم ، في المثال على اليمين ، 5٪). </t>
        </is>
      </c>
      <c r="H19" s="157" t="n">
        <v>0.05</v>
      </c>
      <c r="I19" s="43" t="n">
        <v>0.05</v>
      </c>
      <c r="J19" s="386" t="n"/>
    </row>
    <row r="20">
      <c r="B20" s="436" t="n"/>
      <c r="C20" s="436" t="n"/>
      <c r="D20" s="436" t="n"/>
      <c r="E20" s="436" t="n"/>
      <c r="F20" s="466" t="n"/>
      <c r="G20" s="466" t="n"/>
      <c r="H20" s="436" t="n"/>
      <c r="I20" s="436" t="n"/>
    </row>
  </sheetData>
  <sheetProtection selectLockedCells="0" selectUnlockedCells="0" algorithmName="SHA-512" sheet="1" objects="1" insertRows="1" insertHyperlinks="1" autoFilter="1" scenarios="1" formatColumns="1" deleteColumns="1" insertColumns="1" pivotTables="1" deleteRows="1" formatCells="1" saltValue="mcaj+BAnND6fPEknRCDyjQ==" formatRows="1" sort="1" spinCount="100000" hashValue="YMSCqSbuYx4rci1TIoyoSCU5nWD1Bzn/obJ3EZZ7J96JVbe+c6nd2DNfM05f1B7oxJnbI34SeRmahHmme8hpQQ=="/>
  <mergeCells count="3">
    <mergeCell ref="B3:B9"/>
    <mergeCell ref="B17:B19"/>
    <mergeCell ref="B10:B15"/>
  </mergeCells>
  <dataValidations count="2">
    <dataValidation sqref="E5" showDropDown="0" showInputMessage="1" showErrorMessage="1" allowBlank="0" type="list">
      <formula1>"العام العادي,  العام الماضي"</formula1>
    </dataValidation>
    <dataValidation sqref="E7" showDropDown="0" showInputMessage="1" showErrorMessage="1" allowBlank="0" type="list">
      <formula1>"ليس في الموسم بعد,إعداد الأرض,الزرع,النمو المبكر,النمو,النضوج,الحصاد,انتهى مؤخرا"</formula1>
    </dataValidation>
  </dataValidation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G334"/>
  <sheetViews>
    <sheetView workbookViewId="0">
      <selection activeCell="C1" sqref="C1"/>
    </sheetView>
  </sheetViews>
  <sheetFormatPr baseColWidth="8" defaultColWidth="8.81640625" defaultRowHeight="14.5"/>
  <sheetData>
    <row r="1">
      <c r="A1" s="476" t="inlineStr">
        <is>
          <t>adm2_name</t>
        </is>
      </c>
      <c r="B1" s="476" t="inlineStr">
        <is>
          <t>adm2_name_local</t>
        </is>
      </c>
      <c r="C1" s="476" t="inlineStr">
        <is>
          <t>adm2_pcode</t>
        </is>
      </c>
      <c r="D1" s="476" t="inlineStr">
        <is>
          <t>adm1_name</t>
        </is>
      </c>
      <c r="E1" s="476" t="inlineStr">
        <is>
          <t>adm1_pcode</t>
        </is>
      </c>
      <c r="F1" s="476" t="inlineStr">
        <is>
          <t>adm0_name</t>
        </is>
      </c>
      <c r="G1" s="476" t="inlineStr">
        <is>
          <t>adm0_ISO3</t>
        </is>
      </c>
    </row>
    <row r="2">
      <c r="A2" t="inlineStr">
        <is>
          <t>Ar Radmah</t>
        </is>
      </c>
      <c r="B2" t="inlineStr">
        <is>
          <t>الرضمة</t>
        </is>
      </c>
      <c r="C2" t="inlineStr">
        <is>
          <t>YE1103</t>
        </is>
      </c>
      <c r="D2" t="inlineStr">
        <is>
          <t>Ibb</t>
        </is>
      </c>
      <c r="E2" t="inlineStr">
        <is>
          <t>YE11</t>
        </is>
      </c>
      <c r="F2" t="inlineStr">
        <is>
          <t>Yemen</t>
        </is>
      </c>
      <c r="G2" t="inlineStr">
        <is>
          <t>YEM</t>
        </is>
      </c>
    </row>
    <row r="3">
      <c r="A3" t="inlineStr">
        <is>
          <t>An Nadirah</t>
        </is>
      </c>
      <c r="B3" t="inlineStr">
        <is>
          <t>النادرة</t>
        </is>
      </c>
      <c r="C3" t="inlineStr">
        <is>
          <t>YE1104</t>
        </is>
      </c>
      <c r="D3" t="inlineStr">
        <is>
          <t>Ibb</t>
        </is>
      </c>
      <c r="E3" t="inlineStr">
        <is>
          <t>YE11</t>
        </is>
      </c>
      <c r="F3" t="inlineStr">
        <is>
          <t>Yemen</t>
        </is>
      </c>
      <c r="G3" t="inlineStr">
        <is>
          <t>YEM</t>
        </is>
      </c>
    </row>
    <row r="4">
      <c r="A4" t="inlineStr">
        <is>
          <t>Ash Sha'ir</t>
        </is>
      </c>
      <c r="B4" t="inlineStr">
        <is>
          <t>الشعر</t>
        </is>
      </c>
      <c r="C4" t="inlineStr">
        <is>
          <t>YE1105</t>
        </is>
      </c>
      <c r="D4" t="inlineStr">
        <is>
          <t>Ibb</t>
        </is>
      </c>
      <c r="E4" t="inlineStr">
        <is>
          <t>YE11</t>
        </is>
      </c>
      <c r="F4" t="inlineStr">
        <is>
          <t>Yemen</t>
        </is>
      </c>
      <c r="G4" t="inlineStr">
        <is>
          <t>YEM</t>
        </is>
      </c>
    </row>
    <row r="5">
      <c r="A5" t="inlineStr">
        <is>
          <t>Sibah</t>
        </is>
      </c>
      <c r="B5" t="inlineStr">
        <is>
          <t>سباح</t>
        </is>
      </c>
      <c r="C5" t="inlineStr">
        <is>
          <t>YE1205</t>
        </is>
      </c>
      <c r="D5" t="inlineStr">
        <is>
          <t>Abyan</t>
        </is>
      </c>
      <c r="E5" t="inlineStr">
        <is>
          <t>YE12</t>
        </is>
      </c>
      <c r="F5" t="inlineStr">
        <is>
          <t>Yemen</t>
        </is>
      </c>
      <c r="G5" t="inlineStr">
        <is>
          <t>YEM</t>
        </is>
      </c>
    </row>
    <row r="6">
      <c r="A6" t="inlineStr">
        <is>
          <t>As Saddah</t>
        </is>
      </c>
      <c r="B6" t="inlineStr">
        <is>
          <t>السدة</t>
        </is>
      </c>
      <c r="C6" t="inlineStr">
        <is>
          <t>YE1106</t>
        </is>
      </c>
      <c r="D6" t="inlineStr">
        <is>
          <t>Ibb</t>
        </is>
      </c>
      <c r="E6" t="inlineStr">
        <is>
          <t>YE11</t>
        </is>
      </c>
      <c r="F6" t="inlineStr">
        <is>
          <t>Yemen</t>
        </is>
      </c>
      <c r="G6" t="inlineStr">
        <is>
          <t>YEM</t>
        </is>
      </c>
    </row>
    <row r="7">
      <c r="A7" t="inlineStr">
        <is>
          <t>Al Makhadir</t>
        </is>
      </c>
      <c r="B7" t="inlineStr">
        <is>
          <t>المخادر</t>
        </is>
      </c>
      <c r="C7" t="inlineStr">
        <is>
          <t>YE1107</t>
        </is>
      </c>
      <c r="D7" t="inlineStr">
        <is>
          <t>Ibb</t>
        </is>
      </c>
      <c r="E7" t="inlineStr">
        <is>
          <t>YE11</t>
        </is>
      </c>
      <c r="F7" t="inlineStr">
        <is>
          <t>Yemen</t>
        </is>
      </c>
      <c r="G7" t="inlineStr">
        <is>
          <t>YEM</t>
        </is>
      </c>
    </row>
    <row r="8">
      <c r="A8" t="inlineStr">
        <is>
          <t>Hubaysh</t>
        </is>
      </c>
      <c r="B8" t="inlineStr">
        <is>
          <t>حبيش</t>
        </is>
      </c>
      <c r="C8" t="inlineStr">
        <is>
          <t>YE1108</t>
        </is>
      </c>
      <c r="D8" t="inlineStr">
        <is>
          <t>Ibb</t>
        </is>
      </c>
      <c r="E8" t="inlineStr">
        <is>
          <t>YE11</t>
        </is>
      </c>
      <c r="F8" t="inlineStr">
        <is>
          <t>Yemen</t>
        </is>
      </c>
      <c r="G8" t="inlineStr">
        <is>
          <t>YEM</t>
        </is>
      </c>
    </row>
    <row r="9">
      <c r="A9" t="inlineStr">
        <is>
          <t>Far Al Udayn</t>
        </is>
      </c>
      <c r="B9" t="inlineStr">
        <is>
          <t>فرع العدين</t>
        </is>
      </c>
      <c r="C9" t="inlineStr">
        <is>
          <t>YE1110</t>
        </is>
      </c>
      <c r="D9" t="inlineStr">
        <is>
          <t>Ibb</t>
        </is>
      </c>
      <c r="E9" t="inlineStr">
        <is>
          <t>YE11</t>
        </is>
      </c>
      <c r="F9" t="inlineStr">
        <is>
          <t>Yemen</t>
        </is>
      </c>
      <c r="G9" t="inlineStr">
        <is>
          <t>YEM</t>
        </is>
      </c>
    </row>
    <row r="10">
      <c r="A10" t="inlineStr">
        <is>
          <t>Al Udayn</t>
        </is>
      </c>
      <c r="B10" t="inlineStr">
        <is>
          <t>العدين</t>
        </is>
      </c>
      <c r="C10" t="inlineStr">
        <is>
          <t>YE1111</t>
        </is>
      </c>
      <c r="D10" t="inlineStr">
        <is>
          <t>Ibb</t>
        </is>
      </c>
      <c r="E10" t="inlineStr">
        <is>
          <t>YE11</t>
        </is>
      </c>
      <c r="F10" t="inlineStr">
        <is>
          <t>Yemen</t>
        </is>
      </c>
      <c r="G10" t="inlineStr">
        <is>
          <t>YEM</t>
        </is>
      </c>
    </row>
    <row r="11">
      <c r="A11" t="inlineStr">
        <is>
          <t>Jiblah</t>
        </is>
      </c>
      <c r="B11" t="inlineStr">
        <is>
          <t>جبلة</t>
        </is>
      </c>
      <c r="C11" t="inlineStr">
        <is>
          <t>YE1112</t>
        </is>
      </c>
      <c r="D11" t="inlineStr">
        <is>
          <t>Ibb</t>
        </is>
      </c>
      <c r="E11" t="inlineStr">
        <is>
          <t>YE11</t>
        </is>
      </c>
      <c r="F11" t="inlineStr">
        <is>
          <t>Yemen</t>
        </is>
      </c>
      <c r="G11" t="inlineStr">
        <is>
          <t>YEM</t>
        </is>
      </c>
    </row>
    <row r="12">
      <c r="A12" t="inlineStr">
        <is>
          <t>Ba'dan</t>
        </is>
      </c>
      <c r="B12" t="inlineStr">
        <is>
          <t>بعدان</t>
        </is>
      </c>
      <c r="C12" t="inlineStr">
        <is>
          <t>YE1113</t>
        </is>
      </c>
      <c r="D12" t="inlineStr">
        <is>
          <t>Ibb</t>
        </is>
      </c>
      <c r="E12" t="inlineStr">
        <is>
          <t>YE11</t>
        </is>
      </c>
      <c r="F12" t="inlineStr">
        <is>
          <t>Yemen</t>
        </is>
      </c>
      <c r="G12" t="inlineStr">
        <is>
          <t>YEM</t>
        </is>
      </c>
    </row>
    <row r="13">
      <c r="A13" t="inlineStr">
        <is>
          <t>As Sabrah</t>
        </is>
      </c>
      <c r="B13" t="inlineStr">
        <is>
          <t>السبرة</t>
        </is>
      </c>
      <c r="C13" t="inlineStr">
        <is>
          <t>YE1114</t>
        </is>
      </c>
      <c r="D13" t="inlineStr">
        <is>
          <t>Ibb</t>
        </is>
      </c>
      <c r="E13" t="inlineStr">
        <is>
          <t>YE11</t>
        </is>
      </c>
      <c r="F13" t="inlineStr">
        <is>
          <t>Yemen</t>
        </is>
      </c>
      <c r="G13" t="inlineStr">
        <is>
          <t>YEM</t>
        </is>
      </c>
    </row>
    <row r="14">
      <c r="A14" t="inlineStr">
        <is>
          <t>Zingibar</t>
        </is>
      </c>
      <c r="B14" t="inlineStr">
        <is>
          <t>زنجبار</t>
        </is>
      </c>
      <c r="C14" t="inlineStr">
        <is>
          <t>YE1210</t>
        </is>
      </c>
      <c r="D14" t="inlineStr">
        <is>
          <t>Abyan</t>
        </is>
      </c>
      <c r="E14" t="inlineStr">
        <is>
          <t>YE12</t>
        </is>
      </c>
      <c r="F14" t="inlineStr">
        <is>
          <t>Yemen</t>
        </is>
      </c>
      <c r="G14" t="inlineStr">
        <is>
          <t>YEM</t>
        </is>
      </c>
    </row>
    <row r="15">
      <c r="A15" t="inlineStr">
        <is>
          <t>Khanfir</t>
        </is>
      </c>
      <c r="B15" t="inlineStr">
        <is>
          <t>خنفر</t>
        </is>
      </c>
      <c r="C15" t="inlineStr">
        <is>
          <t>YE1211</t>
        </is>
      </c>
      <c r="D15" t="inlineStr">
        <is>
          <t>Abyan</t>
        </is>
      </c>
      <c r="E15" t="inlineStr">
        <is>
          <t>YE12</t>
        </is>
      </c>
      <c r="F15" t="inlineStr">
        <is>
          <t>Yemen</t>
        </is>
      </c>
      <c r="G15" t="inlineStr">
        <is>
          <t>YEM</t>
        </is>
      </c>
    </row>
    <row r="16">
      <c r="A16" t="inlineStr">
        <is>
          <t>As Sayyani</t>
        </is>
      </c>
      <c r="B16" t="inlineStr">
        <is>
          <t>السياني</t>
        </is>
      </c>
      <c r="C16" t="inlineStr">
        <is>
          <t>YE1115</t>
        </is>
      </c>
      <c r="D16" t="inlineStr">
        <is>
          <t>Ibb</t>
        </is>
      </c>
      <c r="E16" t="inlineStr">
        <is>
          <t>YE11</t>
        </is>
      </c>
      <c r="F16" t="inlineStr">
        <is>
          <t>Yemen</t>
        </is>
      </c>
      <c r="G16" t="inlineStr">
        <is>
          <t>YEM</t>
        </is>
      </c>
    </row>
    <row r="17">
      <c r="A17" t="inlineStr">
        <is>
          <t>Jihanah</t>
        </is>
      </c>
      <c r="B17" t="inlineStr">
        <is>
          <t>جحانة</t>
        </is>
      </c>
      <c r="C17" t="inlineStr">
        <is>
          <t>YE2316</t>
        </is>
      </c>
      <c r="D17" t="inlineStr">
        <is>
          <t>Sana'a</t>
        </is>
      </c>
      <c r="E17" t="inlineStr">
        <is>
          <t>YE23</t>
        </is>
      </c>
      <c r="F17" t="inlineStr">
        <is>
          <t>Yemen</t>
        </is>
      </c>
      <c r="G17" t="inlineStr">
        <is>
          <t>YEM</t>
        </is>
      </c>
    </row>
    <row r="18">
      <c r="A18" t="inlineStr">
        <is>
          <t>Al Mashannah</t>
        </is>
      </c>
      <c r="B18" t="inlineStr">
        <is>
          <t>المشنة</t>
        </is>
      </c>
      <c r="C18" t="inlineStr">
        <is>
          <t>YE1118</t>
        </is>
      </c>
      <c r="D18" t="inlineStr">
        <is>
          <t>Ibb</t>
        </is>
      </c>
      <c r="E18" t="inlineStr">
        <is>
          <t>YE11</t>
        </is>
      </c>
      <c r="F18" t="inlineStr">
        <is>
          <t>Yemen</t>
        </is>
      </c>
      <c r="G18" t="inlineStr">
        <is>
          <t>YEM</t>
        </is>
      </c>
    </row>
    <row r="19">
      <c r="A19" t="inlineStr">
        <is>
          <t>Mudiyah</t>
        </is>
      </c>
      <c r="B19" t="inlineStr">
        <is>
          <t>موديه</t>
        </is>
      </c>
      <c r="C19" t="inlineStr">
        <is>
          <t>YE1202</t>
        </is>
      </c>
      <c r="D19" t="inlineStr">
        <is>
          <t>Abyan</t>
        </is>
      </c>
      <c r="E19" t="inlineStr">
        <is>
          <t>YE12</t>
        </is>
      </c>
      <c r="F19" t="inlineStr">
        <is>
          <t>Yemen</t>
        </is>
      </c>
      <c r="G19" t="inlineStr">
        <is>
          <t>YEM</t>
        </is>
      </c>
    </row>
    <row r="20">
      <c r="A20" t="inlineStr">
        <is>
          <t>Jayshan</t>
        </is>
      </c>
      <c r="B20" t="inlineStr">
        <is>
          <t>جيشان</t>
        </is>
      </c>
      <c r="C20" t="inlineStr">
        <is>
          <t>YE1203</t>
        </is>
      </c>
      <c r="D20" t="inlineStr">
        <is>
          <t>Abyan</t>
        </is>
      </c>
      <c r="E20" t="inlineStr">
        <is>
          <t>YE12</t>
        </is>
      </c>
      <c r="F20" t="inlineStr">
        <is>
          <t>Yemen</t>
        </is>
      </c>
      <c r="G20" t="inlineStr">
        <is>
          <t>YEM</t>
        </is>
      </c>
    </row>
    <row r="21">
      <c r="A21" t="inlineStr">
        <is>
          <t>Hamdan</t>
        </is>
      </c>
      <c r="B21" t="inlineStr">
        <is>
          <t>همدان</t>
        </is>
      </c>
      <c r="C21" t="inlineStr">
        <is>
          <t>YE2319</t>
        </is>
      </c>
      <c r="D21" t="inlineStr">
        <is>
          <t>Sana'a</t>
        </is>
      </c>
      <c r="E21" t="inlineStr">
        <is>
          <t>YE23</t>
        </is>
      </c>
      <c r="F21" t="inlineStr">
        <is>
          <t>Yemen</t>
        </is>
      </c>
      <c r="G21" t="inlineStr">
        <is>
          <t>YEM</t>
        </is>
      </c>
    </row>
    <row r="22">
      <c r="A22" t="inlineStr">
        <is>
          <t>Lawdar</t>
        </is>
      </c>
      <c r="B22" t="inlineStr">
        <is>
          <t>لودر</t>
        </is>
      </c>
      <c r="C22" t="inlineStr">
        <is>
          <t>YE1204</t>
        </is>
      </c>
      <c r="D22" t="inlineStr">
        <is>
          <t>Abyan</t>
        </is>
      </c>
      <c r="E22" t="inlineStr">
        <is>
          <t>YE12</t>
        </is>
      </c>
      <c r="F22" t="inlineStr">
        <is>
          <t>Yemen</t>
        </is>
      </c>
      <c r="G22" t="inlineStr">
        <is>
          <t>YEM</t>
        </is>
      </c>
    </row>
    <row r="23">
      <c r="A23" t="inlineStr">
        <is>
          <t>Sarar</t>
        </is>
      </c>
      <c r="B23" t="inlineStr">
        <is>
          <t>سرار</t>
        </is>
      </c>
      <c r="C23" t="inlineStr">
        <is>
          <t>YE1207</t>
        </is>
      </c>
      <c r="D23" t="inlineStr">
        <is>
          <t>Abyan</t>
        </is>
      </c>
      <c r="E23" t="inlineStr">
        <is>
          <t>YE12</t>
        </is>
      </c>
      <c r="F23" t="inlineStr">
        <is>
          <t>Yemen</t>
        </is>
      </c>
      <c r="G23" t="inlineStr">
        <is>
          <t>YEM</t>
        </is>
      </c>
    </row>
    <row r="24">
      <c r="A24" t="inlineStr">
        <is>
          <t>Al Wade'a</t>
        </is>
      </c>
      <c r="B24" t="inlineStr">
        <is>
          <t>الوضيع</t>
        </is>
      </c>
      <c r="C24" t="inlineStr">
        <is>
          <t>YE1208</t>
        </is>
      </c>
      <c r="D24" t="inlineStr">
        <is>
          <t>Abyan</t>
        </is>
      </c>
      <c r="E24" t="inlineStr">
        <is>
          <t>YE12</t>
        </is>
      </c>
      <c r="F24" t="inlineStr">
        <is>
          <t>Yemen</t>
        </is>
      </c>
      <c r="G24" t="inlineStr">
        <is>
          <t>YEM</t>
        </is>
      </c>
    </row>
    <row r="25">
      <c r="A25" t="inlineStr">
        <is>
          <t>Ahwar</t>
        </is>
      </c>
      <c r="B25" t="inlineStr">
        <is>
          <t>احوار</t>
        </is>
      </c>
      <c r="C25" t="inlineStr">
        <is>
          <t>YE1209</t>
        </is>
      </c>
      <c r="D25" t="inlineStr">
        <is>
          <t>Abyan</t>
        </is>
      </c>
      <c r="E25" t="inlineStr">
        <is>
          <t>YE12</t>
        </is>
      </c>
      <c r="F25" t="inlineStr">
        <is>
          <t>Yemen</t>
        </is>
      </c>
      <c r="G25" t="inlineStr">
        <is>
          <t>YEM</t>
        </is>
      </c>
    </row>
    <row r="26">
      <c r="A26" t="inlineStr">
        <is>
          <t>Shu'aub</t>
        </is>
      </c>
      <c r="B26" t="inlineStr">
        <is>
          <t>شعوب</t>
        </is>
      </c>
      <c r="C26" t="inlineStr">
        <is>
          <t>YE1302</t>
        </is>
      </c>
      <c r="D26" t="inlineStr">
        <is>
          <t>Sana'a City</t>
        </is>
      </c>
      <c r="E26" t="inlineStr">
        <is>
          <t>YE13</t>
        </is>
      </c>
      <c r="F26" t="inlineStr">
        <is>
          <t>Yemen</t>
        </is>
      </c>
      <c r="G26" t="inlineStr">
        <is>
          <t>YEM</t>
        </is>
      </c>
    </row>
    <row r="27">
      <c r="A27" t="inlineStr">
        <is>
          <t>As Sawadiyah</t>
        </is>
      </c>
      <c r="B27" t="inlineStr">
        <is>
          <t>السوادية</t>
        </is>
      </c>
      <c r="C27" t="inlineStr">
        <is>
          <t>YE1411</t>
        </is>
      </c>
      <c r="D27" t="inlineStr">
        <is>
          <t>Al Bayda</t>
        </is>
      </c>
      <c r="E27" t="inlineStr">
        <is>
          <t>YE14</t>
        </is>
      </c>
      <c r="F27" t="inlineStr">
        <is>
          <t>Yemen</t>
        </is>
      </c>
      <c r="G27" t="inlineStr">
        <is>
          <t>YEM</t>
        </is>
      </c>
    </row>
    <row r="28">
      <c r="A28" t="inlineStr">
        <is>
          <t>Az'zal</t>
        </is>
      </c>
      <c r="B28" t="inlineStr">
        <is>
          <t>أزال</t>
        </is>
      </c>
      <c r="C28" t="inlineStr">
        <is>
          <t>YE1303</t>
        </is>
      </c>
      <c r="D28" t="inlineStr">
        <is>
          <t>Sana'a City</t>
        </is>
      </c>
      <c r="E28" t="inlineStr">
        <is>
          <t>YE13</t>
        </is>
      </c>
      <c r="F28" t="inlineStr">
        <is>
          <t>Yemen</t>
        </is>
      </c>
      <c r="G28" t="inlineStr">
        <is>
          <t>YEM</t>
        </is>
      </c>
    </row>
    <row r="29">
      <c r="A29" t="inlineStr">
        <is>
          <t>Az Zahir</t>
        </is>
      </c>
      <c r="B29" t="inlineStr">
        <is>
          <t>الزاهر</t>
        </is>
      </c>
      <c r="C29" t="inlineStr">
        <is>
          <t>YE1405</t>
        </is>
      </c>
      <c r="D29" t="inlineStr">
        <is>
          <t>Al Bayda</t>
        </is>
      </c>
      <c r="E29" t="inlineStr">
        <is>
          <t>YE14</t>
        </is>
      </c>
      <c r="F29" t="inlineStr">
        <is>
          <t>Yemen</t>
        </is>
      </c>
      <c r="G29" t="inlineStr">
        <is>
          <t>YEM</t>
        </is>
      </c>
    </row>
    <row r="30">
      <c r="A30" t="inlineStr">
        <is>
          <t>Assafi'yah</t>
        </is>
      </c>
      <c r="B30" t="inlineStr">
        <is>
          <t>الصافية</t>
        </is>
      </c>
      <c r="C30" t="inlineStr">
        <is>
          <t>YE1304</t>
        </is>
      </c>
      <c r="D30" t="inlineStr">
        <is>
          <t>Sana'a City</t>
        </is>
      </c>
      <c r="E30" t="inlineStr">
        <is>
          <t>YE13</t>
        </is>
      </c>
      <c r="F30" t="inlineStr">
        <is>
          <t>Yemen</t>
        </is>
      </c>
      <c r="G30" t="inlineStr">
        <is>
          <t>YEM</t>
        </is>
      </c>
    </row>
    <row r="31">
      <c r="A31" t="inlineStr">
        <is>
          <t>Dhi Na'im</t>
        </is>
      </c>
      <c r="B31" t="inlineStr">
        <is>
          <t>ذي ناعم</t>
        </is>
      </c>
      <c r="C31" t="inlineStr">
        <is>
          <t>YE1406</t>
        </is>
      </c>
      <c r="D31" t="inlineStr">
        <is>
          <t>Al Bayda</t>
        </is>
      </c>
      <c r="E31" t="inlineStr">
        <is>
          <t>YE14</t>
        </is>
      </c>
      <c r="F31" t="inlineStr">
        <is>
          <t>Yemen</t>
        </is>
      </c>
      <c r="G31" t="inlineStr">
        <is>
          <t>YEM</t>
        </is>
      </c>
    </row>
    <row r="32">
      <c r="A32" t="inlineStr">
        <is>
          <t>Ath'thaorah</t>
        </is>
      </c>
      <c r="B32" t="inlineStr">
        <is>
          <t>الثورة</t>
        </is>
      </c>
      <c r="C32" t="inlineStr">
        <is>
          <t>YE1309</t>
        </is>
      </c>
      <c r="D32" t="inlineStr">
        <is>
          <t>Sana'a City</t>
        </is>
      </c>
      <c r="E32" t="inlineStr">
        <is>
          <t>YE13</t>
        </is>
      </c>
      <c r="F32" t="inlineStr">
        <is>
          <t>Yemen</t>
        </is>
      </c>
      <c r="G32" t="inlineStr">
        <is>
          <t>YEM</t>
        </is>
      </c>
    </row>
    <row r="33">
      <c r="A33" t="inlineStr">
        <is>
          <t>Bani Al Harith</t>
        </is>
      </c>
      <c r="B33" t="inlineStr">
        <is>
          <t>بني الحارث</t>
        </is>
      </c>
      <c r="C33" t="inlineStr">
        <is>
          <t>YE1310</t>
        </is>
      </c>
      <c r="D33" t="inlineStr">
        <is>
          <t>Sana'a City</t>
        </is>
      </c>
      <c r="E33" t="inlineStr">
        <is>
          <t>YE13</t>
        </is>
      </c>
      <c r="F33" t="inlineStr">
        <is>
          <t>Yemen</t>
        </is>
      </c>
      <c r="G33" t="inlineStr">
        <is>
          <t>YEM</t>
        </is>
      </c>
    </row>
    <row r="34">
      <c r="A34" t="inlineStr">
        <is>
          <t>Radman Al Awad</t>
        </is>
      </c>
      <c r="B34" t="inlineStr">
        <is>
          <t>ردمان</t>
        </is>
      </c>
      <c r="C34" t="inlineStr">
        <is>
          <t>YE1412</t>
        </is>
      </c>
      <c r="D34" t="inlineStr">
        <is>
          <t>Al Bayda</t>
        </is>
      </c>
      <c r="E34" t="inlineStr">
        <is>
          <t>YE14</t>
        </is>
      </c>
      <c r="F34" t="inlineStr">
        <is>
          <t>Yemen</t>
        </is>
      </c>
      <c r="G34" t="inlineStr">
        <is>
          <t>YEM</t>
        </is>
      </c>
    </row>
    <row r="35">
      <c r="A35" t="inlineStr">
        <is>
          <t>Maswarah</t>
        </is>
      </c>
      <c r="B35" t="inlineStr">
        <is>
          <t>مسورة</t>
        </is>
      </c>
      <c r="C35" t="inlineStr">
        <is>
          <t>YE1403</t>
        </is>
      </c>
      <c r="D35" t="inlineStr">
        <is>
          <t>Al Bayda</t>
        </is>
      </c>
      <c r="E35" t="inlineStr">
        <is>
          <t>YE14</t>
        </is>
      </c>
      <c r="F35" t="inlineStr">
        <is>
          <t>Yemen</t>
        </is>
      </c>
      <c r="G35" t="inlineStr">
        <is>
          <t>YEM</t>
        </is>
      </c>
    </row>
    <row r="36">
      <c r="A36" t="inlineStr">
        <is>
          <t>As Sawma'ah</t>
        </is>
      </c>
      <c r="B36" t="inlineStr">
        <is>
          <t>الصومعة</t>
        </is>
      </c>
      <c r="C36" t="inlineStr">
        <is>
          <t>YE1404</t>
        </is>
      </c>
      <c r="D36" t="inlineStr">
        <is>
          <t>Al Bayda</t>
        </is>
      </c>
      <c r="E36" t="inlineStr">
        <is>
          <t>YE14</t>
        </is>
      </c>
      <c r="F36" t="inlineStr">
        <is>
          <t>Yemen</t>
        </is>
      </c>
      <c r="G36" t="inlineStr">
        <is>
          <t>YEM</t>
        </is>
      </c>
    </row>
    <row r="37">
      <c r="A37" t="inlineStr">
        <is>
          <t>Mukayras</t>
        </is>
      </c>
      <c r="B37" t="inlineStr">
        <is>
          <t>مكيراس</t>
        </is>
      </c>
      <c r="C37" t="inlineStr">
        <is>
          <t>YE1408</t>
        </is>
      </c>
      <c r="D37" t="inlineStr">
        <is>
          <t>Al Bayda</t>
        </is>
      </c>
      <c r="E37" t="inlineStr">
        <is>
          <t>YE14</t>
        </is>
      </c>
      <c r="F37" t="inlineStr">
        <is>
          <t>Yemen</t>
        </is>
      </c>
      <c r="G37" t="inlineStr">
        <is>
          <t>YEM</t>
        </is>
      </c>
    </row>
    <row r="38">
      <c r="A38" t="inlineStr">
        <is>
          <t>Al Bayda City</t>
        </is>
      </c>
      <c r="B38" t="inlineStr">
        <is>
          <t>مدينة البيضاء</t>
        </is>
      </c>
      <c r="C38" t="inlineStr">
        <is>
          <t>YE1409</t>
        </is>
      </c>
      <c r="D38" t="inlineStr">
        <is>
          <t>Al Bayda</t>
        </is>
      </c>
      <c r="E38" t="inlineStr">
        <is>
          <t>YE14</t>
        </is>
      </c>
      <c r="F38" t="inlineStr">
        <is>
          <t>Yemen</t>
        </is>
      </c>
      <c r="G38" t="inlineStr">
        <is>
          <t>YEM</t>
        </is>
      </c>
    </row>
    <row r="39">
      <c r="A39" t="inlineStr">
        <is>
          <t>Al Bayda</t>
        </is>
      </c>
      <c r="B39" t="inlineStr">
        <is>
          <t>البيضاء</t>
        </is>
      </c>
      <c r="C39" t="inlineStr">
        <is>
          <t>YE1410</t>
        </is>
      </c>
      <c r="D39" t="inlineStr">
        <is>
          <t>Al Bayda</t>
        </is>
      </c>
      <c r="E39" t="inlineStr">
        <is>
          <t>YE14</t>
        </is>
      </c>
      <c r="F39" t="inlineStr">
        <is>
          <t>Yemen</t>
        </is>
      </c>
      <c r="G39" t="inlineStr">
        <is>
          <t>YEM</t>
        </is>
      </c>
    </row>
    <row r="40">
      <c r="A40" t="inlineStr">
        <is>
          <t>Rada'</t>
        </is>
      </c>
      <c r="B40" t="inlineStr">
        <is>
          <t>رداع</t>
        </is>
      </c>
      <c r="C40" t="inlineStr">
        <is>
          <t>YE1413</t>
        </is>
      </c>
      <c r="D40" t="inlineStr">
        <is>
          <t>Al Bayda</t>
        </is>
      </c>
      <c r="E40" t="inlineStr">
        <is>
          <t>YE14</t>
        </is>
      </c>
      <c r="F40" t="inlineStr">
        <is>
          <t>Yemen</t>
        </is>
      </c>
      <c r="G40" t="inlineStr">
        <is>
          <t>YEM</t>
        </is>
      </c>
    </row>
    <row r="41">
      <c r="A41" t="inlineStr">
        <is>
          <t>Al Quraishyah</t>
        </is>
      </c>
      <c r="B41" t="inlineStr">
        <is>
          <t>القريشية</t>
        </is>
      </c>
      <c r="C41" t="inlineStr">
        <is>
          <t>YE1414</t>
        </is>
      </c>
      <c r="D41" t="inlineStr">
        <is>
          <t>Al Bayda</t>
        </is>
      </c>
      <c r="E41" t="inlineStr">
        <is>
          <t>YE14</t>
        </is>
      </c>
      <c r="F41" t="inlineStr">
        <is>
          <t>Yemen</t>
        </is>
      </c>
      <c r="G41" t="inlineStr">
        <is>
          <t>YEM</t>
        </is>
      </c>
    </row>
    <row r="42">
      <c r="A42" t="inlineStr">
        <is>
          <t>Wald Rabi'</t>
        </is>
      </c>
      <c r="B42" t="inlineStr">
        <is>
          <t>ولد ربيع</t>
        </is>
      </c>
      <c r="C42" t="inlineStr">
        <is>
          <t>YE1415</t>
        </is>
      </c>
      <c r="D42" t="inlineStr">
        <is>
          <t>Al Bayda</t>
        </is>
      </c>
      <c r="E42" t="inlineStr">
        <is>
          <t>YE14</t>
        </is>
      </c>
      <c r="F42" t="inlineStr">
        <is>
          <t>Yemen</t>
        </is>
      </c>
      <c r="G42" t="inlineStr">
        <is>
          <t>YEM</t>
        </is>
      </c>
    </row>
    <row r="43">
      <c r="A43" t="inlineStr">
        <is>
          <t>Al A'rsh</t>
        </is>
      </c>
      <c r="B43" t="inlineStr">
        <is>
          <t>العرش</t>
        </is>
      </c>
      <c r="C43" t="inlineStr">
        <is>
          <t>YE1416</t>
        </is>
      </c>
      <c r="D43" t="inlineStr">
        <is>
          <t>Al Bayda</t>
        </is>
      </c>
      <c r="E43" t="inlineStr">
        <is>
          <t>YE14</t>
        </is>
      </c>
      <c r="F43" t="inlineStr">
        <is>
          <t>Yemen</t>
        </is>
      </c>
      <c r="G43" t="inlineStr">
        <is>
          <t>YEM</t>
        </is>
      </c>
    </row>
    <row r="44">
      <c r="A44" t="inlineStr">
        <is>
          <t>Mawza</t>
        </is>
      </c>
      <c r="B44" t="inlineStr">
        <is>
          <t>موزع</t>
        </is>
      </c>
      <c r="C44" t="inlineStr">
        <is>
          <t>YE1507</t>
        </is>
      </c>
      <c r="D44" t="inlineStr">
        <is>
          <t>Ta'iz</t>
        </is>
      </c>
      <c r="E44" t="inlineStr">
        <is>
          <t>YE15</t>
        </is>
      </c>
      <c r="F44" t="inlineStr">
        <is>
          <t>Yemen</t>
        </is>
      </c>
      <c r="G44" t="inlineStr">
        <is>
          <t>YEM</t>
        </is>
      </c>
    </row>
    <row r="45">
      <c r="A45" t="inlineStr">
        <is>
          <t>Ar Ryashyyah</t>
        </is>
      </c>
      <c r="B45" t="inlineStr">
        <is>
          <t>الرياشية</t>
        </is>
      </c>
      <c r="C45" t="inlineStr">
        <is>
          <t>YE1418</t>
        </is>
      </c>
      <c r="D45" t="inlineStr">
        <is>
          <t>Al Bayda</t>
        </is>
      </c>
      <c r="E45" t="inlineStr">
        <is>
          <t>YE14</t>
        </is>
      </c>
      <c r="F45" t="inlineStr">
        <is>
          <t>Yemen</t>
        </is>
      </c>
      <c r="G45" t="inlineStr">
        <is>
          <t>YEM</t>
        </is>
      </c>
    </row>
    <row r="46">
      <c r="A46" t="inlineStr">
        <is>
          <t>As Silw</t>
        </is>
      </c>
      <c r="B46" t="inlineStr">
        <is>
          <t>الصلو</t>
        </is>
      </c>
      <c r="C46" t="inlineStr">
        <is>
          <t>YE1513</t>
        </is>
      </c>
      <c r="D46" t="inlineStr">
        <is>
          <t>Ta'iz</t>
        </is>
      </c>
      <c r="E46" t="inlineStr">
        <is>
          <t>YE15</t>
        </is>
      </c>
      <c r="F46" t="inlineStr">
        <is>
          <t>Yemen</t>
        </is>
      </c>
      <c r="G46" t="inlineStr">
        <is>
          <t>YEM</t>
        </is>
      </c>
    </row>
    <row r="47">
      <c r="A47" t="inlineStr">
        <is>
          <t>Shara'b Ar Rawnah</t>
        </is>
      </c>
      <c r="B47" t="inlineStr">
        <is>
          <t>شرعب الرونة</t>
        </is>
      </c>
      <c r="C47" t="inlineStr">
        <is>
          <t>YE1503</t>
        </is>
      </c>
      <c r="D47" t="inlineStr">
        <is>
          <t>Ta'iz</t>
        </is>
      </c>
      <c r="E47" t="inlineStr">
        <is>
          <t>YE15</t>
        </is>
      </c>
      <c r="F47" t="inlineStr">
        <is>
          <t>Yemen</t>
        </is>
      </c>
      <c r="G47" t="inlineStr">
        <is>
          <t>YEM</t>
        </is>
      </c>
    </row>
    <row r="48">
      <c r="A48" t="inlineStr">
        <is>
          <t>Maqbanah</t>
        </is>
      </c>
      <c r="B48" t="inlineStr">
        <is>
          <t>مقبنة</t>
        </is>
      </c>
      <c r="C48" t="inlineStr">
        <is>
          <t>YE1504</t>
        </is>
      </c>
      <c r="D48" t="inlineStr">
        <is>
          <t>Ta'iz</t>
        </is>
      </c>
      <c r="E48" t="inlineStr">
        <is>
          <t>YE15</t>
        </is>
      </c>
      <c r="F48" t="inlineStr">
        <is>
          <t>Yemen</t>
        </is>
      </c>
      <c r="G48" t="inlineStr">
        <is>
          <t>YEM</t>
        </is>
      </c>
    </row>
    <row r="49">
      <c r="A49" t="inlineStr">
        <is>
          <t>Al  Mukha</t>
        </is>
      </c>
      <c r="B49" t="inlineStr">
        <is>
          <t>المخاء</t>
        </is>
      </c>
      <c r="C49" t="inlineStr">
        <is>
          <t>YE1505</t>
        </is>
      </c>
      <c r="D49" t="inlineStr">
        <is>
          <t>Ta'iz</t>
        </is>
      </c>
      <c r="E49" t="inlineStr">
        <is>
          <t>YE15</t>
        </is>
      </c>
      <c r="F49" t="inlineStr">
        <is>
          <t>Yemen</t>
        </is>
      </c>
      <c r="G49" t="inlineStr">
        <is>
          <t>YEM</t>
        </is>
      </c>
    </row>
    <row r="50">
      <c r="A50" t="inlineStr">
        <is>
          <t>Dhubab</t>
        </is>
      </c>
      <c r="B50" t="inlineStr">
        <is>
          <t>ذباب</t>
        </is>
      </c>
      <c r="C50" t="inlineStr">
        <is>
          <t>YE1506</t>
        </is>
      </c>
      <c r="D50" t="inlineStr">
        <is>
          <t>Ta'iz</t>
        </is>
      </c>
      <c r="E50" t="inlineStr">
        <is>
          <t>YE15</t>
        </is>
      </c>
      <c r="F50" t="inlineStr">
        <is>
          <t>Yemen</t>
        </is>
      </c>
      <c r="G50" t="inlineStr">
        <is>
          <t>YEM</t>
        </is>
      </c>
    </row>
    <row r="51">
      <c r="A51" t="inlineStr">
        <is>
          <t>Jabal Habashy</t>
        </is>
      </c>
      <c r="B51" t="inlineStr">
        <is>
          <t>جبل حبشي</t>
        </is>
      </c>
      <c r="C51" t="inlineStr">
        <is>
          <t>YE1508</t>
        </is>
      </c>
      <c r="D51" t="inlineStr">
        <is>
          <t>Ta'iz</t>
        </is>
      </c>
      <c r="E51" t="inlineStr">
        <is>
          <t>YE15</t>
        </is>
      </c>
      <c r="F51" t="inlineStr">
        <is>
          <t>Yemen</t>
        </is>
      </c>
      <c r="G51" t="inlineStr">
        <is>
          <t>YEM</t>
        </is>
      </c>
    </row>
    <row r="52">
      <c r="A52" t="inlineStr">
        <is>
          <t>Mashra'a Wa Hadnan</t>
        </is>
      </c>
      <c r="B52" t="inlineStr">
        <is>
          <t>مشرعة وحدنان</t>
        </is>
      </c>
      <c r="C52" t="inlineStr">
        <is>
          <t>YE1509</t>
        </is>
      </c>
      <c r="D52" t="inlineStr">
        <is>
          <t>Ta'iz</t>
        </is>
      </c>
      <c r="E52" t="inlineStr">
        <is>
          <t>YE15</t>
        </is>
      </c>
      <c r="F52" t="inlineStr">
        <is>
          <t>Yemen</t>
        </is>
      </c>
      <c r="G52" t="inlineStr">
        <is>
          <t>YEM</t>
        </is>
      </c>
    </row>
    <row r="53">
      <c r="A53" t="inlineStr">
        <is>
          <t>Sabir Al Mawadim</t>
        </is>
      </c>
      <c r="B53" t="inlineStr">
        <is>
          <t>صبر الموادم</t>
        </is>
      </c>
      <c r="C53" t="inlineStr">
        <is>
          <t>YE1510</t>
        </is>
      </c>
      <c r="D53" t="inlineStr">
        <is>
          <t>Ta'iz</t>
        </is>
      </c>
      <c r="E53" t="inlineStr">
        <is>
          <t>YE15</t>
        </is>
      </c>
      <c r="F53" t="inlineStr">
        <is>
          <t>Yemen</t>
        </is>
      </c>
      <c r="G53" t="inlineStr">
        <is>
          <t>YEM</t>
        </is>
      </c>
    </row>
    <row r="54">
      <c r="A54" t="inlineStr">
        <is>
          <t>Al Misrakh</t>
        </is>
      </c>
      <c r="B54" t="inlineStr">
        <is>
          <t>المسراخ</t>
        </is>
      </c>
      <c r="C54" t="inlineStr">
        <is>
          <t>YE1511</t>
        </is>
      </c>
      <c r="D54" t="inlineStr">
        <is>
          <t>Ta'iz</t>
        </is>
      </c>
      <c r="E54" t="inlineStr">
        <is>
          <t>YE15</t>
        </is>
      </c>
      <c r="F54" t="inlineStr">
        <is>
          <t>Yemen</t>
        </is>
      </c>
      <c r="G54" t="inlineStr">
        <is>
          <t>YEM</t>
        </is>
      </c>
    </row>
    <row r="55">
      <c r="A55" t="inlineStr">
        <is>
          <t>Al Humaydat</t>
        </is>
      </c>
      <c r="B55" t="inlineStr">
        <is>
          <t>الحميدات</t>
        </is>
      </c>
      <c r="C55" t="inlineStr">
        <is>
          <t>YE1602</t>
        </is>
      </c>
      <c r="D55" t="inlineStr">
        <is>
          <t>Al Jawf</t>
        </is>
      </c>
      <c r="E55" t="inlineStr">
        <is>
          <t>YE16</t>
        </is>
      </c>
      <c r="F55" t="inlineStr">
        <is>
          <t>Yemen</t>
        </is>
      </c>
      <c r="G55" t="inlineStr">
        <is>
          <t>YEM</t>
        </is>
      </c>
    </row>
    <row r="56">
      <c r="A56" t="inlineStr">
        <is>
          <t>Dimnat Khadir</t>
        </is>
      </c>
      <c r="B56" t="inlineStr">
        <is>
          <t>دمنة خدير</t>
        </is>
      </c>
      <c r="C56" t="inlineStr">
        <is>
          <t>YE1512</t>
        </is>
      </c>
      <c r="D56" t="inlineStr">
        <is>
          <t>Ta'iz</t>
        </is>
      </c>
      <c r="E56" t="inlineStr">
        <is>
          <t>YE15</t>
        </is>
      </c>
      <c r="F56" t="inlineStr">
        <is>
          <t>Yemen</t>
        </is>
      </c>
      <c r="G56" t="inlineStr">
        <is>
          <t>YEM</t>
        </is>
      </c>
    </row>
    <row r="57">
      <c r="A57" t="inlineStr">
        <is>
          <t>Ash Shamayatayn</t>
        </is>
      </c>
      <c r="B57" t="inlineStr">
        <is>
          <t>الشمايتين</t>
        </is>
      </c>
      <c r="C57" t="inlineStr">
        <is>
          <t>YE1514</t>
        </is>
      </c>
      <c r="D57" t="inlineStr">
        <is>
          <t>Ta'iz</t>
        </is>
      </c>
      <c r="E57" t="inlineStr">
        <is>
          <t>YE15</t>
        </is>
      </c>
      <c r="F57" t="inlineStr">
        <is>
          <t>Yemen</t>
        </is>
      </c>
      <c r="G57" t="inlineStr">
        <is>
          <t>YEM</t>
        </is>
      </c>
    </row>
    <row r="58">
      <c r="A58" t="inlineStr">
        <is>
          <t>Al Wazi'iyah</t>
        </is>
      </c>
      <c r="B58" t="inlineStr">
        <is>
          <t>الوازعية</t>
        </is>
      </c>
      <c r="C58" t="inlineStr">
        <is>
          <t>YE1515</t>
        </is>
      </c>
      <c r="D58" t="inlineStr">
        <is>
          <t>Ta'iz</t>
        </is>
      </c>
      <c r="E58" t="inlineStr">
        <is>
          <t>YE15</t>
        </is>
      </c>
      <c r="F58" t="inlineStr">
        <is>
          <t>Yemen</t>
        </is>
      </c>
      <c r="G58" t="inlineStr">
        <is>
          <t>YEM</t>
        </is>
      </c>
    </row>
    <row r="59">
      <c r="A59" t="inlineStr">
        <is>
          <t>Hayfan</t>
        </is>
      </c>
      <c r="B59" t="inlineStr">
        <is>
          <t>حيفان</t>
        </is>
      </c>
      <c r="C59" t="inlineStr">
        <is>
          <t>YE1516</t>
        </is>
      </c>
      <c r="D59" t="inlineStr">
        <is>
          <t>Ta'iz</t>
        </is>
      </c>
      <c r="E59" t="inlineStr">
        <is>
          <t>YE15</t>
        </is>
      </c>
      <c r="F59" t="inlineStr">
        <is>
          <t>Yemen</t>
        </is>
      </c>
      <c r="G59" t="inlineStr">
        <is>
          <t>YEM</t>
        </is>
      </c>
    </row>
    <row r="60">
      <c r="A60" t="inlineStr">
        <is>
          <t>Al Mudhaffar</t>
        </is>
      </c>
      <c r="B60" t="inlineStr">
        <is>
          <t>المظفر</t>
        </is>
      </c>
      <c r="C60" t="inlineStr">
        <is>
          <t>YE1517</t>
        </is>
      </c>
      <c r="D60" t="inlineStr">
        <is>
          <t>Ta'iz</t>
        </is>
      </c>
      <c r="E60" t="inlineStr">
        <is>
          <t>YE15</t>
        </is>
      </c>
      <c r="F60" t="inlineStr">
        <is>
          <t>Yemen</t>
        </is>
      </c>
      <c r="G60" t="inlineStr">
        <is>
          <t>YEM</t>
        </is>
      </c>
    </row>
    <row r="61">
      <c r="A61" t="inlineStr">
        <is>
          <t>Al Qahirah</t>
        </is>
      </c>
      <c r="B61" t="inlineStr">
        <is>
          <t>القاهرة</t>
        </is>
      </c>
      <c r="C61" t="inlineStr">
        <is>
          <t>YE1518</t>
        </is>
      </c>
      <c r="D61" t="inlineStr">
        <is>
          <t>Ta'iz</t>
        </is>
      </c>
      <c r="E61" t="inlineStr">
        <is>
          <t>YE15</t>
        </is>
      </c>
      <c r="F61" t="inlineStr">
        <is>
          <t>Yemen</t>
        </is>
      </c>
      <c r="G61" t="inlineStr">
        <is>
          <t>YEM</t>
        </is>
      </c>
    </row>
    <row r="62">
      <c r="A62" t="inlineStr">
        <is>
          <t>Salh</t>
        </is>
      </c>
      <c r="B62" t="inlineStr">
        <is>
          <t>صالة</t>
        </is>
      </c>
      <c r="C62" t="inlineStr">
        <is>
          <t>YE1519</t>
        </is>
      </c>
      <c r="D62" t="inlineStr">
        <is>
          <t>Ta'iz</t>
        </is>
      </c>
      <c r="E62" t="inlineStr">
        <is>
          <t>YE15</t>
        </is>
      </c>
      <c r="F62" t="inlineStr">
        <is>
          <t>Yemen</t>
        </is>
      </c>
      <c r="G62" t="inlineStr">
        <is>
          <t>YEM</t>
        </is>
      </c>
    </row>
    <row r="63">
      <c r="A63" t="inlineStr">
        <is>
          <t>At Ta'iziyah</t>
        </is>
      </c>
      <c r="B63" t="inlineStr">
        <is>
          <t>التعزية</t>
        </is>
      </c>
      <c r="C63" t="inlineStr">
        <is>
          <t>YE1520</t>
        </is>
      </c>
      <c r="D63" t="inlineStr">
        <is>
          <t>Ta'iz</t>
        </is>
      </c>
      <c r="E63" t="inlineStr">
        <is>
          <t>YE15</t>
        </is>
      </c>
      <c r="F63" t="inlineStr">
        <is>
          <t>Yemen</t>
        </is>
      </c>
      <c r="G63" t="inlineStr">
        <is>
          <t>YEM</t>
        </is>
      </c>
    </row>
    <row r="64">
      <c r="A64" t="inlineStr">
        <is>
          <t>Al Ma'afer</t>
        </is>
      </c>
      <c r="B64" t="inlineStr">
        <is>
          <t>المعافر</t>
        </is>
      </c>
      <c r="C64" t="inlineStr">
        <is>
          <t>YE1521</t>
        </is>
      </c>
      <c r="D64" t="inlineStr">
        <is>
          <t>Ta'iz</t>
        </is>
      </c>
      <c r="E64" t="inlineStr">
        <is>
          <t>YE15</t>
        </is>
      </c>
      <c r="F64" t="inlineStr">
        <is>
          <t>Yemen</t>
        </is>
      </c>
      <c r="G64" t="inlineStr">
        <is>
          <t>YEM</t>
        </is>
      </c>
    </row>
    <row r="65">
      <c r="A65" t="inlineStr">
        <is>
          <t>Sama</t>
        </is>
      </c>
      <c r="B65" t="inlineStr">
        <is>
          <t>سامع</t>
        </is>
      </c>
      <c r="C65" t="inlineStr">
        <is>
          <t>YE1523</t>
        </is>
      </c>
      <c r="D65" t="inlineStr">
        <is>
          <t>Ta'iz</t>
        </is>
      </c>
      <c r="E65" t="inlineStr">
        <is>
          <t>YE15</t>
        </is>
      </c>
      <c r="F65" t="inlineStr">
        <is>
          <t>Yemen</t>
        </is>
      </c>
      <c r="G65" t="inlineStr">
        <is>
          <t>YEM</t>
        </is>
      </c>
    </row>
    <row r="66">
      <c r="A66" t="inlineStr">
        <is>
          <t>Khabb wa ash Sha'af</t>
        </is>
      </c>
      <c r="B66" t="inlineStr">
        <is>
          <t>خب و الشعف</t>
        </is>
      </c>
      <c r="C66" t="inlineStr">
        <is>
          <t>YE1601</t>
        </is>
      </c>
      <c r="D66" t="inlineStr">
        <is>
          <t>Al Jawf</t>
        </is>
      </c>
      <c r="E66" t="inlineStr">
        <is>
          <t>YE16</t>
        </is>
      </c>
      <c r="F66" t="inlineStr">
        <is>
          <t>Yemen</t>
        </is>
      </c>
      <c r="G66" t="inlineStr">
        <is>
          <t>YEM</t>
        </is>
      </c>
    </row>
    <row r="67">
      <c r="A67" t="inlineStr">
        <is>
          <t>Al Matammah</t>
        </is>
      </c>
      <c r="B67" t="inlineStr">
        <is>
          <t>المطمه</t>
        </is>
      </c>
      <c r="C67" t="inlineStr">
        <is>
          <t>YE1603</t>
        </is>
      </c>
      <c r="D67" t="inlineStr">
        <is>
          <t>Al Jawf</t>
        </is>
      </c>
      <c r="E67" t="inlineStr">
        <is>
          <t>YE16</t>
        </is>
      </c>
      <c r="F67" t="inlineStr">
        <is>
          <t>Yemen</t>
        </is>
      </c>
      <c r="G67" t="inlineStr">
        <is>
          <t>YEM</t>
        </is>
      </c>
    </row>
    <row r="68">
      <c r="A68" t="inlineStr">
        <is>
          <t>Az Zahir</t>
        </is>
      </c>
      <c r="B68" t="inlineStr">
        <is>
          <t>الزاهر</t>
        </is>
      </c>
      <c r="C68" t="inlineStr">
        <is>
          <t>YE1604</t>
        </is>
      </c>
      <c r="D68" t="inlineStr">
        <is>
          <t>Al Jawf</t>
        </is>
      </c>
      <c r="E68" t="inlineStr">
        <is>
          <t>YE16</t>
        </is>
      </c>
      <c r="F68" t="inlineStr">
        <is>
          <t>Yemen</t>
        </is>
      </c>
      <c r="G68" t="inlineStr">
        <is>
          <t>YEM</t>
        </is>
      </c>
    </row>
    <row r="69">
      <c r="A69" t="inlineStr">
        <is>
          <t>Al Hazm</t>
        </is>
      </c>
      <c r="B69" t="inlineStr">
        <is>
          <t>الحزم</t>
        </is>
      </c>
      <c r="C69" t="inlineStr">
        <is>
          <t>YE1605</t>
        </is>
      </c>
      <c r="D69" t="inlineStr">
        <is>
          <t>Al Jawf</t>
        </is>
      </c>
      <c r="E69" t="inlineStr">
        <is>
          <t>YE16</t>
        </is>
      </c>
      <c r="F69" t="inlineStr">
        <is>
          <t>Yemen</t>
        </is>
      </c>
      <c r="G69" t="inlineStr">
        <is>
          <t>YEM</t>
        </is>
      </c>
    </row>
    <row r="70">
      <c r="A70" t="inlineStr">
        <is>
          <t>Al Maton</t>
        </is>
      </c>
      <c r="B70" t="inlineStr">
        <is>
          <t>المتون</t>
        </is>
      </c>
      <c r="C70" t="inlineStr">
        <is>
          <t>YE1606</t>
        </is>
      </c>
      <c r="D70" t="inlineStr">
        <is>
          <t>Al Jawf</t>
        </is>
      </c>
      <c r="E70" t="inlineStr">
        <is>
          <t>YE16</t>
        </is>
      </c>
      <c r="F70" t="inlineStr">
        <is>
          <t>Yemen</t>
        </is>
      </c>
      <c r="G70" t="inlineStr">
        <is>
          <t>YEM</t>
        </is>
      </c>
    </row>
    <row r="71">
      <c r="A71" t="inlineStr">
        <is>
          <t>Al Maslub</t>
        </is>
      </c>
      <c r="B71" t="inlineStr">
        <is>
          <t>المصلوب</t>
        </is>
      </c>
      <c r="C71" t="inlineStr">
        <is>
          <t>YE1607</t>
        </is>
      </c>
      <c r="D71" t="inlineStr">
        <is>
          <t>Al Jawf</t>
        </is>
      </c>
      <c r="E71" t="inlineStr">
        <is>
          <t>YE16</t>
        </is>
      </c>
      <c r="F71" t="inlineStr">
        <is>
          <t>Yemen</t>
        </is>
      </c>
      <c r="G71" t="inlineStr">
        <is>
          <t>YEM</t>
        </is>
      </c>
    </row>
    <row r="72">
      <c r="A72" t="inlineStr">
        <is>
          <t>Al Ghayl</t>
        </is>
      </c>
      <c r="B72" t="inlineStr">
        <is>
          <t>الغيل</t>
        </is>
      </c>
      <c r="C72" t="inlineStr">
        <is>
          <t>YE1608</t>
        </is>
      </c>
      <c r="D72" t="inlineStr">
        <is>
          <t>Al Jawf</t>
        </is>
      </c>
      <c r="E72" t="inlineStr">
        <is>
          <t>YE16</t>
        </is>
      </c>
      <c r="F72" t="inlineStr">
        <is>
          <t>Yemen</t>
        </is>
      </c>
      <c r="G72" t="inlineStr">
        <is>
          <t>YEM</t>
        </is>
      </c>
    </row>
    <row r="73">
      <c r="A73" t="inlineStr">
        <is>
          <t>Al Khalq</t>
        </is>
      </c>
      <c r="B73" t="inlineStr">
        <is>
          <t>الخلق</t>
        </is>
      </c>
      <c r="C73" t="inlineStr">
        <is>
          <t>YE1609</t>
        </is>
      </c>
      <c r="D73" t="inlineStr">
        <is>
          <t>Al Jawf</t>
        </is>
      </c>
      <c r="E73" t="inlineStr">
        <is>
          <t>YE16</t>
        </is>
      </c>
      <c r="F73" t="inlineStr">
        <is>
          <t>Yemen</t>
        </is>
      </c>
      <c r="G73" t="inlineStr">
        <is>
          <t>YEM</t>
        </is>
      </c>
    </row>
    <row r="74">
      <c r="A74" t="inlineStr">
        <is>
          <t>Bart Al Anan</t>
        </is>
      </c>
      <c r="B74" t="inlineStr">
        <is>
          <t>برط العنان</t>
        </is>
      </c>
      <c r="C74" t="inlineStr">
        <is>
          <t>YE1610</t>
        </is>
      </c>
      <c r="D74" t="inlineStr">
        <is>
          <t>Al Jawf</t>
        </is>
      </c>
      <c r="E74" t="inlineStr">
        <is>
          <t>YE16</t>
        </is>
      </c>
      <c r="F74" t="inlineStr">
        <is>
          <t>Yemen</t>
        </is>
      </c>
      <c r="G74" t="inlineStr">
        <is>
          <t>YEM</t>
        </is>
      </c>
    </row>
    <row r="75">
      <c r="A75" t="inlineStr">
        <is>
          <t>Rajuzah</t>
        </is>
      </c>
      <c r="B75" t="inlineStr">
        <is>
          <t>رجوزه</t>
        </is>
      </c>
      <c r="C75" t="inlineStr">
        <is>
          <t>YE1611</t>
        </is>
      </c>
      <c r="D75" t="inlineStr">
        <is>
          <t>Al Jawf</t>
        </is>
      </c>
      <c r="E75" t="inlineStr">
        <is>
          <t>YE16</t>
        </is>
      </c>
      <c r="F75" t="inlineStr">
        <is>
          <t>Yemen</t>
        </is>
      </c>
      <c r="G75" t="inlineStr">
        <is>
          <t>YEM</t>
        </is>
      </c>
    </row>
    <row r="76">
      <c r="A76" t="inlineStr">
        <is>
          <t>Kharab Al Marashi</t>
        </is>
      </c>
      <c r="B76" t="inlineStr">
        <is>
          <t>خراب المراشى</t>
        </is>
      </c>
      <c r="C76" t="inlineStr">
        <is>
          <t>YE1612</t>
        </is>
      </c>
      <c r="D76" t="inlineStr">
        <is>
          <t>Al Jawf</t>
        </is>
      </c>
      <c r="E76" t="inlineStr">
        <is>
          <t>YE16</t>
        </is>
      </c>
      <c r="F76" t="inlineStr">
        <is>
          <t>Yemen</t>
        </is>
      </c>
      <c r="G76" t="inlineStr">
        <is>
          <t>YEM</t>
        </is>
      </c>
    </row>
    <row r="77">
      <c r="A77" t="inlineStr">
        <is>
          <t>Bakil Al Mir</t>
        </is>
      </c>
      <c r="B77" t="inlineStr">
        <is>
          <t>بكيل المير</t>
        </is>
      </c>
      <c r="C77" t="inlineStr">
        <is>
          <t>YE1701</t>
        </is>
      </c>
      <c r="D77" t="inlineStr">
        <is>
          <t>Hajjah</t>
        </is>
      </c>
      <c r="E77" t="inlineStr">
        <is>
          <t>YE17</t>
        </is>
      </c>
      <c r="F77" t="inlineStr">
        <is>
          <t>Yemen</t>
        </is>
      </c>
      <c r="G77" t="inlineStr">
        <is>
          <t>YEM</t>
        </is>
      </c>
    </row>
    <row r="78">
      <c r="A78" t="inlineStr">
        <is>
          <t>Haradh</t>
        </is>
      </c>
      <c r="B78" t="inlineStr">
        <is>
          <t>حرض</t>
        </is>
      </c>
      <c r="C78" t="inlineStr">
        <is>
          <t>YE1702</t>
        </is>
      </c>
      <c r="D78" t="inlineStr">
        <is>
          <t>Hajjah</t>
        </is>
      </c>
      <c r="E78" t="inlineStr">
        <is>
          <t>YE17</t>
        </is>
      </c>
      <c r="F78" t="inlineStr">
        <is>
          <t>Yemen</t>
        </is>
      </c>
      <c r="G78" t="inlineStr">
        <is>
          <t>YEM</t>
        </is>
      </c>
    </row>
    <row r="79">
      <c r="A79" t="inlineStr">
        <is>
          <t>Midi</t>
        </is>
      </c>
      <c r="B79" t="inlineStr">
        <is>
          <t>ميدي</t>
        </is>
      </c>
      <c r="C79" t="inlineStr">
        <is>
          <t>YE1703</t>
        </is>
      </c>
      <c r="D79" t="inlineStr">
        <is>
          <t>Hajjah</t>
        </is>
      </c>
      <c r="E79" t="inlineStr">
        <is>
          <t>YE17</t>
        </is>
      </c>
      <c r="F79" t="inlineStr">
        <is>
          <t>Yemen</t>
        </is>
      </c>
      <c r="G79" t="inlineStr">
        <is>
          <t>YEM</t>
        </is>
      </c>
    </row>
    <row r="80">
      <c r="A80" t="inlineStr">
        <is>
          <t>Abs</t>
        </is>
      </c>
      <c r="B80" t="inlineStr">
        <is>
          <t>عبس</t>
        </is>
      </c>
      <c r="C80" t="inlineStr">
        <is>
          <t>YE1704</t>
        </is>
      </c>
      <c r="D80" t="inlineStr">
        <is>
          <t>Hajjah</t>
        </is>
      </c>
      <c r="E80" t="inlineStr">
        <is>
          <t>YE17</t>
        </is>
      </c>
      <c r="F80" t="inlineStr">
        <is>
          <t>Yemen</t>
        </is>
      </c>
      <c r="G80" t="inlineStr">
        <is>
          <t>YEM</t>
        </is>
      </c>
    </row>
    <row r="81">
      <c r="A81" t="inlineStr">
        <is>
          <t>Mustaba</t>
        </is>
      </c>
      <c r="B81" t="inlineStr">
        <is>
          <t>مستباء</t>
        </is>
      </c>
      <c r="C81" t="inlineStr">
        <is>
          <t>YE1706</t>
        </is>
      </c>
      <c r="D81" t="inlineStr">
        <is>
          <t>Hajjah</t>
        </is>
      </c>
      <c r="E81" t="inlineStr">
        <is>
          <t>YE17</t>
        </is>
      </c>
      <c r="F81" t="inlineStr">
        <is>
          <t>Yemen</t>
        </is>
      </c>
      <c r="G81" t="inlineStr">
        <is>
          <t>YEM</t>
        </is>
      </c>
    </row>
    <row r="82">
      <c r="A82" t="inlineStr">
        <is>
          <t>Kushar</t>
        </is>
      </c>
      <c r="B82" t="inlineStr">
        <is>
          <t>كشر</t>
        </is>
      </c>
      <c r="C82" t="inlineStr">
        <is>
          <t>YE1707</t>
        </is>
      </c>
      <c r="D82" t="inlineStr">
        <is>
          <t>Hajjah</t>
        </is>
      </c>
      <c r="E82" t="inlineStr">
        <is>
          <t>YE17</t>
        </is>
      </c>
      <c r="F82" t="inlineStr">
        <is>
          <t>Yemen</t>
        </is>
      </c>
      <c r="G82" t="inlineStr">
        <is>
          <t>YEM</t>
        </is>
      </c>
    </row>
    <row r="83">
      <c r="A83" t="inlineStr">
        <is>
          <t>Kuhlan Ash Sharaf</t>
        </is>
      </c>
      <c r="B83" t="inlineStr">
        <is>
          <t>كحلان الشرف</t>
        </is>
      </c>
      <c r="C83" t="inlineStr">
        <is>
          <t>YE1709</t>
        </is>
      </c>
      <c r="D83" t="inlineStr">
        <is>
          <t>Hajjah</t>
        </is>
      </c>
      <c r="E83" t="inlineStr">
        <is>
          <t>YE17</t>
        </is>
      </c>
      <c r="F83" t="inlineStr">
        <is>
          <t>Yemen</t>
        </is>
      </c>
      <c r="G83" t="inlineStr">
        <is>
          <t>YEM</t>
        </is>
      </c>
    </row>
    <row r="84">
      <c r="A84" t="inlineStr">
        <is>
          <t>Aflah Ash Shawm</t>
        </is>
      </c>
      <c r="B84" t="inlineStr">
        <is>
          <t>افلح الشام</t>
        </is>
      </c>
      <c r="C84" t="inlineStr">
        <is>
          <t>YE1710</t>
        </is>
      </c>
      <c r="D84" t="inlineStr">
        <is>
          <t>Hajjah</t>
        </is>
      </c>
      <c r="E84" t="inlineStr">
        <is>
          <t>YE17</t>
        </is>
      </c>
      <c r="F84" t="inlineStr">
        <is>
          <t>Yemen</t>
        </is>
      </c>
      <c r="G84" t="inlineStr">
        <is>
          <t>YEM</t>
        </is>
      </c>
    </row>
    <row r="85">
      <c r="A85" t="inlineStr">
        <is>
          <t>Khayran Al Muharraq</t>
        </is>
      </c>
      <c r="B85" t="inlineStr">
        <is>
          <t>خيران المحرق</t>
        </is>
      </c>
      <c r="C85" t="inlineStr">
        <is>
          <t>YE1711</t>
        </is>
      </c>
      <c r="D85" t="inlineStr">
        <is>
          <t>Hajjah</t>
        </is>
      </c>
      <c r="E85" t="inlineStr">
        <is>
          <t>YE17</t>
        </is>
      </c>
      <c r="F85" t="inlineStr">
        <is>
          <t>Yemen</t>
        </is>
      </c>
      <c r="G85" t="inlineStr">
        <is>
          <t>YEM</t>
        </is>
      </c>
    </row>
    <row r="86">
      <c r="A86" t="inlineStr">
        <is>
          <t>Aslem</t>
        </is>
      </c>
      <c r="B86" t="inlineStr">
        <is>
          <t>اسلم</t>
        </is>
      </c>
      <c r="C86" t="inlineStr">
        <is>
          <t>YE1712</t>
        </is>
      </c>
      <c r="D86" t="inlineStr">
        <is>
          <t>Hajjah</t>
        </is>
      </c>
      <c r="E86" t="inlineStr">
        <is>
          <t>YE17</t>
        </is>
      </c>
      <c r="F86" t="inlineStr">
        <is>
          <t>Yemen</t>
        </is>
      </c>
      <c r="G86" t="inlineStr">
        <is>
          <t>YEM</t>
        </is>
      </c>
    </row>
    <row r="87">
      <c r="A87" t="inlineStr">
        <is>
          <t>Al Hajjaylah</t>
        </is>
      </c>
      <c r="B87" t="inlineStr">
        <is>
          <t>الحجيلة</t>
        </is>
      </c>
      <c r="C87" t="inlineStr">
        <is>
          <t>YE1811</t>
        </is>
      </c>
      <c r="D87" t="inlineStr">
        <is>
          <t>Al Hodeidah</t>
        </is>
      </c>
      <c r="E87" t="inlineStr">
        <is>
          <t>YE18</t>
        </is>
      </c>
      <c r="F87" t="inlineStr">
        <is>
          <t>Yemen</t>
        </is>
      </c>
      <c r="G87" t="inlineStr">
        <is>
          <t>YEM</t>
        </is>
      </c>
    </row>
    <row r="88">
      <c r="A88" t="inlineStr">
        <is>
          <t>Aflah Al Yaman</t>
        </is>
      </c>
      <c r="B88" t="inlineStr">
        <is>
          <t>افلح اليمن</t>
        </is>
      </c>
      <c r="C88" t="inlineStr">
        <is>
          <t>YE1714</t>
        </is>
      </c>
      <c r="D88" t="inlineStr">
        <is>
          <t>Hajjah</t>
        </is>
      </c>
      <c r="E88" t="inlineStr">
        <is>
          <t>YE17</t>
        </is>
      </c>
      <c r="F88" t="inlineStr">
        <is>
          <t>Yemen</t>
        </is>
      </c>
      <c r="G88" t="inlineStr">
        <is>
          <t>YEM</t>
        </is>
      </c>
    </row>
    <row r="89">
      <c r="A89" t="inlineStr">
        <is>
          <t>Ash Shahil</t>
        </is>
      </c>
      <c r="B89" t="inlineStr">
        <is>
          <t>الشاهل</t>
        </is>
      </c>
      <c r="C89" t="inlineStr">
        <is>
          <t>YE1721</t>
        </is>
      </c>
      <c r="D89" t="inlineStr">
        <is>
          <t>Hajjah</t>
        </is>
      </c>
      <c r="E89" t="inlineStr">
        <is>
          <t>YE17</t>
        </is>
      </c>
      <c r="F89" t="inlineStr">
        <is>
          <t>Yemen</t>
        </is>
      </c>
      <c r="G89" t="inlineStr">
        <is>
          <t>YEM</t>
        </is>
      </c>
    </row>
    <row r="90">
      <c r="A90" t="inlineStr">
        <is>
          <t>Ku'aydinah</t>
        </is>
      </c>
      <c r="B90" t="inlineStr">
        <is>
          <t>كعيدنه</t>
        </is>
      </c>
      <c r="C90" t="inlineStr">
        <is>
          <t>YE1722</t>
        </is>
      </c>
      <c r="D90" t="inlineStr">
        <is>
          <t>Hajjah</t>
        </is>
      </c>
      <c r="E90" t="inlineStr">
        <is>
          <t>YE17</t>
        </is>
      </c>
      <c r="F90" t="inlineStr">
        <is>
          <t>Yemen</t>
        </is>
      </c>
      <c r="G90" t="inlineStr">
        <is>
          <t>YEM</t>
        </is>
      </c>
    </row>
    <row r="91">
      <c r="A91" t="inlineStr">
        <is>
          <t>Al Mahabishah</t>
        </is>
      </c>
      <c r="B91" t="inlineStr">
        <is>
          <t>المحابشة</t>
        </is>
      </c>
      <c r="C91" t="inlineStr">
        <is>
          <t>YE1715</t>
        </is>
      </c>
      <c r="D91" t="inlineStr">
        <is>
          <t>Hajjah</t>
        </is>
      </c>
      <c r="E91" t="inlineStr">
        <is>
          <t>YE17</t>
        </is>
      </c>
      <c r="F91" t="inlineStr">
        <is>
          <t>Yemen</t>
        </is>
      </c>
      <c r="G91" t="inlineStr">
        <is>
          <t>YEM</t>
        </is>
      </c>
    </row>
    <row r="92">
      <c r="A92" t="inlineStr">
        <is>
          <t>Wadhrah</t>
        </is>
      </c>
      <c r="B92" t="inlineStr">
        <is>
          <t>وضرة</t>
        </is>
      </c>
      <c r="C92" t="inlineStr">
        <is>
          <t>YE1723</t>
        </is>
      </c>
      <c r="D92" t="inlineStr">
        <is>
          <t>Hajjah</t>
        </is>
      </c>
      <c r="E92" t="inlineStr">
        <is>
          <t>YE17</t>
        </is>
      </c>
      <c r="F92" t="inlineStr">
        <is>
          <t>Yemen</t>
        </is>
      </c>
      <c r="G92" t="inlineStr">
        <is>
          <t>YEM</t>
        </is>
      </c>
    </row>
    <row r="93">
      <c r="A93" t="inlineStr">
        <is>
          <t>Bani Qa'is</t>
        </is>
      </c>
      <c r="B93" t="inlineStr">
        <is>
          <t>بني قيس</t>
        </is>
      </c>
      <c r="C93" t="inlineStr">
        <is>
          <t>YE1724</t>
        </is>
      </c>
      <c r="D93" t="inlineStr">
        <is>
          <t>Hajjah</t>
        </is>
      </c>
      <c r="E93" t="inlineStr">
        <is>
          <t>YE17</t>
        </is>
      </c>
      <c r="F93" t="inlineStr">
        <is>
          <t>Yemen</t>
        </is>
      </c>
      <c r="G93" t="inlineStr">
        <is>
          <t>YEM</t>
        </is>
      </c>
    </row>
    <row r="94">
      <c r="A94" t="inlineStr">
        <is>
          <t>Ash Shaghadirah</t>
        </is>
      </c>
      <c r="B94" t="inlineStr">
        <is>
          <t>الشغادرة</t>
        </is>
      </c>
      <c r="C94" t="inlineStr">
        <is>
          <t>YE1725</t>
        </is>
      </c>
      <c r="D94" t="inlineStr">
        <is>
          <t>Hajjah</t>
        </is>
      </c>
      <c r="E94" t="inlineStr">
        <is>
          <t>YE17</t>
        </is>
      </c>
      <c r="F94" t="inlineStr">
        <is>
          <t>Yemen</t>
        </is>
      </c>
      <c r="G94" t="inlineStr">
        <is>
          <t>YEM</t>
        </is>
      </c>
    </row>
    <row r="95">
      <c r="A95" t="inlineStr">
        <is>
          <t>Al Qanawis</t>
        </is>
      </c>
      <c r="B95" t="inlineStr">
        <is>
          <t>القناوص</t>
        </is>
      </c>
      <c r="C95" t="inlineStr">
        <is>
          <t>YE1806</t>
        </is>
      </c>
      <c r="D95" t="inlineStr">
        <is>
          <t>Al Hodeidah</t>
        </is>
      </c>
      <c r="E95" t="inlineStr">
        <is>
          <t>YE18</t>
        </is>
      </c>
      <c r="F95" t="inlineStr">
        <is>
          <t>Yemen</t>
        </is>
      </c>
      <c r="G95" t="inlineStr">
        <is>
          <t>YEM</t>
        </is>
      </c>
    </row>
    <row r="96">
      <c r="A96" t="inlineStr">
        <is>
          <t>Al Mighlaf</t>
        </is>
      </c>
      <c r="B96" t="inlineStr">
        <is>
          <t>المغلاف</t>
        </is>
      </c>
      <c r="C96" t="inlineStr">
        <is>
          <t>YE1808</t>
        </is>
      </c>
      <c r="D96" t="inlineStr">
        <is>
          <t>Al Hodeidah</t>
        </is>
      </c>
      <c r="E96" t="inlineStr">
        <is>
          <t>YE18</t>
        </is>
      </c>
      <c r="F96" t="inlineStr">
        <is>
          <t>Yemen</t>
        </is>
      </c>
      <c r="G96" t="inlineStr">
        <is>
          <t>YEM</t>
        </is>
      </c>
    </row>
    <row r="97">
      <c r="A97" t="inlineStr">
        <is>
          <t>Az Zaydiyah</t>
        </is>
      </c>
      <c r="B97" t="inlineStr">
        <is>
          <t>الزيدية</t>
        </is>
      </c>
      <c r="C97" t="inlineStr">
        <is>
          <t>YE1807</t>
        </is>
      </c>
      <c r="D97" t="inlineStr">
        <is>
          <t>Al Hodeidah</t>
        </is>
      </c>
      <c r="E97" t="inlineStr">
        <is>
          <t>YE18</t>
        </is>
      </c>
      <c r="F97" t="inlineStr">
        <is>
          <t>Yemen</t>
        </is>
      </c>
      <c r="G97" t="inlineStr">
        <is>
          <t>YEM</t>
        </is>
      </c>
    </row>
    <row r="98">
      <c r="A98" t="inlineStr">
        <is>
          <t>Bura</t>
        </is>
      </c>
      <c r="B98" t="inlineStr">
        <is>
          <t>براع</t>
        </is>
      </c>
      <c r="C98" t="inlineStr">
        <is>
          <t>YE1812</t>
        </is>
      </c>
      <c r="D98" t="inlineStr">
        <is>
          <t>Al Hodeidah</t>
        </is>
      </c>
      <c r="E98" t="inlineStr">
        <is>
          <t>YE18</t>
        </is>
      </c>
      <c r="F98" t="inlineStr">
        <is>
          <t>Yemen</t>
        </is>
      </c>
      <c r="G98" t="inlineStr">
        <is>
          <t>YEM</t>
        </is>
      </c>
    </row>
    <row r="99">
      <c r="A99" t="inlineStr">
        <is>
          <t>Habban</t>
        </is>
      </c>
      <c r="B99" t="inlineStr">
        <is>
          <t>حبان</t>
        </is>
      </c>
      <c r="C99" t="inlineStr">
        <is>
          <t>YE2114</t>
        </is>
      </c>
      <c r="D99" t="inlineStr">
        <is>
          <t>Shabwah</t>
        </is>
      </c>
      <c r="E99" t="inlineStr">
        <is>
          <t>YE21</t>
        </is>
      </c>
      <c r="F99" t="inlineStr">
        <is>
          <t>Yemen</t>
        </is>
      </c>
      <c r="G99" t="inlineStr">
        <is>
          <t>YEM</t>
        </is>
      </c>
    </row>
    <row r="100">
      <c r="A100" t="inlineStr">
        <is>
          <t>Al Marawi'ah</t>
        </is>
      </c>
      <c r="B100" t="inlineStr">
        <is>
          <t>المراوعة</t>
        </is>
      </c>
      <c r="C100" t="inlineStr">
        <is>
          <t>YE1813</t>
        </is>
      </c>
      <c r="D100" t="inlineStr">
        <is>
          <t>Al Hodeidah</t>
        </is>
      </c>
      <c r="E100" t="inlineStr">
        <is>
          <t>YE18</t>
        </is>
      </c>
      <c r="F100" t="inlineStr">
        <is>
          <t>Yemen</t>
        </is>
      </c>
      <c r="G100" t="inlineStr">
        <is>
          <t>YEM</t>
        </is>
      </c>
    </row>
    <row r="101">
      <c r="A101" t="inlineStr">
        <is>
          <t>Ad Durayhimi</t>
        </is>
      </c>
      <c r="B101" t="inlineStr">
        <is>
          <t>الدريهمي</t>
        </is>
      </c>
      <c r="C101" t="inlineStr">
        <is>
          <t>YE1814</t>
        </is>
      </c>
      <c r="D101" t="inlineStr">
        <is>
          <t>Al Hodeidah</t>
        </is>
      </c>
      <c r="E101" t="inlineStr">
        <is>
          <t>YE18</t>
        </is>
      </c>
      <c r="F101" t="inlineStr">
        <is>
          <t>Yemen</t>
        </is>
      </c>
      <c r="G101" t="inlineStr">
        <is>
          <t>YEM</t>
        </is>
      </c>
    </row>
    <row r="102">
      <c r="A102" t="inlineStr">
        <is>
          <t>As Sukhnah</t>
        </is>
      </c>
      <c r="B102" t="inlineStr">
        <is>
          <t>السخنة</t>
        </is>
      </c>
      <c r="C102" t="inlineStr">
        <is>
          <t>YE1815</t>
        </is>
      </c>
      <c r="D102" t="inlineStr">
        <is>
          <t>Al Hodeidah</t>
        </is>
      </c>
      <c r="E102" t="inlineStr">
        <is>
          <t>YE18</t>
        </is>
      </c>
      <c r="F102" t="inlineStr">
        <is>
          <t>Yemen</t>
        </is>
      </c>
      <c r="G102" t="inlineStr">
        <is>
          <t>YEM</t>
        </is>
      </c>
    </row>
    <row r="103">
      <c r="A103" t="inlineStr">
        <is>
          <t>Al Mansuriyah</t>
        </is>
      </c>
      <c r="B103" t="inlineStr">
        <is>
          <t>المنصورية</t>
        </is>
      </c>
      <c r="C103" t="inlineStr">
        <is>
          <t>YE1816</t>
        </is>
      </c>
      <c r="D103" t="inlineStr">
        <is>
          <t>Al Hodeidah</t>
        </is>
      </c>
      <c r="E103" t="inlineStr">
        <is>
          <t>YE18</t>
        </is>
      </c>
      <c r="F103" t="inlineStr">
        <is>
          <t>Yemen</t>
        </is>
      </c>
      <c r="G103" t="inlineStr">
        <is>
          <t>YEM</t>
        </is>
      </c>
    </row>
    <row r="104">
      <c r="A104" t="inlineStr">
        <is>
          <t>Bayt Al Faqiah</t>
        </is>
      </c>
      <c r="B104" t="inlineStr">
        <is>
          <t>بيت الفقيه</t>
        </is>
      </c>
      <c r="C104" t="inlineStr">
        <is>
          <t>YE1817</t>
        </is>
      </c>
      <c r="D104" t="inlineStr">
        <is>
          <t>Al Hodeidah</t>
        </is>
      </c>
      <c r="E104" t="inlineStr">
        <is>
          <t>YE18</t>
        </is>
      </c>
      <c r="F104" t="inlineStr">
        <is>
          <t>Yemen</t>
        </is>
      </c>
      <c r="G104" t="inlineStr">
        <is>
          <t>YEM</t>
        </is>
      </c>
    </row>
    <row r="105">
      <c r="A105" t="inlineStr">
        <is>
          <t>Jabal Ra's</t>
        </is>
      </c>
      <c r="B105" t="inlineStr">
        <is>
          <t>جبل راس</t>
        </is>
      </c>
      <c r="C105" t="inlineStr">
        <is>
          <t>YE1818</t>
        </is>
      </c>
      <c r="D105" t="inlineStr">
        <is>
          <t>Al Hodeidah</t>
        </is>
      </c>
      <c r="E105" t="inlineStr">
        <is>
          <t>YE18</t>
        </is>
      </c>
      <c r="F105" t="inlineStr">
        <is>
          <t>Yemen</t>
        </is>
      </c>
      <c r="G105" t="inlineStr">
        <is>
          <t>YEM</t>
        </is>
      </c>
    </row>
    <row r="106">
      <c r="A106" t="inlineStr">
        <is>
          <t>Qatabir</t>
        </is>
      </c>
      <c r="B106" t="inlineStr">
        <is>
          <t>قطابر</t>
        </is>
      </c>
      <c r="C106" t="inlineStr">
        <is>
          <t>YE2202</t>
        </is>
      </c>
      <c r="D106" t="inlineStr">
        <is>
          <t>Sa'dah</t>
        </is>
      </c>
      <c r="E106" t="inlineStr">
        <is>
          <t>YE22</t>
        </is>
      </c>
      <c r="F106" t="inlineStr">
        <is>
          <t>Yemen</t>
        </is>
      </c>
      <c r="G106" t="inlineStr">
        <is>
          <t>YEM</t>
        </is>
      </c>
    </row>
    <row r="107">
      <c r="A107" t="inlineStr">
        <is>
          <t>Al Hawak</t>
        </is>
      </c>
      <c r="B107" t="inlineStr">
        <is>
          <t>الحوك</t>
        </is>
      </c>
      <c r="C107" t="inlineStr">
        <is>
          <t>YE1821</t>
        </is>
      </c>
      <c r="D107" t="inlineStr">
        <is>
          <t>Al Hodeidah</t>
        </is>
      </c>
      <c r="E107" t="inlineStr">
        <is>
          <t>YE18</t>
        </is>
      </c>
      <c r="F107" t="inlineStr">
        <is>
          <t>Yemen</t>
        </is>
      </c>
      <c r="G107" t="inlineStr">
        <is>
          <t>YEM</t>
        </is>
      </c>
    </row>
    <row r="108">
      <c r="A108" t="inlineStr">
        <is>
          <t>Al Mina</t>
        </is>
      </c>
      <c r="B108" t="inlineStr">
        <is>
          <t>الميناء</t>
        </is>
      </c>
      <c r="C108" t="inlineStr">
        <is>
          <t>YE1822</t>
        </is>
      </c>
      <c r="D108" t="inlineStr">
        <is>
          <t>Al Hodeidah</t>
        </is>
      </c>
      <c r="E108" t="inlineStr">
        <is>
          <t>YE18</t>
        </is>
      </c>
      <c r="F108" t="inlineStr">
        <is>
          <t>Yemen</t>
        </is>
      </c>
      <c r="G108" t="inlineStr">
        <is>
          <t>YEM</t>
        </is>
      </c>
    </row>
    <row r="109">
      <c r="A109" t="inlineStr">
        <is>
          <t>Monabbih</t>
        </is>
      </c>
      <c r="B109" t="inlineStr">
        <is>
          <t>منبه</t>
        </is>
      </c>
      <c r="C109" t="inlineStr">
        <is>
          <t>YE2203</t>
        </is>
      </c>
      <c r="D109" t="inlineStr">
        <is>
          <t>Sa'dah</t>
        </is>
      </c>
      <c r="E109" t="inlineStr">
        <is>
          <t>YE22</t>
        </is>
      </c>
      <c r="F109" t="inlineStr">
        <is>
          <t>Yemen</t>
        </is>
      </c>
      <c r="G109" t="inlineStr">
        <is>
          <t>YEM</t>
        </is>
      </c>
    </row>
    <row r="110">
      <c r="A110" t="inlineStr">
        <is>
          <t>Al Hali</t>
        </is>
      </c>
      <c r="B110" t="inlineStr">
        <is>
          <t>الحالي</t>
        </is>
      </c>
      <c r="C110" t="inlineStr">
        <is>
          <t>YE1823</t>
        </is>
      </c>
      <c r="D110" t="inlineStr">
        <is>
          <t>Al Hodeidah</t>
        </is>
      </c>
      <c r="E110" t="inlineStr">
        <is>
          <t>YE18</t>
        </is>
      </c>
      <c r="F110" t="inlineStr">
        <is>
          <t>Yemen</t>
        </is>
      </c>
      <c r="G110" t="inlineStr">
        <is>
          <t>YEM</t>
        </is>
      </c>
    </row>
    <row r="111">
      <c r="A111" t="inlineStr">
        <is>
          <t>Zabid</t>
        </is>
      </c>
      <c r="B111" t="inlineStr">
        <is>
          <t>زبيد</t>
        </is>
      </c>
      <c r="C111" t="inlineStr">
        <is>
          <t>YE1824</t>
        </is>
      </c>
      <c r="D111" t="inlineStr">
        <is>
          <t>Al Hodeidah</t>
        </is>
      </c>
      <c r="E111" t="inlineStr">
        <is>
          <t>YE18</t>
        </is>
      </c>
      <c r="F111" t="inlineStr">
        <is>
          <t>Yemen</t>
        </is>
      </c>
      <c r="G111" t="inlineStr">
        <is>
          <t>YEM</t>
        </is>
      </c>
    </row>
    <row r="112">
      <c r="A112" t="inlineStr">
        <is>
          <t>Al Garrahi</t>
        </is>
      </c>
      <c r="B112" t="inlineStr">
        <is>
          <t>الجراحي</t>
        </is>
      </c>
      <c r="C112" t="inlineStr">
        <is>
          <t>YE1825</t>
        </is>
      </c>
      <c r="D112" t="inlineStr">
        <is>
          <t>Al Hodeidah</t>
        </is>
      </c>
      <c r="E112" t="inlineStr">
        <is>
          <t>YE18</t>
        </is>
      </c>
      <c r="F112" t="inlineStr">
        <is>
          <t>Yemen</t>
        </is>
      </c>
      <c r="G112" t="inlineStr">
        <is>
          <t>YEM</t>
        </is>
      </c>
    </row>
    <row r="113">
      <c r="A113" t="inlineStr">
        <is>
          <t>At Tuhayat</t>
        </is>
      </c>
      <c r="B113" t="inlineStr">
        <is>
          <t>التحيتا</t>
        </is>
      </c>
      <c r="C113" t="inlineStr">
        <is>
          <t>YE1826</t>
        </is>
      </c>
      <c r="D113" t="inlineStr">
        <is>
          <t>Al Hodeidah</t>
        </is>
      </c>
      <c r="E113" t="inlineStr">
        <is>
          <t>YE18</t>
        </is>
      </c>
      <c r="F113" t="inlineStr">
        <is>
          <t>Yemen</t>
        </is>
      </c>
      <c r="G113" t="inlineStr">
        <is>
          <t>YEM</t>
        </is>
      </c>
    </row>
    <row r="114">
      <c r="A114" t="inlineStr">
        <is>
          <t>Thamud</t>
        </is>
      </c>
      <c r="B114" t="inlineStr">
        <is>
          <t>ثمود</t>
        </is>
      </c>
      <c r="C114" t="inlineStr">
        <is>
          <t>YE1902</t>
        </is>
      </c>
      <c r="D114" t="inlineStr">
        <is>
          <t>Hadramawt</t>
        </is>
      </c>
      <c r="E114" t="inlineStr">
        <is>
          <t>YE19</t>
        </is>
      </c>
      <c r="F114" t="inlineStr">
        <is>
          <t>Yemen</t>
        </is>
      </c>
      <c r="G114" t="inlineStr">
        <is>
          <t>YEM</t>
        </is>
      </c>
    </row>
    <row r="115">
      <c r="A115" t="inlineStr">
        <is>
          <t>Al Qaf</t>
        </is>
      </c>
      <c r="B115" t="inlineStr">
        <is>
          <t>القف</t>
        </is>
      </c>
      <c r="C115" t="inlineStr">
        <is>
          <t>YE1903</t>
        </is>
      </c>
      <c r="D115" t="inlineStr">
        <is>
          <t>Hadramawt</t>
        </is>
      </c>
      <c r="E115" t="inlineStr">
        <is>
          <t>YE19</t>
        </is>
      </c>
      <c r="F115" t="inlineStr">
        <is>
          <t>Yemen</t>
        </is>
      </c>
      <c r="G115" t="inlineStr">
        <is>
          <t>YEM</t>
        </is>
      </c>
    </row>
    <row r="116">
      <c r="A116" t="inlineStr">
        <is>
          <t>Zamakh wa Manwakh</t>
        </is>
      </c>
      <c r="B116" t="inlineStr">
        <is>
          <t>زموخ ومنوخ</t>
        </is>
      </c>
      <c r="C116" t="inlineStr">
        <is>
          <t>YE1904</t>
        </is>
      </c>
      <c r="D116" t="inlineStr">
        <is>
          <t>Hadramawt</t>
        </is>
      </c>
      <c r="E116" t="inlineStr">
        <is>
          <t>YE19</t>
        </is>
      </c>
      <c r="F116" t="inlineStr">
        <is>
          <t>Yemen</t>
        </is>
      </c>
      <c r="G116" t="inlineStr">
        <is>
          <t>YEM</t>
        </is>
      </c>
    </row>
    <row r="117">
      <c r="A117" t="inlineStr">
        <is>
          <t>Hagr As Sai'ar</t>
        </is>
      </c>
      <c r="B117" t="inlineStr">
        <is>
          <t>حجر الصيعر</t>
        </is>
      </c>
      <c r="C117" t="inlineStr">
        <is>
          <t>YE1905</t>
        </is>
      </c>
      <c r="D117" t="inlineStr">
        <is>
          <t>Hadramawt</t>
        </is>
      </c>
      <c r="E117" t="inlineStr">
        <is>
          <t>YE19</t>
        </is>
      </c>
      <c r="F117" t="inlineStr">
        <is>
          <t>Yemen</t>
        </is>
      </c>
      <c r="G117" t="inlineStr">
        <is>
          <t>YEM</t>
        </is>
      </c>
    </row>
    <row r="118">
      <c r="A118" t="inlineStr">
        <is>
          <t>Al Abr</t>
        </is>
      </c>
      <c r="B118" t="inlineStr">
        <is>
          <t>العبر</t>
        </is>
      </c>
      <c r="C118" t="inlineStr">
        <is>
          <t>YE1906</t>
        </is>
      </c>
      <c r="D118" t="inlineStr">
        <is>
          <t>Hadramawt</t>
        </is>
      </c>
      <c r="E118" t="inlineStr">
        <is>
          <t>YE19</t>
        </is>
      </c>
      <c r="F118" t="inlineStr">
        <is>
          <t>Yemen</t>
        </is>
      </c>
      <c r="G118" t="inlineStr">
        <is>
          <t>YEM</t>
        </is>
      </c>
    </row>
    <row r="119">
      <c r="A119" t="inlineStr">
        <is>
          <t>Al Qatn</t>
        </is>
      </c>
      <c r="B119" t="inlineStr">
        <is>
          <t>القطن</t>
        </is>
      </c>
      <c r="C119" t="inlineStr">
        <is>
          <t>YE1907</t>
        </is>
      </c>
      <c r="D119" t="inlineStr">
        <is>
          <t>Hadramawt</t>
        </is>
      </c>
      <c r="E119" t="inlineStr">
        <is>
          <t>YE19</t>
        </is>
      </c>
      <c r="F119" t="inlineStr">
        <is>
          <t>Yemen</t>
        </is>
      </c>
      <c r="G119" t="inlineStr">
        <is>
          <t>YEM</t>
        </is>
      </c>
    </row>
    <row r="120">
      <c r="A120" t="inlineStr">
        <is>
          <t>Sayun</t>
        </is>
      </c>
      <c r="B120" t="inlineStr">
        <is>
          <t>سيئون</t>
        </is>
      </c>
      <c r="C120" t="inlineStr">
        <is>
          <t>YE1910</t>
        </is>
      </c>
      <c r="D120" t="inlineStr">
        <is>
          <t>Hadramawt</t>
        </is>
      </c>
      <c r="E120" t="inlineStr">
        <is>
          <t>YE19</t>
        </is>
      </c>
      <c r="F120" t="inlineStr">
        <is>
          <t>Yemen</t>
        </is>
      </c>
      <c r="G120" t="inlineStr">
        <is>
          <t>YEM</t>
        </is>
      </c>
    </row>
    <row r="121">
      <c r="A121" t="inlineStr">
        <is>
          <t>Huraidhah</t>
        </is>
      </c>
      <c r="B121" t="inlineStr">
        <is>
          <t>حريضه</t>
        </is>
      </c>
      <c r="C121" t="inlineStr">
        <is>
          <t>YE1928</t>
        </is>
      </c>
      <c r="D121" t="inlineStr">
        <is>
          <t>Hadramawt</t>
        </is>
      </c>
      <c r="E121" t="inlineStr">
        <is>
          <t>YE19</t>
        </is>
      </c>
      <c r="F121" t="inlineStr">
        <is>
          <t>Yemen</t>
        </is>
      </c>
      <c r="G121" t="inlineStr">
        <is>
          <t>YEM</t>
        </is>
      </c>
    </row>
    <row r="122">
      <c r="A122" t="inlineStr">
        <is>
          <t>Tarim</t>
        </is>
      </c>
      <c r="B122" t="inlineStr">
        <is>
          <t>تريم</t>
        </is>
      </c>
      <c r="C122" t="inlineStr">
        <is>
          <t>YE1911</t>
        </is>
      </c>
      <c r="D122" t="inlineStr">
        <is>
          <t>Hadramawt</t>
        </is>
      </c>
      <c r="E122" t="inlineStr">
        <is>
          <t>YE19</t>
        </is>
      </c>
      <c r="F122" t="inlineStr">
        <is>
          <t>Yemen</t>
        </is>
      </c>
      <c r="G122" t="inlineStr">
        <is>
          <t>YEM</t>
        </is>
      </c>
    </row>
    <row r="123">
      <c r="A123" t="inlineStr">
        <is>
          <t>As Sawm</t>
        </is>
      </c>
      <c r="B123" t="inlineStr">
        <is>
          <t>السوم</t>
        </is>
      </c>
      <c r="C123" t="inlineStr">
        <is>
          <t>YE1912</t>
        </is>
      </c>
      <c r="D123" t="inlineStr">
        <is>
          <t>Hadramawt</t>
        </is>
      </c>
      <c r="E123" t="inlineStr">
        <is>
          <t>YE19</t>
        </is>
      </c>
      <c r="F123" t="inlineStr">
        <is>
          <t>Yemen</t>
        </is>
      </c>
      <c r="G123" t="inlineStr">
        <is>
          <t>YEM</t>
        </is>
      </c>
    </row>
    <row r="124">
      <c r="A124" t="inlineStr">
        <is>
          <t>Ar Raydah Wa Qusayar</t>
        </is>
      </c>
      <c r="B124" t="inlineStr">
        <is>
          <t>الريده وقصيعر</t>
        </is>
      </c>
      <c r="C124" t="inlineStr">
        <is>
          <t>YE1913</t>
        </is>
      </c>
      <c r="D124" t="inlineStr">
        <is>
          <t>Hadramawt</t>
        </is>
      </c>
      <c r="E124" t="inlineStr">
        <is>
          <t>YE19</t>
        </is>
      </c>
      <c r="F124" t="inlineStr">
        <is>
          <t>Yemen</t>
        </is>
      </c>
      <c r="G124" t="inlineStr">
        <is>
          <t>YEM</t>
        </is>
      </c>
    </row>
    <row r="125">
      <c r="A125" t="inlineStr">
        <is>
          <t>Ad Dis</t>
        </is>
      </c>
      <c r="B125" t="inlineStr">
        <is>
          <t>الديس</t>
        </is>
      </c>
      <c r="C125" t="inlineStr">
        <is>
          <t>YE1914</t>
        </is>
      </c>
      <c r="D125" t="inlineStr">
        <is>
          <t>Hadramawt</t>
        </is>
      </c>
      <c r="E125" t="inlineStr">
        <is>
          <t>YE19</t>
        </is>
      </c>
      <c r="F125" t="inlineStr">
        <is>
          <t>Yemen</t>
        </is>
      </c>
      <c r="G125" t="inlineStr">
        <is>
          <t>YEM</t>
        </is>
      </c>
    </row>
    <row r="126">
      <c r="A126" t="inlineStr">
        <is>
          <t>Daw'an</t>
        </is>
      </c>
      <c r="B126" t="inlineStr">
        <is>
          <t>دوعن</t>
        </is>
      </c>
      <c r="C126" t="inlineStr">
        <is>
          <t>YE1918</t>
        </is>
      </c>
      <c r="D126" t="inlineStr">
        <is>
          <t>Hadramawt</t>
        </is>
      </c>
      <c r="E126" t="inlineStr">
        <is>
          <t>YE19</t>
        </is>
      </c>
      <c r="F126" t="inlineStr">
        <is>
          <t>Yemen</t>
        </is>
      </c>
      <c r="G126" t="inlineStr">
        <is>
          <t>YEM</t>
        </is>
      </c>
    </row>
    <row r="127">
      <c r="A127" t="inlineStr">
        <is>
          <t>Wadi Al Ayn</t>
        </is>
      </c>
      <c r="B127" t="inlineStr">
        <is>
          <t>وادي العين وحوره</t>
        </is>
      </c>
      <c r="C127" t="inlineStr">
        <is>
          <t>YE1919</t>
        </is>
      </c>
      <c r="D127" t="inlineStr">
        <is>
          <t>Hadramawt</t>
        </is>
      </c>
      <c r="E127" t="inlineStr">
        <is>
          <t>YE19</t>
        </is>
      </c>
      <c r="F127" t="inlineStr">
        <is>
          <t>Yemen</t>
        </is>
      </c>
      <c r="G127" t="inlineStr">
        <is>
          <t>YEM</t>
        </is>
      </c>
    </row>
    <row r="128">
      <c r="A128" t="inlineStr">
        <is>
          <t>Rakhyah</t>
        </is>
      </c>
      <c r="B128" t="inlineStr">
        <is>
          <t>رخيه</t>
        </is>
      </c>
      <c r="C128" t="inlineStr">
        <is>
          <t>YE1920</t>
        </is>
      </c>
      <c r="D128" t="inlineStr">
        <is>
          <t>Hadramawt</t>
        </is>
      </c>
      <c r="E128" t="inlineStr">
        <is>
          <t>YE19</t>
        </is>
      </c>
      <c r="F128" t="inlineStr">
        <is>
          <t>Yemen</t>
        </is>
      </c>
      <c r="G128" t="inlineStr">
        <is>
          <t>YEM</t>
        </is>
      </c>
    </row>
    <row r="129">
      <c r="A129" t="inlineStr">
        <is>
          <t>Adh Dhlia'ah</t>
        </is>
      </c>
      <c r="B129" t="inlineStr">
        <is>
          <t>الضليعه</t>
        </is>
      </c>
      <c r="C129" t="inlineStr">
        <is>
          <t>YE1922</t>
        </is>
      </c>
      <c r="D129" t="inlineStr">
        <is>
          <t>Hadramawt</t>
        </is>
      </c>
      <c r="E129" t="inlineStr">
        <is>
          <t>YE19</t>
        </is>
      </c>
      <c r="F129" t="inlineStr">
        <is>
          <t>Yemen</t>
        </is>
      </c>
      <c r="G129" t="inlineStr">
        <is>
          <t>YEM</t>
        </is>
      </c>
    </row>
    <row r="130">
      <c r="A130" t="inlineStr">
        <is>
          <t>Yabuth</t>
        </is>
      </c>
      <c r="B130" t="inlineStr">
        <is>
          <t>يبعث</t>
        </is>
      </c>
      <c r="C130" t="inlineStr">
        <is>
          <t>YE1923</t>
        </is>
      </c>
      <c r="D130" t="inlineStr">
        <is>
          <t>Hadramawt</t>
        </is>
      </c>
      <c r="E130" t="inlineStr">
        <is>
          <t>YE19</t>
        </is>
      </c>
      <c r="F130" t="inlineStr">
        <is>
          <t>Yemen</t>
        </is>
      </c>
      <c r="G130" t="inlineStr">
        <is>
          <t>YEM</t>
        </is>
      </c>
    </row>
    <row r="131">
      <c r="A131" t="inlineStr">
        <is>
          <t>Ghamr</t>
        </is>
      </c>
      <c r="B131" t="inlineStr">
        <is>
          <t>غمر</t>
        </is>
      </c>
      <c r="C131" t="inlineStr">
        <is>
          <t>YE2204</t>
        </is>
      </c>
      <c r="D131" t="inlineStr">
        <is>
          <t>Sa'dah</t>
        </is>
      </c>
      <c r="E131" t="inlineStr">
        <is>
          <t>YE22</t>
        </is>
      </c>
      <c r="F131" t="inlineStr">
        <is>
          <t>Yemen</t>
        </is>
      </c>
      <c r="G131" t="inlineStr">
        <is>
          <t>YEM</t>
        </is>
      </c>
    </row>
    <row r="132">
      <c r="A132" t="inlineStr">
        <is>
          <t>Al Mukalla</t>
        </is>
      </c>
      <c r="B132" t="inlineStr">
        <is>
          <t>المكلا</t>
        </is>
      </c>
      <c r="C132" t="inlineStr">
        <is>
          <t>YE1926</t>
        </is>
      </c>
      <c r="D132" t="inlineStr">
        <is>
          <t>Hadramawt</t>
        </is>
      </c>
      <c r="E132" t="inlineStr">
        <is>
          <t>YE19</t>
        </is>
      </c>
      <c r="F132" t="inlineStr">
        <is>
          <t>Yemen</t>
        </is>
      </c>
      <c r="G132" t="inlineStr">
        <is>
          <t>YEM</t>
        </is>
      </c>
    </row>
    <row r="133">
      <c r="A133" t="inlineStr">
        <is>
          <t>Al Mukalla City</t>
        </is>
      </c>
      <c r="B133" t="inlineStr">
        <is>
          <t>مدينة المكلا</t>
        </is>
      </c>
      <c r="C133" t="inlineStr">
        <is>
          <t>YE1927</t>
        </is>
      </c>
      <c r="D133" t="inlineStr">
        <is>
          <t>Hadramawt</t>
        </is>
      </c>
      <c r="E133" t="inlineStr">
        <is>
          <t>YE19</t>
        </is>
      </c>
      <c r="F133" t="inlineStr">
        <is>
          <t>Yemen</t>
        </is>
      </c>
      <c r="G133" t="inlineStr">
        <is>
          <t>YEM</t>
        </is>
      </c>
    </row>
    <row r="134">
      <c r="A134" t="inlineStr">
        <is>
          <t>Al Hada</t>
        </is>
      </c>
      <c r="B134" t="inlineStr">
        <is>
          <t>الحداء</t>
        </is>
      </c>
      <c r="C134" t="inlineStr">
        <is>
          <t>YE2001</t>
        </is>
      </c>
      <c r="D134" t="inlineStr">
        <is>
          <t>Dhamar</t>
        </is>
      </c>
      <c r="E134" t="inlineStr">
        <is>
          <t>YE20</t>
        </is>
      </c>
      <c r="F134" t="inlineStr">
        <is>
          <t>Yemen</t>
        </is>
      </c>
      <c r="G134" t="inlineStr">
        <is>
          <t>YEM</t>
        </is>
      </c>
    </row>
    <row r="135">
      <c r="A135" t="inlineStr">
        <is>
          <t>Mayfa'at Anss</t>
        </is>
      </c>
      <c r="B135" t="inlineStr">
        <is>
          <t>ميفعة عنس</t>
        </is>
      </c>
      <c r="C135" t="inlineStr">
        <is>
          <t>YE2009</t>
        </is>
      </c>
      <c r="D135" t="inlineStr">
        <is>
          <t>Dhamar</t>
        </is>
      </c>
      <c r="E135" t="inlineStr">
        <is>
          <t>YE20</t>
        </is>
      </c>
      <c r="F135" t="inlineStr">
        <is>
          <t>Yemen</t>
        </is>
      </c>
      <c r="G135" t="inlineStr">
        <is>
          <t>YEM</t>
        </is>
      </c>
    </row>
    <row r="136">
      <c r="A136" t="inlineStr">
        <is>
          <t>Jahran</t>
        </is>
      </c>
      <c r="B136" t="inlineStr">
        <is>
          <t>جهران</t>
        </is>
      </c>
      <c r="C136" t="inlineStr">
        <is>
          <t>YE2002</t>
        </is>
      </c>
      <c r="D136" t="inlineStr">
        <is>
          <t>Dhamar</t>
        </is>
      </c>
      <c r="E136" t="inlineStr">
        <is>
          <t>YE20</t>
        </is>
      </c>
      <c r="F136" t="inlineStr">
        <is>
          <t>Yemen</t>
        </is>
      </c>
      <c r="G136" t="inlineStr">
        <is>
          <t>YEM</t>
        </is>
      </c>
    </row>
    <row r="137">
      <c r="A137" t="inlineStr">
        <is>
          <t>Arma</t>
        </is>
      </c>
      <c r="B137" t="inlineStr">
        <is>
          <t>عرماء</t>
        </is>
      </c>
      <c r="C137" t="inlineStr">
        <is>
          <t>YE2104</t>
        </is>
      </c>
      <c r="D137" t="inlineStr">
        <is>
          <t>Shabwah</t>
        </is>
      </c>
      <c r="E137" t="inlineStr">
        <is>
          <t>YE21</t>
        </is>
      </c>
      <c r="F137" t="inlineStr">
        <is>
          <t>Yemen</t>
        </is>
      </c>
      <c r="G137" t="inlineStr">
        <is>
          <t>YEM</t>
        </is>
      </c>
    </row>
    <row r="138">
      <c r="A138" t="inlineStr">
        <is>
          <t>Maghirib Ans</t>
        </is>
      </c>
      <c r="B138" t="inlineStr">
        <is>
          <t>مغرب عنس</t>
        </is>
      </c>
      <c r="C138" t="inlineStr">
        <is>
          <t>YE2004</t>
        </is>
      </c>
      <c r="D138" t="inlineStr">
        <is>
          <t>Dhamar</t>
        </is>
      </c>
      <c r="E138" t="inlineStr">
        <is>
          <t>YE20</t>
        </is>
      </c>
      <c r="F138" t="inlineStr">
        <is>
          <t>Yemen</t>
        </is>
      </c>
      <c r="G138" t="inlineStr">
        <is>
          <t>YEM</t>
        </is>
      </c>
    </row>
    <row r="139">
      <c r="A139" t="inlineStr">
        <is>
          <t>Utmah</t>
        </is>
      </c>
      <c r="B139" t="inlineStr">
        <is>
          <t>عتمة</t>
        </is>
      </c>
      <c r="C139" t="inlineStr">
        <is>
          <t>YE2005</t>
        </is>
      </c>
      <c r="D139" t="inlineStr">
        <is>
          <t>Dhamar</t>
        </is>
      </c>
      <c r="E139" t="inlineStr">
        <is>
          <t>YE20</t>
        </is>
      </c>
      <c r="F139" t="inlineStr">
        <is>
          <t>Yemen</t>
        </is>
      </c>
      <c r="G139" t="inlineStr">
        <is>
          <t>YEM</t>
        </is>
      </c>
    </row>
    <row r="140">
      <c r="A140" t="inlineStr">
        <is>
          <t>Wusab Al Ali</t>
        </is>
      </c>
      <c r="B140" t="inlineStr">
        <is>
          <t>وصاب العالي</t>
        </is>
      </c>
      <c r="C140" t="inlineStr">
        <is>
          <t>YE2006</t>
        </is>
      </c>
      <c r="D140" t="inlineStr">
        <is>
          <t>Dhamar</t>
        </is>
      </c>
      <c r="E140" t="inlineStr">
        <is>
          <t>YE20</t>
        </is>
      </c>
      <c r="F140" t="inlineStr">
        <is>
          <t>Yemen</t>
        </is>
      </c>
      <c r="G140" t="inlineStr">
        <is>
          <t>YEM</t>
        </is>
      </c>
    </row>
    <row r="141">
      <c r="A141" t="inlineStr">
        <is>
          <t>Wusab As Safil</t>
        </is>
      </c>
      <c r="B141" t="inlineStr">
        <is>
          <t>وصاب السافل</t>
        </is>
      </c>
      <c r="C141" t="inlineStr">
        <is>
          <t>YE2007</t>
        </is>
      </c>
      <c r="D141" t="inlineStr">
        <is>
          <t>Dhamar</t>
        </is>
      </c>
      <c r="E141" t="inlineStr">
        <is>
          <t>YE20</t>
        </is>
      </c>
      <c r="F141" t="inlineStr">
        <is>
          <t>Yemen</t>
        </is>
      </c>
      <c r="G141" t="inlineStr">
        <is>
          <t>YEM</t>
        </is>
      </c>
    </row>
    <row r="142">
      <c r="A142" t="inlineStr">
        <is>
          <t>Dhamar City</t>
        </is>
      </c>
      <c r="B142" t="inlineStr">
        <is>
          <t>مدينة ذمار</t>
        </is>
      </c>
      <c r="C142" t="inlineStr">
        <is>
          <t>YE2008</t>
        </is>
      </c>
      <c r="D142" t="inlineStr">
        <is>
          <t>Dhamar</t>
        </is>
      </c>
      <c r="E142" t="inlineStr">
        <is>
          <t>YE20</t>
        </is>
      </c>
      <c r="F142" t="inlineStr">
        <is>
          <t>Yemen</t>
        </is>
      </c>
      <c r="G142" t="inlineStr">
        <is>
          <t>YEM</t>
        </is>
      </c>
    </row>
    <row r="143">
      <c r="A143" t="inlineStr">
        <is>
          <t>Anss</t>
        </is>
      </c>
      <c r="B143" t="inlineStr">
        <is>
          <t>عنس</t>
        </is>
      </c>
      <c r="C143" t="inlineStr">
        <is>
          <t>YE2010</t>
        </is>
      </c>
      <c r="D143" t="inlineStr">
        <is>
          <t>Dhamar</t>
        </is>
      </c>
      <c r="E143" t="inlineStr">
        <is>
          <t>YE20</t>
        </is>
      </c>
      <c r="F143" t="inlineStr">
        <is>
          <t>Yemen</t>
        </is>
      </c>
      <c r="G143" t="inlineStr">
        <is>
          <t>YEM</t>
        </is>
      </c>
    </row>
    <row r="144">
      <c r="A144" t="inlineStr">
        <is>
          <t>Dawran Aness</t>
        </is>
      </c>
      <c r="B144" t="inlineStr">
        <is>
          <t>ضوران اًنس</t>
        </is>
      </c>
      <c r="C144" t="inlineStr">
        <is>
          <t>YE2011</t>
        </is>
      </c>
      <c r="D144" t="inlineStr">
        <is>
          <t>Dhamar</t>
        </is>
      </c>
      <c r="E144" t="inlineStr">
        <is>
          <t>YE20</t>
        </is>
      </c>
      <c r="F144" t="inlineStr">
        <is>
          <t>Yemen</t>
        </is>
      </c>
      <c r="G144" t="inlineStr">
        <is>
          <t>YEM</t>
        </is>
      </c>
    </row>
    <row r="145">
      <c r="A145" t="inlineStr">
        <is>
          <t>Al Manar</t>
        </is>
      </c>
      <c r="B145" t="inlineStr">
        <is>
          <t>المنار</t>
        </is>
      </c>
      <c r="C145" t="inlineStr">
        <is>
          <t>YE2012</t>
        </is>
      </c>
      <c r="D145" t="inlineStr">
        <is>
          <t>Dhamar</t>
        </is>
      </c>
      <c r="E145" t="inlineStr">
        <is>
          <t>YE20</t>
        </is>
      </c>
      <c r="F145" t="inlineStr">
        <is>
          <t>Yemen</t>
        </is>
      </c>
      <c r="G145" t="inlineStr">
        <is>
          <t>YEM</t>
        </is>
      </c>
    </row>
    <row r="146">
      <c r="A146" t="inlineStr">
        <is>
          <t>Dhar</t>
        </is>
      </c>
      <c r="B146" t="inlineStr">
        <is>
          <t>دهر</t>
        </is>
      </c>
      <c r="C146" t="inlineStr">
        <is>
          <t>YE2101</t>
        </is>
      </c>
      <c r="D146" t="inlineStr">
        <is>
          <t>Shabwah</t>
        </is>
      </c>
      <c r="E146" t="inlineStr">
        <is>
          <t>YE21</t>
        </is>
      </c>
      <c r="F146" t="inlineStr">
        <is>
          <t>Yemen</t>
        </is>
      </c>
      <c r="G146" t="inlineStr">
        <is>
          <t>YEM</t>
        </is>
      </c>
    </row>
    <row r="147">
      <c r="A147" t="inlineStr">
        <is>
          <t>Ar Rawdah</t>
        </is>
      </c>
      <c r="B147" t="inlineStr">
        <is>
          <t>الروضه</t>
        </is>
      </c>
      <c r="C147" t="inlineStr">
        <is>
          <t>YE2115</t>
        </is>
      </c>
      <c r="D147" t="inlineStr">
        <is>
          <t>Shabwah</t>
        </is>
      </c>
      <c r="E147" t="inlineStr">
        <is>
          <t>YE21</t>
        </is>
      </c>
      <c r="F147" t="inlineStr">
        <is>
          <t>Yemen</t>
        </is>
      </c>
      <c r="G147" t="inlineStr">
        <is>
          <t>YEM</t>
        </is>
      </c>
    </row>
    <row r="148">
      <c r="A148" t="inlineStr">
        <is>
          <t>Al Dhaher</t>
        </is>
      </c>
      <c r="B148" t="inlineStr">
        <is>
          <t>الظاهر</t>
        </is>
      </c>
      <c r="C148" t="inlineStr">
        <is>
          <t>YE2207</t>
        </is>
      </c>
      <c r="D148" t="inlineStr">
        <is>
          <t>Sa'dah</t>
        </is>
      </c>
      <c r="E148" t="inlineStr">
        <is>
          <t>YE22</t>
        </is>
      </c>
      <c r="F148" t="inlineStr">
        <is>
          <t>Yemen</t>
        </is>
      </c>
      <c r="G148" t="inlineStr">
        <is>
          <t>YEM</t>
        </is>
      </c>
    </row>
    <row r="149">
      <c r="A149" t="inlineStr">
        <is>
          <t>Mayfa'a</t>
        </is>
      </c>
      <c r="B149" t="inlineStr">
        <is>
          <t>ميفعه</t>
        </is>
      </c>
      <c r="C149" t="inlineStr">
        <is>
          <t>YE2116</t>
        </is>
      </c>
      <c r="D149" t="inlineStr">
        <is>
          <t>Shabwah</t>
        </is>
      </c>
      <c r="E149" t="inlineStr">
        <is>
          <t>YE21</t>
        </is>
      </c>
      <c r="F149" t="inlineStr">
        <is>
          <t>Yemen</t>
        </is>
      </c>
      <c r="G149" t="inlineStr">
        <is>
          <t>YEM</t>
        </is>
      </c>
    </row>
    <row r="150">
      <c r="A150" t="inlineStr">
        <is>
          <t>Rudum</t>
        </is>
      </c>
      <c r="B150" t="inlineStr">
        <is>
          <t>رضوم</t>
        </is>
      </c>
      <c r="C150" t="inlineStr">
        <is>
          <t>YE2117</t>
        </is>
      </c>
      <c r="D150" t="inlineStr">
        <is>
          <t>Shabwah</t>
        </is>
      </c>
      <c r="E150" t="inlineStr">
        <is>
          <t>YE21</t>
        </is>
      </c>
      <c r="F150" t="inlineStr">
        <is>
          <t>Yemen</t>
        </is>
      </c>
      <c r="G150" t="inlineStr">
        <is>
          <t>YEM</t>
        </is>
      </c>
    </row>
    <row r="151">
      <c r="A151" t="inlineStr">
        <is>
          <t>Baqim</t>
        </is>
      </c>
      <c r="B151" t="inlineStr">
        <is>
          <t>باقم</t>
        </is>
      </c>
      <c r="C151" t="inlineStr">
        <is>
          <t>YE2201</t>
        </is>
      </c>
      <c r="D151" t="inlineStr">
        <is>
          <t>Sa'dah</t>
        </is>
      </c>
      <c r="E151" t="inlineStr">
        <is>
          <t>YE22</t>
        </is>
      </c>
      <c r="F151" t="inlineStr">
        <is>
          <t>Yemen</t>
        </is>
      </c>
      <c r="G151" t="inlineStr">
        <is>
          <t>YEM</t>
        </is>
      </c>
    </row>
    <row r="152">
      <c r="A152" t="inlineStr">
        <is>
          <t>Arhab</t>
        </is>
      </c>
      <c r="B152" t="inlineStr">
        <is>
          <t>ارحب</t>
        </is>
      </c>
      <c r="C152" t="inlineStr">
        <is>
          <t>YE2302</t>
        </is>
      </c>
      <c r="D152" t="inlineStr">
        <is>
          <t>Sana'a</t>
        </is>
      </c>
      <c r="E152" t="inlineStr">
        <is>
          <t>YE23</t>
        </is>
      </c>
      <c r="F152" t="inlineStr">
        <is>
          <t>Yemen</t>
        </is>
      </c>
      <c r="G152" t="inlineStr">
        <is>
          <t>YEM</t>
        </is>
      </c>
    </row>
    <row r="153">
      <c r="A153" t="inlineStr">
        <is>
          <t>Haydan</t>
        </is>
      </c>
      <c r="B153" t="inlineStr">
        <is>
          <t>حيدان</t>
        </is>
      </c>
      <c r="C153" t="inlineStr">
        <is>
          <t>YE2208</t>
        </is>
      </c>
      <c r="D153" t="inlineStr">
        <is>
          <t>Sa'dah</t>
        </is>
      </c>
      <c r="E153" t="inlineStr">
        <is>
          <t>YE22</t>
        </is>
      </c>
      <c r="F153" t="inlineStr">
        <is>
          <t>Yemen</t>
        </is>
      </c>
      <c r="G153" t="inlineStr">
        <is>
          <t>YEM</t>
        </is>
      </c>
    </row>
    <row r="154">
      <c r="A154" t="inlineStr">
        <is>
          <t>Nihm</t>
        </is>
      </c>
      <c r="B154" t="inlineStr">
        <is>
          <t>نهم</t>
        </is>
      </c>
      <c r="C154" t="inlineStr">
        <is>
          <t>YE2303</t>
        </is>
      </c>
      <c r="D154" t="inlineStr">
        <is>
          <t>Sana'a</t>
        </is>
      </c>
      <c r="E154" t="inlineStr">
        <is>
          <t>YE23</t>
        </is>
      </c>
      <c r="F154" t="inlineStr">
        <is>
          <t>Yemen</t>
        </is>
      </c>
      <c r="G154" t="inlineStr">
        <is>
          <t>YEM</t>
        </is>
      </c>
    </row>
    <row r="155">
      <c r="A155" t="inlineStr">
        <is>
          <t>Bani Hushaysh</t>
        </is>
      </c>
      <c r="B155" t="inlineStr">
        <is>
          <t>بني حشيش</t>
        </is>
      </c>
      <c r="C155" t="inlineStr">
        <is>
          <t>YE2304</t>
        </is>
      </c>
      <c r="D155" t="inlineStr">
        <is>
          <t>Sana'a</t>
        </is>
      </c>
      <c r="E155" t="inlineStr">
        <is>
          <t>YE23</t>
        </is>
      </c>
      <c r="F155" t="inlineStr">
        <is>
          <t>Yemen</t>
        </is>
      </c>
      <c r="G155" t="inlineStr">
        <is>
          <t>YEM</t>
        </is>
      </c>
    </row>
    <row r="156">
      <c r="A156" t="inlineStr">
        <is>
          <t>Raghwan</t>
        </is>
      </c>
      <c r="B156" t="inlineStr">
        <is>
          <t>رغوان</t>
        </is>
      </c>
      <c r="C156" t="inlineStr">
        <is>
          <t>YE2602</t>
        </is>
      </c>
      <c r="D156" t="inlineStr">
        <is>
          <t>Ma'rib</t>
        </is>
      </c>
      <c r="E156" t="inlineStr">
        <is>
          <t>YE26</t>
        </is>
      </c>
      <c r="F156" t="inlineStr">
        <is>
          <t>Yemen</t>
        </is>
      </c>
      <c r="G156" t="inlineStr">
        <is>
          <t>YEM</t>
        </is>
      </c>
    </row>
    <row r="157">
      <c r="A157" t="inlineStr">
        <is>
          <t>Majz</t>
        </is>
      </c>
      <c r="B157" t="inlineStr">
        <is>
          <t>مجز</t>
        </is>
      </c>
      <c r="C157" t="inlineStr">
        <is>
          <t>YE2210</t>
        </is>
      </c>
      <c r="D157" t="inlineStr">
        <is>
          <t>Sa'dah</t>
        </is>
      </c>
      <c r="E157" t="inlineStr">
        <is>
          <t>YE22</t>
        </is>
      </c>
      <c r="F157" t="inlineStr">
        <is>
          <t>Yemen</t>
        </is>
      </c>
      <c r="G157" t="inlineStr">
        <is>
          <t>YEM</t>
        </is>
      </c>
    </row>
    <row r="158">
      <c r="A158" t="inlineStr">
        <is>
          <t>Sahar</t>
        </is>
      </c>
      <c r="B158" t="inlineStr">
        <is>
          <t>سحار</t>
        </is>
      </c>
      <c r="C158" t="inlineStr">
        <is>
          <t>YE2211</t>
        </is>
      </c>
      <c r="D158" t="inlineStr">
        <is>
          <t>Sa'dah</t>
        </is>
      </c>
      <c r="E158" t="inlineStr">
        <is>
          <t>YE22</t>
        </is>
      </c>
      <c r="F158" t="inlineStr">
        <is>
          <t>Yemen</t>
        </is>
      </c>
      <c r="G158" t="inlineStr">
        <is>
          <t>YEM</t>
        </is>
      </c>
    </row>
    <row r="159">
      <c r="A159" t="inlineStr">
        <is>
          <t>As Safra</t>
        </is>
      </c>
      <c r="B159" t="inlineStr">
        <is>
          <t>الصفراء</t>
        </is>
      </c>
      <c r="C159" t="inlineStr">
        <is>
          <t>YE2212</t>
        </is>
      </c>
      <c r="D159" t="inlineStr">
        <is>
          <t>Sa'dah</t>
        </is>
      </c>
      <c r="E159" t="inlineStr">
        <is>
          <t>YE22</t>
        </is>
      </c>
      <c r="F159" t="inlineStr">
        <is>
          <t>Yemen</t>
        </is>
      </c>
      <c r="G159" t="inlineStr">
        <is>
          <t>YEM</t>
        </is>
      </c>
    </row>
    <row r="160">
      <c r="A160" t="inlineStr">
        <is>
          <t>Al Hashwah</t>
        </is>
      </c>
      <c r="B160" t="inlineStr">
        <is>
          <t>الحشوه</t>
        </is>
      </c>
      <c r="C160" t="inlineStr">
        <is>
          <t>YE2213</t>
        </is>
      </c>
      <c r="D160" t="inlineStr">
        <is>
          <t>Sa'dah</t>
        </is>
      </c>
      <c r="E160" t="inlineStr">
        <is>
          <t>YE22</t>
        </is>
      </c>
      <c r="F160" t="inlineStr">
        <is>
          <t>Yemen</t>
        </is>
      </c>
      <c r="G160" t="inlineStr">
        <is>
          <t>YEM</t>
        </is>
      </c>
    </row>
    <row r="161">
      <c r="A161" t="inlineStr">
        <is>
          <t>Kitaf wa Al Boqe'e</t>
        </is>
      </c>
      <c r="B161" t="inlineStr">
        <is>
          <t>كتاف والبقع</t>
        </is>
      </c>
      <c r="C161" t="inlineStr">
        <is>
          <t>YE2214</t>
        </is>
      </c>
      <c r="D161" t="inlineStr">
        <is>
          <t>Sa'dah</t>
        </is>
      </c>
      <c r="E161" t="inlineStr">
        <is>
          <t>YE22</t>
        </is>
      </c>
      <c r="F161" t="inlineStr">
        <is>
          <t>Yemen</t>
        </is>
      </c>
      <c r="G161" t="inlineStr">
        <is>
          <t>YEM</t>
        </is>
      </c>
    </row>
    <row r="162">
      <c r="A162" t="inlineStr">
        <is>
          <t>Sa'adah</t>
        </is>
      </c>
      <c r="B162" t="inlineStr">
        <is>
          <t>صعدة</t>
        </is>
      </c>
      <c r="C162" t="inlineStr">
        <is>
          <t>YE2215</t>
        </is>
      </c>
      <c r="D162" t="inlineStr">
        <is>
          <t>Sa'dah</t>
        </is>
      </c>
      <c r="E162" t="inlineStr">
        <is>
          <t>YE22</t>
        </is>
      </c>
      <c r="F162" t="inlineStr">
        <is>
          <t>Yemen</t>
        </is>
      </c>
      <c r="G162" t="inlineStr">
        <is>
          <t>YEM</t>
        </is>
      </c>
    </row>
    <row r="163">
      <c r="A163" t="inlineStr">
        <is>
          <t>Bilad Ar Rus</t>
        </is>
      </c>
      <c r="B163" t="inlineStr">
        <is>
          <t>بلاد الروس</t>
        </is>
      </c>
      <c r="C163" t="inlineStr">
        <is>
          <t>YE2306</t>
        </is>
      </c>
      <c r="D163" t="inlineStr">
        <is>
          <t>Sana'a</t>
        </is>
      </c>
      <c r="E163" t="inlineStr">
        <is>
          <t>YE23</t>
        </is>
      </c>
      <c r="F163" t="inlineStr">
        <is>
          <t>Yemen</t>
        </is>
      </c>
      <c r="G163" t="inlineStr">
        <is>
          <t>YEM</t>
        </is>
      </c>
    </row>
    <row r="164">
      <c r="A164" t="inlineStr">
        <is>
          <t>Sa'fan</t>
        </is>
      </c>
      <c r="B164" t="inlineStr">
        <is>
          <t>صعفان</t>
        </is>
      </c>
      <c r="C164" t="inlineStr">
        <is>
          <t>YE2311</t>
        </is>
      </c>
      <c r="D164" t="inlineStr">
        <is>
          <t>Sana'a</t>
        </is>
      </c>
      <c r="E164" t="inlineStr">
        <is>
          <t>YE23</t>
        </is>
      </c>
      <c r="F164" t="inlineStr">
        <is>
          <t>Yemen</t>
        </is>
      </c>
      <c r="G164" t="inlineStr">
        <is>
          <t>YEM</t>
        </is>
      </c>
    </row>
    <row r="165">
      <c r="A165" t="inlineStr">
        <is>
          <t>Khwlan</t>
        </is>
      </c>
      <c r="B165" t="inlineStr">
        <is>
          <t>خولان</t>
        </is>
      </c>
      <c r="C165" t="inlineStr">
        <is>
          <t>YE2312</t>
        </is>
      </c>
      <c r="D165" t="inlineStr">
        <is>
          <t>Sana'a</t>
        </is>
      </c>
      <c r="E165" t="inlineStr">
        <is>
          <t>YE23</t>
        </is>
      </c>
      <c r="F165" t="inlineStr">
        <is>
          <t>Yemen</t>
        </is>
      </c>
      <c r="G165" t="inlineStr">
        <is>
          <t>YEM</t>
        </is>
      </c>
    </row>
    <row r="166">
      <c r="A166" t="inlineStr">
        <is>
          <t>Attyal</t>
        </is>
      </c>
      <c r="B166" t="inlineStr">
        <is>
          <t>الطيال</t>
        </is>
      </c>
      <c r="C166" t="inlineStr">
        <is>
          <t>YE2313</t>
        </is>
      </c>
      <c r="D166" t="inlineStr">
        <is>
          <t>Sana'a</t>
        </is>
      </c>
      <c r="E166" t="inlineStr">
        <is>
          <t>YE23</t>
        </is>
      </c>
      <c r="F166" t="inlineStr">
        <is>
          <t>Yemen</t>
        </is>
      </c>
      <c r="G166" t="inlineStr">
        <is>
          <t>YEM</t>
        </is>
      </c>
    </row>
    <row r="167">
      <c r="A167" t="inlineStr">
        <is>
          <t>Bani Dhabyan</t>
        </is>
      </c>
      <c r="B167" t="inlineStr">
        <is>
          <t>بني ضبيان</t>
        </is>
      </c>
      <c r="C167" t="inlineStr">
        <is>
          <t>YE2314</t>
        </is>
      </c>
      <c r="D167" t="inlineStr">
        <is>
          <t>Sana'a</t>
        </is>
      </c>
      <c r="E167" t="inlineStr">
        <is>
          <t>YE23</t>
        </is>
      </c>
      <c r="F167" t="inlineStr">
        <is>
          <t>Yemen</t>
        </is>
      </c>
      <c r="G167" t="inlineStr">
        <is>
          <t>YEM</t>
        </is>
      </c>
    </row>
    <row r="168">
      <c r="A168" t="inlineStr">
        <is>
          <t>Al Husn</t>
        </is>
      </c>
      <c r="B168" t="inlineStr">
        <is>
          <t>الحصن</t>
        </is>
      </c>
      <c r="C168" t="inlineStr">
        <is>
          <t>YE2315</t>
        </is>
      </c>
      <c r="D168" t="inlineStr">
        <is>
          <t>Sana'a</t>
        </is>
      </c>
      <c r="E168" t="inlineStr">
        <is>
          <t>YE23</t>
        </is>
      </c>
      <c r="F168" t="inlineStr">
        <is>
          <t>Yemen</t>
        </is>
      </c>
      <c r="G168" t="inlineStr">
        <is>
          <t>YEM</t>
        </is>
      </c>
    </row>
    <row r="169">
      <c r="A169" t="inlineStr">
        <is>
          <t>Dar Sad</t>
        </is>
      </c>
      <c r="B169" t="inlineStr">
        <is>
          <t>دار سعد</t>
        </is>
      </c>
      <c r="C169" t="inlineStr">
        <is>
          <t>YE2401</t>
        </is>
      </c>
      <c r="D169" t="inlineStr">
        <is>
          <t>Aden</t>
        </is>
      </c>
      <c r="E169" t="inlineStr">
        <is>
          <t>YE24</t>
        </is>
      </c>
      <c r="F169" t="inlineStr">
        <is>
          <t>Yemen</t>
        </is>
      </c>
      <c r="G169" t="inlineStr">
        <is>
          <t>YEM</t>
        </is>
      </c>
    </row>
    <row r="170">
      <c r="A170" t="inlineStr">
        <is>
          <t>Milhan</t>
        </is>
      </c>
      <c r="B170" t="inlineStr">
        <is>
          <t>ملحان</t>
        </is>
      </c>
      <c r="C170" t="inlineStr">
        <is>
          <t>YE2705</t>
        </is>
      </c>
      <c r="D170" t="inlineStr">
        <is>
          <t>Al Mahwit</t>
        </is>
      </c>
      <c r="E170" t="inlineStr">
        <is>
          <t>YE27</t>
        </is>
      </c>
      <c r="F170" t="inlineStr">
        <is>
          <t>Yemen</t>
        </is>
      </c>
      <c r="G170" t="inlineStr">
        <is>
          <t>YEM</t>
        </is>
      </c>
    </row>
    <row r="171">
      <c r="A171" t="inlineStr">
        <is>
          <t>Al Mualla</t>
        </is>
      </c>
      <c r="B171" t="inlineStr">
        <is>
          <t>المعلا</t>
        </is>
      </c>
      <c r="C171" t="inlineStr">
        <is>
          <t>YE2406</t>
        </is>
      </c>
      <c r="D171" t="inlineStr">
        <is>
          <t>Aden</t>
        </is>
      </c>
      <c r="E171" t="inlineStr">
        <is>
          <t>YE24</t>
        </is>
      </c>
      <c r="F171" t="inlineStr">
        <is>
          <t>Yemen</t>
        </is>
      </c>
      <c r="G171" t="inlineStr">
        <is>
          <t>YEM</t>
        </is>
      </c>
    </row>
    <row r="172">
      <c r="A172" t="inlineStr">
        <is>
          <t>Al Mansura</t>
        </is>
      </c>
      <c r="B172" t="inlineStr">
        <is>
          <t>المنصورة</t>
        </is>
      </c>
      <c r="C172" t="inlineStr">
        <is>
          <t>YE2403</t>
        </is>
      </c>
      <c r="D172" t="inlineStr">
        <is>
          <t>Aden</t>
        </is>
      </c>
      <c r="E172" t="inlineStr">
        <is>
          <t>YE24</t>
        </is>
      </c>
      <c r="F172" t="inlineStr">
        <is>
          <t>Yemen</t>
        </is>
      </c>
      <c r="G172" t="inlineStr">
        <is>
          <t>YEM</t>
        </is>
      </c>
    </row>
    <row r="173">
      <c r="A173" t="inlineStr">
        <is>
          <t>Al Buraiqeh</t>
        </is>
      </c>
      <c r="B173" t="inlineStr">
        <is>
          <t>البريقه</t>
        </is>
      </c>
      <c r="C173" t="inlineStr">
        <is>
          <t>YE2404</t>
        </is>
      </c>
      <c r="D173" t="inlineStr">
        <is>
          <t>Aden</t>
        </is>
      </c>
      <c r="E173" t="inlineStr">
        <is>
          <t>YE24</t>
        </is>
      </c>
      <c r="F173" t="inlineStr">
        <is>
          <t>Yemen</t>
        </is>
      </c>
      <c r="G173" t="inlineStr">
        <is>
          <t>YEM</t>
        </is>
      </c>
    </row>
    <row r="174">
      <c r="A174" t="inlineStr">
        <is>
          <t>Attawahi</t>
        </is>
      </c>
      <c r="B174" t="inlineStr">
        <is>
          <t>التواهي</t>
        </is>
      </c>
      <c r="C174" t="inlineStr">
        <is>
          <t>YE2405</t>
        </is>
      </c>
      <c r="D174" t="inlineStr">
        <is>
          <t>Aden</t>
        </is>
      </c>
      <c r="E174" t="inlineStr">
        <is>
          <t>YE24</t>
        </is>
      </c>
      <c r="F174" t="inlineStr">
        <is>
          <t>Yemen</t>
        </is>
      </c>
      <c r="G174" t="inlineStr">
        <is>
          <t>YEM</t>
        </is>
      </c>
    </row>
    <row r="175">
      <c r="A175" t="inlineStr">
        <is>
          <t>Al Maflahy</t>
        </is>
      </c>
      <c r="B175" t="inlineStr">
        <is>
          <t>المفلحي</t>
        </is>
      </c>
      <c r="C175" t="inlineStr">
        <is>
          <t>YE2503</t>
        </is>
      </c>
      <c r="D175" t="inlineStr">
        <is>
          <t>Lahj</t>
        </is>
      </c>
      <c r="E175" t="inlineStr">
        <is>
          <t>YE25</t>
        </is>
      </c>
      <c r="F175" t="inlineStr">
        <is>
          <t>Yemen</t>
        </is>
      </c>
      <c r="G175" t="inlineStr">
        <is>
          <t>YEM</t>
        </is>
      </c>
    </row>
    <row r="176">
      <c r="A176" t="inlineStr">
        <is>
          <t>Yahr</t>
        </is>
      </c>
      <c r="B176" t="inlineStr">
        <is>
          <t>يهر</t>
        </is>
      </c>
      <c r="C176" t="inlineStr">
        <is>
          <t>YE2504</t>
        </is>
      </c>
      <c r="D176" t="inlineStr">
        <is>
          <t>Lahj</t>
        </is>
      </c>
      <c r="E176" t="inlineStr">
        <is>
          <t>YE25</t>
        </is>
      </c>
      <c r="F176" t="inlineStr">
        <is>
          <t>Yemen</t>
        </is>
      </c>
      <c r="G176" t="inlineStr">
        <is>
          <t>YEM</t>
        </is>
      </c>
    </row>
    <row r="177">
      <c r="A177" t="inlineStr">
        <is>
          <t>Al Milah</t>
        </is>
      </c>
      <c r="B177" t="inlineStr">
        <is>
          <t>الملاح</t>
        </is>
      </c>
      <c r="C177" t="inlineStr">
        <is>
          <t>YE2508</t>
        </is>
      </c>
      <c r="D177" t="inlineStr">
        <is>
          <t>Lahj</t>
        </is>
      </c>
      <c r="E177" t="inlineStr">
        <is>
          <t>YE25</t>
        </is>
      </c>
      <c r="F177" t="inlineStr">
        <is>
          <t>Yemen</t>
        </is>
      </c>
      <c r="G177" t="inlineStr">
        <is>
          <t>YEM</t>
        </is>
      </c>
    </row>
    <row r="178">
      <c r="A178" t="inlineStr">
        <is>
          <t>Tur Al Bahah</t>
        </is>
      </c>
      <c r="B178" t="inlineStr">
        <is>
          <t>طور الباحة</t>
        </is>
      </c>
      <c r="C178" t="inlineStr">
        <is>
          <t>YE2511</t>
        </is>
      </c>
      <c r="D178" t="inlineStr">
        <is>
          <t>Lahj</t>
        </is>
      </c>
      <c r="E178" t="inlineStr">
        <is>
          <t>YE25</t>
        </is>
      </c>
      <c r="F178" t="inlineStr">
        <is>
          <t>Yemen</t>
        </is>
      </c>
      <c r="G178" t="inlineStr">
        <is>
          <t>YEM</t>
        </is>
      </c>
    </row>
    <row r="179">
      <c r="A179" t="inlineStr">
        <is>
          <t>Habil Jabr</t>
        </is>
      </c>
      <c r="B179" t="inlineStr">
        <is>
          <t>حبيل جبر</t>
        </is>
      </c>
      <c r="C179" t="inlineStr">
        <is>
          <t>YE2505</t>
        </is>
      </c>
      <c r="D179" t="inlineStr">
        <is>
          <t>Lahj</t>
        </is>
      </c>
      <c r="E179" t="inlineStr">
        <is>
          <t>YE25</t>
        </is>
      </c>
      <c r="F179" t="inlineStr">
        <is>
          <t>Yemen</t>
        </is>
      </c>
      <c r="G179" t="inlineStr">
        <is>
          <t>YEM</t>
        </is>
      </c>
    </row>
    <row r="180">
      <c r="A180" t="inlineStr">
        <is>
          <t>Halimayn</t>
        </is>
      </c>
      <c r="B180" t="inlineStr">
        <is>
          <t>حالمين</t>
        </is>
      </c>
      <c r="C180" t="inlineStr">
        <is>
          <t>YE2506</t>
        </is>
      </c>
      <c r="D180" t="inlineStr">
        <is>
          <t>Lahj</t>
        </is>
      </c>
      <c r="E180" t="inlineStr">
        <is>
          <t>YE25</t>
        </is>
      </c>
      <c r="F180" t="inlineStr">
        <is>
          <t>Yemen</t>
        </is>
      </c>
      <c r="G180" t="inlineStr">
        <is>
          <t>YEM</t>
        </is>
      </c>
    </row>
    <row r="181">
      <c r="A181" t="inlineStr">
        <is>
          <t>Al Musaymir</t>
        </is>
      </c>
      <c r="B181" t="inlineStr">
        <is>
          <t>المسيمير</t>
        </is>
      </c>
      <c r="C181" t="inlineStr">
        <is>
          <t>YE2509</t>
        </is>
      </c>
      <c r="D181" t="inlineStr">
        <is>
          <t>Lahj</t>
        </is>
      </c>
      <c r="E181" t="inlineStr">
        <is>
          <t>YE25</t>
        </is>
      </c>
      <c r="F181" t="inlineStr">
        <is>
          <t>Yemen</t>
        </is>
      </c>
      <c r="G181" t="inlineStr">
        <is>
          <t>YEM</t>
        </is>
      </c>
    </row>
    <row r="182">
      <c r="A182" t="inlineStr">
        <is>
          <t>Al Mahwait City</t>
        </is>
      </c>
      <c r="B182" t="inlineStr">
        <is>
          <t>مدينة المحويت</t>
        </is>
      </c>
      <c r="C182" t="inlineStr">
        <is>
          <t>YE2708</t>
        </is>
      </c>
      <c r="D182" t="inlineStr">
        <is>
          <t>Al Mahwit</t>
        </is>
      </c>
      <c r="E182" t="inlineStr">
        <is>
          <t>YE27</t>
        </is>
      </c>
      <c r="F182" t="inlineStr">
        <is>
          <t>Yemen</t>
        </is>
      </c>
      <c r="G182" t="inlineStr">
        <is>
          <t>YEM</t>
        </is>
      </c>
    </row>
    <row r="183">
      <c r="A183" t="inlineStr">
        <is>
          <t>Al Qabbaytah</t>
        </is>
      </c>
      <c r="B183" t="inlineStr">
        <is>
          <t>القبيطه</t>
        </is>
      </c>
      <c r="C183" t="inlineStr">
        <is>
          <t>YE2510</t>
        </is>
      </c>
      <c r="D183" t="inlineStr">
        <is>
          <t>Lahj</t>
        </is>
      </c>
      <c r="E183" t="inlineStr">
        <is>
          <t>YE25</t>
        </is>
      </c>
      <c r="F183" t="inlineStr">
        <is>
          <t>Yemen</t>
        </is>
      </c>
      <c r="G183" t="inlineStr">
        <is>
          <t>YEM</t>
        </is>
      </c>
    </row>
    <row r="184">
      <c r="A184" t="inlineStr">
        <is>
          <t>Al Maqatirah</t>
        </is>
      </c>
      <c r="B184" t="inlineStr">
        <is>
          <t>المقاطرة</t>
        </is>
      </c>
      <c r="C184" t="inlineStr">
        <is>
          <t>YE2512</t>
        </is>
      </c>
      <c r="D184" t="inlineStr">
        <is>
          <t>Lahj</t>
        </is>
      </c>
      <c r="E184" t="inlineStr">
        <is>
          <t>YE25</t>
        </is>
      </c>
      <c r="F184" t="inlineStr">
        <is>
          <t>Yemen</t>
        </is>
      </c>
      <c r="G184" t="inlineStr">
        <is>
          <t>YEM</t>
        </is>
      </c>
    </row>
    <row r="185">
      <c r="A185" t="inlineStr">
        <is>
          <t>Al Madaribah Wa Al Arah</t>
        </is>
      </c>
      <c r="B185" t="inlineStr">
        <is>
          <t>المضاربة و العاره</t>
        </is>
      </c>
      <c r="C185" t="inlineStr">
        <is>
          <t>YE2513</t>
        </is>
      </c>
      <c r="D185" t="inlineStr">
        <is>
          <t>Lahj</t>
        </is>
      </c>
      <c r="E185" t="inlineStr">
        <is>
          <t>YE25</t>
        </is>
      </c>
      <c r="F185" t="inlineStr">
        <is>
          <t>Yemen</t>
        </is>
      </c>
      <c r="G185" t="inlineStr">
        <is>
          <t>YEM</t>
        </is>
      </c>
    </row>
    <row r="186">
      <c r="A186" t="inlineStr">
        <is>
          <t>Al  Hawtah</t>
        </is>
      </c>
      <c r="B186" t="inlineStr">
        <is>
          <t>الحوطة</t>
        </is>
      </c>
      <c r="C186" t="inlineStr">
        <is>
          <t>YE2514</t>
        </is>
      </c>
      <c r="D186" t="inlineStr">
        <is>
          <t>Lahj</t>
        </is>
      </c>
      <c r="E186" t="inlineStr">
        <is>
          <t>YE25</t>
        </is>
      </c>
      <c r="F186" t="inlineStr">
        <is>
          <t>Yemen</t>
        </is>
      </c>
      <c r="G186" t="inlineStr">
        <is>
          <t>YEM</t>
        </is>
      </c>
    </row>
    <row r="187">
      <c r="A187" t="inlineStr">
        <is>
          <t>Medghal</t>
        </is>
      </c>
      <c r="B187" t="inlineStr">
        <is>
          <t>مدغل</t>
        </is>
      </c>
      <c r="C187" t="inlineStr">
        <is>
          <t>YE2603</t>
        </is>
      </c>
      <c r="D187" t="inlineStr">
        <is>
          <t>Ma'rib</t>
        </is>
      </c>
      <c r="E187" t="inlineStr">
        <is>
          <t>YE26</t>
        </is>
      </c>
      <c r="F187" t="inlineStr">
        <is>
          <t>Yemen</t>
        </is>
      </c>
      <c r="G187" t="inlineStr">
        <is>
          <t>YEM</t>
        </is>
      </c>
    </row>
    <row r="188">
      <c r="A188" t="inlineStr">
        <is>
          <t>Harib Al Qaramish</t>
        </is>
      </c>
      <c r="B188" t="inlineStr">
        <is>
          <t>حريب القرامش</t>
        </is>
      </c>
      <c r="C188" t="inlineStr">
        <is>
          <t>YE2604</t>
        </is>
      </c>
      <c r="D188" t="inlineStr">
        <is>
          <t>Ma'rib</t>
        </is>
      </c>
      <c r="E188" t="inlineStr">
        <is>
          <t>YE26</t>
        </is>
      </c>
      <c r="F188" t="inlineStr">
        <is>
          <t>Yemen</t>
        </is>
      </c>
      <c r="G188" t="inlineStr">
        <is>
          <t>YEM</t>
        </is>
      </c>
    </row>
    <row r="189">
      <c r="A189" t="inlineStr">
        <is>
          <t>Sirwah</t>
        </is>
      </c>
      <c r="B189" t="inlineStr">
        <is>
          <t>صرواح</t>
        </is>
      </c>
      <c r="C189" t="inlineStr">
        <is>
          <t>YE2606</t>
        </is>
      </c>
      <c r="D189" t="inlineStr">
        <is>
          <t>Ma'rib</t>
        </is>
      </c>
      <c r="E189" t="inlineStr">
        <is>
          <t>YE26</t>
        </is>
      </c>
      <c r="F189" t="inlineStr">
        <is>
          <t>Yemen</t>
        </is>
      </c>
      <c r="G189" t="inlineStr">
        <is>
          <t>YEM</t>
        </is>
      </c>
    </row>
    <row r="190">
      <c r="A190" t="inlineStr">
        <is>
          <t>Marib City</t>
        </is>
      </c>
      <c r="B190" t="inlineStr">
        <is>
          <t>مدينة مأرب</t>
        </is>
      </c>
      <c r="C190" t="inlineStr">
        <is>
          <t>YE2612</t>
        </is>
      </c>
      <c r="D190" t="inlineStr">
        <is>
          <t>Ma'rib</t>
        </is>
      </c>
      <c r="E190" t="inlineStr">
        <is>
          <t>YE26</t>
        </is>
      </c>
      <c r="F190" t="inlineStr">
        <is>
          <t>Yemen</t>
        </is>
      </c>
      <c r="G190" t="inlineStr">
        <is>
          <t>YEM</t>
        </is>
      </c>
    </row>
    <row r="191">
      <c r="A191" t="inlineStr">
        <is>
          <t>Hat</t>
        </is>
      </c>
      <c r="B191" t="inlineStr">
        <is>
          <t>حات</t>
        </is>
      </c>
      <c r="C191" t="inlineStr">
        <is>
          <t>YE2802</t>
        </is>
      </c>
      <c r="D191" t="inlineStr">
        <is>
          <t>Al Maharah</t>
        </is>
      </c>
      <c r="E191" t="inlineStr">
        <is>
          <t>YE28</t>
        </is>
      </c>
      <c r="F191" t="inlineStr">
        <is>
          <t>Yemen</t>
        </is>
      </c>
      <c r="G191" t="inlineStr">
        <is>
          <t>YEM</t>
        </is>
      </c>
    </row>
    <row r="192">
      <c r="A192" t="inlineStr">
        <is>
          <t>Al Ghaydah</t>
        </is>
      </c>
      <c r="B192" t="inlineStr">
        <is>
          <t>الغيظه</t>
        </is>
      </c>
      <c r="C192" t="inlineStr">
        <is>
          <t>YE2804</t>
        </is>
      </c>
      <c r="D192" t="inlineStr">
        <is>
          <t>Al Maharah</t>
        </is>
      </c>
      <c r="E192" t="inlineStr">
        <is>
          <t>YE28</t>
        </is>
      </c>
      <c r="F192" t="inlineStr">
        <is>
          <t>Yemen</t>
        </is>
      </c>
      <c r="G192" t="inlineStr">
        <is>
          <t>YEM</t>
        </is>
      </c>
    </row>
    <row r="193">
      <c r="A193" t="inlineStr">
        <is>
          <t>Jabal Murad</t>
        </is>
      </c>
      <c r="B193" t="inlineStr">
        <is>
          <t>جبل مراد</t>
        </is>
      </c>
      <c r="C193" t="inlineStr">
        <is>
          <t>YE2614</t>
        </is>
      </c>
      <c r="D193" t="inlineStr">
        <is>
          <t>Ma'rib</t>
        </is>
      </c>
      <c r="E193" t="inlineStr">
        <is>
          <t>YE26</t>
        </is>
      </c>
      <c r="F193" t="inlineStr">
        <is>
          <t>Yemen</t>
        </is>
      </c>
      <c r="G193" t="inlineStr">
        <is>
          <t>YEM</t>
        </is>
      </c>
    </row>
    <row r="194">
      <c r="A194" t="inlineStr">
        <is>
          <t>Man'ar</t>
        </is>
      </c>
      <c r="B194" t="inlineStr">
        <is>
          <t>منعر</t>
        </is>
      </c>
      <c r="C194" t="inlineStr">
        <is>
          <t>YE2805</t>
        </is>
      </c>
      <c r="D194" t="inlineStr">
        <is>
          <t>Al Maharah</t>
        </is>
      </c>
      <c r="E194" t="inlineStr">
        <is>
          <t>YE28</t>
        </is>
      </c>
      <c r="F194" t="inlineStr">
        <is>
          <t>Yemen</t>
        </is>
      </c>
      <c r="G194" t="inlineStr">
        <is>
          <t>YEM</t>
        </is>
      </c>
    </row>
    <row r="195">
      <c r="A195" t="inlineStr">
        <is>
          <t>Al Masilah</t>
        </is>
      </c>
      <c r="B195" t="inlineStr">
        <is>
          <t>المسيلة</t>
        </is>
      </c>
      <c r="C195" t="inlineStr">
        <is>
          <t>YE2806</t>
        </is>
      </c>
      <c r="D195" t="inlineStr">
        <is>
          <t>Al Maharah</t>
        </is>
      </c>
      <c r="E195" t="inlineStr">
        <is>
          <t>YE28</t>
        </is>
      </c>
      <c r="F195" t="inlineStr">
        <is>
          <t>Yemen</t>
        </is>
      </c>
      <c r="G195" t="inlineStr">
        <is>
          <t>YEM</t>
        </is>
      </c>
    </row>
    <row r="196">
      <c r="A196" t="inlineStr">
        <is>
          <t>Al Khabt</t>
        </is>
      </c>
      <c r="B196" t="inlineStr">
        <is>
          <t>الخبت</t>
        </is>
      </c>
      <c r="C196" t="inlineStr">
        <is>
          <t>YE2704</t>
        </is>
      </c>
      <c r="D196" t="inlineStr">
        <is>
          <t>Al Mahwit</t>
        </is>
      </c>
      <c r="E196" t="inlineStr">
        <is>
          <t>YE27</t>
        </is>
      </c>
      <c r="F196" t="inlineStr">
        <is>
          <t>Yemen</t>
        </is>
      </c>
      <c r="G196" t="inlineStr">
        <is>
          <t>YEM</t>
        </is>
      </c>
    </row>
    <row r="197">
      <c r="A197" t="inlineStr">
        <is>
          <t>Huth</t>
        </is>
      </c>
      <c r="B197" t="inlineStr">
        <is>
          <t>حوث</t>
        </is>
      </c>
      <c r="C197" t="inlineStr">
        <is>
          <t>YE2902</t>
        </is>
      </c>
      <c r="D197" t="inlineStr">
        <is>
          <t>Amran</t>
        </is>
      </c>
      <c r="E197" t="inlineStr">
        <is>
          <t>YE29</t>
        </is>
      </c>
      <c r="F197" t="inlineStr">
        <is>
          <t>Yemen</t>
        </is>
      </c>
      <c r="G197" t="inlineStr">
        <is>
          <t>YEM</t>
        </is>
      </c>
    </row>
    <row r="198">
      <c r="A198" t="inlineStr">
        <is>
          <t>Al Ashah</t>
        </is>
      </c>
      <c r="B198" t="inlineStr">
        <is>
          <t>العشـــــه</t>
        </is>
      </c>
      <c r="C198" t="inlineStr">
        <is>
          <t>YE2903</t>
        </is>
      </c>
      <c r="D198" t="inlineStr">
        <is>
          <t>Amran</t>
        </is>
      </c>
      <c r="E198" t="inlineStr">
        <is>
          <t>YE29</t>
        </is>
      </c>
      <c r="F198" t="inlineStr">
        <is>
          <t>Yemen</t>
        </is>
      </c>
      <c r="G198" t="inlineStr">
        <is>
          <t>YEM</t>
        </is>
      </c>
    </row>
    <row r="199">
      <c r="A199" t="inlineStr">
        <is>
          <t>Al Qaflah</t>
        </is>
      </c>
      <c r="B199" t="inlineStr">
        <is>
          <t>القفلة</t>
        </is>
      </c>
      <c r="C199" t="inlineStr">
        <is>
          <t>YE2904</t>
        </is>
      </c>
      <c r="D199" t="inlineStr">
        <is>
          <t>Amran</t>
        </is>
      </c>
      <c r="E199" t="inlineStr">
        <is>
          <t>YE29</t>
        </is>
      </c>
      <c r="F199" t="inlineStr">
        <is>
          <t>Yemen</t>
        </is>
      </c>
      <c r="G199" t="inlineStr">
        <is>
          <t>YEM</t>
        </is>
      </c>
    </row>
    <row r="200">
      <c r="A200" t="inlineStr">
        <is>
          <t>Shahan</t>
        </is>
      </c>
      <c r="B200" t="inlineStr">
        <is>
          <t>شحن</t>
        </is>
      </c>
      <c r="C200" t="inlineStr">
        <is>
          <t>YE2801</t>
        </is>
      </c>
      <c r="D200" t="inlineStr">
        <is>
          <t>Al Maharah</t>
        </is>
      </c>
      <c r="E200" t="inlineStr">
        <is>
          <t>YE28</t>
        </is>
      </c>
      <c r="F200" t="inlineStr">
        <is>
          <t>Yemen</t>
        </is>
      </c>
      <c r="G200" t="inlineStr">
        <is>
          <t>YEM</t>
        </is>
      </c>
    </row>
    <row r="201">
      <c r="A201" t="inlineStr">
        <is>
          <t>Shaharah</t>
        </is>
      </c>
      <c r="B201" t="inlineStr">
        <is>
          <t>شهاره</t>
        </is>
      </c>
      <c r="C201" t="inlineStr">
        <is>
          <t>YE2905</t>
        </is>
      </c>
      <c r="D201" t="inlineStr">
        <is>
          <t>Amran</t>
        </is>
      </c>
      <c r="E201" t="inlineStr">
        <is>
          <t>YE29</t>
        </is>
      </c>
      <c r="F201" t="inlineStr">
        <is>
          <t>Yemen</t>
        </is>
      </c>
      <c r="G201" t="inlineStr">
        <is>
          <t>YEM</t>
        </is>
      </c>
    </row>
    <row r="202">
      <c r="A202" t="inlineStr">
        <is>
          <t>Huswain</t>
        </is>
      </c>
      <c r="B202" t="inlineStr">
        <is>
          <t>حصوين</t>
        </is>
      </c>
      <c r="C202" t="inlineStr">
        <is>
          <t>YE2809</t>
        </is>
      </c>
      <c r="D202" t="inlineStr">
        <is>
          <t>Al Maharah</t>
        </is>
      </c>
      <c r="E202" t="inlineStr">
        <is>
          <t>YE28</t>
        </is>
      </c>
      <c r="F202" t="inlineStr">
        <is>
          <t>Yemen</t>
        </is>
      </c>
      <c r="G202" t="inlineStr">
        <is>
          <t>YEM</t>
        </is>
      </c>
    </row>
    <row r="203">
      <c r="A203" t="inlineStr">
        <is>
          <t>Jahaf</t>
        </is>
      </c>
      <c r="B203" t="inlineStr">
        <is>
          <t>جحاف</t>
        </is>
      </c>
      <c r="C203" t="inlineStr">
        <is>
          <t>YE3007</t>
        </is>
      </c>
      <c r="D203" t="inlineStr">
        <is>
          <t>Al Dhale'e'</t>
        </is>
      </c>
      <c r="E203" t="inlineStr">
        <is>
          <t>YE30</t>
        </is>
      </c>
      <c r="F203" t="inlineStr">
        <is>
          <t>Yemen</t>
        </is>
      </c>
      <c r="G203" t="inlineStr">
        <is>
          <t>YEM</t>
        </is>
      </c>
    </row>
    <row r="204">
      <c r="A204" t="inlineStr">
        <is>
          <t>Al Azariq</t>
        </is>
      </c>
      <c r="B204" t="inlineStr">
        <is>
          <t>الازارق</t>
        </is>
      </c>
      <c r="C204" t="inlineStr">
        <is>
          <t>YE3008</t>
        </is>
      </c>
      <c r="D204" t="inlineStr">
        <is>
          <t>Al Dhale'e'</t>
        </is>
      </c>
      <c r="E204" t="inlineStr">
        <is>
          <t>YE30</t>
        </is>
      </c>
      <c r="F204" t="inlineStr">
        <is>
          <t>Yemen</t>
        </is>
      </c>
      <c r="G204" t="inlineStr">
        <is>
          <t>YEM</t>
        </is>
      </c>
    </row>
    <row r="205">
      <c r="A205" t="inlineStr">
        <is>
          <t>Al Husha</t>
        </is>
      </c>
      <c r="B205" t="inlineStr">
        <is>
          <t>الحشاء</t>
        </is>
      </c>
      <c r="C205" t="inlineStr">
        <is>
          <t>YE3009</t>
        </is>
      </c>
      <c r="D205" t="inlineStr">
        <is>
          <t>Al Dhale'e'</t>
        </is>
      </c>
      <c r="E205" t="inlineStr">
        <is>
          <t>YE30</t>
        </is>
      </c>
      <c r="F205" t="inlineStr">
        <is>
          <t>Yemen</t>
        </is>
      </c>
      <c r="G205" t="inlineStr">
        <is>
          <t>YEM</t>
        </is>
      </c>
    </row>
    <row r="206">
      <c r="A206" t="inlineStr">
        <is>
          <t>Bilad At Ta'am</t>
        </is>
      </c>
      <c r="B206" t="inlineStr">
        <is>
          <t>بلاد الطعام</t>
        </is>
      </c>
      <c r="C206" t="inlineStr">
        <is>
          <t>YE3101</t>
        </is>
      </c>
      <c r="D206" t="inlineStr">
        <is>
          <t>Raymah</t>
        </is>
      </c>
      <c r="E206" t="inlineStr">
        <is>
          <t>YE31</t>
        </is>
      </c>
      <c r="F206" t="inlineStr">
        <is>
          <t>Yemen</t>
        </is>
      </c>
      <c r="G206" t="inlineStr">
        <is>
          <t>YEM</t>
        </is>
      </c>
    </row>
    <row r="207">
      <c r="A207" t="inlineStr">
        <is>
          <t>As Salafiyah</t>
        </is>
      </c>
      <c r="B207" t="inlineStr">
        <is>
          <t>السلفية</t>
        </is>
      </c>
      <c r="C207" t="inlineStr">
        <is>
          <t>YE3102</t>
        </is>
      </c>
      <c r="D207" t="inlineStr">
        <is>
          <t>Raymah</t>
        </is>
      </c>
      <c r="E207" t="inlineStr">
        <is>
          <t>YE31</t>
        </is>
      </c>
      <c r="F207" t="inlineStr">
        <is>
          <t>Yemen</t>
        </is>
      </c>
      <c r="G207" t="inlineStr">
        <is>
          <t>YEM</t>
        </is>
      </c>
    </row>
    <row r="208">
      <c r="A208" t="inlineStr">
        <is>
          <t>Al Jabin</t>
        </is>
      </c>
      <c r="B208" t="inlineStr">
        <is>
          <t>الجبين</t>
        </is>
      </c>
      <c r="C208" t="inlineStr">
        <is>
          <t>YE3103</t>
        </is>
      </c>
      <c r="D208" t="inlineStr">
        <is>
          <t>Raymah</t>
        </is>
      </c>
      <c r="E208" t="inlineStr">
        <is>
          <t>YE31</t>
        </is>
      </c>
      <c r="F208" t="inlineStr">
        <is>
          <t>Yemen</t>
        </is>
      </c>
      <c r="G208" t="inlineStr">
        <is>
          <t>YEM</t>
        </is>
      </c>
    </row>
    <row r="209">
      <c r="A209" t="inlineStr">
        <is>
          <t>Mazhar</t>
        </is>
      </c>
      <c r="B209" t="inlineStr">
        <is>
          <t>مزهر</t>
        </is>
      </c>
      <c r="C209" t="inlineStr">
        <is>
          <t>YE3104</t>
        </is>
      </c>
      <c r="D209" t="inlineStr">
        <is>
          <t>Raymah</t>
        </is>
      </c>
      <c r="E209" t="inlineStr">
        <is>
          <t>YE31</t>
        </is>
      </c>
      <c r="F209" t="inlineStr">
        <is>
          <t>Yemen</t>
        </is>
      </c>
      <c r="G209" t="inlineStr">
        <is>
          <t>YEM</t>
        </is>
      </c>
    </row>
    <row r="210">
      <c r="A210" t="inlineStr">
        <is>
          <t>Kusmah</t>
        </is>
      </c>
      <c r="B210" t="inlineStr">
        <is>
          <t>كسمه</t>
        </is>
      </c>
      <c r="C210" t="inlineStr">
        <is>
          <t>YE3105</t>
        </is>
      </c>
      <c r="D210" t="inlineStr">
        <is>
          <t>Raymah</t>
        </is>
      </c>
      <c r="E210" t="inlineStr">
        <is>
          <t>YE31</t>
        </is>
      </c>
      <c r="F210" t="inlineStr">
        <is>
          <t>Yemen</t>
        </is>
      </c>
      <c r="G210" t="inlineStr">
        <is>
          <t>YEM</t>
        </is>
      </c>
    </row>
    <row r="211">
      <c r="A211" t="inlineStr">
        <is>
          <t>Al Jafariyah</t>
        </is>
      </c>
      <c r="B211" t="inlineStr">
        <is>
          <t>الجعفرية</t>
        </is>
      </c>
      <c r="C211" t="inlineStr">
        <is>
          <t>YE3106</t>
        </is>
      </c>
      <c r="D211" t="inlineStr">
        <is>
          <t>Raymah</t>
        </is>
      </c>
      <c r="E211" t="inlineStr">
        <is>
          <t>YE31</t>
        </is>
      </c>
      <c r="F211" t="inlineStr">
        <is>
          <t>Yemen</t>
        </is>
      </c>
      <c r="G211" t="inlineStr">
        <is>
          <t>YEM</t>
        </is>
      </c>
    </row>
    <row r="212">
      <c r="A212" t="inlineStr">
        <is>
          <t>Hidaybu</t>
        </is>
      </c>
      <c r="B212" t="inlineStr">
        <is>
          <t>حديبو</t>
        </is>
      </c>
      <c r="C212" t="inlineStr">
        <is>
          <t>YE3201</t>
        </is>
      </c>
      <c r="D212" t="inlineStr">
        <is>
          <t>Socotra</t>
        </is>
      </c>
      <c r="E212" t="inlineStr">
        <is>
          <t>YE32</t>
        </is>
      </c>
      <c r="F212" t="inlineStr">
        <is>
          <t>Yemen</t>
        </is>
      </c>
      <c r="G212" t="inlineStr">
        <is>
          <t>YEM</t>
        </is>
      </c>
    </row>
    <row r="213">
      <c r="A213" t="inlineStr">
        <is>
          <t>Qulensya Wa Abd Al Kuri</t>
        </is>
      </c>
      <c r="B213" t="inlineStr">
        <is>
          <t>قلنسيه وعبدالكوري</t>
        </is>
      </c>
      <c r="C213" t="inlineStr">
        <is>
          <t>YE3202</t>
        </is>
      </c>
      <c r="D213" t="inlineStr">
        <is>
          <t>Socotra</t>
        </is>
      </c>
      <c r="E213" t="inlineStr">
        <is>
          <t>YE32</t>
        </is>
      </c>
      <c r="F213" t="inlineStr">
        <is>
          <t>Yemen</t>
        </is>
      </c>
      <c r="G213" t="inlineStr">
        <is>
          <t>YEM</t>
        </is>
      </c>
    </row>
    <row r="214">
      <c r="A214" t="inlineStr">
        <is>
          <t>As Sabain</t>
        </is>
      </c>
      <c r="B214" t="inlineStr">
        <is>
          <t>السبعين</t>
        </is>
      </c>
      <c r="C214" t="inlineStr">
        <is>
          <t>YE1305</t>
        </is>
      </c>
      <c r="D214" t="inlineStr">
        <is>
          <t>Sana'a City</t>
        </is>
      </c>
      <c r="E214" t="inlineStr">
        <is>
          <t>YE13</t>
        </is>
      </c>
      <c r="F214" t="inlineStr">
        <is>
          <t>Yemen</t>
        </is>
      </c>
      <c r="G214" t="inlineStr">
        <is>
          <t>YEM</t>
        </is>
      </c>
    </row>
    <row r="215">
      <c r="A215" t="inlineStr">
        <is>
          <t>Ad Dhale'e</t>
        </is>
      </c>
      <c r="B215" t="inlineStr">
        <is>
          <t>الضالع</t>
        </is>
      </c>
      <c r="C215" t="inlineStr">
        <is>
          <t>YE3006</t>
        </is>
      </c>
      <c r="D215" t="inlineStr">
        <is>
          <t>Al Dhale'e'</t>
        </is>
      </c>
      <c r="E215" t="inlineStr">
        <is>
          <t>YE30</t>
        </is>
      </c>
      <c r="F215" t="inlineStr">
        <is>
          <t>Yemen</t>
        </is>
      </c>
      <c r="G215" t="inlineStr">
        <is>
          <t>YEM</t>
        </is>
      </c>
    </row>
    <row r="216">
      <c r="A216" t="inlineStr">
        <is>
          <t>Al Hussein</t>
        </is>
      </c>
      <c r="B216" t="inlineStr">
        <is>
          <t>الحصين</t>
        </is>
      </c>
      <c r="C216" t="inlineStr">
        <is>
          <t>YE3005</t>
        </is>
      </c>
      <c r="D216" t="inlineStr">
        <is>
          <t>Al Dhale'e'</t>
        </is>
      </c>
      <c r="E216" t="inlineStr">
        <is>
          <t>YE30</t>
        </is>
      </c>
      <c r="F216" t="inlineStr">
        <is>
          <t>Yemen</t>
        </is>
      </c>
      <c r="G216" t="inlineStr">
        <is>
          <t>YEM</t>
        </is>
      </c>
    </row>
    <row r="217">
      <c r="A217" t="inlineStr">
        <is>
          <t>Khamir</t>
        </is>
      </c>
      <c r="B217" t="inlineStr">
        <is>
          <t>خمر</t>
        </is>
      </c>
      <c r="C217" t="inlineStr">
        <is>
          <t>YE2919</t>
        </is>
      </c>
      <c r="D217" t="inlineStr">
        <is>
          <t>Amran</t>
        </is>
      </c>
      <c r="E217" t="inlineStr">
        <is>
          <t>YE29</t>
        </is>
      </c>
      <c r="F217" t="inlineStr">
        <is>
          <t>Yemen</t>
        </is>
      </c>
      <c r="G217" t="inlineStr">
        <is>
          <t>YEM</t>
        </is>
      </c>
    </row>
    <row r="218">
      <c r="A218" t="inlineStr">
        <is>
          <t>Iyal Surayh</t>
        </is>
      </c>
      <c r="B218" t="inlineStr">
        <is>
          <t>عيال سريح</t>
        </is>
      </c>
      <c r="C218" t="inlineStr">
        <is>
          <t>YE2918</t>
        </is>
      </c>
      <c r="D218" t="inlineStr">
        <is>
          <t>Amran</t>
        </is>
      </c>
      <c r="E218" t="inlineStr">
        <is>
          <t>YE29</t>
        </is>
      </c>
      <c r="F218" t="inlineStr">
        <is>
          <t>Yemen</t>
        </is>
      </c>
      <c r="G218" t="inlineStr">
        <is>
          <t>YEM</t>
        </is>
      </c>
    </row>
    <row r="219">
      <c r="A219" t="inlineStr">
        <is>
          <t>Thula</t>
        </is>
      </c>
      <c r="B219" t="inlineStr">
        <is>
          <t>ثلاء</t>
        </is>
      </c>
      <c r="C219" t="inlineStr">
        <is>
          <t>YE2917</t>
        </is>
      </c>
      <c r="D219" t="inlineStr">
        <is>
          <t>Amran</t>
        </is>
      </c>
      <c r="E219" t="inlineStr">
        <is>
          <t>YE29</t>
        </is>
      </c>
      <c r="F219" t="inlineStr">
        <is>
          <t>Yemen</t>
        </is>
      </c>
      <c r="G219" t="inlineStr">
        <is>
          <t>YEM</t>
        </is>
      </c>
    </row>
    <row r="220">
      <c r="A220" t="inlineStr">
        <is>
          <t>Ash Shu'ayb</t>
        </is>
      </c>
      <c r="B220" t="inlineStr">
        <is>
          <t>الشعيب</t>
        </is>
      </c>
      <c r="C220" t="inlineStr">
        <is>
          <t>YE3004</t>
        </is>
      </c>
      <c r="D220" t="inlineStr">
        <is>
          <t>Al Dhale'e'</t>
        </is>
      </c>
      <c r="E220" t="inlineStr">
        <is>
          <t>YE30</t>
        </is>
      </c>
      <c r="F220" t="inlineStr">
        <is>
          <t>Yemen</t>
        </is>
      </c>
      <c r="G220" t="inlineStr">
        <is>
          <t>YEM</t>
        </is>
      </c>
    </row>
    <row r="221">
      <c r="A221" t="inlineStr">
        <is>
          <t>Qa'atabah</t>
        </is>
      </c>
      <c r="B221" t="inlineStr">
        <is>
          <t>قعطبة</t>
        </is>
      </c>
      <c r="C221" t="inlineStr">
        <is>
          <t>YE3003</t>
        </is>
      </c>
      <c r="D221" t="inlineStr">
        <is>
          <t>Al Dhale'e'</t>
        </is>
      </c>
      <c r="E221" t="inlineStr">
        <is>
          <t>YE30</t>
        </is>
      </c>
      <c r="F221" t="inlineStr">
        <is>
          <t>Yemen</t>
        </is>
      </c>
      <c r="G221" t="inlineStr">
        <is>
          <t>YEM</t>
        </is>
      </c>
    </row>
    <row r="222">
      <c r="A222" t="inlineStr">
        <is>
          <t>Damt</t>
        </is>
      </c>
      <c r="B222" t="inlineStr">
        <is>
          <t>دمت</t>
        </is>
      </c>
      <c r="C222" t="inlineStr">
        <is>
          <t>YE3002</t>
        </is>
      </c>
      <c r="D222" t="inlineStr">
        <is>
          <t>Al Dhale'e'</t>
        </is>
      </c>
      <c r="E222" t="inlineStr">
        <is>
          <t>YE30</t>
        </is>
      </c>
      <c r="F222" t="inlineStr">
        <is>
          <t>Yemen</t>
        </is>
      </c>
      <c r="G222" t="inlineStr">
        <is>
          <t>YEM</t>
        </is>
      </c>
    </row>
    <row r="223">
      <c r="A223" t="inlineStr">
        <is>
          <t>Juban</t>
        </is>
      </c>
      <c r="B223" t="inlineStr">
        <is>
          <t>جبن</t>
        </is>
      </c>
      <c r="C223" t="inlineStr">
        <is>
          <t>YE3001</t>
        </is>
      </c>
      <c r="D223" t="inlineStr">
        <is>
          <t>Al Dhale'e'</t>
        </is>
      </c>
      <c r="E223" t="inlineStr">
        <is>
          <t>YE30</t>
        </is>
      </c>
      <c r="F223" t="inlineStr">
        <is>
          <t>Yemen</t>
        </is>
      </c>
      <c r="G223" t="inlineStr">
        <is>
          <t>YEM</t>
        </is>
      </c>
    </row>
    <row r="224">
      <c r="A224" t="inlineStr">
        <is>
          <t>Bani Suraim</t>
        </is>
      </c>
      <c r="B224" t="inlineStr">
        <is>
          <t>بني صريم</t>
        </is>
      </c>
      <c r="C224" t="inlineStr">
        <is>
          <t>YE2920</t>
        </is>
      </c>
      <c r="D224" t="inlineStr">
        <is>
          <t>Amran</t>
        </is>
      </c>
      <c r="E224" t="inlineStr">
        <is>
          <t>YE29</t>
        </is>
      </c>
      <c r="F224" t="inlineStr">
        <is>
          <t>Yemen</t>
        </is>
      </c>
      <c r="G224" t="inlineStr">
        <is>
          <t>YEM</t>
        </is>
      </c>
    </row>
    <row r="225">
      <c r="A225" t="inlineStr">
        <is>
          <t>Maswar</t>
        </is>
      </c>
      <c r="B225" t="inlineStr">
        <is>
          <t>مسور</t>
        </is>
      </c>
      <c r="C225" t="inlineStr">
        <is>
          <t>YE2916</t>
        </is>
      </c>
      <c r="D225" t="inlineStr">
        <is>
          <t>Amran</t>
        </is>
      </c>
      <c r="E225" t="inlineStr">
        <is>
          <t>YE29</t>
        </is>
      </c>
      <c r="F225" t="inlineStr">
        <is>
          <t>Yemen</t>
        </is>
      </c>
      <c r="G225" t="inlineStr">
        <is>
          <t>YEM</t>
        </is>
      </c>
    </row>
    <row r="226">
      <c r="A226" t="inlineStr">
        <is>
          <t>As Sawd</t>
        </is>
      </c>
      <c r="B226" t="inlineStr">
        <is>
          <t>السود</t>
        </is>
      </c>
      <c r="C226" t="inlineStr">
        <is>
          <t>YE2914</t>
        </is>
      </c>
      <c r="D226" t="inlineStr">
        <is>
          <t>Amran</t>
        </is>
      </c>
      <c r="E226" t="inlineStr">
        <is>
          <t>YE29</t>
        </is>
      </c>
      <c r="F226" t="inlineStr">
        <is>
          <t>Yemen</t>
        </is>
      </c>
      <c r="G226" t="inlineStr">
        <is>
          <t>YEM</t>
        </is>
      </c>
    </row>
    <row r="227">
      <c r="A227" t="inlineStr">
        <is>
          <t>Amran</t>
        </is>
      </c>
      <c r="B227" t="inlineStr">
        <is>
          <t>عمران</t>
        </is>
      </c>
      <c r="C227" t="inlineStr">
        <is>
          <t>YE2915</t>
        </is>
      </c>
      <c r="D227" t="inlineStr">
        <is>
          <t>Amran</t>
        </is>
      </c>
      <c r="E227" t="inlineStr">
        <is>
          <t>YE29</t>
        </is>
      </c>
      <c r="F227" t="inlineStr">
        <is>
          <t>Yemen</t>
        </is>
      </c>
      <c r="G227" t="inlineStr">
        <is>
          <t>YEM</t>
        </is>
      </c>
    </row>
    <row r="228">
      <c r="A228" t="inlineStr">
        <is>
          <t>As Sudah</t>
        </is>
      </c>
      <c r="B228" t="inlineStr">
        <is>
          <t>السوده</t>
        </is>
      </c>
      <c r="C228" t="inlineStr">
        <is>
          <t>YE2913</t>
        </is>
      </c>
      <c r="D228" t="inlineStr">
        <is>
          <t>Amran</t>
        </is>
      </c>
      <c r="E228" t="inlineStr">
        <is>
          <t>YE29</t>
        </is>
      </c>
      <c r="F228" t="inlineStr">
        <is>
          <t>Yemen</t>
        </is>
      </c>
      <c r="G228" t="inlineStr">
        <is>
          <t>YEM</t>
        </is>
      </c>
    </row>
    <row r="229">
      <c r="A229" t="inlineStr">
        <is>
          <t>Raydah</t>
        </is>
      </c>
      <c r="B229" t="inlineStr">
        <is>
          <t>ريده</t>
        </is>
      </c>
      <c r="C229" t="inlineStr">
        <is>
          <t>YE2911</t>
        </is>
      </c>
      <c r="D229" t="inlineStr">
        <is>
          <t>Amran</t>
        </is>
      </c>
      <c r="E229" t="inlineStr">
        <is>
          <t>YE29</t>
        </is>
      </c>
      <c r="F229" t="inlineStr">
        <is>
          <t>Yemen</t>
        </is>
      </c>
      <c r="G229" t="inlineStr">
        <is>
          <t>YEM</t>
        </is>
      </c>
    </row>
    <row r="230">
      <c r="A230" t="inlineStr">
        <is>
          <t>Dhi Bin</t>
        </is>
      </c>
      <c r="B230" t="inlineStr">
        <is>
          <t>ذيبين</t>
        </is>
      </c>
      <c r="C230" t="inlineStr">
        <is>
          <t>YE2909</t>
        </is>
      </c>
      <c r="D230" t="inlineStr">
        <is>
          <t>Amran</t>
        </is>
      </c>
      <c r="E230" t="inlineStr">
        <is>
          <t>YE29</t>
        </is>
      </c>
      <c r="F230" t="inlineStr">
        <is>
          <t>Yemen</t>
        </is>
      </c>
      <c r="G230" t="inlineStr">
        <is>
          <t>YEM</t>
        </is>
      </c>
    </row>
    <row r="231">
      <c r="A231" t="inlineStr">
        <is>
          <t>Habur Zulaymah</t>
        </is>
      </c>
      <c r="B231" t="inlineStr">
        <is>
          <t>حبور ظليمة</t>
        </is>
      </c>
      <c r="C231" t="inlineStr">
        <is>
          <t>YE2908</t>
        </is>
      </c>
      <c r="D231" t="inlineStr">
        <is>
          <t>Amran</t>
        </is>
      </c>
      <c r="E231" t="inlineStr">
        <is>
          <t>YE29</t>
        </is>
      </c>
      <c r="F231" t="inlineStr">
        <is>
          <t>Yemen</t>
        </is>
      </c>
      <c r="G231" t="inlineStr">
        <is>
          <t>YEM</t>
        </is>
      </c>
    </row>
    <row r="232">
      <c r="A232" t="inlineStr">
        <is>
          <t>Suwayr</t>
        </is>
      </c>
      <c r="B232" t="inlineStr">
        <is>
          <t>صـويــــر</t>
        </is>
      </c>
      <c r="C232" t="inlineStr">
        <is>
          <t>YE2907</t>
        </is>
      </c>
      <c r="D232" t="inlineStr">
        <is>
          <t>Amran</t>
        </is>
      </c>
      <c r="E232" t="inlineStr">
        <is>
          <t>YE29</t>
        </is>
      </c>
      <c r="F232" t="inlineStr">
        <is>
          <t>Yemen</t>
        </is>
      </c>
      <c r="G232" t="inlineStr">
        <is>
          <t>YEM</t>
        </is>
      </c>
    </row>
    <row r="233">
      <c r="A233" t="inlineStr">
        <is>
          <t>Kharif</t>
        </is>
      </c>
      <c r="B233" t="inlineStr">
        <is>
          <t>خارف</t>
        </is>
      </c>
      <c r="C233" t="inlineStr">
        <is>
          <t>YE2910</t>
        </is>
      </c>
      <c r="D233" t="inlineStr">
        <is>
          <t>Amran</t>
        </is>
      </c>
      <c r="E233" t="inlineStr">
        <is>
          <t>YE29</t>
        </is>
      </c>
      <c r="F233" t="inlineStr">
        <is>
          <t>Yemen</t>
        </is>
      </c>
      <c r="G233" t="inlineStr">
        <is>
          <t>YEM</t>
        </is>
      </c>
    </row>
    <row r="234">
      <c r="A234" t="inlineStr">
        <is>
          <t>Al Madan</t>
        </is>
      </c>
      <c r="B234" t="inlineStr">
        <is>
          <t>المــدان</t>
        </is>
      </c>
      <c r="C234" t="inlineStr">
        <is>
          <t>YE2906</t>
        </is>
      </c>
      <c r="D234" t="inlineStr">
        <is>
          <t>Amran</t>
        </is>
      </c>
      <c r="E234" t="inlineStr">
        <is>
          <t>YE29</t>
        </is>
      </c>
      <c r="F234" t="inlineStr">
        <is>
          <t>Yemen</t>
        </is>
      </c>
      <c r="G234" t="inlineStr">
        <is>
          <t>YEM</t>
        </is>
      </c>
    </row>
    <row r="235">
      <c r="A235" t="inlineStr">
        <is>
          <t>Qishn</t>
        </is>
      </c>
      <c r="B235" t="inlineStr">
        <is>
          <t>قشن</t>
        </is>
      </c>
      <c r="C235" t="inlineStr">
        <is>
          <t>YE2808</t>
        </is>
      </c>
      <c r="D235" t="inlineStr">
        <is>
          <t>Al Maharah</t>
        </is>
      </c>
      <c r="E235" t="inlineStr">
        <is>
          <t>YE28</t>
        </is>
      </c>
      <c r="F235" t="inlineStr">
        <is>
          <t>Yemen</t>
        </is>
      </c>
      <c r="G235" t="inlineStr">
        <is>
          <t>YEM</t>
        </is>
      </c>
    </row>
    <row r="236">
      <c r="A236" t="inlineStr">
        <is>
          <t>Sayhut</t>
        </is>
      </c>
      <c r="B236" t="inlineStr">
        <is>
          <t>سيحوت</t>
        </is>
      </c>
      <c r="C236" t="inlineStr">
        <is>
          <t>YE2807</t>
        </is>
      </c>
      <c r="D236" t="inlineStr">
        <is>
          <t>Al Maharah</t>
        </is>
      </c>
      <c r="E236" t="inlineStr">
        <is>
          <t>YE28</t>
        </is>
      </c>
      <c r="F236" t="inlineStr">
        <is>
          <t>Yemen</t>
        </is>
      </c>
      <c r="G236" t="inlineStr">
        <is>
          <t>YEM</t>
        </is>
      </c>
    </row>
    <row r="237">
      <c r="A237" t="inlineStr">
        <is>
          <t>Al Mahwait</t>
        </is>
      </c>
      <c r="B237" t="inlineStr">
        <is>
          <t>المحويت</t>
        </is>
      </c>
      <c r="C237" t="inlineStr">
        <is>
          <t>YE2709</t>
        </is>
      </c>
      <c r="D237" t="inlineStr">
        <is>
          <t>Al Mahwit</t>
        </is>
      </c>
      <c r="E237" t="inlineStr">
        <is>
          <t>YE27</t>
        </is>
      </c>
      <c r="F237" t="inlineStr">
        <is>
          <t>Yemen</t>
        </is>
      </c>
      <c r="G237" t="inlineStr">
        <is>
          <t>YEM</t>
        </is>
      </c>
    </row>
    <row r="238">
      <c r="A238" t="inlineStr">
        <is>
          <t>Ar Rujum</t>
        </is>
      </c>
      <c r="B238" t="inlineStr">
        <is>
          <t>الرجم</t>
        </is>
      </c>
      <c r="C238" t="inlineStr">
        <is>
          <t>YE2703</t>
        </is>
      </c>
      <c r="D238" t="inlineStr">
        <is>
          <t>Al Mahwit</t>
        </is>
      </c>
      <c r="E238" t="inlineStr">
        <is>
          <t>YE27</t>
        </is>
      </c>
      <c r="F238" t="inlineStr">
        <is>
          <t>Yemen</t>
        </is>
      </c>
      <c r="G238" t="inlineStr">
        <is>
          <t>YEM</t>
        </is>
      </c>
    </row>
    <row r="239">
      <c r="A239" t="inlineStr">
        <is>
          <t>At Tawilah</t>
        </is>
      </c>
      <c r="B239" t="inlineStr">
        <is>
          <t>الطويلة</t>
        </is>
      </c>
      <c r="C239" t="inlineStr">
        <is>
          <t>YE2702</t>
        </is>
      </c>
      <c r="D239" t="inlineStr">
        <is>
          <t>Al Mahwit</t>
        </is>
      </c>
      <c r="E239" t="inlineStr">
        <is>
          <t>YE27</t>
        </is>
      </c>
      <c r="F239" t="inlineStr">
        <is>
          <t>Yemen</t>
        </is>
      </c>
      <c r="G239" t="inlineStr">
        <is>
          <t>YEM</t>
        </is>
      </c>
    </row>
    <row r="240">
      <c r="A240" t="inlineStr">
        <is>
          <t>Harf Sufyan</t>
        </is>
      </c>
      <c r="B240" t="inlineStr">
        <is>
          <t>حرف سفيان</t>
        </is>
      </c>
      <c r="C240" t="inlineStr">
        <is>
          <t>YE2901</t>
        </is>
      </c>
      <c r="D240" t="inlineStr">
        <is>
          <t>Amran</t>
        </is>
      </c>
      <c r="E240" t="inlineStr">
        <is>
          <t>YE29</t>
        </is>
      </c>
      <c r="F240" t="inlineStr">
        <is>
          <t>Yemen</t>
        </is>
      </c>
      <c r="G240" t="inlineStr">
        <is>
          <t>YEM</t>
        </is>
      </c>
    </row>
    <row r="241">
      <c r="A241" t="inlineStr">
        <is>
          <t>Shibam Kawkaban</t>
        </is>
      </c>
      <c r="B241" t="inlineStr">
        <is>
          <t>شبام كوكبان</t>
        </is>
      </c>
      <c r="C241" t="inlineStr">
        <is>
          <t>YE2701</t>
        </is>
      </c>
      <c r="D241" t="inlineStr">
        <is>
          <t>Al Mahwit</t>
        </is>
      </c>
      <c r="E241" t="inlineStr">
        <is>
          <t>YE27</t>
        </is>
      </c>
      <c r="F241" t="inlineStr">
        <is>
          <t>Yemen</t>
        </is>
      </c>
      <c r="G241" t="inlineStr">
        <is>
          <t>YEM</t>
        </is>
      </c>
    </row>
    <row r="242">
      <c r="A242" t="inlineStr">
        <is>
          <t>Hawf</t>
        </is>
      </c>
      <c r="B242" t="inlineStr">
        <is>
          <t>حوف</t>
        </is>
      </c>
      <c r="C242" t="inlineStr">
        <is>
          <t>YE2803</t>
        </is>
      </c>
      <c r="D242" t="inlineStr">
        <is>
          <t>Al Maharah</t>
        </is>
      </c>
      <c r="E242" t="inlineStr">
        <is>
          <t>YE28</t>
        </is>
      </c>
      <c r="F242" t="inlineStr">
        <is>
          <t>Yemen</t>
        </is>
      </c>
      <c r="G242" t="inlineStr">
        <is>
          <t>YEM</t>
        </is>
      </c>
    </row>
    <row r="243">
      <c r="A243" t="inlineStr">
        <is>
          <t>Marib</t>
        </is>
      </c>
      <c r="B243" t="inlineStr">
        <is>
          <t>مأرب</t>
        </is>
      </c>
      <c r="C243" t="inlineStr">
        <is>
          <t>YE2613</t>
        </is>
      </c>
      <c r="D243" t="inlineStr">
        <is>
          <t>Ma'rib</t>
        </is>
      </c>
      <c r="E243" t="inlineStr">
        <is>
          <t>YE26</t>
        </is>
      </c>
      <c r="F243" t="inlineStr">
        <is>
          <t>Yemen</t>
        </is>
      </c>
      <c r="G243" t="inlineStr">
        <is>
          <t>YEM</t>
        </is>
      </c>
    </row>
    <row r="244">
      <c r="A244" t="inlineStr">
        <is>
          <t>Al Abdiyah</t>
        </is>
      </c>
      <c r="B244" t="inlineStr">
        <is>
          <t>العبدية</t>
        </is>
      </c>
      <c r="C244" t="inlineStr">
        <is>
          <t>YE2611</t>
        </is>
      </c>
      <c r="D244" t="inlineStr">
        <is>
          <t>Ma'rib</t>
        </is>
      </c>
      <c r="E244" t="inlineStr">
        <is>
          <t>YE26</t>
        </is>
      </c>
      <c r="F244" t="inlineStr">
        <is>
          <t>Yemen</t>
        </is>
      </c>
      <c r="G244" t="inlineStr">
        <is>
          <t>YEM</t>
        </is>
      </c>
    </row>
    <row r="245">
      <c r="A245" t="inlineStr">
        <is>
          <t>Mahliyah</t>
        </is>
      </c>
      <c r="B245" t="inlineStr">
        <is>
          <t>ماهليه</t>
        </is>
      </c>
      <c r="C245" t="inlineStr">
        <is>
          <t>YE2610</t>
        </is>
      </c>
      <c r="D245" t="inlineStr">
        <is>
          <t>Ma'rib</t>
        </is>
      </c>
      <c r="E245" t="inlineStr">
        <is>
          <t>YE26</t>
        </is>
      </c>
      <c r="F245" t="inlineStr">
        <is>
          <t>Yemen</t>
        </is>
      </c>
      <c r="G245" t="inlineStr">
        <is>
          <t>YEM</t>
        </is>
      </c>
    </row>
    <row r="246">
      <c r="A246" t="inlineStr">
        <is>
          <t>Harib</t>
        </is>
      </c>
      <c r="B246" t="inlineStr">
        <is>
          <t>حريب</t>
        </is>
      </c>
      <c r="C246" t="inlineStr">
        <is>
          <t>YE2609</t>
        </is>
      </c>
      <c r="D246" t="inlineStr">
        <is>
          <t>Ma'rib</t>
        </is>
      </c>
      <c r="E246" t="inlineStr">
        <is>
          <t>YE26</t>
        </is>
      </c>
      <c r="F246" t="inlineStr">
        <is>
          <t>Yemen</t>
        </is>
      </c>
      <c r="G246" t="inlineStr">
        <is>
          <t>YEM</t>
        </is>
      </c>
    </row>
    <row r="247">
      <c r="A247" t="inlineStr">
        <is>
          <t>Jabal Iyal Yazid</t>
        </is>
      </c>
      <c r="B247" t="inlineStr">
        <is>
          <t>جبل عيال يزيد</t>
        </is>
      </c>
      <c r="C247" t="inlineStr">
        <is>
          <t>YE2912</t>
        </is>
      </c>
      <c r="D247" t="inlineStr">
        <is>
          <t>Amran</t>
        </is>
      </c>
      <c r="E247" t="inlineStr">
        <is>
          <t>YE29</t>
        </is>
      </c>
      <c r="F247" t="inlineStr">
        <is>
          <t>Yemen</t>
        </is>
      </c>
      <c r="G247" t="inlineStr">
        <is>
          <t>YEM</t>
        </is>
      </c>
    </row>
    <row r="248">
      <c r="A248" t="inlineStr">
        <is>
          <t>Rahabah</t>
        </is>
      </c>
      <c r="B248" t="inlineStr">
        <is>
          <t>رحبه</t>
        </is>
      </c>
      <c r="C248" t="inlineStr">
        <is>
          <t>YE2608</t>
        </is>
      </c>
      <c r="D248" t="inlineStr">
        <is>
          <t>Ma'rib</t>
        </is>
      </c>
      <c r="E248" t="inlineStr">
        <is>
          <t>YE26</t>
        </is>
      </c>
      <c r="F248" t="inlineStr">
        <is>
          <t>Yemen</t>
        </is>
      </c>
      <c r="G248" t="inlineStr">
        <is>
          <t>YEM</t>
        </is>
      </c>
    </row>
    <row r="249">
      <c r="A249" t="inlineStr">
        <is>
          <t>Al Jubah</t>
        </is>
      </c>
      <c r="B249" t="inlineStr">
        <is>
          <t>الجوبة</t>
        </is>
      </c>
      <c r="C249" t="inlineStr">
        <is>
          <t>YE2607</t>
        </is>
      </c>
      <c r="D249" t="inlineStr">
        <is>
          <t>Ma'rib</t>
        </is>
      </c>
      <c r="E249" t="inlineStr">
        <is>
          <t>YE26</t>
        </is>
      </c>
      <c r="F249" t="inlineStr">
        <is>
          <t>Yemen</t>
        </is>
      </c>
      <c r="G249" t="inlineStr">
        <is>
          <t>YEM</t>
        </is>
      </c>
    </row>
    <row r="250">
      <c r="A250" t="inlineStr">
        <is>
          <t>Majzar</t>
        </is>
      </c>
      <c r="B250" t="inlineStr">
        <is>
          <t>مجزر</t>
        </is>
      </c>
      <c r="C250" t="inlineStr">
        <is>
          <t>YE2601</t>
        </is>
      </c>
      <c r="D250" t="inlineStr">
        <is>
          <t>Ma'rib</t>
        </is>
      </c>
      <c r="E250" t="inlineStr">
        <is>
          <t>YE26</t>
        </is>
      </c>
      <c r="F250" t="inlineStr">
        <is>
          <t>Yemen</t>
        </is>
      </c>
      <c r="G250" t="inlineStr">
        <is>
          <t>YEM</t>
        </is>
      </c>
    </row>
    <row r="251">
      <c r="A251" t="inlineStr">
        <is>
          <t>Tuban</t>
        </is>
      </c>
      <c r="B251" t="inlineStr">
        <is>
          <t>تبن</t>
        </is>
      </c>
      <c r="C251" t="inlineStr">
        <is>
          <t>YE2515</t>
        </is>
      </c>
      <c r="D251" t="inlineStr">
        <is>
          <t>Lahj</t>
        </is>
      </c>
      <c r="E251" t="inlineStr">
        <is>
          <t>YE25</t>
        </is>
      </c>
      <c r="F251" t="inlineStr">
        <is>
          <t>Yemen</t>
        </is>
      </c>
      <c r="G251" t="inlineStr">
        <is>
          <t>YEM</t>
        </is>
      </c>
    </row>
    <row r="252">
      <c r="A252" t="inlineStr">
        <is>
          <t>Bani Sa'd</t>
        </is>
      </c>
      <c r="B252" t="inlineStr">
        <is>
          <t>بني سعد</t>
        </is>
      </c>
      <c r="C252" t="inlineStr">
        <is>
          <t>YE2707</t>
        </is>
      </c>
      <c r="D252" t="inlineStr">
        <is>
          <t>Al Mahwit</t>
        </is>
      </c>
      <c r="E252" t="inlineStr">
        <is>
          <t>YE27</t>
        </is>
      </c>
      <c r="F252" t="inlineStr">
        <is>
          <t>Yemen</t>
        </is>
      </c>
      <c r="G252" t="inlineStr">
        <is>
          <t>YEM</t>
        </is>
      </c>
    </row>
    <row r="253">
      <c r="A253" t="inlineStr">
        <is>
          <t>Hufash</t>
        </is>
      </c>
      <c r="B253" t="inlineStr">
        <is>
          <t>حفاش</t>
        </is>
      </c>
      <c r="C253" t="inlineStr">
        <is>
          <t>YE2706</t>
        </is>
      </c>
      <c r="D253" t="inlineStr">
        <is>
          <t>Al Mahwit</t>
        </is>
      </c>
      <c r="E253" t="inlineStr">
        <is>
          <t>YE27</t>
        </is>
      </c>
      <c r="F253" t="inlineStr">
        <is>
          <t>Yemen</t>
        </is>
      </c>
      <c r="G253" t="inlineStr">
        <is>
          <t>YEM</t>
        </is>
      </c>
    </row>
    <row r="254">
      <c r="A254" t="inlineStr">
        <is>
          <t>Radfan</t>
        </is>
      </c>
      <c r="B254" t="inlineStr">
        <is>
          <t>ردفان</t>
        </is>
      </c>
      <c r="C254" t="inlineStr">
        <is>
          <t>YE2507</t>
        </is>
      </c>
      <c r="D254" t="inlineStr">
        <is>
          <t>Lahj</t>
        </is>
      </c>
      <c r="E254" t="inlineStr">
        <is>
          <t>YE25</t>
        </is>
      </c>
      <c r="F254" t="inlineStr">
        <is>
          <t>Yemen</t>
        </is>
      </c>
      <c r="G254" t="inlineStr">
        <is>
          <t>YEM</t>
        </is>
      </c>
    </row>
    <row r="255">
      <c r="A255" t="inlineStr">
        <is>
          <t>Al Had</t>
        </is>
      </c>
      <c r="B255" t="inlineStr">
        <is>
          <t>الحد</t>
        </is>
      </c>
      <c r="C255" t="inlineStr">
        <is>
          <t>YE2501</t>
        </is>
      </c>
      <c r="D255" t="inlineStr">
        <is>
          <t>Lahj</t>
        </is>
      </c>
      <c r="E255" t="inlineStr">
        <is>
          <t>YE25</t>
        </is>
      </c>
      <c r="F255" t="inlineStr">
        <is>
          <t>Yemen</t>
        </is>
      </c>
      <c r="G255" t="inlineStr">
        <is>
          <t>YEM</t>
        </is>
      </c>
    </row>
    <row r="256">
      <c r="A256" t="inlineStr">
        <is>
          <t>Craiter</t>
        </is>
      </c>
      <c r="B256" t="inlineStr">
        <is>
          <t>كريتر</t>
        </is>
      </c>
      <c r="C256" t="inlineStr">
        <is>
          <t>YE2407</t>
        </is>
      </c>
      <c r="D256" t="inlineStr">
        <is>
          <t>Aden</t>
        </is>
      </c>
      <c r="E256" t="inlineStr">
        <is>
          <t>YE24</t>
        </is>
      </c>
      <c r="F256" t="inlineStr">
        <is>
          <t>Yemen</t>
        </is>
      </c>
      <c r="G256" t="inlineStr">
        <is>
          <t>YEM</t>
        </is>
      </c>
    </row>
    <row r="257">
      <c r="A257" t="inlineStr">
        <is>
          <t>Yafa'a</t>
        </is>
      </c>
      <c r="B257" t="inlineStr">
        <is>
          <t>يافع</t>
        </is>
      </c>
      <c r="C257" t="inlineStr">
        <is>
          <t>YE2502</t>
        </is>
      </c>
      <c r="D257" t="inlineStr">
        <is>
          <t>Lahj</t>
        </is>
      </c>
      <c r="E257" t="inlineStr">
        <is>
          <t>YE25</t>
        </is>
      </c>
      <c r="F257" t="inlineStr">
        <is>
          <t>Yemen</t>
        </is>
      </c>
      <c r="G257" t="inlineStr">
        <is>
          <t>YEM</t>
        </is>
      </c>
    </row>
    <row r="258">
      <c r="A258" t="inlineStr">
        <is>
          <t>Ash Shaikh Outhman</t>
        </is>
      </c>
      <c r="B258" t="inlineStr">
        <is>
          <t>الشيخ عثمان</t>
        </is>
      </c>
      <c r="C258" t="inlineStr">
        <is>
          <t>YE2402</t>
        </is>
      </c>
      <c r="D258" t="inlineStr">
        <is>
          <t>Aden</t>
        </is>
      </c>
      <c r="E258" t="inlineStr">
        <is>
          <t>YE24</t>
        </is>
      </c>
      <c r="F258" t="inlineStr">
        <is>
          <t>Yemen</t>
        </is>
      </c>
      <c r="G258" t="inlineStr">
        <is>
          <t>YEM</t>
        </is>
      </c>
    </row>
    <row r="259">
      <c r="A259" t="inlineStr">
        <is>
          <t>Manakhah</t>
        </is>
      </c>
      <c r="B259" t="inlineStr">
        <is>
          <t>مناخه</t>
        </is>
      </c>
      <c r="C259" t="inlineStr">
        <is>
          <t>YE2310</t>
        </is>
      </c>
      <c r="D259" t="inlineStr">
        <is>
          <t>Sana'a</t>
        </is>
      </c>
      <c r="E259" t="inlineStr">
        <is>
          <t>YE23</t>
        </is>
      </c>
      <c r="F259" t="inlineStr">
        <is>
          <t>Yemen</t>
        </is>
      </c>
      <c r="G259" t="inlineStr">
        <is>
          <t>YEM</t>
        </is>
      </c>
    </row>
    <row r="260">
      <c r="A260" t="inlineStr">
        <is>
          <t>Al Haymah Al Kharijiyah</t>
        </is>
      </c>
      <c r="B260" t="inlineStr">
        <is>
          <t>الحيمة الخارجية</t>
        </is>
      </c>
      <c r="C260" t="inlineStr">
        <is>
          <t>YE2309</t>
        </is>
      </c>
      <c r="D260" t="inlineStr">
        <is>
          <t>Sana'a</t>
        </is>
      </c>
      <c r="E260" t="inlineStr">
        <is>
          <t>YE23</t>
        </is>
      </c>
      <c r="F260" t="inlineStr">
        <is>
          <t>Yemen</t>
        </is>
      </c>
      <c r="G260" t="inlineStr">
        <is>
          <t>YEM</t>
        </is>
      </c>
    </row>
    <row r="261">
      <c r="A261" t="inlineStr">
        <is>
          <t>Al Haymah Ad Dakhiliyah</t>
        </is>
      </c>
      <c r="B261" t="inlineStr">
        <is>
          <t>الحيمة الداخلية</t>
        </is>
      </c>
      <c r="C261" t="inlineStr">
        <is>
          <t>YE2308</t>
        </is>
      </c>
      <c r="D261" t="inlineStr">
        <is>
          <t>Sana'a</t>
        </is>
      </c>
      <c r="E261" t="inlineStr">
        <is>
          <t>YE23</t>
        </is>
      </c>
      <c r="F261" t="inlineStr">
        <is>
          <t>Yemen</t>
        </is>
      </c>
      <c r="G261" t="inlineStr">
        <is>
          <t>YEM</t>
        </is>
      </c>
    </row>
    <row r="262">
      <c r="A262" t="inlineStr">
        <is>
          <t>Bani Matar</t>
        </is>
      </c>
      <c r="B262" t="inlineStr">
        <is>
          <t>بني مطر</t>
        </is>
      </c>
      <c r="C262" t="inlineStr">
        <is>
          <t>YE2307</t>
        </is>
      </c>
      <c r="D262" t="inlineStr">
        <is>
          <t>Sana'a</t>
        </is>
      </c>
      <c r="E262" t="inlineStr">
        <is>
          <t>YE23</t>
        </is>
      </c>
      <c r="F262" t="inlineStr">
        <is>
          <t>Yemen</t>
        </is>
      </c>
      <c r="G262" t="inlineStr">
        <is>
          <t>YEM</t>
        </is>
      </c>
    </row>
    <row r="263">
      <c r="A263" t="inlineStr">
        <is>
          <t>Saqayn</t>
        </is>
      </c>
      <c r="B263" t="inlineStr">
        <is>
          <t>ساقين</t>
        </is>
      </c>
      <c r="C263" t="inlineStr">
        <is>
          <t>YE2209</t>
        </is>
      </c>
      <c r="D263" t="inlineStr">
        <is>
          <t>Sa'dah</t>
        </is>
      </c>
      <c r="E263" t="inlineStr">
        <is>
          <t>YE22</t>
        </is>
      </c>
      <c r="F263" t="inlineStr">
        <is>
          <t>Yemen</t>
        </is>
      </c>
      <c r="G263" t="inlineStr">
        <is>
          <t>YEM</t>
        </is>
      </c>
    </row>
    <row r="264">
      <c r="A264" t="inlineStr">
        <is>
          <t>Shada'a</t>
        </is>
      </c>
      <c r="B264" t="inlineStr">
        <is>
          <t>شداء</t>
        </is>
      </c>
      <c r="C264" t="inlineStr">
        <is>
          <t>YE2206</t>
        </is>
      </c>
      <c r="D264" t="inlineStr">
        <is>
          <t>Sa'dah</t>
        </is>
      </c>
      <c r="E264" t="inlineStr">
        <is>
          <t>YE22</t>
        </is>
      </c>
      <c r="F264" t="inlineStr">
        <is>
          <t>Yemen</t>
        </is>
      </c>
      <c r="G264" t="inlineStr">
        <is>
          <t>YEM</t>
        </is>
      </c>
    </row>
    <row r="265">
      <c r="A265" t="inlineStr">
        <is>
          <t>Hatib</t>
        </is>
      </c>
      <c r="B265" t="inlineStr">
        <is>
          <t>حطيب</t>
        </is>
      </c>
      <c r="C265" t="inlineStr">
        <is>
          <t>YE2111</t>
        </is>
      </c>
      <c r="D265" t="inlineStr">
        <is>
          <t>Shabwah</t>
        </is>
      </c>
      <c r="E265" t="inlineStr">
        <is>
          <t>YE21</t>
        </is>
      </c>
      <c r="F265" t="inlineStr">
        <is>
          <t>Yemen</t>
        </is>
      </c>
      <c r="G265" t="inlineStr">
        <is>
          <t>YEM</t>
        </is>
      </c>
    </row>
    <row r="266">
      <c r="A266" t="inlineStr">
        <is>
          <t>Razih</t>
        </is>
      </c>
      <c r="B266" t="inlineStr">
        <is>
          <t>رازح</t>
        </is>
      </c>
      <c r="C266" t="inlineStr">
        <is>
          <t>YE2205</t>
        </is>
      </c>
      <c r="D266" t="inlineStr">
        <is>
          <t>Sa'dah</t>
        </is>
      </c>
      <c r="E266" t="inlineStr">
        <is>
          <t>YE22</t>
        </is>
      </c>
      <c r="F266" t="inlineStr">
        <is>
          <t>Yemen</t>
        </is>
      </c>
      <c r="G266" t="inlineStr">
        <is>
          <t>YEM</t>
        </is>
      </c>
    </row>
    <row r="267">
      <c r="A267" t="inlineStr">
        <is>
          <t>Nisab</t>
        </is>
      </c>
      <c r="B267" t="inlineStr">
        <is>
          <t>نصاب</t>
        </is>
      </c>
      <c r="C267" t="inlineStr">
        <is>
          <t>YE2110</t>
        </is>
      </c>
      <c r="D267" t="inlineStr">
        <is>
          <t>Shabwah</t>
        </is>
      </c>
      <c r="E267" t="inlineStr">
        <is>
          <t>YE21</t>
        </is>
      </c>
      <c r="F267" t="inlineStr">
        <is>
          <t>Yemen</t>
        </is>
      </c>
      <c r="G267" t="inlineStr">
        <is>
          <t>YEM</t>
        </is>
      </c>
    </row>
    <row r="268">
      <c r="A268" t="inlineStr">
        <is>
          <t>Merkhah As Sufla</t>
        </is>
      </c>
      <c r="B268" t="inlineStr">
        <is>
          <t>مرخه السفلى</t>
        </is>
      </c>
      <c r="C268" t="inlineStr">
        <is>
          <t>YE2109</t>
        </is>
      </c>
      <c r="D268" t="inlineStr">
        <is>
          <t>Shabwah</t>
        </is>
      </c>
      <c r="E268" t="inlineStr">
        <is>
          <t>YE21</t>
        </is>
      </c>
      <c r="F268" t="inlineStr">
        <is>
          <t>Yemen</t>
        </is>
      </c>
      <c r="G268" t="inlineStr">
        <is>
          <t>YEM</t>
        </is>
      </c>
    </row>
    <row r="269">
      <c r="A269" t="inlineStr">
        <is>
          <t>Bayhan</t>
        </is>
      </c>
      <c r="B269" t="inlineStr">
        <is>
          <t>بيحان</t>
        </is>
      </c>
      <c r="C269" t="inlineStr">
        <is>
          <t>YE2107</t>
        </is>
      </c>
      <c r="D269" t="inlineStr">
        <is>
          <t>Shabwah</t>
        </is>
      </c>
      <c r="E269" t="inlineStr">
        <is>
          <t>YE21</t>
        </is>
      </c>
      <c r="F269" t="inlineStr">
        <is>
          <t>Yemen</t>
        </is>
      </c>
      <c r="G269" t="inlineStr">
        <is>
          <t>YEM</t>
        </is>
      </c>
    </row>
    <row r="270">
      <c r="A270" t="inlineStr">
        <is>
          <t>Ain</t>
        </is>
      </c>
      <c r="B270" t="inlineStr">
        <is>
          <t>عين</t>
        </is>
      </c>
      <c r="C270" t="inlineStr">
        <is>
          <t>YE2106</t>
        </is>
      </c>
      <c r="D270" t="inlineStr">
        <is>
          <t>Shabwah</t>
        </is>
      </c>
      <c r="E270" t="inlineStr">
        <is>
          <t>YE21</t>
        </is>
      </c>
      <c r="F270" t="inlineStr">
        <is>
          <t>Yemen</t>
        </is>
      </c>
      <c r="G270" t="inlineStr">
        <is>
          <t>YEM</t>
        </is>
      </c>
    </row>
    <row r="271">
      <c r="A271" t="inlineStr">
        <is>
          <t>Jardan</t>
        </is>
      </c>
      <c r="B271" t="inlineStr">
        <is>
          <t>جردان</t>
        </is>
      </c>
      <c r="C271" t="inlineStr">
        <is>
          <t>YE2103</t>
        </is>
      </c>
      <c r="D271" t="inlineStr">
        <is>
          <t>Shabwah</t>
        </is>
      </c>
      <c r="E271" t="inlineStr">
        <is>
          <t>YE21</t>
        </is>
      </c>
      <c r="F271" t="inlineStr">
        <is>
          <t>Yemen</t>
        </is>
      </c>
      <c r="G271" t="inlineStr">
        <is>
          <t>YEM</t>
        </is>
      </c>
    </row>
    <row r="272">
      <c r="A272" t="inlineStr">
        <is>
          <t>Al Talh</t>
        </is>
      </c>
      <c r="B272" t="inlineStr">
        <is>
          <t>الطلح</t>
        </is>
      </c>
      <c r="C272" t="inlineStr">
        <is>
          <t>YE2102</t>
        </is>
      </c>
      <c r="D272" t="inlineStr">
        <is>
          <t>Shabwah</t>
        </is>
      </c>
      <c r="E272" t="inlineStr">
        <is>
          <t>YE21</t>
        </is>
      </c>
      <c r="F272" t="inlineStr">
        <is>
          <t>Yemen</t>
        </is>
      </c>
      <c r="G272" t="inlineStr">
        <is>
          <t>YEM</t>
        </is>
      </c>
    </row>
    <row r="273">
      <c r="A273" t="inlineStr">
        <is>
          <t>Usaylan</t>
        </is>
      </c>
      <c r="B273" t="inlineStr">
        <is>
          <t>عسيلان</t>
        </is>
      </c>
      <c r="C273" t="inlineStr">
        <is>
          <t>YE2105</t>
        </is>
      </c>
      <c r="D273" t="inlineStr">
        <is>
          <t>Shabwah</t>
        </is>
      </c>
      <c r="E273" t="inlineStr">
        <is>
          <t>YE21</t>
        </is>
      </c>
      <c r="F273" t="inlineStr">
        <is>
          <t>Yemen</t>
        </is>
      </c>
      <c r="G273" t="inlineStr">
        <is>
          <t>YEM</t>
        </is>
      </c>
    </row>
    <row r="274">
      <c r="A274" t="inlineStr">
        <is>
          <t>Jabal Ash sharq</t>
        </is>
      </c>
      <c r="B274" t="inlineStr">
        <is>
          <t>جبل الشرق</t>
        </is>
      </c>
      <c r="C274" t="inlineStr">
        <is>
          <t>YE2003</t>
        </is>
      </c>
      <c r="D274" t="inlineStr">
        <is>
          <t>Dhamar</t>
        </is>
      </c>
      <c r="E274" t="inlineStr">
        <is>
          <t>YE20</t>
        </is>
      </c>
      <c r="F274" t="inlineStr">
        <is>
          <t>Yemen</t>
        </is>
      </c>
      <c r="G274" t="inlineStr">
        <is>
          <t>YEM</t>
        </is>
      </c>
    </row>
    <row r="275">
      <c r="A275" t="inlineStr">
        <is>
          <t>Brom Mayfa</t>
        </is>
      </c>
      <c r="B275" t="inlineStr">
        <is>
          <t>بروم ميفع</t>
        </is>
      </c>
      <c r="C275" t="inlineStr">
        <is>
          <t>YE1925</t>
        </is>
      </c>
      <c r="D275" t="inlineStr">
        <is>
          <t>Hadramawt</t>
        </is>
      </c>
      <c r="E275" t="inlineStr">
        <is>
          <t>YE19</t>
        </is>
      </c>
      <c r="F275" t="inlineStr">
        <is>
          <t>Yemen</t>
        </is>
      </c>
      <c r="G275" t="inlineStr">
        <is>
          <t>YEM</t>
        </is>
      </c>
    </row>
    <row r="276">
      <c r="A276" t="inlineStr">
        <is>
          <t>Hajr</t>
        </is>
      </c>
      <c r="B276" t="inlineStr">
        <is>
          <t>حجر</t>
        </is>
      </c>
      <c r="C276" t="inlineStr">
        <is>
          <t>YE1924</t>
        </is>
      </c>
      <c r="D276" t="inlineStr">
        <is>
          <t>Hadramawt</t>
        </is>
      </c>
      <c r="E276" t="inlineStr">
        <is>
          <t>YE19</t>
        </is>
      </c>
      <c r="F276" t="inlineStr">
        <is>
          <t>Yemen</t>
        </is>
      </c>
      <c r="G276" t="inlineStr">
        <is>
          <t>YEM</t>
        </is>
      </c>
    </row>
    <row r="277">
      <c r="A277" t="inlineStr">
        <is>
          <t>Amd</t>
        </is>
      </c>
      <c r="B277" t="inlineStr">
        <is>
          <t>عمد</t>
        </is>
      </c>
      <c r="C277" t="inlineStr">
        <is>
          <t>YE1921</t>
        </is>
      </c>
      <c r="D277" t="inlineStr">
        <is>
          <t>Hadramawt</t>
        </is>
      </c>
      <c r="E277" t="inlineStr">
        <is>
          <t>YE19</t>
        </is>
      </c>
      <c r="F277" t="inlineStr">
        <is>
          <t>Yemen</t>
        </is>
      </c>
      <c r="G277" t="inlineStr">
        <is>
          <t>YEM</t>
        </is>
      </c>
    </row>
    <row r="278">
      <c r="A278" t="inlineStr">
        <is>
          <t>Sah</t>
        </is>
      </c>
      <c r="B278" t="inlineStr">
        <is>
          <t>ساه</t>
        </is>
      </c>
      <c r="C278" t="inlineStr">
        <is>
          <t>YE1909</t>
        </is>
      </c>
      <c r="D278" t="inlineStr">
        <is>
          <t>Hadramawt</t>
        </is>
      </c>
      <c r="E278" t="inlineStr">
        <is>
          <t>YE19</t>
        </is>
      </c>
      <c r="F278" t="inlineStr">
        <is>
          <t>Yemen</t>
        </is>
      </c>
      <c r="G278" t="inlineStr">
        <is>
          <t>YEM</t>
        </is>
      </c>
    </row>
    <row r="279">
      <c r="A279" t="inlineStr">
        <is>
          <t>Shibam</t>
        </is>
      </c>
      <c r="B279" t="inlineStr">
        <is>
          <t>شبام</t>
        </is>
      </c>
      <c r="C279" t="inlineStr">
        <is>
          <t>YE1908</t>
        </is>
      </c>
      <c r="D279" t="inlineStr">
        <is>
          <t>Hadramawt</t>
        </is>
      </c>
      <c r="E279" t="inlineStr">
        <is>
          <t>YE19</t>
        </is>
      </c>
      <c r="F279" t="inlineStr">
        <is>
          <t>Yemen</t>
        </is>
      </c>
      <c r="G279" t="inlineStr">
        <is>
          <t>YEM</t>
        </is>
      </c>
    </row>
    <row r="280">
      <c r="A280" t="inlineStr">
        <is>
          <t>Rumah</t>
        </is>
      </c>
      <c r="B280" t="inlineStr">
        <is>
          <t>رماه</t>
        </is>
      </c>
      <c r="C280" t="inlineStr">
        <is>
          <t>YE1901</t>
        </is>
      </c>
      <c r="D280" t="inlineStr">
        <is>
          <t>Hadramawt</t>
        </is>
      </c>
      <c r="E280" t="inlineStr">
        <is>
          <t>YE19</t>
        </is>
      </c>
      <c r="F280" t="inlineStr">
        <is>
          <t>Yemen</t>
        </is>
      </c>
      <c r="G280" t="inlineStr">
        <is>
          <t>YEM</t>
        </is>
      </c>
    </row>
    <row r="281">
      <c r="A281" t="inlineStr">
        <is>
          <t>Ataq</t>
        </is>
      </c>
      <c r="B281" t="inlineStr">
        <is>
          <t>عتق</t>
        </is>
      </c>
      <c r="C281" t="inlineStr">
        <is>
          <t>YE2113</t>
        </is>
      </c>
      <c r="D281" t="inlineStr">
        <is>
          <t>Shabwah</t>
        </is>
      </c>
      <c r="E281" t="inlineStr">
        <is>
          <t>YE21</t>
        </is>
      </c>
      <c r="F281" t="inlineStr">
        <is>
          <t>Yemen</t>
        </is>
      </c>
      <c r="G281" t="inlineStr">
        <is>
          <t>YEM</t>
        </is>
      </c>
    </row>
    <row r="282">
      <c r="A282" t="inlineStr">
        <is>
          <t>Bajil</t>
        </is>
      </c>
      <c r="B282" t="inlineStr">
        <is>
          <t>باجل</t>
        </is>
      </c>
      <c r="C282" t="inlineStr">
        <is>
          <t>YE1810</t>
        </is>
      </c>
      <c r="D282" t="inlineStr">
        <is>
          <t>Al Hodeidah</t>
        </is>
      </c>
      <c r="E282" t="inlineStr">
        <is>
          <t>YE18</t>
        </is>
      </c>
      <c r="F282" t="inlineStr">
        <is>
          <t>Yemen</t>
        </is>
      </c>
      <c r="G282" t="inlineStr">
        <is>
          <t>YEM</t>
        </is>
      </c>
    </row>
    <row r="283">
      <c r="A283" t="inlineStr">
        <is>
          <t>Ad Dahi</t>
        </is>
      </c>
      <c r="B283" t="inlineStr">
        <is>
          <t>الضحي</t>
        </is>
      </c>
      <c r="C283" t="inlineStr">
        <is>
          <t>YE1809</t>
        </is>
      </c>
      <c r="D283" t="inlineStr">
        <is>
          <t>Al Hodeidah</t>
        </is>
      </c>
      <c r="E283" t="inlineStr">
        <is>
          <t>YE18</t>
        </is>
      </c>
      <c r="F283" t="inlineStr">
        <is>
          <t>Yemen</t>
        </is>
      </c>
      <c r="G283" t="inlineStr">
        <is>
          <t>YEM</t>
        </is>
      </c>
    </row>
    <row r="284">
      <c r="A284" t="inlineStr">
        <is>
          <t>As Said</t>
        </is>
      </c>
      <c r="B284" t="inlineStr">
        <is>
          <t>الصعيد</t>
        </is>
      </c>
      <c r="C284" t="inlineStr">
        <is>
          <t>YE2112</t>
        </is>
      </c>
      <c r="D284" t="inlineStr">
        <is>
          <t>Shabwah</t>
        </is>
      </c>
      <c r="E284" t="inlineStr">
        <is>
          <t>YE21</t>
        </is>
      </c>
      <c r="F284" t="inlineStr">
        <is>
          <t>Yemen</t>
        </is>
      </c>
      <c r="G284" t="inlineStr">
        <is>
          <t>YEM</t>
        </is>
      </c>
    </row>
    <row r="285">
      <c r="A285" t="inlineStr">
        <is>
          <t>Al Munirah</t>
        </is>
      </c>
      <c r="B285" t="inlineStr">
        <is>
          <t>المنيرة</t>
        </is>
      </c>
      <c r="C285" t="inlineStr">
        <is>
          <t>YE1805</t>
        </is>
      </c>
      <c r="D285" t="inlineStr">
        <is>
          <t>Al Hodeidah</t>
        </is>
      </c>
      <c r="E285" t="inlineStr">
        <is>
          <t>YE18</t>
        </is>
      </c>
      <c r="F285" t="inlineStr">
        <is>
          <t>Yemen</t>
        </is>
      </c>
      <c r="G285" t="inlineStr">
        <is>
          <t>YEM</t>
        </is>
      </c>
    </row>
    <row r="286">
      <c r="A286" t="inlineStr">
        <is>
          <t>Qarah</t>
        </is>
      </c>
      <c r="B286" t="inlineStr">
        <is>
          <t>قارة</t>
        </is>
      </c>
      <c r="C286" t="inlineStr">
        <is>
          <t>YE1731</t>
        </is>
      </c>
      <c r="D286" t="inlineStr">
        <is>
          <t>Hajjah</t>
        </is>
      </c>
      <c r="E286" t="inlineStr">
        <is>
          <t>YE17</t>
        </is>
      </c>
      <c r="F286" t="inlineStr">
        <is>
          <t>Yemen</t>
        </is>
      </c>
      <c r="G286" t="inlineStr">
        <is>
          <t>YEM</t>
        </is>
      </c>
    </row>
    <row r="287">
      <c r="A287" t="inlineStr">
        <is>
          <t>As Salif</t>
        </is>
      </c>
      <c r="B287" t="inlineStr">
        <is>
          <t>الصليف</t>
        </is>
      </c>
      <c r="C287" t="inlineStr">
        <is>
          <t>YE1804</t>
        </is>
      </c>
      <c r="D287" t="inlineStr">
        <is>
          <t>Al Hodeidah</t>
        </is>
      </c>
      <c r="E287" t="inlineStr">
        <is>
          <t>YE18</t>
        </is>
      </c>
      <c r="F287" t="inlineStr">
        <is>
          <t>Yemen</t>
        </is>
      </c>
      <c r="G287" t="inlineStr">
        <is>
          <t>YEM</t>
        </is>
      </c>
    </row>
    <row r="288">
      <c r="A288" t="inlineStr">
        <is>
          <t>Kamaran</t>
        </is>
      </c>
      <c r="B288" t="inlineStr">
        <is>
          <t>كمران</t>
        </is>
      </c>
      <c r="C288" t="inlineStr">
        <is>
          <t>YE1803</t>
        </is>
      </c>
      <c r="D288" t="inlineStr">
        <is>
          <t>Al Hodeidah</t>
        </is>
      </c>
      <c r="E288" t="inlineStr">
        <is>
          <t>YE18</t>
        </is>
      </c>
      <c r="F288" t="inlineStr">
        <is>
          <t>Yemen</t>
        </is>
      </c>
      <c r="G288" t="inlineStr">
        <is>
          <t>YEM</t>
        </is>
      </c>
    </row>
    <row r="289">
      <c r="A289" t="inlineStr">
        <is>
          <t>Alluheyah</t>
        </is>
      </c>
      <c r="B289" t="inlineStr">
        <is>
          <t>اللحية</t>
        </is>
      </c>
      <c r="C289" t="inlineStr">
        <is>
          <t>YE1802</t>
        </is>
      </c>
      <c r="D289" t="inlineStr">
        <is>
          <t>Al Hodeidah</t>
        </is>
      </c>
      <c r="E289" t="inlineStr">
        <is>
          <t>YE18</t>
        </is>
      </c>
      <c r="F289" t="inlineStr">
        <is>
          <t>Yemen</t>
        </is>
      </c>
      <c r="G289" t="inlineStr">
        <is>
          <t>YEM</t>
        </is>
      </c>
    </row>
    <row r="290">
      <c r="A290" t="inlineStr">
        <is>
          <t>Az Zuhrah</t>
        </is>
      </c>
      <c r="B290" t="inlineStr">
        <is>
          <t>الزهرة</t>
        </is>
      </c>
      <c r="C290" t="inlineStr">
        <is>
          <t>YE1801</t>
        </is>
      </c>
      <c r="D290" t="inlineStr">
        <is>
          <t>Al Hodeidah</t>
        </is>
      </c>
      <c r="E290" t="inlineStr">
        <is>
          <t>YE18</t>
        </is>
      </c>
      <c r="F290" t="inlineStr">
        <is>
          <t>Yemen</t>
        </is>
      </c>
      <c r="G290" t="inlineStr">
        <is>
          <t>YEM</t>
        </is>
      </c>
    </row>
    <row r="291">
      <c r="A291" t="inlineStr">
        <is>
          <t>Washhah</t>
        </is>
      </c>
      <c r="B291" t="inlineStr">
        <is>
          <t>وشحة</t>
        </is>
      </c>
      <c r="C291" t="inlineStr">
        <is>
          <t>YE1730</t>
        </is>
      </c>
      <c r="D291" t="inlineStr">
        <is>
          <t>Hajjah</t>
        </is>
      </c>
      <c r="E291" t="inlineStr">
        <is>
          <t>YE17</t>
        </is>
      </c>
      <c r="F291" t="inlineStr">
        <is>
          <t>Yemen</t>
        </is>
      </c>
      <c r="G291" t="inlineStr">
        <is>
          <t>YEM</t>
        </is>
      </c>
    </row>
    <row r="292">
      <c r="A292" t="inlineStr">
        <is>
          <t>Ghayl Ba Wazir</t>
        </is>
      </c>
      <c r="B292" t="inlineStr">
        <is>
          <t>غيل باوزير</t>
        </is>
      </c>
      <c r="C292" t="inlineStr">
        <is>
          <t>YE1917</t>
        </is>
      </c>
      <c r="D292" t="inlineStr">
        <is>
          <t>Hadramawt</t>
        </is>
      </c>
      <c r="E292" t="inlineStr">
        <is>
          <t>YE19</t>
        </is>
      </c>
      <c r="F292" t="inlineStr">
        <is>
          <t>Yemen</t>
        </is>
      </c>
      <c r="G292" t="inlineStr">
        <is>
          <t>YEM</t>
        </is>
      </c>
    </row>
    <row r="293">
      <c r="A293" t="inlineStr">
        <is>
          <t>Ghayl Bin Yamin</t>
        </is>
      </c>
      <c r="B293" t="inlineStr">
        <is>
          <t>غيل بن يمين</t>
        </is>
      </c>
      <c r="C293" t="inlineStr">
        <is>
          <t>YE1916</t>
        </is>
      </c>
      <c r="D293" t="inlineStr">
        <is>
          <t>Hadramawt</t>
        </is>
      </c>
      <c r="E293" t="inlineStr">
        <is>
          <t>YE19</t>
        </is>
      </c>
      <c r="F293" t="inlineStr">
        <is>
          <t>Yemen</t>
        </is>
      </c>
      <c r="G293" t="inlineStr">
        <is>
          <t>YEM</t>
        </is>
      </c>
    </row>
    <row r="294">
      <c r="A294" t="inlineStr">
        <is>
          <t>Ash Shihr</t>
        </is>
      </c>
      <c r="B294" t="inlineStr">
        <is>
          <t>الشحر</t>
        </is>
      </c>
      <c r="C294" t="inlineStr">
        <is>
          <t>YE1915</t>
        </is>
      </c>
      <c r="D294" t="inlineStr">
        <is>
          <t>Hadramawt</t>
        </is>
      </c>
      <c r="E294" t="inlineStr">
        <is>
          <t>YE19</t>
        </is>
      </c>
      <c r="F294" t="inlineStr">
        <is>
          <t>Yemen</t>
        </is>
      </c>
      <c r="G294" t="inlineStr">
        <is>
          <t>YEM</t>
        </is>
      </c>
    </row>
    <row r="295">
      <c r="A295" t="inlineStr">
        <is>
          <t>Hajjah</t>
        </is>
      </c>
      <c r="B295" t="inlineStr">
        <is>
          <t>حجة</t>
        </is>
      </c>
      <c r="C295" t="inlineStr">
        <is>
          <t>YE1729</t>
        </is>
      </c>
      <c r="D295" t="inlineStr">
        <is>
          <t>Hajjah</t>
        </is>
      </c>
      <c r="E295" t="inlineStr">
        <is>
          <t>YE17</t>
        </is>
      </c>
      <c r="F295" t="inlineStr">
        <is>
          <t>Yemen</t>
        </is>
      </c>
      <c r="G295" t="inlineStr">
        <is>
          <t>YEM</t>
        </is>
      </c>
    </row>
    <row r="296">
      <c r="A296" t="inlineStr">
        <is>
          <t>Hajjah City</t>
        </is>
      </c>
      <c r="B296" t="inlineStr">
        <is>
          <t>مدينة حجة</t>
        </is>
      </c>
      <c r="C296" t="inlineStr">
        <is>
          <t>YE1728</t>
        </is>
      </c>
      <c r="D296" t="inlineStr">
        <is>
          <t>Hajjah</t>
        </is>
      </c>
      <c r="E296" t="inlineStr">
        <is>
          <t>YE17</t>
        </is>
      </c>
      <c r="F296" t="inlineStr">
        <is>
          <t>Yemen</t>
        </is>
      </c>
      <c r="G296" t="inlineStr">
        <is>
          <t>YEM</t>
        </is>
      </c>
    </row>
    <row r="297">
      <c r="A297" t="inlineStr">
        <is>
          <t>Al Khawkhah</t>
        </is>
      </c>
      <c r="B297" t="inlineStr">
        <is>
          <t>الخوخه</t>
        </is>
      </c>
      <c r="C297" t="inlineStr">
        <is>
          <t>YE1820</t>
        </is>
      </c>
      <c r="D297" t="inlineStr">
        <is>
          <t>Al Hodeidah</t>
        </is>
      </c>
      <c r="E297" t="inlineStr">
        <is>
          <t>YE18</t>
        </is>
      </c>
      <c r="F297" t="inlineStr">
        <is>
          <t>Yemen</t>
        </is>
      </c>
      <c r="G297" t="inlineStr">
        <is>
          <t>YEM</t>
        </is>
      </c>
    </row>
    <row r="298">
      <c r="A298" t="inlineStr">
        <is>
          <t>Hays</t>
        </is>
      </c>
      <c r="B298" t="inlineStr">
        <is>
          <t>حيس</t>
        </is>
      </c>
      <c r="C298" t="inlineStr">
        <is>
          <t>YE1819</t>
        </is>
      </c>
      <c r="D298" t="inlineStr">
        <is>
          <t>Al Hodeidah</t>
        </is>
      </c>
      <c r="E298" t="inlineStr">
        <is>
          <t>YE18</t>
        </is>
      </c>
      <c r="F298" t="inlineStr">
        <is>
          <t>Yemen</t>
        </is>
      </c>
      <c r="G298" t="inlineStr">
        <is>
          <t>YEM</t>
        </is>
      </c>
    </row>
    <row r="299">
      <c r="A299" t="inlineStr">
        <is>
          <t>Bani Al Awam</t>
        </is>
      </c>
      <c r="B299" t="inlineStr">
        <is>
          <t>بني العوام</t>
        </is>
      </c>
      <c r="C299" t="inlineStr">
        <is>
          <t>YE1727</t>
        </is>
      </c>
      <c r="D299" t="inlineStr">
        <is>
          <t>Hajjah</t>
        </is>
      </c>
      <c r="E299" t="inlineStr">
        <is>
          <t>YE17</t>
        </is>
      </c>
      <c r="F299" t="inlineStr">
        <is>
          <t>Yemen</t>
        </is>
      </c>
      <c r="G299" t="inlineStr">
        <is>
          <t>YEM</t>
        </is>
      </c>
    </row>
    <row r="300">
      <c r="A300" t="inlineStr">
        <is>
          <t>Mabyan</t>
        </is>
      </c>
      <c r="B300" t="inlineStr">
        <is>
          <t>مبين</t>
        </is>
      </c>
      <c r="C300" t="inlineStr">
        <is>
          <t>YE1720</t>
        </is>
      </c>
      <c r="D300" t="inlineStr">
        <is>
          <t>Hajjah</t>
        </is>
      </c>
      <c r="E300" t="inlineStr">
        <is>
          <t>YE17</t>
        </is>
      </c>
      <c r="F300" t="inlineStr">
        <is>
          <t>Yemen</t>
        </is>
      </c>
      <c r="G300" t="inlineStr">
        <is>
          <t>YEM</t>
        </is>
      </c>
    </row>
    <row r="301">
      <c r="A301" t="inlineStr">
        <is>
          <t>Sharas</t>
        </is>
      </c>
      <c r="B301" t="inlineStr">
        <is>
          <t>شرس</t>
        </is>
      </c>
      <c r="C301" t="inlineStr">
        <is>
          <t>YE1719</t>
        </is>
      </c>
      <c r="D301" t="inlineStr">
        <is>
          <t>Hajjah</t>
        </is>
      </c>
      <c r="E301" t="inlineStr">
        <is>
          <t>YE17</t>
        </is>
      </c>
      <c r="F301" t="inlineStr">
        <is>
          <t>Yemen</t>
        </is>
      </c>
      <c r="G301" t="inlineStr">
        <is>
          <t>YEM</t>
        </is>
      </c>
    </row>
    <row r="302">
      <c r="A302" t="inlineStr">
        <is>
          <t>Najrah</t>
        </is>
      </c>
      <c r="B302" t="inlineStr">
        <is>
          <t>نجرة</t>
        </is>
      </c>
      <c r="C302" t="inlineStr">
        <is>
          <t>YE1726</t>
        </is>
      </c>
      <c r="D302" t="inlineStr">
        <is>
          <t>Hajjah</t>
        </is>
      </c>
      <c r="E302" t="inlineStr">
        <is>
          <t>YE17</t>
        </is>
      </c>
      <c r="F302" t="inlineStr">
        <is>
          <t>Yemen</t>
        </is>
      </c>
      <c r="G302" t="inlineStr">
        <is>
          <t>YEM</t>
        </is>
      </c>
    </row>
    <row r="303">
      <c r="A303" t="inlineStr">
        <is>
          <t>Kuhlan Affar</t>
        </is>
      </c>
      <c r="B303" t="inlineStr">
        <is>
          <t>كحلان عفار</t>
        </is>
      </c>
      <c r="C303" t="inlineStr">
        <is>
          <t>YE1718</t>
        </is>
      </c>
      <c r="D303" t="inlineStr">
        <is>
          <t>Hajjah</t>
        </is>
      </c>
      <c r="E303" t="inlineStr">
        <is>
          <t>YE17</t>
        </is>
      </c>
      <c r="F303" t="inlineStr">
        <is>
          <t>Yemen</t>
        </is>
      </c>
      <c r="G303" t="inlineStr">
        <is>
          <t>YEM</t>
        </is>
      </c>
    </row>
    <row r="304">
      <c r="A304" t="inlineStr">
        <is>
          <t>Al Maghrabah</t>
        </is>
      </c>
      <c r="B304" t="inlineStr">
        <is>
          <t>المغربة</t>
        </is>
      </c>
      <c r="C304" t="inlineStr">
        <is>
          <t>YE1717</t>
        </is>
      </c>
      <c r="D304" t="inlineStr">
        <is>
          <t>Hajjah</t>
        </is>
      </c>
      <c r="E304" t="inlineStr">
        <is>
          <t>YE17</t>
        </is>
      </c>
      <c r="F304" t="inlineStr">
        <is>
          <t>Yemen</t>
        </is>
      </c>
      <c r="G304" t="inlineStr">
        <is>
          <t>YEM</t>
        </is>
      </c>
    </row>
    <row r="305">
      <c r="A305" t="inlineStr">
        <is>
          <t>Al Miftah</t>
        </is>
      </c>
      <c r="B305" t="inlineStr">
        <is>
          <t>المفتاح</t>
        </is>
      </c>
      <c r="C305" t="inlineStr">
        <is>
          <t>YE1716</t>
        </is>
      </c>
      <c r="D305" t="inlineStr">
        <is>
          <t>Hajjah</t>
        </is>
      </c>
      <c r="E305" t="inlineStr">
        <is>
          <t>YE17</t>
        </is>
      </c>
      <c r="F305" t="inlineStr">
        <is>
          <t>Yemen</t>
        </is>
      </c>
      <c r="G305" t="inlineStr">
        <is>
          <t>YEM</t>
        </is>
      </c>
    </row>
    <row r="306">
      <c r="A306" t="inlineStr">
        <is>
          <t>Qafl Shamer</t>
        </is>
      </c>
      <c r="B306" t="inlineStr">
        <is>
          <t>قفل شمر</t>
        </is>
      </c>
      <c r="C306" t="inlineStr">
        <is>
          <t>YE1713</t>
        </is>
      </c>
      <c r="D306" t="inlineStr">
        <is>
          <t>Hajjah</t>
        </is>
      </c>
      <c r="E306" t="inlineStr">
        <is>
          <t>YE17</t>
        </is>
      </c>
      <c r="F306" t="inlineStr">
        <is>
          <t>Yemen</t>
        </is>
      </c>
      <c r="G306" t="inlineStr">
        <is>
          <t>YEM</t>
        </is>
      </c>
    </row>
    <row r="307">
      <c r="A307" t="inlineStr">
        <is>
          <t>Al Jamimah</t>
        </is>
      </c>
      <c r="B307" t="inlineStr">
        <is>
          <t>الجميمة</t>
        </is>
      </c>
      <c r="C307" t="inlineStr">
        <is>
          <t>YE1708</t>
        </is>
      </c>
      <c r="D307" t="inlineStr">
        <is>
          <t>Hajjah</t>
        </is>
      </c>
      <c r="E307" t="inlineStr">
        <is>
          <t>YE17</t>
        </is>
      </c>
      <c r="F307" t="inlineStr">
        <is>
          <t>Yemen</t>
        </is>
      </c>
      <c r="G307" t="inlineStr">
        <is>
          <t>YEM</t>
        </is>
      </c>
    </row>
    <row r="308">
      <c r="A308" t="inlineStr">
        <is>
          <t>Hayran</t>
        </is>
      </c>
      <c r="B308" t="inlineStr">
        <is>
          <t>حيران</t>
        </is>
      </c>
      <c r="C308" t="inlineStr">
        <is>
          <t>YE1705</t>
        </is>
      </c>
      <c r="D308" t="inlineStr">
        <is>
          <t>Hajjah</t>
        </is>
      </c>
      <c r="E308" t="inlineStr">
        <is>
          <t>YE17</t>
        </is>
      </c>
      <c r="F308" t="inlineStr">
        <is>
          <t>Yemen</t>
        </is>
      </c>
      <c r="G308" t="inlineStr">
        <is>
          <t>YEM</t>
        </is>
      </c>
    </row>
    <row r="309">
      <c r="A309" t="inlineStr">
        <is>
          <t>Al Mawasit</t>
        </is>
      </c>
      <c r="B309" t="inlineStr">
        <is>
          <t>المواسط</t>
        </is>
      </c>
      <c r="C309" t="inlineStr">
        <is>
          <t>YE1522</t>
        </is>
      </c>
      <c r="D309" t="inlineStr">
        <is>
          <t>Ta'iz</t>
        </is>
      </c>
      <c r="E309" t="inlineStr">
        <is>
          <t>YE15</t>
        </is>
      </c>
      <c r="F309" t="inlineStr">
        <is>
          <t>Yemen</t>
        </is>
      </c>
      <c r="G309" t="inlineStr">
        <is>
          <t>YEM</t>
        </is>
      </c>
    </row>
    <row r="310">
      <c r="A310" t="inlineStr">
        <is>
          <t>Merkhah Al Ulya</t>
        </is>
      </c>
      <c r="B310" t="inlineStr">
        <is>
          <t>مرخه العليا</t>
        </is>
      </c>
      <c r="C310" t="inlineStr">
        <is>
          <t>YE2108</t>
        </is>
      </c>
      <c r="D310" t="inlineStr">
        <is>
          <t>Shabwah</t>
        </is>
      </c>
      <c r="E310" t="inlineStr">
        <is>
          <t>YE21</t>
        </is>
      </c>
      <c r="F310" t="inlineStr">
        <is>
          <t>Yemen</t>
        </is>
      </c>
      <c r="G310" t="inlineStr">
        <is>
          <t>YEM</t>
        </is>
      </c>
    </row>
    <row r="311">
      <c r="A311" t="inlineStr">
        <is>
          <t>Shara'b As Salam</t>
        </is>
      </c>
      <c r="B311" t="inlineStr">
        <is>
          <t>شرعب السلام</t>
        </is>
      </c>
      <c r="C311" t="inlineStr">
        <is>
          <t>YE1502</t>
        </is>
      </c>
      <c r="D311" t="inlineStr">
        <is>
          <t>Ta'iz</t>
        </is>
      </c>
      <c r="E311" t="inlineStr">
        <is>
          <t>YE15</t>
        </is>
      </c>
      <c r="F311" t="inlineStr">
        <is>
          <t>Yemen</t>
        </is>
      </c>
      <c r="G311" t="inlineStr">
        <is>
          <t>YEM</t>
        </is>
      </c>
    </row>
    <row r="312">
      <c r="A312" t="inlineStr">
        <is>
          <t>Mawiyah</t>
        </is>
      </c>
      <c r="B312" t="inlineStr">
        <is>
          <t>ماوية</t>
        </is>
      </c>
      <c r="C312" t="inlineStr">
        <is>
          <t>YE1501</t>
        </is>
      </c>
      <c r="D312" t="inlineStr">
        <is>
          <t>Ta'iz</t>
        </is>
      </c>
      <c r="E312" t="inlineStr">
        <is>
          <t>YE15</t>
        </is>
      </c>
      <c r="F312" t="inlineStr">
        <is>
          <t>Yemen</t>
        </is>
      </c>
      <c r="G312" t="inlineStr">
        <is>
          <t>YEM</t>
        </is>
      </c>
    </row>
    <row r="313">
      <c r="A313" t="inlineStr">
        <is>
          <t>Al Malagim</t>
        </is>
      </c>
      <c r="B313" t="inlineStr">
        <is>
          <t>الملاجم</t>
        </is>
      </c>
      <c r="C313" t="inlineStr">
        <is>
          <t>YE1420</t>
        </is>
      </c>
      <c r="D313" t="inlineStr">
        <is>
          <t>Al Bayda</t>
        </is>
      </c>
      <c r="E313" t="inlineStr">
        <is>
          <t>YE14</t>
        </is>
      </c>
      <c r="F313" t="inlineStr">
        <is>
          <t>Yemen</t>
        </is>
      </c>
      <c r="G313" t="inlineStr">
        <is>
          <t>YEM</t>
        </is>
      </c>
    </row>
    <row r="314">
      <c r="A314" t="inlineStr">
        <is>
          <t>Ash Sharyah</t>
        </is>
      </c>
      <c r="B314" t="inlineStr">
        <is>
          <t>الشرية</t>
        </is>
      </c>
      <c r="C314" t="inlineStr">
        <is>
          <t>YE1419</t>
        </is>
      </c>
      <c r="D314" t="inlineStr">
        <is>
          <t>Al Bayda</t>
        </is>
      </c>
      <c r="E314" t="inlineStr">
        <is>
          <t>YE14</t>
        </is>
      </c>
      <c r="F314" t="inlineStr">
        <is>
          <t>Yemen</t>
        </is>
      </c>
      <c r="G314" t="inlineStr">
        <is>
          <t>YEM</t>
        </is>
      </c>
    </row>
    <row r="315">
      <c r="A315" t="inlineStr">
        <is>
          <t>Nati'</t>
        </is>
      </c>
      <c r="B315" t="inlineStr">
        <is>
          <t>ناطع</t>
        </is>
      </c>
      <c r="C315" t="inlineStr">
        <is>
          <t>YE1402</t>
        </is>
      </c>
      <c r="D315" t="inlineStr">
        <is>
          <t>Al Bayda</t>
        </is>
      </c>
      <c r="E315" t="inlineStr">
        <is>
          <t>YE14</t>
        </is>
      </c>
      <c r="F315" t="inlineStr">
        <is>
          <t>Yemen</t>
        </is>
      </c>
      <c r="G315" t="inlineStr">
        <is>
          <t>YEM</t>
        </is>
      </c>
    </row>
    <row r="316">
      <c r="A316" t="inlineStr">
        <is>
          <t>Sabah</t>
        </is>
      </c>
      <c r="B316" t="inlineStr">
        <is>
          <t>صباح</t>
        </is>
      </c>
      <c r="C316" t="inlineStr">
        <is>
          <t>YE1417</t>
        </is>
      </c>
      <c r="D316" t="inlineStr">
        <is>
          <t>Al Bayda</t>
        </is>
      </c>
      <c r="E316" t="inlineStr">
        <is>
          <t>YE14</t>
        </is>
      </c>
      <c r="F316" t="inlineStr">
        <is>
          <t>Yemen</t>
        </is>
      </c>
      <c r="G316" t="inlineStr">
        <is>
          <t>YEM</t>
        </is>
      </c>
    </row>
    <row r="317">
      <c r="A317" t="inlineStr">
        <is>
          <t>Na'man</t>
        </is>
      </c>
      <c r="B317" t="inlineStr">
        <is>
          <t>نعمان</t>
        </is>
      </c>
      <c r="C317" t="inlineStr">
        <is>
          <t>YE1401</t>
        </is>
      </c>
      <c r="D317" t="inlineStr">
        <is>
          <t>Al Bayda</t>
        </is>
      </c>
      <c r="E317" t="inlineStr">
        <is>
          <t>YE14</t>
        </is>
      </c>
      <c r="F317" t="inlineStr">
        <is>
          <t>Yemen</t>
        </is>
      </c>
      <c r="G317" t="inlineStr">
        <is>
          <t>YEM</t>
        </is>
      </c>
    </row>
    <row r="318">
      <c r="A318" t="inlineStr">
        <is>
          <t>Sanhan</t>
        </is>
      </c>
      <c r="B318" t="inlineStr">
        <is>
          <t>سنحان وبني بهلول</t>
        </is>
      </c>
      <c r="C318" t="inlineStr">
        <is>
          <t>YE2305</t>
        </is>
      </c>
      <c r="D318" t="inlineStr">
        <is>
          <t>Sana'a</t>
        </is>
      </c>
      <c r="E318" t="inlineStr">
        <is>
          <t>YE23</t>
        </is>
      </c>
      <c r="F318" t="inlineStr">
        <is>
          <t>Yemen</t>
        </is>
      </c>
      <c r="G318" t="inlineStr">
        <is>
          <t>YEM</t>
        </is>
      </c>
    </row>
    <row r="319">
      <c r="A319" t="inlineStr">
        <is>
          <t>Ma'ain</t>
        </is>
      </c>
      <c r="B319" t="inlineStr">
        <is>
          <t>معين</t>
        </is>
      </c>
      <c r="C319" t="inlineStr">
        <is>
          <t>YE1308</t>
        </is>
      </c>
      <c r="D319" t="inlineStr">
        <is>
          <t>Sana'a City</t>
        </is>
      </c>
      <c r="E319" t="inlineStr">
        <is>
          <t>YE13</t>
        </is>
      </c>
      <c r="F319" t="inlineStr">
        <is>
          <t>Yemen</t>
        </is>
      </c>
      <c r="G319" t="inlineStr">
        <is>
          <t>YEM</t>
        </is>
      </c>
    </row>
    <row r="320">
      <c r="A320" t="inlineStr">
        <is>
          <t>At Tahrir</t>
        </is>
      </c>
      <c r="B320" t="inlineStr">
        <is>
          <t>التحرير</t>
        </is>
      </c>
      <c r="C320" t="inlineStr">
        <is>
          <t>YE1307</t>
        </is>
      </c>
      <c r="D320" t="inlineStr">
        <is>
          <t>Sana'a City</t>
        </is>
      </c>
      <c r="E320" t="inlineStr">
        <is>
          <t>YE13</t>
        </is>
      </c>
      <c r="F320" t="inlineStr">
        <is>
          <t>Yemen</t>
        </is>
      </c>
      <c r="G320" t="inlineStr">
        <is>
          <t>YEM</t>
        </is>
      </c>
    </row>
    <row r="321">
      <c r="A321" t="inlineStr">
        <is>
          <t>Al Wahdah</t>
        </is>
      </c>
      <c r="B321" t="inlineStr">
        <is>
          <t>الوحدة</t>
        </is>
      </c>
      <c r="C321" t="inlineStr">
        <is>
          <t>YE1306</t>
        </is>
      </c>
      <c r="D321" t="inlineStr">
        <is>
          <t>Sana'a City</t>
        </is>
      </c>
      <c r="E321" t="inlineStr">
        <is>
          <t>YE13</t>
        </is>
      </c>
      <c r="F321" t="inlineStr">
        <is>
          <t>Yemen</t>
        </is>
      </c>
      <c r="G321" t="inlineStr">
        <is>
          <t>YEM</t>
        </is>
      </c>
    </row>
    <row r="322">
      <c r="A322" t="inlineStr">
        <is>
          <t>At Taffah</t>
        </is>
      </c>
      <c r="B322" t="inlineStr">
        <is>
          <t>الطفة</t>
        </is>
      </c>
      <c r="C322" t="inlineStr">
        <is>
          <t>YE1407</t>
        </is>
      </c>
      <c r="D322" t="inlineStr">
        <is>
          <t>Al Bayda</t>
        </is>
      </c>
      <c r="E322" t="inlineStr">
        <is>
          <t>YE14</t>
        </is>
      </c>
      <c r="F322" t="inlineStr">
        <is>
          <t>Yemen</t>
        </is>
      </c>
      <c r="G322" t="inlineStr">
        <is>
          <t>YEM</t>
        </is>
      </c>
    </row>
    <row r="323">
      <c r="A323" t="inlineStr">
        <is>
          <t>Rasad</t>
        </is>
      </c>
      <c r="B323" t="inlineStr">
        <is>
          <t>رصد</t>
        </is>
      </c>
      <c r="C323" t="inlineStr">
        <is>
          <t>YE1206</t>
        </is>
      </c>
      <c r="D323" t="inlineStr">
        <is>
          <t>Abyan</t>
        </is>
      </c>
      <c r="E323" t="inlineStr">
        <is>
          <t>YE12</t>
        </is>
      </c>
      <c r="F323" t="inlineStr">
        <is>
          <t>Yemen</t>
        </is>
      </c>
      <c r="G323" t="inlineStr">
        <is>
          <t>YEM</t>
        </is>
      </c>
    </row>
    <row r="324">
      <c r="A324" t="inlineStr">
        <is>
          <t>Bidbadah</t>
        </is>
      </c>
      <c r="B324" t="inlineStr">
        <is>
          <t>بدبده</t>
        </is>
      </c>
      <c r="C324" t="inlineStr">
        <is>
          <t>YE2605</t>
        </is>
      </c>
      <c r="D324" t="inlineStr">
        <is>
          <t>Ma'rib</t>
        </is>
      </c>
      <c r="E324" t="inlineStr">
        <is>
          <t>YE26</t>
        </is>
      </c>
      <c r="F324" t="inlineStr">
        <is>
          <t>Yemen</t>
        </is>
      </c>
      <c r="G324" t="inlineStr">
        <is>
          <t>YEM</t>
        </is>
      </c>
    </row>
    <row r="325">
      <c r="A325" t="inlineStr">
        <is>
          <t>Al Mahfad</t>
        </is>
      </c>
      <c r="B325" t="inlineStr">
        <is>
          <t>المحفد</t>
        </is>
      </c>
      <c r="C325" t="inlineStr">
        <is>
          <t>YE1201</t>
        </is>
      </c>
      <c r="D325" t="inlineStr">
        <is>
          <t>Abyan</t>
        </is>
      </c>
      <c r="E325" t="inlineStr">
        <is>
          <t>YE12</t>
        </is>
      </c>
      <c r="F325" t="inlineStr">
        <is>
          <t>Yemen</t>
        </is>
      </c>
      <c r="G325" t="inlineStr">
        <is>
          <t>YEM</t>
        </is>
      </c>
    </row>
    <row r="326">
      <c r="A326" t="inlineStr">
        <is>
          <t>Mudhaykhirah</t>
        </is>
      </c>
      <c r="B326" t="inlineStr">
        <is>
          <t>مذيخرة</t>
        </is>
      </c>
      <c r="C326" t="inlineStr">
        <is>
          <t>YE1117</t>
        </is>
      </c>
      <c r="D326" t="inlineStr">
        <is>
          <t>Ibb</t>
        </is>
      </c>
      <c r="E326" t="inlineStr">
        <is>
          <t>YE11</t>
        </is>
      </c>
      <c r="F326" t="inlineStr">
        <is>
          <t>Yemen</t>
        </is>
      </c>
      <c r="G326" t="inlineStr">
        <is>
          <t>YEM</t>
        </is>
      </c>
    </row>
    <row r="327">
      <c r="A327" t="inlineStr">
        <is>
          <t>Dhi As Sufal</t>
        </is>
      </c>
      <c r="B327" t="inlineStr">
        <is>
          <t>ذي السفال</t>
        </is>
      </c>
      <c r="C327" t="inlineStr">
        <is>
          <t>YE1116</t>
        </is>
      </c>
      <c r="D327" t="inlineStr">
        <is>
          <t>Ibb</t>
        </is>
      </c>
      <c r="E327" t="inlineStr">
        <is>
          <t>YE11</t>
        </is>
      </c>
      <c r="F327" t="inlineStr">
        <is>
          <t>Yemen</t>
        </is>
      </c>
      <c r="G327" t="inlineStr">
        <is>
          <t>YEM</t>
        </is>
      </c>
    </row>
    <row r="328">
      <c r="A328" t="inlineStr">
        <is>
          <t>Old City</t>
        </is>
      </c>
      <c r="B328" t="inlineStr">
        <is>
          <t>صنعاء القديمة</t>
        </is>
      </c>
      <c r="C328" t="inlineStr">
        <is>
          <t>YE1301</t>
        </is>
      </c>
      <c r="D328" t="inlineStr">
        <is>
          <t>Sana'a City</t>
        </is>
      </c>
      <c r="E328" t="inlineStr">
        <is>
          <t>YE13</t>
        </is>
      </c>
      <c r="F328" t="inlineStr">
        <is>
          <t>Yemen</t>
        </is>
      </c>
      <c r="G328" t="inlineStr">
        <is>
          <t>YEM</t>
        </is>
      </c>
    </row>
    <row r="329">
      <c r="A329" t="inlineStr">
        <is>
          <t>Hazm Al Udayn</t>
        </is>
      </c>
      <c r="B329" t="inlineStr">
        <is>
          <t>حزم العدين</t>
        </is>
      </c>
      <c r="C329" t="inlineStr">
        <is>
          <t>YE1109</t>
        </is>
      </c>
      <c r="D329" t="inlineStr">
        <is>
          <t>Ibb</t>
        </is>
      </c>
      <c r="E329" t="inlineStr">
        <is>
          <t>YE11</t>
        </is>
      </c>
      <c r="F329" t="inlineStr">
        <is>
          <t>Yemen</t>
        </is>
      </c>
      <c r="G329" t="inlineStr">
        <is>
          <t>YEM</t>
        </is>
      </c>
    </row>
    <row r="330">
      <c r="A330" t="inlineStr">
        <is>
          <t>Khur Maksar</t>
        </is>
      </c>
      <c r="B330" t="inlineStr">
        <is>
          <t>خور مكسر</t>
        </is>
      </c>
      <c r="C330" t="inlineStr">
        <is>
          <t>YE2408</t>
        </is>
      </c>
      <c r="D330" t="inlineStr">
        <is>
          <t>Aden</t>
        </is>
      </c>
      <c r="E330" t="inlineStr">
        <is>
          <t>YE24</t>
        </is>
      </c>
      <c r="F330" t="inlineStr">
        <is>
          <t>Yemen</t>
        </is>
      </c>
      <c r="G330" t="inlineStr">
        <is>
          <t>YEM</t>
        </is>
      </c>
    </row>
    <row r="331">
      <c r="A331" t="inlineStr">
        <is>
          <t>Ibb</t>
        </is>
      </c>
      <c r="B331" t="inlineStr">
        <is>
          <t>إب</t>
        </is>
      </c>
      <c r="C331" t="inlineStr">
        <is>
          <t>YE1120</t>
        </is>
      </c>
      <c r="D331" t="inlineStr">
        <is>
          <t>Ibb</t>
        </is>
      </c>
      <c r="E331" t="inlineStr">
        <is>
          <t>YE11</t>
        </is>
      </c>
      <c r="F331" t="inlineStr">
        <is>
          <t>Yemen</t>
        </is>
      </c>
      <c r="G331" t="inlineStr">
        <is>
          <t>YEM</t>
        </is>
      </c>
    </row>
    <row r="332">
      <c r="A332" t="inlineStr">
        <is>
          <t>Al Dhihar</t>
        </is>
      </c>
      <c r="B332" t="inlineStr">
        <is>
          <t>الظهار</t>
        </is>
      </c>
      <c r="C332" t="inlineStr">
        <is>
          <t>YE1119</t>
        </is>
      </c>
      <c r="D332" t="inlineStr">
        <is>
          <t>Ibb</t>
        </is>
      </c>
      <c r="E332" t="inlineStr">
        <is>
          <t>YE11</t>
        </is>
      </c>
      <c r="F332" t="inlineStr">
        <is>
          <t>Yemen</t>
        </is>
      </c>
      <c r="G332" t="inlineStr">
        <is>
          <t>YEM</t>
        </is>
      </c>
    </row>
    <row r="333">
      <c r="A333" t="inlineStr">
        <is>
          <t>Yarim</t>
        </is>
      </c>
      <c r="B333" t="inlineStr">
        <is>
          <t>يريم</t>
        </is>
      </c>
      <c r="C333" t="inlineStr">
        <is>
          <t>YE1102</t>
        </is>
      </c>
      <c r="D333" t="inlineStr">
        <is>
          <t>Ibb</t>
        </is>
      </c>
      <c r="E333" t="inlineStr">
        <is>
          <t>YE11</t>
        </is>
      </c>
      <c r="F333" t="inlineStr">
        <is>
          <t>Yemen</t>
        </is>
      </c>
      <c r="G333" t="inlineStr">
        <is>
          <t>YEM</t>
        </is>
      </c>
    </row>
    <row r="334">
      <c r="A334" t="inlineStr">
        <is>
          <t>Al Qafr</t>
        </is>
      </c>
      <c r="B334" t="inlineStr">
        <is>
          <t>القفر</t>
        </is>
      </c>
      <c r="C334" t="inlineStr">
        <is>
          <t>YE1101</t>
        </is>
      </c>
      <c r="D334" t="inlineStr">
        <is>
          <t>Ibb</t>
        </is>
      </c>
      <c r="E334" t="inlineStr">
        <is>
          <t>YE11</t>
        </is>
      </c>
      <c r="F334" t="inlineStr">
        <is>
          <t>Yemen</t>
        </is>
      </c>
      <c r="G334" t="inlineStr">
        <is>
          <t>YEM</t>
        </is>
      </c>
    </row>
  </sheetData>
  <autoFilter ref="A1:G3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Lawi Analo</dc:creator>
  <dcterms:created xsi:type="dcterms:W3CDTF">2020-12-10T15:46:11Z</dcterms:created>
  <dcterms:modified xsi:type="dcterms:W3CDTF">2026-05-08T13:43:09Z</dcterms:modified>
  <cp:lastModifiedBy>Forzano, Edoardo (OER)</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0x010100AA0901C00BE8754680E1F02E394963D6</vt:lpwstr>
  </property>
  <property name="MSIP_Label_46ec50b2-b191-4ad7-ba82-7deb0436e358_Enabled" fmtid="{D5CDD505-2E9C-101B-9397-08002B2CF9AE}" pid="3">
    <vt:lpwstr>true</vt:lpwstr>
  </property>
  <property name="MSIP_Label_46ec50b2-b191-4ad7-ba82-7deb0436e358_SetDate" fmtid="{D5CDD505-2E9C-101B-9397-08002B2CF9AE}" pid="4">
    <vt:lpwstr>2024-10-15T10:12:46Z</vt:lpwstr>
  </property>
  <property name="MSIP_Label_46ec50b2-b191-4ad7-ba82-7deb0436e358_Method" fmtid="{D5CDD505-2E9C-101B-9397-08002B2CF9AE}" pid="5">
    <vt:lpwstr>Privileged</vt:lpwstr>
  </property>
  <property name="MSIP_Label_46ec50b2-b191-4ad7-ba82-7deb0436e358_Name" fmtid="{D5CDD505-2E9C-101B-9397-08002B2CF9AE}" pid="6">
    <vt:lpwstr>Public - 1</vt:lpwstr>
  </property>
  <property name="MSIP_Label_46ec50b2-b191-4ad7-ba82-7deb0436e358_SiteId" fmtid="{D5CDD505-2E9C-101B-9397-08002B2CF9AE}" pid="7">
    <vt:lpwstr>de3cd3a3-3b37-48aa-974f-a35e5efb5851</vt:lpwstr>
  </property>
  <property name="MSIP_Label_46ec50b2-b191-4ad7-ba82-7deb0436e358_ActionId" fmtid="{D5CDD505-2E9C-101B-9397-08002B2CF9AE}" pid="8">
    <vt:lpwstr>fb10bf82-8e07-442e-a6ff-75b3710228a6</vt:lpwstr>
  </property>
  <property name="MSIP_Label_46ec50b2-b191-4ad7-ba82-7deb0436e358_ContentBits" fmtid="{D5CDD505-2E9C-101B-9397-08002B2CF9AE}" pid="9">
    <vt:lpwstr>0</vt:lpwstr>
  </property>
  <property name="MediaServiceImageTags" fmtid="{D5CDD505-2E9C-101B-9397-08002B2CF9AE}" pid="10">
    <vt:lpwstr/>
  </property>
</Properties>
</file>