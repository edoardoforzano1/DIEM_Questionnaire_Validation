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New Durations" sheetId="2" state="hidden" r:id="rId2"/>
    <sheet name="Crop list" sheetId="3" state="visible" r:id="rId3"/>
    <sheet name="Additional information" sheetId="4" state="visible" r:id="rId4"/>
    <sheet name="Admin 2 info" sheetId="5" state="visible" r:id="rId5"/>
  </sheets>
  <externalReferences>
    <externalReference r:id="rId6"/>
  </externalReferences>
  <definedNames>
    <definedName name="_xlnm._FilterDatabase" localSheetId="2" hidden="1">'Crop list'!$C$3:$F$93</definedName>
    <definedName name="_xlnm._FilterDatabase" localSheetId="4" hidden="1">'Admin 2 info'!$A$1:$G$190</definedName>
  </definedNames>
  <calcPr calcId="191028" fullCalcOnLoad="1"/>
</workbook>
</file>

<file path=xl/styles.xml><?xml version="1.0" encoding="utf-8"?>
<styleSheet xmlns="http://schemas.openxmlformats.org/spreadsheetml/2006/main">
  <numFmts count="2">
    <numFmt numFmtId="164" formatCode="0.0"/>
    <numFmt numFmtId="165" formatCode="0.0%"/>
  </numFmts>
  <fonts count="44">
    <font>
      <name val="Calibri"/>
      <family val="2"/>
      <color theme="1"/>
      <sz val="11"/>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sz val="12"/>
      <scheme val="minor"/>
    </font>
    <font>
      <name val="Calibri"/>
      <family val="2"/>
      <b val="1"/>
      <color theme="0"/>
      <sz val="12"/>
      <scheme val="minor"/>
    </font>
    <font>
      <name val="Calibri"/>
      <family val="2"/>
      <b val="1"/>
      <sz val="12"/>
      <scheme val="minor"/>
    </font>
    <font>
      <name val="Calibri"/>
      <family val="2"/>
      <color rgb="FFFF0000"/>
      <sz val="12"/>
      <scheme val="minor"/>
    </font>
    <font>
      <name val="Calibri"/>
      <family val="2"/>
      <color theme="4"/>
      <sz val="12"/>
      <scheme val="minor"/>
    </font>
    <font>
      <name val="Calibri"/>
      <family val="2"/>
      <i val="1"/>
      <sz val="12"/>
      <scheme val="minor"/>
    </font>
    <font>
      <name val="Calibri"/>
      <family val="2"/>
      <b val="1"/>
      <color theme="4"/>
      <sz val="12"/>
      <scheme val="minor"/>
    </font>
    <font>
      <name val="Calibri"/>
      <family val="2"/>
      <b val="1"/>
      <i val="1"/>
      <sz val="12"/>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i val="1"/>
      <sz val="11"/>
    </font>
    <font>
      <name val="Calibri"/>
      <family val="2"/>
      <b val="1"/>
      <sz val="11"/>
    </font>
    <font>
      <name val="Calibri"/>
      <family val="2"/>
      <b val="1"/>
      <sz val="11"/>
      <scheme val="minor"/>
    </font>
    <font>
      <name val="Calibri"/>
      <family val="2"/>
      <color rgb="FF000000"/>
      <sz val="12"/>
      <scheme val="minor"/>
    </font>
    <font>
      <name val="Calibri"/>
      <family val="2"/>
      <b val="1"/>
      <i val="1"/>
      <color theme="1"/>
      <sz val="12"/>
      <scheme val="minor"/>
    </font>
    <font>
      <name val="Calibri"/>
      <family val="2"/>
      <b val="1"/>
      <color theme="9" tint="-0.499984740745262"/>
      <sz val="12"/>
      <scheme val="minor"/>
    </font>
    <font>
      <name val="Calibri"/>
      <family val="2"/>
      <color theme="9" tint="-0.499984740745262"/>
      <sz val="12"/>
      <scheme val="minor"/>
    </font>
    <font>
      <name val="Calibri"/>
      <family val="2"/>
      <i val="1"/>
      <sz val="10.5"/>
    </font>
    <font>
      <name val="Calibri"/>
      <family val="2"/>
      <i val="1"/>
      <color rgb="FF000000"/>
      <sz val="12"/>
      <scheme val="minor"/>
    </font>
    <font>
      <name val="Calibri"/>
      <family val="2"/>
      <b val="1"/>
      <color rgb="FF0070C0"/>
      <sz val="12"/>
      <scheme val="minor"/>
    </font>
    <font>
      <name val="Calibri"/>
      <family val="2"/>
      <b val="1"/>
      <i val="1"/>
      <color theme="4"/>
      <sz val="12"/>
      <scheme val="minor"/>
    </font>
    <font>
      <name val="Calibri"/>
      <family val="2"/>
      <i val="1"/>
      <color theme="4"/>
      <sz val="12"/>
      <scheme val="minor"/>
    </font>
    <font>
      <name val="Calibri"/>
      <family val="2"/>
      <b val="1"/>
      <color theme="0"/>
      <sz val="14"/>
      <scheme val="minor"/>
    </font>
    <font>
      <name val="Calibri"/>
      <family val="2"/>
      <b val="1"/>
      <sz val="18"/>
      <scheme val="minor"/>
    </font>
    <font>
      <name val="Calibri"/>
      <family val="2"/>
      <b val="1"/>
      <color theme="1"/>
      <sz val="18"/>
      <scheme val="minor"/>
    </font>
    <font>
      <name val="Calibri"/>
      <family val="2"/>
      <b val="1"/>
      <sz val="14"/>
      <scheme val="minor"/>
    </font>
    <font>
      <name val="Calibri"/>
      <family val="2"/>
      <b val="1"/>
      <color theme="1"/>
      <sz val="14"/>
      <scheme val="minor"/>
    </font>
    <font>
      <name val="Calibri"/>
      <family val="2"/>
      <b val="1"/>
      <color rgb="FF00B050"/>
      <sz val="12"/>
      <scheme val="minor"/>
    </font>
    <font>
      <name val="Calibri (Body)"/>
      <sz val="12"/>
    </font>
    <font>
      <name val="Calibri"/>
      <family val="2"/>
      <b val="1"/>
      <color rgb="FFFF0000"/>
      <sz val="12"/>
      <scheme val="minor"/>
    </font>
    <font>
      <name val="Calibri"/>
      <family val="2"/>
      <color rgb="FF00B050"/>
      <sz val="12"/>
      <scheme val="minor"/>
    </font>
    <font>
      <name val="Calibri"/>
      <family val="2"/>
      <sz val="13"/>
      <scheme val="minor"/>
    </font>
    <font>
      <name val="Calibri"/>
      <family val="2"/>
      <sz val="13"/>
    </font>
    <font>
      <name val="Calibri"/>
      <family val="2"/>
      <sz val="12"/>
    </font>
    <font>
      <name val="Times New Roman"/>
      <family val="1"/>
      <sz val="12"/>
    </font>
    <font>
      <name val="Calibri"/>
      <family val="2"/>
      <b val="1"/>
      <color theme="1"/>
      <sz val="12"/>
      <scheme val="minor"/>
    </font>
  </fonts>
  <fills count="14">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0.0499893185216834"/>
        <bgColor indexed="64"/>
      </patternFill>
    </fill>
    <fill>
      <patternFill patternType="solid">
        <fgColor theme="5" tint="0.7999816888943144"/>
        <bgColor indexed="64"/>
      </patternFill>
    </fill>
    <fill>
      <patternFill patternType="solid">
        <fgColor theme="7" tint="0.7999816888943144"/>
        <bgColor indexed="64"/>
      </patternFill>
    </fill>
    <fill>
      <patternFill patternType="solid">
        <fgColor rgb="FFFFFF00"/>
        <bgColor indexed="64"/>
      </patternFill>
    </fill>
    <fill>
      <patternFill patternType="solid">
        <fgColor rgb="FF0070C0"/>
        <bgColor indexed="64"/>
      </patternFill>
    </fill>
  </fills>
  <borders count="9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right style="thin">
        <color indexed="64"/>
      </right>
      <top style="medium">
        <color indexed="64"/>
      </top>
      <bottom/>
      <diagonal/>
    </border>
    <border>
      <left style="thin">
        <color rgb="FF000000"/>
      </left>
      <right style="thin">
        <color indexed="64"/>
      </right>
      <top style="medium">
        <color indexed="64"/>
      </top>
      <bottom style="thin">
        <color indexed="64"/>
      </bottom>
      <diagonal/>
    </border>
    <border>
      <left style="thin">
        <color auto="1"/>
      </left>
      <right style="thin">
        <color indexed="64"/>
      </right>
      <top style="medium">
        <color indexed="64"/>
      </top>
      <bottom/>
      <diagonal/>
    </border>
    <border>
      <left style="thin">
        <color theme="1"/>
      </left>
      <right style="thin">
        <color indexed="64"/>
      </right>
      <top style="thin">
        <color theme="1"/>
      </top>
      <bottom style="thin">
        <color theme="1"/>
      </bottom>
      <diagonal/>
    </border>
    <border>
      <left/>
      <right style="thin">
        <color theme="1"/>
      </right>
      <top style="thin">
        <color theme="1"/>
      </top>
      <bottom style="thin">
        <color theme="1"/>
      </bottom>
      <diagonal/>
    </border>
    <border>
      <left/>
      <right style="thin">
        <color rgb="FF000000"/>
      </right>
      <top style="thin">
        <color rgb="FF000000"/>
      </top>
      <bottom/>
      <diagonal/>
    </border>
    <border>
      <left style="thin">
        <color theme="1"/>
      </left>
      <right style="thin">
        <color theme="1"/>
      </right>
      <top style="thin">
        <color theme="1"/>
      </top>
      <bottom/>
      <diagonal/>
    </border>
    <border>
      <left style="medium">
        <color indexed="64"/>
      </left>
      <right/>
      <top style="medium">
        <color indexed="64"/>
      </top>
      <bottom/>
      <diagonal/>
    </border>
    <border>
      <left/>
      <right/>
      <top style="thin">
        <color rgb="FF000000"/>
      </top>
      <bottom style="thin">
        <color indexed="64"/>
      </bottom>
      <diagonal/>
    </border>
    <border>
      <left/>
      <right/>
      <top style="medium">
        <color indexed="64"/>
      </top>
      <bottom/>
      <diagonal/>
    </border>
    <border>
      <left/>
      <right style="medium">
        <color indexed="64"/>
      </right>
      <top/>
      <bottom/>
      <diagonal/>
    </border>
    <border>
      <left style="thin">
        <color auto="1"/>
      </left>
      <right style="thin">
        <color auto="1"/>
      </right>
      <top/>
      <bottom/>
      <diagonal/>
    </border>
    <border>
      <left/>
      <right/>
      <top style="thin">
        <color auto="1"/>
      </top>
      <bottom/>
      <diagonal/>
    </border>
  </borders>
  <cellStyleXfs count="21">
    <xf numFmtId="0" fontId="2" fillId="0" borderId="0"/>
    <xf numFmtId="0" fontId="3" fillId="0" borderId="0"/>
    <xf numFmtId="0" fontId="4" fillId="0" borderId="0"/>
    <xf numFmtId="0" fontId="2" fillId="0" borderId="0"/>
    <xf numFmtId="0" fontId="3" fillId="0" borderId="0"/>
    <xf numFmtId="0" fontId="2" fillId="0" borderId="0"/>
    <xf numFmtId="0" fontId="2" fillId="0" borderId="0"/>
    <xf numFmtId="0" fontId="7" fillId="6" borderId="21"/>
    <xf numFmtId="0" fontId="3" fillId="0" borderId="0"/>
    <xf numFmtId="0" fontId="3" fillId="0" borderId="0"/>
    <xf numFmtId="0" fontId="3" fillId="0" borderId="0"/>
    <xf numFmtId="9"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3" fillId="0" borderId="0"/>
  </cellStyleXfs>
  <cellXfs count="595">
    <xf numFmtId="0" fontId="0" fillId="0" borderId="0" pivotButton="0" quotePrefix="0" xfId="0"/>
    <xf numFmtId="0" fontId="0" fillId="0" borderId="22" pivotButton="0" quotePrefix="0" xfId="0"/>
    <xf numFmtId="0" fontId="5" fillId="0" borderId="22" applyAlignment="1" pivotButton="0" quotePrefix="0" xfId="0">
      <alignment horizontal="center" vertical="center"/>
    </xf>
    <xf numFmtId="0" fontId="0" fillId="0" borderId="23" pivotButton="0" quotePrefix="0" xfId="0"/>
    <xf numFmtId="0" fontId="5" fillId="0" borderId="25" applyAlignment="1" pivotButton="0" quotePrefix="0" xfId="0">
      <alignment horizontal="center" vertical="center"/>
    </xf>
    <xf numFmtId="0" fontId="0" fillId="0" borderId="25" pivotButton="0" quotePrefix="0" xfId="0"/>
    <xf numFmtId="0" fontId="5" fillId="0" borderId="26" applyAlignment="1" pivotButton="0" quotePrefix="0" xfId="0">
      <alignment horizontal="center" vertical="center"/>
    </xf>
    <xf numFmtId="0" fontId="0" fillId="0" borderId="26" pivotButton="0" quotePrefix="0" xfId="0"/>
    <xf numFmtId="0" fontId="5" fillId="0" borderId="1" pivotButton="0" quotePrefix="0" xfId="0"/>
    <xf numFmtId="0" fontId="6" fillId="0" borderId="35" applyAlignment="1" applyProtection="1" pivotButton="0" quotePrefix="0" xfId="3">
      <alignment horizontal="left" vertical="center" wrapText="1"/>
      <protection locked="0" hidden="0"/>
    </xf>
    <xf numFmtId="0" fontId="6" fillId="0" borderId="36" applyAlignment="1" applyProtection="1" pivotButton="0" quotePrefix="0" xfId="3">
      <alignment horizontal="left" vertical="center" wrapText="1"/>
      <protection locked="0" hidden="0"/>
    </xf>
    <xf numFmtId="0" fontId="6" fillId="0" borderId="36" applyAlignment="1" applyProtection="1" pivotButton="0" quotePrefix="0" xfId="5">
      <alignment horizontal="left" vertical="center" wrapText="1"/>
      <protection locked="0" hidden="0"/>
    </xf>
    <xf numFmtId="0" fontId="6" fillId="0" borderId="37" applyAlignment="1" applyProtection="1" pivotButton="0" quotePrefix="0" xfId="3">
      <alignment horizontal="left" vertical="center" wrapText="1"/>
      <protection locked="0" hidden="0"/>
    </xf>
    <xf numFmtId="0" fontId="6" fillId="0" borderId="34" applyAlignment="1" applyProtection="1" pivotButton="0" quotePrefix="0" xfId="3">
      <alignment horizontal="left" vertical="center" wrapText="1"/>
      <protection locked="0" hidden="0"/>
    </xf>
    <xf numFmtId="0" fontId="6" fillId="0" borderId="8" applyAlignment="1" applyProtection="1" pivotButton="0" quotePrefix="0" xfId="2">
      <alignment horizontal="center" vertical="center"/>
      <protection locked="0" hidden="0"/>
    </xf>
    <xf numFmtId="0" fontId="6" fillId="0" borderId="1" applyAlignment="1" applyProtection="1" pivotButton="0" quotePrefix="0" xfId="0">
      <alignment horizontal="left" vertical="center" wrapText="1"/>
      <protection locked="0" hidden="0"/>
    </xf>
    <xf numFmtId="0" fontId="6" fillId="0" borderId="1" applyAlignment="1" applyProtection="1" pivotButton="0" quotePrefix="0" xfId="2">
      <alignment horizontal="center" vertical="center" wrapText="1"/>
      <protection locked="0" hidden="0"/>
    </xf>
    <xf numFmtId="0" fontId="20" fillId="0" borderId="1" pivotButton="0" quotePrefix="0" xfId="0"/>
    <xf numFmtId="0" fontId="8" fillId="10" borderId="1" applyAlignment="1" applyProtection="1" pivotButton="0" quotePrefix="0" xfId="7">
      <alignment horizontal="center" vertical="center"/>
      <protection locked="0" hidden="0"/>
    </xf>
    <xf numFmtId="0" fontId="6" fillId="0" borderId="49" applyAlignment="1" applyProtection="1" pivotButton="0" quotePrefix="0" xfId="3">
      <alignment horizontal="left" vertical="center" wrapText="1"/>
      <protection locked="0" hidden="0"/>
    </xf>
    <xf numFmtId="1" fontId="0" fillId="0" borderId="0" pivotButton="0" quotePrefix="0" xfId="0"/>
    <xf numFmtId="9" fontId="0" fillId="0" borderId="0" pivotButton="0" quotePrefix="0" xfId="11"/>
    <xf numFmtId="0" fontId="6" fillId="7" borderId="14" applyAlignment="1" applyProtection="1" pivotButton="0" quotePrefix="0" xfId="3">
      <alignment vertical="center" wrapText="1"/>
      <protection locked="0" hidden="0"/>
    </xf>
    <xf numFmtId="0" fontId="6" fillId="0" borderId="49" applyAlignment="1" applyProtection="1" pivotButton="0" quotePrefix="0" xfId="3">
      <alignment horizontal="left" vertical="center"/>
      <protection locked="0" hidden="0"/>
    </xf>
    <xf numFmtId="0" fontId="24" fillId="4" borderId="17" applyAlignment="1" applyProtection="1" pivotButton="0" quotePrefix="0" xfId="3">
      <alignment horizontal="left" vertical="center" wrapText="1"/>
      <protection locked="0" hidden="0"/>
    </xf>
    <xf numFmtId="0" fontId="6" fillId="0" borderId="17" applyAlignment="1" applyProtection="1" pivotButton="0" quotePrefix="0" xfId="3">
      <alignment horizontal="center" vertical="center" wrapText="1"/>
      <protection locked="0" hidden="0"/>
    </xf>
    <xf numFmtId="0" fontId="6" fillId="0" borderId="14" applyAlignment="1" applyProtection="1" pivotButton="0" quotePrefix="0" xfId="3">
      <alignment horizontal="center" vertical="center" wrapText="1"/>
      <protection locked="0" hidden="0"/>
    </xf>
    <xf numFmtId="0" fontId="6" fillId="0" borderId="14" applyAlignment="1" applyProtection="1" pivotButton="0" quotePrefix="0" xfId="5">
      <alignment horizontal="center" vertical="center" wrapText="1"/>
      <protection locked="0" hidden="0"/>
    </xf>
    <xf numFmtId="0" fontId="11" fillId="0" borderId="14" applyAlignment="1" applyProtection="1" pivotButton="0" quotePrefix="0" xfId="3">
      <alignment horizontal="left" vertical="center" wrapText="1"/>
      <protection locked="0" hidden="0"/>
    </xf>
    <xf numFmtId="0" fontId="6" fillId="0" borderId="14" applyAlignment="1" applyProtection="1" pivotButton="0" quotePrefix="0" xfId="3">
      <alignment horizontal="left" vertical="center" wrapText="1"/>
      <protection locked="0" hidden="0"/>
    </xf>
    <xf numFmtId="0" fontId="6" fillId="0" borderId="15" applyAlignment="1" applyProtection="1" pivotButton="0" quotePrefix="0" xfId="3">
      <alignment horizontal="center" vertical="center" wrapText="1"/>
      <protection locked="0" hidden="0"/>
    </xf>
    <xf numFmtId="0" fontId="6" fillId="0" borderId="17" applyAlignment="1" applyProtection="1" pivotButton="0" quotePrefix="0" xfId="3">
      <alignment horizontal="left" vertical="center" wrapText="1"/>
      <protection locked="0" hidden="0"/>
    </xf>
    <xf numFmtId="0" fontId="6" fillId="0" borderId="16" applyAlignment="1" applyProtection="1" pivotButton="0" quotePrefix="0" xfId="2">
      <alignment horizontal="center" vertical="center" wrapText="1"/>
      <protection locked="0" hidden="0"/>
    </xf>
    <xf numFmtId="0" fontId="6" fillId="0" borderId="28" applyAlignment="1" applyProtection="1" pivotButton="0" quotePrefix="0" xfId="3">
      <alignment horizontal="left" vertical="center" wrapText="1"/>
      <protection locked="0" hidden="0"/>
    </xf>
    <xf numFmtId="0" fontId="6" fillId="0" borderId="7" applyAlignment="1" applyProtection="1" pivotButton="0" quotePrefix="0" xfId="2">
      <alignment horizontal="center" vertical="center"/>
      <protection locked="0" hidden="0"/>
    </xf>
    <xf numFmtId="9" fontId="16" fillId="0" borderId="42" applyAlignment="1" pivotButton="0" quotePrefix="0" xfId="11">
      <alignment horizontal="center" vertical="center" wrapText="1"/>
    </xf>
    <xf numFmtId="9" fontId="16" fillId="0" borderId="47" applyAlignment="1" pivotButton="0" quotePrefix="0" xfId="11">
      <alignment horizontal="center" vertical="center" wrapText="1"/>
    </xf>
    <xf numFmtId="0" fontId="6" fillId="0" borderId="20" applyAlignment="1" applyProtection="1" pivotButton="0" quotePrefix="0" xfId="3">
      <alignment horizontal="center" vertical="center" wrapText="1"/>
      <protection locked="0" hidden="0"/>
    </xf>
    <xf numFmtId="0" fontId="6" fillId="0" borderId="36" applyAlignment="1" applyProtection="1" pivotButton="0" quotePrefix="0" xfId="3">
      <alignment horizontal="center" vertical="center" wrapText="1"/>
      <protection locked="0" hidden="0"/>
    </xf>
    <xf numFmtId="0" fontId="6" fillId="0" borderId="49" applyAlignment="1" applyProtection="1" pivotButton="0" quotePrefix="0" xfId="3">
      <alignment horizontal="center" vertical="center" wrapText="1"/>
      <protection locked="0" hidden="0"/>
    </xf>
    <xf numFmtId="0" fontId="6" fillId="0" borderId="0" applyAlignment="1" applyProtection="1" pivotButton="0" quotePrefix="0" xfId="3">
      <alignment horizontal="left" vertical="center" wrapText="1"/>
      <protection locked="0" hidden="0"/>
    </xf>
    <xf numFmtId="0" fontId="6" fillId="0" borderId="16" applyAlignment="1" pivotButton="0" quotePrefix="0" xfId="2">
      <alignment horizontal="center" vertical="center" wrapText="1"/>
    </xf>
    <xf numFmtId="0" fontId="6" fillId="0" borderId="16" applyAlignment="1" pivotButton="0" quotePrefix="0" xfId="2">
      <alignment horizontal="left" vertical="center" wrapText="1"/>
    </xf>
    <xf numFmtId="0" fontId="6" fillId="0" borderId="0" applyAlignment="1" applyProtection="1" pivotButton="0" quotePrefix="0" xfId="0">
      <alignment horizontal="center" vertical="center"/>
      <protection locked="0" hidden="0"/>
    </xf>
    <xf numFmtId="0" fontId="6" fillId="0" borderId="17" applyAlignment="1" pivotButton="0" quotePrefix="0" xfId="3">
      <alignment horizontal="left" vertical="center" wrapText="1"/>
    </xf>
    <xf numFmtId="0" fontId="6" fillId="0" borderId="3" applyAlignment="1" pivotButton="0" quotePrefix="0" xfId="2">
      <alignment horizontal="center" vertical="center" wrapText="1"/>
    </xf>
    <xf numFmtId="0" fontId="6" fillId="0" borderId="3" applyAlignment="1" pivotButton="0" quotePrefix="0" xfId="3">
      <alignment horizontal="left" vertical="center" wrapText="1"/>
    </xf>
    <xf numFmtId="0" fontId="6" fillId="0" borderId="3" applyAlignment="1" pivotButton="0" quotePrefix="0" xfId="0">
      <alignment horizontal="center" vertical="center" wrapText="1"/>
    </xf>
    <xf numFmtId="0" fontId="6" fillId="0" borderId="0" applyProtection="1" pivotButton="0" quotePrefix="0" xfId="3">
      <protection locked="0" hidden="0"/>
    </xf>
    <xf numFmtId="0" fontId="6" fillId="0" borderId="0" applyProtection="1" pivotButton="0" quotePrefix="0" xfId="0">
      <protection locked="0" hidden="0"/>
    </xf>
    <xf numFmtId="0" fontId="8" fillId="0" borderId="0" applyAlignment="1" applyProtection="1" pivotButton="0" quotePrefix="0" xfId="3">
      <alignment horizontal="center" vertical="center"/>
      <protection locked="0" hidden="0"/>
    </xf>
    <xf numFmtId="0" fontId="6" fillId="0" borderId="14" applyAlignment="1" pivotButton="0" quotePrefix="0" xfId="3">
      <alignment horizontal="left" vertical="center" wrapText="1"/>
    </xf>
    <xf numFmtId="0" fontId="6" fillId="0" borderId="1" applyAlignment="1" pivotButton="0" quotePrefix="0" xfId="2">
      <alignment horizontal="center" vertical="center" wrapText="1"/>
    </xf>
    <xf numFmtId="0" fontId="6" fillId="0" borderId="1" applyAlignment="1" pivotButton="0" quotePrefix="0" xfId="0">
      <alignment horizontal="center" vertical="center" wrapText="1"/>
    </xf>
    <xf numFmtId="0" fontId="6" fillId="0" borderId="3" applyAlignment="1" pivotButton="0" quotePrefix="0" xfId="3">
      <alignment horizontal="center" vertical="center" wrapText="1"/>
    </xf>
    <xf numFmtId="0" fontId="6" fillId="0" borderId="20" applyAlignment="1" pivotButton="0" quotePrefix="0" xfId="3">
      <alignment horizontal="left" vertical="center" wrapText="1"/>
    </xf>
    <xf numFmtId="0" fontId="6" fillId="0" borderId="1" applyAlignment="1" pivotButton="0" quotePrefix="0" xfId="3">
      <alignment horizontal="center" vertical="center" wrapText="1"/>
    </xf>
    <xf numFmtId="0" fontId="6" fillId="0" borderId="1" applyAlignment="1" pivotButton="0" quotePrefix="0" xfId="3">
      <alignment horizontal="left" vertical="center" wrapText="1"/>
    </xf>
    <xf numFmtId="0" fontId="6" fillId="0" borderId="17" applyAlignment="1" pivotButton="0" quotePrefix="0" xfId="2">
      <alignment horizontal="left" vertical="center" wrapText="1"/>
    </xf>
    <xf numFmtId="0" fontId="6" fillId="0" borderId="14" applyAlignment="1" pivotButton="0" quotePrefix="0" xfId="2">
      <alignment horizontal="left" vertical="center" wrapText="1"/>
    </xf>
    <xf numFmtId="0" fontId="6" fillId="0" borderId="1" applyAlignment="1" applyProtection="1" pivotButton="0" quotePrefix="0" xfId="2">
      <alignment horizontal="left" vertical="center" wrapText="1"/>
      <protection locked="0" hidden="0"/>
    </xf>
    <xf numFmtId="0" fontId="6" fillId="0" borderId="1" applyAlignment="1" applyProtection="1" pivotButton="0" quotePrefix="0" xfId="3">
      <alignment vertical="center" wrapText="1"/>
      <protection locked="0" hidden="0"/>
    </xf>
    <xf numFmtId="0" fontId="8" fillId="0" borderId="1" applyAlignment="1" applyProtection="1" pivotButton="0" quotePrefix="0" xfId="14">
      <alignment horizontal="center" vertical="center" wrapText="1"/>
      <protection locked="0" hidden="0"/>
    </xf>
    <xf numFmtId="0" fontId="8" fillId="0" borderId="1" applyAlignment="1" pivotButton="0" quotePrefix="0" xfId="14">
      <alignment horizontal="center" vertical="center" wrapText="1"/>
    </xf>
    <xf numFmtId="0" fontId="6" fillId="0" borderId="1" applyAlignment="1" pivotButton="0" quotePrefix="0" xfId="0">
      <alignment horizontal="left" vertical="center" wrapText="1"/>
    </xf>
    <xf numFmtId="0" fontId="6" fillId="0" borderId="3" applyAlignment="1" pivotButton="0" quotePrefix="0" xfId="0">
      <alignment horizontal="left" vertical="center" wrapText="1"/>
    </xf>
    <xf numFmtId="0" fontId="8" fillId="0" borderId="0" applyAlignment="1" applyProtection="1" pivotButton="0" quotePrefix="0" xfId="0">
      <alignment horizontal="center" vertical="center"/>
      <protection locked="0" hidden="0"/>
    </xf>
    <xf numFmtId="0" fontId="11" fillId="0" borderId="17" applyAlignment="1" applyProtection="1" pivotButton="0" quotePrefix="0" xfId="3">
      <alignment horizontal="left" vertical="center"/>
      <protection locked="0" hidden="0"/>
    </xf>
    <xf numFmtId="0" fontId="11" fillId="0" borderId="17" applyAlignment="1" pivotButton="0" quotePrefix="0" xfId="3">
      <alignment horizontal="left" vertical="center" wrapText="1"/>
    </xf>
    <xf numFmtId="0" fontId="6" fillId="0" borderId="17" applyAlignment="1" applyProtection="1" pivotButton="0" quotePrefix="0" xfId="2">
      <alignment horizontal="left" vertical="center"/>
      <protection locked="0" hidden="0"/>
    </xf>
    <xf numFmtId="0" fontId="6" fillId="0" borderId="17" applyAlignment="1" pivotButton="0" quotePrefix="0" xfId="2">
      <alignment horizontal="left" vertical="center"/>
    </xf>
    <xf numFmtId="0" fontId="6" fillId="0" borderId="3" applyAlignment="1" pivotButton="0" quotePrefix="0" xfId="2">
      <alignment horizontal="left" vertical="center" wrapText="1"/>
    </xf>
    <xf numFmtId="0" fontId="6" fillId="0" borderId="14" applyAlignment="1" pivotButton="0" quotePrefix="0" xfId="3">
      <alignment horizontal="center" vertical="center" wrapText="1"/>
    </xf>
    <xf numFmtId="0" fontId="6" fillId="0" borderId="18" applyAlignment="1" pivotButton="0" quotePrefix="0" xfId="3">
      <alignment horizontal="left" vertical="center" wrapText="1"/>
    </xf>
    <xf numFmtId="0" fontId="6" fillId="0" borderId="10" applyAlignment="1" pivotButton="0" quotePrefix="0" xfId="2">
      <alignment horizontal="center" vertical="center" wrapText="1"/>
    </xf>
    <xf numFmtId="0" fontId="6" fillId="0" borderId="10" applyAlignment="1" pivotButton="0" quotePrefix="0" xfId="3">
      <alignment horizontal="center" vertical="center" wrapText="1"/>
    </xf>
    <xf numFmtId="0" fontId="6" fillId="0" borderId="10" applyAlignment="1" pivotButton="0" quotePrefix="0" xfId="3">
      <alignment horizontal="left" vertical="center" wrapText="1"/>
    </xf>
    <xf numFmtId="0" fontId="6" fillId="0" borderId="12" applyAlignment="1" pivotButton="0" quotePrefix="0" xfId="0">
      <alignment horizontal="center" vertical="center" wrapText="1"/>
    </xf>
    <xf numFmtId="0" fontId="8" fillId="0" borderId="10" applyAlignment="1" pivotButton="0" quotePrefix="0" xfId="14">
      <alignment horizontal="center" vertical="center" wrapText="1"/>
    </xf>
    <xf numFmtId="0" fontId="6" fillId="0" borderId="14" applyAlignment="1" pivotButton="0" quotePrefix="0" xfId="5">
      <alignment horizontal="center" vertical="center" wrapText="1"/>
    </xf>
    <xf numFmtId="0" fontId="6" fillId="0" borderId="14" applyAlignment="1" pivotButton="0" quotePrefix="0" xfId="5">
      <alignment horizontal="left" vertical="center" wrapText="1"/>
    </xf>
    <xf numFmtId="0" fontId="6" fillId="0" borderId="1" applyAlignment="1" pivotButton="0" quotePrefix="0" xfId="5">
      <alignment horizontal="left" vertical="center" wrapText="1"/>
    </xf>
    <xf numFmtId="0" fontId="6" fillId="0" borderId="17" applyAlignment="1" pivotButton="0" quotePrefix="0" xfId="3">
      <alignment horizontal="center" vertical="center" wrapText="1"/>
    </xf>
    <xf numFmtId="0" fontId="6" fillId="0" borderId="0" applyAlignment="1" applyProtection="1" pivotButton="0" quotePrefix="0" xfId="0">
      <alignment wrapText="1"/>
      <protection locked="0" hidden="0"/>
    </xf>
    <xf numFmtId="0" fontId="6" fillId="0" borderId="0" applyAlignment="1" applyProtection="1" pivotButton="0" quotePrefix="0" xfId="0">
      <alignment horizontal="center"/>
      <protection locked="0" hidden="0"/>
    </xf>
    <xf numFmtId="0" fontId="8" fillId="0" borderId="0" applyProtection="1" pivotButton="0" quotePrefix="0" xfId="0">
      <protection locked="0" hidden="0"/>
    </xf>
    <xf numFmtId="0" fontId="8" fillId="0" borderId="32" applyProtection="1" pivotButton="0" quotePrefix="0" xfId="0">
      <protection locked="0" hidden="0"/>
    </xf>
    <xf numFmtId="0" fontId="8" fillId="0" borderId="31" applyAlignment="1" applyProtection="1" pivotButton="0" quotePrefix="0" xfId="0">
      <alignment wrapText="1"/>
      <protection locked="0" hidden="0"/>
    </xf>
    <xf numFmtId="0" fontId="6" fillId="0" borderId="0" applyAlignment="1" applyProtection="1" pivotButton="0" quotePrefix="0" xfId="3">
      <alignment wrapText="1"/>
      <protection locked="0" hidden="0"/>
    </xf>
    <xf numFmtId="0" fontId="8" fillId="0" borderId="3" applyAlignment="1" pivotButton="0" quotePrefix="0" xfId="14">
      <alignment horizontal="center" vertical="center" wrapText="1"/>
    </xf>
    <xf numFmtId="0" fontId="6" fillId="0" borderId="3" applyAlignment="1" pivotButton="0" quotePrefix="0" xfId="14">
      <alignment horizontal="center" vertical="center" wrapText="1"/>
    </xf>
    <xf numFmtId="0" fontId="6" fillId="0" borderId="29" applyAlignment="1" applyProtection="1" pivotButton="0" quotePrefix="0" xfId="3">
      <alignment horizontal="center" vertical="center" wrapText="1"/>
      <protection locked="0" hidden="0"/>
    </xf>
    <xf numFmtId="0" fontId="6" fillId="0" borderId="20" applyAlignment="1" pivotButton="0" quotePrefix="0" xfId="3">
      <alignment horizontal="center" vertical="center" wrapText="1"/>
    </xf>
    <xf numFmtId="0" fontId="24" fillId="0" borderId="14" applyAlignment="1" applyProtection="1" pivotButton="0" quotePrefix="0" xfId="3">
      <alignment horizontal="left" vertical="center" wrapText="1"/>
      <protection locked="0" hidden="0"/>
    </xf>
    <xf numFmtId="0" fontId="6" fillId="0" borderId="62" applyAlignment="1" applyProtection="1" pivotButton="0" quotePrefix="0" xfId="3">
      <alignment horizontal="left" vertical="center" wrapText="1"/>
      <protection locked="0" hidden="0"/>
    </xf>
    <xf numFmtId="0" fontId="20" fillId="0" borderId="1" applyAlignment="1" pivotButton="0" quotePrefix="0" xfId="0">
      <alignment horizontal="center" vertical="center"/>
    </xf>
    <xf numFmtId="0" fontId="5" fillId="0" borderId="1" applyAlignment="1" pivotButton="0" quotePrefix="0" xfId="0">
      <alignment horizontal="center"/>
    </xf>
    <xf numFmtId="0" fontId="5" fillId="0" borderId="25" pivotButton="0" quotePrefix="0" xfId="0"/>
    <xf numFmtId="0" fontId="20" fillId="0" borderId="1" applyAlignment="1" pivotButton="0" quotePrefix="0" xfId="0">
      <alignment horizontal="center" vertical="center" wrapText="1"/>
    </xf>
    <xf numFmtId="0" fontId="5" fillId="0" borderId="26" pivotButton="0" quotePrefix="0" xfId="0"/>
    <xf numFmtId="0" fontId="5" fillId="0" borderId="22" pivotButton="0" quotePrefix="0" xfId="0"/>
    <xf numFmtId="0" fontId="8" fillId="0" borderId="65" applyProtection="1" pivotButton="0" quotePrefix="0" xfId="0">
      <protection locked="0" hidden="0"/>
    </xf>
    <xf numFmtId="0" fontId="8" fillId="0" borderId="66" applyAlignment="1" applyProtection="1" pivotButton="0" quotePrefix="0" xfId="0">
      <alignment wrapText="1"/>
      <protection locked="0" hidden="0"/>
    </xf>
    <xf numFmtId="0" fontId="8" fillId="0" borderId="0" applyProtection="1" pivotButton="0" quotePrefix="0" xfId="3">
      <protection locked="0" hidden="0"/>
    </xf>
    <xf numFmtId="0" fontId="8" fillId="0" borderId="1" applyAlignment="1" pivotButton="0" quotePrefix="0" xfId="7">
      <alignment horizontal="center" vertical="center"/>
    </xf>
    <xf numFmtId="0" fontId="6" fillId="0" borderId="67" applyAlignment="1" applyProtection="1" pivotButton="0" quotePrefix="0" xfId="3">
      <alignment horizontal="center" vertical="center" wrapText="1"/>
      <protection locked="0" hidden="0"/>
    </xf>
    <xf numFmtId="0" fontId="6" fillId="0" borderId="15" applyAlignment="1" pivotButton="0" quotePrefix="0" xfId="3">
      <alignment horizontal="left" vertical="center" wrapText="1"/>
    </xf>
    <xf numFmtId="0" fontId="6" fillId="0" borderId="48" applyAlignment="1" pivotButton="0" quotePrefix="0" xfId="3">
      <alignment horizontal="left" vertical="center" wrapText="1"/>
    </xf>
    <xf numFmtId="0" fontId="6" fillId="0" borderId="0" pivotButton="0" quotePrefix="0" xfId="3"/>
    <xf numFmtId="0" fontId="8" fillId="0" borderId="0" applyAlignment="1" pivotButton="0" quotePrefix="0" xfId="3">
      <alignment horizontal="center" vertical="center"/>
    </xf>
    <xf numFmtId="0" fontId="6" fillId="0" borderId="0" applyAlignment="1" pivotButton="0" quotePrefix="0" xfId="0">
      <alignment horizontal="center" vertical="center"/>
    </xf>
    <xf numFmtId="0" fontId="6" fillId="0" borderId="0" pivotButton="0" quotePrefix="0" xfId="0"/>
    <xf numFmtId="0" fontId="8" fillId="0" borderId="0" applyAlignment="1" pivotButton="0" quotePrefix="0" xfId="0">
      <alignment horizontal="center" vertical="center"/>
    </xf>
    <xf numFmtId="2" fontId="6" fillId="0" borderId="0" applyProtection="1" pivotButton="0" quotePrefix="0" xfId="0">
      <protection locked="0" hidden="0"/>
    </xf>
    <xf numFmtId="0" fontId="6" fillId="0" borderId="1" applyAlignment="1" pivotButton="0" quotePrefix="0" xfId="2">
      <alignment horizontal="left" vertical="center" wrapText="1"/>
    </xf>
    <xf numFmtId="9" fontId="16" fillId="0" borderId="13" applyAlignment="1" pivotButton="0" quotePrefix="0" xfId="11">
      <alignment horizontal="center" vertical="center" wrapText="1"/>
    </xf>
    <xf numFmtId="9" fontId="16" fillId="0" borderId="2" applyAlignment="1" pivotButton="0" quotePrefix="0" xfId="11">
      <alignment horizontal="center" vertical="center" wrapText="1"/>
    </xf>
    <xf numFmtId="9" fontId="16" fillId="0" borderId="10" applyAlignment="1" pivotButton="0" quotePrefix="0" xfId="11">
      <alignment horizontal="center" vertical="center" wrapText="1"/>
    </xf>
    <xf numFmtId="9" fontId="16" fillId="0" borderId="75" applyAlignment="1" pivotButton="0" quotePrefix="0" xfId="11">
      <alignment horizontal="center" vertical="center" wrapText="1"/>
    </xf>
    <xf numFmtId="0" fontId="0" fillId="0" borderId="25" applyAlignment="1" pivotButton="0" quotePrefix="0" xfId="0">
      <alignment wrapText="1"/>
    </xf>
    <xf numFmtId="0" fontId="5" fillId="0" borderId="1" applyAlignment="1" pivotButton="0" quotePrefix="0" xfId="0">
      <alignment wrapText="1"/>
    </xf>
    <xf numFmtId="0" fontId="20" fillId="0" borderId="1" applyAlignment="1" pivotButton="0" quotePrefix="0" xfId="0">
      <alignment wrapText="1"/>
    </xf>
    <xf numFmtId="0" fontId="0" fillId="0" borderId="26" applyAlignment="1" pivotButton="0" quotePrefix="0" xfId="0">
      <alignment wrapText="1"/>
    </xf>
    <xf numFmtId="0" fontId="0" fillId="0" borderId="22" applyAlignment="1" pivotButton="0" quotePrefix="0" xfId="0">
      <alignment wrapText="1"/>
    </xf>
    <xf numFmtId="0" fontId="6" fillId="11" borderId="20" applyAlignment="1" pivotButton="0" quotePrefix="0" xfId="0">
      <alignment horizontal="left" vertical="center" wrapText="1"/>
    </xf>
    <xf numFmtId="0" fontId="6" fillId="0" borderId="67" applyAlignment="1" applyProtection="1" pivotButton="0" quotePrefix="0" xfId="3">
      <alignment horizontal="left" vertical="center" wrapText="1"/>
      <protection locked="0" hidden="0"/>
    </xf>
    <xf numFmtId="0" fontId="19" fillId="0" borderId="1" pivotButton="0" quotePrefix="0" xfId="0"/>
    <xf numFmtId="0" fontId="19" fillId="0" borderId="71" pivotButton="0" quotePrefix="0" xfId="0"/>
    <xf numFmtId="0" fontId="15" fillId="0" borderId="0" pivotButton="0" quotePrefix="0" xfId="0"/>
    <xf numFmtId="0" fontId="6" fillId="0" borderId="14" applyAlignment="1" pivotButton="0" quotePrefix="0" xfId="2">
      <alignment horizontal="center" vertical="center" wrapText="1"/>
    </xf>
    <xf numFmtId="0" fontId="6" fillId="0" borderId="2" applyAlignment="1" pivotButton="0" quotePrefix="0" xfId="2">
      <alignment horizontal="center" vertical="center" wrapText="1"/>
    </xf>
    <xf numFmtId="0" fontId="6" fillId="0" borderId="3" applyAlignment="1" applyProtection="1" pivotButton="0" quotePrefix="0" xfId="0">
      <alignment horizontal="center" vertical="center" wrapText="1"/>
      <protection locked="0" hidden="0"/>
    </xf>
    <xf numFmtId="0" fontId="6" fillId="0" borderId="1" applyAlignment="1" applyProtection="1" pivotButton="0" quotePrefix="0" xfId="3">
      <alignment horizontal="left" vertical="center" wrapText="1"/>
      <protection locked="0" hidden="0"/>
    </xf>
    <xf numFmtId="0" fontId="6" fillId="0" borderId="3" applyAlignment="1" applyProtection="1" pivotButton="0" quotePrefix="0" xfId="2">
      <alignment horizontal="center" vertical="center" wrapText="1"/>
      <protection locked="0" hidden="0"/>
    </xf>
    <xf numFmtId="0" fontId="6" fillId="0" borderId="1" applyAlignment="1" applyProtection="1" pivotButton="0" quotePrefix="0" xfId="3">
      <alignment horizontal="center" vertical="center" wrapText="1"/>
      <protection locked="0" hidden="0"/>
    </xf>
    <xf numFmtId="0" fontId="24" fillId="0" borderId="17" applyAlignment="1" pivotButton="0" quotePrefix="0" xfId="3">
      <alignment horizontal="left" vertical="center" wrapText="1"/>
    </xf>
    <xf numFmtId="0" fontId="24" fillId="0" borderId="17" applyAlignment="1" applyProtection="1" pivotButton="0" quotePrefix="0" xfId="3">
      <alignment horizontal="left" vertical="center" wrapText="1"/>
      <protection locked="0" hidden="0"/>
    </xf>
    <xf numFmtId="0" fontId="24" fillId="0" borderId="36" applyAlignment="1" applyProtection="1" pivotButton="0" quotePrefix="0" xfId="3">
      <alignment horizontal="left" vertical="center" wrapText="1"/>
      <protection locked="0" hidden="0"/>
    </xf>
    <xf numFmtId="0" fontId="24" fillId="0" borderId="0" applyAlignment="1" applyProtection="1" pivotButton="0" quotePrefix="0" xfId="0">
      <alignment horizontal="center" vertical="center"/>
      <protection locked="0" hidden="0"/>
    </xf>
    <xf numFmtId="0" fontId="24" fillId="0" borderId="0" applyProtection="1" pivotButton="0" quotePrefix="0" xfId="3">
      <protection locked="0" hidden="0"/>
    </xf>
    <xf numFmtId="0" fontId="23" fillId="0" borderId="0" applyAlignment="1" pivotButton="0" quotePrefix="0" xfId="3">
      <alignment horizontal="center" vertical="center" wrapText="1"/>
    </xf>
    <xf numFmtId="0" fontId="24" fillId="0" borderId="0" applyProtection="1" pivotButton="0" quotePrefix="0" xfId="0">
      <protection locked="0" hidden="0"/>
    </xf>
    <xf numFmtId="0" fontId="24" fillId="0" borderId="1" applyAlignment="1" pivotButton="0" quotePrefix="0" xfId="3">
      <alignment horizontal="left" vertical="center" wrapText="1"/>
    </xf>
    <xf numFmtId="0" fontId="24" fillId="4" borderId="17" applyAlignment="1" pivotButton="0" quotePrefix="0" xfId="3">
      <alignment horizontal="left" vertical="center" wrapText="1"/>
    </xf>
    <xf numFmtId="0" fontId="24" fillId="4" borderId="17" applyAlignment="1" pivotButton="0" quotePrefix="0" xfId="0">
      <alignment horizontal="left" vertical="center" wrapText="1"/>
    </xf>
    <xf numFmtId="0" fontId="24" fillId="4" borderId="17" applyAlignment="1" applyProtection="1" pivotButton="0" quotePrefix="0" xfId="0">
      <alignment horizontal="left" vertical="center" wrapText="1"/>
      <protection locked="0" hidden="0"/>
    </xf>
    <xf numFmtId="0" fontId="24" fillId="4" borderId="36" applyAlignment="1" applyProtection="1" pivotButton="0" quotePrefix="0" xfId="3">
      <alignment horizontal="left" vertical="center" wrapText="1"/>
      <protection locked="0" hidden="0"/>
    </xf>
    <xf numFmtId="0" fontId="24" fillId="4" borderId="1" applyAlignment="1" pivotButton="0" quotePrefix="0" xfId="3">
      <alignment horizontal="left" vertical="center" wrapText="1"/>
    </xf>
    <xf numFmtId="0" fontId="24" fillId="4" borderId="14" applyAlignment="1" applyProtection="1" pivotButton="0" quotePrefix="0" xfId="3">
      <alignment horizontal="left" vertical="center" wrapText="1"/>
      <protection locked="0" hidden="0"/>
    </xf>
    <xf numFmtId="0" fontId="11" fillId="0" borderId="1" applyAlignment="1" pivotButton="0" quotePrefix="0" xfId="3">
      <alignment horizontal="left" vertical="center" wrapText="1"/>
    </xf>
    <xf numFmtId="0" fontId="11" fillId="0" borderId="14" applyAlignment="1" pivotButton="0" quotePrefix="0" xfId="3">
      <alignment horizontal="center" vertical="center" wrapText="1"/>
    </xf>
    <xf numFmtId="0" fontId="11" fillId="0" borderId="17" applyAlignment="1" pivotButton="0" quotePrefix="0" xfId="3">
      <alignment horizontal="center" vertical="center" wrapText="1"/>
    </xf>
    <xf numFmtId="0" fontId="6" fillId="0" borderId="60" applyAlignment="1" applyProtection="1" pivotButton="0" quotePrefix="0" xfId="3">
      <alignment horizontal="center" vertical="center" wrapText="1"/>
      <protection locked="0" hidden="0"/>
    </xf>
    <xf numFmtId="0" fontId="8" fillId="0" borderId="17" applyAlignment="1" pivotButton="0" quotePrefix="0" xfId="3">
      <alignment horizontal="left" vertical="center" wrapText="1"/>
    </xf>
    <xf numFmtId="0" fontId="13" fillId="0" borderId="17" applyAlignment="1" pivotButton="0" quotePrefix="0" xfId="3">
      <alignment horizontal="center" vertical="center" wrapText="1"/>
    </xf>
    <xf numFmtId="0" fontId="8" fillId="0" borderId="60" applyAlignment="1" applyProtection="1" pivotButton="0" quotePrefix="0" xfId="3">
      <alignment horizontal="center" vertical="center" wrapText="1"/>
      <protection locked="0" hidden="0"/>
    </xf>
    <xf numFmtId="0" fontId="6" fillId="0" borderId="17" applyAlignment="1" applyProtection="1" pivotButton="0" quotePrefix="0" xfId="2">
      <alignment horizontal="center" vertical="center"/>
      <protection locked="0" hidden="0"/>
    </xf>
    <xf numFmtId="0" fontId="6" fillId="0" borderId="2" applyAlignment="1" pivotButton="0" quotePrefix="0" xfId="2">
      <alignment horizontal="left" vertical="center" wrapText="1"/>
    </xf>
    <xf numFmtId="0" fontId="27" fillId="0" borderId="59" applyAlignment="1" pivotButton="0" quotePrefix="0" xfId="2">
      <alignment horizontal="left" vertical="center" wrapText="1"/>
    </xf>
    <xf numFmtId="0" fontId="6" fillId="0" borderId="59" applyAlignment="1" pivotButton="0" quotePrefix="0" xfId="2">
      <alignment horizontal="center" vertical="center" wrapText="1"/>
    </xf>
    <xf numFmtId="0" fontId="6" fillId="0" borderId="59" applyAlignment="1" applyProtection="1" pivotButton="0" quotePrefix="0" xfId="2">
      <alignment horizontal="center" vertical="center" wrapText="1"/>
      <protection locked="0" hidden="0"/>
    </xf>
    <xf numFmtId="0" fontId="27" fillId="0" borderId="14" applyAlignment="1" pivotButton="0" quotePrefix="0" xfId="2">
      <alignment horizontal="left" vertical="center" wrapText="1"/>
    </xf>
    <xf numFmtId="0" fontId="6" fillId="0" borderId="67" applyAlignment="1" applyProtection="1" pivotButton="0" quotePrefix="0" xfId="2">
      <alignment horizontal="center" vertical="center" wrapText="1"/>
      <protection locked="0" hidden="0"/>
    </xf>
    <xf numFmtId="0" fontId="6" fillId="0" borderId="30" applyAlignment="1" applyProtection="1" pivotButton="0" quotePrefix="0" xfId="3">
      <alignment horizontal="left" vertical="center" wrapText="1"/>
      <protection locked="0" hidden="0"/>
    </xf>
    <xf numFmtId="0" fontId="27" fillId="0" borderId="69" applyAlignment="1" pivotButton="0" quotePrefix="0" xfId="2">
      <alignment horizontal="left" vertical="center" wrapText="1"/>
    </xf>
    <xf numFmtId="0" fontId="6" fillId="0" borderId="69" applyAlignment="1" pivotButton="0" quotePrefix="0" xfId="2">
      <alignment horizontal="center" vertical="center" wrapText="1"/>
    </xf>
    <xf numFmtId="0" fontId="6" fillId="0" borderId="69" applyAlignment="1" applyProtection="1" pivotButton="0" quotePrefix="0" xfId="2">
      <alignment horizontal="center" vertical="center" wrapText="1"/>
      <protection locked="0" hidden="0"/>
    </xf>
    <xf numFmtId="9" fontId="6" fillId="0" borderId="0" applyAlignment="1" applyProtection="1" pivotButton="0" quotePrefix="0" xfId="11">
      <alignment horizontal="center" vertical="center"/>
      <protection locked="0" hidden="0"/>
    </xf>
    <xf numFmtId="164" fontId="6" fillId="0" borderId="0" applyAlignment="1" pivotButton="0" quotePrefix="0" xfId="0">
      <alignment horizontal="center" vertical="center"/>
    </xf>
    <xf numFmtId="164" fontId="6" fillId="0" borderId="0" applyAlignment="1" applyProtection="1" pivotButton="0" quotePrefix="0" xfId="0">
      <alignment horizontal="center" vertical="center"/>
      <protection locked="0" hidden="0"/>
    </xf>
    <xf numFmtId="9" fontId="6" fillId="0" borderId="0" applyAlignment="1" pivotButton="0" quotePrefix="0" xfId="11">
      <alignment horizontal="center" vertical="center"/>
    </xf>
    <xf numFmtId="9" fontId="24" fillId="0" borderId="0" applyAlignment="1" pivotButton="0" quotePrefix="0" xfId="11">
      <alignment horizontal="center" vertical="center"/>
    </xf>
    <xf numFmtId="164" fontId="24" fillId="0" borderId="0" applyAlignment="1" pivotButton="0" quotePrefix="0" xfId="0">
      <alignment horizontal="center" vertical="center"/>
    </xf>
    <xf numFmtId="164" fontId="24" fillId="0" borderId="0" applyAlignment="1" pivotButton="0" quotePrefix="0" xfId="0">
      <alignment horizontal="center" vertical="center" wrapText="1"/>
    </xf>
    <xf numFmtId="164" fontId="6" fillId="0" borderId="0" applyAlignment="1" pivotButton="0" quotePrefix="0" xfId="0">
      <alignment horizontal="right" vertical="center"/>
    </xf>
    <xf numFmtId="9" fontId="6" fillId="0" borderId="0" applyAlignment="1" applyProtection="1" pivotButton="0" quotePrefix="0" xfId="11">
      <alignment horizontal="right" vertical="center"/>
      <protection locked="0" hidden="0"/>
    </xf>
    <xf numFmtId="0" fontId="1" fillId="0" borderId="0" applyProtection="1" pivotButton="0" quotePrefix="0" xfId="0">
      <protection locked="0" hidden="0"/>
    </xf>
    <xf numFmtId="164" fontId="6" fillId="0" borderId="0" applyAlignment="1" applyProtection="1" pivotButton="0" quotePrefix="0" xfId="0">
      <alignment horizontal="right" vertical="center"/>
      <protection locked="0" hidden="0"/>
    </xf>
    <xf numFmtId="0" fontId="6" fillId="0" borderId="0" applyAlignment="1" applyProtection="1" pivotButton="0" quotePrefix="0" xfId="0">
      <alignment horizontal="right" vertical="center"/>
      <protection locked="0" hidden="0"/>
    </xf>
    <xf numFmtId="9" fontId="8" fillId="0" borderId="32" applyAlignment="1" applyProtection="1" pivotButton="0" quotePrefix="0" xfId="11">
      <alignment horizontal="right" vertical="center"/>
      <protection locked="0" hidden="0"/>
    </xf>
    <xf numFmtId="0" fontId="8" fillId="0" borderId="32" applyAlignment="1" applyProtection="1" pivotButton="0" quotePrefix="0" xfId="0">
      <alignment horizontal="right" vertical="center"/>
      <protection locked="0" hidden="0"/>
    </xf>
    <xf numFmtId="2" fontId="8" fillId="0" borderId="33" applyAlignment="1" applyProtection="1" pivotButton="0" quotePrefix="0" xfId="0">
      <alignment horizontal="right" vertical="center"/>
      <protection locked="0" hidden="0"/>
    </xf>
    <xf numFmtId="9" fontId="8" fillId="0" borderId="65" applyAlignment="1" applyProtection="1" pivotButton="0" quotePrefix="0" xfId="11">
      <alignment horizontal="right" vertical="center"/>
      <protection locked="0" hidden="0"/>
    </xf>
    <xf numFmtId="0" fontId="8" fillId="0" borderId="65" applyAlignment="1" applyProtection="1" pivotButton="0" quotePrefix="0" xfId="0">
      <alignment horizontal="right" vertical="center"/>
      <protection locked="0" hidden="0"/>
    </xf>
    <xf numFmtId="2" fontId="8" fillId="0" borderId="64" applyAlignment="1" applyProtection="1" pivotButton="0" quotePrefix="0" xfId="0">
      <alignment horizontal="right" vertical="center"/>
      <protection locked="0" hidden="0"/>
    </xf>
    <xf numFmtId="2" fontId="8" fillId="0" borderId="11" applyAlignment="1" applyProtection="1" pivotButton="0" quotePrefix="0" xfId="0">
      <alignment horizontal="right" vertical="center"/>
      <protection locked="0" hidden="0"/>
    </xf>
    <xf numFmtId="0" fontId="6" fillId="4" borderId="17" applyAlignment="1" pivotButton="0" quotePrefix="0" xfId="3">
      <alignment horizontal="left" vertical="center" wrapText="1"/>
    </xf>
    <xf numFmtId="0" fontId="6" fillId="0" borderId="3" applyAlignment="1" applyProtection="1" pivotButton="0" quotePrefix="0" xfId="3">
      <alignment horizontal="left" vertical="center" wrapText="1"/>
      <protection locked="0" hidden="0"/>
    </xf>
    <xf numFmtId="0" fontId="6" fillId="0" borderId="13" applyAlignment="1" pivotButton="0" quotePrefix="0" xfId="2">
      <alignment horizontal="left" vertical="center" wrapText="1"/>
    </xf>
    <xf numFmtId="0" fontId="6" fillId="0" borderId="2" applyAlignment="1" applyProtection="1" pivotButton="0" quotePrefix="0" xfId="3">
      <alignment vertical="center" wrapText="1"/>
      <protection locked="0" hidden="0"/>
    </xf>
    <xf numFmtId="0" fontId="11" fillId="0" borderId="36" applyAlignment="1" applyProtection="1" pivotButton="0" quotePrefix="0" xfId="3">
      <alignment horizontal="left" vertical="center" wrapText="1"/>
      <protection locked="0" hidden="0"/>
    </xf>
    <xf numFmtId="0" fontId="6" fillId="0" borderId="13" applyAlignment="1" applyProtection="1" pivotButton="0" quotePrefix="0" xfId="3">
      <alignment horizontal="left" vertical="center" wrapText="1"/>
      <protection locked="0" hidden="0"/>
    </xf>
    <xf numFmtId="9" fontId="6" fillId="0" borderId="0" applyAlignment="1" applyProtection="1" pivotButton="0" quotePrefix="0" xfId="11">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8" fillId="0" borderId="0" applyAlignment="1" applyProtection="1" pivotButton="0" quotePrefix="0" xfId="3">
      <alignment horizontal="center" vertical="center" wrapText="1"/>
      <protection locked="0" hidden="0"/>
    </xf>
    <xf numFmtId="164" fontId="6" fillId="0" borderId="0" applyAlignment="1" applyProtection="1" pivotButton="0" quotePrefix="0" xfId="0">
      <alignment horizontal="center" vertical="center" wrapText="1"/>
      <protection locked="0" hidden="0"/>
    </xf>
    <xf numFmtId="0" fontId="26" fillId="0" borderId="1" applyAlignment="1" applyProtection="1" pivotButton="0" quotePrefix="0" xfId="3">
      <alignment vertical="center" wrapText="1"/>
      <protection locked="0" hidden="0"/>
    </xf>
    <xf numFmtId="0" fontId="6" fillId="0" borderId="0" applyAlignment="1" applyProtection="1" pivotButton="0" quotePrefix="0" xfId="3">
      <alignment horizontal="center" vertical="center" wrapText="1"/>
      <protection locked="0" hidden="0"/>
    </xf>
    <xf numFmtId="0" fontId="6" fillId="0" borderId="0" applyAlignment="1" applyProtection="1" pivotButton="0" quotePrefix="1" xfId="3">
      <alignment wrapText="1"/>
      <protection locked="0" hidden="0"/>
    </xf>
    <xf numFmtId="0" fontId="10" fillId="0" borderId="0" applyAlignment="1" applyProtection="1" pivotButton="0" quotePrefix="0" xfId="3">
      <alignment vertical="top" wrapText="1"/>
      <protection locked="0" hidden="0"/>
    </xf>
    <xf numFmtId="0" fontId="11" fillId="0" borderId="1" applyAlignment="1" applyProtection="1" pivotButton="0" quotePrefix="0" xfId="3">
      <alignment vertical="center" wrapText="1"/>
      <protection locked="0" hidden="0"/>
    </xf>
    <xf numFmtId="0" fontId="6" fillId="0" borderId="0" applyAlignment="1" applyProtection="1" pivotButton="0" quotePrefix="0" xfId="3">
      <alignment vertical="top" wrapText="1"/>
      <protection locked="0" hidden="0"/>
    </xf>
    <xf numFmtId="0" fontId="6" fillId="0" borderId="2" applyAlignment="1" applyProtection="1" pivotButton="0" quotePrefix="0" xfId="2">
      <alignment horizontal="center" vertical="center" wrapText="1"/>
      <protection locked="0" hidden="0"/>
    </xf>
    <xf numFmtId="0" fontId="13" fillId="0" borderId="20" applyAlignment="1" applyProtection="1" pivotButton="0" quotePrefix="0" xfId="3">
      <alignment horizontal="center" vertical="center" wrapText="1"/>
      <protection locked="0" hidden="0"/>
    </xf>
    <xf numFmtId="0" fontId="6" fillId="0" borderId="17" applyAlignment="1" pivotButton="0" quotePrefix="0" xfId="0">
      <alignment horizontal="left" vertical="center" wrapText="1"/>
    </xf>
    <xf numFmtId="0" fontId="6" fillId="0" borderId="17" applyAlignment="1" applyProtection="1" pivotButton="0" quotePrefix="0" xfId="0">
      <alignment horizontal="left" vertical="center" wrapText="1"/>
      <protection locked="0" hidden="0"/>
    </xf>
    <xf numFmtId="0" fontId="6" fillId="0" borderId="3" applyAlignment="1" applyProtection="1" pivotButton="0" quotePrefix="0" xfId="2">
      <alignment horizontal="left" vertical="center" wrapText="1"/>
      <protection locked="0" hidden="0"/>
    </xf>
    <xf numFmtId="0" fontId="1" fillId="0" borderId="0" applyAlignment="1" applyProtection="1" pivotButton="0" quotePrefix="0" xfId="0">
      <alignment horizontal="left" vertical="center"/>
      <protection locked="0" hidden="0"/>
    </xf>
    <xf numFmtId="0" fontId="6" fillId="0" borderId="14" applyAlignment="1" applyProtection="1" pivotButton="0" quotePrefix="0" xfId="2">
      <alignment horizontal="left" vertical="center" wrapText="1"/>
      <protection locked="0" hidden="0"/>
    </xf>
    <xf numFmtId="9" fontId="6" fillId="0" borderId="0" applyAlignment="1" pivotButton="0" quotePrefix="0" xfId="11">
      <alignment horizontal="center" vertical="center" wrapText="1"/>
    </xf>
    <xf numFmtId="0" fontId="8" fillId="0" borderId="0" applyAlignment="1" pivotButton="0" quotePrefix="0" xfId="3">
      <alignment horizontal="center" vertical="center" wrapText="1"/>
    </xf>
    <xf numFmtId="164" fontId="6" fillId="0" borderId="0" applyAlignment="1" pivotButton="0" quotePrefix="0" xfId="0">
      <alignment horizontal="center" vertical="center" wrapText="1"/>
    </xf>
    <xf numFmtId="0" fontId="6" fillId="0" borderId="7" applyAlignment="1" applyProtection="1" pivotButton="0" quotePrefix="0" xfId="2">
      <alignment horizontal="center" vertical="center" wrapText="1"/>
      <protection locked="0" hidden="0"/>
    </xf>
    <xf numFmtId="0" fontId="6" fillId="0" borderId="20" applyAlignment="1" applyProtection="1" pivotButton="0" quotePrefix="0" xfId="3">
      <alignment horizontal="left" vertical="center" wrapText="1"/>
      <protection locked="0" hidden="0"/>
    </xf>
    <xf numFmtId="0" fontId="6" fillId="0" borderId="14" applyAlignment="1" applyProtection="1" pivotButton="0" quotePrefix="0" xfId="0">
      <alignment horizontal="left" vertical="center" wrapText="1"/>
      <protection locked="0" hidden="0"/>
    </xf>
    <xf numFmtId="0" fontId="6" fillId="0" borderId="2" applyAlignment="1" applyProtection="1" pivotButton="0" quotePrefix="0" xfId="3">
      <alignment horizontal="left" vertical="center" wrapText="1"/>
      <protection locked="0" hidden="0"/>
    </xf>
    <xf numFmtId="0" fontId="10" fillId="0" borderId="0" applyAlignment="1" applyProtection="1" pivotButton="0" quotePrefix="0" xfId="3">
      <alignment horizontal="left" vertical="center" wrapText="1"/>
      <protection locked="0" hidden="0"/>
    </xf>
    <xf numFmtId="0" fontId="8" fillId="0" borderId="36" applyAlignment="1" applyProtection="1" pivotButton="0" quotePrefix="0" xfId="3">
      <alignment horizontal="center" vertical="center" wrapText="1"/>
      <protection locked="0" hidden="0"/>
    </xf>
    <xf numFmtId="0" fontId="13" fillId="0" borderId="17" applyAlignment="1" applyProtection="1" pivotButton="0" quotePrefix="0" xfId="0">
      <alignment horizontal="center" vertical="center" wrapText="1"/>
      <protection locked="0" hidden="0"/>
    </xf>
    <xf numFmtId="0" fontId="11" fillId="0" borderId="36" applyAlignment="1" applyProtection="1" pivotButton="0" quotePrefix="0" xfId="3">
      <alignment vertical="center" wrapText="1"/>
      <protection locked="0" hidden="0"/>
    </xf>
    <xf numFmtId="0" fontId="9" fillId="0" borderId="0" applyProtection="1" pivotButton="0" quotePrefix="0" xfId="3">
      <protection locked="0" hidden="0"/>
    </xf>
    <xf numFmtId="0" fontId="6" fillId="0" borderId="82" applyAlignment="1" pivotButton="0" quotePrefix="0" xfId="2">
      <alignment horizontal="left" vertical="center" wrapText="1"/>
    </xf>
    <xf numFmtId="0" fontId="1" fillId="0" borderId="52" applyAlignment="1" applyProtection="1" pivotButton="0" quotePrefix="0" xfId="2">
      <alignment horizontal="left" vertical="center" wrapText="1"/>
      <protection locked="0" hidden="0"/>
    </xf>
    <xf numFmtId="0" fontId="1" fillId="0" borderId="82" applyAlignment="1" pivotButton="0" quotePrefix="0" xfId="2">
      <alignment horizontal="left" vertical="center" wrapText="1"/>
    </xf>
    <xf numFmtId="0" fontId="1" fillId="0" borderId="82" applyAlignment="1" applyProtection="1" pivotButton="0" quotePrefix="0" xfId="2">
      <alignment horizontal="left" vertical="center" wrapText="1"/>
      <protection locked="0" hidden="0"/>
    </xf>
    <xf numFmtId="0" fontId="11" fillId="0" borderId="60" applyAlignment="1" applyProtection="1" pivotButton="0" quotePrefix="0" xfId="0">
      <alignment horizontal="left" vertical="center" wrapText="1"/>
      <protection locked="0" hidden="0"/>
    </xf>
    <xf numFmtId="0" fontId="6" fillId="0" borderId="62" applyAlignment="1" pivotButton="0" quotePrefix="0" xfId="2">
      <alignment horizontal="left" vertical="center" wrapText="1"/>
    </xf>
    <xf numFmtId="0" fontId="21" fillId="0" borderId="83" applyAlignment="1" pivotButton="0" quotePrefix="0" xfId="0">
      <alignment horizontal="left" vertical="center" wrapText="1"/>
    </xf>
    <xf numFmtId="0" fontId="21" fillId="0" borderId="0" applyAlignment="1" applyProtection="1" pivotButton="0" quotePrefix="0" xfId="0">
      <alignment horizontal="left" vertical="center" wrapText="1"/>
      <protection locked="0" hidden="0"/>
    </xf>
    <xf numFmtId="0" fontId="21" fillId="0" borderId="71" applyAlignment="1" applyProtection="1" pivotButton="0" quotePrefix="0" xfId="0">
      <alignment horizontal="left" vertical="center" wrapText="1"/>
      <protection locked="0" hidden="0"/>
    </xf>
    <xf numFmtId="0" fontId="21" fillId="0" borderId="14" applyAlignment="1" applyProtection="1" pivotButton="0" quotePrefix="0" xfId="0">
      <alignment horizontal="left" vertical="center" wrapText="1"/>
      <protection locked="0" hidden="0"/>
    </xf>
    <xf numFmtId="0" fontId="6" fillId="0" borderId="62" applyAlignment="1" pivotButton="0" quotePrefix="0" xfId="3">
      <alignment horizontal="left" vertical="center" wrapText="1"/>
    </xf>
    <xf numFmtId="0" fontId="6" fillId="0" borderId="71" applyAlignment="1" pivotButton="0" quotePrefix="0" xfId="3">
      <alignment horizontal="left" vertical="center" wrapText="1"/>
    </xf>
    <xf numFmtId="0" fontId="26" fillId="0" borderId="71" applyAlignment="1" pivotButton="0" quotePrefix="0" xfId="0">
      <alignment horizontal="left" vertical="center" wrapText="1"/>
    </xf>
    <xf numFmtId="0" fontId="6" fillId="0" borderId="0" applyAlignment="1" applyProtection="1" pivotButton="0" quotePrefix="0" xfId="3">
      <alignment vertical="top"/>
      <protection locked="0" hidden="0"/>
    </xf>
    <xf numFmtId="0" fontId="6" fillId="0" borderId="71" applyAlignment="1" applyProtection="1" pivotButton="0" quotePrefix="0" xfId="3">
      <alignment horizontal="left" vertical="center" wrapText="1"/>
      <protection locked="0" hidden="0"/>
    </xf>
    <xf numFmtId="0" fontId="11" fillId="0" borderId="1" applyAlignment="1" applyProtection="1" pivotButton="0" quotePrefix="0" xfId="0">
      <alignment horizontal="left" vertical="center" wrapText="1"/>
      <protection locked="0" hidden="0"/>
    </xf>
    <xf numFmtId="0" fontId="21" fillId="0" borderId="0" applyAlignment="1" pivotButton="0" quotePrefix="0" xfId="0">
      <alignment wrapText="1"/>
    </xf>
    <xf numFmtId="0" fontId="21" fillId="0" borderId="0" applyAlignment="1" pivotButton="0" quotePrefix="0" xfId="0">
      <alignment horizontal="center" vertical="center" wrapText="1"/>
    </xf>
    <xf numFmtId="0" fontId="10" fillId="0" borderId="1" applyAlignment="1" pivotButton="0" quotePrefix="0" xfId="3">
      <alignment horizontal="left" vertical="center" wrapText="1"/>
    </xf>
    <xf numFmtId="0" fontId="6" fillId="0" borderId="48" applyAlignment="1" pivotButton="0" quotePrefix="0" xfId="0">
      <alignment horizontal="center" vertical="center"/>
    </xf>
    <xf numFmtId="0" fontId="6" fillId="0" borderId="14" applyAlignment="1" pivotButton="0" quotePrefix="0" xfId="0">
      <alignment vertical="center"/>
    </xf>
    <xf numFmtId="0" fontId="6" fillId="0" borderId="17" applyAlignment="1" applyProtection="1" pivotButton="0" quotePrefix="0" xfId="0">
      <alignment vertical="center"/>
      <protection locked="0" hidden="0"/>
    </xf>
    <xf numFmtId="0" fontId="10" fillId="0" borderId="14" applyAlignment="1" pivotButton="0" quotePrefix="0" xfId="3">
      <alignment horizontal="left" vertical="center" wrapText="1"/>
    </xf>
    <xf numFmtId="0" fontId="6" fillId="0" borderId="48" applyAlignment="1" applyProtection="1" pivotButton="0" quotePrefix="0" xfId="3">
      <alignment horizontal="left" vertical="center" wrapText="1"/>
      <protection locked="0" hidden="0"/>
    </xf>
    <xf numFmtId="0" fontId="13" fillId="0" borderId="36" applyAlignment="1" applyProtection="1" pivotButton="0" quotePrefix="0" xfId="3">
      <alignment horizontal="left" vertical="center" wrapText="1"/>
      <protection locked="0" hidden="0"/>
    </xf>
    <xf numFmtId="0" fontId="6" fillId="0" borderId="59" applyAlignment="1" pivotButton="0" quotePrefix="0" xfId="3">
      <alignment horizontal="left" vertical="center" wrapText="1"/>
    </xf>
    <xf numFmtId="0" fontId="6" fillId="0" borderId="44" applyAlignment="1" applyProtection="1" pivotButton="0" quotePrefix="0" xfId="3">
      <alignment horizontal="left" vertical="center" wrapText="1"/>
      <protection locked="0" hidden="0"/>
    </xf>
    <xf numFmtId="0" fontId="6" fillId="0" borderId="15" applyAlignment="1" pivotButton="0" quotePrefix="0" xfId="0">
      <alignment horizontal="left" vertical="center" wrapText="1"/>
    </xf>
    <xf numFmtId="0" fontId="6" fillId="0" borderId="15" applyAlignment="1" applyProtection="1" pivotButton="0" quotePrefix="0" xfId="0">
      <alignment horizontal="left" vertical="center" wrapText="1"/>
      <protection locked="0" hidden="0"/>
    </xf>
    <xf numFmtId="0" fontId="6" fillId="0" borderId="15" applyAlignment="1" applyProtection="1" pivotButton="0" quotePrefix="0" xfId="3">
      <alignment horizontal="left" vertical="center" wrapText="1"/>
      <protection locked="0" hidden="0"/>
    </xf>
    <xf numFmtId="0" fontId="6" fillId="0" borderId="14" applyAlignment="1" pivotButton="0" quotePrefix="0" xfId="0">
      <alignment horizontal="left" vertical="center" wrapText="1"/>
    </xf>
    <xf numFmtId="0" fontId="13" fillId="0" borderId="2" applyAlignment="1" applyProtection="1" pivotButton="0" quotePrefix="0" xfId="3">
      <alignment vertical="center" wrapText="1"/>
      <protection locked="0" hidden="0"/>
    </xf>
    <xf numFmtId="0" fontId="13" fillId="0" borderId="15" applyAlignment="1" applyProtection="1" pivotButton="0" quotePrefix="0" xfId="3">
      <alignment vertical="center" wrapText="1"/>
      <protection locked="0" hidden="0"/>
    </xf>
    <xf numFmtId="0" fontId="6" fillId="0" borderId="1" applyProtection="1" pivotButton="0" quotePrefix="0" xfId="3">
      <protection locked="0" hidden="0"/>
    </xf>
    <xf numFmtId="0" fontId="6" fillId="0" borderId="14" applyProtection="1" pivotButton="0" quotePrefix="0" xfId="3">
      <protection locked="0" hidden="0"/>
    </xf>
    <xf numFmtId="0" fontId="13" fillId="0" borderId="1" applyAlignment="1" applyProtection="1" pivotButton="0" quotePrefix="0" xfId="3">
      <alignment vertical="center" wrapText="1"/>
      <protection locked="0" hidden="0"/>
    </xf>
    <xf numFmtId="0" fontId="13" fillId="0" borderId="14" applyAlignment="1" applyProtection="1" pivotButton="0" quotePrefix="0" xfId="3">
      <alignment vertical="center" wrapText="1"/>
      <protection locked="0" hidden="0"/>
    </xf>
    <xf numFmtId="0" fontId="6" fillId="0" borderId="36" applyAlignment="1" applyProtection="1" pivotButton="0" quotePrefix="0" xfId="3">
      <alignment vertical="center" wrapText="1"/>
      <protection locked="0" hidden="0"/>
    </xf>
    <xf numFmtId="0" fontId="6" fillId="0" borderId="49" applyAlignment="1" applyProtection="1" pivotButton="0" quotePrefix="0" xfId="3">
      <alignment vertical="center" wrapText="1"/>
      <protection locked="0" hidden="0"/>
    </xf>
    <xf numFmtId="0" fontId="6" fillId="0" borderId="29" applyAlignment="1" applyProtection="1" pivotButton="0" quotePrefix="0" xfId="3">
      <alignment horizontal="left" vertical="center" wrapText="1"/>
      <protection locked="0" hidden="0"/>
    </xf>
    <xf numFmtId="0" fontId="6" fillId="0" borderId="6" applyAlignment="1" pivotButton="0" quotePrefix="0" xfId="2">
      <alignment horizontal="center" vertical="center"/>
    </xf>
    <xf numFmtId="0" fontId="6" fillId="0" borderId="2" applyAlignment="1" pivotButton="0" quotePrefix="0" xfId="0">
      <alignment horizontal="center" vertical="center" wrapText="1"/>
    </xf>
    <xf numFmtId="0" fontId="8" fillId="0" borderId="84" applyAlignment="1" pivotButton="0" quotePrefix="0" xfId="0">
      <alignment horizontal="center" vertical="center"/>
    </xf>
    <xf numFmtId="0" fontId="6" fillId="0" borderId="81" applyAlignment="1" pivotButton="0" quotePrefix="0" xfId="3">
      <alignment horizontal="left" vertical="center" wrapText="1"/>
    </xf>
    <xf numFmtId="0" fontId="8" fillId="0" borderId="1" applyAlignment="1" applyProtection="1" pivotButton="0" quotePrefix="0" xfId="0">
      <alignment horizontal="center" vertical="center" wrapText="1"/>
      <protection locked="0" hidden="0"/>
    </xf>
    <xf numFmtId="0" fontId="6" fillId="0" borderId="82" applyAlignment="1" applyProtection="1" pivotButton="0" quotePrefix="0" xfId="0">
      <alignment horizontal="center" vertical="center" wrapText="1"/>
      <protection locked="0" hidden="0"/>
    </xf>
    <xf numFmtId="0" fontId="6" fillId="0" borderId="2" applyAlignment="1" applyProtection="1" pivotButton="0" quotePrefix="0" xfId="2">
      <alignment horizontal="left" vertical="center" wrapText="1"/>
      <protection locked="0" hidden="0"/>
    </xf>
    <xf numFmtId="0" fontId="6" fillId="0" borderId="2" applyAlignment="1" applyProtection="1" pivotButton="0" quotePrefix="0" xfId="0">
      <alignment horizontal="center" vertical="center" wrapText="1"/>
      <protection locked="0" hidden="0"/>
    </xf>
    <xf numFmtId="0" fontId="30" fillId="13" borderId="6" applyAlignment="1" pivotButton="0" quotePrefix="0" xfId="2">
      <alignment horizontal="center" vertical="center"/>
    </xf>
    <xf numFmtId="0" fontId="30" fillId="13" borderId="2" applyAlignment="1" pivotButton="0" quotePrefix="0" xfId="2">
      <alignment horizontal="center" vertical="center" wrapText="1"/>
    </xf>
    <xf numFmtId="0" fontId="30" fillId="13" borderId="15" applyAlignment="1" pivotButton="0" quotePrefix="0" xfId="2">
      <alignment horizontal="center" vertical="center" wrapText="1"/>
    </xf>
    <xf numFmtId="0" fontId="30" fillId="13" borderId="4" applyAlignment="1" pivotButton="0" quotePrefix="0" xfId="2">
      <alignment horizontal="center" vertical="center" wrapText="1"/>
    </xf>
    <xf numFmtId="0" fontId="30" fillId="13" borderId="0" applyAlignment="1" applyProtection="1" pivotButton="0" quotePrefix="0" xfId="0">
      <alignment horizontal="center" vertical="center" wrapText="1"/>
      <protection locked="0" hidden="0"/>
    </xf>
    <xf numFmtId="0" fontId="30" fillId="13" borderId="0" applyProtection="1" pivotButton="0" quotePrefix="0" xfId="0">
      <protection locked="0" hidden="0"/>
    </xf>
    <xf numFmtId="0" fontId="30" fillId="13" borderId="28" applyAlignment="1" applyProtection="1" pivotButton="0" quotePrefix="0" xfId="0">
      <alignment horizontal="center" vertical="center" wrapText="1"/>
      <protection locked="0" hidden="0"/>
    </xf>
    <xf numFmtId="0" fontId="30" fillId="13" borderId="33" applyAlignment="1" pivotButton="0" quotePrefix="0" xfId="2">
      <alignment horizontal="center" vertical="center" wrapText="1"/>
    </xf>
    <xf numFmtId="0" fontId="11" fillId="0" borderId="14" applyAlignment="1" pivotButton="0" quotePrefix="0" xfId="3">
      <alignment horizontal="left" vertical="center" wrapText="1"/>
    </xf>
    <xf numFmtId="0" fontId="6" fillId="0" borderId="3" applyAlignment="1" applyProtection="1" pivotButton="0" quotePrefix="0" xfId="2">
      <alignment horizontal="left" wrapText="1"/>
      <protection locked="0" hidden="0"/>
    </xf>
    <xf numFmtId="9" fontId="33" fillId="0" borderId="0" applyAlignment="1" applyProtection="1" pivotButton="0" quotePrefix="0" xfId="11">
      <alignment horizontal="center" vertical="center"/>
      <protection locked="0" hidden="0"/>
    </xf>
    <xf numFmtId="0" fontId="33" fillId="0" borderId="0" applyAlignment="1" applyProtection="1" pivotButton="0" quotePrefix="0" xfId="0">
      <alignment horizontal="center" vertical="center"/>
      <protection locked="0" hidden="0"/>
    </xf>
    <xf numFmtId="0" fontId="33" fillId="0" borderId="0" applyProtection="1" pivotButton="0" quotePrefix="0" xfId="3">
      <protection locked="0" hidden="0"/>
    </xf>
    <xf numFmtId="0" fontId="33" fillId="0" borderId="0" applyAlignment="1" applyProtection="1" pivotButton="0" quotePrefix="0" xfId="3">
      <alignment horizontal="center" vertical="center"/>
      <protection locked="0" hidden="0"/>
    </xf>
    <xf numFmtId="0" fontId="33" fillId="0" borderId="0" applyProtection="1" pivotButton="0" quotePrefix="0" xfId="0">
      <protection locked="0" hidden="0"/>
    </xf>
    <xf numFmtId="164" fontId="33" fillId="0" borderId="0" applyAlignment="1" applyProtection="1" pivotButton="0" quotePrefix="0" xfId="0">
      <alignment horizontal="center" vertical="center"/>
      <protection locked="0" hidden="0"/>
    </xf>
    <xf numFmtId="164" fontId="33" fillId="0" borderId="0" applyAlignment="1" pivotButton="0" quotePrefix="0" xfId="0">
      <alignment horizontal="center" vertical="center"/>
    </xf>
    <xf numFmtId="0" fontId="35" fillId="0" borderId="14" applyAlignment="1" pivotButton="0" quotePrefix="0" xfId="3">
      <alignment horizontal="left" vertical="center" wrapText="1"/>
    </xf>
    <xf numFmtId="0" fontId="36" fillId="0" borderId="1" applyAlignment="1" applyProtection="1" pivotButton="0" quotePrefix="0" xfId="3">
      <alignment vertical="center" wrapText="1"/>
      <protection locked="0" hidden="0"/>
    </xf>
    <xf numFmtId="0" fontId="9" fillId="12" borderId="1" applyAlignment="1" applyProtection="1" pivotButton="0" quotePrefix="0" xfId="3">
      <alignment horizontal="left" vertical="center" wrapText="1"/>
      <protection locked="0" hidden="0"/>
    </xf>
    <xf numFmtId="0" fontId="1" fillId="0" borderId="22" pivotButton="0" quotePrefix="0" xfId="19"/>
    <xf numFmtId="0" fontId="1" fillId="0" borderId="25" pivotButton="0" quotePrefix="0" xfId="19"/>
    <xf numFmtId="0" fontId="1" fillId="0" borderId="25" applyAlignment="1" pivotButton="0" quotePrefix="0" xfId="19">
      <alignment horizontal="left" vertical="center"/>
    </xf>
    <xf numFmtId="0" fontId="1" fillId="0" borderId="23" pivotButton="0" quotePrefix="0" xfId="19"/>
    <xf numFmtId="0" fontId="1" fillId="0" borderId="54" pivotButton="0" quotePrefix="0" xfId="19"/>
    <xf numFmtId="0" fontId="14" fillId="0" borderId="5" applyAlignment="1" pivotButton="0" quotePrefix="0" xfId="19">
      <alignment horizontal="center"/>
    </xf>
    <xf numFmtId="0" fontId="14" fillId="0" borderId="4" applyAlignment="1" pivotButton="0" quotePrefix="0" xfId="19">
      <alignment horizontal="center"/>
    </xf>
    <xf numFmtId="0" fontId="14" fillId="0" borderId="16" applyAlignment="1" pivotButton="0" quotePrefix="0" xfId="19">
      <alignment horizontal="center"/>
    </xf>
    <xf numFmtId="0" fontId="14" fillId="0" borderId="39" applyAlignment="1" pivotButton="0" quotePrefix="0" xfId="19">
      <alignment horizontal="center" vertical="center"/>
    </xf>
    <xf numFmtId="0" fontId="14" fillId="0" borderId="70" applyAlignment="1" pivotButton="0" quotePrefix="0" xfId="20">
      <alignment horizontal="center" vertical="center"/>
    </xf>
    <xf numFmtId="0" fontId="14" fillId="0" borderId="33" applyAlignment="1" pivotButton="0" quotePrefix="0" xfId="19">
      <alignment horizontal="center"/>
    </xf>
    <xf numFmtId="0" fontId="1" fillId="0" borderId="24" pivotButton="0" quotePrefix="0" xfId="19"/>
    <xf numFmtId="0" fontId="15" fillId="0" borderId="43" applyAlignment="1" pivotButton="0" quotePrefix="0" xfId="19">
      <alignment vertical="center"/>
    </xf>
    <xf numFmtId="0" fontId="1" fillId="0" borderId="44" applyAlignment="1" pivotButton="0" quotePrefix="0" xfId="19">
      <alignment horizontal="center" vertical="center"/>
    </xf>
    <xf numFmtId="0" fontId="1" fillId="7" borderId="59" applyAlignment="1" applyProtection="1" pivotButton="0" quotePrefix="0" xfId="19">
      <alignment horizontal="center" vertical="center"/>
      <protection locked="0" hidden="0"/>
    </xf>
    <xf numFmtId="0" fontId="15" fillId="0" borderId="45" applyAlignment="1" pivotButton="0" quotePrefix="0" xfId="19">
      <alignment horizontal="left" vertical="center" wrapText="1"/>
    </xf>
    <xf numFmtId="0" fontId="15" fillId="0" borderId="1" applyAlignment="1" pivotButton="0" quotePrefix="0" xfId="20">
      <alignment vertical="center" wrapText="1"/>
    </xf>
    <xf numFmtId="0" fontId="15" fillId="0" borderId="44" applyAlignment="1" pivotButton="0" quotePrefix="0" xfId="19">
      <alignment horizontal="center" vertical="center" wrapText="1"/>
    </xf>
    <xf numFmtId="0" fontId="15" fillId="0" borderId="58" applyAlignment="1" pivotButton="0" quotePrefix="0" xfId="20">
      <alignment horizontal="center" vertical="center" wrapText="1"/>
    </xf>
    <xf numFmtId="0" fontId="15" fillId="0" borderId="8" applyAlignment="1" pivotButton="0" quotePrefix="0" xfId="19">
      <alignment vertical="center"/>
    </xf>
    <xf numFmtId="0" fontId="1" fillId="0" borderId="1" applyAlignment="1" pivotButton="0" quotePrefix="0" xfId="19">
      <alignment horizontal="center" vertical="center"/>
    </xf>
    <xf numFmtId="0" fontId="1" fillId="7" borderId="14" applyAlignment="1" applyProtection="1" pivotButton="0" quotePrefix="0" xfId="19">
      <alignment horizontal="center" vertical="center"/>
      <protection locked="0" hidden="0"/>
    </xf>
    <xf numFmtId="0" fontId="15" fillId="0" borderId="41" applyAlignment="1" pivotButton="0" quotePrefix="0" xfId="19">
      <alignment horizontal="left" vertical="center" wrapText="1"/>
    </xf>
    <xf numFmtId="0" fontId="15" fillId="0" borderId="1" applyAlignment="1" pivotButton="0" quotePrefix="0" xfId="19">
      <alignment horizontal="center" vertical="center" wrapText="1"/>
    </xf>
    <xf numFmtId="0" fontId="15" fillId="0" borderId="40" applyAlignment="1" pivotButton="0" quotePrefix="0" xfId="20">
      <alignment horizontal="center" vertical="center" wrapText="1"/>
    </xf>
    <xf numFmtId="0" fontId="1" fillId="4" borderId="1" applyAlignment="1" pivotButton="0" quotePrefix="0" xfId="20">
      <alignment horizontal="center" vertical="center"/>
    </xf>
    <xf numFmtId="0" fontId="1" fillId="7" borderId="1" applyAlignment="1" applyProtection="1" pivotButton="0" quotePrefix="0" xfId="20">
      <alignment horizontal="center" vertical="center"/>
      <protection locked="0" hidden="0"/>
    </xf>
    <xf numFmtId="0" fontId="1" fillId="7" borderId="1" applyAlignment="1" applyProtection="1" pivotButton="0" quotePrefix="0" xfId="19">
      <alignment horizontal="center" vertical="center"/>
      <protection locked="0" hidden="0"/>
    </xf>
    <xf numFmtId="0" fontId="16" fillId="0" borderId="41" applyAlignment="1" pivotButton="0" quotePrefix="0" xfId="19">
      <alignment horizontal="left" vertical="center" wrapText="1"/>
    </xf>
    <xf numFmtId="0" fontId="16" fillId="0" borderId="1" applyAlignment="1" pivotButton="0" quotePrefix="0" xfId="20">
      <alignment vertical="center" wrapText="1"/>
    </xf>
    <xf numFmtId="0" fontId="16" fillId="0" borderId="1" applyAlignment="1" pivotButton="0" quotePrefix="0" xfId="19">
      <alignment horizontal="center" vertical="center" wrapText="1"/>
    </xf>
    <xf numFmtId="0" fontId="16" fillId="0" borderId="40" applyAlignment="1" pivotButton="0" quotePrefix="0" xfId="20">
      <alignment horizontal="center" vertical="center" wrapText="1"/>
    </xf>
    <xf numFmtId="0" fontId="1" fillId="0" borderId="1" applyAlignment="1" pivotButton="0" quotePrefix="0" xfId="20">
      <alignment horizontal="center" vertical="center"/>
    </xf>
    <xf numFmtId="0" fontId="1" fillId="7" borderId="14" applyAlignment="1" applyProtection="1" pivotButton="0" quotePrefix="0" xfId="20">
      <alignment horizontal="center" vertical="center"/>
      <protection locked="0" hidden="0"/>
    </xf>
    <xf numFmtId="0" fontId="17" fillId="0" borderId="8" applyAlignment="1" pivotButton="0" quotePrefix="0" xfId="19">
      <alignment vertical="center"/>
    </xf>
    <xf numFmtId="0" fontId="1" fillId="7" borderId="1" applyAlignment="1" applyProtection="1" pivotButton="0" quotePrefix="0" xfId="20">
      <alignment horizontal="center" vertical="center" wrapText="1"/>
      <protection locked="0" hidden="0"/>
    </xf>
    <xf numFmtId="0" fontId="1" fillId="7" borderId="14" applyAlignment="1" applyProtection="1" pivotButton="0" quotePrefix="0" xfId="20">
      <alignment horizontal="center" vertical="center" wrapText="1"/>
      <protection locked="0" hidden="0"/>
    </xf>
    <xf numFmtId="0" fontId="16" fillId="0" borderId="41" applyAlignment="1" pivotButton="0" quotePrefix="0" xfId="20">
      <alignment vertical="center" wrapText="1"/>
    </xf>
    <xf numFmtId="0" fontId="16" fillId="0" borderId="71" applyAlignment="1" pivotButton="0" quotePrefix="0" xfId="20">
      <alignment vertical="center" wrapText="1"/>
    </xf>
    <xf numFmtId="0" fontId="17" fillId="0" borderId="55" applyAlignment="1" pivotButton="0" quotePrefix="0" xfId="19">
      <alignment vertical="center"/>
    </xf>
    <xf numFmtId="2" fontId="1" fillId="4" borderId="10" applyAlignment="1" pivotButton="0" quotePrefix="0" xfId="20">
      <alignment horizontal="center" vertical="center"/>
    </xf>
    <xf numFmtId="2" fontId="1" fillId="7" borderId="69" applyAlignment="1" applyProtection="1" pivotButton="0" quotePrefix="0" xfId="20">
      <alignment horizontal="center" vertical="center" wrapText="1"/>
      <protection locked="0" hidden="0"/>
    </xf>
    <xf numFmtId="0" fontId="16" fillId="0" borderId="56" applyAlignment="1" pivotButton="0" quotePrefix="0" xfId="20">
      <alignment vertical="center" wrapText="1"/>
    </xf>
    <xf numFmtId="0" fontId="16" fillId="0" borderId="72" applyAlignment="1" pivotButton="0" quotePrefix="0" xfId="20">
      <alignment vertical="center" wrapText="1"/>
    </xf>
    <xf numFmtId="2" fontId="16" fillId="0" borderId="12" applyAlignment="1" pivotButton="0" quotePrefix="0" xfId="19">
      <alignment horizontal="center" vertical="center" wrapText="1"/>
    </xf>
    <xf numFmtId="2" fontId="16" fillId="0" borderId="51" applyAlignment="1" pivotButton="0" quotePrefix="0" xfId="20">
      <alignment horizontal="center" vertical="center" wrapText="1"/>
    </xf>
    <xf numFmtId="0" fontId="15" fillId="0" borderId="7" applyAlignment="1" pivotButton="0" quotePrefix="0" xfId="19">
      <alignment vertical="center"/>
    </xf>
    <xf numFmtId="0" fontId="1" fillId="0" borderId="3" applyAlignment="1" pivotButton="0" quotePrefix="0" xfId="19">
      <alignment horizontal="center" vertical="center"/>
    </xf>
    <xf numFmtId="0" fontId="1" fillId="7" borderId="17" applyAlignment="1" applyProtection="1" pivotButton="0" quotePrefix="0" xfId="19">
      <alignment horizontal="center" vertical="center"/>
      <protection locked="0" hidden="0"/>
    </xf>
    <xf numFmtId="0" fontId="15" fillId="0" borderId="57" applyAlignment="1" pivotButton="0" quotePrefix="0" xfId="19">
      <alignment horizontal="left" vertical="center" wrapText="1"/>
    </xf>
    <xf numFmtId="0" fontId="15" fillId="0" borderId="76" applyAlignment="1" pivotButton="0" quotePrefix="0" xfId="20">
      <alignment vertical="center" wrapText="1"/>
    </xf>
    <xf numFmtId="0" fontId="15" fillId="0" borderId="3" applyAlignment="1" pivotButton="0" quotePrefix="0" xfId="19">
      <alignment horizontal="center" vertical="center" wrapText="1"/>
    </xf>
    <xf numFmtId="0" fontId="15" fillId="0" borderId="46" applyAlignment="1" pivotButton="0" quotePrefix="0" xfId="20">
      <alignment horizontal="center" vertical="center" wrapText="1"/>
    </xf>
    <xf numFmtId="0" fontId="15" fillId="0" borderId="8" applyAlignment="1" pivotButton="0" quotePrefix="0" xfId="20">
      <alignment horizontal="left" vertical="center"/>
    </xf>
    <xf numFmtId="2" fontId="1" fillId="7" borderId="14" applyAlignment="1" applyProtection="1" pivotButton="0" quotePrefix="0" xfId="20">
      <alignment horizontal="center" vertical="center"/>
      <protection locked="0" hidden="0"/>
    </xf>
    <xf numFmtId="0" fontId="16" fillId="0" borderId="41" applyAlignment="1" pivotButton="0" quotePrefix="0" xfId="19">
      <alignment vertical="center" wrapText="1"/>
    </xf>
    <xf numFmtId="0" fontId="16" fillId="0" borderId="77" applyAlignment="1" pivotButton="0" quotePrefix="0" xfId="20">
      <alignment vertical="center" wrapText="1"/>
    </xf>
    <xf numFmtId="4" fontId="16" fillId="0" borderId="1" applyAlignment="1" pivotButton="0" quotePrefix="0" xfId="20">
      <alignment horizontal="center" vertical="center" wrapText="1"/>
    </xf>
    <xf numFmtId="4" fontId="1" fillId="4" borderId="67" applyAlignment="1" pivotButton="0" quotePrefix="0" xfId="20">
      <alignment horizontal="center" vertical="center"/>
    </xf>
    <xf numFmtId="4" fontId="1" fillId="7" borderId="14" applyAlignment="1" applyProtection="1" pivotButton="0" quotePrefix="0" xfId="19">
      <alignment horizontal="center" vertical="center"/>
      <protection locked="0" hidden="0"/>
    </xf>
    <xf numFmtId="0" fontId="16" fillId="0" borderId="77" applyAlignment="1" pivotButton="0" quotePrefix="0" xfId="20">
      <alignment wrapText="1"/>
    </xf>
    <xf numFmtId="4" fontId="16" fillId="0" borderId="1" applyAlignment="1" pivotButton="0" quotePrefix="0" xfId="19">
      <alignment horizontal="center" vertical="center" wrapText="1"/>
    </xf>
    <xf numFmtId="0" fontId="16" fillId="4" borderId="0" applyAlignment="1" pivotButton="0" quotePrefix="0" xfId="19">
      <alignment wrapText="1"/>
    </xf>
    <xf numFmtId="0" fontId="1" fillId="0" borderId="26" pivotButton="0" quotePrefix="0" xfId="19"/>
    <xf numFmtId="0" fontId="21" fillId="8" borderId="1" applyProtection="1" pivotButton="0" quotePrefix="0" xfId="0">
      <protection locked="0" hidden="0"/>
    </xf>
    <xf numFmtId="0" fontId="21" fillId="8" borderId="62" applyProtection="1" pivotButton="0" quotePrefix="0" xfId="0">
      <protection locked="0" hidden="0"/>
    </xf>
    <xf numFmtId="0" fontId="17" fillId="0" borderId="9" applyAlignment="1" pivotButton="0" quotePrefix="0" xfId="19">
      <alignment vertical="center"/>
    </xf>
    <xf numFmtId="0" fontId="21" fillId="8" borderId="12" applyProtection="1" pivotButton="0" quotePrefix="0" xfId="0">
      <protection locked="0" hidden="0"/>
    </xf>
    <xf numFmtId="0" fontId="21" fillId="8" borderId="65" applyProtection="1" pivotButton="0" quotePrefix="0" xfId="0">
      <protection locked="0" hidden="0"/>
    </xf>
    <xf numFmtId="0" fontId="16" fillId="0" borderId="53" applyAlignment="1" pivotButton="0" quotePrefix="0" xfId="19">
      <alignment horizontal="left" vertical="center" wrapText="1"/>
    </xf>
    <xf numFmtId="0" fontId="16" fillId="0" borderId="73" applyAlignment="1" pivotButton="0" quotePrefix="0" xfId="20">
      <alignment vertical="center" wrapText="1"/>
    </xf>
    <xf numFmtId="0" fontId="16" fillId="0" borderId="10" applyAlignment="1" pivotButton="0" quotePrefix="0" xfId="19">
      <alignment horizontal="center" vertical="center" wrapText="1"/>
    </xf>
    <xf numFmtId="0" fontId="16" fillId="0" borderId="47" applyAlignment="1" pivotButton="0" quotePrefix="0" xfId="20">
      <alignment horizontal="center" vertical="center" wrapText="1"/>
    </xf>
    <xf numFmtId="0" fontId="1" fillId="0" borderId="28" applyAlignment="1" pivotButton="0" quotePrefix="0" xfId="19">
      <alignment wrapText="1"/>
    </xf>
    <xf numFmtId="0" fontId="15" fillId="0" borderId="55" applyAlignment="1" pivotButton="0" quotePrefix="0" xfId="19">
      <alignment vertical="center"/>
    </xf>
    <xf numFmtId="0" fontId="1" fillId="0" borderId="12" applyAlignment="1" pivotButton="0" quotePrefix="0" xfId="19">
      <alignment horizontal="center" vertical="center"/>
    </xf>
    <xf numFmtId="0" fontId="1" fillId="0" borderId="69" applyAlignment="1" pivotButton="0" quotePrefix="0" xfId="19">
      <alignment horizontal="center" vertical="center"/>
    </xf>
    <xf numFmtId="0" fontId="16" fillId="0" borderId="56" applyAlignment="1" pivotButton="0" quotePrefix="0" xfId="19">
      <alignment horizontal="left" vertical="center" wrapText="1"/>
    </xf>
    <xf numFmtId="0" fontId="16" fillId="4" borderId="72" applyAlignment="1" pivotButton="0" quotePrefix="0" xfId="20">
      <alignment vertical="center" wrapText="1"/>
    </xf>
    <xf numFmtId="0" fontId="16" fillId="0" borderId="12" applyAlignment="1" pivotButton="0" quotePrefix="0" xfId="19">
      <alignment horizontal="center" vertical="center" wrapText="1"/>
    </xf>
    <xf numFmtId="0" fontId="16" fillId="4" borderId="51" applyAlignment="1" pivotButton="0" quotePrefix="0" xfId="20">
      <alignment horizontal="center" vertical="center" wrapText="1"/>
    </xf>
    <xf numFmtId="0" fontId="17" fillId="0" borderId="7" applyAlignment="1" pivotButton="0" quotePrefix="0" xfId="19">
      <alignment horizontal="left" vertical="center" wrapText="1"/>
    </xf>
    <xf numFmtId="165" fontId="1" fillId="0" borderId="44" applyAlignment="1" pivotButton="0" quotePrefix="0" xfId="20">
      <alignment horizontal="center" vertical="center"/>
    </xf>
    <xf numFmtId="165" fontId="1" fillId="7" borderId="3" applyAlignment="1" applyProtection="1" pivotButton="0" quotePrefix="0" xfId="19">
      <alignment horizontal="center" vertical="center"/>
      <protection locked="0" hidden="0"/>
    </xf>
    <xf numFmtId="0" fontId="18" fillId="0" borderId="3" applyAlignment="1" pivotButton="0" quotePrefix="0" xfId="19">
      <alignment horizontal="left" vertical="center" wrapText="1"/>
    </xf>
    <xf numFmtId="0" fontId="25" fillId="0" borderId="78" applyAlignment="1" pivotButton="0" quotePrefix="0" xfId="20">
      <alignment vertical="center" wrapText="1"/>
    </xf>
    <xf numFmtId="0" fontId="17" fillId="0" borderId="8" applyAlignment="1" pivotButton="0" quotePrefix="0" xfId="19">
      <alignment horizontal="left" vertical="center" wrapText="1"/>
    </xf>
    <xf numFmtId="165" fontId="1" fillId="0" borderId="13" applyAlignment="1" pivotButton="0" quotePrefix="0" xfId="20">
      <alignment horizontal="center" vertical="center"/>
    </xf>
    <xf numFmtId="165" fontId="1" fillId="7" borderId="1" applyAlignment="1" applyProtection="1" pivotButton="0" quotePrefix="0" xfId="19">
      <alignment horizontal="center" vertical="center"/>
      <protection locked="0" hidden="0"/>
    </xf>
    <xf numFmtId="0" fontId="18" fillId="0" borderId="1" applyAlignment="1" pivotButton="0" quotePrefix="0" xfId="19">
      <alignment horizontal="left" vertical="center" wrapText="1"/>
    </xf>
    <xf numFmtId="0" fontId="25" fillId="0" borderId="74" applyAlignment="1" pivotButton="0" quotePrefix="0" xfId="20">
      <alignment vertical="center" wrapText="1"/>
    </xf>
    <xf numFmtId="0" fontId="17" fillId="0" borderId="9" applyAlignment="1" pivotButton="0" quotePrefix="0" xfId="19">
      <alignment horizontal="left" vertical="center" wrapText="1"/>
    </xf>
    <xf numFmtId="165" fontId="1" fillId="0" borderId="10" applyAlignment="1" pivotButton="0" quotePrefix="0" xfId="20">
      <alignment horizontal="center" vertical="center"/>
    </xf>
    <xf numFmtId="165" fontId="1" fillId="7" borderId="10" applyAlignment="1" applyProtection="1" pivotButton="0" quotePrefix="0" xfId="19">
      <alignment horizontal="center" vertical="center"/>
      <protection locked="0" hidden="0"/>
    </xf>
    <xf numFmtId="0" fontId="18" fillId="0" borderId="10" applyAlignment="1" pivotButton="0" quotePrefix="0" xfId="19">
      <alignment horizontal="left" vertical="center" wrapText="1"/>
    </xf>
    <xf numFmtId="0" fontId="25" fillId="0" borderId="73" applyAlignment="1" pivotButton="0" quotePrefix="0" xfId="20">
      <alignment vertical="center" wrapText="1"/>
    </xf>
    <xf numFmtId="0" fontId="1" fillId="0" borderId="26" applyAlignment="1" pivotButton="0" quotePrefix="0" xfId="19">
      <alignment horizontal="left" vertical="center"/>
    </xf>
    <xf numFmtId="0" fontId="1" fillId="0" borderId="22" applyAlignment="1" pivotButton="0" quotePrefix="0" xfId="19">
      <alignment horizontal="left" vertical="center"/>
    </xf>
    <xf numFmtId="0" fontId="6" fillId="4" borderId="3" applyAlignment="1" pivotButton="0" quotePrefix="0" xfId="2">
      <alignment horizontal="left" vertical="center" wrapText="1"/>
    </xf>
    <xf numFmtId="0" fontId="6" fillId="4" borderId="2" applyAlignment="1" pivotButton="0" quotePrefix="0" xfId="2">
      <alignment horizontal="left" vertical="center" wrapText="1"/>
    </xf>
    <xf numFmtId="0" fontId="6" fillId="0" borderId="10" applyAlignment="1" pivotButton="0" quotePrefix="0" xfId="2">
      <alignment horizontal="left" vertical="center" wrapText="1"/>
    </xf>
    <xf numFmtId="0" fontId="6" fillId="0" borderId="43" applyAlignment="1" applyProtection="1" pivotButton="0" quotePrefix="0" xfId="2">
      <alignment horizontal="center" vertical="center"/>
      <protection locked="0" hidden="0"/>
    </xf>
    <xf numFmtId="0" fontId="8" fillId="0" borderId="3" applyAlignment="1" pivotButton="0" quotePrefix="0" xfId="2">
      <alignment horizontal="center" vertical="center"/>
    </xf>
    <xf numFmtId="0" fontId="6" fillId="0" borderId="3" applyAlignment="1" pivotButton="0" quotePrefix="0" xfId="2">
      <alignment horizontal="center" vertical="center"/>
    </xf>
    <xf numFmtId="0" fontId="6" fillId="0" borderId="1" applyAlignment="1" pivotButton="0" quotePrefix="0" xfId="2">
      <alignment horizontal="center" vertical="center"/>
    </xf>
    <xf numFmtId="0" fontId="6" fillId="0" borderId="1" applyAlignment="1" pivotButton="0" quotePrefix="0" xfId="3">
      <alignment horizontal="center" vertical="center"/>
    </xf>
    <xf numFmtId="0" fontId="8" fillId="0" borderId="3" applyAlignment="1" pivotButton="0" quotePrefix="0" xfId="14">
      <alignment horizontal="center" vertical="center"/>
    </xf>
    <xf numFmtId="0" fontId="6" fillId="0" borderId="3" applyAlignment="1" pivotButton="0" quotePrefix="0" xfId="0">
      <alignment horizontal="center" vertical="center"/>
    </xf>
    <xf numFmtId="49" fontId="6" fillId="0" borderId="38" applyAlignment="1" pivotButton="0" quotePrefix="0" xfId="0">
      <alignment vertical="center" wrapText="1"/>
    </xf>
    <xf numFmtId="0" fontId="6" fillId="0" borderId="3" applyAlignment="1" pivotButton="0" quotePrefix="0" xfId="2">
      <alignment horizontal="left" vertical="top" wrapText="1"/>
    </xf>
    <xf numFmtId="0" fontId="8" fillId="0" borderId="1" applyAlignment="1" pivotButton="0" quotePrefix="0" xfId="0">
      <alignment horizontal="center" vertical="center" wrapText="1"/>
    </xf>
    <xf numFmtId="0" fontId="6" fillId="0" borderId="1" applyAlignment="1" pivotButton="0" quotePrefix="0" xfId="2">
      <alignment horizontal="left" vertical="top" wrapText="1"/>
    </xf>
    <xf numFmtId="0" fontId="8" fillId="0" borderId="2" applyAlignment="1" pivotButton="0" quotePrefix="0" xfId="14">
      <alignment horizontal="center" vertical="center" wrapText="1"/>
    </xf>
    <xf numFmtId="0" fontId="6" fillId="0" borderId="13" applyAlignment="1" pivotButton="0" quotePrefix="0" xfId="0">
      <alignment horizontal="center" vertical="center" wrapText="1"/>
    </xf>
    <xf numFmtId="0" fontId="6" fillId="0" borderId="1" applyAlignment="1" pivotButton="0" quotePrefix="0" xfId="14">
      <alignment horizontal="center" vertical="center" wrapText="1"/>
    </xf>
    <xf numFmtId="0" fontId="6" fillId="0" borderId="13" applyAlignment="1" applyProtection="1" pivotButton="0" quotePrefix="0" xfId="0">
      <alignment horizontal="left" vertical="center" wrapText="1"/>
      <protection locked="0" hidden="0"/>
    </xf>
    <xf numFmtId="0" fontId="6" fillId="0" borderId="48" applyAlignment="1" pivotButton="0" quotePrefix="0" xfId="0">
      <alignment wrapText="1"/>
    </xf>
    <xf numFmtId="0" fontId="6" fillId="0" borderId="1" applyAlignment="1" applyProtection="1" pivotButton="0" quotePrefix="0" xfId="14">
      <alignment horizontal="center" vertical="center" wrapText="1"/>
      <protection locked="0" hidden="0"/>
    </xf>
    <xf numFmtId="0" fontId="6" fillId="0" borderId="1" applyAlignment="1" applyProtection="1" pivotButton="0" quotePrefix="0" xfId="0">
      <alignment horizontal="center" vertical="center" wrapText="1"/>
      <protection locked="0" hidden="0"/>
    </xf>
    <xf numFmtId="0" fontId="6" fillId="0" borderId="1" applyAlignment="1" applyProtection="1" pivotButton="0" quotePrefix="0" xfId="0">
      <alignment horizontal="left" wrapText="1"/>
      <protection locked="0" hidden="0"/>
    </xf>
    <xf numFmtId="0" fontId="6" fillId="0" borderId="50" applyAlignment="1" applyProtection="1" pivotButton="0" quotePrefix="0" xfId="0">
      <alignment horizontal="left" vertical="center" wrapText="1"/>
      <protection locked="0" hidden="0"/>
    </xf>
    <xf numFmtId="0" fontId="6" fillId="0" borderId="13" applyAlignment="1" applyProtection="1" pivotButton="0" quotePrefix="0" xfId="2">
      <alignment horizontal="center" vertical="center" wrapText="1"/>
      <protection locked="0" hidden="0"/>
    </xf>
    <xf numFmtId="0" fontId="6" fillId="0" borderId="14" applyAlignment="1" pivotButton="0" quotePrefix="0" xfId="14">
      <alignment horizontal="center" vertical="center" wrapText="1"/>
    </xf>
    <xf numFmtId="0" fontId="8" fillId="0" borderId="1" applyAlignment="1" applyProtection="1" pivotButton="0" quotePrefix="0" xfId="2">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8" fillId="0" borderId="2" applyAlignment="1" applyProtection="1" pivotButton="0" quotePrefix="0" xfId="2">
      <alignment horizontal="center" vertical="center" wrapText="1"/>
      <protection locked="0" hidden="0"/>
    </xf>
    <xf numFmtId="0" fontId="8" fillId="0" borderId="2" applyAlignment="1" applyProtection="1" pivotButton="0" quotePrefix="0" xfId="14">
      <alignment horizontal="center" vertical="center" wrapText="1"/>
      <protection locked="0" hidden="0"/>
    </xf>
    <xf numFmtId="0" fontId="6" fillId="0" borderId="13" applyAlignment="1" applyProtection="1" pivotButton="0" quotePrefix="0" xfId="14">
      <alignment horizontal="center" vertical="center" wrapText="1"/>
      <protection locked="0" hidden="0"/>
    </xf>
    <xf numFmtId="0" fontId="6" fillId="0" borderId="13" applyAlignment="1" applyProtection="1" pivotButton="0" quotePrefix="0" xfId="2">
      <alignment horizontal="left" vertical="center" wrapText="1"/>
      <protection locked="0" hidden="0"/>
    </xf>
    <xf numFmtId="0" fontId="6" fillId="0" borderId="1" applyAlignment="1" applyProtection="1" pivotButton="0" quotePrefix="0" xfId="2">
      <alignment horizontal="left" vertical="top" wrapText="1"/>
      <protection locked="0" hidden="0"/>
    </xf>
    <xf numFmtId="0" fontId="38" fillId="0" borderId="14" applyAlignment="1" applyProtection="1" pivotButton="0" quotePrefix="0" xfId="3">
      <alignment horizontal="left" vertical="center" wrapText="1"/>
      <protection locked="0" hidden="0"/>
    </xf>
    <xf numFmtId="0" fontId="11" fillId="0" borderId="14" applyAlignment="1" applyProtection="1" pivotButton="0" quotePrefix="0" xfId="0">
      <alignment horizontal="left" vertical="center" wrapText="1"/>
      <protection locked="0" hidden="0"/>
    </xf>
    <xf numFmtId="0" fontId="6" fillId="0" borderId="3" applyAlignment="1" pivotButton="0" quotePrefix="0" xfId="3">
      <alignment horizontal="left" wrapText="1"/>
    </xf>
    <xf numFmtId="0" fontId="6" fillId="0" borderId="48" applyAlignment="1" pivotButton="0" quotePrefix="0" xfId="3">
      <alignment vertical="center" wrapText="1"/>
    </xf>
    <xf numFmtId="0" fontId="6" fillId="0" borderId="3" applyAlignment="1" applyProtection="1" pivotButton="0" quotePrefix="0" xfId="3">
      <alignment horizontal="center" vertical="center" wrapText="1"/>
      <protection locked="0" hidden="0"/>
    </xf>
    <xf numFmtId="0" fontId="8" fillId="0" borderId="3" applyAlignment="1" applyProtection="1" pivotButton="0" quotePrefix="0" xfId="14">
      <alignment horizontal="center" vertical="center" wrapText="1"/>
      <protection locked="0" hidden="0"/>
    </xf>
    <xf numFmtId="0" fontId="6" fillId="0" borderId="3" applyAlignment="1" applyProtection="1" pivotButton="0" quotePrefix="0" xfId="14">
      <alignment horizontal="center" vertical="center" wrapText="1"/>
      <protection locked="0" hidden="0"/>
    </xf>
    <xf numFmtId="0" fontId="6" fillId="0" borderId="48" applyAlignment="1" applyProtection="1" pivotButton="0" quotePrefix="0" xfId="3">
      <alignment vertical="center" wrapText="1"/>
      <protection locked="0" hidden="0"/>
    </xf>
    <xf numFmtId="0" fontId="8" fillId="0" borderId="13" applyAlignment="1" applyProtection="1" pivotButton="0" quotePrefix="0" xfId="14">
      <alignment horizontal="center" vertical="center" wrapText="1"/>
      <protection locked="0" hidden="0"/>
    </xf>
    <xf numFmtId="0" fontId="6" fillId="0" borderId="1" applyAlignment="1" pivotButton="0" quotePrefix="0" xfId="3">
      <alignment vertical="center" wrapText="1"/>
    </xf>
    <xf numFmtId="0" fontId="6" fillId="0" borderId="1" applyAlignment="1" pivotButton="0" quotePrefix="0" xfId="0">
      <alignment vertical="center" wrapText="1"/>
    </xf>
    <xf numFmtId="0" fontId="6" fillId="0" borderId="2" applyAlignment="1" applyProtection="1" pivotButton="0" quotePrefix="0" xfId="14">
      <alignment horizontal="center" vertical="center" wrapText="1"/>
      <protection locked="0" hidden="0"/>
    </xf>
    <xf numFmtId="0" fontId="6" fillId="0" borderId="2" applyAlignment="1" applyProtection="1" pivotButton="0" quotePrefix="0" xfId="3">
      <alignment horizontal="center" vertical="center" wrapText="1"/>
      <protection locked="0" hidden="0"/>
    </xf>
    <xf numFmtId="0" fontId="6" fillId="0" borderId="1" applyAlignment="1" applyProtection="1" pivotButton="0" quotePrefix="0" xfId="2">
      <alignment horizontal="center" vertical="center"/>
      <protection locked="0" hidden="0"/>
    </xf>
    <xf numFmtId="0" fontId="6" fillId="0" borderId="17" applyAlignment="1" applyProtection="1" pivotButton="0" quotePrefix="0" xfId="14">
      <alignment horizontal="center" vertical="center" wrapText="1"/>
      <protection locked="0" hidden="0"/>
    </xf>
    <xf numFmtId="0" fontId="6" fillId="0" borderId="68" applyAlignment="1" applyProtection="1" pivotButton="0" quotePrefix="0" xfId="3">
      <alignment horizontal="left" vertical="center" wrapText="1"/>
      <protection locked="0" hidden="0"/>
    </xf>
    <xf numFmtId="0" fontId="6" fillId="0" borderId="79" applyAlignment="1" applyProtection="1" pivotButton="0" quotePrefix="0" xfId="2">
      <alignment horizontal="center" vertical="center" wrapText="1"/>
      <protection locked="0" hidden="0"/>
    </xf>
    <xf numFmtId="0" fontId="6" fillId="0" borderId="80" applyAlignment="1" applyProtection="1" pivotButton="0" quotePrefix="0" xfId="2">
      <alignment horizontal="center" vertical="center" wrapText="1"/>
      <protection locked="0" hidden="0"/>
    </xf>
    <xf numFmtId="0" fontId="41" fillId="0" borderId="3" applyAlignment="1" applyProtection="1" pivotButton="0" quotePrefix="0" xfId="2">
      <alignment horizontal="left" vertical="center" wrapText="1"/>
      <protection locked="0" hidden="0"/>
    </xf>
    <xf numFmtId="0" fontId="39" fillId="0" borderId="86" applyAlignment="1" applyProtection="1" pivotButton="0" quotePrefix="0" xfId="3">
      <alignment horizontal="left" vertical="center" wrapText="1"/>
      <protection locked="0" hidden="0"/>
    </xf>
    <xf numFmtId="0" fontId="39" fillId="0" borderId="62" applyAlignment="1" applyProtection="1" pivotButton="0" quotePrefix="0" xfId="3">
      <alignment horizontal="left" vertical="center" wrapText="1"/>
      <protection locked="0" hidden="0"/>
    </xf>
    <xf numFmtId="0" fontId="6" fillId="0" borderId="14" applyAlignment="1" applyProtection="1" pivotButton="0" quotePrefix="0" xfId="2">
      <alignment horizontal="center" vertical="center" wrapText="1"/>
      <protection locked="0" hidden="0"/>
    </xf>
    <xf numFmtId="0" fontId="39" fillId="0" borderId="17" applyAlignment="1" pivotButton="0" quotePrefix="0" xfId="0">
      <alignment vertical="center" wrapText="1"/>
    </xf>
    <xf numFmtId="0" fontId="41" fillId="0" borderId="1" applyAlignment="1" applyProtection="1" pivotButton="0" quotePrefix="0" xfId="2">
      <alignment horizontal="left" vertical="center" wrapText="1"/>
      <protection locked="0" hidden="0"/>
    </xf>
    <xf numFmtId="0" fontId="6" fillId="0" borderId="19" applyAlignment="1" applyProtection="1" pivotButton="0" quotePrefix="0" xfId="2">
      <alignment horizontal="center" vertical="center"/>
      <protection locked="0" hidden="0"/>
    </xf>
    <xf numFmtId="0" fontId="39" fillId="0" borderId="17" applyAlignment="1" applyProtection="1" pivotButton="0" quotePrefix="0" xfId="0">
      <alignment vertical="center" wrapText="1"/>
      <protection locked="0" hidden="0"/>
    </xf>
    <xf numFmtId="0" fontId="39" fillId="0" borderId="14" applyAlignment="1" pivotButton="0" quotePrefix="0" xfId="0">
      <alignment vertical="center" wrapText="1"/>
    </xf>
    <xf numFmtId="0" fontId="40" fillId="0" borderId="0" applyAlignment="1" pivotButton="0" quotePrefix="0" xfId="0">
      <alignment vertical="center" wrapText="1"/>
    </xf>
    <xf numFmtId="0" fontId="8" fillId="0" borderId="1" applyAlignment="1" pivotButton="0" quotePrefix="0" xfId="2">
      <alignment horizontal="center" vertical="center" wrapText="1"/>
    </xf>
    <xf numFmtId="0" fontId="39" fillId="0" borderId="1" applyAlignment="1" pivotButton="0" quotePrefix="0" xfId="3">
      <alignment vertical="center" wrapText="1"/>
    </xf>
    <xf numFmtId="0" fontId="27" fillId="0" borderId="17" applyAlignment="1" pivotButton="0" quotePrefix="0" xfId="2">
      <alignment horizontal="left" vertical="center" wrapText="1"/>
    </xf>
    <xf numFmtId="0" fontId="11" fillId="0" borderId="49" applyAlignment="1" applyProtection="1" pivotButton="0" quotePrefix="0" xfId="3">
      <alignment vertical="center" wrapText="1"/>
      <protection locked="0" hidden="0"/>
    </xf>
    <xf numFmtId="0" fontId="8" fillId="0" borderId="48" applyAlignment="1" applyProtection="1" pivotButton="0" quotePrefix="0" xfId="0">
      <alignment horizontal="center" vertical="center"/>
      <protection locked="0" hidden="0"/>
    </xf>
    <xf numFmtId="0" fontId="6" fillId="0" borderId="48" applyAlignment="1" applyProtection="1" pivotButton="0" quotePrefix="0" xfId="0">
      <alignment horizontal="center" vertical="center"/>
      <protection locked="0" hidden="0"/>
    </xf>
    <xf numFmtId="0" fontId="6" fillId="0" borderId="1" applyAlignment="1" applyProtection="1" pivotButton="0" quotePrefix="0" xfId="2">
      <alignment horizontal="left" wrapText="1"/>
      <protection locked="0" hidden="0"/>
    </xf>
    <xf numFmtId="0" fontId="6" fillId="0" borderId="48" applyAlignment="1" applyProtection="1" pivotButton="0" quotePrefix="0" xfId="3">
      <alignment horizontal="center" vertical="center" wrapText="1"/>
      <protection locked="0" hidden="0"/>
    </xf>
    <xf numFmtId="0" fontId="27" fillId="0" borderId="1" applyAlignment="1" applyProtection="1" pivotButton="0" quotePrefix="0" xfId="3">
      <alignment horizontal="left" vertical="center" wrapText="1"/>
      <protection locked="0" hidden="0"/>
    </xf>
    <xf numFmtId="0" fontId="8" fillId="0" borderId="3" applyAlignment="1" pivotButton="0" quotePrefix="0" xfId="0">
      <alignment horizontal="center" vertical="center" wrapText="1"/>
    </xf>
    <xf numFmtId="0" fontId="39" fillId="0" borderId="3" applyAlignment="1" pivotButton="0" quotePrefix="0" xfId="3">
      <alignment vertical="center" wrapText="1"/>
    </xf>
    <xf numFmtId="0" fontId="6" fillId="0" borderId="3" applyAlignment="1" applyProtection="1" pivotButton="0" quotePrefix="0" xfId="3">
      <alignment vertical="center" wrapText="1"/>
      <protection locked="0" hidden="0"/>
    </xf>
    <xf numFmtId="0" fontId="41" fillId="0" borderId="3" applyAlignment="1" pivotButton="0" quotePrefix="0" xfId="2">
      <alignment horizontal="left" vertical="center" wrapText="1"/>
    </xf>
    <xf numFmtId="0" fontId="42" fillId="0" borderId="1" applyAlignment="1" applyProtection="1" pivotButton="0" quotePrefix="0" xfId="3">
      <alignment horizontal="left" vertical="center" wrapText="1"/>
      <protection locked="0" hidden="0"/>
    </xf>
    <xf numFmtId="0" fontId="6" fillId="0" borderId="17" applyAlignment="1" applyProtection="1" pivotButton="0" quotePrefix="0" xfId="2">
      <alignment horizontal="left" vertical="center" wrapText="1"/>
      <protection locked="0" hidden="0"/>
    </xf>
    <xf numFmtId="0" fontId="41" fillId="0" borderId="1" applyAlignment="1" pivotButton="0" quotePrefix="0" xfId="2">
      <alignment horizontal="left" vertical="center" wrapText="1"/>
    </xf>
    <xf numFmtId="0" fontId="6" fillId="0" borderId="3" applyAlignment="1" applyProtection="1" pivotButton="0" quotePrefix="0" xfId="0">
      <alignment horizontal="left" vertical="center" wrapText="1"/>
      <protection locked="0" hidden="0"/>
    </xf>
    <xf numFmtId="0" fontId="6" fillId="0" borderId="13" applyAlignment="1" pivotButton="0" quotePrefix="0" xfId="2">
      <alignment horizontal="center" vertical="center" wrapText="1"/>
    </xf>
    <xf numFmtId="0" fontId="6" fillId="0" borderId="1" applyAlignment="1" applyProtection="1" pivotButton="0" quotePrefix="0" xfId="0">
      <alignment horizontal="center" vertical="center"/>
      <protection locked="0" hidden="0"/>
    </xf>
    <xf numFmtId="0" fontId="6" fillId="0" borderId="0" applyAlignment="1" pivotButton="0" quotePrefix="0" xfId="0">
      <alignment horizontal="left" vertical="center" wrapText="1"/>
    </xf>
    <xf numFmtId="0" fontId="9" fillId="0" borderId="14" applyAlignment="1" pivotButton="0" quotePrefix="0" xfId="3">
      <alignment horizontal="left" vertical="center" wrapText="1"/>
    </xf>
    <xf numFmtId="0" fontId="8" fillId="0" borderId="3" applyAlignment="1" pivotButton="0" quotePrefix="0" xfId="2">
      <alignment horizontal="center" vertical="center" wrapText="1"/>
    </xf>
    <xf numFmtId="0" fontId="6" fillId="0" borderId="63" applyAlignment="1" pivotButton="0" quotePrefix="0" xfId="3">
      <alignment horizontal="left" vertical="center" wrapText="1"/>
    </xf>
    <xf numFmtId="0" fontId="8" fillId="0" borderId="48" applyAlignment="1" pivotButton="0" quotePrefix="0" xfId="0">
      <alignment horizontal="center" vertical="center"/>
    </xf>
    <xf numFmtId="0" fontId="6" fillId="0" borderId="48" applyAlignment="1" pivotButton="0" quotePrefix="0" xfId="0">
      <alignment vertical="center" wrapText="1"/>
    </xf>
    <xf numFmtId="0" fontId="6" fillId="0" borderId="68" applyAlignment="1" pivotButton="0" quotePrefix="0" xfId="0">
      <alignment vertical="center" wrapText="1"/>
    </xf>
    <xf numFmtId="0" fontId="39" fillId="0" borderId="3" applyAlignment="1" pivotButton="0" quotePrefix="0" xfId="3">
      <alignment horizontal="left" vertical="center" wrapText="1"/>
    </xf>
    <xf numFmtId="0" fontId="39" fillId="0" borderId="1" applyAlignment="1" pivotButton="0" quotePrefix="0" xfId="3">
      <alignment horizontal="left" vertical="center" wrapText="1"/>
    </xf>
    <xf numFmtId="0" fontId="6" fillId="0" borderId="68" applyAlignment="1" pivotButton="0" quotePrefix="0" xfId="0">
      <alignment horizontal="left" vertical="center" wrapText="1"/>
    </xf>
    <xf numFmtId="0" fontId="40" fillId="0" borderId="48" applyAlignment="1" pivotButton="0" quotePrefix="0" xfId="3">
      <alignment horizontal="left" vertical="center" wrapText="1"/>
    </xf>
    <xf numFmtId="0" fontId="6" fillId="0" borderId="3" applyAlignment="1" pivotButton="0" quotePrefix="0" xfId="3">
      <alignment vertical="center" wrapText="1"/>
    </xf>
    <xf numFmtId="0" fontId="6" fillId="0" borderId="48" applyAlignment="1" pivotButton="0" quotePrefix="0" xfId="0">
      <alignment horizontal="center" vertical="center" wrapText="1"/>
    </xf>
    <xf numFmtId="0" fontId="8" fillId="0" borderId="1" applyAlignment="1" pivotButton="0" quotePrefix="0" xfId="0">
      <alignment horizontal="center" vertical="center"/>
    </xf>
    <xf numFmtId="0" fontId="6" fillId="0" borderId="1" applyAlignment="1" pivotButton="0" quotePrefix="0" xfId="0">
      <alignment horizontal="center" vertical="center"/>
    </xf>
    <xf numFmtId="0" fontId="6" fillId="0" borderId="6" applyAlignment="1" applyProtection="1" pivotButton="0" quotePrefix="0" xfId="2">
      <alignment horizontal="center" vertical="center"/>
      <protection locked="0" hidden="0"/>
    </xf>
    <xf numFmtId="0" fontId="6" fillId="0" borderId="2" applyAlignment="1" pivotButton="0" quotePrefix="0" xfId="3">
      <alignment horizontal="center" vertical="center" wrapText="1"/>
    </xf>
    <xf numFmtId="0" fontId="6" fillId="0" borderId="48" applyAlignment="1" pivotButton="0" quotePrefix="0" xfId="6">
      <alignment vertical="center" wrapText="1"/>
    </xf>
    <xf numFmtId="0" fontId="6" fillId="0" borderId="84" applyAlignment="1" pivotButton="0" quotePrefix="0" xfId="3">
      <alignment horizontal="left" vertical="center" wrapText="1"/>
    </xf>
    <xf numFmtId="0" fontId="8" fillId="0" borderId="3" applyAlignment="1" applyProtection="1" pivotButton="0" quotePrefix="0" xfId="0">
      <alignment horizontal="center" vertical="center" wrapText="1"/>
      <protection locked="0" hidden="0"/>
    </xf>
    <xf numFmtId="0" fontId="6" fillId="0" borderId="2" applyAlignment="1" pivotButton="0" quotePrefix="0" xfId="3">
      <alignment horizontal="left" vertical="center" wrapText="1"/>
    </xf>
    <xf numFmtId="0" fontId="6" fillId="0" borderId="13" applyAlignment="1" pivotButton="0" quotePrefix="0" xfId="3">
      <alignment horizontal="center" vertical="center" wrapText="1"/>
    </xf>
    <xf numFmtId="0" fontId="9" fillId="0" borderId="14" applyAlignment="1" applyProtection="1" pivotButton="0" quotePrefix="0" xfId="3">
      <alignment horizontal="left" vertical="center" wrapText="1"/>
      <protection locked="0" hidden="0"/>
    </xf>
    <xf numFmtId="0" fontId="6" fillId="0" borderId="44" applyAlignment="1" pivotButton="0" quotePrefix="0" xfId="2">
      <alignment horizontal="left" vertical="center" wrapText="1"/>
    </xf>
    <xf numFmtId="49" fontId="6" fillId="0" borderId="38" applyAlignment="1" pivotButton="0" quotePrefix="0" xfId="0">
      <alignment horizontal="left" vertical="center" wrapText="1"/>
    </xf>
    <xf numFmtId="0" fontId="6" fillId="0" borderId="6" applyAlignment="1" applyProtection="1" pivotButton="0" quotePrefix="0" xfId="2">
      <alignment horizontal="center" vertical="center" wrapText="1"/>
      <protection locked="0" hidden="0"/>
    </xf>
    <xf numFmtId="0" fontId="8" fillId="0" borderId="13" applyAlignment="1" pivotButton="0" quotePrefix="0" xfId="14">
      <alignment horizontal="center" vertical="center" wrapText="1"/>
    </xf>
    <xf numFmtId="0" fontId="6" fillId="0" borderId="5" applyAlignment="1" applyProtection="1" pivotButton="0" quotePrefix="0" xfId="2">
      <alignment horizontal="center" vertical="center"/>
      <protection locked="0" hidden="0"/>
    </xf>
    <xf numFmtId="0" fontId="8" fillId="0" borderId="4" applyAlignment="1" pivotButton="0" quotePrefix="0" xfId="14">
      <alignment horizontal="center" vertical="center" wrapText="1"/>
    </xf>
    <xf numFmtId="0" fontId="6" fillId="0" borderId="4" applyAlignment="1" pivotButton="0" quotePrefix="0" xfId="0">
      <alignment horizontal="center" vertical="center" wrapText="1"/>
    </xf>
    <xf numFmtId="0" fontId="6" fillId="0" borderId="4" applyAlignment="1" pivotButton="0" quotePrefix="0" xfId="3">
      <alignment horizontal="left" vertical="center" wrapText="1"/>
    </xf>
    <xf numFmtId="0" fontId="6" fillId="0" borderId="4" applyAlignment="1" pivotButton="0" quotePrefix="0" xfId="2">
      <alignment horizontal="center" vertical="center" wrapText="1"/>
    </xf>
    <xf numFmtId="0" fontId="8" fillId="0" borderId="44" applyAlignment="1" pivotButton="0" quotePrefix="0" xfId="14">
      <alignment horizontal="center" vertical="center" wrapText="1"/>
    </xf>
    <xf numFmtId="0" fontId="6" fillId="0" borderId="44" applyAlignment="1" pivotButton="0" quotePrefix="0" xfId="0">
      <alignment horizontal="center" vertical="center" wrapText="1"/>
    </xf>
    <xf numFmtId="0" fontId="6" fillId="0" borderId="44" applyAlignment="1" pivotButton="0" quotePrefix="0" xfId="18">
      <alignment horizontal="left" vertical="center" wrapText="1"/>
    </xf>
    <xf numFmtId="0" fontId="6" fillId="0" borderId="44" applyAlignment="1" pivotButton="0" quotePrefix="0" xfId="2">
      <alignment horizontal="center" vertical="center" wrapText="1"/>
    </xf>
    <xf numFmtId="0" fontId="6" fillId="0" borderId="59" applyAlignment="1" pivotButton="0" quotePrefix="0" xfId="2">
      <alignment horizontal="left" vertical="center" wrapText="1"/>
    </xf>
    <xf numFmtId="0" fontId="6" fillId="0" borderId="1" applyAlignment="1" pivotButton="0" quotePrefix="0" xfId="18">
      <alignment horizontal="left" vertical="center" wrapText="1"/>
    </xf>
    <xf numFmtId="0" fontId="8" fillId="0" borderId="10" applyAlignment="1" pivotButton="0" quotePrefix="0" xfId="0">
      <alignment horizontal="center" vertical="center" wrapText="1"/>
    </xf>
    <xf numFmtId="0" fontId="6" fillId="0" borderId="10" applyAlignment="1" pivotButton="0" quotePrefix="0" xfId="18">
      <alignment horizontal="left" vertical="center" wrapText="1"/>
    </xf>
    <xf numFmtId="0" fontId="6" fillId="0" borderId="12" applyAlignment="1" pivotButton="0" quotePrefix="0" xfId="2">
      <alignment horizontal="center" vertical="center" wrapText="1"/>
    </xf>
    <xf numFmtId="0" fontId="6" fillId="0" borderId="69" applyAlignment="1" pivotButton="0" quotePrefix="0" xfId="2">
      <alignment horizontal="left" vertical="center" wrapText="1"/>
    </xf>
    <xf numFmtId="0" fontId="6" fillId="0" borderId="28" applyAlignment="1" pivotButton="0" quotePrefix="0" xfId="0">
      <alignment vertical="center" wrapText="1"/>
    </xf>
    <xf numFmtId="0" fontId="6" fillId="0" borderId="30" applyAlignment="1" pivotButton="0" quotePrefix="0" xfId="0">
      <alignment vertical="center" wrapText="1"/>
    </xf>
    <xf numFmtId="0" fontId="6" fillId="12" borderId="2" applyAlignment="1" pivotButton="0" quotePrefix="0" xfId="2">
      <alignment horizontal="center" vertical="center" wrapText="1"/>
    </xf>
    <xf numFmtId="0" fontId="6" fillId="12" borderId="8" applyAlignment="1" applyProtection="1" pivotButton="0" quotePrefix="0" xfId="2">
      <alignment horizontal="center" vertical="center"/>
      <protection locked="0" hidden="0"/>
    </xf>
    <xf numFmtId="0" fontId="8" fillId="12" borderId="3" applyAlignment="1" pivotButton="0" quotePrefix="0" xfId="14">
      <alignment horizontal="center" vertical="center" wrapText="1"/>
    </xf>
    <xf numFmtId="0" fontId="6" fillId="12" borderId="3" applyAlignment="1" pivotButton="0" quotePrefix="0" xfId="0">
      <alignment horizontal="center" vertical="center" wrapText="1"/>
    </xf>
    <xf numFmtId="0" fontId="6" fillId="12" borderId="3" applyAlignment="1" pivotButton="0" quotePrefix="0" xfId="3">
      <alignment horizontal="left" vertical="center" wrapText="1"/>
    </xf>
    <xf numFmtId="0" fontId="6" fillId="12" borderId="3" applyAlignment="1" pivotButton="0" quotePrefix="0" xfId="2">
      <alignment horizontal="center" vertical="center" wrapText="1"/>
    </xf>
    <xf numFmtId="0" fontId="6" fillId="12" borderId="3" applyAlignment="1" pivotButton="0" quotePrefix="0" xfId="2">
      <alignment horizontal="left" vertical="center" wrapText="1"/>
    </xf>
    <xf numFmtId="0" fontId="6" fillId="12" borderId="1" applyAlignment="1" pivotButton="0" quotePrefix="0" xfId="2">
      <alignment horizontal="center" vertical="center"/>
    </xf>
    <xf numFmtId="0" fontId="6" fillId="12" borderId="3" applyAlignment="1" pivotButton="0" quotePrefix="0" xfId="2">
      <alignment horizontal="left" vertical="top" wrapText="1"/>
    </xf>
    <xf numFmtId="0" fontId="6" fillId="12" borderId="3" applyAlignment="1" pivotButton="0" quotePrefix="0" xfId="3">
      <alignment horizontal="center" vertical="center" wrapText="1"/>
    </xf>
    <xf numFmtId="0" fontId="6" fillId="12" borderId="17" applyAlignment="1" pivotButton="0" quotePrefix="0" xfId="3">
      <alignment horizontal="center" vertical="center" wrapText="1"/>
    </xf>
    <xf numFmtId="0" fontId="6" fillId="12" borderId="17" applyAlignment="1" pivotButton="0" quotePrefix="0" xfId="3">
      <alignment horizontal="left" vertical="center" wrapText="1"/>
    </xf>
    <xf numFmtId="0" fontId="6" fillId="12" borderId="62" applyAlignment="1" applyProtection="1" pivotButton="0" quotePrefix="0" xfId="3">
      <alignment horizontal="left" vertical="center" wrapText="1"/>
      <protection locked="0" hidden="0"/>
    </xf>
    <xf numFmtId="0" fontId="6" fillId="12" borderId="36" applyAlignment="1" applyProtection="1" pivotButton="0" quotePrefix="0" xfId="3">
      <alignment horizontal="left" vertical="center" wrapText="1"/>
      <protection locked="0" hidden="0"/>
    </xf>
    <xf numFmtId="9" fontId="6" fillId="12" borderId="0" applyAlignment="1" pivotButton="0" quotePrefix="0" xfId="11">
      <alignment horizontal="center" vertical="center"/>
    </xf>
    <xf numFmtId="0" fontId="6" fillId="12" borderId="0" applyAlignment="1" applyProtection="1" pivotButton="0" quotePrefix="0" xfId="0">
      <alignment horizontal="center" vertical="center"/>
      <protection locked="0" hidden="0"/>
    </xf>
    <xf numFmtId="0" fontId="6" fillId="12" borderId="0" applyProtection="1" pivotButton="0" quotePrefix="0" xfId="3">
      <protection locked="0" hidden="0"/>
    </xf>
    <xf numFmtId="0" fontId="8" fillId="12" borderId="0" applyAlignment="1" pivotButton="0" quotePrefix="0" xfId="0">
      <alignment horizontal="center" vertical="center"/>
    </xf>
    <xf numFmtId="0" fontId="6" fillId="12" borderId="0" applyProtection="1" pivotButton="0" quotePrefix="0" xfId="0">
      <protection locked="0" hidden="0"/>
    </xf>
    <xf numFmtId="164" fontId="6" fillId="12" borderId="0" applyAlignment="1" pivotButton="0" quotePrefix="0" xfId="0">
      <alignment horizontal="center" vertical="center"/>
    </xf>
    <xf numFmtId="0" fontId="43" fillId="12" borderId="15" applyAlignment="1" pivotButton="0" quotePrefix="0" xfId="3">
      <alignment horizontal="left" vertical="center" wrapText="1"/>
    </xf>
    <xf numFmtId="0" fontId="6" fillId="12" borderId="7" applyAlignment="1" applyProtection="1" pivotButton="0" quotePrefix="0" xfId="2">
      <alignment horizontal="center" vertical="center"/>
      <protection locked="0" hidden="0"/>
    </xf>
    <xf numFmtId="0" fontId="8" fillId="12" borderId="2" applyAlignment="1" pivotButton="0" quotePrefix="0" xfId="14">
      <alignment horizontal="center" vertical="center" wrapText="1"/>
    </xf>
    <xf numFmtId="0" fontId="6" fillId="12" borderId="14" applyAlignment="1" pivotButton="0" quotePrefix="0" xfId="14">
      <alignment horizontal="center" vertical="center" wrapText="1"/>
    </xf>
    <xf numFmtId="0" fontId="6" fillId="12" borderId="1" applyAlignment="1" pivotButton="0" quotePrefix="0" xfId="2">
      <alignment horizontal="center" vertical="center" wrapText="1"/>
    </xf>
    <xf numFmtId="0" fontId="6" fillId="12" borderId="1" applyAlignment="1" pivotButton="0" quotePrefix="0" xfId="2">
      <alignment horizontal="left" vertical="center" wrapText="1"/>
    </xf>
    <xf numFmtId="0" fontId="6" fillId="12" borderId="3" applyAlignment="1" pivotButton="0" quotePrefix="0" xfId="2">
      <alignment horizontal="center" vertical="center"/>
    </xf>
    <xf numFmtId="0" fontId="6" fillId="12" borderId="1" applyAlignment="1" pivotButton="0" quotePrefix="0" xfId="0">
      <alignment horizontal="center" vertical="center" wrapText="1"/>
    </xf>
    <xf numFmtId="0" fontId="6" fillId="12" borderId="1" applyAlignment="1" applyProtection="1" pivotButton="0" quotePrefix="0" xfId="2">
      <alignment horizontal="center" vertical="center" wrapText="1"/>
      <protection locked="0" hidden="0"/>
    </xf>
    <xf numFmtId="0" fontId="6" fillId="12" borderId="17" applyAlignment="1" applyProtection="1" pivotButton="0" quotePrefix="0" xfId="3">
      <alignment horizontal="center" vertical="center" wrapText="1"/>
      <protection locked="0" hidden="0"/>
    </xf>
    <xf numFmtId="0" fontId="6" fillId="12" borderId="15" applyAlignment="1" pivotButton="0" quotePrefix="0" xfId="3">
      <alignment horizontal="left" vertical="center" wrapText="1"/>
    </xf>
    <xf numFmtId="0" fontId="36" fillId="12" borderId="1" applyAlignment="1" applyProtection="1" pivotButton="0" quotePrefix="0" xfId="3">
      <alignment vertical="center" wrapText="1"/>
      <protection locked="0" hidden="0"/>
    </xf>
    <xf numFmtId="9" fontId="6" fillId="12" borderId="0" applyAlignment="1" applyProtection="1" pivotButton="0" quotePrefix="0" xfId="11">
      <alignment horizontal="center" vertical="center"/>
      <protection locked="0" hidden="0"/>
    </xf>
    <xf numFmtId="0" fontId="8" fillId="12" borderId="0" applyAlignment="1" pivotButton="0" quotePrefix="0" xfId="3">
      <alignment horizontal="center" vertical="center"/>
    </xf>
    <xf numFmtId="0" fontId="6" fillId="12" borderId="1" applyAlignment="1" pivotButton="0" quotePrefix="0" xfId="0">
      <alignment horizontal="left" vertical="center" wrapText="1"/>
    </xf>
    <xf numFmtId="0" fontId="8" fillId="12" borderId="1" applyAlignment="1" pivotButton="0" quotePrefix="0" xfId="14">
      <alignment horizontal="center" vertical="center" wrapText="1"/>
    </xf>
    <xf numFmtId="0" fontId="6" fillId="12" borderId="1" applyAlignment="1" pivotButton="0" quotePrefix="0" xfId="3">
      <alignment vertical="top" wrapText="1"/>
    </xf>
    <xf numFmtId="0" fontId="6" fillId="12" borderId="1" applyAlignment="1" pivotButton="0" quotePrefix="0" xfId="3">
      <alignment horizontal="left" vertical="top" wrapText="1"/>
    </xf>
    <xf numFmtId="0" fontId="6" fillId="12" borderId="1" applyAlignment="1" pivotButton="0" quotePrefix="0" xfId="3">
      <alignment horizontal="center" vertical="center" wrapText="1"/>
    </xf>
    <xf numFmtId="0" fontId="6" fillId="12" borderId="14" applyAlignment="1" pivotButton="0" quotePrefix="0" xfId="2">
      <alignment horizontal="left" vertical="center" wrapText="1"/>
    </xf>
    <xf numFmtId="0" fontId="6" fillId="12" borderId="14" applyAlignment="1" applyProtection="1" pivotButton="0" quotePrefix="0" xfId="2">
      <alignment horizontal="left" vertical="center" wrapText="1"/>
      <protection locked="0" hidden="0"/>
    </xf>
    <xf numFmtId="0" fontId="37" fillId="12" borderId="14" applyAlignment="1" pivotButton="0" quotePrefix="0" xfId="2">
      <alignment horizontal="left" vertical="center" wrapText="1"/>
    </xf>
    <xf numFmtId="0" fontId="11" fillId="9" borderId="1" applyAlignment="1" pivotButton="0" quotePrefix="0" xfId="3">
      <alignment horizontal="center" vertical="center" wrapText="1"/>
    </xf>
    <xf numFmtId="0" fontId="11" fillId="9" borderId="3" applyAlignment="1" pivotButton="0" quotePrefix="0" xfId="3">
      <alignment horizontal="center" vertical="center" wrapText="1"/>
    </xf>
    <xf numFmtId="0" fontId="33" fillId="5" borderId="28" applyAlignment="1" pivotButton="0" quotePrefix="0" xfId="2">
      <alignment horizontal="center" vertical="center"/>
    </xf>
    <xf numFmtId="0" fontId="34" fillId="0" borderId="32" pivotButton="0" quotePrefix="0" xfId="0"/>
    <xf numFmtId="0" fontId="34" fillId="0" borderId="33" pivotButton="0" quotePrefix="0" xfId="0"/>
    <xf numFmtId="0" fontId="13" fillId="0" borderId="36" applyAlignment="1" applyProtection="1" pivotButton="0" quotePrefix="0" xfId="3">
      <alignment horizontal="center" vertical="center" wrapText="1"/>
      <protection locked="0" hidden="0"/>
    </xf>
    <xf numFmtId="0" fontId="1" fillId="0" borderId="29" applyProtection="1" pivotButton="0" quotePrefix="0" xfId="0">
      <protection locked="0" hidden="0"/>
    </xf>
    <xf numFmtId="0" fontId="1" fillId="0" borderId="49" applyProtection="1" pivotButton="0" quotePrefix="0" xfId="0">
      <protection locked="0" hidden="0"/>
    </xf>
    <xf numFmtId="0" fontId="6" fillId="2" borderId="27" applyAlignment="1" pivotButton="0" quotePrefix="0" xfId="14">
      <alignment horizontal="center" vertical="center" wrapText="1"/>
    </xf>
    <xf numFmtId="0" fontId="8" fillId="0" borderId="0" applyProtection="1" pivotButton="0" quotePrefix="0" xfId="0">
      <protection locked="0" hidden="0"/>
    </xf>
    <xf numFmtId="0" fontId="6" fillId="0" borderId="0" applyAlignment="1" applyProtection="1" pivotButton="0" quotePrefix="0" xfId="0">
      <alignment horizontal="center"/>
      <protection locked="0" hidden="0"/>
    </xf>
    <xf numFmtId="0" fontId="6" fillId="0" borderId="0" applyAlignment="1" applyProtection="1" pivotButton="0" quotePrefix="0" xfId="0">
      <alignment wrapText="1"/>
      <protection locked="0" hidden="0"/>
    </xf>
    <xf numFmtId="0" fontId="6" fillId="0" borderId="0" applyProtection="1" pivotButton="0" quotePrefix="0" xfId="0">
      <protection locked="0" hidden="0"/>
    </xf>
    <xf numFmtId="0" fontId="31" fillId="3" borderId="61" applyAlignment="1" pivotButton="0" quotePrefix="0" xfId="14">
      <alignment horizontal="center" vertical="center" wrapText="1"/>
    </xf>
    <xf numFmtId="0" fontId="32" fillId="0" borderId="62" pivotButton="0" quotePrefix="0" xfId="0"/>
    <xf numFmtId="0" fontId="8" fillId="3" borderId="28" applyAlignment="1" pivotButton="0" quotePrefix="0" xfId="2">
      <alignment horizontal="center" vertical="center" wrapText="1"/>
    </xf>
    <xf numFmtId="0" fontId="1" fillId="0" borderId="30" pivotButton="0" quotePrefix="0" xfId="0"/>
    <xf numFmtId="0" fontId="6" fillId="5" borderId="28" applyAlignment="1" pivotButton="0" quotePrefix="0" xfId="2">
      <alignment horizontal="center" vertical="center"/>
    </xf>
    <xf numFmtId="0" fontId="1" fillId="0" borderId="32" pivotButton="0" quotePrefix="0" xfId="0"/>
    <xf numFmtId="0" fontId="1" fillId="0" borderId="33" pivotButton="0" quotePrefix="0" xfId="0"/>
    <xf numFmtId="0" fontId="11" fillId="0" borderId="36" applyAlignment="1" applyProtection="1" pivotButton="0" quotePrefix="0" xfId="3">
      <alignment horizontal="center" vertical="center" wrapText="1"/>
      <protection locked="0" hidden="0"/>
    </xf>
    <xf numFmtId="0" fontId="8" fillId="5" borderId="85" applyAlignment="1" pivotButton="0" quotePrefix="0" xfId="2">
      <alignment horizontal="center" vertical="center"/>
    </xf>
    <xf numFmtId="0" fontId="8" fillId="5" borderId="32" applyAlignment="1" pivotButton="0" quotePrefix="0" xfId="2">
      <alignment horizontal="center" vertical="center"/>
    </xf>
    <xf numFmtId="0" fontId="8" fillId="5" borderId="87" applyAlignment="1" pivotButton="0" quotePrefix="0" xfId="2">
      <alignment horizontal="center" vertical="center"/>
    </xf>
    <xf numFmtId="0" fontId="8" fillId="5" borderId="33" applyAlignment="1" pivotButton="0" quotePrefix="0" xfId="2">
      <alignment horizontal="center" vertical="center"/>
    </xf>
    <xf numFmtId="0" fontId="1" fillId="0" borderId="65" pivotButton="0" quotePrefix="0" xfId="0"/>
    <xf numFmtId="0" fontId="6" fillId="5" borderId="30" applyAlignment="1" pivotButton="0" quotePrefix="0" xfId="2">
      <alignment horizontal="center" vertical="center"/>
    </xf>
    <xf numFmtId="0" fontId="1" fillId="0" borderId="87" pivotButton="0" quotePrefix="0" xfId="0"/>
    <xf numFmtId="0" fontId="22" fillId="0" borderId="36" applyAlignment="1" applyProtection="1" pivotButton="0" quotePrefix="0" xfId="3">
      <alignment horizontal="center" vertical="center" wrapText="1"/>
      <protection locked="0" hidden="0"/>
    </xf>
    <xf numFmtId="0" fontId="1" fillId="0" borderId="28" applyAlignment="1" pivotButton="0" quotePrefix="0" xfId="19">
      <alignment horizontal="center" vertical="top" textRotation="90" wrapText="1"/>
    </xf>
    <xf numFmtId="0" fontId="0" fillId="0" borderId="29" pivotButton="0" quotePrefix="0" xfId="0"/>
    <xf numFmtId="0" fontId="0" fillId="0" borderId="30" pivotButton="0" quotePrefix="0" xfId="0"/>
    <xf numFmtId="0" fontId="1" fillId="0" borderId="28" applyAlignment="1" pivotButton="0" quotePrefix="0" xfId="19">
      <alignment horizontal="center" vertical="top" textRotation="90"/>
    </xf>
    <xf numFmtId="0" fontId="0" fillId="0" borderId="62" pivotButton="0" quotePrefix="0" xfId="0"/>
    <xf numFmtId="0" fontId="0" fillId="0" borderId="32" pivotButton="0" quotePrefix="0" xfId="0"/>
    <xf numFmtId="0" fontId="0" fillId="0" borderId="33" pivotButton="0" quotePrefix="0" xfId="0"/>
    <xf numFmtId="0" fontId="0" fillId="0" borderId="89" pivotButton="0" quotePrefix="0" xfId="0"/>
    <xf numFmtId="0" fontId="0" fillId="0" borderId="3" pivotButton="0" quotePrefix="0" xfId="0"/>
    <xf numFmtId="0" fontId="0" fillId="0" borderId="29" applyProtection="1" pivotButton="0" quotePrefix="0" xfId="0">
      <protection locked="0" hidden="0"/>
    </xf>
    <xf numFmtId="0" fontId="0" fillId="0" borderId="49" applyProtection="1" pivotButton="0" quotePrefix="0" xfId="0">
      <protection locked="0" hidden="0"/>
    </xf>
    <xf numFmtId="0" fontId="8" fillId="5" borderId="28" applyAlignment="1" pivotButton="0" quotePrefix="0" xfId="2">
      <alignment horizontal="center" vertical="center"/>
    </xf>
    <xf numFmtId="0" fontId="0" fillId="0" borderId="65" pivotButton="0" quotePrefix="0" xfId="0"/>
    <xf numFmtId="0" fontId="0" fillId="0" borderId="51" pivotButton="0" quotePrefix="0" xfId="0"/>
  </cellXfs>
  <cellStyles count="21">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 name="Normal 4 2 2 2" xfId="16"/>
    <cellStyle name="Normal 2 2 3 3" xfId="17"/>
    <cellStyle name="Normal 3 2 2" xfId="18"/>
    <cellStyle name="Normal 4 2 3" xfId="19"/>
    <cellStyle name="Normal 4 2 2 2 2" xfId="20"/>
  </cellStyles>
  <dxfs count="13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4E300"/>
        </patternFill>
      </fill>
    </dxf>
    <dxf>
      <fill>
        <patternFill>
          <bgColor rgb="FFEEB400"/>
        </patternFill>
      </fill>
    </dxf>
    <dxf>
      <fill>
        <patternFill patternType="solid">
          <fgColor indexed="64"/>
          <bgColor rgb="FFE7D480"/>
        </patternFill>
      </fill>
    </dxf>
    <dxf>
      <fill>
        <patternFill>
          <bgColor rgb="FFFF9900"/>
        </patternFill>
      </fill>
    </dxf>
    <dxf>
      <fill>
        <patternFill>
          <bgColor rgb="FFDDE8C6"/>
        </patternFill>
      </fill>
    </dxf>
    <dxf>
      <fill>
        <patternFill>
          <bgColor rgb="FFFFBB57"/>
        </patternFill>
      </fill>
    </dxf>
    <dxf>
      <fill>
        <patternFill>
          <bgColor theme="6" tint="0.3999450666829432"/>
        </patternFill>
      </fill>
    </dxf>
    <dxf>
      <fill>
        <patternFill>
          <bgColor rgb="FFFF9900"/>
        </patternFill>
      </fill>
    </dxf>
    <dxf>
      <fill>
        <patternFill>
          <bgColor theme="9" tint="0.3999450666829432"/>
        </patternFill>
      </fill>
    </dxf>
    <dxf>
      <fill>
        <patternFill>
          <bgColor rgb="FFE3E0CF"/>
        </patternFill>
      </fill>
    </dxf>
    <dxf>
      <fill>
        <patternFill patternType="solid">
          <fgColor indexed="64"/>
          <bgColor rgb="FFDCC97A"/>
        </patternFill>
      </fill>
    </dxf>
    <dxf>
      <fill>
        <patternFill>
          <bgColor rgb="FFFFD44B"/>
        </patternFill>
      </fill>
    </dxf>
    <dxf>
      <fill>
        <patternFill>
          <bgColor theme="9" tint="0.5999633777886288"/>
        </patternFill>
      </fill>
    </dxf>
    <dxf>
      <fill>
        <patternFill patternType="solid">
          <fgColor indexed="64"/>
          <bgColor theme="4" tint="0.5999938962981048"/>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patternType="solid">
          <fgColor indexed="64"/>
          <bgColor theme="4" tint="0.7999816888943144"/>
        </patternFill>
      </fill>
    </dxf>
    <dxf>
      <fill>
        <patternFill>
          <bgColor theme="2" tint="-0.249946592608417"/>
        </patternFill>
      </fill>
    </dxf>
    <dxf>
      <fill>
        <patternFill>
          <bgColor rgb="FFFF0000"/>
        </patternFill>
      </fill>
    </dxf>
    <dxf>
      <fill>
        <patternFill>
          <bgColor rgb="FFEEB400"/>
        </patternFill>
      </fill>
    </dxf>
    <dxf>
      <fill>
        <patternFill patternType="solid">
          <fgColor indexed="64"/>
          <bgColor rgb="FFBA005D"/>
        </patternFill>
      </fill>
    </dxf>
    <dxf>
      <fill>
        <patternFill>
          <bgColor rgb="FFF2DBDA"/>
        </patternFill>
      </fill>
    </dxf>
    <dxf>
      <fill>
        <patternFill patternType="solid">
          <fgColor indexed="64"/>
          <bgColor rgb="FF9E004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externalLink" Target="/xl/externalLinks/externalLink1.xml" Id="rId6" /><Relationship Type="http://schemas.openxmlformats.org/officeDocument/2006/relationships/styles" Target="styles.xml" Id="rId7" /><Relationship Type="http://schemas.openxmlformats.org/officeDocument/2006/relationships/theme" Target="theme/theme1.xml" Id="rId8" /></Relationships>
</file>

<file path=xl/externalLinks/_rels/externalLink1.xml.rels><Relationships xmlns="http://schemas.openxmlformats.org/package/2006/relationships"><Relationship Type="http://schemas.openxmlformats.org/officeDocument/2006/relationships/externalLinkPath" Target="https://unfao.sharepoint.com/sites/OER/Evidence%20for%20programming/Needs%20Assessments/01.%20DIEM%20Monitoring/03.%20Toolbox/02.%20Questionnaires/Other%20Questionnaires/Conflict%20&amp;%20Displacement/household_questionnaire_geopoll_FR_template_20230720_CPUDIEM_clean.xlsx" TargetMode="External" Id="rId3" /></Relationships>
</file>

<file path=xl/externalLinks/externalLink1.xml><?xml version="1.0" encoding="utf-8"?>
<externalLink xmlns:r="http://schemas.openxmlformats.org/officeDocument/2006/relationships" xmlns="http://schemas.openxmlformats.org/spreadsheetml/2006/main">
  <externalBook r:id="rId1">
    <sheetNames>
      <sheetName val="survey"/>
      <sheetName val="displacement module"/>
      <sheetName val="New Durations"/>
      <sheetName val="Crop list"/>
      <sheetName val="Additional information"/>
    </sheetNames>
    <sheetDataSet>
      <sheetData sheetId="0"/>
      <sheetData sheetId="1"/>
      <sheetData sheetId="2"/>
      <sheetData sheetId="3"/>
      <sheetData sheetId="4">
        <row r="17">
          <cell r="D17">
            <v>0.91</v>
          </cell>
        </row>
        <row r="18">
          <cell r="D18">
            <v>0.91</v>
          </cell>
        </row>
      </sheetData>
    </sheetDataSet>
  </externalBook>
</externalLink>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tabColor theme="9" tint="-0.499984740745262"/>
    <outlinePr summaryBelow="1" summaryRight="1"/>
    <pageSetUpPr/>
  </sheetPr>
  <dimension ref="A1:XEU236"/>
  <sheetViews>
    <sheetView tabSelected="1" zoomScale="80" zoomScaleNormal="80" workbookViewId="0">
      <pane xSplit="7" ySplit="4" topLeftCell="N165" activePane="bottomRight" state="frozen"/>
      <selection pane="topRight" activeCell="H1" sqref="H1"/>
      <selection pane="bottomLeft" activeCell="A5" sqref="A5"/>
      <selection pane="bottomRight" activeCell="N165" sqref="N165"/>
    </sheetView>
  </sheetViews>
  <sheetFormatPr baseColWidth="8" defaultColWidth="8.81640625" defaultRowHeight="15.5"/>
  <cols>
    <col width="10.81640625" customWidth="1" style="564" min="1" max="1"/>
    <col width="36.81640625" customWidth="1" style="561" min="2" max="2"/>
    <col width="61.7265625" customWidth="1" style="562" min="3" max="3"/>
    <col width="66.54296875" customWidth="1" style="563" min="4" max="4"/>
    <col hidden="1" width="9.1796875" customWidth="1" style="564" min="5" max="5"/>
    <col width="72.7265625" customWidth="1" style="563" min="6" max="6"/>
    <col hidden="1" width="9.453125" customWidth="1" style="564" min="7" max="7"/>
    <col width="66.1796875" customWidth="1" style="564" min="8" max="8"/>
    <col hidden="1" width="9.453125" customWidth="1" style="564" min="9" max="9"/>
    <col width="69.81640625" customWidth="1" style="564" min="10" max="10"/>
    <col hidden="1" width="7.1796875" customWidth="1" style="564" min="11" max="11"/>
    <col width="15.81640625" customWidth="1" style="564" min="12" max="12"/>
    <col hidden="1" width="12.26953125" customWidth="1" style="564" min="13" max="13"/>
    <col width="35.26953125" customWidth="1" style="564" min="14" max="14"/>
    <col width="33" customWidth="1" style="564" min="15" max="15"/>
    <col width="25.54296875" customWidth="1" style="564" min="16" max="16"/>
    <col width="33.54296875" customWidth="1" style="564" min="17" max="17"/>
    <col width="34.7265625" customWidth="1" style="564" min="18" max="18"/>
    <col width="47.26953125" customWidth="1" style="564" min="19" max="19"/>
    <col width="22.26953125" customWidth="1" style="564" min="20" max="20"/>
    <col width="40.81640625" customWidth="1" style="564" min="21" max="21"/>
    <col width="15" customWidth="1" style="175" min="22" max="22"/>
    <col width="8.81640625" customWidth="1" style="176" min="23" max="23"/>
    <col width="8.81640625" customWidth="1" style="564" min="24" max="24"/>
    <col width="20.7265625" customWidth="1" style="66" min="25" max="25"/>
    <col outlineLevel="1" width="8.81640625" customWidth="1" style="564" min="26" max="26"/>
    <col width="8.81640625" customWidth="1" style="564" min="27" max="28"/>
    <col hidden="1" width="15.26953125" customWidth="1" style="178" min="29" max="29"/>
    <col hidden="1" width="11.453125" customWidth="1" style="178" min="30" max="30"/>
    <col hidden="1" outlineLevel="1" width="10.7265625" customWidth="1" style="564" min="31" max="31"/>
    <col collapsed="1" width="8.81640625" customWidth="1" style="564" min="32" max="32"/>
    <col width="8.81640625" customWidth="1" style="564" min="33" max="33"/>
    <col width="8.81640625" customWidth="1" style="564" min="34" max="16384"/>
  </cols>
  <sheetData>
    <row r="1" ht="18.75" customHeight="1" thickBot="1">
      <c r="A1" s="560" t="inlineStr">
        <is>
          <t>GeoPoll Submission Form</t>
        </is>
      </c>
      <c r="V1" s="167" t="n"/>
      <c r="W1" s="43" t="n"/>
      <c r="Y1" s="43" t="n"/>
      <c r="AC1" s="43" t="n"/>
      <c r="AD1" s="43" t="n"/>
    </row>
    <row r="2" ht="34" customHeight="1" thickBot="1">
      <c r="A2" s="565" t="inlineStr">
        <is>
          <t>FAO - Household Questionnaire</t>
        </is>
      </c>
      <c r="B2" s="585" t="n"/>
      <c r="C2" s="585" t="n"/>
      <c r="D2" s="585" t="n"/>
      <c r="E2" s="585" t="n"/>
      <c r="F2" s="585" t="n"/>
      <c r="G2" s="585" t="n"/>
      <c r="H2" s="585" t="n"/>
      <c r="I2" s="585" t="n"/>
      <c r="J2" s="585" t="n"/>
      <c r="K2" s="585" t="n"/>
      <c r="L2" s="585" t="n"/>
      <c r="M2" s="585" t="n"/>
      <c r="N2" s="585" t="n"/>
      <c r="O2" s="585" t="n"/>
      <c r="P2" s="585" t="n"/>
      <c r="Q2" s="585" t="n"/>
      <c r="R2" s="585" t="n"/>
      <c r="S2" s="585" t="n"/>
      <c r="T2" s="585" t="n"/>
      <c r="U2" s="567" t="inlineStr">
        <is>
          <t>Additional notes</t>
        </is>
      </c>
      <c r="V2" s="167" t="n"/>
      <c r="W2" s="43" t="n"/>
      <c r="AC2" s="43" t="n"/>
      <c r="AD2" s="43" t="n"/>
    </row>
    <row r="3" ht="61.5" customFormat="1" customHeight="1" s="274" thickBot="1">
      <c r="A3" s="269" t="inlineStr">
        <is>
          <t>Q #</t>
        </is>
      </c>
      <c r="B3" s="270" t="inlineStr">
        <is>
          <t>Q Name</t>
        </is>
      </c>
      <c r="C3" s="270" t="inlineStr">
        <is>
          <t>Suggested Qname</t>
        </is>
      </c>
      <c r="D3" s="270" t="inlineStr">
        <is>
          <t>English</t>
        </is>
      </c>
      <c r="E3" s="270" t="inlineStr">
        <is>
          <t>Length</t>
        </is>
      </c>
      <c r="F3" s="270" t="inlineStr">
        <is>
          <t>fr_French</t>
        </is>
      </c>
      <c r="G3" s="270" t="inlineStr">
        <is>
          <t>Length</t>
        </is>
      </c>
      <c r="H3" s="270" t="inlineStr">
        <is>
          <t>sw_Swahili</t>
        </is>
      </c>
      <c r="I3" s="270" t="inlineStr">
        <is>
          <t>Length</t>
        </is>
      </c>
      <c r="J3" s="270" t="inlineStr">
        <is>
          <t>lua_Tshiluba</t>
        </is>
      </c>
      <c r="K3" s="270" t="n"/>
      <c r="L3" s="270" t="inlineStr">
        <is>
          <t>Q Type</t>
        </is>
      </c>
      <c r="M3" s="270" t="inlineStr">
        <is>
          <t>Randomize</t>
        </is>
      </c>
      <c r="N3" s="270" t="inlineStr">
        <is>
          <t>Conditional</t>
        </is>
      </c>
      <c r="O3" s="270" t="inlineStr">
        <is>
          <t>Programming Instructions</t>
        </is>
      </c>
      <c r="P3" s="271" t="inlineStr">
        <is>
          <t>Codes</t>
        </is>
      </c>
      <c r="Q3" s="271" t="inlineStr">
        <is>
          <t>Skip Pattern</t>
        </is>
      </c>
      <c r="R3" s="271" t="inlineStr">
        <is>
          <t>GeoPoll Comments</t>
        </is>
      </c>
      <c r="S3" s="271" t="inlineStr">
        <is>
          <t xml:space="preserve">Default skip patterns &amp; conditional </t>
        </is>
      </c>
      <c r="T3" s="271" t="inlineStr">
        <is>
          <t>Specify skip pattern variable (from blue text)</t>
        </is>
      </c>
      <c r="U3" s="583" t="n"/>
      <c r="V3" s="272" t="inlineStr">
        <is>
          <t>Estimated percentage of repondents</t>
        </is>
      </c>
      <c r="W3" s="273" t="n"/>
      <c r="Y3" s="275" t="inlineStr">
        <is>
          <t>Mandatory</t>
        </is>
      </c>
      <c r="AC3" s="272" t="inlineStr">
        <is>
          <t>Duration (sec)</t>
        </is>
      </c>
      <c r="AD3" s="276" t="inlineStr">
        <is>
          <t>Weighted duration</t>
        </is>
      </c>
      <c r="AE3" s="276" t="inlineStr">
        <is>
          <t>Core questions only</t>
        </is>
      </c>
    </row>
    <row r="4" ht="18" customHeight="1" thickBot="1">
      <c r="A4" s="554" t="inlineStr">
        <is>
          <t>A. PRESENTATION OF THE SURVEY AND ELIGIBILITY CRITERIA SELECTION</t>
        </is>
      </c>
      <c r="B4" s="586" t="n"/>
      <c r="C4" s="586" t="n"/>
      <c r="D4" s="586" t="n"/>
      <c r="E4" s="586" t="n"/>
      <c r="F4" s="586" t="n"/>
      <c r="G4" s="586" t="n"/>
      <c r="H4" s="586" t="n"/>
      <c r="I4" s="586" t="n"/>
      <c r="J4" s="586" t="n"/>
      <c r="K4" s="586" t="n"/>
      <c r="L4" s="586" t="n"/>
      <c r="M4" s="586" t="n"/>
      <c r="N4" s="586" t="n"/>
      <c r="O4" s="586" t="n"/>
      <c r="P4" s="586" t="n"/>
      <c r="Q4" s="586" t="n"/>
      <c r="R4" s="586" t="n"/>
      <c r="S4" s="586" t="n"/>
      <c r="T4" s="586" t="n"/>
      <c r="U4" s="587" t="n"/>
      <c r="V4" s="167" t="n"/>
      <c r="W4" s="43" t="n"/>
      <c r="Y4" s="66" t="inlineStr">
        <is>
          <t>no</t>
        </is>
      </c>
      <c r="AC4" s="43" t="n"/>
      <c r="AD4" s="168">
        <f>IF(AC4="","",AC4*AA4)</f>
        <v/>
      </c>
      <c r="AE4" s="43">
        <f>IF(Y4="yes",AD4,"")</f>
        <v/>
      </c>
    </row>
    <row r="5" ht="26.25" customHeight="1">
      <c r="A5" s="34" t="inlineStr">
        <is>
          <t>NA</t>
        </is>
      </c>
      <c r="B5" s="89" t="inlineStr">
        <is>
          <t>Optin</t>
        </is>
      </c>
      <c r="C5" s="90" t="inlineStr"/>
      <c r="D5" s="46" t="inlineStr">
        <is>
          <t>Optin</t>
        </is>
      </c>
      <c r="E5" s="45">
        <f>LEN(D5)</f>
        <v/>
      </c>
      <c r="F5" s="46" t="inlineStr">
        <is>
          <t>Optin</t>
        </is>
      </c>
      <c r="G5" s="45">
        <f>LEN(F5)</f>
        <v/>
      </c>
      <c r="H5" s="45" t="inlineStr">
        <is>
          <t>Optin</t>
        </is>
      </c>
      <c r="I5" s="45">
        <f>LEN(H5)</f>
        <v/>
      </c>
      <c r="J5" s="45" t="inlineStr">
        <is>
          <t>Optin</t>
        </is>
      </c>
      <c r="K5" s="45" t="n"/>
      <c r="L5" s="45" t="inlineStr">
        <is>
          <t>Open Ended</t>
        </is>
      </c>
      <c r="M5" s="45" t="inlineStr">
        <is>
          <t>NA</t>
        </is>
      </c>
      <c r="N5" s="45" t="inlineStr">
        <is>
          <t>NA</t>
        </is>
      </c>
      <c r="O5" s="45" t="inlineStr">
        <is>
          <t>Form Type - TextBox</t>
        </is>
      </c>
      <c r="P5" s="82" t="inlineStr">
        <is>
          <t>NA</t>
        </is>
      </c>
      <c r="Q5" s="44" t="inlineStr">
        <is>
          <t>Any Response = calldispo</t>
        </is>
      </c>
      <c r="R5" s="44" t="n"/>
      <c r="S5" s="82" t="inlineStr">
        <is>
          <t>NA</t>
        </is>
      </c>
      <c r="T5" s="25" t="inlineStr"/>
      <c r="U5" s="9" t="n"/>
      <c r="V5" s="167" t="n"/>
      <c r="W5" s="43" t="n"/>
      <c r="Y5" s="66" t="inlineStr">
        <is>
          <t>no</t>
        </is>
      </c>
      <c r="AC5" s="169" t="n">
        <v>0</v>
      </c>
      <c r="AD5" s="168">
        <f>IF(AC5="","",AC5*V5)</f>
        <v/>
      </c>
      <c r="AE5" s="43" t="inlineStr"/>
    </row>
    <row r="6" ht="111" customHeight="1">
      <c r="A6" s="14" t="inlineStr">
        <is>
          <t>NA</t>
        </is>
      </c>
      <c r="B6" s="63" t="inlineStr">
        <is>
          <t>calldispo</t>
        </is>
      </c>
      <c r="C6" s="47" t="inlineStr">
        <is>
          <t>calldispo</t>
        </is>
      </c>
      <c r="D6" s="57" t="inlineStr">
        <is>
          <t>Phone number: #CATI_MOBILENUMBER#
1)Someone answers
2)No answer
3)Refusal
4)Call back
5)Non-Working Number</t>
        </is>
      </c>
      <c r="E6" s="52">
        <f>LEN(D6)</f>
        <v/>
      </c>
      <c r="F6" s="114" t="inlineStr">
        <is>
          <t>Numéro de téléphone: #CATI_MOBILENUMBER#
1)Quelqu’un répond
2)Pas de réponse
3)Refuse
4)Doit être rappelé
5)Numéro non fonctionnel</t>
        </is>
      </c>
      <c r="G6" s="45">
        <f>LEN(F6)</f>
        <v/>
      </c>
      <c r="H6" s="71" t="inlineStr">
        <is>
          <t>Nambari ya simu: #CATI_MOBILENUMBER#
1)Mtu ana jibu
2)Hakuna jibu
3)Kukatala
4)Piga simu tena
5)Namba isiyofanya kazi</t>
        </is>
      </c>
      <c r="I6" s="45">
        <f>LEN(H6)</f>
        <v/>
      </c>
      <c r="J6" s="71" t="inlineStr">
        <is>
          <t xml:space="preserve">
Nomba ya telefone: #CATI_MOBILENUMBER#
1)Muntu udi wandamuna
2)Kakuyi diandamuna
3)Mubenge
4)Udi ne tshia kubikila kabidi
5)Nomba kena wenza mudimu to
</t>
        </is>
      </c>
      <c r="K6" s="45">
        <f>LEN(J6)</f>
        <v/>
      </c>
      <c r="L6" s="56" t="inlineStr">
        <is>
          <t>Single Choice</t>
        </is>
      </c>
      <c r="M6" s="52" t="inlineStr">
        <is>
          <t>NA</t>
        </is>
      </c>
      <c r="N6" s="52" t="inlineStr">
        <is>
          <t>NA</t>
        </is>
      </c>
      <c r="O6" s="52" t="inlineStr">
        <is>
          <t>Form Type - Buttons</t>
        </is>
      </c>
      <c r="P6" s="82" t="inlineStr">
        <is>
          <t>NA</t>
        </is>
      </c>
      <c r="Q6" s="51" t="inlineStr">
        <is>
          <t>1 = resp_language
2 = NoAnswer
3 = Refusal
4 = WhenCallBack
5 = NonWorkingNumber</t>
        </is>
      </c>
      <c r="R6" s="51" t="n"/>
      <c r="S6" s="72" t="inlineStr">
        <is>
          <t>NA</t>
        </is>
      </c>
      <c r="T6" s="26" t="inlineStr"/>
      <c r="U6" s="10" t="n"/>
      <c r="V6" s="167" t="n"/>
      <c r="W6" s="43" t="n"/>
      <c r="Y6" s="66" t="inlineStr">
        <is>
          <t>no</t>
        </is>
      </c>
      <c r="AC6" s="169" t="n">
        <v>14.69530773162842</v>
      </c>
      <c r="AD6" s="168">
        <f>IF(AC6="","",AC6*V6)</f>
        <v/>
      </c>
      <c r="AE6" s="43" t="inlineStr"/>
    </row>
    <row r="7" ht="37.5" customHeight="1">
      <c r="A7" s="14" t="inlineStr">
        <is>
          <t>NA</t>
        </is>
      </c>
      <c r="B7" s="63" t="inlineStr">
        <is>
          <t>NoAnswer</t>
        </is>
      </c>
      <c r="C7" s="47" t="inlineStr">
        <is>
          <t>calldispo_noanswer</t>
        </is>
      </c>
      <c r="D7" s="81" t="inlineStr">
        <is>
          <t>Phone rang and no one answered.</t>
        </is>
      </c>
      <c r="E7" s="52">
        <f>LEN(D7)</f>
        <v/>
      </c>
      <c r="F7" s="114" t="inlineStr">
        <is>
          <t>Le téléphone a sonné et personne n'a répondu.</t>
        </is>
      </c>
      <c r="G7" s="45">
        <f>LEN(F7)</f>
        <v/>
      </c>
      <c r="H7" s="71" t="inlineStr">
        <is>
          <t>Simu iliita na hakuna wa ku pokea.</t>
        </is>
      </c>
      <c r="I7" s="45">
        <f>LEN(H7)</f>
        <v/>
      </c>
      <c r="J7" s="71" t="inlineStr">
        <is>
          <t>Telefone wakadila ne muntu nansha umue kavua wandamuna to.</t>
        </is>
      </c>
      <c r="K7" s="45">
        <f>LEN(J7)</f>
        <v/>
      </c>
      <c r="L7" s="56" t="inlineStr">
        <is>
          <t>NA</t>
        </is>
      </c>
      <c r="M7" s="56" t="inlineStr">
        <is>
          <t>NA</t>
        </is>
      </c>
      <c r="N7" s="56" t="inlineStr">
        <is>
          <t>NA</t>
        </is>
      </c>
      <c r="O7" s="56" t="inlineStr">
        <is>
          <t>NA</t>
        </is>
      </c>
      <c r="P7" s="82" t="inlineStr">
        <is>
          <t>NA</t>
        </is>
      </c>
      <c r="Q7" s="80" t="inlineStr">
        <is>
          <t>End Poll NoAnswer</t>
        </is>
      </c>
      <c r="R7" s="80" t="n"/>
      <c r="S7" s="79" t="inlineStr">
        <is>
          <t>NA</t>
        </is>
      </c>
      <c r="T7" s="27" t="inlineStr"/>
      <c r="U7" s="11" t="n"/>
      <c r="V7" s="167" t="n"/>
      <c r="W7" s="43" t="n"/>
      <c r="Y7" s="66" t="inlineStr">
        <is>
          <t>no</t>
        </is>
      </c>
      <c r="AC7" s="169" t="n">
        <v>0</v>
      </c>
      <c r="AD7" s="168">
        <f>IF(AC7="","",AC7*V7)</f>
        <v/>
      </c>
      <c r="AE7" s="43" t="inlineStr"/>
    </row>
    <row r="8" ht="37.5" customHeight="1">
      <c r="A8" s="14" t="inlineStr">
        <is>
          <t>NA</t>
        </is>
      </c>
      <c r="B8" s="63" t="inlineStr">
        <is>
          <t>NonWorkingNumber</t>
        </is>
      </c>
      <c r="C8" s="47" t="inlineStr">
        <is>
          <t>calldispo_disconnected</t>
        </is>
      </c>
      <c r="D8" s="81" t="inlineStr">
        <is>
          <t>Phone was disconnected or out of service.</t>
        </is>
      </c>
      <c r="E8" s="52">
        <f>LEN(D8)</f>
        <v/>
      </c>
      <c r="F8" s="114" t="inlineStr">
        <is>
          <t>Le téléphone est déconnecté ou hors service.</t>
        </is>
      </c>
      <c r="G8" s="45">
        <f>LEN(F8)</f>
        <v/>
      </c>
      <c r="H8" s="71" t="inlineStr">
        <is>
          <t>Simu ilikata au haikutumike.</t>
        </is>
      </c>
      <c r="I8" s="45">
        <f>LEN(H8)</f>
        <v/>
      </c>
      <c r="J8" s="71" t="inlineStr">
        <is>
          <t>Telefone mmupangile anyi kena wenza mudimu to.</t>
        </is>
      </c>
      <c r="K8" s="45">
        <f>LEN(J8)</f>
        <v/>
      </c>
      <c r="L8" s="56" t="inlineStr">
        <is>
          <t>NA</t>
        </is>
      </c>
      <c r="M8" s="56" t="inlineStr">
        <is>
          <t>NA</t>
        </is>
      </c>
      <c r="N8" s="56" t="inlineStr">
        <is>
          <t>NA</t>
        </is>
      </c>
      <c r="O8" s="56" t="inlineStr">
        <is>
          <t>NA</t>
        </is>
      </c>
      <c r="P8" s="82" t="inlineStr">
        <is>
          <t>NA</t>
        </is>
      </c>
      <c r="Q8" s="80" t="inlineStr">
        <is>
          <t>End Poll NonWorkingNumber</t>
        </is>
      </c>
      <c r="R8" s="80" t="n"/>
      <c r="S8" s="79" t="inlineStr">
        <is>
          <t>NA</t>
        </is>
      </c>
      <c r="T8" s="27" t="inlineStr"/>
      <c r="U8" s="11" t="n"/>
      <c r="V8" s="167" t="n"/>
      <c r="W8" s="43" t="n"/>
      <c r="Y8" s="66" t="inlineStr">
        <is>
          <t>no</t>
        </is>
      </c>
      <c r="AC8" s="169" t="n">
        <v>0</v>
      </c>
      <c r="AD8" s="168">
        <f>IF(AC8="","",AC8*V8)</f>
        <v/>
      </c>
      <c r="AE8" s="43" t="inlineStr"/>
    </row>
    <row r="9" ht="146.25" customHeight="1">
      <c r="A9" s="14" t="inlineStr">
        <is>
          <t>NA</t>
        </is>
      </c>
      <c r="B9" s="63" t="inlineStr">
        <is>
          <t>resp_language</t>
        </is>
      </c>
      <c r="C9" s="47" t="inlineStr">
        <is>
          <t>resp_language</t>
        </is>
      </c>
      <c r="D9" s="107" t="inlineStr">
        <is>
          <t>Which language do you wish to proceed with?
[OPERATOR: READ ANSWER CHOICES. SINGLE RESPONSE.]
1)English [FOR TESTING]
2)French
3)Swahili
4)Tshiluba</t>
        </is>
      </c>
      <c r="E9" s="52">
        <f>LEN(D9)</f>
        <v/>
      </c>
      <c r="F9" s="114" t="inlineStr">
        <is>
          <t>Quelle langue souhaitez-vous utiliser?
[OPÉRATEUR/OPÉRATRICE: LIRE LES CHOIX, RÉPONSE UNIQUE]
1)Anglais [FOR TESTING]
2)Français
3)Swahili
4)Tshiluba</t>
        </is>
      </c>
      <c r="G9" s="45">
        <f>LEN(F9)</f>
        <v/>
      </c>
      <c r="H9" s="71" t="inlineStr">
        <is>
          <t>Unataka kuendelea na lugha gani?
[OPERATOR: SOMA MAJIBU. CHAGUA JIBU MOJA.]
1)English [FOR TESTING]
2)Kifaransa
3)Kiswahili
4)Tshiluba</t>
        </is>
      </c>
      <c r="I9" s="45">
        <f>LEN(H9)</f>
        <v/>
      </c>
      <c r="J9" s="71" t="inlineStr">
        <is>
          <t xml:space="preserve">
Udi musue kuakula ne muakulu kayi?
[ENQUETEUR/TRICE: BALA BIDIMU, DIANDAMUNA DIMUE]
1) Lwanshi Ngalá  [BUA KUTETA]
2)Mfualansa
3)Swahili
4)Tshiluba
</t>
        </is>
      </c>
      <c r="K9" s="45">
        <f>LEN(J9)</f>
        <v/>
      </c>
      <c r="L9" s="56" t="inlineStr">
        <is>
          <t>Single Choice</t>
        </is>
      </c>
      <c r="M9" s="52" t="inlineStr">
        <is>
          <t>NA</t>
        </is>
      </c>
      <c r="N9" s="52" t="inlineStr">
        <is>
          <t>NA</t>
        </is>
      </c>
      <c r="O9" s="52" t="inlineStr">
        <is>
          <t>Form Type - Buttons</t>
        </is>
      </c>
      <c r="P9" s="82" t="inlineStr">
        <is>
          <t>NA</t>
        </is>
      </c>
      <c r="Q9" s="51" t="inlineStr">
        <is>
          <t>1 = introduction [English]
2 = introduction [French]
3 = introduction [Swahili]
4 = introduction [Tshiluba]</t>
        </is>
      </c>
      <c r="R9" s="286" t="inlineStr">
        <is>
          <t>Added Swahili and Tshiluba.
FAO: OK</t>
        </is>
      </c>
      <c r="S9" s="277" t="inlineStr">
        <is>
          <t>For any response, go to introduction</t>
        </is>
      </c>
      <c r="T9" s="28" t="inlineStr"/>
      <c r="U9" s="190" t="inlineStr">
        <is>
          <t>Insert most common national languages here [max 4 for translation with GeoPoll].</t>
        </is>
      </c>
      <c r="V9" s="167" t="n"/>
      <c r="W9" s="43" t="n"/>
      <c r="Y9" s="66" t="inlineStr">
        <is>
          <t>no</t>
        </is>
      </c>
      <c r="AC9" s="169" t="n">
        <v>3.103272438049316</v>
      </c>
      <c r="AD9" s="168">
        <f>IF(AC9="","",AC9*V9)</f>
        <v/>
      </c>
      <c r="AE9" s="43" t="inlineStr"/>
    </row>
    <row r="10" ht="409.6" customHeight="1">
      <c r="A10" s="14" t="n">
        <v>1</v>
      </c>
      <c r="B10" s="63" t="inlineStr">
        <is>
          <t>introduction</t>
        </is>
      </c>
      <c r="C10" s="47" t="inlineStr">
        <is>
          <t>introduction</t>
        </is>
      </c>
      <c r="D10" s="15"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is>
      </c>
      <c r="E10" s="52">
        <f>LEN(D10)</f>
        <v/>
      </c>
      <c r="F10" s="60" t="inlineStr">
        <is>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20 et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
1)CONTINUER</t>
        </is>
      </c>
      <c r="G10" s="45">
        <f>LEN(F10)</f>
        <v/>
      </c>
      <c r="H10" s="71" t="inlineStr">
        <is>
          <t>Habari bwana/mama, jina langu ni #OPERATOR#, napiga simu kutoka Shirika la Kupigia Kura la GeoPoll kwa niaba ya Shirika la Chakula na Kilimo la Umoja wa Mataifa [FAO]. Tunafanya utafiti kuhusu maisha ya kaya na uwezo ya kupata chakula katika eneo lako.Nilipenda kukuuliza baadhi ya maswali kuhusu kaya yako.
Utafiti kwa kawaida huchukua dakika 20-30 kukamilika. Taarifa yote uta peleka itawekwa kwa siri kabisa, itatumika tu kwa madhumuni ya utafiti na haitaonyeshwa kwa watu wengine. Kushiriki kwako kwa hiari katika matokeo ya mahojiano haya HAUKUHUSIWI KWA NJIA YOYOTE na nafasi yako ya kibinafsi ya kupokea usaidizi wowote. Hili ni la hiari na unaweza kuchagua kutojibu yote au maswali yote ikiwa unataka. Hata hivyo, tunatumai kuwa utashiriki kwa kuwa maoni yako ni muhimu.
Utapokea #TOPUP#! mikopo ya mawasiliano kama motisha ya ushiriki wa utafiti.
Tafadhali kumbuka kuwa simu hii inaweza kurekodiwa kwa madhumuni ya ubora.
Una maswali ?
[OPERATOR: ANWANI MASWALI KUTOKA KWA MTAJIWA, IKIWA YAPO.]
1)ENDELEA</t>
        </is>
      </c>
      <c r="I10" s="45">
        <f>LEN(H10)</f>
        <v/>
      </c>
      <c r="J10" s="71" t="inlineStr">
        <is>
          <t xml:space="preserve">Muoyo wenu, dina dianyi ndi #OPERATOR#. Ndi  nbikila mu dina dia tshibambalu tshia masungula tshia GeoPoll mu dina dia bulongolodi bua bidia ne madimi bua matunga masanga [FAO]. Tudi tuenza makebulula pa bidi bitangila nsombelu ne mushindu udi nzubu mua kupeta biakudia mu tshitupa tshienu. Ndi musue kukuela nkonko mikese idi itangila nzubu wenu.
Dikonkonona ditu ditamba kukola 20 ne minite 30. Malu onso audi ufila nealame mu musokoko; nebikale anu mu tshilumbu tshia dikonkonona edi ne kabiena mua kumanyishibua kudi bantu bakuabu to. Dibuela diebe dia budisuile mu muyuki eu kadiena dipetangana nansha kakese ne mushindu wa kupeta diambuluisha nansha dimue. Dibuela diebe didi dia budisuile ne, wewe musue, udi mua kusungula bua kubenga kuandamuna nkonko mikuabu anyi yonso. Kadi, tudi batekemene ne: neujinge bua kubuelamu bualu lungenyi luebe ludi ne mushinga.
Ne upeta #TOPUP#! mfranga ya ku telefone bu tshintu tshidi mua kukusaka bua kubuela mu tshikebelu.
Numanye ne: dibikila edi didi mua kuikala difunda bua malu a dikonkonona dia mushinga.
Udiku ne lukonko anyi?
[MUENZA: BIDI BIKUMBANE, ANDAMUNA NKONKO YA MUENA LUKOKO.]
1)TUNDUKA
</t>
        </is>
      </c>
      <c r="K10" s="45">
        <f>LEN(J10)</f>
        <v/>
      </c>
      <c r="L10" s="56" t="inlineStr">
        <is>
          <t>Single Choice</t>
        </is>
      </c>
      <c r="M10" s="52" t="inlineStr">
        <is>
          <t>NA</t>
        </is>
      </c>
      <c r="N10" s="52" t="inlineStr">
        <is>
          <t>NA</t>
        </is>
      </c>
      <c r="O10" s="52" t="inlineStr">
        <is>
          <t>Form Type - Buttons</t>
        </is>
      </c>
      <c r="P10" s="82" t="inlineStr">
        <is>
          <t>NA</t>
        </is>
      </c>
      <c r="Q10" s="51" t="inlineStr">
        <is>
          <t>1 = Agree</t>
        </is>
      </c>
      <c r="R10" s="286" t="inlineStr">
        <is>
          <t>GeoPoll: Updated length to reference 20 - 30 minutes to be reflective of previous rounds
FAO: OK</t>
        </is>
      </c>
      <c r="S10" s="277" t="inlineStr">
        <is>
          <t>For any response, go to Agree</t>
        </is>
      </c>
      <c r="T10" s="28" t="inlineStr"/>
      <c r="U10" s="190" t="inlineStr">
        <is>
          <t>Set the amount of incentive here, if any.</t>
        </is>
      </c>
      <c r="V10" s="167" t="n"/>
      <c r="W10" s="43" t="n"/>
      <c r="Y10" s="66" t="inlineStr">
        <is>
          <t>no</t>
        </is>
      </c>
      <c r="AC10" s="169" t="n">
        <v>37.41844940185547</v>
      </c>
      <c r="AD10" s="168">
        <f>IF(AC10="","",AC10*V10)</f>
        <v/>
      </c>
      <c r="AE10" s="43" t="inlineStr"/>
    </row>
    <row r="11" ht="119.15" customFormat="1" customHeight="1" s="48">
      <c r="A11" s="14">
        <f>A10+1</f>
        <v/>
      </c>
      <c r="B11" s="63" t="inlineStr">
        <is>
          <t>Agree</t>
        </is>
      </c>
      <c r="C11" s="47" t="inlineStr">
        <is>
          <t>resp_agree</t>
        </is>
      </c>
      <c r="D11" s="57" t="inlineStr">
        <is>
          <t>Are you interested in participating in this survey?
[OPERATOR: SINGLE RESPONSE]
1)Yes 
2)Not now but another time in the week 
3)No</t>
        </is>
      </c>
      <c r="E11" s="52">
        <f>LEN(D11)</f>
        <v/>
      </c>
      <c r="F11" s="64" t="inlineStr">
        <is>
          <t xml:space="preserve">Souhaitez-vous participer à cette enquête?
[OPÉRATEUR/OPÉRATRICE: RÉPONSE UNIQUE]
1)Oui
2)Pas maintenant- mais à un autre moment de la semaine 
3)Non </t>
        </is>
      </c>
      <c r="G11" s="45">
        <f>LEN(F11)</f>
        <v/>
      </c>
      <c r="H11" s="71" t="inlineStr">
        <is>
          <t xml:space="preserve"> Una nia ya kushiriki katika utafiti huu?_x000D_
_x000D_
[OPERATOR: JIBU MOJA]_x000D_
_x000D_
1)Ndiyo_x000D_
2)Sio sasa lakini wakati mwingine katika wiki_x000D_
3)Hapana</t>
        </is>
      </c>
      <c r="I11" s="45">
        <f>LEN(H11)</f>
        <v/>
      </c>
      <c r="J11" s="71" t="inlineStr">
        <is>
          <t>Udiku musue kubuela mu dikonkonona edi anyi?
[ENQUETEUR/TRICE:Bipwebo imwe]
1)Eyowa
2)Ki mpindieu to- kadi mu tshikondo tshikuabu tshia lumingu 
3)TO</t>
        </is>
      </c>
      <c r="K11" s="45">
        <f>LEN(J11)</f>
        <v/>
      </c>
      <c r="L11" s="56" t="inlineStr">
        <is>
          <t>StartRecording</t>
        </is>
      </c>
      <c r="M11" s="52" t="inlineStr">
        <is>
          <t>NA</t>
        </is>
      </c>
      <c r="N11" s="52" t="inlineStr">
        <is>
          <t>NA</t>
        </is>
      </c>
      <c r="O11" s="52" t="inlineStr">
        <is>
          <t>Form Type - Buttons</t>
        </is>
      </c>
      <c r="P11" s="82" t="inlineStr">
        <is>
          <t>NA</t>
        </is>
      </c>
      <c r="Q11" s="51" t="inlineStr">
        <is>
          <t>1 = id_panel
2 = WhenCallBack
3 = resp_refusalwhy</t>
        </is>
      </c>
      <c r="R11" s="51" t="n"/>
      <c r="S11" s="51" t="inlineStr">
        <is>
          <t>if Agree = 1, go to id_panel
if Agree = 2, go to WhenCallBack
if Agree = 3, go to resp_refusalwhy</t>
        </is>
      </c>
      <c r="T11" s="28" t="inlineStr"/>
      <c r="U11" s="190" t="inlineStr">
        <is>
          <t xml:space="preserve">It is highly recommended to include the question id_panel if a panelist approach is used. </t>
        </is>
      </c>
      <c r="V11" s="167" t="n">
        <v>1</v>
      </c>
      <c r="W11" s="43" t="n"/>
      <c r="Y11" s="66" t="inlineStr">
        <is>
          <t>no</t>
        </is>
      </c>
      <c r="Z11" s="564" t="n"/>
      <c r="AC11" s="169" t="n">
        <v>3.805951595306396</v>
      </c>
      <c r="AD11" s="168">
        <f>IF(AC11="","",AC11*V11)</f>
        <v/>
      </c>
      <c r="AE11" s="43" t="inlineStr"/>
    </row>
    <row r="12" ht="147" customFormat="1" customHeight="1" s="48">
      <c r="A12" s="14">
        <f>A11+1</f>
        <v/>
      </c>
      <c r="B12" s="62" t="inlineStr">
        <is>
          <t>id_panel</t>
        </is>
      </c>
      <c r="C12" s="131" t="inlineStr">
        <is>
          <t>id_panel</t>
        </is>
      </c>
      <c r="D12" s="132" t="inlineStr">
        <is>
          <t>Have you or any member of your household received a call on behalf of FAO regarding this topic in the past two years?
[OPERATOR: SINGLE RESPONSE.]
1)YES
2)NO
3)DON'T KNOW</t>
        </is>
      </c>
      <c r="E12" s="16">
        <f>LEN(D12)</f>
        <v/>
      </c>
      <c r="F12" s="15" t="inlineStr">
        <is>
          <t>Est-ce que vous ou un membre de votre ménage avez reçu un appel pour le compte de la FAO sur ce sujet au cours des deux dernières années?
[OPÉRATEUR/OPÉRATRICE: RÉPONSE UNIQUE]
1)OUI
2)NON
3)NE SAIT PAS</t>
        </is>
      </c>
      <c r="G12" s="133">
        <f>LEN(F12)</f>
        <v/>
      </c>
      <c r="H12" s="278" t="inlineStr">
        <is>
          <t>Je, wewe au mwanachama yeyote wa familia yako mmepokea simu kwa niaba ya FAO kuhusu mada hii katika miaka miwili iliyopita?
[OPERATOR: JIBU MOJA.]
1)NDIYO
2)HAPANA
3)SIJUE</t>
        </is>
      </c>
      <c r="I12" s="45">
        <f>LEN(H12)</f>
        <v/>
      </c>
      <c r="J12" s="206" t="inlineStr">
        <is>
          <t>Wewe anyi muntu mukuabu wa mu nzubu muebe uvuaku mupete dibikila mu dîna dia FAO pa bualu ebu mu bidimu bibidi bishale ebi anyi?
[ENQUETEUR/TRICE:Bipwebo imwe]
1) EYOWA
2) TO
3) TSHIENA MUMANYE</t>
        </is>
      </c>
      <c r="K12" s="45">
        <f>LEN(J12)</f>
        <v/>
      </c>
      <c r="L12" s="134" t="inlineStr">
        <is>
          <t>Single Choice</t>
        </is>
      </c>
      <c r="M12" s="16" t="inlineStr">
        <is>
          <t>NA</t>
        </is>
      </c>
      <c r="N12" s="16" t="inlineStr">
        <is>
          <t>NA</t>
        </is>
      </c>
      <c r="O12" s="16" t="inlineStr">
        <is>
          <t>Form Type - Buttons</t>
        </is>
      </c>
      <c r="P12" s="25" t="inlineStr">
        <is>
          <t>NA</t>
        </is>
      </c>
      <c r="Q12" s="29" t="inlineStr">
        <is>
          <t>1-3 = resp_firstname</t>
        </is>
      </c>
      <c r="R12" s="29" t="n"/>
      <c r="S12" s="29" t="inlineStr">
        <is>
          <t>For any response, go to resp_firstname</t>
        </is>
      </c>
      <c r="T12" s="29" t="inlineStr"/>
      <c r="U12" s="10" t="n"/>
      <c r="V12" s="167" t="n">
        <v>1</v>
      </c>
      <c r="W12" s="43" t="n"/>
      <c r="Y12" s="66" t="inlineStr">
        <is>
          <t>no</t>
        </is>
      </c>
      <c r="Z12" s="564" t="n"/>
      <c r="AC12" s="169" t="n"/>
      <c r="AD12" s="169" t="n"/>
      <c r="AE12" s="43" t="inlineStr"/>
    </row>
    <row r="13" ht="154" customFormat="1" customHeight="1" s="48">
      <c r="A13" s="14" t="inlineStr">
        <is>
          <t>NA</t>
        </is>
      </c>
      <c r="B13" s="63" t="inlineStr">
        <is>
          <t>resp_refusalwhy</t>
        </is>
      </c>
      <c r="C13" s="47" t="inlineStr">
        <is>
          <t>resp_refusalwhy</t>
        </is>
      </c>
      <c r="D13" s="64" t="inlineStr">
        <is>
          <t>Please let us know why you have REFUSED to take the survey.
[OPERATOR: SINGLE RESPONSE]
1)Not interested
2)Do not want to be recorded
3)Other [specify]</t>
        </is>
      </c>
      <c r="E13" s="52">
        <f>LEN(D13)</f>
        <v/>
      </c>
      <c r="F13" s="114" t="inlineStr">
        <is>
          <t xml:space="preserve">Pourriez-vous m'indiquer pourquoi vous refusez de répondre à l'enquête.
[OPÉRATEUR/OPÉRATRICE: RÉPONSE UNIQUE]
1)Pas intéressé
2)Ne veut pas être enregistré
3)Autre [préciser] </t>
        </is>
      </c>
      <c r="G13" s="45">
        <f>LEN(F13)</f>
        <v/>
      </c>
      <c r="H13" s="71" t="inlineStr">
        <is>
          <t>Tafadhali tufahamishe kwa nini UMEKUKATALA kufanya uchunguzi.
[OPERATOR: JIBU MOJA]
1)Sipendezwi
2)Sitaki kurekodiwa
3)Yingine  [taja]</t>
        </is>
      </c>
      <c r="I13" s="45">
        <f>LEN(H13)</f>
        <v/>
      </c>
      <c r="J13" s="71" t="inlineStr">
        <is>
          <t xml:space="preserve">Udiku mua kungambila bua tshinyi udi ubenga kuandamuna nkonko anyi?
[ENQUETEUR/TRICE:Bipwebo imwe]
1)Tshiena musue
2)Katshiena musue kudifundisha
3)Bakuabu [leja] 
</t>
        </is>
      </c>
      <c r="K13" s="45">
        <f>LEN(J13)</f>
        <v/>
      </c>
      <c r="L13" s="56" t="inlineStr">
        <is>
          <t>Open Ended-Single Choice</t>
        </is>
      </c>
      <c r="M13" s="52" t="inlineStr">
        <is>
          <t>NA</t>
        </is>
      </c>
      <c r="N13" s="52" t="inlineStr">
        <is>
          <t>NA</t>
        </is>
      </c>
      <c r="O13" s="52" t="inlineStr">
        <is>
          <t>Form Type - RadioList</t>
        </is>
      </c>
      <c r="P13" s="82" t="inlineStr">
        <is>
          <t>NA</t>
        </is>
      </c>
      <c r="Q13" s="51" t="inlineStr">
        <is>
          <t>1-3 = Refusal</t>
        </is>
      </c>
      <c r="R13" s="51" t="n"/>
      <c r="S13" s="51" t="inlineStr">
        <is>
          <t>For any response, go to Refusal</t>
        </is>
      </c>
      <c r="T13" s="29" t="inlineStr"/>
      <c r="U13" s="10" t="n"/>
      <c r="V13" s="167" t="n">
        <v>1</v>
      </c>
      <c r="W13" s="43" t="n"/>
      <c r="Y13" s="50" t="inlineStr">
        <is>
          <t>no</t>
        </is>
      </c>
      <c r="Z13" s="564" t="n"/>
      <c r="AC13" s="169" t="n">
        <v>0</v>
      </c>
      <c r="AD13" s="168">
        <f>IF(AC13="","",AC13*V13)</f>
        <v/>
      </c>
      <c r="AE13" s="43" t="inlineStr"/>
    </row>
    <row r="14" ht="51" customFormat="1" customHeight="1" s="48">
      <c r="A14" s="14" t="inlineStr">
        <is>
          <t>NA</t>
        </is>
      </c>
      <c r="B14" s="63" t="inlineStr">
        <is>
          <t>WhenCallBack</t>
        </is>
      </c>
      <c r="C14" s="47" t="inlineStr">
        <is>
          <t>resp_whencallback</t>
        </is>
      </c>
      <c r="D14" s="57" t="inlineStr">
        <is>
          <t>When would it be a good time to call you back?
[RECORD HH/MM/DD/MM OF CALLBACK]</t>
        </is>
      </c>
      <c r="E14" s="52">
        <f>LEN(D14)</f>
        <v/>
      </c>
      <c r="F14" s="114" t="inlineStr">
        <is>
          <t>À quel moment pourrais-je vous rappeler?
[ENREGISTRER HH/MM/JJ/MM DU RAPPEL]</t>
        </is>
      </c>
      <c r="G14" s="45">
        <f>LEN(F14)</f>
        <v/>
      </c>
      <c r="H14" s="71" t="inlineStr">
        <is>
          <t>Ni wakati gani mzuri wa kukupigia simu tena?_x000D_
_x000D_
[REKODI HH/MM/DD/MM WA KUPIGIWA SIMU]</t>
        </is>
      </c>
      <c r="I14" s="45">
        <f>LEN(H14)</f>
        <v/>
      </c>
      <c r="J14" s="387" t="inlineStr">
        <is>
          <t xml:space="preserve">Ndi mua kukubikila dîba kayi?
[LAMA HH/MM/DD/MM WA KUVULUKA]
</t>
        </is>
      </c>
      <c r="K14" s="45">
        <f>LEN(J14)</f>
        <v/>
      </c>
      <c r="L14" s="56" t="inlineStr">
        <is>
          <t>Open Ended</t>
        </is>
      </c>
      <c r="M14" s="52" t="inlineStr">
        <is>
          <t>NA</t>
        </is>
      </c>
      <c r="N14" s="52" t="inlineStr">
        <is>
          <t>NA</t>
        </is>
      </c>
      <c r="O14" s="52" t="inlineStr">
        <is>
          <t>Form Type - TextBox
IsCallBackDemographic</t>
        </is>
      </c>
      <c r="P14" s="82" t="inlineStr">
        <is>
          <t>NA</t>
        </is>
      </c>
      <c r="Q14" s="51" t="inlineStr">
        <is>
          <t>Any Response = CallbackMessageEN</t>
        </is>
      </c>
      <c r="R14" s="51" t="n"/>
      <c r="S14" s="51" t="inlineStr">
        <is>
          <t>For any response, go to CallbackMessageEN</t>
        </is>
      </c>
      <c r="T14" s="29" t="inlineStr"/>
      <c r="U14" s="10" t="n"/>
      <c r="V14" s="167" t="n">
        <v>1</v>
      </c>
      <c r="W14" s="43" t="n"/>
      <c r="Y14" s="50" t="inlineStr">
        <is>
          <t>no</t>
        </is>
      </c>
      <c r="Z14" s="564" t="n"/>
      <c r="AC14" s="169" t="n">
        <v>0</v>
      </c>
      <c r="AD14" s="168">
        <f>IF(AC14="","",AC14*V14)</f>
        <v/>
      </c>
      <c r="AE14" s="43" t="inlineStr"/>
    </row>
    <row r="15" ht="85" customFormat="1" customHeight="1" s="48">
      <c r="A15" s="14" t="inlineStr">
        <is>
          <t>NA</t>
        </is>
      </c>
      <c r="B15" s="63" t="inlineStr">
        <is>
          <t>CallbackMessageEN</t>
        </is>
      </c>
      <c r="C15" s="47" t="inlineStr">
        <is>
          <t>callbackmessage_en</t>
        </is>
      </c>
      <c r="D15" s="57" t="inlineStr">
        <is>
          <t>Thank you, we will call you back at {WhenCallBack} you requested. Thank you again and have a great day!
[OPERATOR: ENTER CALL NOTES BELOW, WHO YOU SPOKE TO AND WHAT THEY SAID]</t>
        </is>
      </c>
      <c r="E15" s="52">
        <f>LEN(D15)</f>
        <v/>
      </c>
      <c r="F15" s="114" t="inlineStr">
        <is>
          <t>Merci, nous vous rappellerons à {WhenCallBack}. Merci encore et bonne journée!
[OPÉRATEUR/OPÉRATRICE: SAISIR LES DONNÉES D'APPEL CI-DESSOUS, LE NOM DE LA PERSONNE À LAQUELLE VOUS AVEZ PARLÉ ET CE QU'ELLE A DIT]</t>
        </is>
      </c>
      <c r="G15" s="45">
        <f>LEN(F15)</f>
        <v/>
      </c>
      <c r="H15" s="71" t="inlineStr">
        <is>
          <t>Asante, tutakupigia tena kwa {WhenCallBack} uliyoomba. Asante tena na siku njema kwako!
[OPERATOR: WEKA MAELEZO YA SIMU HAPA CHINI, NANI ULIONGEA NAYE NA WALICHOSEMA]</t>
        </is>
      </c>
      <c r="I15" s="45">
        <f>LEN(H15)</f>
        <v/>
      </c>
      <c r="J15" s="71" t="inlineStr">
        <is>
          <t xml:space="preserve">Tuasakidila, netukubikile ku {WhenCallBack}. Tuasakidila kabidi ne dituku dimpe!
[ENQUETEUR/TRICE: ENTER CALL DATA BELOW, THE NOM DU PERSON QUE OUVUAKUYILE NE BIDI MUAMBILE]
</t>
        </is>
      </c>
      <c r="K15" s="45">
        <f>LEN(J15)</f>
        <v/>
      </c>
      <c r="L15" s="56" t="inlineStr">
        <is>
          <t>Open Ended</t>
        </is>
      </c>
      <c r="M15" s="52" t="inlineStr">
        <is>
          <t>NA</t>
        </is>
      </c>
      <c r="N15" s="52" t="inlineStr">
        <is>
          <t>NA</t>
        </is>
      </c>
      <c r="O15" s="52" t="inlineStr">
        <is>
          <t>Form Type - TextBox</t>
        </is>
      </c>
      <c r="P15" s="82" t="inlineStr">
        <is>
          <t>NA</t>
        </is>
      </c>
      <c r="Q15" s="51" t="inlineStr">
        <is>
          <t>Any Response = End poll callback</t>
        </is>
      </c>
      <c r="R15" s="51" t="n"/>
      <c r="S15" s="72" t="inlineStr">
        <is>
          <t>NA</t>
        </is>
      </c>
      <c r="T15" s="26" t="inlineStr"/>
      <c r="U15" s="10" t="n"/>
      <c r="V15" s="167" t="n">
        <v>1</v>
      </c>
      <c r="W15" s="43" t="n"/>
      <c r="Y15" s="50" t="inlineStr">
        <is>
          <t>no</t>
        </is>
      </c>
      <c r="Z15" s="564" t="n"/>
      <c r="AC15" s="169" t="n">
        <v>0</v>
      </c>
      <c r="AD15" s="168">
        <f>IF(AC15="","",AC15*V15)</f>
        <v/>
      </c>
      <c r="AE15" s="43" t="inlineStr"/>
    </row>
    <row r="16" ht="50.25" customFormat="1" customHeight="1" s="48">
      <c r="A16" s="14" t="inlineStr">
        <is>
          <t>NA</t>
        </is>
      </c>
      <c r="B16" s="63" t="inlineStr">
        <is>
          <t>Ineligible</t>
        </is>
      </c>
      <c r="C16" s="47" t="inlineStr">
        <is>
          <t>NA</t>
        </is>
      </c>
      <c r="D16" s="57" t="inlineStr">
        <is>
          <t>You are ineligible for this survey. Thank you for your time and please look out for future surveys!</t>
        </is>
      </c>
      <c r="E16" s="52">
        <f>LEN(D16)</f>
        <v/>
      </c>
      <c r="F16" s="114" t="inlineStr">
        <is>
          <t>Vous êtes inéligible pour participer à cette enquête. Merci pour votre temps et renseignez-vous sur les prochains sondages!</t>
        </is>
      </c>
      <c r="G16" s="45">
        <f>LEN(F16)</f>
        <v/>
      </c>
      <c r="H16" s="71" t="inlineStr">
        <is>
          <t>Hujastahiki utafiti huu. Asante kwa muda wako na tafadhali angalia tafiti zijazo!</t>
        </is>
      </c>
      <c r="I16" s="45">
        <f>LEN(H16)</f>
        <v/>
      </c>
      <c r="J16" s="71" t="inlineStr">
        <is>
          <t>Kuena mukumbane bua kubuela mu tshikebelu etshi to. Tuasakidila bua dîba diebe ne bua kumanya malu adi atangila makebulula adi alua!</t>
        </is>
      </c>
      <c r="K16" s="45">
        <f>LEN(J16)</f>
        <v/>
      </c>
      <c r="L16" s="56" t="inlineStr">
        <is>
          <t>NA</t>
        </is>
      </c>
      <c r="M16" s="52" t="inlineStr">
        <is>
          <t>NA</t>
        </is>
      </c>
      <c r="N16" s="52" t="inlineStr">
        <is>
          <t>NA</t>
        </is>
      </c>
      <c r="O16" s="52" t="inlineStr">
        <is>
          <t>NA</t>
        </is>
      </c>
      <c r="P16" s="82" t="inlineStr">
        <is>
          <t>NA</t>
        </is>
      </c>
      <c r="Q16" s="51" t="inlineStr">
        <is>
          <t>End Poll Ineligible</t>
        </is>
      </c>
      <c r="R16" s="51" t="n"/>
      <c r="S16" s="72" t="inlineStr">
        <is>
          <t>NA</t>
        </is>
      </c>
      <c r="T16" s="26" t="inlineStr"/>
      <c r="U16" s="10" t="n"/>
      <c r="V16" s="167" t="n">
        <v>1</v>
      </c>
      <c r="W16" s="43" t="n"/>
      <c r="Y16" s="50" t="inlineStr">
        <is>
          <t>no</t>
        </is>
      </c>
      <c r="Z16" s="564" t="n"/>
      <c r="AC16" s="169" t="n">
        <v>0</v>
      </c>
      <c r="AD16" s="168">
        <f>IF(AC16="","",AC16*V16)</f>
        <v/>
      </c>
      <c r="AE16" s="43" t="inlineStr"/>
    </row>
    <row r="17" ht="50.25" customFormat="1" customHeight="1" s="48" thickBot="1">
      <c r="A17" s="14" t="inlineStr">
        <is>
          <t>NA</t>
        </is>
      </c>
      <c r="B17" s="78" t="inlineStr">
        <is>
          <t>Refusal</t>
        </is>
      </c>
      <c r="C17" s="77" t="inlineStr">
        <is>
          <t>NA</t>
        </is>
      </c>
      <c r="D17" s="76" t="inlineStr">
        <is>
          <t>Thank you for your time, you will be removed from today's survey.</t>
        </is>
      </c>
      <c r="E17" s="74">
        <f>LEN(D17)</f>
        <v/>
      </c>
      <c r="F17" s="389" t="inlineStr">
        <is>
          <t>Merci pour votre temps. Vous n'allez pas participer à l'enquête d'aujourd'hui.</t>
        </is>
      </c>
      <c r="G17" s="45">
        <f>LEN(F17)</f>
        <v/>
      </c>
      <c r="H17" s="188" t="inlineStr">
        <is>
          <t>Asante kwa muda wako, utaondolewa kwenye utafiti wa leo.</t>
        </is>
      </c>
      <c r="I17" s="45">
        <f>LEN(H17)</f>
        <v/>
      </c>
      <c r="J17" s="188" t="inlineStr">
        <is>
          <t>Tuasakidila bua dîba diebe. Kuena uya kubuela mu dikonkonona dia lelu to.</t>
        </is>
      </c>
      <c r="K17" s="45">
        <f>LEN(J17)</f>
        <v/>
      </c>
      <c r="L17" s="75" t="inlineStr">
        <is>
          <t>NA</t>
        </is>
      </c>
      <c r="M17" s="74" t="inlineStr">
        <is>
          <t>NA</t>
        </is>
      </c>
      <c r="N17" s="74" t="inlineStr">
        <is>
          <t>NA</t>
        </is>
      </c>
      <c r="O17" s="74" t="inlineStr">
        <is>
          <t>NA</t>
        </is>
      </c>
      <c r="P17" s="82" t="inlineStr">
        <is>
          <t>NA</t>
        </is>
      </c>
      <c r="Q17" s="73" t="inlineStr">
        <is>
          <t>End Poll Refusal</t>
        </is>
      </c>
      <c r="R17" s="106" t="n"/>
      <c r="S17" s="72" t="inlineStr">
        <is>
          <t>NA</t>
        </is>
      </c>
      <c r="T17" s="30" t="inlineStr"/>
      <c r="U17" s="12" t="n"/>
      <c r="V17" s="167" t="n">
        <v>1</v>
      </c>
      <c r="W17" s="43" t="n"/>
      <c r="Y17" s="50" t="inlineStr">
        <is>
          <t>no</t>
        </is>
      </c>
      <c r="Z17" s="564" t="n"/>
      <c r="AC17" s="169" t="n">
        <v>0</v>
      </c>
      <c r="AD17" s="168">
        <f>IF(AC17="","",AC17*V17)</f>
        <v/>
      </c>
      <c r="AE17" s="43" t="inlineStr"/>
    </row>
    <row r="18" ht="17.15" customFormat="1" customHeight="1" s="108" thickBot="1">
      <c r="A18" s="554" t="inlineStr">
        <is>
          <t>B. GENERAL INFORMATION &amp; ELIGIBILITY CRITERIA</t>
        </is>
      </c>
      <c r="B18" s="586" t="n"/>
      <c r="C18" s="586" t="n"/>
      <c r="D18" s="586" t="n"/>
      <c r="E18" s="586" t="n"/>
      <c r="F18" s="586" t="n"/>
      <c r="G18" s="586" t="n"/>
      <c r="H18" s="586" t="n"/>
      <c r="I18" s="586" t="n"/>
      <c r="J18" s="586" t="n"/>
      <c r="K18" s="586" t="n"/>
      <c r="L18" s="586" t="n"/>
      <c r="M18" s="586" t="n"/>
      <c r="N18" s="586" t="n"/>
      <c r="O18" s="586" t="n"/>
      <c r="P18" s="586" t="n"/>
      <c r="Q18" s="586" t="n"/>
      <c r="R18" s="586" t="n"/>
      <c r="S18" s="586" t="n"/>
      <c r="T18" s="586" t="n"/>
      <c r="U18" s="587" t="n"/>
      <c r="V18" s="170" t="n"/>
      <c r="W18" s="110" t="n"/>
      <c r="Y18" s="109" t="n"/>
      <c r="Z18" s="111" t="n"/>
      <c r="AC18" s="168" t="n"/>
      <c r="AD18" s="168">
        <f>IF(AC18="","",AC18*V18)</f>
        <v/>
      </c>
      <c r="AE18" s="110">
        <f>IF(Y18="yes",AD18,"")</f>
        <v/>
      </c>
    </row>
    <row r="19" ht="68.25" customFormat="1" customHeight="1" s="48">
      <c r="A19" s="390" t="n">
        <v>4</v>
      </c>
      <c r="B19" s="391" t="inlineStr">
        <is>
          <t>resp_firstname</t>
        </is>
      </c>
      <c r="C19" s="392" t="inlineStr">
        <is>
          <t>resp_firstname</t>
        </is>
      </c>
      <c r="D19" s="71" t="inlineStr">
        <is>
          <t>What is your first name?
[OPERATOR: RECORD THE RESPONDENT'S FIRST NAME. ENTER 999 FOR REFUSED.]</t>
        </is>
      </c>
      <c r="E19" s="393">
        <f>LEN(D19)</f>
        <v/>
      </c>
      <c r="F19" s="71" t="inlineStr">
        <is>
          <t>Quel est votre prénom?
[OPÉRATEUR/OPÉRATRICE: SAISIR LE PRÉNOM DE LA PERSONNE INTÉRROGÉE. SAISIR  999 POUR REFUSÉ.]</t>
        </is>
      </c>
      <c r="G19" s="393">
        <f>LEN(F19)</f>
        <v/>
      </c>
      <c r="H19" s="114" t="inlineStr">
        <is>
          <t>Jina lako la jamii ni nani?
[OPERETERA: REKODI JINA YA KWANZA YA MUJIBU. INGIZA 999 KWA KUKATALA.]</t>
        </is>
      </c>
      <c r="I19" s="393">
        <f>LEN(H19)</f>
        <v/>
      </c>
      <c r="J19" s="114" t="inlineStr">
        <is>
          <t xml:space="preserve">Dîna diebe dia kumpala nnganyi?
[ENQUETEUR/TRICE: BUELA DINA DIA KUMPALA DIA MUNTU UDI MUENZA LUKOKO. BUELA 999 BUA KUBENGA.]
</t>
        </is>
      </c>
      <c r="K19" s="393">
        <f>LEN(J19)</f>
        <v/>
      </c>
      <c r="L19" s="394" t="inlineStr">
        <is>
          <t>Open Ended</t>
        </is>
      </c>
      <c r="M19" s="393" t="inlineStr">
        <is>
          <t>NA</t>
        </is>
      </c>
      <c r="N19" s="393" t="inlineStr">
        <is>
          <t>NA</t>
        </is>
      </c>
      <c r="O19" s="393" t="inlineStr">
        <is>
          <t>Form Type - TextBox</t>
        </is>
      </c>
      <c r="P19" s="82" t="inlineStr">
        <is>
          <t>NA</t>
        </is>
      </c>
      <c r="Q19" s="58" t="inlineStr">
        <is>
          <t>Any Response = resp_lastname</t>
        </is>
      </c>
      <c r="R19" s="70" t="n"/>
      <c r="S19" s="71" t="inlineStr">
        <is>
          <t>For any response, go to resp_lastname</t>
        </is>
      </c>
      <c r="T19" s="69" t="inlineStr"/>
      <c r="U19" s="23" t="n"/>
      <c r="V19" s="170">
        <f>1</f>
        <v/>
      </c>
      <c r="W19" s="43" t="n"/>
      <c r="Y19" s="109" t="inlineStr">
        <is>
          <t>yes</t>
        </is>
      </c>
      <c r="Z19" s="564" t="n"/>
      <c r="AC19" s="168" t="n">
        <v>25.87402725219727</v>
      </c>
      <c r="AD19" s="168">
        <f>IF(AC19="","",AC19*V19)</f>
        <v/>
      </c>
      <c r="AE19" s="43" t="inlineStr">
        <is>
          <t>25.87402725219727</t>
        </is>
      </c>
    </row>
    <row r="20" ht="68.15000000000001" customFormat="1" customHeight="1" s="48">
      <c r="A20" s="14">
        <f>A19+1</f>
        <v/>
      </c>
      <c r="B20" s="391" t="inlineStr">
        <is>
          <t>resp_lastname</t>
        </is>
      </c>
      <c r="C20" s="392" t="inlineStr">
        <is>
          <t>resp_lastname</t>
        </is>
      </c>
      <c r="D20" s="71" t="inlineStr">
        <is>
          <t>What is your last name? 
[OPERATOR: RECORD THE RESPONDENT'S LAST NAME. ENTER 999 FOR REFUSED.]</t>
        </is>
      </c>
      <c r="E20" s="393">
        <f>LEN(D20)</f>
        <v/>
      </c>
      <c r="F20" s="71" t="inlineStr">
        <is>
          <t>Quel est votre nom de famille?
[OPÉRATEUR/OPÉRATRICE: SAISIR LE NOM DE FAMILLE DE LA PERSONNE INTÉRROGÉE. SAISIR  999 POUR REFUSÉ.]</t>
        </is>
      </c>
      <c r="G20" s="393">
        <f>LEN(F20)</f>
        <v/>
      </c>
      <c r="H20" s="114" t="inlineStr">
        <is>
          <t>Jina lako ya mwisho ni nani?_x000D_
_x000D_
[OPERETERA: REKODI JINA LA MWISHO YA MUDIBU. INGIZA 999 KWA KUKATALA.]</t>
        </is>
      </c>
      <c r="I20" s="393">
        <f>LEN(H20)</f>
        <v/>
      </c>
      <c r="J20" s="114" t="inlineStr">
        <is>
          <t xml:space="preserve">Dîna diebe dia ndekelu nnganyi?
[ENQUETEUR/TRICE: BUELA DÎNA DIA MUENA LUMU. BUELA 999 BUA KUBENGA.]
</t>
        </is>
      </c>
      <c r="K20" s="393">
        <f>LEN(J20)</f>
        <v/>
      </c>
      <c r="L20" s="394" t="inlineStr">
        <is>
          <t>Open Ended</t>
        </is>
      </c>
      <c r="M20" s="393" t="inlineStr">
        <is>
          <t>NA</t>
        </is>
      </c>
      <c r="N20" s="393" t="inlineStr">
        <is>
          <t>NA</t>
        </is>
      </c>
      <c r="O20" s="393" t="inlineStr">
        <is>
          <t>Form Type - TextBox</t>
        </is>
      </c>
      <c r="P20" s="82" t="inlineStr">
        <is>
          <t>NA</t>
        </is>
      </c>
      <c r="Q20" s="70" t="inlineStr">
        <is>
          <t>Any Response = resp_age</t>
        </is>
      </c>
      <c r="R20" s="70" t="n"/>
      <c r="S20" s="58" t="inlineStr">
        <is>
          <t>For any response, go to resp_age</t>
        </is>
      </c>
      <c r="T20" s="69" t="inlineStr"/>
      <c r="U20" s="23" t="n"/>
      <c r="V20" s="170">
        <f>1</f>
        <v/>
      </c>
      <c r="W20" s="43" t="n"/>
      <c r="Y20" s="109" t="inlineStr">
        <is>
          <t>yes</t>
        </is>
      </c>
      <c r="Z20" s="564" t="n"/>
      <c r="AC20" s="168" t="n">
        <v>8.599481582641602</v>
      </c>
      <c r="AD20" s="168">
        <f>IF(AC20="","",AC20*V20)</f>
        <v/>
      </c>
      <c r="AE20" s="43" t="inlineStr">
        <is>
          <t>8.599481582641602</t>
        </is>
      </c>
    </row>
    <row r="21" ht="85" customFormat="1" customHeight="1" s="48">
      <c r="A21" s="14">
        <f>A20+1</f>
        <v/>
      </c>
      <c r="B21" s="395" t="inlineStr">
        <is>
          <t>resp_age</t>
        </is>
      </c>
      <c r="C21" s="396" t="inlineStr">
        <is>
          <t>resp_age</t>
        </is>
      </c>
      <c r="D21" s="46" t="inlineStr">
        <is>
          <t>How old are you? 
[OPERATOR: RECORD AGE IN NUMBER OF YEARS. ROUND UP TO NEAREST WHOLE NUMBER. IF THE RESPONDENT GIVES BIRTH YEAR, REPEAT THE QUESTION. ENTER 00 FOR DON'T KNOW.]</t>
        </is>
      </c>
      <c r="E21" s="392">
        <f>LEN(D21)</f>
        <v/>
      </c>
      <c r="F21" s="71" t="inlineStr">
        <is>
          <t>Quel âge avez-vous [en années]?
[OPÉRATEUR/OPÉRATRICE: SAISIR L'ÂGE EN ANNÉES. ARRONDIR AU NOMBRE ENTIER LE PLUS PROCHE. SI LE RÉPONDANT DONNE SON ANNÉE DE NAISSANCE, RÉPÉTER LA QUESTION. SAISIR 00 POUR "NE SAIT PAS".]</t>
        </is>
      </c>
      <c r="G21" s="393">
        <f>LEN(F21)</f>
        <v/>
      </c>
      <c r="H21" s="71" t="inlineStr">
        <is>
          <t>Una miaka mingapi?_x000D_
_x000D_
[OPERATOR: REKODI UMRI KATIKA IDADI YA MIAKA. ZUNGUSHA HADI NAMBA NZIMA KARIBU. IKIWA MHOJIWA AMEJIFUNGUA MWAKA WA KUZALIWA, RUDIA SWALI. INGIA 00 KWA SIJUE.]</t>
        </is>
      </c>
      <c r="I21" s="393">
        <f>LEN(H21)</f>
        <v/>
      </c>
      <c r="J21" s="71" t="inlineStr">
        <is>
          <t xml:space="preserve">Udi ne bidimu bungi munyi [mu bidimu]?
[ENQUETEUR/TRICE: BUELA BIDIMU MU BIDIMU. KUJIKIJA KU NOMBA MUJIMA WA PEPHI. BIkala MUENA LUONDO MUA KUFILA CIDIMU CIA DILEDIKA DIABU, ENZA LUKONKO ELU. BUELA 00 BUA "TSHIENA MUMANYE".]
</t>
        </is>
      </c>
      <c r="K21" s="393">
        <f>LEN(J21)</f>
        <v/>
      </c>
      <c r="L21" s="392" t="inlineStr">
        <is>
          <t>Range</t>
        </is>
      </c>
      <c r="M21" s="392" t="inlineStr">
        <is>
          <t>NA</t>
        </is>
      </c>
      <c r="N21" s="392" t="inlineStr">
        <is>
          <t>NA</t>
        </is>
      </c>
      <c r="O21" s="392" t="inlineStr">
        <is>
          <t>Form Type - TextBox</t>
        </is>
      </c>
      <c r="P21" s="82" t="inlineStr">
        <is>
          <t>NA</t>
        </is>
      </c>
      <c r="Q21" s="44" t="inlineStr">
        <is>
          <t>0-17 = Ineligible
18-100 = resp_gender
00 = Ineligible</t>
        </is>
      </c>
      <c r="R21" s="44" t="n"/>
      <c r="S21" s="68" t="inlineStr">
        <is>
          <t>Only respondents from 18-100 will be eligible for the survey.</t>
        </is>
      </c>
      <c r="T21" s="67" t="inlineStr"/>
      <c r="U21" s="23" t="n"/>
      <c r="V21" s="170">
        <f>1</f>
        <v/>
      </c>
      <c r="W21" s="43" t="n"/>
      <c r="Y21" s="112" t="inlineStr">
        <is>
          <t>yes</t>
        </is>
      </c>
      <c r="Z21" s="564" t="n"/>
      <c r="AC21" s="168" t="n">
        <v>9.890718460083008</v>
      </c>
      <c r="AD21" s="168">
        <f>IF(AC21="","",AC21*V21)</f>
        <v/>
      </c>
      <c r="AE21" s="43" t="inlineStr">
        <is>
          <t>9.890718460083008</t>
        </is>
      </c>
    </row>
    <row r="22" ht="153" customFormat="1" customHeight="1" s="48">
      <c r="A22" s="14">
        <f>A21+1</f>
        <v/>
      </c>
      <c r="B22" s="63" t="inlineStr">
        <is>
          <t>resp_gender</t>
        </is>
      </c>
      <c r="C22" s="47" t="inlineStr">
        <is>
          <t>resp_gender</t>
        </is>
      </c>
      <c r="D22" s="57" t="inlineStr">
        <is>
          <t>What is the gender of the respondent?
[OPERATOR: DO NOT ASK THIS QUESTION OUT LOUD. LISTEN TO THE VOICE AND SELECT THE GENDER.]
1)Male
2)Female
3)DON'T KNOW
4)REFUSED</t>
        </is>
      </c>
      <c r="E22" s="52">
        <f>LEN(D22)</f>
        <v/>
      </c>
      <c r="F22" s="57" t="inlineStr">
        <is>
          <t>Quel est le sexe du répondant?  
[OPÉRATEUR/OPÉRATRICE: NE PAS POSER CETTE QUESTION À VOIX HAUTE. ÉCOUTER LA VOIX ET DÉTERMINER LE SEXE.]
1)Homme
2)Femme
3)NE SAIT PAS
4)REFUSÉ</t>
        </is>
      </c>
      <c r="G22" s="393">
        <f>LEN(F22)</f>
        <v/>
      </c>
      <c r="H22" s="114" t="inlineStr">
        <is>
          <t xml:space="preserve">Jinsia ya mujibu ni nini?_x000D_
_x000D_
[OPERATOR: USIULIZE SWALI HILI KWA SAUTI. SIKILIZA SAUTI NA UCHAGUE JINSIA.]_x000D_
_x000D_
1)Mwanaume_x000D_
2)Mwanamke_x000D_
3)SIJUE_x000D_
4)KUKATALA </t>
        </is>
      </c>
      <c r="I22" s="393">
        <f>LEN(H22)</f>
        <v/>
      </c>
      <c r="J22" s="114" t="inlineStr">
        <is>
          <t>Muntu udibu bele nkonko udi mulume anyi mukaji kayi?  
[ENQUETEUR/TRICE: KUELA LUKONKO ELU NE DÎYI TO. TELEJA DÎYI NE UMANYE BUA BUALU.]
1)Mulume
2)Mukaji
3)TSHIENA MUMANYE
4)MUBENE</t>
        </is>
      </c>
      <c r="K22" s="393">
        <f>LEN(J22)</f>
        <v/>
      </c>
      <c r="L22" s="56" t="inlineStr">
        <is>
          <t>Single Choice</t>
        </is>
      </c>
      <c r="M22" s="52" t="inlineStr">
        <is>
          <t>NA</t>
        </is>
      </c>
      <c r="N22" s="52" t="inlineStr">
        <is>
          <t>NA</t>
        </is>
      </c>
      <c r="O22" s="52" t="inlineStr">
        <is>
          <t>Form Type - Buttons</t>
        </is>
      </c>
      <c r="P22" s="82" t="inlineStr">
        <is>
          <t>NA</t>
        </is>
      </c>
      <c r="Q22" s="51" t="inlineStr">
        <is>
          <t>1-4 = phone_number_conf</t>
        </is>
      </c>
      <c r="R22" s="44" t="n"/>
      <c r="S22" s="44" t="inlineStr">
        <is>
          <t>For any response, go to phone_number_conf</t>
        </is>
      </c>
      <c r="T22" s="31" t="inlineStr"/>
      <c r="U22" s="10" t="n"/>
      <c r="V22" s="170">
        <f>1</f>
        <v/>
      </c>
      <c r="W22" s="43" t="n"/>
      <c r="Y22" s="112" t="inlineStr">
        <is>
          <t>yes</t>
        </is>
      </c>
      <c r="Z22" s="564" t="n"/>
      <c r="AC22" s="168" t="n">
        <v>1.715648174285889</v>
      </c>
      <c r="AD22" s="168">
        <f>IF(AC22="","",AC22*V22)</f>
        <v/>
      </c>
      <c r="AE22" s="43" t="inlineStr">
        <is>
          <t>1.715648174285889</t>
        </is>
      </c>
    </row>
    <row r="23" ht="153" customFormat="1" customHeight="1" s="139">
      <c r="A23" s="14">
        <f>A22+1</f>
        <v/>
      </c>
      <c r="B23" s="89" t="inlineStr">
        <is>
          <t>phone_number_conf</t>
        </is>
      </c>
      <c r="C23" s="90" t="inlineStr">
        <is>
          <t>phone_number_conf</t>
        </is>
      </c>
      <c r="D23" s="397" t="inlineStr">
        <is>
          <t>Is the phone number I am calling you on yours or a household members?
[OPERATOR: SINGLE RESPONSE.]
1)YES
2)NO
3)DON'T KNOW
4)REFUSED</t>
        </is>
      </c>
      <c r="E23" s="52">
        <f>LEN(D23)</f>
        <v/>
      </c>
      <c r="F23" s="397" t="inlineStr">
        <is>
          <t>Le numéro de téléphone sur lequel je vous appelle est-il le vôtre ou celui d'un membre de votre famille?
[OPÉRATEUR/OPÉRATRICE: RÉPONSE UNIQUE.]
1)OUI
2)NON
3)NE SAIT PAS
4)REFUSÉ</t>
        </is>
      </c>
      <c r="G23" s="52">
        <f>LEN(F23)</f>
        <v/>
      </c>
      <c r="H23" s="114" t="inlineStr">
        <is>
          <t>Je, namba ya simu nina kupigia ni yako au ni ya moja wa jamii yako?
[OPERATOR: JIBU MOJA.]
1)NDIYO
2)HAPANA
3)SIJUE
4)KUKATALA</t>
        </is>
      </c>
      <c r="I23" s="393">
        <f>LEN(H23)</f>
        <v/>
      </c>
      <c r="J23" s="114" t="inlineStr">
        <is>
          <t>Nimero ya telefone undi mbikila mmiebe anyi nja muena mu dîku dienu?
[ENQUETEUR/TRICE:Bipwebo imwe.]
1) EYOWA
2) TO
3) TSHIENA MUMANYE
4)MUBENE</t>
        </is>
      </c>
      <c r="K23" s="393">
        <f>LEN(J23)</f>
        <v/>
      </c>
      <c r="L23" s="56" t="inlineStr">
        <is>
          <t>Single Choice</t>
        </is>
      </c>
      <c r="M23" s="52" t="inlineStr">
        <is>
          <t>NA</t>
        </is>
      </c>
      <c r="N23" s="52" t="inlineStr">
        <is>
          <t>NA</t>
        </is>
      </c>
      <c r="O23" s="52" t="inlineStr">
        <is>
          <t>Form Type - Buttons</t>
        </is>
      </c>
      <c r="P23" s="82" t="inlineStr">
        <is>
          <t>NA</t>
        </is>
      </c>
      <c r="Q23" s="44" t="inlineStr">
        <is>
          <t>1 = contact_2
2 = phone_number_personal
3-4 = contact_2</t>
        </is>
      </c>
      <c r="R23" s="44" t="n"/>
      <c r="S23" s="135" t="inlineStr">
        <is>
          <t>if phone_number_conf = 1, go to contact_2
if phone_number_conf = 2, go to phone_number_personal
if phone_number_conf = 3-4, go to contact_2</t>
        </is>
      </c>
      <c r="T23" s="136" t="inlineStr"/>
      <c r="U23" s="137" t="n"/>
      <c r="V23" s="171">
        <f>1</f>
        <v/>
      </c>
      <c r="W23" s="138" t="n"/>
      <c r="Y23" s="140" t="inlineStr">
        <is>
          <t>yes - panel</t>
        </is>
      </c>
      <c r="Z23" s="141" t="n"/>
      <c r="AC23" s="172" t="n">
        <v>6.375236988067627</v>
      </c>
      <c r="AD23" s="168">
        <f>IF(AC23="","",AC23*V23)</f>
        <v/>
      </c>
      <c r="AE23" s="43" t="inlineStr"/>
    </row>
    <row r="24" ht="51" customFormat="1" customHeight="1" s="139">
      <c r="A24" s="14">
        <f>A23+1</f>
        <v/>
      </c>
      <c r="B24" s="89" t="inlineStr">
        <is>
          <t>phone_number_personal</t>
        </is>
      </c>
      <c r="C24" s="90" t="inlineStr">
        <is>
          <t>phone_number_pers</t>
        </is>
      </c>
      <c r="D24" s="397" t="inlineStr">
        <is>
          <t>What is your phone number?
[OPERATOR: RECORD THE NUMBER GIVEN]</t>
        </is>
      </c>
      <c r="E24" s="52">
        <f>LEN(D24)</f>
        <v/>
      </c>
      <c r="F24" s="397" t="inlineStr">
        <is>
          <t>Quel est votre numéro de téléphone?
[OPÉRATEUR/OPÉRATRICE: SAISIR LE NUMERO.]</t>
        </is>
      </c>
      <c r="G24" s="52">
        <f>LEN(F24)</f>
        <v/>
      </c>
      <c r="H24" s="114" t="inlineStr">
        <is>
          <t>Namba ya simu yako iko je?_x000D_
_x000D_
[OPERATOR: REKODI NAMBA ANA PELEKA]</t>
        </is>
      </c>
      <c r="I24" s="393">
        <f>LEN(H24)</f>
        <v/>
      </c>
      <c r="J24" s="114" t="inlineStr">
        <is>
          <t>Nomba webe wa telefone udi kayi?
[ENQUETEUR/TRICE: ENTER NUMBER.]</t>
        </is>
      </c>
      <c r="K24" s="393">
        <f>LEN(J24)</f>
        <v/>
      </c>
      <c r="L24" s="56" t="inlineStr">
        <is>
          <t>Open Ended</t>
        </is>
      </c>
      <c r="M24" s="52" t="inlineStr">
        <is>
          <t>NA</t>
        </is>
      </c>
      <c r="N24" s="52" t="inlineStr">
        <is>
          <t>NA</t>
        </is>
      </c>
      <c r="O24" s="52" t="inlineStr">
        <is>
          <t>Form Type - TextBox</t>
        </is>
      </c>
      <c r="P24" s="82" t="inlineStr">
        <is>
          <t>NA</t>
        </is>
      </c>
      <c r="Q24" s="44" t="inlineStr">
        <is>
          <t>Any Response = contact_2</t>
        </is>
      </c>
      <c r="R24" s="44" t="n"/>
      <c r="S24" s="142" t="inlineStr">
        <is>
          <t>For any response, go to contact_2</t>
        </is>
      </c>
      <c r="T24" s="93" t="inlineStr"/>
      <c r="U24" s="137" t="n"/>
      <c r="V24" s="171">
        <f>1</f>
        <v/>
      </c>
      <c r="W24" s="138" t="n"/>
      <c r="Y24" s="140" t="inlineStr">
        <is>
          <t>yes - panel</t>
        </is>
      </c>
      <c r="Z24" s="141" t="n"/>
      <c r="AC24" s="172" t="n">
        <v>28.70000076293945</v>
      </c>
      <c r="AD24" s="168">
        <f>IF(AC24="","",AC24*V24)</f>
        <v/>
      </c>
      <c r="AE24" s="43" t="inlineStr"/>
    </row>
    <row r="25" ht="204" customFormat="1" customHeight="1" s="139">
      <c r="A25" s="14">
        <f>A24+1</f>
        <v/>
      </c>
      <c r="B25" s="89" t="inlineStr">
        <is>
          <t>contact_2</t>
        </is>
      </c>
      <c r="C25" s="90" t="inlineStr">
        <is>
          <t>contact_2</t>
        </is>
      </c>
      <c r="D25" s="397"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5" s="52">
        <f>LEN(D25)</f>
        <v/>
      </c>
      <c r="F25" s="397" t="inlineStr">
        <is>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is>
      </c>
      <c r="G25" s="52">
        <f>LEN(F25)</f>
        <v/>
      </c>
      <c r="H25" s="114" t="inlineStr">
        <is>
          <t>Je, unaweza kunipa nambari nyingine ya simu inayomilikiwa na wewe, mwanachama mwingine wa familia yako, au ndugu aliye nje ya familia ambapo unaweza kupatikana?
[MWENDESHAJI: JIBU MOJA.]
1)NDIYO – yangu 
2)NDIYO – mwanakaya mwingine
3)Ndiyo – rafiki au jamaa [asiye mwanakaya]
4)HAPANA
5)SIJUE
6)NILIKUKATALA</t>
        </is>
      </c>
      <c r="I25" s="393">
        <f>LEN(H25)</f>
        <v/>
      </c>
      <c r="J25" s="114" t="inlineStr">
        <is>
          <t>Udi mua kumpesha nomba mukuabu wa telefone, webe, wa muntu mukuabu wa mu nzubu anyi wa mulela udi musombele pambelu pa nzubu, utudi mua kukupeta anyi?
[ENQUETEUR/TRICE:Bipwebo imwe.]
1)EYOWA - wanyi 
2)EYOWA - muntu mukuabu wa mu nzubu
3)EYOWA - mulunda anyi mulela [udi kayi wa mu nzubu].
4)KAYI
5)TSHIENA MUMANYE
6)MUBENE</t>
        </is>
      </c>
      <c r="K25" s="393">
        <f>LEN(J25)</f>
        <v/>
      </c>
      <c r="L25" s="56" t="inlineStr">
        <is>
          <t>Single Choice</t>
        </is>
      </c>
      <c r="M25" s="52" t="inlineStr">
        <is>
          <t>NA</t>
        </is>
      </c>
      <c r="N25" s="52" t="inlineStr">
        <is>
          <t>NA</t>
        </is>
      </c>
      <c r="O25" s="52" t="inlineStr">
        <is>
          <t>Form Type - Buttons</t>
        </is>
      </c>
      <c r="P25" s="82" t="inlineStr">
        <is>
          <t>NA</t>
        </is>
      </c>
      <c r="Q25" s="44" t="inlineStr">
        <is>
          <t>1-3 = phone_number_2
4-6 = hh_admin1</t>
        </is>
      </c>
      <c r="R25" s="186" t="n"/>
      <c r="S25" s="144" t="inlineStr">
        <is>
          <t>if contact_2 = 1-3, go to phone_number_2
if contact_2 = 4-6, go to contact_3</t>
        </is>
      </c>
      <c r="T25" s="145" t="inlineStr"/>
      <c r="U25" s="146" t="n"/>
      <c r="V25" s="171">
        <f>1</f>
        <v/>
      </c>
      <c r="W25" s="138" t="n"/>
      <c r="Y25" s="140" t="inlineStr">
        <is>
          <t>yes - panel</t>
        </is>
      </c>
      <c r="Z25" s="141" t="n"/>
      <c r="AC25" s="172" t="n">
        <v>10.14181709289551</v>
      </c>
      <c r="AD25" s="168">
        <f>IF(AC25="","",AC25*V25)</f>
        <v/>
      </c>
      <c r="AE25" s="43" t="inlineStr"/>
    </row>
    <row r="26" ht="51" customFormat="1" customHeight="1" s="139">
      <c r="A26" s="14">
        <f>A25+1</f>
        <v/>
      </c>
      <c r="B26" s="89" t="inlineStr">
        <is>
          <t>phone_number_2</t>
        </is>
      </c>
      <c r="C26" s="90" t="inlineStr">
        <is>
          <t>phone_number_2</t>
        </is>
      </c>
      <c r="D26" s="397" t="inlineStr">
        <is>
          <t>What is the additional phone number?
[OPERATOR: RECORD THE NUMBER GIVEN]</t>
        </is>
      </c>
      <c r="E26" s="52">
        <f>LEN(D26)</f>
        <v/>
      </c>
      <c r="F26" s="114" t="inlineStr">
        <is>
          <t>Quel est cet autre numéro de téléphone?
[OPÉRATEUR/OPÉRATRICE: SAISIR LE NUMERO.]</t>
        </is>
      </c>
      <c r="G26" s="52">
        <f>LEN(F26)</f>
        <v/>
      </c>
      <c r="H26" s="114" t="inlineStr">
        <is>
          <t>Nambari ya simu ingine ni nini?_x000D_
_x000D_
[OPERATOR: REKODI NAMBA ANA PELEKA]</t>
        </is>
      </c>
      <c r="I26" s="393">
        <f>LEN(H26)</f>
        <v/>
      </c>
      <c r="J26" s="114" t="inlineStr">
        <is>
          <t>Nomba mukuabu wa telefone eu nnganyi?
[ENQUETEUR/TRICE: ENTER NUMBER.]</t>
        </is>
      </c>
      <c r="K26" s="393">
        <f>LEN(J26)</f>
        <v/>
      </c>
      <c r="L26" s="56" t="inlineStr">
        <is>
          <t>Open Ended</t>
        </is>
      </c>
      <c r="M26" s="52" t="inlineStr">
        <is>
          <t>NA</t>
        </is>
      </c>
      <c r="N26" s="52" t="inlineStr">
        <is>
          <t>NA</t>
        </is>
      </c>
      <c r="O26" s="52" t="inlineStr">
        <is>
          <t>Form Type - TextBox</t>
        </is>
      </c>
      <c r="P26" s="82" t="inlineStr">
        <is>
          <t>NA</t>
        </is>
      </c>
      <c r="Q26" s="44" t="inlineStr">
        <is>
          <t>Any Response = contact_2_name</t>
        </is>
      </c>
      <c r="R26" s="186" t="n"/>
      <c r="S26" s="147" t="inlineStr">
        <is>
          <t>For any response, go to contact_2_name</t>
        </is>
      </c>
      <c r="T26" s="148" t="inlineStr"/>
      <c r="U26" s="146" t="n"/>
      <c r="V26" s="171">
        <f>1</f>
        <v/>
      </c>
      <c r="W26" s="138" t="n"/>
      <c r="Y26" s="140" t="inlineStr">
        <is>
          <t>yes - panel</t>
        </is>
      </c>
      <c r="Z26" s="141" t="n"/>
      <c r="AC26" s="172" t="n">
        <v>21.65998268127441</v>
      </c>
      <c r="AD26" s="168">
        <f>IF(AC26="","",AC26*V26)</f>
        <v/>
      </c>
      <c r="AE26" s="43" t="inlineStr"/>
    </row>
    <row r="27" ht="102" customFormat="1" customHeight="1" s="139">
      <c r="A27" s="14">
        <f>A26+1</f>
        <v/>
      </c>
      <c r="B27" s="89" t="inlineStr">
        <is>
          <t>contact_2_name</t>
        </is>
      </c>
      <c r="C27" s="90" t="inlineStr">
        <is>
          <t>contact_2_name</t>
        </is>
      </c>
      <c r="D27" s="397" t="inlineStr">
        <is>
          <t>What is the name of the contact?
[OPERATOR: RECORD THE NAME OF THE CONTACT FOR THE PHONE NUMBER.]</t>
        </is>
      </c>
      <c r="E27" s="52">
        <f>LEN(D27)</f>
        <v/>
      </c>
      <c r="F27" s="397" t="inlineStr">
        <is>
          <t>Quel est le nom du contact associé à ce numéro de téléphone?
[OPÉRATEUR/OPÉRATRICE: SAISIR LENOM DU CONTACT POUR CE NUMERO DE TÉLÉPHONE.]</t>
        </is>
      </c>
      <c r="G27" s="52">
        <f>LEN(F27)</f>
        <v/>
      </c>
      <c r="H27" s="114" t="inlineStr">
        <is>
          <t>Jina la mawasiliano ni nani?
[OPERATOR: REKODI JINA LA ANAYEWASILIANA KWA NAMBA YA SIMU.]</t>
        </is>
      </c>
      <c r="I27" s="393">
        <f>LEN(H27)</f>
        <v/>
      </c>
      <c r="J27" s="114" t="inlineStr">
        <is>
          <t>Dîna dia muntu udibu mua kuyukila nadi didi dipetangana ne nomba wa telefone eu ndinyi?
[ENQUETEUR/TRICE: BUELA DÎNA DIA MUENA MUDIMU WA NOMBA WA TELEFONE EWU.]</t>
        </is>
      </c>
      <c r="K27" s="393">
        <f>LEN(J27)</f>
        <v/>
      </c>
      <c r="L27" s="56" t="inlineStr">
        <is>
          <t>Open Ended</t>
        </is>
      </c>
      <c r="M27" s="52" t="inlineStr">
        <is>
          <t>NA</t>
        </is>
      </c>
      <c r="N27" s="52" t="inlineStr">
        <is>
          <t>Send if "contact_2" "Equals" "YES - other household member" Or "contact_2" "Equals" "YES - friend or relative [non-household member]" if not satisfied go to "contact_3"</t>
        </is>
      </c>
      <c r="O27" s="52" t="inlineStr">
        <is>
          <t>Form Type - TextBox</t>
        </is>
      </c>
      <c r="P27" s="82" t="inlineStr">
        <is>
          <t>NA</t>
        </is>
      </c>
      <c r="Q27" s="44" t="inlineStr">
        <is>
          <t>Any Response = contact_3</t>
        </is>
      </c>
      <c r="R27" s="186" t="n"/>
      <c r="S27" s="147" t="inlineStr">
        <is>
          <t>Asked if response to contact_2 was "YES - other household member" or "YES - friend or relative [non-household member]". Otherwise, it skips to "contact_3".
For any response, go to contact_3</t>
        </is>
      </c>
      <c r="T27" s="24" t="inlineStr"/>
      <c r="U27" s="146" t="n"/>
      <c r="V27" s="171">
        <f>1</f>
        <v/>
      </c>
      <c r="W27" s="138" t="n"/>
      <c r="Y27" s="140" t="inlineStr">
        <is>
          <t>yes - panel</t>
        </is>
      </c>
      <c r="Z27" s="141" t="n"/>
      <c r="AC27" s="172" t="n">
        <v>11.82179641723633</v>
      </c>
      <c r="AD27" s="168">
        <f>IF(AC27="","",AC27*V27)</f>
        <v/>
      </c>
      <c r="AE27" s="43" t="inlineStr"/>
    </row>
    <row r="28" ht="204" customFormat="1" customHeight="1" s="139">
      <c r="A28" s="14">
        <f>A27+1</f>
        <v/>
      </c>
      <c r="B28" s="89" t="inlineStr">
        <is>
          <t>contact_3</t>
        </is>
      </c>
      <c r="C28" s="90" t="inlineStr">
        <is>
          <t>contact_3</t>
        </is>
      </c>
      <c r="D28" s="397"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8" s="52">
        <f>LEN(D28)</f>
        <v/>
      </c>
      <c r="F28" s="397" t="inlineStr">
        <is>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is>
      </c>
      <c r="G28" s="52">
        <f>LEN(F28)</f>
        <v/>
      </c>
      <c r="H28" s="114" t="inlineStr">
        <is>
          <t>Je, unaweza kunipa nambari nyingine ya simu inayomilikiwa na wewe, mwanachama mwingine wa familia yako, au ndugu aliye nje ya familia ambapo unaweza kupatikana?
[MWENDESHAJI: JIBU MOJA.]
1)NDIYO – yangu 
2)NDIYO – mwanakaya mwingine
3)NDIYO – rafiki au jamaa [asiye mwanakaya]
4)HAPANA
5)SIJUE
6)NILIKUKATALA</t>
        </is>
      </c>
      <c r="I28" s="393">
        <f>LEN(H28)</f>
        <v/>
      </c>
      <c r="J28" s="114" t="inlineStr">
        <is>
          <t>Udi mua kumpesha nomba mukuabu wa telefone, webe, wa muntu mukuabu wa mu nzubu anyi wa mulela udi musombele pambelu pa nzubu, utudi mua kukupeta anyi?
[ENQUETEUR/TRICE:Bipwebo imwe.]
1)EYOWA – wanyi
 2)EYOWA - muntu mukuabu wa mu nzubu
3)EYOWA - mulunda anyi mulela [udi kayi wa mu nzubu].
4)KAYI
5)TSHIENA MUMANYE
6)MUBENE</t>
        </is>
      </c>
      <c r="K28" s="393">
        <f>LEN(J28)</f>
        <v/>
      </c>
      <c r="L28" s="56" t="inlineStr">
        <is>
          <t>Single Choice</t>
        </is>
      </c>
      <c r="M28" s="52" t="inlineStr">
        <is>
          <t>NA</t>
        </is>
      </c>
      <c r="N28" s="52" t="inlineStr">
        <is>
          <t>NA</t>
        </is>
      </c>
      <c r="O28" s="52" t="inlineStr">
        <is>
          <t>Form Type - Buttons</t>
        </is>
      </c>
      <c r="P28" s="82" t="inlineStr">
        <is>
          <t>NA</t>
        </is>
      </c>
      <c r="Q28" s="44" t="inlineStr">
        <is>
          <t>1-3= phone_number_3
4-6 = hh_admin1</t>
        </is>
      </c>
      <c r="R28" s="186" t="n"/>
      <c r="S28" s="144" t="inlineStr">
        <is>
          <t>if contact_3 = 1-3, go to phone_number_3
if contact_3 = 4-6, go to hh_admin1</t>
        </is>
      </c>
      <c r="T28" s="145" t="inlineStr"/>
      <c r="U28" s="146" t="n"/>
      <c r="V28" s="171">
        <f>1</f>
        <v/>
      </c>
      <c r="W28" s="138" t="n"/>
      <c r="Y28" s="140" t="inlineStr">
        <is>
          <t>yes - panel</t>
        </is>
      </c>
      <c r="Z28" s="141" t="n"/>
      <c r="AC28" s="172" t="n">
        <v>3.163594007492065</v>
      </c>
      <c r="AD28" s="168">
        <f>IF(AC28="","",AC28*V28)</f>
        <v/>
      </c>
      <c r="AE28" s="43" t="inlineStr"/>
    </row>
    <row r="29" ht="51" customFormat="1" customHeight="1" s="139">
      <c r="A29" s="14">
        <f>A28+1</f>
        <v/>
      </c>
      <c r="B29" s="89" t="inlineStr">
        <is>
          <t>phone_number_3</t>
        </is>
      </c>
      <c r="C29" s="90" t="inlineStr">
        <is>
          <t>phone_number_3</t>
        </is>
      </c>
      <c r="D29" s="397" t="inlineStr">
        <is>
          <t>What is the additional phone number?
[OPERATOR: RECORD THE NUMBER GIVEN]</t>
        </is>
      </c>
      <c r="E29" s="52">
        <f>LEN(D29)</f>
        <v/>
      </c>
      <c r="F29" s="114" t="inlineStr">
        <is>
          <t>Quel est cet autre numéro de téléphone?
[OPÉRATEUR/OPÉRATRICE: SAISIR LE NUMERO.]</t>
        </is>
      </c>
      <c r="G29" s="52">
        <f>LEN(F29)</f>
        <v/>
      </c>
      <c r="H29" s="114" t="inlineStr">
        <is>
          <t>Namba ya simu yako ingine ni nini?
[OPERATOR: REKODI NAMBA ULIYOPEWA]</t>
        </is>
      </c>
      <c r="I29" s="393">
        <f>LEN(H29)</f>
        <v/>
      </c>
      <c r="J29" s="114" t="inlineStr">
        <is>
          <t xml:space="preserve">Nomba mukuabu wa telefone eu nnganyi?
[ENQUETEUR/TRICE: ENTER NUMBER.]
</t>
        </is>
      </c>
      <c r="K29" s="393">
        <f>LEN(J29)</f>
        <v/>
      </c>
      <c r="L29" s="56" t="inlineStr">
        <is>
          <t>Open Ended</t>
        </is>
      </c>
      <c r="M29" s="52" t="inlineStr">
        <is>
          <t>NA</t>
        </is>
      </c>
      <c r="N29" s="52" t="inlineStr">
        <is>
          <t>NA</t>
        </is>
      </c>
      <c r="O29" s="52" t="inlineStr">
        <is>
          <t>Form Type - TextBox</t>
        </is>
      </c>
      <c r="P29" s="82" t="inlineStr">
        <is>
          <t>NA</t>
        </is>
      </c>
      <c r="Q29" s="44" t="inlineStr">
        <is>
          <t>Any Response = contact_3_name</t>
        </is>
      </c>
      <c r="R29" s="186" t="n"/>
      <c r="S29" s="147" t="inlineStr">
        <is>
          <t>For any response, go to contact_3_name</t>
        </is>
      </c>
      <c r="T29" s="148" t="inlineStr"/>
      <c r="U29" s="146" t="n"/>
      <c r="V29" s="171">
        <f>1</f>
        <v/>
      </c>
      <c r="W29" s="138" t="n"/>
      <c r="Y29" s="140" t="inlineStr">
        <is>
          <t>yes - panel</t>
        </is>
      </c>
      <c r="Z29" s="141" t="n"/>
      <c r="AC29" s="172" t="n">
        <v>10.83014392852783</v>
      </c>
      <c r="AD29" s="168">
        <f>IF(AC29="","",AC29*V29)</f>
        <v/>
      </c>
      <c r="AE29" s="43" t="inlineStr"/>
    </row>
    <row r="30" ht="102" customFormat="1" customHeight="1" s="139">
      <c r="A30" s="14">
        <f>A29+1</f>
        <v/>
      </c>
      <c r="B30" s="89" t="inlineStr">
        <is>
          <t>contact_3_name</t>
        </is>
      </c>
      <c r="C30" s="89" t="inlineStr">
        <is>
          <t>phone_number_3_name</t>
        </is>
      </c>
      <c r="D30" s="397" t="inlineStr">
        <is>
          <t>What is the name of the contact?
[OPERATOR: RECORD THE NAME OF THE CONTACT FOR THE PHONE NUMBER.]</t>
        </is>
      </c>
      <c r="E30" s="52">
        <f>LEN(D30)</f>
        <v/>
      </c>
      <c r="F30" s="397" t="inlineStr">
        <is>
          <t>Quel est le nom du contact associé à ce numéro de téléphone?
[OPÉRATEUR/OPÉRATRICE: SAISIR LENOM DU CONTACT POUR CE NUMERO DE TÉLÉPHONE.]</t>
        </is>
      </c>
      <c r="G30" s="52">
        <f>LEN(F30)</f>
        <v/>
      </c>
      <c r="H30" s="114" t="inlineStr">
        <is>
          <t>Jina la mawasiliano ni nani?_x000D_
_x000D_
[OPERATOR: REKODI JINA KUFUATANA NA NAMBA YA SIMU.]</t>
        </is>
      </c>
      <c r="I30" s="393">
        <f>LEN(H30)</f>
        <v/>
      </c>
      <c r="J30" s="114" t="inlineStr">
        <is>
          <t xml:space="preserve">Dîna dia muntu udibu mua kuyukila nadi didi dipetangana ne nomba wa telefone eu ndinyi?
[ENQUETEUR/TRICE: BUELA DÎNA DIA MUENA MUDIMU WA NOMBA WA TELEFONE EWU.]
</t>
        </is>
      </c>
      <c r="K30" s="393">
        <f>LEN(J30)</f>
        <v/>
      </c>
      <c r="L30" s="56" t="inlineStr">
        <is>
          <t>Open Ended</t>
        </is>
      </c>
      <c r="M30" s="52" t="inlineStr">
        <is>
          <t>NA</t>
        </is>
      </c>
      <c r="N30" s="52" t="inlineStr">
        <is>
          <t>Send if "contact_3" "Equals" "YES - other household member" Or "contact_3" "Equals" "YES - friend or relative [non-household member]" if not satisfied go to "hh_admin1"</t>
        </is>
      </c>
      <c r="O30" s="52" t="inlineStr">
        <is>
          <t>Form Type - TextBox</t>
        </is>
      </c>
      <c r="P30" s="82" t="inlineStr">
        <is>
          <t>NA</t>
        </is>
      </c>
      <c r="Q30" s="44" t="inlineStr">
        <is>
          <t>Any Response = hh_admin1</t>
        </is>
      </c>
      <c r="R30" s="186" t="n"/>
      <c r="S30" s="147" t="inlineStr">
        <is>
          <t>Asked if response to contact_3 was "YES - other household member" or "YES - friend or relative [non-household member]". Otherwise, it skips to "hh_admin1".
For any response, go to hh_admin1</t>
        </is>
      </c>
      <c r="T30" s="24" t="inlineStr"/>
      <c r="U30" s="146" t="n"/>
      <c r="V30" s="171">
        <f>1</f>
        <v/>
      </c>
      <c r="W30" s="138" t="n"/>
      <c r="Y30" s="140" t="inlineStr">
        <is>
          <t>yes - panel</t>
        </is>
      </c>
      <c r="Z30" s="141" t="n"/>
      <c r="AC30" s="172" t="n">
        <v>11.26041698455811</v>
      </c>
      <c r="AD30" s="168">
        <f>IF(AC30="","",AC30*V30)</f>
        <v/>
      </c>
      <c r="AE30" s="43" t="inlineStr"/>
    </row>
    <row r="31" ht="346.5" customFormat="1" customHeight="1" s="526">
      <c r="A31" s="511">
        <f>A30+1</f>
        <v/>
      </c>
      <c r="B31" s="512" t="inlineStr">
        <is>
          <t>hh_admin1</t>
        </is>
      </c>
      <c r="C31" s="513" t="inlineStr">
        <is>
          <t>hh_admin1</t>
        </is>
      </c>
      <c r="D31" s="514" t="inlineStr">
        <is>
          <t>Currently, in which Province does your household reside?
[OPERATOR: SINGLE SELECTION.]
[HINT: HOUSEHOLD CONSISTS OF ALL MEMBERS LIVING TOGETHER, SHARING RESOURCES &amp; EATING FROM THE SAME POT.]
1)ADMIN1
2)DON'T KNOW
3)REFUSED</t>
        </is>
      </c>
      <c r="E31" s="515">
        <f>LEN(D31)</f>
        <v/>
      </c>
      <c r="F31" s="516" t="inlineStr">
        <is>
          <t>Actuellement, dans quel Province votre ménage vit-il?
[OPÉRATEUR/OPÉRATRICE: RÉPONSE UNIQUE.]
[NOTE: LE MÉNAGE EST COMPOSÉ DE TOUTES LES PERSONNES VIVANT ENSEMBLE, METTANT EN COMMUN LEURS RESSOURCES ET PARTAGEANT LEURS REPAS.]
1)BAS-UELE
2)EQUATEUR
3)HAUT-KATANGA
4)HAUT-LOMAMI
5)HAUT-UELE
6)ITURI
7)KASAI
8)KASAI-CENTRAL
9)KASAI-ORIENTAL
10)KINSHASA
11)KONGO-CENTRAL
12)KWANGO
13)KWILU
14)LOMAMI
15)LUALABA
16)MAI-NDOMBE
17)MANIEMA
18)MONGALA
19)NORD-KIVU
20)NORD-UBANGI
21)SANKURU
22)SUD-KIVU
23)SUD-UBANGI
24)TANGANYIKA
25)TSHOPO
26)TSHUAPA
27)NE SAIT PAS
28)REFUSE</t>
        </is>
      </c>
      <c r="G31" s="515">
        <f>LEN(F31)</f>
        <v/>
      </c>
      <c r="H31" s="516" t="inlineStr">
        <is>
          <t>Kaya yako iko Ku province gani?
[KIDOKEZO: KAYA INAJUMUISHA WANAKAYA WOTE WANAOISHI PAMOJA, KUGAWANA RASILIMALI NA KULA KUTOKA CHUNGU KIMOJA.]
[OPERATOR: UCHAGUZI MOJA.]
1)BAS-UELE
2)EQUATEUR
3)HAUT-KATANGA
4)HAUT-LOMAMI
5)HAUT-UELE
6)ITURI
7)KASAI
8)KASAI-CENTRAL
9)KASAI-ORIENTAL
10)KINSHASA
11)KONGO-CENTRAL
12)KWANGO
13)KWILU
14)LOMAMI
15)LUALABA
16)MAI-NDOMBE
17)MANIEMA
18)MONGALA
19)NORD-KIVU
20)NORD-UBANGI
21)SANKURU
22)SUD-KIVU
23)SUD-UBANGI
24)TANGANYIKA
25)TSHOPO
26)TSHUAPA
27)SIJUE
28)KUKATALA</t>
        </is>
      </c>
      <c r="I31" s="517">
        <f>LEN(H31)</f>
        <v/>
      </c>
      <c r="J31" s="518" t="inlineStr">
        <is>
          <t>Mu tshikondo etshi, nzubu wenu udi mu polovense kayi? 
[ENQUETEUR/TRICE:Bipwebo imwe.][NOTE: MU MUSOKO UDI MUENZA KU BANTU BONSO BADI BASOMBA PAMUE, BASANGISHA BIDIMU BIABU NE BANYANGANA BIDIBU BIABU.] 
1)BAS-UELE
2)EQUATEUR
3)HAUT-KATANGA
4)HAUT-LOMAMI
5)HAUT-UELE
6)ITURI
7)KASAI
8)KASAI-CENTRAL
9)KASAI-ORIENTAL
10)KINSHASA
11)KONGO-CENTRAL
12)KWANGO
13)KWILU
14)LOMAMI
15)LUALABA
16)MAI-NDOMBE
17)MANIEMA
18)MONGALA
19)NORD-KIVU
20)NORD-UBANGI
21)SANKURU
22)SUD-KIVU
23)SUD-UBANGI
24)TANGANYIKA
25)TSHOPO
26)TSHUAPA
27)TSHIENA MUMANYE
28)MUBENGE</t>
        </is>
      </c>
      <c r="K31" s="517">
        <f>LEN(J31)</f>
        <v/>
      </c>
      <c r="L31" s="519" t="inlineStr">
        <is>
          <t>Single Choice</t>
        </is>
      </c>
      <c r="M31" s="515" t="inlineStr">
        <is>
          <t>NA</t>
        </is>
      </c>
      <c r="N31" s="515" t="inlineStr">
        <is>
          <t>NA</t>
        </is>
      </c>
      <c r="O31" s="515" t="inlineStr">
        <is>
          <t>Form Type - Buttons
IsDemographic - ADM1</t>
        </is>
      </c>
      <c r="P31" s="520" t="inlineStr">
        <is>
          <t>NA</t>
        </is>
      </c>
      <c r="Q31" s="521" t="inlineStr">
        <is>
          <t>1 = Ineligible
2 = Ineligible
3 = Ineligible
4 = Ineligible
5 = Ineligible
6 = hh_admin2_6
7 = hh_admin2_7
8 = Ineligible
9 = Ineligible
10 = Ineligible
11 = Ineligible
12=Ineligible
13=Ineligible
14=Ineligible
15=Ineligible
16=Ineligible
17=Ineligible
18=Ineligible
19=hh_admin2_19
20=Ineligible
21=Ineligible
22=hh_admin2_22
23=Ineligible
24=hh_admin2_24
25=Ineligible
26=Ineligible
27-28 = Ineligible</t>
        </is>
      </c>
      <c r="R31" s="521" t="n"/>
      <c r="S31" s="552" t="inlineStr">
        <is>
          <t>The administrative information will be updated by GeoPoll based on the sample design document and the administrative boundaries provided by the dashboard team after the questionnaire validation.</t>
        </is>
      </c>
      <c r="T31" s="522" t="inlineStr"/>
      <c r="U31" s="523" t="n"/>
      <c r="V31" s="524">
        <f>1</f>
        <v/>
      </c>
      <c r="W31" s="525" t="n"/>
      <c r="Y31" s="527" t="inlineStr">
        <is>
          <t>yes</t>
        </is>
      </c>
      <c r="Z31" s="528" t="n"/>
      <c r="AC31" s="529" t="n">
        <v>13.95725891910985</v>
      </c>
      <c r="AD31" s="529">
        <f>IF(AC31="","",AC31*V31)</f>
        <v/>
      </c>
      <c r="AE31" s="525" t="inlineStr">
        <is>
          <t>13.95725891910985</t>
        </is>
      </c>
    </row>
    <row r="32" ht="207" customFormat="1" customHeight="1" s="48">
      <c r="A32" s="14">
        <f>A31+1</f>
        <v/>
      </c>
      <c r="B32" s="63" t="inlineStr">
        <is>
          <t>hh_admin2_1</t>
        </is>
      </c>
      <c r="C32" s="399" t="inlineStr">
        <is>
          <t>hh_admin2_1</t>
        </is>
      </c>
      <c r="D32" s="57" t="inlineStr">
        <is>
          <t>Currently, in which Territory does your household reside?
[OPERATOR: SINGLE RESPONSE.]
1)ADMIN2
2)DON'T KNOW
3)REFUSED</t>
        </is>
      </c>
      <c r="E32" s="52">
        <f>LEN(D32)</f>
        <v/>
      </c>
      <c r="F32" s="114" t="inlineStr">
        <is>
          <t>Dans quelle territoire vit votre ménage actuellement?
[OPERATEUR/OPERATRICE: NE LISEZ PAS LES OPTIONS. SEULEMENT UNE REPONSE]
1)AKETI
2)ANGO
3)BAMBESA
4)BONDO
5)BUTA
6)DINGILA
7)POKO
8)NE SAIT PAS
9)REFUSE</t>
        </is>
      </c>
      <c r="G32" s="52">
        <f>LEN(F32)</f>
        <v/>
      </c>
      <c r="H32" s="71" t="inlineStr">
        <is>
          <t>Kaya yako iko Ku territoire/ville gani?
[OPERATEUR/OPERATRICE: USISOME CHAGUZI. JIBU MOJA TU]
1)AKETI
2)ANGO
3)BAMBESA
4)BONDO
5)BUTA
6)DINGILA
7)POKO
8)SIJUE
9)KUKATALA</t>
        </is>
      </c>
      <c r="I32" s="45">
        <f>LEN(H32)</f>
        <v/>
      </c>
      <c r="J32" s="71" t="inlineStr">
        <is>
          <t>Bena mu dîku dienu badi basombele mu teritware kayi mpindieu?
[ENQUETEUR/TRICE: KUTANGI BIDI BIKUMBANE TO. DIANDAMUNA DIMUE ANYI]
1)AKETI
2)ANGO
3)BAMBESA
4)BONDO
5)BUTA
6)DINGILA
7)POKO
8)TSHENA MUMANYE
9)MUBENE</t>
        </is>
      </c>
      <c r="K32" s="393">
        <f>LEN(J32)</f>
        <v/>
      </c>
      <c r="L32" s="54" t="inlineStr">
        <is>
          <t>Single Choice</t>
        </is>
      </c>
      <c r="M32" s="52" t="inlineStr">
        <is>
          <t>NA</t>
        </is>
      </c>
      <c r="N32" s="52" t="inlineStr">
        <is>
          <t>NA</t>
        </is>
      </c>
      <c r="O32" s="52" t="inlineStr">
        <is>
          <t>Form Type - Dropdown
IsDemographic - ADM2</t>
        </is>
      </c>
      <c r="P32" s="56" t="inlineStr">
        <is>
          <t>NA</t>
        </is>
      </c>
      <c r="Q32" s="57" t="inlineStr">
        <is>
          <t>1-7= quotareached
8-9= Ineligible</t>
        </is>
      </c>
      <c r="R32" s="46" t="n"/>
      <c r="S32" s="588" t="n"/>
      <c r="T32" s="149" t="inlineStr"/>
      <c r="U32" s="150" t="n"/>
      <c r="V32" s="94" t="n"/>
      <c r="W32" s="40" t="n"/>
      <c r="Y32" t="inlineStr"/>
      <c r="AE32" t="inlineStr"/>
    </row>
    <row r="33" ht="276.65" customFormat="1" customHeight="1" s="48">
      <c r="A33" s="14">
        <f>A32+1</f>
        <v/>
      </c>
      <c r="B33" s="63" t="inlineStr">
        <is>
          <t>hh_admin2_2</t>
        </is>
      </c>
      <c r="C33" s="63" t="inlineStr">
        <is>
          <t>hh_admin2_2</t>
        </is>
      </c>
      <c r="D33" s="57" t="inlineStr">
        <is>
          <t>Currently, in which territory do your household live in?
[OPERATOR: DO NOT READ THE OPTIONS. SINGLE SELECTION]
1)BASANKUSU
2)BIKORO
3)BOLOMBA
4)BOMONGO
5)INGENDE
6)LUKOLELA
7)MAKANZA
8)MBANDAKA
9)DON'T KNOW
10)REFUSED</t>
        </is>
      </c>
      <c r="E33" s="52">
        <f>LEN(D33)</f>
        <v/>
      </c>
      <c r="F33" s="114" t="inlineStr">
        <is>
          <t>Dans quelle territoire vit votre ménage actuellement?
[OPERATEUR/OPERATRICE: NE LISEZ PAS LES OPTIONS. SEULEMENT UNE REPONSE]
1)BASANKUSU
2)BIKORO
3)BOLOMBA
4)BOMONGO
5)INGENDE
6)LUKOLELA
7)MAKANZA
8)MBANDAKA
9)NE SAIT PAS
10)REFUSE</t>
        </is>
      </c>
      <c r="G33" s="52">
        <f>LEN(F33)</f>
        <v/>
      </c>
      <c r="H33" s="114" t="inlineStr">
        <is>
          <t>Kaya yako iko Ku territoire/ville gani?
[OPERATEUR/OPERATRICE: USISOME CHAGUZI. JIBU MOJA TU]
1)BASANKUSU
2)BIKORO
3)BOLOMBA
4)BOMONGO
5)INGENDE
6)LUKOLELA
7)MAKANZA
8)MBANDAKA
9)SIJUE
10)KUKATALA</t>
        </is>
      </c>
      <c r="I33" s="45">
        <f>LEN(H33)</f>
        <v/>
      </c>
      <c r="J33" s="71" t="inlineStr">
        <is>
          <t xml:space="preserve">Bena mu dîku dienu badi basombele mu teritware kayi mpindieu?
[ENQUETEUR/TRICE: KUTANGI BIDI BIKUMBANE TO. DIANDAMUNA DIMUE ANYI]
1)BASANKUSU
2)BIKORO
3)BOLOMBA
4)BOMONGO
5)INGENDE
6)LUKOLELA
7)MAKANZA
8)MBANDAKA
9)TSHIENA MUMANYE
10)MUBENE
</t>
        </is>
      </c>
      <c r="K33" s="393">
        <f>LEN(J33)</f>
        <v/>
      </c>
      <c r="L33" s="54" t="inlineStr">
        <is>
          <t>Single Choice</t>
        </is>
      </c>
      <c r="M33" s="52" t="inlineStr">
        <is>
          <t>NA</t>
        </is>
      </c>
      <c r="N33" s="52" t="inlineStr">
        <is>
          <t>NA</t>
        </is>
      </c>
      <c r="O33" s="52" t="inlineStr">
        <is>
          <t>Form Type - Dropdown
IsDemographic - ADM2</t>
        </is>
      </c>
      <c r="P33" s="56" t="inlineStr">
        <is>
          <t>NA</t>
        </is>
      </c>
      <c r="Q33" s="57" t="inlineStr">
        <is>
          <t>1-8 = quotareached
9-10= Ineligible</t>
        </is>
      </c>
      <c r="R33" s="46" t="n"/>
      <c r="S33" s="588" t="n"/>
      <c r="T33" s="149" t="inlineStr"/>
      <c r="U33" s="150" t="n"/>
      <c r="V33" s="94" t="n"/>
      <c r="W33" s="40" t="n"/>
      <c r="Y33" t="inlineStr"/>
      <c r="AE33" t="inlineStr"/>
    </row>
    <row r="34" ht="224.5" customFormat="1" customHeight="1" s="48">
      <c r="A34" s="14">
        <f>A33+1</f>
        <v/>
      </c>
      <c r="B34" s="63" t="inlineStr">
        <is>
          <t>hh_admin2_3</t>
        </is>
      </c>
      <c r="C34" s="63" t="inlineStr">
        <is>
          <t>hh_admin2_3</t>
        </is>
      </c>
      <c r="D34" s="57" t="inlineStr">
        <is>
          <t>Currently, in which territory do your household live in?
[OPERATOR: DO NOT READ THE OPTIONS. SINGLE SELECTION]
1)KAMBOVE
2)KASENGA
3)KIPUSHI
4)LIKASI
5)LUBUMBASHI
6)MITWABA
7)PWETO
8)SAKANIA
9)DON'T KNOW
10)REFUSED</t>
        </is>
      </c>
      <c r="E34" s="52">
        <f>LEN(D34)</f>
        <v/>
      </c>
      <c r="F34" s="114" t="inlineStr">
        <is>
          <t xml:space="preserve">Dans quelle territoire vit votre ménage actuellement?
[OPERATEUR/OPERATRICE: NE LISEZ PAS LES OPTIONS. SEULEMENT UNE REPONSE]
1)KAMBOVE
2)KASENGA
3)KIPUSHI
4)LIKASI
5)LUBUMBASHI
6)MITWABA
7)PWETO
8)SAKANIA
9)NE SAIT PAS
10)REFUSE
</t>
        </is>
      </c>
      <c r="G34" s="52">
        <f>LEN(F34)</f>
        <v/>
      </c>
      <c r="H34" s="114" t="inlineStr">
        <is>
          <t xml:space="preserve">Kaya yako iko Ku territoire/ville gani?
[OPERATEUR/OPERATRICE: USISOME CHAGUZI. JIBU MOJA TU]
1)KAMBOVE
2)KASENGA
3)KIPUSHI
4)LIKASI
5)LUBUMBASHI
6)MITWABA
7)PWETO
8)SAKANIA
9)SIJUE
10)KUKATALA
</t>
        </is>
      </c>
      <c r="I34" s="45">
        <f>LEN(H34)</f>
        <v/>
      </c>
      <c r="J34" s="71" t="inlineStr">
        <is>
          <t xml:space="preserve">Bena mu dîku dienu badi basombele mu teritware kayi mpindieu?
[ENQUETEUR/TRICE: KUTANGI BIDI BIKUMBANE TO. DIANDAMUNA DIMUE ANYI]
1)KAMBOVE
2)KASENGA
3)KIPUSHI
4)LIKASI
5)LUBUMBASHI
6)MITWABA
7)PWETO
8)SAKANIA
9)TSHIENA MUMANYE
10)MUBENE
</t>
        </is>
      </c>
      <c r="K34" s="393">
        <f>LEN(J34)</f>
        <v/>
      </c>
      <c r="L34" s="54" t="inlineStr">
        <is>
          <t>Single Choice</t>
        </is>
      </c>
      <c r="M34" s="52" t="inlineStr">
        <is>
          <t>NA</t>
        </is>
      </c>
      <c r="N34" s="52" t="inlineStr">
        <is>
          <t>NA</t>
        </is>
      </c>
      <c r="O34" s="52" t="inlineStr">
        <is>
          <t>Form Type - Dropdown
IsDemographic - ADM2</t>
        </is>
      </c>
      <c r="P34" s="56" t="inlineStr">
        <is>
          <t>NA</t>
        </is>
      </c>
      <c r="Q34" s="57" t="inlineStr">
        <is>
          <t>1-8 = quotareached
9-10= Ineligible</t>
        </is>
      </c>
      <c r="R34" s="46" t="n"/>
      <c r="S34" s="588" t="n"/>
      <c r="T34" s="149" t="inlineStr"/>
      <c r="U34" s="150" t="n"/>
      <c r="V34" s="94" t="n"/>
      <c r="W34" s="40" t="n"/>
      <c r="Y34" t="inlineStr"/>
      <c r="AE34" t="inlineStr"/>
    </row>
    <row r="35" ht="195" customFormat="1" customHeight="1" s="48">
      <c r="A35" s="14">
        <f>A34+1</f>
        <v/>
      </c>
      <c r="B35" s="63" t="inlineStr">
        <is>
          <t>hh_admin2_4</t>
        </is>
      </c>
      <c r="C35" s="63" t="inlineStr">
        <is>
          <t>hh_admin2_4</t>
        </is>
      </c>
      <c r="D35" s="57" t="inlineStr">
        <is>
          <t>Currently, in which territory do your household live in?
[OPERATOR: DO NOT READ THE OPTIONS. SINGLE SELECTION]
1)BUKAMA
2)KABONGO
3)KAMINA
4)KANIAMA
5)MALEMBA-NKULU
6)DON'T KNOW
7)REFUSED</t>
        </is>
      </c>
      <c r="E35" s="52">
        <f>LEN(D35)</f>
        <v/>
      </c>
      <c r="F35" s="114" t="inlineStr">
        <is>
          <t>Dans quelle territoire vit votre ménage actuellement?
[OPERATEUR/OPERATRICE: NE LISEZ PAS LES OPTIONS. SEULEMENT UNE REPONSE]
1)BUKAMA
2)KABONGO
3)KAMINA
4)KANIAMA
5)MALEMBA-NKULU
6)NE SAIT PAS
7)REFUSE</t>
        </is>
      </c>
      <c r="G35" s="52">
        <f>LEN(F35)</f>
        <v/>
      </c>
      <c r="H35" s="71" t="inlineStr">
        <is>
          <t>Kaya yako iko Ku territoire/ville gani?
[OPERATEUR/OPERATRICE: USISOME CHAGUZI. JIBU MOJA TU]
1)BUKAMA
2)KABONGO
3)KAMINA
4)KANIAMA
5)MALEMBA-NKULU
6)SIJUE
7)KUKATALA</t>
        </is>
      </c>
      <c r="I35" s="45">
        <f>LEN(H35)</f>
        <v/>
      </c>
      <c r="J35" s="71" t="inlineStr">
        <is>
          <t xml:space="preserve">Bena mu dîku dienu badi basombele mu teritware kayi mpindieu?
[ENQUETEUR/TRICE: KUTANGI BIDI BIKUMBANE TO. DIANDAMUNA DIMUE ANYI]
1)BUKAMA
2)KABONGO
3)KAMINA
4)KANIAMA
5)MALEMBA-NKULU
6)TSHIENA MUMANYE
7)MUBENE
</t>
        </is>
      </c>
      <c r="K35" s="393">
        <f>LEN(J35)</f>
        <v/>
      </c>
      <c r="L35" s="54" t="inlineStr">
        <is>
          <t>Single Choice</t>
        </is>
      </c>
      <c r="M35" s="52" t="inlineStr">
        <is>
          <t>NA</t>
        </is>
      </c>
      <c r="N35" s="52" t="inlineStr">
        <is>
          <t>NA</t>
        </is>
      </c>
      <c r="O35" s="52" t="inlineStr">
        <is>
          <t>Form Type - Dropdown
IsDemographic - ADM2</t>
        </is>
      </c>
      <c r="P35" s="56" t="inlineStr">
        <is>
          <t>NA</t>
        </is>
      </c>
      <c r="Q35" s="57" t="inlineStr">
        <is>
          <t>1-5 = quotareached
6-7= Ineligible</t>
        </is>
      </c>
      <c r="R35" s="46" t="n"/>
      <c r="S35" s="588" t="n"/>
      <c r="T35" s="149" t="inlineStr"/>
      <c r="U35" s="150" t="n"/>
      <c r="V35" s="94" t="n"/>
      <c r="W35" s="40" t="n"/>
      <c r="Y35" t="inlineStr"/>
      <c r="AE35" t="inlineStr"/>
    </row>
    <row r="36" ht="226.5" customFormat="1" customHeight="1" s="48">
      <c r="A36" s="14">
        <f>A35+1</f>
        <v/>
      </c>
      <c r="B36" s="63" t="inlineStr">
        <is>
          <t>hh_admin2_5</t>
        </is>
      </c>
      <c r="C36" s="63" t="inlineStr">
        <is>
          <t>hh_admin2_5</t>
        </is>
      </c>
      <c r="D36" s="57" t="inlineStr">
        <is>
          <t>Currently, in which territory do your household live in?
[OPERATOR: DO NOT READ THE OPTIONS. SINGLE SELECTION]
1)ABA
2)DUNGU
3)FARADJE
4)ISIRO
5)NIANGARA
6)RUNGU
7)WAMBA
8)WATSA
9)DON'T KNOW
10)REFUSED</t>
        </is>
      </c>
      <c r="E36" s="52">
        <f>LEN(D36)</f>
        <v/>
      </c>
      <c r="F36" s="114" t="inlineStr">
        <is>
          <t>Dans quelle territoire vit votre ménage actuellement?
[OPERATEUR/OPERATRICE: NE LISEZ PAS LES OPTIONS. SEULEMENT UNE REPONSE]
1)ABA
2)DUNGU
3)FARADJE
4)ISIRO
5)NIANGARA
6)RUNGU
7)WAMBA
8)WATSA
9)NE SAIT PAS
10)REFUSE</t>
        </is>
      </c>
      <c r="G36" s="52">
        <f>LEN(F36)</f>
        <v/>
      </c>
      <c r="H36" s="71" t="inlineStr">
        <is>
          <t>Kaya yako iko Ku territoire/ville gani?
[OPERATEUR/OPERATRICE: USISOME CHAGUZI. JIBU MOJA TU]
1)ABA
2)DUNGU
3)FARADJE
4)ISIRO
5)NIANGARA
6)RUNGU
7)WAMBA
8)WATSA
9)SIJUE
10)KUKATALA</t>
        </is>
      </c>
      <c r="I36" s="45">
        <f>LEN(H36)</f>
        <v/>
      </c>
      <c r="J36" s="71" t="inlineStr">
        <is>
          <t xml:space="preserve">Bena mu dîku dienu badi basombele mu teritware kayi mpindieu?
[ENQUETEUR/TRICE: KUTANGI BIDI BIKUMBANE TO. DIANDAMUNA DIMUE ANYI]
 1)ABA
2)DUNGU
3)FARADJE
4)ISIRO
5)NIANGARA
6)RUNGU
7)WAMBA
8)WATSA
9) TSHIENA MUMANYE
10)MUBENE </t>
        </is>
      </c>
      <c r="K36" s="393">
        <f>LEN(J36)</f>
        <v/>
      </c>
      <c r="L36" s="54" t="inlineStr">
        <is>
          <t>Single Choice</t>
        </is>
      </c>
      <c r="M36" s="52" t="inlineStr">
        <is>
          <t>NA</t>
        </is>
      </c>
      <c r="N36" s="52" t="inlineStr">
        <is>
          <t>NA</t>
        </is>
      </c>
      <c r="O36" s="52" t="inlineStr">
        <is>
          <t>Form Type - Dropdown
IsDemographic - ADM2</t>
        </is>
      </c>
      <c r="P36" s="56" t="inlineStr">
        <is>
          <t>NA</t>
        </is>
      </c>
      <c r="Q36" s="57" t="inlineStr">
        <is>
          <t>1-8 = quotareached
9-10= Ineligible</t>
        </is>
      </c>
      <c r="R36" s="46" t="n"/>
      <c r="S36" s="588" t="n"/>
      <c r="T36" s="149" t="inlineStr"/>
      <c r="U36" s="150" t="n"/>
      <c r="V36" s="94" t="n"/>
      <c r="W36" s="40" t="n"/>
      <c r="Y36" t="inlineStr"/>
      <c r="AE36" t="inlineStr"/>
    </row>
    <row r="37" ht="255" customFormat="1" customHeight="1" s="48">
      <c r="A37" s="14">
        <f>A36+1</f>
        <v/>
      </c>
      <c r="B37" s="63" t="inlineStr">
        <is>
          <t>hh_admin2_6</t>
        </is>
      </c>
      <c r="C37" s="399" t="inlineStr">
        <is>
          <t>hh_admin2_6</t>
        </is>
      </c>
      <c r="D37" s="64" t="inlineStr">
        <is>
          <t>Currently, in which territory do your household live in?
[OPERATOR: DO NOT READ THE OPTIONS. SINGLE SELECTION]
1)ARIWARA
2)ARU
3)BUNIA
4)DJUGU
5)INGBOKOLO
6)IRUMU
7)MAHAGI
8)MAMBASA
9)MONGWALU
10)DON'T KNOW
11)REFUSED</t>
        </is>
      </c>
      <c r="E37" s="52">
        <f>LEN(D37)</f>
        <v/>
      </c>
      <c r="F37" s="64" t="inlineStr">
        <is>
          <t>Dans quelle territoire vit votre ménage actuellement?
[OPERATEUR/OPERATRICE: NE LISEZ PAS LES OPTIONS. SEULEMENT UNE REPONSE]
1)ARIWARA
2)ARU
3)BUNIA
4)DJUGU
5)INGBOKOLO
6)IRUMU
7)MAHAGI
8)MAMBASA
9)MONGWALU
10)NE SAIT PAS
11)REFUSE</t>
        </is>
      </c>
      <c r="G37" s="52">
        <f>LEN(F37)</f>
        <v/>
      </c>
      <c r="H37" s="71" t="inlineStr">
        <is>
          <t>Kaya yako iko Ku territoire/ville gani?
[OPERATEUR/OPERATRICE: USISOME CHAGUZI. JIBU MOJA TU]
1)ARIWARA
2)ARU
3)BUNIA
4)DJUGU
5)INGBOKOLO
6)IRUMU
7)MAHAGI
8)MAMBASA
9)MONGWALU
10)SIJUE
11)KUKATALA</t>
        </is>
      </c>
      <c r="I37" s="45">
        <f>LEN(H37)</f>
        <v/>
      </c>
      <c r="J37" s="400" t="inlineStr">
        <is>
          <t xml:space="preserve">Bena mu dîku dienu badi basombele mu teritware kayi mpindieu?
[ENQUETEUR/TRICE: KUTANGI BIDI BIKUMBANE TO. DIANDAMUNA DIMUE ANYI]
1)ARIWARA
2)ARU
3)BUNIA
4)DJUGU
5)INGBOKOLO
6)IRUMU
7)MAHAGI
8)MAMBASA
9)MONGWALU
10)TSHIENA MUMANYE
11)MUBENE
</t>
        </is>
      </c>
      <c r="K37" s="393">
        <f>LEN(J37)</f>
        <v/>
      </c>
      <c r="L37" s="56" t="inlineStr">
        <is>
          <t>Single Choice</t>
        </is>
      </c>
      <c r="M37" s="52" t="inlineStr">
        <is>
          <t>NA</t>
        </is>
      </c>
      <c r="N37" s="52" t="inlineStr">
        <is>
          <t>NA</t>
        </is>
      </c>
      <c r="O37" s="52" t="inlineStr">
        <is>
          <t>Form Type - Dropdown
IsDemographic - ADM2</t>
        </is>
      </c>
      <c r="P37" s="52" t="inlineStr">
        <is>
          <t>NA</t>
        </is>
      </c>
      <c r="Q37" s="57" t="inlineStr">
        <is>
          <t>1 -9=  quotareached
10-11 = Ineligible</t>
        </is>
      </c>
      <c r="R37" s="46" t="n"/>
      <c r="S37" s="588" t="n"/>
      <c r="T37" s="57" t="inlineStr"/>
      <c r="U37" s="105" t="n"/>
      <c r="V37" s="38" t="n"/>
      <c r="W37" s="564" t="n"/>
      <c r="Y37" t="inlineStr"/>
      <c r="AE37" t="inlineStr"/>
    </row>
    <row r="38" ht="206.15" customFormat="1" customHeight="1" s="48">
      <c r="A38" s="14">
        <f>A37+1</f>
        <v/>
      </c>
      <c r="B38" s="63" t="inlineStr">
        <is>
          <t>hh_admin2_7</t>
        </is>
      </c>
      <c r="C38" s="399" t="inlineStr">
        <is>
          <t>hh_admin2_7</t>
        </is>
      </c>
      <c r="D38" s="64" t="inlineStr">
        <is>
          <t>Currently, in which territory do your household live in?
[OPERATOR: DO NOT READ THE OPTIONS. SINGLE SELECTION]
1)DEKESE
2)ILEBO
3)KAMONIA
4)LUEBO
5)MWEKA
6)TSHIKAPA
7)DON'T KNOW
8)REFUSED</t>
        </is>
      </c>
      <c r="E38" s="52">
        <f>LEN(D38)</f>
        <v/>
      </c>
      <c r="F38" s="64" t="inlineStr">
        <is>
          <t>Dans quelle territoire vit votre ménage actuellement?
[OPERATEUR/OPERATRICE: NE LISEZ PAS LES OPTIONS. SEULEMENT UNE REPONSE]
1)DEKESE
2)ILEBO
3)KAMONIA
4)LUEBO
5)MWEKA
6)TSHIKAPA
7)NE SAIT PAS
8)REFUSE</t>
        </is>
      </c>
      <c r="G38" s="52">
        <f>LEN(F38)</f>
        <v/>
      </c>
      <c r="H38" s="71" t="inlineStr">
        <is>
          <t>Kaya yako iko Ku territoire/ville gani?
[OPERATEUR/OPERATRICE: USISOME CHAGUZI. JIBU MOJA TU]
1)DEKESE
2)ILEBO
3)KAMONIA
4)LUEBO
5)MWEKA
6)TSHIKAPA
7)SIJUE
8)KUKATALA</t>
        </is>
      </c>
      <c r="I38" s="45">
        <f>LEN(H38)</f>
        <v/>
      </c>
      <c r="J38" s="114" t="inlineStr">
        <is>
          <t xml:space="preserve">Bena mu dîku dienu badi basombele mu teritware kayi mpindieu?
[ENQUETEUR/TRICE: KUTANGI BIDI BIKUMBANE TO. DIANDAMUNA DIMUE ANYI]
1)DEKESE
2)ILEBO
3)KAMONIA
4)LUEBO
5)MWEKA
6)TSHIKAPA
7)TSHIENA MUMANYE
8)MUBENE
</t>
        </is>
      </c>
      <c r="K38" s="393">
        <f>LEN(J38)</f>
        <v/>
      </c>
      <c r="L38" s="56" t="inlineStr">
        <is>
          <t>Single Choice</t>
        </is>
      </c>
      <c r="M38" s="52" t="inlineStr">
        <is>
          <t>NA</t>
        </is>
      </c>
      <c r="N38" s="52" t="inlineStr">
        <is>
          <t>NA</t>
        </is>
      </c>
      <c r="O38" s="52" t="inlineStr">
        <is>
          <t>Form Type - Buttons
IsDemographic - ADM2</t>
        </is>
      </c>
      <c r="P38" s="52" t="inlineStr">
        <is>
          <t>NA</t>
        </is>
      </c>
      <c r="Q38" s="57" t="inlineStr">
        <is>
          <t>1-6 =  quotareached
7-8 = Ineligible</t>
        </is>
      </c>
      <c r="R38" s="46" t="n"/>
      <c r="S38" s="588" t="n"/>
      <c r="T38" s="57" t="inlineStr"/>
      <c r="U38" s="151" t="n"/>
      <c r="V38" s="39" t="n"/>
      <c r="W38" s="564" t="n"/>
      <c r="Y38" t="inlineStr"/>
      <c r="AE38" t="inlineStr"/>
    </row>
    <row r="39" ht="214" customFormat="1" customHeight="1" s="48">
      <c r="A39" s="14">
        <f>A38+1</f>
        <v/>
      </c>
      <c r="B39" s="63" t="inlineStr">
        <is>
          <t>hh_admin2_8</t>
        </is>
      </c>
      <c r="C39" s="399" t="inlineStr">
        <is>
          <t>hh_admin2_8</t>
        </is>
      </c>
      <c r="D39" s="64" t="inlineStr">
        <is>
          <t>Currently, in which territory do your household live in?
[OPERATOR: DO NOT READ THE OPTIONS. SINGLE SELECTION]
1)DEMBA
2)DIBAYA
3)DIMBELENGE
4)KANANGA
5)KAZUMBA
6)LUIZA
7)TSHIMBULU
8)DON'T KNOW
9)REFUSED</t>
        </is>
      </c>
      <c r="E39" s="52">
        <f>LEN(D39)</f>
        <v/>
      </c>
      <c r="F39" s="64" t="inlineStr">
        <is>
          <t>Dans quelle territoire vit votre ménage actuellement?
[OPERATEUR/OPERATRICE: NE LISEZ PAS LES OPTIONS. SEULEMENT UNE REPONSE]
1)DEMBA
2)DIBAYA
3)DIMBELENGE
4)KANANGA
5)KAZUMBA
6)LUIZA
7)TSHIMBULU
8)NE SAIT PAS
9)REFUSE</t>
        </is>
      </c>
      <c r="G39" s="52">
        <f>LEN(F39)</f>
        <v/>
      </c>
      <c r="H39" s="71" t="inlineStr">
        <is>
          <t>Kaya yako iko Ku territoire/ville gani?
[OPERATEUR/OPERATRICE: USISOME CHAGUZI. JIBU MOJA TU]
1)DEMBA
2)DIBAYA
3)DIMBELENGE
4)KANANGA
5)KAZUMBA
6)LUIZA
7)TSHIMBULU
8)SIJUE
9)KUKATALA</t>
        </is>
      </c>
      <c r="I39" s="45">
        <f>LEN(H39)</f>
        <v/>
      </c>
      <c r="J39" s="114" t="inlineStr">
        <is>
          <t xml:space="preserve">Bena mu dîku dienu badi basombele mu teritware kayi mpindieu?
[ENQUETEUR/TRICE: KUTANGI BIDI BIKUMBANE TO. DIANDAMUNA DIMUE ANYI]
1)DEMBA
2)DIBAYA
3)DIMBELENGE
4)KANANGA
5)KAZUMBA
6)LUIZA
7)TSHIMBULU
8)TSHIENA MUMANYE
9)MUBENE
</t>
        </is>
      </c>
      <c r="K39" s="393">
        <f>LEN(J39)</f>
        <v/>
      </c>
      <c r="L39" s="53" t="inlineStr">
        <is>
          <t>Single Choice</t>
        </is>
      </c>
      <c r="M39" s="52" t="inlineStr">
        <is>
          <t>NA</t>
        </is>
      </c>
      <c r="N39" s="52" t="inlineStr">
        <is>
          <t>NA</t>
        </is>
      </c>
      <c r="O39" s="52" t="inlineStr">
        <is>
          <t>Form Type - Buttons
IsDemographic - ADM2</t>
        </is>
      </c>
      <c r="P39" s="52" t="inlineStr">
        <is>
          <t>NA</t>
        </is>
      </c>
      <c r="Q39" s="57" t="inlineStr">
        <is>
          <t>1-7 = quotareached
8-9 = Ineligible</t>
        </is>
      </c>
      <c r="R39" s="46" t="n"/>
      <c r="S39" s="588" t="n"/>
      <c r="T39" s="57" t="inlineStr"/>
      <c r="U39" s="151" t="n"/>
      <c r="V39" s="39" t="n"/>
      <c r="W39" s="564" t="n"/>
      <c r="Y39" t="inlineStr"/>
      <c r="AE39" t="inlineStr"/>
    </row>
    <row r="40" ht="209.5" customFormat="1" customHeight="1" s="48">
      <c r="A40" s="14">
        <f>A39+1</f>
        <v/>
      </c>
      <c r="B40" s="63" t="inlineStr">
        <is>
          <t>hh_admin2_9</t>
        </is>
      </c>
      <c r="C40" s="63" t="inlineStr">
        <is>
          <t>hh_admin2_9</t>
        </is>
      </c>
      <c r="D40" s="64" t="inlineStr">
        <is>
          <t>Currently, in which territory do your household live in?
[OPERATOR: DO NOT READ THE OPTIONS. SINGLE SELECTION]
1)KABEYA-KAMWANGA
2)KATANDA
3)LUKALABA
4)LUPATAPATA
5)MBUJI-MAYI
6)MIABI
7)TSHILENGE
8)DON'T KNOW
9)REFUSED</t>
        </is>
      </c>
      <c r="E40" s="52">
        <f>LEN(D40)</f>
        <v/>
      </c>
      <c r="F40" s="64" t="inlineStr">
        <is>
          <t>Dans quelle territoire vit votre ménage actuellement?
[OPERATEUR/OPERATRICE: NE LISEZ PAS LES OPTIONS. SEULEMENT UNE REPONSE]
1)KABEYA-KAMWANGA
2)KATANDA
3)LUKALABA
4)LUPATAPATA
5)MBUJI-MAYI
6)MIABI
7)TSHILENGE
8)NE SAIT PAS
9)REFUSE</t>
        </is>
      </c>
      <c r="G40" s="52">
        <f>LEN(F40)</f>
        <v/>
      </c>
      <c r="H40" s="71" t="inlineStr">
        <is>
          <t>Kaya yako iko Ku territoire/ville gani?
[OPERATEUR/OPERATRICE: USISOME CHAGUZI. JIBU MOJA TU]
1)KABEYA-KAMWANGA
2)KATANDA
3)LUKALABA
4)LUPATAPATA
5)MBUJI-MAYI
6)MIABI
7)TSHILENGE
8)SIJUE
9)KUKATALA</t>
        </is>
      </c>
      <c r="I40" s="45">
        <f>LEN(H40)</f>
        <v/>
      </c>
      <c r="J40" s="114" t="inlineStr">
        <is>
          <t xml:space="preserve">Bena mu dîku dienu badi basombele mu teritware kayi mpindieu?
[ENQUETEUR/TRICE: KUTANGI BIDI BIKUMBANE TO. DIANDAMUNA DIMUE ANYI]
1)KABEYA-KAMWANGA
2)KATANDA
3)LUKALABA
4)LUPATAPATA
5)MBUJI-MAYI
6)MIABI
7)TSHILENGE
8)TSHIENA MUMANYE
9)MUBENE
</t>
        </is>
      </c>
      <c r="K40" s="393">
        <f>LEN(J40)</f>
        <v/>
      </c>
      <c r="L40" s="53" t="inlineStr">
        <is>
          <t>Single Choice</t>
        </is>
      </c>
      <c r="M40" s="52" t="inlineStr">
        <is>
          <t>NA</t>
        </is>
      </c>
      <c r="N40" s="52" t="inlineStr">
        <is>
          <t>NA</t>
        </is>
      </c>
      <c r="O40" s="52" t="inlineStr">
        <is>
          <t>Form Type - Buttons
IsDemographic - ADM2</t>
        </is>
      </c>
      <c r="P40" s="52" t="inlineStr">
        <is>
          <t>NA</t>
        </is>
      </c>
      <c r="Q40" s="57" t="inlineStr">
        <is>
          <t>1-7 = quotareached
8-9 = Ineligible</t>
        </is>
      </c>
      <c r="R40" s="46" t="n"/>
      <c r="S40" s="588" t="n"/>
      <c r="T40" s="57" t="inlineStr"/>
      <c r="U40" s="151" t="n"/>
      <c r="V40" s="39" t="n"/>
      <c r="W40" s="564" t="n"/>
      <c r="Y40" t="inlineStr"/>
      <c r="AE40" t="inlineStr"/>
    </row>
    <row r="41" ht="137.5" customFormat="1" customHeight="1" s="48">
      <c r="A41" s="14">
        <f>A40+1</f>
        <v/>
      </c>
      <c r="B41" s="63" t="inlineStr">
        <is>
          <t>hh_admin2_10</t>
        </is>
      </c>
      <c r="C41" s="63" t="inlineStr">
        <is>
          <t>hh_admin2_10</t>
        </is>
      </c>
      <c r="D41" s="57" t="inlineStr">
        <is>
          <t>Currently, in which territory do your household live in?
[OPERATOR: DO NOT READ THE OPTIONS. SINGLE SELECTION]
1)KINSHASA
2)DON'T KNOW
3)REFUSED</t>
        </is>
      </c>
      <c r="E41" s="52">
        <f>LEN(D41)</f>
        <v/>
      </c>
      <c r="F41" s="114" t="inlineStr">
        <is>
          <t>Dans quelle territoire vit votre ménage actuellement?
[OPERATEUR/OPERATRICE: NE LISEZ PAS LES OPTIONS. SEULEMENT UNE REPONSE]
1)KINSHASA
2)NE SAIT PAS
3)REFUSE</t>
        </is>
      </c>
      <c r="G41" s="52">
        <f>LEN(F41)</f>
        <v/>
      </c>
      <c r="H41" s="71" t="inlineStr">
        <is>
          <t>Kaya yako iko Ku territoire/ville gani?
[OPERATEUR/OPERATRICE: USISOME CHAGUZI. JIBU MOJA TU]
1)KINSHASA
2)SIJUE
3)KUKATALA</t>
        </is>
      </c>
      <c r="I41" s="45">
        <f>LEN(H41)</f>
        <v/>
      </c>
      <c r="J41" s="71" t="inlineStr">
        <is>
          <t xml:space="preserve">Bena mu dîku dienu badi basombele mu teritware kayi mpindieu?
[ENQUETEUR/TRICE: KUTANGI BIDI BIKUMBANE TO. DIANDAMUNA DIMUE ANYI]
1)KINSHASA
2)TSHIENA MUMANYE
3)MUBENE
</t>
        </is>
      </c>
      <c r="K41" s="393">
        <f>LEN(J41)</f>
        <v/>
      </c>
      <c r="L41" s="54" t="inlineStr">
        <is>
          <t>Single Choice</t>
        </is>
      </c>
      <c r="M41" s="52" t="inlineStr">
        <is>
          <t>NA</t>
        </is>
      </c>
      <c r="N41" s="52" t="inlineStr">
        <is>
          <t>NA</t>
        </is>
      </c>
      <c r="O41" s="52" t="inlineStr">
        <is>
          <t>Form Type - Dropdown
IsDemographic - ADM2</t>
        </is>
      </c>
      <c r="P41" s="56" t="inlineStr">
        <is>
          <t>NA</t>
        </is>
      </c>
      <c r="Q41" s="57" t="inlineStr">
        <is>
          <t>1 = quotareached
2-3= Ineligible</t>
        </is>
      </c>
      <c r="R41" s="46" t="n"/>
      <c r="S41" s="588" t="n"/>
      <c r="T41" s="57" t="inlineStr"/>
      <c r="U41" s="151" t="n"/>
      <c r="V41" s="39" t="n"/>
      <c r="W41" s="564" t="n"/>
      <c r="Y41" t="inlineStr"/>
      <c r="AE41" t="inlineStr"/>
    </row>
    <row r="42" ht="308.15" customFormat="1" customHeight="1" s="48">
      <c r="A42" s="14">
        <f>A41+1</f>
        <v/>
      </c>
      <c r="B42" s="63" t="inlineStr">
        <is>
          <t>hh_admin2_11</t>
        </is>
      </c>
      <c r="C42" s="63" t="inlineStr">
        <is>
          <t>hh_admin2_11</t>
        </is>
      </c>
      <c r="D42" s="57" t="inlineStr">
        <is>
          <t>Currently, in which territory do your household live in?
[OPERATOR: DO NOT READ THE OPTIONS. SINGLE SELECTION]
1)BANGU
2)BOMA
3)INKISI
4)KASANGULU
5)KIMVULA
6)LUKULA
7)LUOZI
8)MADIMBA
9)MATADI
10)MBANZA-NGUNGU
11)MOANDA
12)SEKE-BANZA
13)SONGOLOLO
14)TSHELA
15)DON'T KNOW
16)REFUSED</t>
        </is>
      </c>
      <c r="E42" s="52">
        <f>LEN(D42)</f>
        <v/>
      </c>
      <c r="F42" s="114" t="inlineStr">
        <is>
          <t>Dans quelle territoire vit votre ménage actuellement?
[OPERATEUR/OPERATRICE: NE LISEZ PAS LES OPTIONS. SEULEMENT UNE REPONSE]
1)BANGU
2)BOMA
3)INKISI
4)KASANGULU
5)KIMVULA
6)LUKULA
7)LUOZI
8)MADIMBA
9)MATADI
10)MBANZA-NGUNGU
11)MOANDA
12)SEKE-BANZA
13)SONGOLOLO
14)TSHELA
15)NE SAIT PAS
16)REFUSE</t>
        </is>
      </c>
      <c r="G42" s="52">
        <f>LEN(F42)</f>
        <v/>
      </c>
      <c r="H42" s="71" t="inlineStr">
        <is>
          <t>Kaya yako iko Ku territoire/ville gani?
[OPERATEUR/OPERATRICE: USISOME CHAGUZI. JIBU MOJA TU]
1)BANGU
2)BOMA
3)INKISI
4)KASANGULU
5)KIMVULA
6)LUKULA
7)LUOZI
8)MADIMBA
9)MATADI
10)MBANZA-NGUNGU
11)MOANDA
12)SEKE-BANZA
13)SONGOLOLO
14)TSHELA
15)SIJUE
16)KUKATALA</t>
        </is>
      </c>
      <c r="I42" s="45">
        <f>LEN(H42)</f>
        <v/>
      </c>
      <c r="J42" s="71" t="inlineStr">
        <is>
          <t xml:space="preserve">Bena mu dîku dienu badi basombele mu teritware kayi mpindieu?
[ENQUETEUR/TRICE: KUTANGI BIDI BIKUMBANE TO. DIANDAMUNA DIMUE ANYI]
1)BANGU
2)BOMA
3)INKISI
4)KASANGULU
5)KIMVULA
6)LUKULA
7)LUOZI
8)MADIMBA
9)MATADI
10)MBANZA-NGUNGU
11)MOANDA
12)SEKE-BANZA
13)SONGOLO
14)TSHELA
15)TSHIENA MUMANYE
16)MUBENE
</t>
        </is>
      </c>
      <c r="K42" s="393">
        <f>LEN(J42)</f>
        <v/>
      </c>
      <c r="L42" s="54" t="inlineStr">
        <is>
          <t>Single Choice</t>
        </is>
      </c>
      <c r="M42" s="52" t="inlineStr">
        <is>
          <t>NA</t>
        </is>
      </c>
      <c r="N42" s="52" t="inlineStr">
        <is>
          <t>NA</t>
        </is>
      </c>
      <c r="O42" s="52" t="inlineStr">
        <is>
          <t>Form Type - Dropdown
IsDemographic - ADM2</t>
        </is>
      </c>
      <c r="P42" s="56" t="inlineStr">
        <is>
          <t>NA</t>
        </is>
      </c>
      <c r="Q42" s="57" t="inlineStr">
        <is>
          <t>1-14 = quotareached
15-16= Ineligible</t>
        </is>
      </c>
      <c r="R42" s="46" t="n"/>
      <c r="S42" s="588" t="n"/>
      <c r="T42" s="57" t="inlineStr"/>
      <c r="U42" s="151" t="n"/>
      <c r="V42" s="39" t="n"/>
      <c r="W42" s="564" t="n"/>
      <c r="Y42" t="inlineStr"/>
      <c r="AE42" t="inlineStr"/>
    </row>
    <row r="43" ht="196.5" customFormat="1" customHeight="1" s="48">
      <c r="A43" s="14">
        <f>A42+1</f>
        <v/>
      </c>
      <c r="B43" s="63" t="inlineStr">
        <is>
          <t>hh_admin2_12</t>
        </is>
      </c>
      <c r="C43" s="53" t="inlineStr">
        <is>
          <t>hh_admin2_12</t>
        </is>
      </c>
      <c r="D43" s="64" t="inlineStr">
        <is>
          <t>Currently, in which territory do your household live in?
[OPERATOR: DO NOT READ THE OPTIONS. SINGLE SELECTION]
1)FESHI
2)KAHEMBA
3)KASONGO-LUNDA
4)KENGE
5)POPOKABAKA
6)DON'T KNOW
7)REFUSED</t>
        </is>
      </c>
      <c r="E43" s="52">
        <f>LEN(D43)</f>
        <v/>
      </c>
      <c r="F43" s="64" t="inlineStr">
        <is>
          <t>Dans quel territoire ou ville vit votre ménage actuellement?
[OPERATEUR/OPERATRICE: NE LISEZ PAS LES OPTIONS. SEULEMENT UNE REPONSE]
1)FESHI
2)KAHEMBA
3)KASONGO-LUNDA
4)KENGE
5)POPOKABAKA
6)NE SAIT PAS
7)REFUSE</t>
        </is>
      </c>
      <c r="G43" s="52">
        <f>LEN(F43)</f>
        <v/>
      </c>
      <c r="H43" s="71" t="inlineStr">
        <is>
          <t>Kaya yako iko Ku territoire/ville gani?
[OPERATEUR/OPERATRICE: USISOME CHAGUZI. JIBU MOJA TU]
1)FESHI
2)KAHEMBA
3)KASONGO-LUNDA
4)KENGE
5)POPOKABAKA
6)SIJUE
7)KUKATALA</t>
        </is>
      </c>
      <c r="I43" s="45">
        <f>LEN(H43)</f>
        <v/>
      </c>
      <c r="J43" s="114" t="inlineStr">
        <is>
          <t xml:space="preserve">Bena mu dîku dienu badi basombele mu teritware kayi anyi mu tshimenga kayi?
[ENQUETEUR/TRICE: KUTANGI BIDI BIKUMBANE TO. DIANDAMUNA DIMUE ANYI]
1)FESHI
2)KAHEMBA
3)KASONGO-LUNDA
4)KENGE
5)POPOKABAKA
6)TSHIENA MUMANYE
7)MUBENE
</t>
        </is>
      </c>
      <c r="K43" s="393">
        <f>LEN(J43)</f>
        <v/>
      </c>
      <c r="L43" s="53" t="inlineStr">
        <is>
          <t>Single Choice</t>
        </is>
      </c>
      <c r="M43" s="52" t="inlineStr">
        <is>
          <t>NA</t>
        </is>
      </c>
      <c r="N43" s="52" t="inlineStr">
        <is>
          <t>NA</t>
        </is>
      </c>
      <c r="O43" s="52" t="inlineStr">
        <is>
          <t>Form Type - Buttons
IsDemographic - ADM2</t>
        </is>
      </c>
      <c r="P43" s="52" t="inlineStr">
        <is>
          <t>NA</t>
        </is>
      </c>
      <c r="Q43" s="57" t="inlineStr">
        <is>
          <t>1-5 = quotareached
6-7 = Ineligible</t>
        </is>
      </c>
      <c r="R43" s="46" t="n"/>
      <c r="S43" s="588" t="n"/>
      <c r="T43" s="57" t="inlineStr"/>
      <c r="U43" s="151" t="n"/>
      <c r="V43" s="39" t="n"/>
      <c r="W43" s="564" t="n"/>
      <c r="Y43" t="inlineStr"/>
      <c r="AE43" t="inlineStr"/>
    </row>
    <row r="44" ht="237.65" customFormat="1" customHeight="1" s="48">
      <c r="A44" s="14">
        <f>A43+1</f>
        <v/>
      </c>
      <c r="B44" s="63" t="inlineStr">
        <is>
          <t>hh_admin2_13</t>
        </is>
      </c>
      <c r="C44" s="63" t="inlineStr">
        <is>
          <t>hh_admin2_13</t>
        </is>
      </c>
      <c r="D44" s="57" t="inlineStr">
        <is>
          <t>Currently, in which territory do your household live in?
[OPERATOR: DO NOT READ THE OPTIONS. SINGLE SELECTION]
1)BAGATA
2)BANDUNDU
3)BULUNGU
4)DIBAYA-LUBWE
5)GUNGU
6)IDIOFA
7)KIKWIT
8)MANGAI
9)MASI-MANIMBA
10)DON'T KNOW
11)REFUSED</t>
        </is>
      </c>
      <c r="E44" s="52">
        <f>LEN(D44)</f>
        <v/>
      </c>
      <c r="F44" s="114" t="inlineStr">
        <is>
          <t>Dans quelle territoire vit votre ménage actuellement?
[OPERATEUR/OPERATRICE: NE LISEZ PAS LES OPTIONS. SEULEMENT UNE REPONSE]
1)BAGATA
2)BANDUNDU
3)BULUNGU
4)DIBAYA-LUBWE
5)GUNGU
6)IDIOFA
7)KIKWIT
8)MANGAI
9)MASI-MANIMBA
10)NE SAIT PAS
11)REFUSE</t>
        </is>
      </c>
      <c r="G44" s="52">
        <f>LEN(F44)</f>
        <v/>
      </c>
      <c r="H44" s="71" t="inlineStr">
        <is>
          <t>Kaya yako iko Ku territoire/ville gani?
[OPERATEUR/OPERATRICE: USISOME CHAGUZI. JIBU MOJA TU]
1)BAGATA
2)BANDUNDU
3)BULUNGU
4)DIBAYA-LUBWE
5)GUNGU
6)IDIOFA
7)KIKWIT
8)MANGAI
9)MASI-MANIMBA
10)SIJUE
11)KUKATALA</t>
        </is>
      </c>
      <c r="I44" s="45">
        <f>LEN(H44)</f>
        <v/>
      </c>
      <c r="J44" s="71" t="inlineStr">
        <is>
          <t xml:space="preserve">Bena mu dîku dienu badi basombele mu teritware kayi mpindieu?
[ENQUETEUR/TRICE: KUTANGI BIDI BIKUMBANE TO. DIANDAMUNA DIMUE ANYI]
1)BAGATA
2)BANDUNDU
3)BULUNGU
4)DIBAYA-LUBWE
5)GUNGU
6)IDIOFA
7)KIKWIT
8)MANGAI
9)MASI-MANIMBA
10)TSHIENA MUMANYE
11)MUBENE
</t>
        </is>
      </c>
      <c r="K44" s="393">
        <f>LEN(J44)</f>
        <v/>
      </c>
      <c r="L44" s="54" t="inlineStr">
        <is>
          <t>Single Choice</t>
        </is>
      </c>
      <c r="M44" s="52" t="inlineStr">
        <is>
          <t>NA</t>
        </is>
      </c>
      <c r="N44" s="52" t="inlineStr">
        <is>
          <t>NA</t>
        </is>
      </c>
      <c r="O44" s="52" t="inlineStr">
        <is>
          <t>Form Type - Dropdown
IsDemographic - ADM2</t>
        </is>
      </c>
      <c r="P44" s="56" t="inlineStr">
        <is>
          <t>NA</t>
        </is>
      </c>
      <c r="Q44" s="57" t="inlineStr">
        <is>
          <t>1-9 = quotareached
10-11= Ineligible</t>
        </is>
      </c>
      <c r="R44" s="46" t="n"/>
      <c r="S44" s="588" t="n"/>
      <c r="T44" s="57" t="inlineStr"/>
      <c r="U44" s="151" t="n"/>
      <c r="V44" s="39" t="n"/>
      <c r="W44" s="564" t="n"/>
      <c r="Y44" t="inlineStr"/>
      <c r="AE44" t="inlineStr"/>
    </row>
    <row r="45" ht="196.5" customFormat="1" customHeight="1" s="48">
      <c r="A45" s="14">
        <f>A44+1</f>
        <v/>
      </c>
      <c r="B45" s="63" t="inlineStr">
        <is>
          <t>hh_admin2_14</t>
        </is>
      </c>
      <c r="C45" s="63" t="inlineStr">
        <is>
          <t>hh_admin2_14</t>
        </is>
      </c>
      <c r="D45" s="57" t="inlineStr">
        <is>
          <t>Currently, in which territory do your household live in?
[OPERATOR: DO NOT READ THE OPTIONS. SINGLE SELECTION]
1)KABINDA
2)KAMIJI
3)LUBAO
4)LUILU
5)MWENE-DITU
6)NGANDAJIKA
7)DON'T KNOW
8)REFUSED</t>
        </is>
      </c>
      <c r="E45" s="52">
        <f>LEN(D45)</f>
        <v/>
      </c>
      <c r="F45" s="114" t="inlineStr">
        <is>
          <t>Dans quelle territoire vit votre ménage actuellement?
[OPERATEUR/OPERATRICE: NE LISEZ PAS LES OPTIONS. SEULEMENT UNE REPONSE]
1)KABINDA
2)KAMIJI
3)LUBAO
4)LUILU
5)MWENE-DITU
6)NGANDAJIKA
7)NE SAIT PAS
8)REFUSE</t>
        </is>
      </c>
      <c r="G45" s="52">
        <f>LEN(F45)</f>
        <v/>
      </c>
      <c r="H45" s="71" t="inlineStr">
        <is>
          <t>Kaya yako iko Ku territoire/ville gani?
[OPERATEUR/OPERATRICE: USISOME CHAGUZI. JIBU MOJA TU]
1)KABINDA
2)KAMIJI
3)LUBAO
4)LUILU
5)MWENE-DITU
6)NGANDAJIKA
7)SIJUE
8)REFUSE</t>
        </is>
      </c>
      <c r="I45" s="45">
        <f>LEN(H45)</f>
        <v/>
      </c>
      <c r="J45" s="71" t="inlineStr">
        <is>
          <t xml:space="preserve">Bena mu dîku dienu badi basombele mu teritware kayi mpindieu?
[ENQUETEUR/TRICE: KUTANGI BIDI BIKUMBANE TO. DIANDAMUNA DIMUE ANYI]
1)KABINDA
2)KAMIJI
3)LUBAO
4)LUILU
5)MWENE-DITU
6)NGANDAJIKA
7)TSHIENA MUMANYE
8)MUBENE
</t>
        </is>
      </c>
      <c r="K45" s="393">
        <f>LEN(J45)</f>
        <v/>
      </c>
      <c r="L45" s="54" t="inlineStr">
        <is>
          <t>Single Choice</t>
        </is>
      </c>
      <c r="M45" s="52" t="inlineStr">
        <is>
          <t>NA</t>
        </is>
      </c>
      <c r="N45" s="52" t="inlineStr">
        <is>
          <t>NA</t>
        </is>
      </c>
      <c r="O45" s="52" t="inlineStr">
        <is>
          <t>Form Type - Dropdown
IsDemographic - ADM2</t>
        </is>
      </c>
      <c r="P45" s="56" t="inlineStr">
        <is>
          <t>NA</t>
        </is>
      </c>
      <c r="Q45" s="57" t="inlineStr">
        <is>
          <t>1-6 = quotareached
7-8= Ineligible</t>
        </is>
      </c>
      <c r="R45" s="46" t="n"/>
      <c r="S45" s="588" t="n"/>
      <c r="T45" s="57" t="inlineStr"/>
      <c r="U45" s="151" t="n"/>
      <c r="V45" s="39" t="n"/>
      <c r="W45" s="564" t="n"/>
      <c r="Y45" t="inlineStr"/>
      <c r="AE45" t="inlineStr"/>
    </row>
    <row r="46" ht="221.5" customFormat="1" customHeight="1" s="48">
      <c r="A46" s="14">
        <f>A45+1</f>
        <v/>
      </c>
      <c r="B46" s="63" t="inlineStr">
        <is>
          <t>hh_admin2_15</t>
        </is>
      </c>
      <c r="C46" s="63" t="inlineStr">
        <is>
          <t>hh_admin2_15</t>
        </is>
      </c>
      <c r="D46" s="57" t="inlineStr">
        <is>
          <t>Currently, in which territory do your household live in?
[OPERATOR: DO NOT READ THE OPTIONS. SINGLE SELECTION]
1)DILOLO
2)KAPANGA
3)KASAJI
4)KOLWEZI
5)LUBUDI
6)MUTSHATSHA
7)SANDOA
8)DON'T KNOW
9)REFUSED</t>
        </is>
      </c>
      <c r="E46" s="52">
        <f>LEN(D46)</f>
        <v/>
      </c>
      <c r="F46" s="114" t="inlineStr">
        <is>
          <t>Dans quelle territoire vit votre ménage actuellement?
[OPERATEUR/OPERATRICE: NE LISEZ PAS LES OPTIONS. SEULEMENT UNE REPONSE]
1)DILOLO
2)KAPANGA
3)KASAJI
4)KOLWEZI
5)LUBUDI
6)MUTSHATSHA
7)SANDOA
8)NE SAIT PAS
9)REFUSE</t>
        </is>
      </c>
      <c r="G46" s="52">
        <f>LEN(F46)</f>
        <v/>
      </c>
      <c r="H46" s="71" t="inlineStr">
        <is>
          <t>Kaya yako iko Ku territoire/ville gani?
[OPERATEUR/OPERATRICE: USISOME CHAGUZI. JIBU MOJA TU]
1)DILOLO
2)KAPANGA
3)KASAJI
4)KOLWEZI
5)LUBUDI
6)MUTSHATSHA
7)SANDOA
8)SIJUE
9)KUKATALA</t>
        </is>
      </c>
      <c r="I46" s="45">
        <f>LEN(H46)</f>
        <v/>
      </c>
      <c r="J46" s="71" t="inlineStr">
        <is>
          <t xml:space="preserve">Bena mu dîku dienu badi basombele mu teritware kayi mpindieu?
[ENQUETEUR/TRICE: KUTANGI BIDI BIKUMBANE TO. DIANDAMUNA DIMUE ANYI]
1)DILOLO
2)KAPANGA
3)KASAJI
4)KOLWEZI
5)LUBUDI
6)MUTSHATSHA
7)SANDOA
8)TSHIENA MUMANYE
9)MUBENE
</t>
        </is>
      </c>
      <c r="K46" s="393">
        <f>LEN(J46)</f>
        <v/>
      </c>
      <c r="L46" s="54" t="inlineStr">
        <is>
          <t>Single Choice</t>
        </is>
      </c>
      <c r="M46" s="52" t="inlineStr">
        <is>
          <t>NA</t>
        </is>
      </c>
      <c r="N46" s="52" t="inlineStr">
        <is>
          <t>NA</t>
        </is>
      </c>
      <c r="O46" s="52" t="inlineStr">
        <is>
          <t>Form Type - Dropdown
IsDemographic - ADM2</t>
        </is>
      </c>
      <c r="P46" s="56" t="inlineStr">
        <is>
          <t>NA</t>
        </is>
      </c>
      <c r="Q46" s="57" t="inlineStr">
        <is>
          <t>1-7 = quotareached
8-9= Ineligible</t>
        </is>
      </c>
      <c r="R46" s="46" t="n"/>
      <c r="S46" s="588" t="n"/>
      <c r="T46" s="57" t="inlineStr"/>
      <c r="U46" s="151" t="n"/>
      <c r="V46" s="39" t="n"/>
      <c r="W46" s="564" t="n"/>
      <c r="Y46" t="inlineStr"/>
      <c r="AE46" t="inlineStr"/>
    </row>
    <row r="47" ht="256.5" customFormat="1" customHeight="1" s="48">
      <c r="A47" s="14">
        <f>A46+1</f>
        <v/>
      </c>
      <c r="B47" s="63" t="inlineStr">
        <is>
          <t>hh_admin2_16</t>
        </is>
      </c>
      <c r="C47" s="63" t="inlineStr">
        <is>
          <t>hh_admin2_16</t>
        </is>
      </c>
      <c r="D47" s="57" t="inlineStr">
        <is>
          <t>Currently, in which territory do your household live in?
[OPERATOR: DO NOT READ THE OPTIONS. SINGLE SELECTION]
1)BOLOBO
2)INONGO
3)KIRI
4)KUTU
5)KWAMOUTH
6)MUSHIE
7)NIOKI
8)OSHWE
9)YUMBI
10)DON'T KNOW
11)REFUSED</t>
        </is>
      </c>
      <c r="E47" s="52">
        <f>LEN(D47)</f>
        <v/>
      </c>
      <c r="F47" s="114" t="inlineStr">
        <is>
          <t>Dans quelle territoire vit votre ménage actuellement?
[OPERATEUR/OPERATRICE: NE LISEZ PAS LES OPTIONS. SEULEMENT UNE REPONSE]
1)BOLOBO
2)INONGO
3)KIRI
4)KUTU
5)KWAMOUTH
6)MUSHIE
7)NIOKI
8)OSHWE
9)YUMBI
10)NE SAIT PAS
11)REFUSE</t>
        </is>
      </c>
      <c r="G47" s="52">
        <f>LEN(F47)</f>
        <v/>
      </c>
      <c r="H47" s="71" t="inlineStr">
        <is>
          <t>Kaya yako iko Ku territoire/ville gani?
[OPERATEUR/OPERATRICE: USISOME CHAGUZI. JIBU MOJA TU]
1)BOLOBO
2)INONGO
3)KIRI
4)KUTU
5)KWAMOUTH
6)MUSHIE
7)NIOKI
8)OSHWE
9)YUMBI
10)SIJUE
11)KUKATALA</t>
        </is>
      </c>
      <c r="I47" s="45">
        <f>LEN(H47)</f>
        <v/>
      </c>
      <c r="J47" s="71" t="inlineStr">
        <is>
          <t xml:space="preserve">Bena mu dîku dienu badi basombele mu teritware kayi mpindieu?
[ENQUETEUR/TRICE: KUTANGI BIDI BIKUMBANE TO. DIANDAMUNA DIMUE ANYI]
1)BOLOBO
2)INONGO
3)KIRI
4)KUTU
5)KWAMOUTH
6)MUSHIE
7)NIOKI
8)OSHWE
9)YUMBI
10)TSHIENA MUMANYE
11)MUBENE
</t>
        </is>
      </c>
      <c r="K47" s="393">
        <f>LEN(J47)</f>
        <v/>
      </c>
      <c r="L47" s="54" t="inlineStr">
        <is>
          <t>Single Choice</t>
        </is>
      </c>
      <c r="M47" s="52" t="inlineStr">
        <is>
          <t>NA</t>
        </is>
      </c>
      <c r="N47" s="52" t="inlineStr">
        <is>
          <t>NA</t>
        </is>
      </c>
      <c r="O47" s="52" t="inlineStr">
        <is>
          <t>Form Type - Dropdown
IsDemographic - ADM2</t>
        </is>
      </c>
      <c r="P47" s="56" t="inlineStr">
        <is>
          <t>NA</t>
        </is>
      </c>
      <c r="Q47" s="57" t="inlineStr">
        <is>
          <t>1-9 = quotareached
10-11= Ineligible</t>
        </is>
      </c>
      <c r="R47" s="46" t="n"/>
      <c r="S47" s="588" t="n"/>
      <c r="T47" s="57" t="inlineStr"/>
      <c r="U47" s="151" t="n"/>
      <c r="V47" s="39" t="n"/>
      <c r="W47" s="564" t="n"/>
      <c r="Y47" t="inlineStr"/>
      <c r="AE47" t="inlineStr"/>
    </row>
    <row r="48" ht="267" customFormat="1" customHeight="1" s="48">
      <c r="A48" s="14">
        <f>A47+1</f>
        <v/>
      </c>
      <c r="B48" s="63" t="inlineStr">
        <is>
          <t>hh_admin2_17</t>
        </is>
      </c>
      <c r="C48" s="63" t="inlineStr">
        <is>
          <t>hh_admin2_17</t>
        </is>
      </c>
      <c r="D48" s="57" t="inlineStr">
        <is>
          <t>Currently, in which territory do your household live in?
[OPERATOR: DO NOT READ THE OPTIONS. SINGLE SELECTION]
1)KABAMBARE
2)KAILO
3)KALIMA
4)KASONGO
5)KIBOMBO
6)KINDU
7)LUBUTU
8)NAMOYA
9)PANGI
10)PUNIA
11)DON'T KNOW
12)REFUSED</t>
        </is>
      </c>
      <c r="E48" s="52">
        <f>LEN(D48)</f>
        <v/>
      </c>
      <c r="F48" s="114" t="inlineStr">
        <is>
          <t>Dans quelle territoire vit votre ménage actuellement?
[OPERATEUR/OPERATRICE: NE LISEZ PAS LES OPTIONS. SEULEMENT UNE REPONSE]
1)KABAMBARE
2)KAILO
3)KALIMA
4)KASONGO
5)KIBOMBO
6)KINDU
7)LUBUTU
8)NAMOYA
9)PANGI
10)PUNIA
11)NE SAIT PAS
12)REFUSE</t>
        </is>
      </c>
      <c r="G48" s="52">
        <f>LEN(F48)</f>
        <v/>
      </c>
      <c r="H48" s="71" t="inlineStr">
        <is>
          <t>Kaya yako iko Ku territoire/ville gani?
[OPERATEUR/OPERATRICE: USISOME CHAGUZI. JIBU MOJA TU]
1)KABAMBARE
2)KAILO
3)KALIMA
4)KASONGO
5)KIBOMBO
6)KINDU
7)LUBUTU
8)NAMOYA
9)PANGI
10)PUNIA
11)SIJUE
12)KUKATALA</t>
        </is>
      </c>
      <c r="I48" s="45">
        <f>LEN(H48)</f>
        <v/>
      </c>
      <c r="J48" s="71" t="inlineStr">
        <is>
          <t xml:space="preserve">Bena mu dîku dienu badi basombele mu teritware kayi mpindieu?
[ENQUETEUR/TRICE: KUTANGI BIDI BIKUMBANE TO. DIANDAMUNA DIMUE ANYI]
1)KABAMBARE
2)KAILO
3)KALIMA
4)KASONGO
5)KIBOMBO
6)KINDU
7)LUBUTU
8)NAMOYA
9)PANGI
10)PUNIA
11)TSHIENA MUMANYE
12)MUBENE
</t>
        </is>
      </c>
      <c r="K48" s="393">
        <f>LEN(J48)</f>
        <v/>
      </c>
      <c r="L48" s="54" t="inlineStr">
        <is>
          <t>Single Choice</t>
        </is>
      </c>
      <c r="M48" s="52" t="inlineStr">
        <is>
          <t>NA</t>
        </is>
      </c>
      <c r="N48" s="52" t="inlineStr">
        <is>
          <t>NA</t>
        </is>
      </c>
      <c r="O48" s="52" t="inlineStr">
        <is>
          <t>Form Type - Dropdown
IsDemographic - ADM2</t>
        </is>
      </c>
      <c r="P48" s="56" t="inlineStr">
        <is>
          <t>NA</t>
        </is>
      </c>
      <c r="Q48" s="57" t="inlineStr">
        <is>
          <t>1-10 = quotareached
11-12= Ineligible</t>
        </is>
      </c>
      <c r="R48" s="46" t="n"/>
      <c r="S48" s="588" t="n"/>
      <c r="T48" s="57" t="inlineStr"/>
      <c r="U48" s="151" t="n"/>
      <c r="V48" s="39" t="n"/>
      <c r="W48" s="564" t="n"/>
      <c r="Y48" t="inlineStr"/>
      <c r="AE48" t="inlineStr"/>
    </row>
    <row r="49" ht="158.15" customFormat="1" customHeight="1" s="48">
      <c r="A49" s="14">
        <f>A48+1</f>
        <v/>
      </c>
      <c r="B49" s="63" t="inlineStr">
        <is>
          <t>hh_admin2_18</t>
        </is>
      </c>
      <c r="C49" s="63" t="inlineStr">
        <is>
          <t>hh_admin2_18</t>
        </is>
      </c>
      <c r="D49" s="57" t="inlineStr">
        <is>
          <t>Currently, in which territory do your household live in?
[OPERATOR: DO NOT READ THE OPTIONS. SINGLE SELECTION]
1)BONGANDANGA
2)BUMBA
3)LISALA
4)DON'T KNOW
5)REFUSED</t>
        </is>
      </c>
      <c r="E49" s="52">
        <f>LEN(D49)</f>
        <v/>
      </c>
      <c r="F49" s="114" t="inlineStr">
        <is>
          <t>Dans quelle territoire vit votre ménage actuellement?
[OPERATEUR/OPERATRICE: NE LISEZ PAS LES OPTIONS. SEULEMENT UNE REPONSE]
1)BONGANDANGA
2)BUMBA
3)LISALA
4)NE SAIT PAS
5)REFUSE</t>
        </is>
      </c>
      <c r="G49" s="52">
        <f>LEN(F49)</f>
        <v/>
      </c>
      <c r="H49" s="71" t="inlineStr">
        <is>
          <t>Kaya yako iko Ku territoire/ville gani?
[OPERATEUR/OPERATRICE: USISOME CHAGUZI. JIBU MOJA TU]
1)BONGANDANGA
2)BUMBA
3)LISALA
4)SIJUE
5)KUKATALA</t>
        </is>
      </c>
      <c r="I49" s="45">
        <f>LEN(H49)</f>
        <v/>
      </c>
      <c r="J49" s="71" t="inlineStr">
        <is>
          <t xml:space="preserve">Bena mu dîku dienu badi basombele mu teritware kayi mpindieu?
[ENQUETEUR/TRICE: KUTANGI BIDI BIKUMBANE TO. DIANDAMUNA DIMUE ANYI]
1)BONGANDANGA
2)BUMBA
3)LISALA
4)TSHIENA MUMANYE
5)MUBENE
</t>
        </is>
      </c>
      <c r="K49" s="393">
        <f>LEN(J49)</f>
        <v/>
      </c>
      <c r="L49" s="54" t="inlineStr">
        <is>
          <t>Single Choice</t>
        </is>
      </c>
      <c r="M49" s="52" t="inlineStr">
        <is>
          <t>NA</t>
        </is>
      </c>
      <c r="N49" s="52" t="inlineStr">
        <is>
          <t>NA</t>
        </is>
      </c>
      <c r="O49" s="52" t="inlineStr">
        <is>
          <t>Form Type - Dropdown
IsDemographic - ADM2</t>
        </is>
      </c>
      <c r="P49" s="56" t="inlineStr">
        <is>
          <t>NA</t>
        </is>
      </c>
      <c r="Q49" s="57" t="inlineStr">
        <is>
          <t>1-3 = quotareached
4-5= Ineligible</t>
        </is>
      </c>
      <c r="R49" s="46" t="n"/>
      <c r="S49" s="588" t="n"/>
      <c r="T49" s="57" t="inlineStr"/>
      <c r="U49" s="151" t="n"/>
      <c r="V49" s="39" t="n"/>
      <c r="W49" s="564" t="n"/>
      <c r="Y49" t="inlineStr"/>
      <c r="AE49" t="inlineStr"/>
    </row>
    <row r="50" ht="260.5" customFormat="1" customHeight="1" s="48">
      <c r="A50" s="14">
        <f>A49+1</f>
        <v/>
      </c>
      <c r="B50" s="63" t="inlineStr">
        <is>
          <t>hh_admin2_19</t>
        </is>
      </c>
      <c r="C50" s="53" t="inlineStr">
        <is>
          <t>hh_admin2_19</t>
        </is>
      </c>
      <c r="D50" s="64" t="inlineStr">
        <is>
          <t>Currently, in which territory do your household live in?
[OPERATOR: DO NOT READ THE OPTIONS. SINGLE SELECTION]
1)BENI
2)BUTEMBO
3)GOMA
4)LUBERO
5)MASISI
6)NYIRAGONGO
7)RUTSHURU
8)WALIKALE
9)DON'T KNOW
10)REFUSED</t>
        </is>
      </c>
      <c r="E50" s="52">
        <f>LEN(D50)</f>
        <v/>
      </c>
      <c r="F50" s="64" t="inlineStr">
        <is>
          <t>Dans quel territoire ou ville vit votre ménage actuellement?
[OPERATEUR/OPERATRICE: NE LISEZ PAS LES OPTIONS. SEULEMENT UNE REPONSE]
1)BENI
2)BUTEMBO
3)GOMA
4)LUBERO
5)MASISI
6)NYIRAGONGO
7)RUTSHURU
8)WALIKALE
9)NE SAIT PAS
10)REFUSE</t>
        </is>
      </c>
      <c r="G50" s="52">
        <f>LEN(F50)</f>
        <v/>
      </c>
      <c r="H50" s="71" t="inlineStr">
        <is>
          <t>Kaya yako iko Ku territoire/ville gani?
[OPERATEUR/OPERATRICE: USISOME CHAGUZI. JIBU MOJA TU]
1)BENI
2)BUTEMBO
3)GOMA
4)LUBERO
5)MASISI
6)NYIRAGONGO
7)RUTSHURU
8)WALIKALE
9)SIJUE
10)KUKATALA</t>
        </is>
      </c>
      <c r="I50" s="45">
        <f>LEN(H50)</f>
        <v/>
      </c>
      <c r="J50" s="114" t="inlineStr">
        <is>
          <t xml:space="preserve">Bena mu dîku dienu badi basombele mu teritware kayi anyi mu tshimenga kayi?
[ENQUETEUR/TRICE: KUTANGI BIDI BIKUMBANE TO. DIANDAMUNA DIMUE ANYI]
1)BENI
2)BUTEMBO
3)GOMA
4)LUBERO
5)MASISI
6)NYIRAGONGO
7)RUTSHURU
8)WALIKALE
9)TSHIENA MUMANYE
10)MUBENE
</t>
        </is>
      </c>
      <c r="K50" s="393">
        <f>LEN(J50)</f>
        <v/>
      </c>
      <c r="L50" s="53" t="inlineStr">
        <is>
          <t>Single Choice</t>
        </is>
      </c>
      <c r="M50" s="52" t="inlineStr">
        <is>
          <t>NA</t>
        </is>
      </c>
      <c r="N50" s="52" t="inlineStr">
        <is>
          <t>NA</t>
        </is>
      </c>
      <c r="O50" s="52" t="inlineStr">
        <is>
          <t>Form Type - Dropdown
IsDemographic - ADM2</t>
        </is>
      </c>
      <c r="P50" s="52" t="inlineStr">
        <is>
          <t>NA</t>
        </is>
      </c>
      <c r="Q50" s="57" t="inlineStr">
        <is>
          <t>1-8 =  quotareached
9-10 = Ineligible</t>
        </is>
      </c>
      <c r="R50" s="46" t="n"/>
      <c r="S50" s="588" t="n"/>
      <c r="T50" s="57" t="inlineStr"/>
      <c r="U50" s="151" t="n"/>
      <c r="V50" s="39" t="n"/>
      <c r="W50" s="564" t="n"/>
      <c r="Y50" t="inlineStr"/>
      <c r="AE50" t="inlineStr"/>
    </row>
    <row r="51" ht="182.15" customFormat="1" customHeight="1" s="48">
      <c r="A51" s="14">
        <f>A50+1</f>
        <v/>
      </c>
      <c r="B51" s="63" t="inlineStr">
        <is>
          <t>hh_admin2_20</t>
        </is>
      </c>
      <c r="C51" s="53" t="inlineStr">
        <is>
          <t>hh_admin2_20</t>
        </is>
      </c>
      <c r="D51" s="64" t="inlineStr">
        <is>
          <t>Currently, in which territory do your household live in?
[OPERATOR: DO NOT READ THE OPTIONS. SINGLE SELECTION]
1)BOSOBOLO
2)BUSINGA
3)GBADOLITE
4)MOBAYI-MBONGO
5)YAKOMA
6)DON'T KNOW
7)REFUSED</t>
        </is>
      </c>
      <c r="E51" s="52">
        <f>LEN(D51)</f>
        <v/>
      </c>
      <c r="F51" s="64" t="inlineStr">
        <is>
          <t>Dans quel territoire ou ville vit votre ménage actuellement?
[OPERATEUR/OPERATRICE: NE LISEZ PAS LES OPTIONS. SEULEMENT UNE REPONSE]
1)BOSOBOLO
2)BUSINGA
3)GBADOLITE
4)MOBAYI-MBONGO
5)YAKOMA
6)NE SAIT PAS
7)REFUSE</t>
        </is>
      </c>
      <c r="G51" s="52">
        <f>LEN(F51)</f>
        <v/>
      </c>
      <c r="H51" s="71" t="inlineStr">
        <is>
          <t>Kaya yako iko Ku territoire/ville gani?
[OPERATEUR/OPERATRICE: USISOME CHAGUZI. JIBU MOJA TU]
1)BOSOBOLO
2)BUSINGA
3)GBADOLITE
4)MOBAYI-MBONGO
5)YAKOMA
6)SIJUE
7)KUKATALA</t>
        </is>
      </c>
      <c r="I51" s="45">
        <f>LEN(H51)</f>
        <v/>
      </c>
      <c r="J51" s="114" t="inlineStr">
        <is>
          <t xml:space="preserve">Bena mu dîku dienu badi basombele mu teritware kayi anyi mu tshimenga kayi?
[ENQUETEUR/TRICE: KUTANGI BIDI BIKUMBANE TO. DIANDAMUNA DIMUE ANYI]
1)BOSOBOLO
2)BUSINGA
3)GBADOLITE
4)MOBAYI-MBONGO
5)YAKOMA
6)TSHIENA MUMANYE
7)MUBENE
</t>
        </is>
      </c>
      <c r="K51" s="393">
        <f>LEN(J51)</f>
        <v/>
      </c>
      <c r="L51" s="53" t="inlineStr">
        <is>
          <t>Single Choice</t>
        </is>
      </c>
      <c r="M51" s="52" t="inlineStr">
        <is>
          <t>NA</t>
        </is>
      </c>
      <c r="N51" s="52" t="inlineStr">
        <is>
          <t>NA</t>
        </is>
      </c>
      <c r="O51" s="52" t="inlineStr">
        <is>
          <t>Form Type - Buttons
IsDemographic - ADM2</t>
        </is>
      </c>
      <c r="P51" s="52" t="inlineStr">
        <is>
          <t>NA</t>
        </is>
      </c>
      <c r="Q51" s="57" t="inlineStr">
        <is>
          <t>1-5 =  quotareached
6-7 = Ineligible</t>
        </is>
      </c>
      <c r="R51" s="46" t="n"/>
      <c r="S51" s="588" t="n"/>
      <c r="T51" s="57" t="inlineStr"/>
      <c r="U51" s="151" t="n"/>
      <c r="V51" s="39" t="n"/>
      <c r="W51" s="564" t="n"/>
      <c r="Y51" t="inlineStr"/>
      <c r="AE51" t="inlineStr"/>
    </row>
    <row r="52" ht="237" customFormat="1" customHeight="1" s="48">
      <c r="A52" s="14">
        <f>A51+1</f>
        <v/>
      </c>
      <c r="B52" s="63" t="inlineStr">
        <is>
          <t>hh_admin2_21</t>
        </is>
      </c>
      <c r="C52" s="63" t="inlineStr">
        <is>
          <t>hh_admin2_21</t>
        </is>
      </c>
      <c r="D52" s="57" t="inlineStr">
        <is>
          <t>Currently, in which territory do your household live in?
[OPERATOR: DO NOT READ THE OPTIONS. SINGLE SELECTION]
1)BENA-DIBELE
2)KATAKO-KOMBE
3)KOLE
4)LODJA
5)LOMELA
6)LUBEFU
7)LUSAMBO
8)TSHUMBE
9)DON'T KNOW
10)REFUSED</t>
        </is>
      </c>
      <c r="E52" s="52">
        <f>LEN(D52)</f>
        <v/>
      </c>
      <c r="F52" s="114" t="inlineStr">
        <is>
          <t>Dans quelle territoire vit votre ménage actuellement?
[OPERATEUR/OPERATRICE: NE LISEZ PAS LES OPTIONS. SEULEMENT UNE REPONSE]
1)BENA-DIBELE
2)KATAKO-KOMBE
3)KOLE
4)LODJA
5)LOMELA
6)LUBEFU
7)LUSAMBO
8)TSHUMBE
9)NE SAIT PAS
10)REFUSE</t>
        </is>
      </c>
      <c r="G52" s="52">
        <f>LEN(F52)</f>
        <v/>
      </c>
      <c r="H52" s="71" t="inlineStr">
        <is>
          <t>Kaya yako iko Ku territoire/ville gani?
[OPERATEUR/OPERATRICE: USISOME CHAGUZI. JIBU MOJA TU]
1)BENA-DIBELE
2)KATAKO-KOMBE
3)KOLE
4)LODJA
5)LOMELA
6)LUBEFU
7)LUSAMBO
8)TSHUMBE
9)SIJUE
10)KUKATALA</t>
        </is>
      </c>
      <c r="I52" s="45">
        <f>LEN(H52)</f>
        <v/>
      </c>
      <c r="J52" s="71" t="inlineStr">
        <is>
          <t xml:space="preserve">Bena mu dîku dienu badi basombele mu teritware kayi mpindieu?
[ENQUETEUR/TRICE: KUTANGI BIDI BIKUMBANE TO. DIANDAMUNA DIMUE ANYI]
1)BENA-DIBELE
2)KATAKO-KOMBE
3)KOLE
4)LODJA
5)LOMELA
6)LUBEFU
7)LUSAMBO
8)TSHUMBE
9)TSHIENA MUMANYE
10)MUBENE
</t>
        </is>
      </c>
      <c r="K52" s="393">
        <f>LEN(J52)</f>
        <v/>
      </c>
      <c r="L52" s="54" t="inlineStr">
        <is>
          <t>Single Choice</t>
        </is>
      </c>
      <c r="M52" s="52" t="inlineStr">
        <is>
          <t>NA</t>
        </is>
      </c>
      <c r="N52" s="52" t="inlineStr">
        <is>
          <t>NA</t>
        </is>
      </c>
      <c r="O52" s="52" t="inlineStr">
        <is>
          <t>Form Type - Dropdown
IsDemographic - ADM2</t>
        </is>
      </c>
      <c r="P52" s="56" t="inlineStr">
        <is>
          <t>NA</t>
        </is>
      </c>
      <c r="Q52" s="57" t="inlineStr">
        <is>
          <t>1-8 = quotareached
9-10= Ineligible</t>
        </is>
      </c>
      <c r="R52" s="46" t="n"/>
      <c r="S52" s="588" t="n"/>
      <c r="T52" s="57" t="inlineStr"/>
      <c r="U52" s="151" t="n"/>
      <c r="V52" s="39" t="n"/>
      <c r="W52" s="564" t="n"/>
      <c r="Y52" t="inlineStr"/>
      <c r="AE52" t="inlineStr"/>
    </row>
    <row r="53" ht="276.65" customFormat="1" customHeight="1" s="48">
      <c r="A53" s="14">
        <f>A52+1</f>
        <v/>
      </c>
      <c r="B53" s="63" t="inlineStr">
        <is>
          <t>hh_admin2_22</t>
        </is>
      </c>
      <c r="C53" s="53" t="inlineStr">
        <is>
          <t>hh_admin2_22</t>
        </is>
      </c>
      <c r="D53" s="64" t="inlineStr">
        <is>
          <t>Currently, in which territory do your household live in?
[OPERATOR: DO NOT READ THE OPTIONS. SINGLE SELECTION]
1)BUKAVU
2)FIZI
3)IDJWI
4)KABARE
5)KALEHE
6)MWENGA
7)SHABUNDA
8)UVIRA
9)WALUNGU
10)DON'T KNOW
11)REFUSED</t>
        </is>
      </c>
      <c r="E53" s="52">
        <f>LEN(D53)</f>
        <v/>
      </c>
      <c r="F53" s="64" t="inlineStr">
        <is>
          <t>Dans quel territoire ou ville vit votre ménage actuellement?
[OPERATEUR/OPERATRICE: NE LISEZ PAS LES OPTIONS. SEULEMENT UNE REPONSE]
1)BUKAVU
2)FIZI
3)IDJWI
4)KABARE
5)KALEHE
6)MWENGA
7)SHABUNDA
8)UVIRA
9)WALUNGU
10)NE SAIT PAS
11)REFUSE</t>
        </is>
      </c>
      <c r="G53" s="52">
        <f>LEN(F53)</f>
        <v/>
      </c>
      <c r="H53" s="71" t="inlineStr">
        <is>
          <t>Kaya yako iko Ku territoire/ville gani?
[OPERATEUR/OPERATRICE: USISOME CHAGUZI. JIBU MOJA TU]
1)BUKAVU
2)FIZI
3)IDJWI
4)KABARE
5)KALEHE
6)MWENGA
7)SHABUNDA
8)UVIRA
9)WALUNGU
10)NE SAIT PAS
11)KUKATALA</t>
        </is>
      </c>
      <c r="I53" s="45">
        <f>LEN(H53)</f>
        <v/>
      </c>
      <c r="J53" s="114" t="inlineStr">
        <is>
          <t xml:space="preserve">Bena mu dîku dienu badi basombele mu teritware kayi anyi mu tshimenga kayi?
[ENQUETEUR/TRICE: KUTANGI BIDI BIKUMBANE TO. DIANDAMUNA DIMUE ANYI]
1)BUKAVU
2)FIZI
3)IDJWI
4)KABARE
5)KALEHE
6)MWENGA
7)SHABUNDA
8)UVIRA
9)WALUNGU
10)TSHIENA MUMANYE
11)MUBENE
</t>
        </is>
      </c>
      <c r="K53" s="393">
        <f>LEN(J53)</f>
        <v/>
      </c>
      <c r="L53" s="53" t="inlineStr">
        <is>
          <t>Single Choice</t>
        </is>
      </c>
      <c r="M53" s="52" t="inlineStr">
        <is>
          <t>NA</t>
        </is>
      </c>
      <c r="N53" s="52" t="inlineStr">
        <is>
          <t>NA</t>
        </is>
      </c>
      <c r="O53" s="52" t="inlineStr">
        <is>
          <t>Form Type - Dropdown
IsDemographic - ADM2</t>
        </is>
      </c>
      <c r="P53" s="52" t="inlineStr">
        <is>
          <t>NA</t>
        </is>
      </c>
      <c r="Q53" s="57" t="inlineStr">
        <is>
          <t>1-9 =  quotareached
10-11 = Ineligible</t>
        </is>
      </c>
      <c r="R53" s="46" t="n"/>
      <c r="S53" s="588" t="n"/>
      <c r="T53" s="57" t="inlineStr"/>
      <c r="U53" s="151" t="n"/>
      <c r="V53" s="39" t="n"/>
      <c r="W53" s="564" t="n"/>
      <c r="Y53" t="inlineStr"/>
      <c r="AE53" t="inlineStr"/>
    </row>
    <row r="54" ht="189.65" customFormat="1" customHeight="1" s="48">
      <c r="A54" s="14">
        <f>A53+1</f>
        <v/>
      </c>
      <c r="B54" s="63" t="inlineStr">
        <is>
          <t>hh_admin2_23</t>
        </is>
      </c>
      <c r="C54" s="53" t="inlineStr">
        <is>
          <t>hh_admin2_23</t>
        </is>
      </c>
      <c r="D54" s="64" t="inlineStr">
        <is>
          <t>Currently, in which territory do your household live in?
[OPERATOR: DO NOT READ THE OPTIONS. SINGLE SELECTION]
1)BUDJALA
2)GEMENA
3)KUNGU
4)LIBENGE
5)ZONGO
6)DON'T KNOW
7)REFUSED</t>
        </is>
      </c>
      <c r="E54" s="52">
        <f>LEN(D54)</f>
        <v/>
      </c>
      <c r="F54" s="64" t="inlineStr">
        <is>
          <t>Dans quel territoire ou ville vit votre ménage actuellement?
[OPERATEUR/OPERATRICE: NE LISEZ PAS LES OPTIONS. SEULEMENT UNE REPONSE]
1)BUDJALA
2)GEMENA
3)KUNGU
4)LIBENGE
5)ZONGO
6)NE SAIT PAS
7)REFUSE</t>
        </is>
      </c>
      <c r="G54" s="52">
        <f>LEN(F54)</f>
        <v/>
      </c>
      <c r="H54" s="71" t="inlineStr">
        <is>
          <t>Kaya yako iko Ku territoire/ville gani?
[OPERATEUR/OPERATRICE: USISOME CHAGUZI. JIBU MOJA TU]
1)BUDJALA
2)GEMENA
3)KUNGU
4)LIBENGE
5)ZONGO
6)SIJUE
7)KUKATALA</t>
        </is>
      </c>
      <c r="I54" s="45">
        <f>LEN(H54)</f>
        <v/>
      </c>
      <c r="J54" s="114" t="inlineStr">
        <is>
          <t xml:space="preserve">Bena mu dîku dienu badi basombele mu teritware kayi anyi mu tshimenga kayi?
[ENQUETEUR/TRICE: KUTANGI BIDI BIKUMBANE TO. DIANDAMUNA DIMUE ANYI]
1)BUDJALA
2)GEMENA
3)KUNGU
4)LIBENGE
5)ZONGO
6)TSHIENA MUMANYE
7)MUBENE
</t>
        </is>
      </c>
      <c r="K54" s="393">
        <f>LEN(J54)</f>
        <v/>
      </c>
      <c r="L54" s="53" t="inlineStr">
        <is>
          <t>Single Choice</t>
        </is>
      </c>
      <c r="M54" s="52" t="inlineStr">
        <is>
          <t>NA</t>
        </is>
      </c>
      <c r="N54" s="52" t="inlineStr">
        <is>
          <t>NA</t>
        </is>
      </c>
      <c r="O54" s="52" t="inlineStr">
        <is>
          <t>Form Type - Buttons
IsDemographic - ADM2</t>
        </is>
      </c>
      <c r="P54" s="52" t="inlineStr">
        <is>
          <t>NA</t>
        </is>
      </c>
      <c r="Q54" s="57" t="inlineStr">
        <is>
          <t>1-5 =  quotareached
6-7 = Ineligible</t>
        </is>
      </c>
      <c r="R54" s="46" t="n"/>
      <c r="S54" s="588" t="n"/>
      <c r="T54" s="57" t="inlineStr"/>
      <c r="U54" s="151" t="n"/>
      <c r="V54" s="39" t="n"/>
      <c r="W54" s="564" t="n"/>
      <c r="Y54" t="inlineStr"/>
      <c r="AE54" t="inlineStr"/>
    </row>
    <row r="55" ht="261" customFormat="1" customHeight="1" s="48">
      <c r="A55" s="14">
        <f>A54+1</f>
        <v/>
      </c>
      <c r="B55" s="63" t="inlineStr">
        <is>
          <t>hh_admin2_24</t>
        </is>
      </c>
      <c r="C55" s="53" t="inlineStr">
        <is>
          <t>hh_admin2_24</t>
        </is>
      </c>
      <c r="D55" s="64" t="inlineStr">
        <is>
          <t>Currently, in which territory do your household live in?
[OPERATOR: DO NOT READ THE OPTIONS. SINGLE SELECTION]
1)KABALO
2)KALEMIE
3)KONGOLO
4)MANONO
5)MOBA
6)NYUNZU
7)DON'T KNOW
8)REFUSED</t>
        </is>
      </c>
      <c r="E55" s="52">
        <f>LEN(D55)</f>
        <v/>
      </c>
      <c r="F55" s="64" t="inlineStr">
        <is>
          <t>Dans quel territoire ou ville vit votre ménage actuellement?
[OPERATEUR/OPERATRICE: NE LISEZ PAS LES OPTIONS. SEULEMENT UNE REPONSE]
1)KABALO
2)KALEMIE
3)KONGOLO
4)MANONO
5)MOBA
6)NYUNZU
7)NE SAIT PAS
8)REFUSE</t>
        </is>
      </c>
      <c r="G55" s="52">
        <f>LEN(F55)</f>
        <v/>
      </c>
      <c r="H55" s="71" t="inlineStr">
        <is>
          <t>Kaya yako iko Ku territoire/ville gani?
[OPERATEUR/OPERATRICE: USISOME CHAGUZI. JIBU MOJA TU]
1)KABALO
2)KALEMIE
3)KONGOLO
4)MANONO
5)MOBA
6)NYUNZU
7)SIJUE
8)KUKATALA</t>
        </is>
      </c>
      <c r="I55" s="45">
        <f>LEN(H55)</f>
        <v/>
      </c>
      <c r="J55" s="114" t="inlineStr">
        <is>
          <t xml:space="preserve">Bena mu dîku dienu badi basombele mu teritware kayi anyi mu tshimenga kayi?
[ENQUETEUR/TRICE: KUTANGI BIDI BIKUMBANE TO. DIANDAMUNA DIMUE ANYI]
1)KABALO
2)KALEMIE
3)KONGOLO
4)MANONO
5)MOBA
6)NYUNZU
7)TSHIENA MUMANYE
8)MUBENE
</t>
        </is>
      </c>
      <c r="K55" s="393">
        <f>LEN(J55)</f>
        <v/>
      </c>
      <c r="L55" s="53" t="inlineStr">
        <is>
          <t>Single Choice</t>
        </is>
      </c>
      <c r="M55" s="52" t="inlineStr">
        <is>
          <t>NA</t>
        </is>
      </c>
      <c r="N55" s="52" t="inlineStr">
        <is>
          <t>NA</t>
        </is>
      </c>
      <c r="O55" s="52" t="inlineStr">
        <is>
          <t>Form Type - Buttons
IsDemographic - ADM2</t>
        </is>
      </c>
      <c r="P55" s="52" t="inlineStr">
        <is>
          <t>NA</t>
        </is>
      </c>
      <c r="Q55" s="57" t="inlineStr">
        <is>
          <t>1-6 = quotareached
7-8 = Ineligible</t>
        </is>
      </c>
      <c r="R55" s="46" t="n"/>
      <c r="S55" s="588" t="n"/>
      <c r="T55" s="57" t="inlineStr"/>
      <c r="U55" s="151" t="n"/>
      <c r="V55" s="152" t="n"/>
      <c r="W55" s="564" t="n"/>
      <c r="Y55" t="inlineStr"/>
      <c r="AE55" t="inlineStr"/>
    </row>
    <row r="56" ht="246.65" customFormat="1" customHeight="1" s="48">
      <c r="A56" s="14">
        <f>A55+1</f>
        <v/>
      </c>
      <c r="B56" s="63" t="inlineStr">
        <is>
          <t>hh_admin2_25</t>
        </is>
      </c>
      <c r="C56" s="53" t="inlineStr">
        <is>
          <t>hh_admin2_25</t>
        </is>
      </c>
      <c r="D56" s="64" t="inlineStr">
        <is>
          <t>Currently, in which territory do your household live in?
[OPERATOR: DO NOT READ THE OPTIONS. SINGLE SELECTION]
1)BAFWASENDE
2)BANALIA
3)BASOKO
4)ISANGI
5)KISANGANI
6)OPALA
7)UBUNDU
8)YAHUMA
9)YANGAMBI
10)DON'T KNOW
11)REFUSED</t>
        </is>
      </c>
      <c r="E56" s="52">
        <f>LEN(D56)</f>
        <v/>
      </c>
      <c r="F56" s="64" t="inlineStr">
        <is>
          <t>Dans quel territoire ou ville vit votre ménage actuellement?
[OPERATEUR/OPERATRICE: NE LISEZ PAS LES OPTIONS. SEULEMENT UNE REPONSE]
1)BAFWASENDE
2)BANALIA
3)BASOKO
4)ISANGI
5)KISANGANI
6)OPALA
7)UBUNDU
8)YAHUMA
9)YANGAMBI
10)NE SAIT PAS
11)REFUSE</t>
        </is>
      </c>
      <c r="G56" s="52">
        <f>LEN(F56)</f>
        <v/>
      </c>
      <c r="H56" s="71" t="inlineStr">
        <is>
          <t>Kaya yako iko Ku territoire/ville gani?
[OPERATEUR/OPERATRICE: USISOME CHAGUZI. JIBU MOJA TU]
1)BAFWASENDE
2)BANALIA
3)BASOKO
4)ISANGI
5)KISANGANI
6)OPALA
7)UBUNDU
8)YAHUMA
9)YANGAMBI
10)SIJUE
11)KUKATALA</t>
        </is>
      </c>
      <c r="I56" s="45">
        <f>LEN(H56)</f>
        <v/>
      </c>
      <c r="J56" s="114" t="inlineStr">
        <is>
          <t xml:space="preserve">Bena mu dîku dienu badi basombele mu teritware kayi anyi mu tshimenga kayi?
[ENQUETEUR/TRICE: KUTANGI BIDI BIKUMBANE TO. DIANDAMUNA DIMUE ANYI]
1)BAFWASENDE
2)BANALIA
3)BASOKO
4)ISANGI
5)KISANGANI
6)OPALA
7)UBUNDU
8)YAHUMA
9)YANGAMBI
10)TSHIENA MUMANYE
11)MUBENE
</t>
        </is>
      </c>
      <c r="K56" s="393">
        <f>LEN(J56)</f>
        <v/>
      </c>
      <c r="L56" s="53" t="inlineStr">
        <is>
          <t>Single Choice</t>
        </is>
      </c>
      <c r="M56" s="52" t="inlineStr">
        <is>
          <t>NA</t>
        </is>
      </c>
      <c r="N56" s="52" t="inlineStr">
        <is>
          <t>NA</t>
        </is>
      </c>
      <c r="O56" s="52" t="inlineStr">
        <is>
          <t>Form Type - Dropdown
IsDemographic - ADM2</t>
        </is>
      </c>
      <c r="P56" s="52" t="inlineStr">
        <is>
          <t>NA</t>
        </is>
      </c>
      <c r="Q56" s="57" t="inlineStr">
        <is>
          <t>1-9 = quotareached
10,11 = Ineligible</t>
        </is>
      </c>
      <c r="R56" s="46" t="n"/>
      <c r="S56" s="588" t="n"/>
      <c r="T56" s="57" t="inlineStr"/>
      <c r="U56" s="151" t="n"/>
      <c r="V56" s="152" t="n"/>
      <c r="W56" s="564" t="n"/>
      <c r="Y56" t="inlineStr"/>
      <c r="AE56" t="inlineStr"/>
    </row>
    <row r="57" ht="215.25" customFormat="1" customHeight="1" s="103">
      <c r="A57" s="14">
        <f>A56+1</f>
        <v/>
      </c>
      <c r="B57" s="63" t="inlineStr">
        <is>
          <t>hh_admin2_26</t>
        </is>
      </c>
      <c r="C57" s="63" t="inlineStr">
        <is>
          <t>hh_admin2_26</t>
        </is>
      </c>
      <c r="D57" s="57" t="inlineStr">
        <is>
          <t>Currently, in which territory do your household live in?
[OPERATOR: DO NOT READ THE OPTIONS. SINGLE SELECTION]
1)BEFALE
2)BOENDE
3)BOKUNGU
4)DJOLU
5)IKELA
6)MONKOTO
7)DON'T KNOW
8)REFUSED</t>
        </is>
      </c>
      <c r="E57" s="52">
        <f>LEN(D57)</f>
        <v/>
      </c>
      <c r="F57" s="114" t="inlineStr">
        <is>
          <t>Dans quelle territoire vit votre ménage actuellement?
[OPERATEUR/OPERATRICE: NE LISEZ PAS LES OPTIONS. SEULEMENT UNE REPONSE]
1)BEFALE
2)BOENDE
3)BOKUNGU
4)DJOLU
5)IKELA
6)MONKOTO
7)NE SAIT PAS
8)REFUSE</t>
        </is>
      </c>
      <c r="G57" s="52">
        <f>LEN(F57)</f>
        <v/>
      </c>
      <c r="H57" s="71" t="inlineStr">
        <is>
          <t>Kaya yako iko Ku territoire/ville gani?
[OPERATEUR/OPERATRICE: USISOME CHAGUZI. JIBU MOJA TU]
1)BEFALE
2)BOENDE
3)BOKUNGU
4)DJOLU
5)IKELA
6)MONKOTO
7)SIJUE
8)KUKATALA</t>
        </is>
      </c>
      <c r="I57" s="45">
        <f>LEN(H57)</f>
        <v/>
      </c>
      <c r="J57" s="71" t="inlineStr">
        <is>
          <t xml:space="preserve">Bena mu dîku dienu badi basombele mu teritware kayi mpindieu?
[ENQUETEUR/TRICE: KUTANGI BIDI BIKUMBANE TO. DIANDAMUNA DIMUE ANYI]
1)BEFALE
2)BOENDE
3)BOKUNGU
4)DJOLU
5)IKELA
6)MONKOTO
7)TSHIENA MUMANYE
8)MUBENE
</t>
        </is>
      </c>
      <c r="K57" s="393">
        <f>LEN(J57)</f>
        <v/>
      </c>
      <c r="L57" s="54" t="inlineStr">
        <is>
          <t>Single Choice</t>
        </is>
      </c>
      <c r="M57" s="52" t="inlineStr">
        <is>
          <t>NA</t>
        </is>
      </c>
      <c r="N57" s="52" t="inlineStr">
        <is>
          <t>NA</t>
        </is>
      </c>
      <c r="O57" s="52" t="inlineStr">
        <is>
          <t>Form Type - Dropdown
IsDemographic - ADM2</t>
        </is>
      </c>
      <c r="P57" s="56" t="inlineStr">
        <is>
          <t>NA</t>
        </is>
      </c>
      <c r="Q57" s="57" t="inlineStr">
        <is>
          <t>1-6 = quotareached
7-8= Ineligible</t>
        </is>
      </c>
      <c r="R57" s="46" t="n"/>
      <c r="S57" s="589" t="n"/>
      <c r="T57" s="153" t="inlineStr"/>
      <c r="U57" s="154" t="n"/>
      <c r="V57" s="155" t="n"/>
      <c r="W57" s="561" t="n"/>
      <c r="Y57" t="inlineStr"/>
      <c r="AE57" t="inlineStr"/>
    </row>
    <row r="58" ht="170.15" customFormat="1" customHeight="1" s="48">
      <c r="A58" s="14">
        <f>A57+1</f>
        <v/>
      </c>
      <c r="B58" s="401" t="inlineStr">
        <is>
          <t>quotareached</t>
        </is>
      </c>
      <c r="C58" s="402" t="inlineStr">
        <is>
          <t>quotareached</t>
        </is>
      </c>
      <c r="D58" s="57" t="inlineStr">
        <is>
          <t>[OPERATOR: DO NOT READ. ANSWER QUESTION BELOW.]
THIS RESPONDENT REPORTED THEY LIVE IN:
{ADM1}
{ADM2}
1)THE GOAL FOR THIS LOCATION HAS BEEN ACHIEVED - END SURVEY
2)THE GOAL FOR THIS LOCATION IS OPEN - CONTINUE SURVEY</t>
        </is>
      </c>
      <c r="E58" s="52">
        <f>LEN(D58)</f>
        <v/>
      </c>
      <c r="F58" s="114" t="inlineStr">
        <is>
          <t>[OPÉRATEUR/OPÉRATRICE: NE PAS LIRE. RÉPONDRE À LA QUESTION CI-DESSOUS.]
CE RÉPONDANT DIT VIVRE À:
{ADM1}
{ADM2}
1)L'OBJECTIF DANS CETTE ZONE A ÉTÉ ATTEINT - FIN DU SONDAGE
2)L'OBJECTIF DANS CETTE ZONE N'EST PAS ENCORE ATTEINT - CONTINUER LE SONDAGE</t>
        </is>
      </c>
      <c r="G58" s="45">
        <f>LEN(F58)</f>
        <v/>
      </c>
      <c r="H58" s="71" t="inlineStr">
        <is>
          <t>[OPERATOR: USISOME. JIBU SWALI HAPA CHINI.]_x000D_
_x000D_
MUJIBU HUYU ALIRIPOTI WANAISHI:_x000D_
_x000D_
{ADM1}_x000D_
{ADM2}_x000D_
_x000D_
1)LENGO YA ENEO HILI LIMEFIKIWA - MUSHIO YA UTAFUTI_x000D_
2)LENGO YA ENEO HILI LIMEFUNGUA - ENDELEA UTAFITI</t>
        </is>
      </c>
      <c r="I58" s="45">
        <f>LEN(H58)</f>
        <v/>
      </c>
      <c r="J58" s="71" t="inlineStr">
        <is>
          <t xml:space="preserve">[ENQUETEUR/TRICE: KUBADI TO. WANDAMUNA LUKONKO LUDI KUINSHI ELU.]
MUENA LUMU EWU UDI WAMBA NE UDI MUSOMBA MU:
{ADM1}
{ADM2}
1)TSHIPATSHILA MU MUTU EWU NDIKAKUMBANE - NDEKELU WA DIKEBA
2)TIPANDA MU MUTUKU EWU KATSHIENA KUKUMBAJIKA - TUTUADILA NE DIKEBA
</t>
        </is>
      </c>
      <c r="K58" s="393">
        <f>LEN(J58)</f>
        <v/>
      </c>
      <c r="L58" s="56" t="inlineStr">
        <is>
          <t>Single Choice</t>
        </is>
      </c>
      <c r="M58" s="56" t="inlineStr">
        <is>
          <t>NA</t>
        </is>
      </c>
      <c r="N58" s="56" t="inlineStr">
        <is>
          <t>NA</t>
        </is>
      </c>
      <c r="O58" s="56" t="inlineStr">
        <is>
          <t>Form Type - Buttons</t>
        </is>
      </c>
      <c r="P58" s="82" t="inlineStr">
        <is>
          <t>NA</t>
        </is>
      </c>
      <c r="Q58" s="51" t="inlineStr">
        <is>
          <t>1 = End Poll Quota Reached
2 = hh_agricactivity</t>
        </is>
      </c>
      <c r="R58" s="44" t="n"/>
      <c r="S58" s="58" t="inlineStr"/>
      <c r="T58" s="156" t="inlineStr"/>
      <c r="U58" s="19" t="n"/>
      <c r="V58" s="168" t="n"/>
      <c r="W58" s="168" t="n"/>
      <c r="X58" s="43" t="n"/>
      <c r="Y58" t="inlineStr"/>
      <c r="Z58" s="66" t="n"/>
      <c r="AA58" s="564" t="n"/>
      <c r="AD58" s="168" t="n"/>
      <c r="AE58" s="168" t="inlineStr"/>
      <c r="AF58" s="43" t="n"/>
    </row>
    <row r="59" ht="306" customFormat="1" customHeight="1" s="48">
      <c r="A59" s="14">
        <f>A58+1</f>
        <v/>
      </c>
      <c r="B59" s="401" t="inlineStr">
        <is>
          <t>hh_agricactivity</t>
        </is>
      </c>
      <c r="C59" s="403" t="inlineStr">
        <is>
          <t>hh_agricactivity</t>
        </is>
      </c>
      <c r="D59" s="57" t="inlineStr">
        <is>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is>
      </c>
      <c r="E59" s="52">
        <f>LEN(D59)</f>
        <v/>
      </c>
      <c r="F59" s="114" t="inlineStr">
        <is>
          <t>Est-ce que quelqu'un dans votre ménage a produit des cultures ou du bétail pour la consommation du ménage ou pour la vente au cours des 12 derniers mois, y compris des membres du ménage actuellement partis pour la transhumance?
[OPÉRATEUR / OPÉRATRICE : RÉPONSE UNIQUE.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
1)Oui - production végétale 
2)Oui - production animale
3)Oui - production végétale et animale 
4)Non
5)NE SAIT PAS
6)REFUSÉ</t>
        </is>
      </c>
      <c r="G59" s="52">
        <f>LEN(F59)</f>
        <v/>
      </c>
      <c r="H59" s="114" t="inlineStr">
        <is>
          <t>Je, kuna mtu yote katika nyumba yako amezalisha mazao au mifugo kwa ajili ya matumizi ya kaya au kwa ajili ya kuuza katika kipindi cha miezi 12 iliyopita, ikiwa ni pamoja na wanakaya ambao hawapo kwa sasa kwa ajili ya kubadilisha ubinadamu?
[OPERATOR: JIBU MOJA. HILI NDILO SWALI KUU LA UCHUNGUZI.]
[DOKEZO LA KUJARIBU: Je, unalima mimea yoyote ili kuuza au kutumia? Je, unafuga wanyama wowote kwa nia ya kuuza au kula au bidhaa yako kama nyama, maziba, pamba au ngozi? Je, moja wa wanakaya wako kwa sasa yuko mbali na ngombe au wanyama wengine kwa ajili ya kubadilisha ubinadamu?]
1)Ndiyo - uzalishaji wa mazao
2)Ndiyo - uzalishaji wa mifugo
3)Ndiyo - uzalishaji wa mazao na mifugo
4)Hapana
5)SIJUE
6)KUKATALA</t>
        </is>
      </c>
      <c r="I59" s="45">
        <f>LEN(H59)</f>
        <v/>
      </c>
      <c r="J59" s="114" t="inlineStr">
        <is>
          <t xml:space="preserve">Muntu nansha umo mu njibo yenu udiku mupatule madimi anyi bimuna bua kudia mu nzubu anyi bua kubisumbisha mu ngondo 12 mipite eyi, nansha bena mu nzubu badi kabayi mpindieu ku transhumance anyi?
[ENQUETEUR/TRICE: DIANDAMUNA DIMUE. EYI LUKONKONKO LUNENE LUA DISUANGANA.][MIBELU BIA KUENZA: Utuku udima mitshi bua kusumba anyi kudia anyi? Utuku ulama nyama bua kusumba anyi bua kudia, kusangisha ne bintu bia mu nyama bu mudi: nyama, mabele, miosa ya mikoko anyi tshiseba anyi? Muntu nansha umo wa mu njibo yenu udi mushiya ne bimuna bua kuenza transhumance anyi?]
1)Eyowa - dienza dia madimi 
2)Eyowa - dienza dia nyama
3)Eyowa - dienza dia mitshi ne nyama 
4)TO
5)TSHIENA MUMANYE
6)MUBENE
</t>
        </is>
      </c>
      <c r="K59" s="393">
        <f>LEN(J59)</f>
        <v/>
      </c>
      <c r="L59" s="56" t="inlineStr">
        <is>
          <t>Single Choice</t>
        </is>
      </c>
      <c r="M59" s="52" t="inlineStr">
        <is>
          <t>NA</t>
        </is>
      </c>
      <c r="N59" s="52" t="inlineStr">
        <is>
          <t>NA</t>
        </is>
      </c>
      <c r="O59" s="52" t="inlineStr">
        <is>
          <t>Form Type - Buttons</t>
        </is>
      </c>
      <c r="P59" s="56" t="inlineStr">
        <is>
          <t>NA</t>
        </is>
      </c>
      <c r="Q59" s="57" t="inlineStr">
        <is>
          <t>1-4 = hh_fish
5-6 = Ineligible</t>
        </is>
      </c>
      <c r="R59" s="57" t="n"/>
      <c r="S59" s="124" t="inlineStr">
        <is>
          <t>if hh_agricactivity = 1-4, go to hh_fish. Otherwise, the respondent is ineligible.</t>
        </is>
      </c>
      <c r="T59" s="125" t="inlineStr"/>
      <c r="U59" s="10" t="n"/>
      <c r="V59" s="170">
        <f>1</f>
        <v/>
      </c>
      <c r="W59" s="43" t="n"/>
      <c r="Y59" s="112" t="inlineStr">
        <is>
          <t>yes</t>
        </is>
      </c>
      <c r="Z59" s="564" t="n"/>
      <c r="AC59" s="168" t="n">
        <v>24.41083908081055</v>
      </c>
      <c r="AD59" s="168">
        <f>IF(AC59="","",AC59*V59)</f>
        <v/>
      </c>
      <c r="AE59" s="43" t="inlineStr">
        <is>
          <t>24.41083908081055</t>
        </is>
      </c>
    </row>
    <row r="60" ht="221.15" customFormat="1" customHeight="1" s="48" thickBot="1">
      <c r="A60" s="14">
        <f>A59+1</f>
        <v/>
      </c>
      <c r="B60" s="62" t="inlineStr">
        <is>
          <t>hh_fish</t>
        </is>
      </c>
      <c r="C60" s="131" t="inlineStr">
        <is>
          <t>hh_fish</t>
        </is>
      </c>
      <c r="D60" s="404" t="inlineStr">
        <is>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is>
      </c>
      <c r="E60" s="133" t="n">
        <v>116</v>
      </c>
      <c r="F60" s="188" t="inlineStr">
        <is>
          <t>Quelqu'un dans votre ménage a-t-il été impliqué dans la production aquatique [prise de poisson ou aquaculture] pour la consommation du ménage ou pour la vente au cours des 12 derniers mois ?
[OPÉRATEUR/OPÉRATRICE: RÉPONSE UNIQUE.]
[CONSEIL LORS DU SONDAGE : cette question et réponse ne devraient pas inclure la pêche sportive. Il s'agit plutôt de la production de produits aquatiques [prise de poisson ou aquaculture] pour la consommation ou la vente des ménages.]
1)OUI
2)NON
3)NE SAIT PAS
4)REFUSÉ</t>
        </is>
      </c>
      <c r="G60" s="45">
        <f>LEN(F60)</f>
        <v/>
      </c>
      <c r="H60" s="71" t="inlineStr">
        <is>
          <t>Je, kuna mtu yeyote katika familia yako ambaye amekuwa akijishughulisha na uzalishaji wa majini [kuvua samaki au ufugaji wa samaki] kwa matumizi ya familia au kwa mauzo katika kipindi cha miezi 12 iliyopita?
[MWENDESHAJI: JIBU MOJA.]
[KIASHIRIA CHA KUCHUNGUZA: Haipaswi kujumuisha uvuvi wa michezo. Inapaswa kuwa juu ya uzalishaji wa mazao ya majini [samaki wanaovuliwa au ufugaji wa samaki] kwa matumizi ya famille au mauzo.]
1)NDIYO
2)HAPANA
3)SIJUE
4)NILIKUKATALA</t>
        </is>
      </c>
      <c r="I60" s="45">
        <f>LEN(H60)</f>
        <v/>
      </c>
      <c r="J60" s="71" t="inlineStr">
        <is>
          <t xml:space="preserve">Muntu nansha umo wa mu njibo yenu ukadi muditue mu mudimu wa dienza dia bintu bia mu mayi [kukuata mishipa anyi dilama dia mu mayi] bua kudia mu nzubu anyi bua kusumbisha mu ngondo 12 mipite eyi anyi?
[ENQUETEUR/TRICE:Bipwebo imwe.][SURVEY TIP: Lukonku elu ne diandamuna kabiena ne tshia kuikala ne diloba dia manaya to. Kadi, i dienza dia bintu bia mu mayi [dikuata dia mishipa anyi dilama dia mu mayi] bua kudia anyi kusumbisha mu nzubu.]
1) EYOWA
2) TO
3) TSHIENA MUMANYE
4)MUBENE
</t>
        </is>
      </c>
      <c r="K60" s="45">
        <f>LEN(J60)</f>
        <v/>
      </c>
      <c r="L60" s="131" t="inlineStr">
        <is>
          <t>Single Choice</t>
        </is>
      </c>
      <c r="M60" s="133" t="inlineStr">
        <is>
          <t>NA</t>
        </is>
      </c>
      <c r="N60" s="133" t="inlineStr">
        <is>
          <t>NA</t>
        </is>
      </c>
      <c r="O60" s="133" t="inlineStr">
        <is>
          <t>Form Type - Buttons</t>
        </is>
      </c>
      <c r="P60" s="25" t="inlineStr">
        <is>
          <t>NA</t>
        </is>
      </c>
      <c r="Q60" s="187" t="inlineStr">
        <is>
          <t>1-2 = resp_id
3-4 = Ineligible</t>
        </is>
      </c>
      <c r="R60" s="187" t="n"/>
      <c r="S60" s="61" t="inlineStr">
        <is>
          <t>if hh_fish = 1-2, go to resp_id. Otherwise, the respondent is ineligible.</t>
        </is>
      </c>
      <c r="T60" s="25" t="inlineStr"/>
      <c r="U60" s="19" t="n"/>
      <c r="V60" s="170" t="n"/>
      <c r="W60" s="43" t="n"/>
      <c r="Y60" s="112" t="inlineStr"/>
      <c r="Z60" s="564" t="n"/>
      <c r="AC60" s="168" t="n"/>
      <c r="AD60" s="168" t="n"/>
      <c r="AE60" s="43" t="inlineStr"/>
    </row>
    <row r="61" ht="17.15" customFormat="1" customHeight="1" s="281" thickBot="1">
      <c r="A61" s="554" t="inlineStr">
        <is>
          <t>B. GENERAL HOUSEHOLD INFORMATION</t>
        </is>
      </c>
      <c r="B61" s="586" t="n"/>
      <c r="C61" s="586" t="n"/>
      <c r="D61" s="586" t="n"/>
      <c r="E61" s="586" t="n"/>
      <c r="F61" s="586" t="n"/>
      <c r="G61" s="586" t="n"/>
      <c r="H61" s="586" t="n"/>
      <c r="I61" s="586" t="n"/>
      <c r="J61" s="586" t="n"/>
      <c r="K61" s="586" t="n"/>
      <c r="L61" s="586" t="n"/>
      <c r="M61" s="586" t="n"/>
      <c r="N61" s="586" t="n"/>
      <c r="O61" s="586" t="n"/>
      <c r="P61" s="586" t="n"/>
      <c r="Q61" s="586" t="n"/>
      <c r="R61" s="586" t="n"/>
      <c r="S61" s="586" t="n"/>
      <c r="T61" s="586" t="n"/>
      <c r="U61" s="587" t="n"/>
      <c r="V61" s="279" t="n"/>
      <c r="W61" s="280" t="n"/>
      <c r="Y61" s="282" t="n"/>
      <c r="Z61" s="283" t="n"/>
      <c r="AC61" s="284" t="n"/>
      <c r="AD61" s="285">
        <f>IF(AC61="","",AC61*V61)</f>
        <v/>
      </c>
      <c r="AE61" s="280">
        <f>IF(Y61="yes",AD61,"")</f>
        <v/>
      </c>
    </row>
    <row r="62" ht="153" customFormat="1" customHeight="1" s="48">
      <c r="A62" s="34">
        <f>A60+1</f>
        <v/>
      </c>
      <c r="B62" s="391" t="inlineStr">
        <is>
          <t>resp_id</t>
        </is>
      </c>
      <c r="C62" s="392" t="inlineStr">
        <is>
          <t>resp_id</t>
        </is>
      </c>
      <c r="D62" s="405" t="inlineStr">
        <is>
          <t>Are you the head of household? 
[OPERATOR: SINGLE RESPONSE.]
1)YES
2)NO
3)DON'T KNOW
4)REFUSED</t>
        </is>
      </c>
      <c r="E62" s="392">
        <f>LEN(D62)</f>
        <v/>
      </c>
      <c r="F62" s="114" t="inlineStr">
        <is>
          <t>Êtes-vous le chef de ménage?
[OPÉRATEUR/OPÉRATRICE: RÉPONSE UNIQUE.]
1)OUI
2)NON
3)NE SAIT PAS
4)REFUSÉ</t>
        </is>
      </c>
      <c r="G62" s="392">
        <f>LEN(F62)</f>
        <v/>
      </c>
      <c r="H62" s="71" t="inlineStr">
        <is>
          <t>Wewe ni mkuu wa nyumba?
[OPERATOR: JIBU MOJA.]
1)NDIYO
2)HAPANA
3)SIJUE
4)KUKATALA</t>
        </is>
      </c>
      <c r="I62" s="392">
        <f>LEN(H62)</f>
        <v/>
      </c>
      <c r="J62" s="71" t="inlineStr">
        <is>
          <t xml:space="preserve">Udi mfumu wa dîku anyi?
[ENQUETEUR/TRICE:Bipwebo imwe.]
1) EYOWA
2) TO
3) TSHIENA MUMANYE
4)MUBENE
</t>
        </is>
      </c>
      <c r="K62" s="392">
        <f>LEN(J62)</f>
        <v/>
      </c>
      <c r="L62" s="392" t="inlineStr">
        <is>
          <t>Single Choice</t>
        </is>
      </c>
      <c r="M62" s="392" t="inlineStr">
        <is>
          <t>NA</t>
        </is>
      </c>
      <c r="N62" s="392" t="inlineStr">
        <is>
          <t>NA</t>
        </is>
      </c>
      <c r="O62" s="392" t="inlineStr">
        <is>
          <t>Form Type - Buttons</t>
        </is>
      </c>
      <c r="P62" s="82" t="inlineStr">
        <is>
          <t>NA</t>
        </is>
      </c>
      <c r="Q62" s="58" t="inlineStr">
        <is>
          <t>1 = hh_education 
2-4 = hh_gender</t>
        </is>
      </c>
      <c r="R62" s="58" t="n"/>
      <c r="S62" s="58" t="inlineStr">
        <is>
          <t>if resp_id = 1, go to hh_education. 
Otherwise, go to hh_gender.</t>
        </is>
      </c>
      <c r="T62" s="156" t="inlineStr"/>
      <c r="U62" s="19" t="n"/>
      <c r="V62" s="167" t="n">
        <v>1</v>
      </c>
      <c r="W62" s="43" t="n"/>
      <c r="Y62" s="109" t="inlineStr">
        <is>
          <t>yes</t>
        </is>
      </c>
      <c r="Z62" s="564" t="n"/>
      <c r="AC62" s="168" t="n">
        <v>10.5</v>
      </c>
      <c r="AD62" s="168">
        <f>IF(AC62="","",AC62*V62)</f>
        <v/>
      </c>
      <c r="AE62" s="43" t="inlineStr">
        <is>
          <t>10.5</t>
        </is>
      </c>
    </row>
    <row r="63" ht="136" customFormat="1" customHeight="1" s="48">
      <c r="A63" s="34">
        <f>A62+1</f>
        <v/>
      </c>
      <c r="B63" s="89" t="inlineStr">
        <is>
          <t>hh_gender</t>
        </is>
      </c>
      <c r="C63" s="47" t="inlineStr">
        <is>
          <t>hh_gender</t>
        </is>
      </c>
      <c r="D63" s="65" t="inlineStr">
        <is>
          <t>Is the head of your household male or female?
[OPERATOR: SINGLE RESPONSE.]
1)Male 
2)Female
3)DON'T KNOW
4)REFUSED</t>
        </is>
      </c>
      <c r="E63" s="45">
        <f>LEN(D63)</f>
        <v/>
      </c>
      <c r="F63" s="114" t="inlineStr">
        <is>
          <t>Le chef de votre ménage est-il un homme ou une femme?
[OPÉRATEUR/OPÉRATRICE: RÉPONSE UNIQUE.]
1)Homme
2)Femme
3)NE SAIT PAS
4)REFUSÉ</t>
        </is>
      </c>
      <c r="G63" s="392">
        <f>LEN(F63)</f>
        <v/>
      </c>
      <c r="H63" s="71" t="inlineStr">
        <is>
          <t>Je, mkuu wa nyumba yako ni mwanamume au mwanamke?_x000D_
_x000D_
[OPERATOR: JIBU MOJA.]_x000D_
_x000D_
1)Mwanaume_x000D_
2)Mwanamke_x000D_
3)SIJUE_x000D_
4)KUKATALA</t>
        </is>
      </c>
      <c r="I63" s="392">
        <f>LEN(H63)</f>
        <v/>
      </c>
      <c r="J63" s="71" t="inlineStr">
        <is>
          <t xml:space="preserve">Mfumu wa dîku diebe mmuntu mulume anyi mmuntu mukaji?
[ENQUETEUR/TRICE:Bipwebo imwe.]
1)Mulume
2)Mukaji
3)TSHIENA MUMANYE
4)MUBENE
</t>
        </is>
      </c>
      <c r="K63" s="392">
        <f>LEN(J63)</f>
        <v/>
      </c>
      <c r="L63" s="47" t="inlineStr">
        <is>
          <t>Single Choice</t>
        </is>
      </c>
      <c r="M63" s="45" t="inlineStr">
        <is>
          <t>NA</t>
        </is>
      </c>
      <c r="N63" s="45" t="inlineStr">
        <is>
          <t>NA</t>
        </is>
      </c>
      <c r="O63" s="45" t="inlineStr">
        <is>
          <t>Form Type - Buttons</t>
        </is>
      </c>
      <c r="P63" s="82" t="inlineStr">
        <is>
          <t>NA</t>
        </is>
      </c>
      <c r="Q63" s="44" t="inlineStr">
        <is>
          <t>1-4 = hh_education</t>
        </is>
      </c>
      <c r="R63" s="44" t="n"/>
      <c r="S63" s="44" t="inlineStr">
        <is>
          <t>if hh_gender = 1-4, go to hh_education.</t>
        </is>
      </c>
      <c r="T63" s="31" t="inlineStr"/>
      <c r="U63" s="19" t="n"/>
      <c r="V63" s="170">
        <f>1</f>
        <v/>
      </c>
      <c r="W63" s="43" t="n"/>
      <c r="Y63" s="109" t="inlineStr">
        <is>
          <t>yes</t>
        </is>
      </c>
      <c r="Z63" s="564" t="n"/>
      <c r="AC63" s="168" t="n">
        <v>10.5045337677002</v>
      </c>
      <c r="AD63" s="168">
        <f>IF(AC63="","",AC63*V63)</f>
        <v/>
      </c>
      <c r="AE63" s="43" t="inlineStr">
        <is>
          <t>10.5045337677002</t>
        </is>
      </c>
    </row>
    <row r="64" ht="187" customFormat="1" customHeight="1" s="48">
      <c r="A64" s="34">
        <f>A63+1</f>
        <v/>
      </c>
      <c r="B64" s="63" t="inlineStr">
        <is>
          <t>hh_education</t>
        </is>
      </c>
      <c r="C64" s="47" t="inlineStr">
        <is>
          <t>hh_education</t>
        </is>
      </c>
      <c r="D64" s="64"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64" s="52">
        <f>LEN(D64)</f>
        <v/>
      </c>
      <c r="F64" s="114" t="inlineStr">
        <is>
          <t>Quel est le niveau d'éducation du chef de votre ménage ?
[OPÉRATEUR/OPÉRATRICE: RÉPONSE UNIQUE.]
1)Aucun ou n'a pas terminé l'école primaire
2)A terminé l'école primaire
3)A terminé l'école secondaire
4)Diplôme de l'enseignement supérieur [Université]
5)Enseignement religieux ou informel uniquement
6)NE SAIT PAS
7)REFUSÉ</t>
        </is>
      </c>
      <c r="G64" s="52">
        <f>LEN(F64)</f>
        <v/>
      </c>
      <c r="H64" s="114" t="inlineStr">
        <is>
          <t>Je, mkuu wa nyumba ana kiwango gani cha elimu?
[OPERATOR: JIBU MOJA.]
1)Hakuna au hakumaliza shule ya msingi
2)Kumaliza shule ya msingi
3)Kumaliza shule ya sekondari
4)Alimaliza elimu ya juu [Chuo kikuu/Chuo]
5)Elimu ya dini au isiyo rasmi pekee
6)SIJUE
7)KUKATALA</t>
        </is>
      </c>
      <c r="I64" s="392">
        <f>LEN(H64)</f>
        <v/>
      </c>
      <c r="J64" s="114" t="inlineStr">
        <is>
          <t xml:space="preserve">Mfumu wa nzubu wenu udi mulonge bungi munyi?
[ENQUETEUR/ENQUETRICE:Bipwebo imwe.]
1) Kakuena anyi ki mmujikije tulasa tua bana bakese to
2) Kujikija kalasa ka bana bakese
3)Mujikije tulasa tua bikadilu
4) Dipoloma dia tulasa tua bikadilu [Université]
5)Malongesha a ntendelelu anyi a patupu anu
6)KENA MUMANYE
7) MUBENE
</t>
        </is>
      </c>
      <c r="K64" s="392">
        <f>LEN(J64)</f>
        <v/>
      </c>
      <c r="L64" s="53" t="inlineStr">
        <is>
          <t>Single Choice</t>
        </is>
      </c>
      <c r="M64" s="52" t="inlineStr">
        <is>
          <t>NA</t>
        </is>
      </c>
      <c r="N64" s="52" t="inlineStr">
        <is>
          <t>NA</t>
        </is>
      </c>
      <c r="O64" s="52" t="inlineStr">
        <is>
          <t>Form Type - Buttons</t>
        </is>
      </c>
      <c r="P64" s="82" t="inlineStr">
        <is>
          <t>NA</t>
        </is>
      </c>
      <c r="Q64" s="51" t="inlineStr">
        <is>
          <t>1-7 = hh_wealth_water</t>
        </is>
      </c>
      <c r="R64" s="44" t="n"/>
      <c r="S64" s="44" t="inlineStr">
        <is>
          <t>if hh_education = 1-7, go to hh_wealth.</t>
        </is>
      </c>
      <c r="T64" s="31" t="inlineStr"/>
      <c r="U64" s="13" t="n"/>
      <c r="V64" s="170">
        <f>1</f>
        <v/>
      </c>
      <c r="W64" s="43" t="n"/>
      <c r="Y64" s="109" t="inlineStr">
        <is>
          <t>yes</t>
        </is>
      </c>
      <c r="Z64" s="564" t="n"/>
      <c r="AC64" s="168" t="n">
        <v>12.42189884185791</v>
      </c>
      <c r="AD64" s="168">
        <f>IF(AC64="","",AC64*V64)</f>
        <v/>
      </c>
      <c r="AE64" s="43" t="inlineStr">
        <is>
          <t>12.42189884185791</t>
        </is>
      </c>
    </row>
    <row r="65" ht="272.15" customFormat="1" customHeight="1" s="48">
      <c r="A65" s="34">
        <f>A64+1</f>
        <v/>
      </c>
      <c r="B65" s="62" t="inlineStr">
        <is>
          <t>hh_wealth_water</t>
        </is>
      </c>
      <c r="C65" s="406" t="inlineStr">
        <is>
          <t>hh_wealth_water</t>
        </is>
      </c>
      <c r="D65" s="15" t="inlineStr">
        <is>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is>
      </c>
      <c r="E65" s="16">
        <f>LEN(D65)</f>
        <v/>
      </c>
      <c r="F65" s="60" t="inlineStr">
        <is>
          <t>Où vous procurez-vous habituellement l'eau que vous buvez dans votre foyer?
[OPÉRATEUR/OPÉRATRICE: RÉPONSE UNIQUE.]
1)Robinet privé avec eau courante
2)Robinet public
3)Puits protégé
4)Eau en bouteille
5)Autre source sûre
6)Rivière
7)Puits non protégé
8)Eau de source
9)Eaux de surface [par ex. canaux/ étangs/ barrages]
10)Autre source non sûre
11)NE SAIT PAS
12)REFUSÉ</t>
        </is>
      </c>
      <c r="G65" s="16">
        <f>LEN(F65)</f>
        <v/>
      </c>
      <c r="H65" s="60" t="inlineStr">
        <is>
          <t>Maji munakunywaka nyumbani inatokaka wapi?_x000D_
_x000D_
[OPERATOR: CHAGUO MOJA.]_x000D_
_x000D_
1)Bomba la kibinafsi kutoka kwa maji ya bomba_x000D_
2)Bomba la umma_x000D_
3)Imelindwa vizuri_x000D_
4)Maji ya chupa_x000D_
5)Chanzo kingine salama_x000D_
6)Mto_x000D_
7)Haijahifadhiwa mzuri_x000D_
8)Maji ya chemchemi_x000D_
9)Maji ya usoni [k.m. mifereji / mabwawa / mabwawa]_x000D_
10)Chanzo kingine kisicho salama_x000D_
11)SIJUE_x000D_
12)KUKATALA</t>
        </is>
      </c>
      <c r="I65" s="392">
        <f>LEN(H65)</f>
        <v/>
      </c>
      <c r="J65" s="60" t="inlineStr">
        <is>
          <t xml:space="preserve">Pa tshibidilu utu upeta penyi mâyi audi unua mu nzubu muebe?
[ENQUETEUR/TRICE:Bipwebo imwe.]
1) Pompi wa muntu nkayende udi ne mayi
2) Pompi wa bantu bonso
3) Mushimi mulama
4) Mâyi a mu milondo
5) Mushimi mukuabu udi kayi ne bukubi
6) Musulu
7) Mushimi udi kauyi mulame
8) Mâyi a mu tshina tshia mâyi
9) Mâyi a pa mutu [e.g. misulu/mashiba/mashiba]
10)Muaba mukuabu udi kauyi ne bukubi
11)TSHIENA MUMANYE
12)MUBENE
</t>
        </is>
      </c>
      <c r="K65" s="392">
        <f>LEN(J65)</f>
        <v/>
      </c>
      <c r="L65" s="407" t="inlineStr">
        <is>
          <t>Single Choice</t>
        </is>
      </c>
      <c r="M65" s="16" t="inlineStr">
        <is>
          <t>NA</t>
        </is>
      </c>
      <c r="N65" s="16" t="inlineStr">
        <is>
          <t>NA</t>
        </is>
      </c>
      <c r="O65" s="16" t="inlineStr">
        <is>
          <t>Form Type - Buttons</t>
        </is>
      </c>
      <c r="P65" s="25" t="inlineStr">
        <is>
          <t>NA</t>
        </is>
      </c>
      <c r="Q65" s="189" t="inlineStr">
        <is>
          <t>1-12 = hh_wealth_toilet</t>
        </is>
      </c>
      <c r="R65" s="189" t="n"/>
      <c r="S65" s="61" t="inlineStr">
        <is>
          <t>For any response, go to [income_main OR other optional question]</t>
        </is>
      </c>
      <c r="T65" s="22" t="inlineStr"/>
      <c r="U65" s="557" t="inlineStr">
        <is>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is>
      </c>
      <c r="V65" s="167">
        <f>1</f>
        <v/>
      </c>
      <c r="W65" s="43" t="n"/>
      <c r="Y65" s="50" t="inlineStr">
        <is>
          <t>yes</t>
        </is>
      </c>
      <c r="Z65" s="564" t="n"/>
      <c r="AC65" s="169" t="n">
        <v>16.61565589904785</v>
      </c>
      <c r="AD65" s="169">
        <f>IF(AC65="","",AC65*V65)</f>
        <v/>
      </c>
      <c r="AE65" s="43" t="inlineStr">
        <is>
          <t>16.61565589904785</t>
        </is>
      </c>
    </row>
    <row r="66" ht="233.25" customFormat="1" customHeight="1" s="48">
      <c r="A66" s="34">
        <f>A65+1</f>
        <v/>
      </c>
      <c r="B66" s="62" t="inlineStr">
        <is>
          <t>hh_wealth_toilet</t>
        </is>
      </c>
      <c r="C66" s="406" t="inlineStr">
        <is>
          <t>hh_wealth_toilet</t>
        </is>
      </c>
      <c r="D66" s="15" t="inlineStr">
        <is>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is>
      </c>
      <c r="E66" s="16">
        <f>LEN(D66)</f>
        <v/>
      </c>
      <c r="F66" s="60" t="inlineStr">
        <is>
          <t>Quel genre de toilettes les membres de votre ménage utilisent-ils?
[OPÉRATEUR/OPÉRATRICE: RÉPONSE UNIQUE.]
1)Latrines à chasse d'eau [toilettes avec eau]
2)Latrines traditionnelles à fosse [sans eau]
3)Fosse ouverte [trou dans le sol pour les excréments/ sans eau/ toit ni mur]
4)Latrines communautaires [avec ou sans eau]
5)Aucune – brousse
6)NE SAIT PAS
7)REFUSÉ</t>
        </is>
      </c>
      <c r="G66" s="16">
        <f>LEN(F66)</f>
        <v/>
      </c>
      <c r="H66" s="60" t="inlineStr">
        <is>
          <t>Wanafamilia wa nyumba huenda wapi kutumia choo?
[OPERATOR: JIBU MOJA]
1)Safisha choo [choo na maji]
2)Choo cha shimo cha kitamaduni [hakuna maji]
3)Shimo wazi [shimo ardhini kwa kinyesi bila maji / paa au ukuta]
4)Choo cha jumuiya [yenye au bila maji]
5)Hakuna - kichaka
6)SIJUE
7)KUKATALA</t>
        </is>
      </c>
      <c r="I66" s="392">
        <f>LEN(H66)</f>
        <v/>
      </c>
      <c r="J66" s="60" t="inlineStr">
        <is>
          <t xml:space="preserve">Bena mu nzubu wenu batu benza mudimu ne tshiibi tshia mushindu kayi?
[ENQUETEUR/TRICE:Bipwebo imwe.]
1) Kusukula nzubu ya tshilala benyi [mu nzubu ya tshilala benyi idi ne mayi]
 2) Nzubu ya tshilala benyi ya kale [kayi ne mayi] 
3) Tshina tshiunzulula [tshina tshidi mu buloba bua kuela bintu bia bukoya/ kayiyi ne mâyi/ kuulu anyi tshimanu] 
4) Nzubu ya tshilala benyi ya mu tshisumbu [ne mâyi anyi kayiyi ne mâyi]
5) Kakuena – Zamba
6)TSHIENA MUMANYE
7)MUBENE
</t>
        </is>
      </c>
      <c r="K66" s="392">
        <f>LEN(J66)</f>
        <v/>
      </c>
      <c r="L66" s="407" t="inlineStr">
        <is>
          <t>Single Choice</t>
        </is>
      </c>
      <c r="M66" s="16" t="inlineStr">
        <is>
          <t>NA</t>
        </is>
      </c>
      <c r="N66" s="16" t="inlineStr">
        <is>
          <t>NA</t>
        </is>
      </c>
      <c r="O66" s="16" t="inlineStr">
        <is>
          <t>Form Type - Buttons</t>
        </is>
      </c>
      <c r="P66" s="25" t="inlineStr">
        <is>
          <t>NA</t>
        </is>
      </c>
      <c r="Q66" s="189" t="inlineStr">
        <is>
          <t>1-7 = hh_wealth_light</t>
        </is>
      </c>
      <c r="R66" s="189" t="n"/>
      <c r="S66" s="61" t="inlineStr">
        <is>
          <t>For any response, go to [income_main OR other optional question]</t>
        </is>
      </c>
      <c r="T66" s="22" t="inlineStr"/>
      <c r="U66" s="590" t="n"/>
      <c r="V66" s="167">
        <f>1</f>
        <v/>
      </c>
      <c r="W66" s="43" t="n"/>
      <c r="Y66" s="50" t="inlineStr">
        <is>
          <t>yes</t>
        </is>
      </c>
      <c r="Z66" s="564" t="n"/>
      <c r="AC66" s="169" t="n">
        <v>12.60002136230469</v>
      </c>
      <c r="AD66" s="169">
        <f>IF(AC66="","",AC66*V66)</f>
        <v/>
      </c>
      <c r="AE66" s="43" t="inlineStr">
        <is>
          <t>12.60002136230469</t>
        </is>
      </c>
    </row>
    <row r="67" ht="204" customFormat="1" customHeight="1" s="48">
      <c r="A67" s="34">
        <f>A66+1</f>
        <v/>
      </c>
      <c r="B67" s="62" t="inlineStr">
        <is>
          <t>hh_wealth_light</t>
        </is>
      </c>
      <c r="C67" s="406" t="inlineStr">
        <is>
          <t>hh_wealth_light</t>
        </is>
      </c>
      <c r="D67" s="15" t="inlineStr">
        <is>
          <t>What is the main source of light in your dwelling?
[OPERATOR: SINGLE RESPONSE.]
1)Electricity [from generator or electrical grid]
2)Candle
3)Petrol lamp
4)Lamp with batteries
5)Solar panel
6)Other [no electric supply to the house]
7)DON'T KNOW
8)REFUSED</t>
        </is>
      </c>
      <c r="E67" s="16">
        <f>LEN(D67)</f>
        <v/>
      </c>
      <c r="F67" s="60" t="inlineStr">
        <is>
          <t>Quelle est la principale source de lumière de votre logement?
[OPÉRATEUR/OPÉRATRICE: RÉPONSE UNIQUE.]
1)Électricité [générateur ou réseau électrique]
2)Bougie
3)Lampe à pétrole
4)Lampe à piles
5)Panneaux solaires
6)Autre [pas d'alimentation électrique dans la maison]
7)NE SAIT PAS
8)REFUSÉ</t>
        </is>
      </c>
      <c r="G67" s="16">
        <f>LEN(F67)</f>
        <v/>
      </c>
      <c r="H67" s="60" t="inlineStr">
        <is>
          <t>Ni nini chanzo kikuu cha mwanga katika makao yako?
[OPERATOR: JIBU MOJA.]
1)Umeme [kutoka kwa jenereta au gridi ya umeme]
2)Mshumaa
3)Taa ya petroli
4)Taa yenye betri
5)Paneli ya jua
6)Yingine [hakuna usambazaji wa umeme kwa nyumba]
7)SIJUE
8)KUKATALA</t>
        </is>
      </c>
      <c r="I67" s="392">
        <f>LEN(H67)</f>
        <v/>
      </c>
      <c r="J67" s="60" t="inlineStr">
        <is>
          <t xml:space="preserve">Ntshinyi tshidi tshifila butoke mu nzubu muebe?
[ENQUETEUR/TRICE:Bipwebo imwe.]
1) Mudilu [generateur anyi grid]
2) Muendu
3) Muendu wa petrole
4) Muendu wa bateri
5) Panneaux solaire
6) Bikuabu [kakuyi mudilu mu nzubu]
7) KI MUMANYE
8) MUBENE
</t>
        </is>
      </c>
      <c r="K67" s="392">
        <f>LEN(J67)</f>
        <v/>
      </c>
      <c r="L67" s="407" t="inlineStr">
        <is>
          <t>Single Choice</t>
        </is>
      </c>
      <c r="M67" s="16" t="inlineStr">
        <is>
          <t>NA</t>
        </is>
      </c>
      <c r="N67" s="16" t="inlineStr">
        <is>
          <t>NA</t>
        </is>
      </c>
      <c r="O67" s="16" t="inlineStr">
        <is>
          <t>Form Type - Buttons</t>
        </is>
      </c>
      <c r="P67" s="25" t="inlineStr">
        <is>
          <t>NA</t>
        </is>
      </c>
      <c r="Q67" s="61" t="inlineStr">
        <is>
          <t>1-8 = hh_asset_prod</t>
        </is>
      </c>
      <c r="R67" s="61" t="n"/>
      <c r="S67" s="61" t="inlineStr">
        <is>
          <t>For any response, go to [income_main OR other optional question]</t>
        </is>
      </c>
      <c r="T67" s="22" t="inlineStr"/>
      <c r="U67" s="591" t="n"/>
      <c r="V67" s="167">
        <f>1</f>
        <v/>
      </c>
      <c r="W67" s="43" t="n"/>
      <c r="Y67" s="50" t="inlineStr">
        <is>
          <t>yes</t>
        </is>
      </c>
      <c r="Z67" s="564" t="n"/>
      <c r="AC67" s="169" t="n">
        <v>11.65592288970947</v>
      </c>
      <c r="AD67" s="169">
        <f>IF(AC67="","",AC67*V67)</f>
        <v/>
      </c>
      <c r="AE67" s="43" t="inlineStr">
        <is>
          <t>11.65592288970947</t>
        </is>
      </c>
    </row>
    <row r="68" ht="286.5" customFormat="1" customHeight="1" s="48">
      <c r="A68" s="34">
        <f>A67+1</f>
        <v/>
      </c>
      <c r="B68" s="62" t="inlineStr">
        <is>
          <t>hh_asset_prod</t>
        </is>
      </c>
      <c r="C68" s="406" t="inlineStr">
        <is>
          <t>hh_asset_prod_
1) hh_asset_prod_process
2) hh_asset_prod_farmmach
3) hh_asset_prod_sewing
4) hh_asset_prod_taxi
5) hh_asset_prod_truck
6) hh_asset_prod_other
7) hh_asset_prod_none
8) hh_asset_prod_dk
9) hh_asset_prod_ref</t>
        </is>
      </c>
      <c r="D68" s="15" t="inlineStr">
        <is>
          <t>Does your household own any of the following productive assets? 
[OPERATOR: MULTIPLE RESPONSES POSSIBLE. READ ANSWER OPTIONS OUT LOUD.]
1)Processing assets [e.g. grinding/crushing machine/ mill/ oil press/ fish tanks]
2)Farm or fishing machinery [e.g. tractor/ plough/ sickle/ boats/ engines]
3)Sewing machine or weaving tool 
4)Taxi
5)Truck
6)Other productive machines or assets
7)No productive machines or assets
8)DON'T KNOW
9)REFUSED</t>
        </is>
      </c>
      <c r="E68" s="16">
        <f>LEN(D68)</f>
        <v/>
      </c>
      <c r="F68" s="408" t="inlineStr">
        <is>
          <t xml:space="preserve">Votre ménage possède-t-il l'un des actifs productifs suivants?
[OPÉRATEUR / OPÉRATRICE : PLUSIEURS RÉPONSES POSSIBLES. LIRE LES OPTIONS DE RÉPONSE À HAUTE VOIX.]
1)Actifs de transformation [par ex. broyeur/ moulin/ presse à huile/ aquarium]
2)Machine agricole ou de pêche [par ex. tracteur/ charrue/ faucille/ bateaux/ moteurs]
3)Machine à coudre ou métier à tisser
4)Taxi
5)Camion
6)Autres machines ou actifs productifs
7)Aucune machine ou actif productif
8)NE SAIT PAS
9)REFUSÉ
</t>
        </is>
      </c>
      <c r="G68" s="16">
        <f>LEN(F68)</f>
        <v/>
      </c>
      <c r="H68" s="60" t="inlineStr">
        <is>
          <t>Kaya yako inamiliki mojawapo ya mali zifuatazo za uzalishaji?
[OPERATOR: MAJIBU MENGI YANAWEZEKANA. SOMA CHAGUO ZA MAJIBU KWA SAUTI.]
1)Usindikaji wa bidhaa [mali] [kwa mfano. mashine ya kusaga/kinu/vyombo vya habari vya mafuta/mizinga ya samaki]
2)Mashine za kilimo au uvuvi [kwa mfano. trekta/Jembe la kulima/mundu/boti/mitambo]
3)Cherehani au weaving chombo
4)Teksi
5)Lori
6)Mashine yingine  za uzalishaji au mali
7)Hakuna mashine za uzalishaji au mali
8)SIJUE
9)KUKATALA</t>
        </is>
      </c>
      <c r="I68" s="392">
        <f>LEN(H68)</f>
        <v/>
      </c>
      <c r="J68" s="60" t="inlineStr">
        <is>
          <t xml:space="preserve">Nzubu wenu udi ne tshintu kampanda tshia ku bintu bidi bilonda ebi anyi?
[ENQUETEUR/TRICE: MANDAMUNA MANYI ADI MUA KUENZA. BALA MISHINDU YA KUANDAMUNA NE MUTU.]
1) Bintu bia dishintuluka [e.g. tshiamu tshia kutshibula natshi/tshiamu tshia mafuta/tshiamu tshia mayi]
2) Mashinyi a madimi anyi a diloba [e.g. tracteur/ plough/ sickle/ boats/ motors]
3)Mashinyi a kusonga anyi a kusonga
4)Taxi
5)Machini
6)Mashinyi makuabu anyi bintu bia mudimu
7)Kakuena mashinyi anyi bintu bia mudimu
8)TSHIENA MUMANYE
9)MUBENE
</t>
        </is>
      </c>
      <c r="K68" s="392">
        <f>LEN(J68)</f>
        <v/>
      </c>
      <c r="L68" s="407" t="inlineStr">
        <is>
          <t>Select All That Apply</t>
        </is>
      </c>
      <c r="M68" s="16" t="inlineStr">
        <is>
          <t>NA</t>
        </is>
      </c>
      <c r="N68" s="16" t="inlineStr">
        <is>
          <t>NA</t>
        </is>
      </c>
      <c r="O68" s="16" t="inlineStr">
        <is>
          <t>Form Type - Checklist
7,8,9 = IsNone</t>
        </is>
      </c>
      <c r="P68" s="25" t="inlineStr">
        <is>
          <t>1)hh_asset_prod_process
2)hh_asset_prod_farmmach
3)hh_asset_prod_sewing
4)hh_asset_prod_taxi
5)hh_asset_prod_truck
6)hh_asset_prod_other
7)hh_asset_prod_none
8)hh_asset_prod_dk
9)hh_asset_prod_ref</t>
        </is>
      </c>
      <c r="Q68" s="132" t="inlineStr">
        <is>
          <t>1-9 = hh_asset_transp</t>
        </is>
      </c>
      <c r="R68" s="132" t="n"/>
      <c r="S68" s="61" t="inlineStr">
        <is>
          <t>For any response, go to [next question]</t>
        </is>
      </c>
      <c r="T68" s="25" t="inlineStr"/>
      <c r="U68" s="190" t="inlineStr">
        <is>
          <t xml:space="preserve">This wealth indicator may be useful to Identify poor households in middle income countries. It could be interesting for F2F surveys, to be used as baseline reference for follow-up surveys. </t>
        </is>
      </c>
      <c r="V68" s="167">
        <f>1</f>
        <v/>
      </c>
      <c r="W68" s="43" t="n"/>
      <c r="Y68" s="50" t="inlineStr">
        <is>
          <t>no</t>
        </is>
      </c>
      <c r="Z68" s="564" t="n"/>
      <c r="AC68" s="169" t="n">
        <v>16.95780372619629</v>
      </c>
      <c r="AD68" s="169">
        <f>IF(AC68="","",AC68*V68)</f>
        <v/>
      </c>
      <c r="AE68" s="43" t="inlineStr"/>
    </row>
    <row r="69" ht="289" customFormat="1" customHeight="1" s="48">
      <c r="A69" s="34">
        <f>A68+1</f>
        <v/>
      </c>
      <c r="B69" s="62" t="inlineStr">
        <is>
          <t>hh_asset_transp</t>
        </is>
      </c>
      <c r="C69" s="25" t="inlineStr">
        <is>
          <t>hh_asset_transp_
1) hh_asset_transp_bici
2) hh_asset_transp_cart
3) hh_asset_transp_boatmotor
4) hh_asset_transp_boatnomotor
5) hh_asset_transp_motorbike
6) hh_asset_transp_car
7) hh_asset_transp_van
8) hh_asset_transp_other
9) hh_asset_transp_none
10) hh_asset_transp_dk
11) hh_asset_transp_ref</t>
        </is>
      </c>
      <c r="D69" s="15" t="inlineStr">
        <is>
          <t>Do you or any member of your household own any of the following transportation assets?
[OPERATOR: MULTIPLE RESPONSES POSSIBLE. READ ANSWER OPTIONS OUT LOUD.]
1)Bicycle
2)Cart [animal drawn]
3)Boat with an engine [inboard or outboard]
4)Unmotorized boat [e.g. canoe]
5)Motorbike / scooter / auto rickshaw
6)Car
7)Van or small truck
8)Other motor vehicle
9)None of the above
10)DON'T KNOW
11)REFUSED</t>
        </is>
      </c>
      <c r="E69" s="16">
        <f>LEN(D69)</f>
        <v/>
      </c>
      <c r="F69" s="15" t="inlineStr">
        <is>
          <t>Est-ce que vous ou un membre de votre ménage possède un des véhicules suivants?
[OPÉRATEUR / OPÉRATRICE : PLUSIEURS RÉPONSES POSSIBLES. LIRE LES OPTIONS DE RÉPONSE À HAUTE VOIX.]
1)Bicyclette
2)Chariot [tiré par un animal]
3)Bateau avec moteur [in-bord ou hors-bord]
4)Bateau non motorisé [par ex. canoë]
5)Moto/scooter/pousse-pousse
6)Voiture
7)Fourgonnette ou petit camion
8)Autre véhicule motorisé
9)Aucun des véhicules proposés
10)NE SAIT PAS
11)REFUSÉ</t>
        </is>
      </c>
      <c r="G69" s="16">
        <f>LEN(F69)</f>
        <v/>
      </c>
      <c r="H69" s="60" t="inlineStr">
        <is>
          <t>Wewe au mwanakaya yeyote anamiliki mojawapo ya mali muna fuataka usafiri?
[OPERATOR: MAJIBU MENGI YANAWEZEKANA. SOMA CHAGUO YA MAJIBU KWA SAUTI.]
1)Baiskeli
2)Mkokoteni [wanyama waliochorwa]
3)Mashua yenye injini [injini ndani au injini nje]
4)Mashua isiyo na injini [kwa mfano - [mashua [canon]
5)pikipiki/Skuta/pikipiki ya kukodisha
6)Gari
7)Gari ndogo au Lori dogo
8)Gari la injini nyingine
9)Hakuna kati ya hapo juu
10)SIJUE
11)KUKATALA</t>
        </is>
      </c>
      <c r="I69" s="392">
        <f>LEN(H69)</f>
        <v/>
      </c>
      <c r="J69" s="60" t="inlineStr">
        <is>
          <t xml:space="preserve">Wewe anyi muntu kampanda wa mu dîku dienu udi ne mashinyi adi alonda aa anyi?
[ENQUETEUR/TRICE: MANDAMUNA MANYI ADI MUA KUENZA. BALA MISHINDU YA KUANDAMUNA NE MUTU.]
1)Nkalu
2)Ditempu [dikoka kudi nyama]
3)Botu ne motere [munda anyi pambelu]
4)Botu budi kabuyi ne motere [e.g. buatu]
5)Moto/moto/rickshaw
6)Motoka
7)Van anyi mashinyi makese
8)Mashinyi makuabu adi ne motere
9)Kakuena mashinyi nansha amue adibu balongolole
10)KI MUMANYE 
11)MUBENE
</t>
        </is>
      </c>
      <c r="K69" s="392">
        <f>LEN(J69)</f>
        <v/>
      </c>
      <c r="L69" s="407" t="inlineStr">
        <is>
          <t>Select All That Apply</t>
        </is>
      </c>
      <c r="M69" s="16" t="inlineStr">
        <is>
          <t>NA</t>
        </is>
      </c>
      <c r="N69" s="16" t="inlineStr">
        <is>
          <t>NA</t>
        </is>
      </c>
      <c r="O69" s="16" t="inlineStr">
        <is>
          <t>Form Type - Checklist
9,10,11 = IsNone</t>
        </is>
      </c>
      <c r="P69" s="25" t="inlineStr">
        <is>
          <t>1)hh_asset_transp_bici
2)hh_asset_transp_cart
3)hh_asset_transp_boatmotor
4)hh_asset_transp_boatnomotor
5)hh_asset_transp_motorbike
6)hh_asset_transp_car
7)hh_asset_transp_van
8)hh_asset_transp_other
9)hh_asset_transp_none
10)hh_asset_transp_dk
11)hh_asset_transp_ref</t>
        </is>
      </c>
      <c r="Q69" s="132" t="inlineStr">
        <is>
          <t>1-11 = hh_size</t>
        </is>
      </c>
      <c r="R69" s="132" t="n"/>
      <c r="S69" s="61" t="inlineStr">
        <is>
          <t>For any response, go to [next question]</t>
        </is>
      </c>
      <c r="T69" s="25" t="inlineStr"/>
      <c r="U69" s="190" t="inlineStr">
        <is>
          <t xml:space="preserve">This wealth indicator may be useful to Identify poor households in middle income countries. It could be interesting for F2F surveys, to be used as baseline reference for follow-up surveys. </t>
        </is>
      </c>
      <c r="V69" s="167">
        <f>1</f>
        <v/>
      </c>
      <c r="W69" s="43" t="n"/>
      <c r="Y69" s="50" t="inlineStr">
        <is>
          <t>no</t>
        </is>
      </c>
      <c r="Z69" s="564" t="n"/>
      <c r="AC69" s="169" t="n">
        <v>11.02202892303467</v>
      </c>
      <c r="AD69" s="169">
        <f>IF(AC69="","",AC69*V69)</f>
        <v/>
      </c>
      <c r="AE69" s="43" t="inlineStr"/>
    </row>
    <row r="70" ht="153.75" customFormat="1" customHeight="1" s="48">
      <c r="A70" s="34">
        <f>A69+1</f>
        <v/>
      </c>
      <c r="B70" s="62" t="inlineStr">
        <is>
          <t>hh_size</t>
        </is>
      </c>
      <c r="C70" s="407" t="inlineStr">
        <is>
          <t>hh_size</t>
        </is>
      </c>
      <c r="D70" s="15"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70" s="16">
        <f>LEN(D70)</f>
        <v/>
      </c>
      <c r="F70" s="15" t="inlineStr">
        <is>
          <t>De combien de personnes est composé votre ménage?
[OPÉRATEUR/OPÉRATRICE: ENREGISTRER LE NOMBRE DE MEMBRES DU MÉNAGE. ENTRER 88 POUR «NE SAIT PAS» ET 99 POUR «REFUSÉ».]
[CONSEIL: POUR FAIRE PARTIE D'UN MÊME MÉNAGE, LES MEMBRES DOIVENT VIVRE ENSEMBLE, METTRE EN COMMUN LEURS RESSOURCES ET PARTAGER LEURS REPAS.]</t>
        </is>
      </c>
      <c r="G70" s="16">
        <f>LEN(F70)</f>
        <v/>
      </c>
      <c r="H70" s="60" t="inlineStr">
        <is>
          <t>Je, nyumba yako ina watu wangapi?
[OPERATOR: REKODI IDADI YA WAJUMBE KATIKA KAYA. INGIA 88 KWA SIJUE &amp; 99 KWA KUKUKATALA.]
[DOKEZO: ILI KUWA SEHEMU YA KAYA MOJA, WAJUMBE LAZIMA WAISHI CHINI YA PAA MOJA, WASHIRIKIANE RASILIMALI ILE ILE NA KULA KUTOKA KATIKA SUFURIA MOJA.]</t>
        </is>
      </c>
      <c r="I70" s="392">
        <f>LEN(H70)</f>
        <v/>
      </c>
      <c r="J70" s="60" t="inlineStr">
        <is>
          <t xml:space="preserve">Mu nzubu muebe mudi bantu bungi munyi?
[ENQUETEUR/TRICE: FUNDA BUALU BUA BANTU BADI MU NZUBU. BUELA 88 BUA "TSHIENA MUMANYE" NE 99 BUA "MUBENE."][MUBELU: BUA KUIKALA MU MUSOKO MUMUE, BANTU BADI NE BUA KUSOMBA PAMUE, KUSANGISHA BIDIMU NE KUBANGANA BIDIBU.]
</t>
        </is>
      </c>
      <c r="K70" s="392">
        <f>LEN(J70)</f>
        <v/>
      </c>
      <c r="L70" s="407" t="inlineStr">
        <is>
          <t>Range</t>
        </is>
      </c>
      <c r="M70" s="16" t="inlineStr">
        <is>
          <t>NA</t>
        </is>
      </c>
      <c r="N70" s="16" t="inlineStr">
        <is>
          <t>NA</t>
        </is>
      </c>
      <c r="O70" s="16" t="inlineStr">
        <is>
          <t>Form Type - TextBox</t>
        </is>
      </c>
      <c r="P70" s="25" t="inlineStr">
        <is>
          <t>NA</t>
        </is>
      </c>
      <c r="Q70" s="132" t="inlineStr">
        <is>
          <t>1-50 = hh_residencetype
88-88 = hh_residencetype
99-99 = hh_residencetype</t>
        </is>
      </c>
      <c r="R70" s="132" t="n"/>
      <c r="S70" s="61" t="inlineStr">
        <is>
          <t>For any response, go to [next question]</t>
        </is>
      </c>
      <c r="T70" s="25" t="inlineStr"/>
      <c r="U70" s="10" t="n"/>
      <c r="V70" s="167">
        <f>1</f>
        <v/>
      </c>
      <c r="W70" s="43" t="n"/>
      <c r="Y70" s="50" t="inlineStr">
        <is>
          <t>no</t>
        </is>
      </c>
      <c r="Z70" s="564" t="n"/>
      <c r="AC70" s="169" t="n">
        <v>16.90229415893555</v>
      </c>
      <c r="AD70" s="169">
        <f>IF(AC70="","",AC70*V70)</f>
        <v/>
      </c>
      <c r="AE70" s="43" t="inlineStr"/>
    </row>
    <row r="71" ht="293.25" customFormat="1" customHeight="1" s="88">
      <c r="A71" s="34">
        <f>A70+1</f>
        <v/>
      </c>
      <c r="B71" s="62" t="inlineStr">
        <is>
          <t>hh_residencetype</t>
        </is>
      </c>
      <c r="C71" s="131" t="inlineStr">
        <is>
          <t>hh_residencetype</t>
        </is>
      </c>
      <c r="D71" s="409" t="inlineStr">
        <is>
          <t>How would you describe your residence status? Are you a... 
[OPERATOR: READ OUT THE OPTIONS. SINGLE RESPONSE.]
[HINT: IF RESPONDENT IS ONLY AWAY FROM THE HOUSEHOLD FOR SHORT SEASONAL WORK (&lt;6 MONTHS) OR TRANSHUMANCE, MAKE SURE TO REFER TO THEIR HOUSEHOLD WHERE THEY TYPICALLY ARE LOCATED.]
1)Permanent resident
2)Returnee
3)Internally displaced person [IDP]
4)Refugee
5)DON'T KNOW
6)REFUSED</t>
        </is>
      </c>
      <c r="E71" s="410" t="n">
        <v>392</v>
      </c>
      <c r="F71" s="404" t="inlineStr">
        <is>
          <t>Comment décririez-vous votre statut de résidence? Êtes-vous un(e)... 
[OPÉRATEUR/OPÉRATRICE: LIRE LES OPTIONS, RÉPONSE UNIQUE].
[CONSEIL: SI LA PERSONNE INTERROGÉE N'EST ÉLOIGNÉE DU FOYER QUE POUR UN TRAVAIL SAISONNIER DE COURTE DURÉE (&lt;6 MOIS) OU POUR LA TRANSHUMANCE,  FAIRE RÉFÉRENCE AU FOYER OÙ ELLE VIT HABITUELLEMENT].
1)Résident[e] permanent[e]
2)Personne retournée
3)Personne déplacée à l'intérieur de son pays
4)Réfugié
5)NE SAIT PAS
6)REFUSÉ</t>
        </is>
      </c>
      <c r="G71" s="133">
        <f>LEN(F71)</f>
        <v/>
      </c>
      <c r="H71" s="206" t="inlineStr">
        <is>
          <t xml:space="preserve">
Je, unaweza kuelezeaje hali yako ya ukaaji? Wewe ni...
[OPERATOR: SOMA CHAGUO, JIBU MOJA] [USHAURI: IKIWA MTU ALIYEHOJIWA YUKO MBALI TU NA NYUMBANI KWA KAZI YA MUDA MFUPI (&lt;MIEZI 6) AU KWA AJIBU, REJEA NYUMBANI ANAPOISHIA.
1)Mkazi[e]kudumu[e]
2)Mtu alirudi
3)Mkimbizi wa ndani
4)Mkimbizi
5)SIJUE
6)KUKATALA</t>
        </is>
      </c>
      <c r="I71" s="392">
        <f>LEN(H71)</f>
        <v/>
      </c>
      <c r="J71" s="206" t="inlineStr">
        <is>
          <t xml:space="preserve">Mmunyi muudi mua kumvuija muaba uudi musombele? Udi...
[ENQUETEUR/ENQUETRICE : LULAMBA BIKELA, BIPWEBO IMWE].
[NDINGA: SIE NGALALA YA KINSHI ISI KILELA KU KALUMBUA KU FUMBA YA KAZI YA MUKOLELE KUBI YALUNGA (&lt;6 MWEZI) OYO KU PANKA, LULAMBA KU FUMBA ULU WA KUTANDA KULI YE MUTU WA KINSHI.]
1)Musombedi wa kashidi
2)Mupingane
3)Muntu udi munyeme mu ditunga
4)Muena tshimuangi
5)TSHIENA MUMANYE
6)MUBENE
</t>
        </is>
      </c>
      <c r="K71" s="392">
        <f>LEN(J71)</f>
        <v/>
      </c>
      <c r="L71" s="131" t="inlineStr">
        <is>
          <t>Single Choice</t>
        </is>
      </c>
      <c r="M71" s="133" t="inlineStr">
        <is>
          <t>NA</t>
        </is>
      </c>
      <c r="N71" s="133" t="inlineStr">
        <is>
          <t>NA</t>
        </is>
      </c>
      <c r="O71" s="133" t="inlineStr">
        <is>
          <t>Form Type - Buttons</t>
        </is>
      </c>
      <c r="P71" s="37" t="inlineStr">
        <is>
          <t>NA</t>
        </is>
      </c>
      <c r="Q71" s="191" t="inlineStr">
        <is>
          <t>1-6 = hh_arrivaltime</t>
        </is>
      </c>
      <c r="R71" s="191" t="n"/>
      <c r="S71" s="189" t="inlineStr">
        <is>
          <t>For any response, go to hh_arrivaltime</t>
        </is>
      </c>
      <c r="T71" s="25" t="inlineStr"/>
      <c r="U71" s="19" t="n"/>
      <c r="V71" s="192">
        <f>1</f>
        <v/>
      </c>
      <c r="W71" s="193" t="n"/>
      <c r="Y71" s="194" t="inlineStr">
        <is>
          <t>no</t>
        </is>
      </c>
      <c r="Z71" s="563" t="n"/>
      <c r="AC71" s="195" t="n">
        <v>13.22066497802734</v>
      </c>
      <c r="AD71" s="195">
        <f>IF(AC71="","",AC71*V71)</f>
        <v/>
      </c>
      <c r="AE71" s="193" t="inlineStr"/>
    </row>
    <row r="72" ht="129.75" customFormat="1" customHeight="1" s="88">
      <c r="A72" s="34">
        <f>A71+1</f>
        <v/>
      </c>
      <c r="B72" s="62" t="inlineStr">
        <is>
          <t>hh_arrivaltime</t>
        </is>
      </c>
      <c r="C72" s="407" t="inlineStr">
        <is>
          <t>hh_arivaltime</t>
        </is>
      </c>
      <c r="D72" s="15" t="inlineStr">
        <is>
          <t>How long ago did you arrive in this place?
[OPERATOR: INDICATE THE NUMBER OF MONTHS. YOU MAY NEED TO CALCULATE THIS. ENTER 888 FOR DON'T KNOW &amp; 999 FOR REFUSED.]</t>
        </is>
      </c>
      <c r="E72" s="16">
        <f>LEN(D72)</f>
        <v/>
      </c>
      <c r="F72" s="15" t="inlineStr">
        <is>
          <t>Depuis quand vivez-vous dans ce lieu?
[OPÉRATEUR/OPÉRATRICE: INDIQUER LE NOMBRE DE MOIS, QU'IL FAUDRA PEUT-ETRE CALCULER. SAISIR 888 POUR «NE SAIT PAS» ET 999 POUR «REFUSÉ».]</t>
        </is>
      </c>
      <c r="G72" s="16">
        <f>LEN(F72)</f>
        <v/>
      </c>
      <c r="H72" s="60" t="inlineStr">
        <is>
          <t xml:space="preserve">Umeishi mahali hapa kwa muda gani?
[OPERATOR: ONYESHA IDADI YA MIEZI INAYOWEZA KUHITAJI KUHESABIWA. INGIA 888 KWA "SIJUE" NA 999 KWA "KUKATALA."]
</t>
        </is>
      </c>
      <c r="I72" s="392">
        <f>LEN(H72)</f>
        <v/>
      </c>
      <c r="J72" s="60" t="inlineStr">
        <is>
          <t xml:space="preserve">Ukadi musombele muaba eu bidimu bungi munyi?
[ENQUETEUR/TRICE: LEJA BUALU BUA NGONDO IDI MUA KUBAMBA. BUELA 888 BUA "TSHIENA MUMANYE" NE 999 BUA "MUBENE."]
</t>
        </is>
      </c>
      <c r="K72" s="392">
        <f>LEN(J72)</f>
        <v/>
      </c>
      <c r="L72" s="407" t="inlineStr">
        <is>
          <t>Range</t>
        </is>
      </c>
      <c r="M72" s="16" t="inlineStr">
        <is>
          <t>NA</t>
        </is>
      </c>
      <c r="N72" s="16" t="inlineStr">
        <is>
          <t>Send if "hh_residencetype" "Equals" "Internally displaced person [IDP]" Or "hh_residencetype" "Equals" "Returnee" Or "hh_residencetype" "Equals" "Refugee" if not satisfied go to "hh_residencecomp"</t>
        </is>
      </c>
      <c r="O72" s="16" t="inlineStr">
        <is>
          <t>Form Type - TextBox</t>
        </is>
      </c>
      <c r="P72" s="134" t="inlineStr">
        <is>
          <t>NA</t>
        </is>
      </c>
      <c r="Q72" s="132" t="inlineStr">
        <is>
          <t>0-100 = hh_displacementfreq
888-888 = hh_displacementfreq
999-999 = hh_displacementfreq</t>
        </is>
      </c>
      <c r="R72" s="132" t="n"/>
      <c r="S72" s="196" t="inlineStr">
        <is>
          <t>Asked to respondents that answered "Returnee", "IDP" or "Refugee" to hh_residencetype. All other respondents will skip to hh_residencecomp. 
For any response, go to hh_displacementfreq.</t>
        </is>
      </c>
      <c r="T72" s="25" t="inlineStr"/>
      <c r="U72" s="19" t="n"/>
      <c r="V72" s="192" t="n"/>
      <c r="W72" s="193" t="n"/>
      <c r="Y72" s="194" t="inlineStr">
        <is>
          <t>yes</t>
        </is>
      </c>
      <c r="Z72" s="563" t="n"/>
      <c r="AC72" s="195" t="n"/>
      <c r="AD72" s="195" t="n"/>
      <c r="AE72" s="193" t="inlineStr"/>
      <c r="AH72" s="197" t="n"/>
      <c r="AI72" s="198" t="n"/>
      <c r="AM72" s="199" t="n"/>
    </row>
    <row r="73" ht="115.5" customFormat="1" customHeight="1" s="88">
      <c r="A73" s="34">
        <f>A72+1</f>
        <v/>
      </c>
      <c r="B73" s="62" t="inlineStr">
        <is>
          <t>hh_displacementfreq</t>
        </is>
      </c>
      <c r="C73" s="407" t="inlineStr">
        <is>
          <t>hh_displacementfreq</t>
        </is>
      </c>
      <c r="D73" s="15" t="inlineStr">
        <is>
          <t>How many times have you [respondent] been forced to move due to conflict, insecurity or disaster since you were first displaced?
[OPERATOR: ENTER 888 FOR DON'T KNOW &amp; 999 FOR REFUSED.]</t>
        </is>
      </c>
      <c r="E73" s="16">
        <f>LEN(D73)</f>
        <v/>
      </c>
      <c r="F73" s="15" t="inlineStr">
        <is>
          <t>Combien de fois avez-vous [le répondant] été contraint de déménager en raison d'un conflit, de l'insécurité ou d'une catastrophe depuis que vous avez été déplacé pour la première fois?
[OPÉRATEUR/OPÉRATRICE: SAISIR 888 POUR «NE SAIT PAS» ET 999 POUR «REFUSÉ».]</t>
        </is>
      </c>
      <c r="G73" s="16">
        <f>LEN(F73)</f>
        <v/>
      </c>
      <c r="H73" s="60" t="inlineStr">
        <is>
          <t xml:space="preserve">Je, ni mara ngapi wewe [mhojiwa] umelazimika kuhama kwa sababu ya migogoro, ukosefu wa usalama au maafa tangu ulipohamishwa kwa mara ya kwanza?
[OPERATOR: PEMBEJEO 888 KWA "SIJUE" NA 999 KWA "ALIYEKUKATALA".]
</t>
        </is>
      </c>
      <c r="I73" s="392">
        <f>LEN(H73)</f>
        <v/>
      </c>
      <c r="J73" s="60" t="inlineStr">
        <is>
          <t>Misangu bungi munyi iudi [muena lukonko] muenzejibue bua kuya muaba mukuabu bua mvita, dipanga dia bukubi anyi tshipupu katshia bakumbusha muaba wa kumpala?
[ENQUETEUR/TRICE: BUELA 888 BUA "TSHIENA MUMANYE" NE 999 BUA "MUBENE."]</t>
        </is>
      </c>
      <c r="K73" s="392">
        <f>LEN(J73)</f>
        <v/>
      </c>
      <c r="L73" s="407" t="inlineStr">
        <is>
          <t>Range</t>
        </is>
      </c>
      <c r="M73" s="16" t="inlineStr">
        <is>
          <t>NA</t>
        </is>
      </c>
      <c r="N73" s="16" t="inlineStr">
        <is>
          <t>NA</t>
        </is>
      </c>
      <c r="O73" s="16" t="inlineStr">
        <is>
          <t>Form Type - TextBox</t>
        </is>
      </c>
      <c r="P73" s="134" t="inlineStr">
        <is>
          <t>NA</t>
        </is>
      </c>
      <c r="Q73" s="132" t="inlineStr">
        <is>
          <t>0-100 = hh_residencecomp
888-888 = hh_residencecomp
999-999 = hh_residencecomp</t>
        </is>
      </c>
      <c r="R73" s="132" t="n"/>
      <c r="S73" s="200" t="inlineStr">
        <is>
          <t>Asked to respondents that answered "Returnee", "IDP" or "Refugee" to hh_residencetype. All other respondents will skip to hh_residencecomposition. 
For any response, go to hh_residencecomp.</t>
        </is>
      </c>
      <c r="T73" s="25" t="inlineStr"/>
      <c r="U73" s="19" t="n"/>
      <c r="V73" s="192" t="n"/>
      <c r="W73" s="193" t="n"/>
      <c r="Y73" s="194" t="inlineStr">
        <is>
          <t>yes</t>
        </is>
      </c>
      <c r="Z73" s="563" t="n"/>
      <c r="AC73" s="195" t="n"/>
      <c r="AD73" s="195" t="n"/>
      <c r="AE73" s="193" t="inlineStr"/>
      <c r="AH73" s="197" t="n"/>
      <c r="AI73" s="197" t="n"/>
      <c r="AM73" s="199" t="n"/>
    </row>
    <row r="74" ht="185.25" customFormat="1" customHeight="1" s="88">
      <c r="A74" s="34">
        <f>A73+1</f>
        <v/>
      </c>
      <c r="B74" s="62" t="inlineStr">
        <is>
          <t>hh_residencecomp</t>
        </is>
      </c>
      <c r="C74" s="407" t="inlineStr">
        <is>
          <t>hh_residencecomp
1)hh_residencecomp_none
2)hh_residencecomp_permresident
3)hh_residencecomp_returnee
4)hh_residencecomp_idp
5)hh_residencecomp_refugee
6)hh_residencecomp_dk
7)hh_residencecomp_ref</t>
        </is>
      </c>
      <c r="D74" s="15" t="inlineStr">
        <is>
          <t>Does your household include any members with a different status type than the one you reported? And if so, which one(s)?
[OPERATOR: MULTIPLE RESPONSES POSSIBLE. SELECT ALL THAT APPLY.]
1)No other status
2)DON'T KNOW
3)REFUSED</t>
        </is>
      </c>
      <c r="E74" s="16">
        <f>LEN(D74)</f>
        <v/>
      </c>
      <c r="F74" s="15" t="inlineStr">
        <is>
          <t>Votre ménage comprend-il des membres dont le statut de résidence est différent du votre ? Si oui, quels sont ces statuts?
[OPÉRATEUR/OPÉRATRICE: PLUSIEURS RÉPONSES POSSIBLES. SÉLECTIONNER TOUTES CELLES QUI S'APPLIQUENT].
1)Aucun autre statut
2)NE SAIT PAS
3)REFUSÉ</t>
        </is>
      </c>
      <c r="G74" s="16">
        <f>LEN(F74)</f>
        <v/>
      </c>
      <c r="H74" s="60" t="inlineStr">
        <is>
          <t xml:space="preserve">Je, kaya yako inajumuisha watu ambao hali yao ya makazi ni tofauti na yako? Ikiwa ndio, hali hizi ni zipi?
[OPERATOR: MAJIBU KADHAA YANAWEZEKANA. CHAGUA YOTE YANAYOTUMIKA].
1)Hakuna hali nyingine
2)SIJUE
3)KUKATALA
</t>
        </is>
      </c>
      <c r="I74" s="392">
        <f>LEN(H74)</f>
        <v/>
      </c>
      <c r="J74" s="60" t="inlineStr">
        <is>
          <t>Mu njibo yenu mudi bantu badi ne nsombelu mushilangane ne webe anyi? Shi eyowa, i nsombelu kayi eyi?
[ENQUETEUR/TRICE: MANDAMUNA MANYI ADI MUA KUENZA. SULANGANA BIONSO BIDI BIKUMBANE].
1)Kakuena nsombelu mukuabu to
2) TSHIENA MUMANYE
3) MUBENE</t>
        </is>
      </c>
      <c r="K74" s="392">
        <f>LEN(J74)</f>
        <v/>
      </c>
      <c r="L74" s="407" t="inlineStr">
        <is>
          <t>Select All That Apply</t>
        </is>
      </c>
      <c r="M74" s="16" t="inlineStr">
        <is>
          <t>NA</t>
        </is>
      </c>
      <c r="N74" s="16" t="inlineStr">
        <is>
          <t>Send if "hh_residencetype" "Equals" "Internally displaced person [IDP]" Or "hh_residencetype" "Equals" "Returnee" Or "hh_residencetype" "Equals" "Refugee" Or "hh_residencetype" "Equals" "Permanent resident" if not satisfied go to "hh_site"</t>
        </is>
      </c>
      <c r="O74" s="16" t="inlineStr">
        <is>
          <t>Form Type - Checklist
Included unselected "hh_residencetype"
1,2,3= IsNone</t>
        </is>
      </c>
      <c r="P74" s="134" t="inlineStr">
        <is>
          <t>1)hh_residencecomp_none
2)hh_residencecomp_permresident
3)hh_residencecomp_returnee
4)hh_residencecomp_idp
5)hh_residencecomp_refugee
6)hh_residencecomp_dk
7)hh_residencecomp_ref</t>
        </is>
      </c>
      <c r="Q74" s="132" t="inlineStr">
        <is>
          <t>Dynamic =  hh_site
1-3 = hh_site</t>
        </is>
      </c>
      <c r="R74" s="132" t="n"/>
      <c r="S74" s="61" t="inlineStr">
        <is>
          <t>Asked only to respondents who stated a status in hh_residencetype. Otherwise, go to income_main.
For any response, go to income_main or optional question.</t>
        </is>
      </c>
      <c r="T74" s="29" t="inlineStr"/>
      <c r="U74" s="19" t="n"/>
      <c r="V74" s="192" t="n"/>
      <c r="W74" s="193" t="n"/>
      <c r="Y74" s="194" t="inlineStr">
        <is>
          <t>yes</t>
        </is>
      </c>
      <c r="Z74" s="563" t="n"/>
      <c r="AC74" s="195" t="n"/>
      <c r="AD74" s="195" t="n"/>
      <c r="AE74" s="193" t="inlineStr"/>
      <c r="AH74" s="197" t="n"/>
      <c r="AM74" s="201" t="n"/>
    </row>
    <row r="75" ht="244.5" customFormat="1" customHeight="1" s="88">
      <c r="A75" s="34">
        <f>A74+1</f>
        <v/>
      </c>
      <c r="B75" s="62" t="inlineStr">
        <is>
          <t>hh_site</t>
        </is>
      </c>
      <c r="C75" s="407" t="inlineStr">
        <is>
          <t>hh_site</t>
        </is>
      </c>
      <c r="D75" s="15" t="inlineStr">
        <is>
          <t>Which of the following best describes where you live? 
[OPERATOR: READ ANSWERS OUT LOUD. SINGLE RESPONSE.]
1)Formal camp or settlement
2)Informal camp or settlement
3)Outside of a camp or settlement/ with a host family
4)Outside of a camp or settlement/ on my own
5)DON'T KNOW
6)REFUSED</t>
        </is>
      </c>
      <c r="E75" s="16">
        <f>LEN(D75)</f>
        <v/>
      </c>
      <c r="F75" s="15" t="inlineStr">
        <is>
          <t>Laquelle de ces propositions décrit le mieux l'endroit où vous vivez? 
[OPÉRATEUR/OPÉRATRICE: LIRE LES RÉPONSES À HAUTE VOIX. UNE SEULE RÉPONSE POSSIBLE].
1)Camp ou campement formel
2)Camp ou campement informel
3)En dehors d'un camp ou d'un campement/ dans une famille d'accueil
4)En dehors d'un camp ou d'un campement/ seul[e]
5)NE SAIT PAS
6)REFUSÉ</t>
        </is>
      </c>
      <c r="G75" s="16">
        <f>LEN(F75)</f>
        <v/>
      </c>
      <c r="H75" s="60" t="inlineStr">
        <is>
          <t xml:space="preserve">Ni ipi kati ya hizi inaelezea vyema zaidi unapoishi?
[OPERATOR: SOMA MAJIBU KWA SAUTI. JIBU MOJA TU LINAWEZEKANA].
1)Kambi rasmi au kambi
2)Kambi isiyo rasmi au kambi
3)Nje ya kambi au kambi-na familia mwenyeji.
4)Nje ya kambi au kambi - peke yake
5)SIJUE
6)KUKATALA
</t>
        </is>
      </c>
      <c r="I75" s="392">
        <f>LEN(H75)</f>
        <v/>
      </c>
      <c r="J75" s="60" t="inlineStr">
        <is>
          <t xml:space="preserve">Nnganyi wa ku bintu ebi udi uleja bimpe muaba uudi musombele?
[ENQUETEUR/TRICE: BALA MANDAMUNA NE DÎYI DIKOLE. DIANDAMUNA DIMUE DIMUE DIDI MUA KUENZA].
1)Tshitudilu anyi tshitudilu
2)Tshitudilu anyi tshitudilu tshia patupu
3)Pambelu pa tshitudilu anyi tshitudilu/ne dîku dia benyi
4)Pambelu pa tshitudilu anyi tshitudilu/nkayende
5)NE KI MUMANYE
6)MUBENE
</t>
        </is>
      </c>
      <c r="K75" s="392">
        <f>LEN(J75)</f>
        <v/>
      </c>
      <c r="L75" s="407" t="inlineStr">
        <is>
          <t>Single Choice</t>
        </is>
      </c>
      <c r="M75" s="16" t="inlineStr">
        <is>
          <t>NA</t>
        </is>
      </c>
      <c r="N75" s="16" t="inlineStr">
        <is>
          <t>Send if "hh_residencetype" "Equals" "Internally displaced person [IDP]" Or "hh_residencetype" "Equals" "Returnee" Or "hh_residencetype" "Equals" "Refugee" if not satisfied go to "hh_shelter"</t>
        </is>
      </c>
      <c r="O75" s="16" t="inlineStr">
        <is>
          <t>Form Type - Buttons</t>
        </is>
      </c>
      <c r="P75" s="134" t="inlineStr">
        <is>
          <t>NA</t>
        </is>
      </c>
      <c r="Q75" s="132" t="inlineStr">
        <is>
          <t>1-6 = hh_shelter</t>
        </is>
      </c>
      <c r="R75" s="132" t="n"/>
      <c r="S75" s="200" t="inlineStr">
        <is>
          <t>Asked to respondents that answered "Returnee", "IDP" or "Refugee" to hh_residencetype. All other respondents will skip to hh_shelter. 
For any response, go to income_main or optional question</t>
        </is>
      </c>
      <c r="T75" s="25" t="inlineStr"/>
      <c r="U75" s="19" t="n"/>
      <c r="V75" s="192" t="n"/>
      <c r="W75" s="193" t="n"/>
      <c r="Y75" s="194" t="inlineStr">
        <is>
          <t>no</t>
        </is>
      </c>
      <c r="Z75" s="563" t="n"/>
      <c r="AC75" s="195" t="n"/>
      <c r="AD75" s="195" t="n"/>
      <c r="AE75" s="193" t="inlineStr"/>
    </row>
    <row r="76" ht="279" customFormat="1" customHeight="1" s="88">
      <c r="A76" s="34">
        <f>A75+1</f>
        <v/>
      </c>
      <c r="B76" s="62" t="inlineStr">
        <is>
          <t>hh_shelter</t>
        </is>
      </c>
      <c r="C76" s="407" t="inlineStr">
        <is>
          <t>hh_shelter</t>
        </is>
      </c>
      <c r="D76" s="15" t="inlineStr">
        <is>
          <t>What kind of shelter is your household living in?
[OPERATOR: SINGLE RESPONSE.]
1)Apartment/house/ good condition
2)Apartment/house/ damaged/destroyed/ bad condition
3)Hotel/motel/short term rental
4)Unfinished or abandoned building
5)Tent/makeshift shelter
6)Mud or block structure
7)Container/caravan
8)Public building or collective shelter
9)Other shelter [eg garage/ farm building etc]
10)DON'T KNOW
11)REFUSED</t>
        </is>
      </c>
      <c r="E76" s="16">
        <f>LEN(D76)</f>
        <v/>
      </c>
      <c r="F76" s="15" t="inlineStr">
        <is>
          <t>Dans quel type d'abri vit votre ménage?
[OPÉRATEUR/OPÉRATRICE: RÉPONSE UNIQUE].
1)Appartement/maison en bon état
2)Appartement/maison endommagé/détruit/ en mauvais état
3)Hôtel/motel/location à court terme
4)Bâtiment inachevé ou abandonné
5)Tente/abri de fortune
6)Structure faite de boue ou de blocs
7)Conteneur/caravane
8)Bâtiment public ou abri collectif
9)Autre abri [garage/ bâtiment agricole/ etc.]
10)NE SAIT PAS
11)REFUSÉ</t>
        </is>
      </c>
      <c r="G76" s="16">
        <f>LEN(F76)</f>
        <v/>
      </c>
      <c r="H76" s="60" t="inlineStr">
        <is>
          <t>Je, kaya yako inaishi katika makazi ya aina gani?
[OPERATOR: JIBU MOJA].
1)Ghorofa/nyumba katika hali nzuri
2)Ghorofa/nyumba iliyoharibika/kuharibika-katika hali mbaya
3)Hoteli/moteli/kukodisha kwa muda mfupi
4)Jengo ambalo halijakamilika au kutelekezwa
5)Hema/makazi ya kujitengenezea
6)Muundo uliotengenezwa kwa matope au vitalu
7)Kontena/ msafara
8)Hadhara jengo au makazi ya pamoja
9)Makazi mengine [gereji/jengo la kilimo/n.k.]
10)SIJUE
11)KUKATALA</t>
        </is>
      </c>
      <c r="I76" s="392">
        <f>LEN(H76)</f>
        <v/>
      </c>
      <c r="J76" s="60" t="inlineStr">
        <is>
          <t xml:space="preserve">Bena mu nzubu wenu badi basombele mu nzubu wa tshilala benyi wa mushindu kayi?
[ENQUETEUR/TRICE:Bipwebo imwe] 
1)Nzubu/nzubu mu nsombelu muimpe
2)Nzubu/nzubu munyanguke/munyanguke/mu nsombelu mubi
3)Nzubu wa tshilala benyi/motel/muaba wa kufutshila wa tshitupa tshîpi
4)Nzubu kayi mujikije anyi mulekelela
5) Ntenta/muaba wa tshisokomenu wa tshitupa tshîpi
6)Tshintu tshienza ne bitotshi anyi mabue
7)Tshintu/tshiamu
8)Nzubu wa bantu bonso anyi nzubu wa tshilala benyi
9)Nzubu mukuabu wa tshisokomenu [garage/nzubu wa madimi/bikuabu]
10) TSHIENA MUMANYE
11)MUBENE
</t>
        </is>
      </c>
      <c r="K76" s="392">
        <f>LEN(J76)</f>
        <v/>
      </c>
      <c r="L76" s="407" t="inlineStr">
        <is>
          <t>Single Choice</t>
        </is>
      </c>
      <c r="M76" s="16" t="inlineStr">
        <is>
          <t>NA</t>
        </is>
      </c>
      <c r="N76" s="16" t="inlineStr">
        <is>
          <t>NA</t>
        </is>
      </c>
      <c r="O76" s="16" t="inlineStr">
        <is>
          <t>Form Type - Buttons</t>
        </is>
      </c>
      <c r="P76" s="134" t="inlineStr">
        <is>
          <t>NA</t>
        </is>
      </c>
      <c r="Q76" s="132" t="inlineStr">
        <is>
          <t>1-11 = hh_predisp_agricactivity</t>
        </is>
      </c>
      <c r="R76" s="132" t="n"/>
      <c r="S76" s="61" t="inlineStr">
        <is>
          <t>For any response, go to income_main or optional question.</t>
        </is>
      </c>
      <c r="T76" s="25" t="inlineStr"/>
      <c r="U76" s="19" t="n"/>
      <c r="V76" s="192" t="n"/>
      <c r="W76" s="193" t="n"/>
      <c r="Y76" s="194" t="inlineStr">
        <is>
          <t>no</t>
        </is>
      </c>
      <c r="Z76" s="563" t="n"/>
      <c r="AC76" s="195" t="n"/>
      <c r="AD76" s="195" t="n"/>
      <c r="AE76" s="193" t="inlineStr"/>
      <c r="AM76" s="197" t="n"/>
    </row>
    <row r="77" ht="321.75" customFormat="1" customHeight="1" s="526">
      <c r="A77" s="531">
        <f>A76+1</f>
        <v/>
      </c>
      <c r="B77" s="532" t="inlineStr">
        <is>
          <t>hh_predisp_agricactivity</t>
        </is>
      </c>
      <c r="C77" s="533" t="inlineStr">
        <is>
          <t>hh_predisp_agricactivity</t>
        </is>
      </c>
      <c r="D77" s="544" t="inlineStr">
        <is>
          <t>Did you or others in your household engage in agricultural activities prior to your displacement?
[OPERATOR: SINGLE RESPONSE.]
1)YES
2)NO
3)DON'T KNOW
4)REFUSED</t>
        </is>
      </c>
      <c r="E77" s="534" t="n">
        <v>162</v>
      </c>
      <c r="F77" s="535" t="inlineStr">
        <is>
          <t>Avez-vous, vous ou d'autres membres de votre ménage, été impliqué dans des activités agricoles avant votre déplacement ?
[OPÉRATEUR/OPÉRATRICE: RÉPONSE UNIQUE].
1)OUI
2)NON
3)NE SAIT PAS
4)REFUSÉ</t>
        </is>
      </c>
      <c r="G77" s="534">
        <f>LEN(F77)</f>
        <v/>
      </c>
      <c r="H77" s="535" t="inlineStr">
        <is>
          <t>Je, wewe au wanajamii wenzako mlijihusisha na shughuli za kilimo kabla ya kuhamia hapa?
[OPERATOR: JIBU MOJA.]
1)NDIYO
2)HAPANA
3)SIJUE
4)KUKATALA</t>
        </is>
      </c>
      <c r="I77" s="536">
        <f>LEN(H77)</f>
        <v/>
      </c>
      <c r="J77" s="535" t="inlineStr">
        <is>
          <t xml:space="preserve">Wewe anyi bantu bakuabu ba mu nzubu muebe nuvuaku benze midimu ya madimi kumpala kua wewe kuya anyi?
[ENQUETEUR/TRICE:Bipwebo imwe].
1) EYOWA
2) TO
3) TSHIENA MUMANYE
4)MUBENE
</t>
        </is>
      </c>
      <c r="K77" s="536">
        <f>LEN(J77)</f>
        <v/>
      </c>
      <c r="L77" s="537" t="inlineStr">
        <is>
          <t>Single Choice</t>
        </is>
      </c>
      <c r="M77" s="534" t="inlineStr">
        <is>
          <t>NA</t>
        </is>
      </c>
      <c r="N77" s="510" t="inlineStr">
        <is>
          <t>Send if "hh_residencetype" "Equals" "Returnee" Or "hh_residencetype" "Equals" "Internally displaced person [IDP]" Or "hh_residencetype" "Equals" "Refugee" Or "hh_residencecomp" "Contains" "Returnee" Or "hh_residencecomp" "Contains" "Internally displaced person [IDP]" Or "hh_residencecomp" "Contains" "Refugee" if not satisfied go to "crp_access_plot"</t>
        </is>
      </c>
      <c r="O77" s="538" t="inlineStr">
        <is>
          <t>Form Type - Buttons</t>
        </is>
      </c>
      <c r="P77" s="539" t="inlineStr">
        <is>
          <t>NA</t>
        </is>
      </c>
      <c r="Q77" s="540" t="inlineStr">
        <is>
          <t>1 = hh_predisp_agricactivity_type
2-4 = hh_age</t>
        </is>
      </c>
      <c r="R77" s="530" t="inlineStr">
        <is>
          <t>Kindly advise if 2-4 should skip to Qname hh_age instead of going to  crp_access_plot?</t>
        </is>
      </c>
      <c r="S77" s="541" t="inlineStr">
        <is>
          <t>If hh_disp_agricactivity = 1, go to hh_disp_agricactivity_type; otherwise, go to income_main or optional question.</t>
        </is>
      </c>
      <c r="T77" s="539" t="inlineStr"/>
      <c r="U77" s="523" t="n"/>
      <c r="V77" s="542" t="n"/>
      <c r="W77" s="525" t="n"/>
      <c r="Y77" s="543" t="inlineStr">
        <is>
          <t>no</t>
        </is>
      </c>
      <c r="Z77" s="528" t="n"/>
      <c r="AC77" s="529" t="n"/>
      <c r="AD77" s="529" t="n"/>
      <c r="AE77" s="525" t="inlineStr"/>
    </row>
    <row r="78" ht="181.5" customFormat="1" customHeight="1" s="48">
      <c r="A78" s="34">
        <f>A77+1</f>
        <v/>
      </c>
      <c r="B78" s="412" t="inlineStr">
        <is>
          <t>hh_predisp_agricactivity_type</t>
        </is>
      </c>
      <c r="C78" s="413" t="inlineStr">
        <is>
          <t>hh_predisp_agricactivity_type
1)hh_predisp_crpprod
2)hh_predisp_lsprod
3)hh_predisp_fishprod
4)hh_predisp_dk
5)hh_predisp_ref</t>
        </is>
      </c>
      <c r="D78" s="64" t="inlineStr">
        <is>
          <t>What type of agricultural activities were they? 
[OPERATOR: MULTIPLE RESPONSES POSSIBLE.]
1)Crop production
2) Livestock production
3)Fisheries or aquaculture production
4)DON'T KNOW
5)REFUSED</t>
        </is>
      </c>
      <c r="E78" s="52" t="n">
        <v>194</v>
      </c>
      <c r="F78" s="60" t="inlineStr">
        <is>
          <t>De quel type d'activités agricoles s'agissait-il ? 
[OPÉRATEUR : PLUSIEURS RÉPONSES POSSIBLES].
1)Production végétale
2)Production de bétail
3)Pêche ou aquaculture
4)NE SAIT PAS
5)REFUSÉ</t>
        </is>
      </c>
      <c r="G78" s="52">
        <f>LEN(F78)</f>
        <v/>
      </c>
      <c r="H78" s="114" t="inlineStr">
        <is>
          <t xml:space="preserve">Hizi zilikuwa shughuli za kilimo za aina gani?
[OPERATOR: MAJIBU KADHAA YANAWEZEKANA].
1) Uzalishaji wa mimea
2) Uzalishaji wa mifugo
3) Uvuvi au ufugaji wa samaki
4)SIJUE
5)KUKATALA
</t>
        </is>
      </c>
      <c r="I78" s="392">
        <f>LEN(H78)</f>
        <v/>
      </c>
      <c r="J78" s="114" t="inlineStr">
        <is>
          <t xml:space="preserve">Midimu kayi ya madimi eyi ivua?
[ENQUETEUR/TRICE: MANDAMUNA MANYI ADI MUA KUENZA].
1)Dikola dia madimi
2)Dilama dia bimuna
3)Diloba dia mishipa anyi dilama dia bintu bia mu mayi
4)TSHIENA MUMANYE
5)MUBENE
</t>
        </is>
      </c>
      <c r="K78" s="392">
        <f>LEN(J78)</f>
        <v/>
      </c>
      <c r="L78" s="53" t="inlineStr">
        <is>
          <t>Select All That Apply</t>
        </is>
      </c>
      <c r="M78" s="16" t="inlineStr">
        <is>
          <t>NA</t>
        </is>
      </c>
      <c r="N78" s="16" t="inlineStr">
        <is>
          <t>NA</t>
        </is>
      </c>
      <c r="O78" s="16" t="inlineStr">
        <is>
          <t>Form Type - Checklist
4,5= IsNone</t>
        </is>
      </c>
      <c r="P78" s="406" t="inlineStr">
        <is>
          <t>1)hh_predisp_crpprod
2)hh_predisp_lsprod
3)hh_predisp_fishprod
4)hh_predisp_dk
5)hh_predisp_ref</t>
        </is>
      </c>
      <c r="Q78" s="132" t="inlineStr">
        <is>
          <t>1-5 = crp_access_plot</t>
        </is>
      </c>
      <c r="R78" s="132" t="n"/>
      <c r="S78" s="287" t="inlineStr">
        <is>
          <t>For any response, go to income_main or optional question.</t>
        </is>
      </c>
      <c r="T78" s="25" t="inlineStr"/>
      <c r="U78" s="10" t="n"/>
      <c r="V78" s="167">
        <f>'[1]Additional information'!$D$17</f>
        <v/>
      </c>
      <c r="W78" s="43" t="n"/>
      <c r="Y78" s="50" t="inlineStr">
        <is>
          <t>no</t>
        </is>
      </c>
      <c r="Z78" s="564" t="n"/>
      <c r="AC78" s="169" t="n"/>
      <c r="AD78" s="169">
        <f>IF(AC78="","",AC78*V78)</f>
        <v/>
      </c>
      <c r="AE78" s="43" t="inlineStr"/>
    </row>
    <row r="79" ht="181.5" customFormat="1" customHeight="1" s="48">
      <c r="A79" s="34">
        <f>A78+1</f>
        <v/>
      </c>
      <c r="B79" s="414" t="inlineStr">
        <is>
          <t>crp_access_plot</t>
        </is>
      </c>
      <c r="C79" s="407" t="inlineStr">
        <is>
          <t>crp_access_plot</t>
        </is>
      </c>
      <c r="D79" s="64" t="inlineStr">
        <is>
          <t>Are you able to access land [rent or buy] for agricultural use?
[OPERATOR: SINGLE RESPONSE.]
1)YES
2)NO
3)DON'T KNOW
4)REFUSED</t>
        </is>
      </c>
      <c r="E79" s="114" t="n">
        <v>128</v>
      </c>
      <c r="F79" s="60" t="inlineStr">
        <is>
          <t>Pouvez-vous accéder à des terres [à louer ou acheter] pour un usage agricole ?
[OPÉRATEUR/OPÉRATRICE: RÉPONSE UNIQUE].
1)OUI
2)NON
3)NE SAIT PAS
4)REFUSÉ</t>
        </is>
      </c>
      <c r="G79" s="52">
        <f>LEN(F79)</f>
        <v/>
      </c>
      <c r="H79" s="157" t="inlineStr">
        <is>
          <t>Je, unaweza kupata ardhi [kwa kukodisha au kununua] kwa matumizi ya kilimo?
[OPERATOR: JIBU MOJA.]
1)NDIYO
2)HAPANA
3)SIJUE
4)KUKATALA</t>
        </is>
      </c>
      <c r="I79" s="392">
        <f>LEN(H79)</f>
        <v/>
      </c>
      <c r="J79" s="157" t="inlineStr">
        <is>
          <t xml:space="preserve">Udiku mua kupeta buloba [bua kufutshila anyi kusumba] bua kuenza nabi mudimu wa madimi anyi?
[ENQUETEUR/TRICE:Bipwebo imwe].
1) EYOWA
2) TO
3) TSHIENA MUMANYE
4)MUBENE
</t>
        </is>
      </c>
      <c r="K79" s="392">
        <f>LEN(J79)</f>
        <v/>
      </c>
      <c r="L79" s="53" t="inlineStr">
        <is>
          <t>Single Choice</t>
        </is>
      </c>
      <c r="M79" s="202" t="inlineStr">
        <is>
          <t>NA</t>
        </is>
      </c>
      <c r="N79" s="202" t="inlineStr">
        <is>
          <t>Send if "hh_residencetype" "Equals" "Returnee" if not satisfied go to "hh_age"</t>
        </is>
      </c>
      <c r="O79" s="130" t="inlineStr">
        <is>
          <t>Form Type - Buttons</t>
        </is>
      </c>
      <c r="P79" s="82" t="inlineStr">
        <is>
          <t>NA</t>
        </is>
      </c>
      <c r="Q79" s="132" t="inlineStr">
        <is>
          <t>1 = hh_age
2 = crp_plotaccess
3-4 = hh_age</t>
        </is>
      </c>
      <c r="R79" s="132" t="n"/>
      <c r="S79" s="57" t="inlineStr">
        <is>
          <t>Asked only to respondents that indicated returnees as head of household, if non-returnee, proceed to income_main.
If crp_access_plot = 1,3-5, go to income_main
if crp_access_plot = 2, go to crp_plotaccess</t>
        </is>
      </c>
      <c r="T79" s="37" t="inlineStr"/>
      <c r="U79" s="10" t="n"/>
      <c r="V79" s="167" t="n"/>
      <c r="W79" s="43" t="n"/>
      <c r="Y79" s="50" t="inlineStr"/>
      <c r="Z79" s="564" t="n"/>
      <c r="AC79" s="169" t="n"/>
      <c r="AD79" s="169" t="n"/>
      <c r="AE79" s="43" t="inlineStr"/>
    </row>
    <row r="80" ht="271.5" customFormat="1" customHeight="1" s="48">
      <c r="A80" s="34">
        <f>A79+1</f>
        <v/>
      </c>
      <c r="B80" s="414" t="inlineStr">
        <is>
          <t>crp_plotaccess</t>
        </is>
      </c>
      <c r="C80" s="407" t="inlineStr">
        <is>
          <t>crp_plotaccess
1)crp_plotaccess_high_costs
2)crp_plotaccess_scarcity
3)crp_plotaccess_unsafe
4)crp_plotaccess_occupied
5)crp_plotaccess_comm_rules
6)crp_plotaccess_distance
7)crp_plotaccess_no_mech
8)crp_plotaccess_other
9)crp_plotaccess_dk
10)crp_access_plot_ref</t>
        </is>
      </c>
      <c r="D80" s="64" t="inlineStr">
        <is>
          <t>Why are you unable to access [rent or buy] land for agricultural use?
[OPERATOR: MULTIPLE RESPONSES POSSIBLE.]
1)The cost is too high
2)Scarcity – there is no land available
3)Unsafe [widespread insecurity/risk of mines/remnants of war]
4)Land occupied by others
5)Community does not allow us to access land
6)Land is too remote or far
7)There is no mechanism to rent or buy land
8)Other [specify]
9)DON'T KNOW
10)REFUSED</t>
        </is>
      </c>
      <c r="E80" s="114" t="n">
        <v>423</v>
      </c>
      <c r="F80" s="60" t="inlineStr">
        <is>
          <t>Pourquoi ne pouvez-vous pas accéder à des terres [louer ou acheter] des terres pour un usage agricole ?
[OPÉRATEUR : PLUSIEURS RÉPONSES POSSIBLES.]
1)Le coût est trop élevé
2)Rareté – il n'y a pas de terres disponibles
3)Insécurité [insécurité généralisée/risque de mines/débris de guerre]
4)Terre occupée par d'autres
5)La communauté ne nous permet pas d'accéder à la terre
6)La terre est trop éloignée / loin
7)Il n'y a pas de mécanisme pour louer ou acheter des terres
8)Autre [précisez]
9)NE SAIT PAS
10)REFUSÉ</t>
        </is>
      </c>
      <c r="G80" s="52">
        <f>LEN(F80)</f>
        <v/>
      </c>
      <c r="H80" s="157" t="inlineStr">
        <is>
          <t xml:space="preserve">Kwa nini huwezi kupata [kukodisha au kununua] ardhi kwa matumizi ya kilimo?
[OPERATOR: MAJIBU KADHAA YANAWEZEKANA.]
1) Gharama ni kubwa mno
2) Uhaba - hakuna ardhi inayopatikana
3) Kutokuwa na usalama [ukosefu wa usalama kwa ujumla/hatari ya migodi/vifusi vya vita]
4) Ardhi iliyochukuliwa na wengine
5)Jamii haituruhusu kupata ardhi
6)ardhi iko mbali/mbali sana
7)Hakuna utaratibu wa kukodisha au kununua ardhi
8) Nyingine [taja]
9)SIJUE
10)KUKATALA
</t>
        </is>
      </c>
      <c r="I80" s="392">
        <f>LEN(H80)</f>
        <v/>
      </c>
      <c r="J80" s="157" t="inlineStr">
        <is>
          <t xml:space="preserve">Bua tshinyi kuena mua kupeta [kufutshila anyi kusumba] maloba bua kuenza nawu mudimu wa madimi?
[ENQUETEUR/TRICE: MANDAMUNA MABULE ADI MUA KUENZA.]
1)Mushinga udi mutambe bunene
2)Dikepela – kakuena buloba budiku
3)Dipanga dia bukubi [dipanga dia bukubi ditangalake/njiwu ya mine/bipese bia mvita]
4)Maloba adi bantu bakuabu basombele
5)Bena musoko kabatu batuanyishila bua kupeta maloba
6)Buloba budi kule menemene/ kule
7) Kakuena mushindu wa kufutshila anyi kusumba maloba to
8) Bikuabu [leja]
9) TSHIENA MUMANYE
10)MUBENE
</t>
        </is>
      </c>
      <c r="K80" s="392">
        <f>LEN(J80)</f>
        <v/>
      </c>
      <c r="L80" s="53" t="inlineStr">
        <is>
          <t>Open Ended-Select All That Apply</t>
        </is>
      </c>
      <c r="M80" s="202" t="inlineStr">
        <is>
          <t>NA</t>
        </is>
      </c>
      <c r="N80" s="202" t="inlineStr">
        <is>
          <t>NA</t>
        </is>
      </c>
      <c r="O80" s="16" t="inlineStr">
        <is>
          <t>Form Type - Checklist
9,10 = IsNone</t>
        </is>
      </c>
      <c r="P80" s="26" t="inlineStr">
        <is>
          <t>1)crp_origplot_high_costs
2)crp_origplot_scarcity
3)crp_origplot_occup_armedgps
4)crp_plot_unsafe_armedgps
5)crp_plot_unsafe_explosives
6)crp_orig_plot_distance
7)crp_orig_plot_other
8)crp_orig_plot_dk
9)crp_orig_plot_ref</t>
        </is>
      </c>
      <c r="Q80" s="132" t="inlineStr">
        <is>
          <t>1-10 = hh_age</t>
        </is>
      </c>
      <c r="R80" s="288" t="inlineStr">
        <is>
          <t>Codes do not align with responses. Kindly confirm they should align with those in Column C?</t>
        </is>
      </c>
      <c r="S80" s="287" t="inlineStr">
        <is>
          <t>For any response, go to income_main or optional question.</t>
        </is>
      </c>
      <c r="T80" s="37" t="inlineStr"/>
      <c r="U80" s="10" t="n"/>
      <c r="V80" s="167" t="n"/>
      <c r="W80" s="43" t="n"/>
      <c r="Y80" s="50" t="inlineStr"/>
      <c r="Z80" s="564" t="n"/>
      <c r="AC80" s="169" t="n"/>
      <c r="AD80" s="169" t="n"/>
      <c r="AE80" s="43" t="inlineStr"/>
    </row>
    <row r="81" ht="171" customFormat="1" customHeight="1" s="48" thickBot="1">
      <c r="A81" s="34">
        <f>A80+1</f>
        <v/>
      </c>
      <c r="B81" s="415" t="inlineStr">
        <is>
          <t>hh_age</t>
        </is>
      </c>
      <c r="C81" s="416" t="inlineStr">
        <is>
          <t>hh_age</t>
        </is>
      </c>
      <c r="D81" s="404" t="inlineStr">
        <is>
          <t>How old is the head of household? 
[OPERATOR: SINGLE RESPONSE.]
1)Under 18
2)18 to 40 
3)41 to 65 
4)Over 65
5)DON'T KNOW
6)REFUSED</t>
        </is>
      </c>
      <c r="E81" s="410">
        <f>LEN(D81)</f>
        <v/>
      </c>
      <c r="F81" s="417" t="inlineStr">
        <is>
          <t>Quel âge a le chef de famille?
[OPÉRATEUR/OPÉRATRICE: RÉPONSE UNIQUE.]
1)Moins de 18 ans
2)entre 18 et 40 ans 
3)entre 41 et 65 ans
4)Plus de 65 ans
5)NE SAIT PAS
6)REFUSÉ</t>
        </is>
      </c>
      <c r="G81" s="202">
        <f>LEN(F81)</f>
        <v/>
      </c>
      <c r="H81" s="267" t="inlineStr">
        <is>
          <t>Mkuu wa nyumba ana umri gani?
[OPERATOR: JIBU MOJA.]
1)Chini ya miaka 18
2)18 hadi 40
3)41 hadi 65
4)Zaidi ya 65
5)SIJUE
6)KUKATALA</t>
        </is>
      </c>
      <c r="I81" s="392">
        <f>LEN(H81)</f>
        <v/>
      </c>
      <c r="J81" s="267" t="inlineStr">
        <is>
          <t xml:space="preserve">Mfumu wa dîku udi ne bidimu bungi munyi?
[ENQUETEUR/TRICE:Bipwebo imwe.]
1)Muinshi mua bidimu 18
2)pankatshi pa bidimu 18 ne 40 
3)pankatshi pa bidimu 41 ne 65
4)Pa mutu pa bidimu 65
5)KI MUMANYE
6)MUBENE
</t>
        </is>
      </c>
      <c r="K81" s="392">
        <f>LEN(J81)</f>
        <v/>
      </c>
      <c r="L81" s="407" t="inlineStr">
        <is>
          <t>Single Choice</t>
        </is>
      </c>
      <c r="M81" s="202" t="inlineStr">
        <is>
          <t>NA</t>
        </is>
      </c>
      <c r="N81" s="202" t="inlineStr">
        <is>
          <t>Send if "resp_id" "NotEqual" "YES" if not satisfied go to "income_main"</t>
        </is>
      </c>
      <c r="O81" s="16" t="inlineStr">
        <is>
          <t>Form Type - Buttons</t>
        </is>
      </c>
      <c r="P81" s="25" t="inlineStr">
        <is>
          <t>NA</t>
        </is>
      </c>
      <c r="Q81" s="132" t="inlineStr">
        <is>
          <t>1-6 = income_main</t>
        </is>
      </c>
      <c r="R81" s="132" t="n"/>
      <c r="S81" s="61" t="inlineStr">
        <is>
          <t>For any response, go to [next question]</t>
        </is>
      </c>
      <c r="T81" s="203" t="inlineStr"/>
      <c r="U81" s="10" t="n"/>
      <c r="V81" s="167">
        <f>1</f>
        <v/>
      </c>
      <c r="W81" s="43" t="n"/>
      <c r="Y81" s="50" t="inlineStr">
        <is>
          <t>no</t>
        </is>
      </c>
      <c r="Z81" s="564" t="n"/>
      <c r="AC81" s="169" t="n">
        <v>7.02484130859375</v>
      </c>
      <c r="AD81" s="169">
        <f>IF(AC81="","",AC81*V81)</f>
        <v/>
      </c>
      <c r="AE81" s="43" t="inlineStr"/>
    </row>
    <row r="82" ht="17.15" customFormat="1" customHeight="1" s="108" thickBot="1">
      <c r="A82" s="569" t="inlineStr">
        <is>
          <t>C. INCOME SOURCES, LIVELIHOOD AND SHOCKS</t>
        </is>
      </c>
      <c r="B82" s="586" t="n"/>
      <c r="C82" s="586" t="n"/>
      <c r="D82" s="586" t="n"/>
      <c r="E82" s="586" t="n"/>
      <c r="F82" s="586" t="n"/>
      <c r="G82" s="586" t="n"/>
      <c r="H82" s="586" t="n"/>
      <c r="I82" s="586" t="n"/>
      <c r="J82" s="586" t="n"/>
      <c r="K82" s="586" t="n"/>
      <c r="L82" s="586" t="n"/>
      <c r="M82" s="586" t="n"/>
      <c r="N82" s="586" t="n"/>
      <c r="O82" s="586" t="n"/>
      <c r="P82" s="586" t="n"/>
      <c r="Q82" s="586" t="n"/>
      <c r="R82" s="586" t="n"/>
      <c r="S82" s="586" t="n"/>
      <c r="T82" s="586" t="n"/>
      <c r="U82" s="587" t="n"/>
      <c r="V82" s="170" t="n"/>
      <c r="W82" s="110" t="n"/>
      <c r="Y82" s="109" t="n"/>
      <c r="Z82" s="111" t="n"/>
      <c r="AC82" s="168" t="n"/>
      <c r="AD82" s="168">
        <f>IF(AC82="","",AC82*V82)</f>
        <v/>
      </c>
      <c r="AE82" s="110">
        <f>IF(Y82="yes",AD82,"")</f>
        <v/>
      </c>
    </row>
    <row r="83" ht="409.5" customFormat="1" customHeight="1" s="48">
      <c r="A83" s="34">
        <f>A81+1</f>
        <v/>
      </c>
      <c r="B83" s="89" t="inlineStr">
        <is>
          <t>income_main</t>
        </is>
      </c>
      <c r="C83" s="47" t="inlineStr">
        <is>
          <t>income_main</t>
        </is>
      </c>
      <c r="D83" s="46" t="inlineStr">
        <is>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83" s="45">
        <f>LEN(D83)</f>
        <v/>
      </c>
      <c r="F83" s="421" t="inlineStr">
        <is>
          <t>Quelle était la principale source de revenus de votre ménage au cours des trois derniers mois?
[OPÉRATEUR/OPÉRATRICE: RÉPONSE UNIQUE. L'OPTION «REFUSÉ» DOIT ÊTRE, AUTANT QUE POSSIBLE, ÉVITÉE.]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19)Aucune source de revenus au cours des trois derniers mois et recours exclusif à l'épargne / création de dettes
20)REFUSÉ</t>
        </is>
      </c>
      <c r="G83" s="45">
        <f>LEN(F83)</f>
        <v/>
      </c>
      <c r="H83" s="421" t="inlineStr">
        <is>
          <t>Ni nini kilikuwa chanzo kikuu cha mapato ya kaya yako katika kipindi cha miezi 3 iliyopita?
[OPERATOR: JIBU MOJA. CHAGUO LILILOKUKATALA LINAPASWA KUEPUKWA KADIRI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mapato katika miezi 3 iliyopita na imetumia akiba/deni pekee
20)KUKATALA"</t>
        </is>
      </c>
      <c r="I83" s="45" t="n"/>
      <c r="J83" s="71" t="inlineStr">
        <is>
          <t xml:space="preserve">Ntshinyi tshivua tshintu tshinene tshivua nzubu wenu mupeteshe makuta mu ngondo isatu mipite eyi?
[ENQUETEUR/TRICE: DIANDAMUNA DIMUE. MUSHINDU WA "KUBENA" UDI NE BUA KUEPEKA BIONSO BIDI BIKUENZEKA.]
1)Dienza ne disumbisha dia bintu bia kudia
2)Dienza ne disumbisha dia bimuma bia muitu anyi bimuma
3)Dienza ne disumbisha dia bintu bia kudia bia makuta
4)Dienza ne disumbisha dia bimuna anyi bintu bia nyama
5)Dienza ne disumbisha dia bintu bia buitshi anyi bia nyuki
6)Dienza ne disumbisha dia mishipa anyi bintu bia mu mayi 
7)Disangisha ne dipana dia bintu bia muitu anyi bia muitu
8)Busumbishi bua madimi KUYI KUTUA bafidi [ba pa tshibidilu anyi ba patupu]
9)Difutu dia dituku dionso mu budimi ne bikuabu mudimu wa tshitupa tshîpi mu tshitupa tshia madimi
10) Mudimu wa patupu mu tshitupa tshia madimi 
11) Mudimu udi kauyi wa madimi udi wenza mudimu nkayende anyi wa budikadidi / munganga / ENQUETEUR/TRICE wa nzubu / muena mikenji / kusangisha ne restoran
12) Difutu dia dituku dionso dia pambelu pa madimi ne midimu mikuabu ya tshitupa tshîpi idi kayiyi ya madimi
13) Mudimu mujalame mu tshitupa tshia madimi tshitupa tshidi katshiyi tshia madimi - tshia madimi
14) Mudimu wa mbulamatadi 
15) Makuta adi kaayi a mudimu / Luse
16) Makuta adi kaayi a mudimu / Difila dia makuta a nsombelu/pansio/diambuluisha diambuluisha dia bantu 
17) Makuta adi kaayi a mudimu / Makuta adi bena tshimuangi batuma 
18) Makuta adi kaayi a mudimu / Makuta makuabu a kufutshila nzubu 
19) Kakuena muaba wa kupeta makuta mu ngondo isatu mimane kupita ne dienza mudimu anu ne makuta adibu balame / difuka dia mabanza 
20) MUBENE
</t>
        </is>
      </c>
      <c r="K83" s="45">
        <f>LEN(J83)</f>
        <v/>
      </c>
      <c r="L83" s="47" t="inlineStr">
        <is>
          <t>Single Choice</t>
        </is>
      </c>
      <c r="M83" s="45" t="inlineStr">
        <is>
          <t>NA</t>
        </is>
      </c>
      <c r="N83" s="45" t="inlineStr">
        <is>
          <t>NA</t>
        </is>
      </c>
      <c r="O83" s="45" t="inlineStr">
        <is>
          <t>Form Type - Buttons
IsDemographic - income_main</t>
        </is>
      </c>
      <c r="P83" s="82" t="inlineStr">
        <is>
          <t>NA</t>
        </is>
      </c>
      <c r="Q83" s="44" t="inlineStr">
        <is>
          <t>1-3 = income_main_crop_check
4 = income_main_ls_check 
5 = income_main_amount
6 = income_main_fish_check 
7-18 = income_main_amount
19-20 = shock</t>
        </is>
      </c>
      <c r="R83" s="44" t="n"/>
      <c r="S83" s="204" t="inlineStr">
        <is>
          <t>if options #1-3 selected go to income_main_crop_check 
if options #4 selected go to income_main_ls_check 
if options #6 selected go to income_main_fish_check
if options #5, 7-18 selected, go to [income_main_comp OR optional question] 
if options #19-20 selected, go to shock</t>
        </is>
      </c>
      <c r="T83" s="205" t="inlineStr"/>
      <c r="U83" s="19" t="n"/>
      <c r="V83" s="170">
        <f>1</f>
        <v/>
      </c>
      <c r="W83" s="43" t="n"/>
      <c r="Y83" s="109" t="inlineStr">
        <is>
          <t>yes</t>
        </is>
      </c>
      <c r="Z83" s="564" t="n"/>
      <c r="AC83" s="168" t="n">
        <v>31.88833427429199</v>
      </c>
      <c r="AD83" s="168">
        <f>IF(AC83="","",AC83*V83)</f>
        <v/>
      </c>
      <c r="AE83" s="43" t="inlineStr">
        <is>
          <t>31.88833427429199</t>
        </is>
      </c>
    </row>
    <row r="84" ht="153" customFormat="1" customHeight="1" s="48">
      <c r="A84" s="34">
        <f>A83+1</f>
        <v/>
      </c>
      <c r="B84" s="89" t="inlineStr">
        <is>
          <t>income_main_crop_check</t>
        </is>
      </c>
      <c r="C84" s="90" t="inlineStr">
        <is>
          <t>income_main_crop_check</t>
        </is>
      </c>
      <c r="D84" s="51" t="inlineStr">
        <is>
          <t>Are the crops sold also produced by you or anyone in your household?
[OPERATOR: SINGLE RESPONSE.]
1)YES
2)NO
3)DON'T KNOW
4)REFUSED</t>
        </is>
      </c>
      <c r="E84" s="45">
        <f>LEN(D84)</f>
        <v/>
      </c>
      <c r="F84" s="422" t="inlineStr">
        <is>
          <t>Les cultures vendues sont-elles également produites par vous ou quelqu'un de votre ménage?
[OPÉRATEUR/OPÉRATRICE: RÉPONSE UNIQUE.]
1)Oui
2)Non
3)NE SAIT PAS
4)REFUSÉ</t>
        </is>
      </c>
      <c r="G84" s="45">
        <f>LEN(F84)</f>
        <v/>
      </c>
      <c r="H84" s="57" t="inlineStr">
        <is>
          <t>Je, mazao yanayouzwa pia yamezalishwa na wewe au mtu yeyote katika famille yako?
[OPERATOR: JIBU MOJA.]
1)NDIYO
2)HAPANA
3)SIJUE
4)KUKATALA</t>
        </is>
      </c>
      <c r="I84" s="45" t="n"/>
      <c r="J84" s="71" t="inlineStr">
        <is>
          <t xml:space="preserve">Bidime bidibu bapana bidi kabidi bifumina kudi wewe anyi kudi muntu kampanda wa mu nzubu muebe anyi?
[ENQUETEUR/TRICE:Bipwebo imwe.]
1)EYOWA
2)TO
3)TSHIENA MUMANYE
4)MUBENE
</t>
        </is>
      </c>
      <c r="K84" s="45">
        <f>LEN(J84)</f>
        <v/>
      </c>
      <c r="L84" s="47" t="inlineStr">
        <is>
          <t>Single Choice</t>
        </is>
      </c>
      <c r="M84" s="45" t="inlineStr">
        <is>
          <t>NA</t>
        </is>
      </c>
      <c r="N84" s="45" t="inlineStr">
        <is>
          <t>NA</t>
        </is>
      </c>
      <c r="O84" s="45" t="inlineStr">
        <is>
          <t>Form Type - Buttons</t>
        </is>
      </c>
      <c r="P84" s="82" t="inlineStr">
        <is>
          <t>NA</t>
        </is>
      </c>
      <c r="Q84" s="44" t="inlineStr">
        <is>
          <t>1-4 = income_main_amount</t>
        </is>
      </c>
      <c r="R84" s="44" t="n"/>
      <c r="S84" s="204" t="inlineStr">
        <is>
          <t>if income_main_crop_check = 1-4, go to [income_main_comp OR optional question]</t>
        </is>
      </c>
      <c r="T84" s="205" t="inlineStr"/>
      <c r="U84" s="19" t="n"/>
      <c r="V84" s="170">
        <f>1</f>
        <v/>
      </c>
      <c r="W84" s="43" t="n"/>
      <c r="Y84" s="109" t="inlineStr">
        <is>
          <t>yes</t>
        </is>
      </c>
      <c r="Z84" s="564" t="n"/>
      <c r="AC84" s="168" t="n">
        <v>8</v>
      </c>
      <c r="AD84" s="168">
        <f>IF(AC84="","",AC84*V84)</f>
        <v/>
      </c>
      <c r="AE84" s="43" t="inlineStr">
        <is>
          <t>8</t>
        </is>
      </c>
    </row>
    <row r="85" ht="187" customFormat="1" customHeight="1" s="48">
      <c r="A85" s="34">
        <f>A84+1</f>
        <v/>
      </c>
      <c r="B85" s="89" t="inlineStr">
        <is>
          <t>income_main_ls_check</t>
        </is>
      </c>
      <c r="C85" s="90" t="inlineStr">
        <is>
          <t>income_main_ls_check</t>
        </is>
      </c>
      <c r="D85" s="51" t="inlineStr">
        <is>
          <t>Are the livestock or livestock products sold also produced by you or anyone in your household?
[OPERATOR: SINGLE RESPONSE.]
1)YES
2)NO
3)DON'T KNOW
4)REFUSED</t>
        </is>
      </c>
      <c r="E85" s="45">
        <f>LEN(D85)</f>
        <v/>
      </c>
      <c r="F85" s="422" t="inlineStr">
        <is>
          <t xml:space="preserve">Le bétail ou les produits du bétail vendus sont-ils également produits par vous ou quelqu'un de votre ménage?
[OPÉRATEUR/OPÉRATRICE: RÉPONSE UNIQUE.]
1)Oui
2)Non
3)NE SAIT PAS
4)REFUSÉ
</t>
        </is>
      </c>
      <c r="G85" s="45">
        <f>LEN(F85)</f>
        <v/>
      </c>
      <c r="H85" s="57" t="inlineStr">
        <is>
          <t>Je, mifugo au bidhaa za mifugo zinazouzwa pia zimezalishwa na wewe au mtu yeyote katika famille yako?
[OPERATOR: JIBU MOJA.]
1)NDIYO
2)HAPANA
3)SIJUE
4)KUKATALA</t>
        </is>
      </c>
      <c r="I85" s="45" t="n"/>
      <c r="J85" s="71" t="inlineStr">
        <is>
          <t xml:space="preserve">Bimuna anyi bintu bia mu bimuna bidibu bapana bidi kabidi bipatula kudi wewe anyi kudi muntu kampanda wa mu nzubu muebe anyi?
[ENQUETEUR/TRICE:Bipwebo imwe.]
1)EYOWA
2)TO
3)TSHIENA MUMANYE
4)MUBENE
</t>
        </is>
      </c>
      <c r="K85" s="45">
        <f>LEN(J85)</f>
        <v/>
      </c>
      <c r="L85" s="47" t="inlineStr">
        <is>
          <t>Single Choice</t>
        </is>
      </c>
      <c r="M85" s="45" t="inlineStr">
        <is>
          <t>NA</t>
        </is>
      </c>
      <c r="N85" s="45" t="inlineStr">
        <is>
          <t>NA</t>
        </is>
      </c>
      <c r="O85" s="45" t="inlineStr">
        <is>
          <t>Form Type - Buttons</t>
        </is>
      </c>
      <c r="P85" s="82" t="inlineStr">
        <is>
          <t>NA</t>
        </is>
      </c>
      <c r="Q85" s="44" t="inlineStr">
        <is>
          <t>1-4 = income_main_amount</t>
        </is>
      </c>
      <c r="R85" s="44" t="n"/>
      <c r="S85" s="204" t="inlineStr">
        <is>
          <t>if income_main_ls_check = 1-4, go to [income_main_comp OR optional question]</t>
        </is>
      </c>
      <c r="T85" s="205" t="inlineStr"/>
      <c r="U85" s="19" t="n"/>
      <c r="V85" s="170">
        <f>1</f>
        <v/>
      </c>
      <c r="W85" s="43" t="n"/>
      <c r="Y85" s="109" t="inlineStr">
        <is>
          <t>yes</t>
        </is>
      </c>
      <c r="Z85" s="564" t="n"/>
      <c r="AC85" s="168" t="n">
        <v>8</v>
      </c>
      <c r="AD85" s="168">
        <f>IF(AC85="","",AC85*V85)</f>
        <v/>
      </c>
      <c r="AE85" s="43" t="inlineStr">
        <is>
          <t>8</t>
        </is>
      </c>
    </row>
    <row r="86" ht="153" customFormat="1" customHeight="1" s="48">
      <c r="A86" s="34">
        <f>A85+1</f>
        <v/>
      </c>
      <c r="B86" s="89" t="inlineStr">
        <is>
          <t>income_main_fish_check</t>
        </is>
      </c>
      <c r="C86" s="90" t="inlineStr">
        <is>
          <t>income_main_fish_check</t>
        </is>
      </c>
      <c r="D86" s="51" t="inlineStr">
        <is>
          <t>Are the fish or aquatic products sold also captured/harvested by you or anyone in your household?
[OPERATOR: SINGLE RESPONSE.]
1)YES
2)NO
3)DON'T KNOW
4)REFUSED</t>
        </is>
      </c>
      <c r="E86" s="45">
        <f>LEN(D86)</f>
        <v/>
      </c>
      <c r="F86" s="422" t="inlineStr">
        <is>
          <t>Le poisson ou les produits aquatiques vendus sont-ils également capturés/récoltés par vous ou un membre de votre ménage?
[OPÉRATEUR/OPÉRATRICE: RÉPONSE UNIQUE.]
1)Oui
2)Non
3)NE SAIT PAS
4)REFUSÉ</t>
        </is>
      </c>
      <c r="G86" s="45">
        <f>LEN(F86)</f>
        <v/>
      </c>
      <c r="H86" s="57" t="inlineStr">
        <is>
          <t>Je, samaki au bidhaa za majini zinazouzwa pia zimevuliwa/kuvunwa na wewe au mtu yeyote katika famille yako?
[OPERATOR: JIBU MOJA.]
1)NDIYO
2)HAPANA
3)SIJUE
4)KUKATALA</t>
        </is>
      </c>
      <c r="I86" s="45" t="n"/>
      <c r="J86" s="71" t="inlineStr">
        <is>
          <t xml:space="preserve">Bimuna anyi bintu bia mu bimuna bidibu bapana bidi kabidi bipatula kudi wewe anyi kudi muntu kampanda wa mu nzubu muebe anyi?
[ENQUETEUR/TRICE:Bipwebo imwe.]
1)EYOWA
2)TO
3)TSHIENA MUMANYE
4)MUBENE
</t>
        </is>
      </c>
      <c r="K86" s="45">
        <f>LEN(J86)</f>
        <v/>
      </c>
      <c r="L86" s="47" t="inlineStr">
        <is>
          <t>Single Choice</t>
        </is>
      </c>
      <c r="M86" s="45" t="inlineStr">
        <is>
          <t>NA</t>
        </is>
      </c>
      <c r="N86" s="45" t="inlineStr">
        <is>
          <t>NA</t>
        </is>
      </c>
      <c r="O86" s="45" t="inlineStr">
        <is>
          <t>Form Type - Buttons</t>
        </is>
      </c>
      <c r="P86" s="82" t="inlineStr">
        <is>
          <t>NA</t>
        </is>
      </c>
      <c r="Q86" s="44" t="inlineStr">
        <is>
          <t>1-4 = income_main_amount</t>
        </is>
      </c>
      <c r="R86" s="44" t="n"/>
      <c r="S86" s="204" t="inlineStr">
        <is>
          <t>if income_main_fish_check = 1-4, go to [income_main_comp OR optional question]</t>
        </is>
      </c>
      <c r="T86" s="205" t="inlineStr"/>
      <c r="U86" s="19" t="n"/>
      <c r="V86" s="170">
        <f>1</f>
        <v/>
      </c>
      <c r="W86" s="43" t="n"/>
      <c r="Y86" s="109" t="inlineStr">
        <is>
          <t>yes</t>
        </is>
      </c>
      <c r="Z86" s="564" t="n"/>
      <c r="AC86" s="168" t="n">
        <v>8</v>
      </c>
      <c r="AD86" s="168">
        <f>IF(AC86="","",AC86*V86)</f>
        <v/>
      </c>
      <c r="AE86" s="43" t="inlineStr">
        <is>
          <t>8</t>
        </is>
      </c>
    </row>
    <row r="87" ht="136" customFormat="1" customHeight="1" s="48">
      <c r="A87" s="34">
        <f>A86+1</f>
        <v/>
      </c>
      <c r="B87" s="62" t="inlineStr">
        <is>
          <t>income_main_amount</t>
        </is>
      </c>
      <c r="C87" s="131" t="inlineStr">
        <is>
          <t>income_main_amount</t>
        </is>
      </c>
      <c r="D87" s="132" t="inlineStr">
        <is>
          <t>How much was earned [in CDF] from your main income source, {income_main}, in the past 3 months ?
[OPERATOR: MAKE SURE THE INFORMATION IS RECORDED IN THE CORRECT CURRENCY. ENTER 8888888 FOR DON'T KNOW AND 9999999 FOR REFUSED.]</t>
        </is>
      </c>
      <c r="E87" s="16">
        <f>LEN(D87)</f>
        <v/>
      </c>
      <c r="F87" s="60" t="inlineStr">
        <is>
          <t>Quelle somme [en CDF] a rapporté votre principale source de revenus, {income_main}, au cours des trois derniers mois?
[OPÉRATEUR/OPÉRATRICE: VÉRIFIER QUE LA RÉPONSE EST ENREGISTRÉE DANS LA BONNE DEVISE. SAISIR 88888888 POUR «NE SAIT PAS» ET 99999999 POUR «REFUSÉ».]</t>
        </is>
      </c>
      <c r="G87" s="16">
        <f>LEN(F87)</f>
        <v/>
      </c>
      <c r="H87" s="60" t="inlineStr">
        <is>
          <t>Ni kiasi gani kilipatikana [katika CDF] kutoka kwa chanzo chako kikuu cha mapato, {income_main}, katika kipindi cha miezi 3 iliyopita ?
[OPERATOR: HAKIKISHA HABARI IMEREKODIWA KWA SARAFU SAHIHI. INGIA 88888888 KWA SIJUE NA 99999999 KWA KUKATALA.]</t>
        </is>
      </c>
      <c r="I87" s="16" t="n"/>
      <c r="J87" s="418" t="inlineStr">
        <is>
          <t>Bungi kayi [mu CDF] budi tshintu tshiebe tshinene tshia makuta, {income_main}, tshipeteshe mu ngondo isatu mimane kupita?
[ENQUETEUR/TRICE: KUJIKIJA NE: DIANDAMUNA DIDI DIFUNDA MU LUPETU LUA KUENZA. BUELA 88888888 BUA "TSHIENA MUMANYE" NE 99999999 BUA "MUBENE".]</t>
        </is>
      </c>
      <c r="K87" s="45">
        <f>LEN(J87)</f>
        <v/>
      </c>
      <c r="L87" s="16" t="inlineStr">
        <is>
          <t>Range</t>
        </is>
      </c>
      <c r="M87" s="16" t="inlineStr">
        <is>
          <t>NA</t>
        </is>
      </c>
      <c r="N87" s="16" t="inlineStr">
        <is>
          <t>NA</t>
        </is>
      </c>
      <c r="O87" s="16" t="inlineStr">
        <is>
          <t>Form Type - TextBox</t>
        </is>
      </c>
      <c r="P87" s="25" t="inlineStr">
        <is>
          <t>NA</t>
        </is>
      </c>
      <c r="Q87" s="29" t="inlineStr">
        <is>
          <t>0 - 2000000 = income_main_comp OR optional question
2000000 - 10000000 = income_main_amount_conf
8888888-8888888 = income_main_comp OR optional question
9999999-9999999 = income_main_comp OR optional question</t>
        </is>
      </c>
      <c r="R87" s="419" t="inlineStr">
        <is>
          <t>Minimum updated to 3,000
FAO: Minimum should be fixed with this version</t>
        </is>
      </c>
      <c r="S87" s="420" t="inlineStr">
        <is>
          <t>If the income amount is over the threshold set in "Additional information", the respondent will be asked to confirm with income_main_amount_conf. Otherwise, go to income_main_comp or optional question.</t>
        </is>
      </c>
      <c r="T87" s="420" t="inlineStr"/>
      <c r="U87" s="572" t="inlineStr">
        <is>
          <t>We recommend using this pair of questions together.</t>
        </is>
      </c>
      <c r="V87" s="167">
        <f>1</f>
        <v/>
      </c>
      <c r="W87" s="43" t="n"/>
      <c r="Y87" s="50" t="inlineStr">
        <is>
          <t>no</t>
        </is>
      </c>
      <c r="Z87" s="564" t="n"/>
      <c r="AC87" s="169" t="n">
        <v>31.96376609802246</v>
      </c>
      <c r="AD87" s="169">
        <f>IF(AC87="","",AC87*V87)</f>
        <v/>
      </c>
      <c r="AE87" s="43" t="inlineStr"/>
    </row>
    <row r="88" ht="158.25" customFormat="1" customHeight="1" s="48">
      <c r="A88" s="34">
        <f>A87+1</f>
        <v/>
      </c>
      <c r="B88" s="62" t="inlineStr">
        <is>
          <t>income_main_amount_conf</t>
        </is>
      </c>
      <c r="C88" s="406" t="inlineStr">
        <is>
          <t>income_main_amount_conf</t>
        </is>
      </c>
      <c r="D88" s="132" t="inlineStr">
        <is>
          <t>Can you confirm the amount of income you just stated is correct?
[OPERATOR: IF THE AMOUNT EARNED FROM THIS INCOME SOURCE OVER THE PAST 3 MONTH IS INDEED OVER 2000000, CLICK ON CONTINUE. OTHERWISE, GO BACK AND CHANGE THE AMOUNT ENTERED.]
1)CONTINUE</t>
        </is>
      </c>
      <c r="E88" s="16">
        <f>LEN(D88)</f>
        <v/>
      </c>
      <c r="F88" s="206"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88" s="16">
        <f>LEN(F88)</f>
        <v/>
      </c>
      <c r="H88" s="206" t="inlineStr">
        <is>
          <t>Unaweza kuthibitisha kiasi cha mapato ulichosema ni sahihi?
[OPERATOR: IWAPO KIASI KILICHOCHUKUA KUTOKA KWA CHANZO HIKI CHA MAPATO KATIKA MIEZI 3 ILIYOPITA NI ZAIDI YA 2000000,  ENDELESHA. VINGINEVYO, RUDI NYUMA NA KUBADILI KIASI ILICHOINGIWA.]
1)ENDELEA</t>
        </is>
      </c>
      <c r="I88" s="133" t="n"/>
      <c r="J88" s="206" t="inlineStr">
        <is>
          <t xml:space="preserve">Udiku mua kujadika ne: bungi bua makuta audi mupatule mbulelela anyi?
[OPERATEUR: BIkala BUTU BUA MU MUTU EWU WA KUPETA MU NGONDO ISATU BIPISHI BIPISHILA 2000000, TUMA CONTINUE. BISHI TO, PINDUKA NE SHINTULULA MUSHINDU UDI MUBUEJE.]
1)TUNDUKA
</t>
        </is>
      </c>
      <c r="K88" s="45">
        <f>LEN(J88)</f>
        <v/>
      </c>
      <c r="L88" s="423" t="inlineStr">
        <is>
          <t>Single Choice</t>
        </is>
      </c>
      <c r="M88" s="133" t="inlineStr">
        <is>
          <t>NA</t>
        </is>
      </c>
      <c r="N88" s="133" t="inlineStr">
        <is>
          <t>NA</t>
        </is>
      </c>
      <c r="O88" s="133" t="inlineStr">
        <is>
          <t>Form Type - Buttons</t>
        </is>
      </c>
      <c r="P88" s="25" t="inlineStr">
        <is>
          <t>NA</t>
        </is>
      </c>
      <c r="Q88" s="31" t="inlineStr">
        <is>
          <t>1 = income_main_gender</t>
        </is>
      </c>
      <c r="R88" s="31" t="n"/>
      <c r="S88" s="205" t="inlineStr">
        <is>
          <t>if income_main_amount_conf = 1, go to income_main_comp or optional question</t>
        </is>
      </c>
      <c r="T88" s="205" t="inlineStr"/>
      <c r="U88" s="591" t="n"/>
      <c r="V88" s="167">
        <f>1</f>
        <v/>
      </c>
      <c r="W88" s="43" t="n"/>
      <c r="Y88" s="50" t="inlineStr">
        <is>
          <t>no</t>
        </is>
      </c>
      <c r="Z88" s="564" t="n"/>
      <c r="AC88" s="169" t="n">
        <v>2.227367401123047</v>
      </c>
      <c r="AD88" s="169">
        <f>IF(AC88="","",AC88*V88)</f>
        <v/>
      </c>
      <c r="AE88" s="43" t="inlineStr"/>
    </row>
    <row r="89" ht="189.75" customFormat="1" customHeight="1" s="48">
      <c r="A89" s="34">
        <f>A88+1</f>
        <v/>
      </c>
      <c r="B89" s="424" t="inlineStr">
        <is>
          <t>income_main_gender</t>
        </is>
      </c>
      <c r="C89" s="425" t="inlineStr">
        <is>
          <t>income_main_gender</t>
        </is>
      </c>
      <c r="D89" s="426" t="inlineStr">
        <is>
          <t>What is the gender of the household member[s] generating income from this source? 
[OPERATOR: SINGLE RESPONSE.]
1)Male
2)Female
3)Joint [both male &amp; female]
4)DON'T KNOW
5)REFUSED</t>
        </is>
      </c>
      <c r="E89" s="133">
        <f>LEN(D89)</f>
        <v/>
      </c>
      <c r="F89" s="206" t="inlineStr">
        <is>
          <t>Quel est le sexe du ou des membres du ménage qui génèrent des revenus de cette source? 
[OPÉRATEUR/OPÉRATRICE: RÉPONSE UNIQUE].
1)Homme
2)Femme
3)Mixte [homme et femme]
4)NE SAIT PAS
5)REFUSÉ</t>
        </is>
      </c>
      <c r="G89" s="16">
        <f>LEN(F89)</f>
        <v/>
      </c>
      <c r="H89" s="60" t="inlineStr">
        <is>
          <t>Je, ni jinsia gani ya wanakaya wanaozalisha mapato kutoka kwa chanzo hiki?_x000D_
_x000D_
[OPERATOR: JIBU MOJA.]_x000D_
_x000D_
1)Mwanaume_x000D_
2)Mwanamke_x000D_
3)Viungo [wote wa kiume na wa kike]_x000D_
4)SIJUE_x000D_
5)KUKATALA</t>
        </is>
      </c>
      <c r="I89" s="133" t="n"/>
      <c r="J89" s="206" t="inlineStr">
        <is>
          <t xml:space="preserve">Muntu wa mu nzubu udi upeta makuta ku tshintu etshi mmushindu kayi?
[ENQUETEUR/TRICE:Bipwebo imwe].
1)Mulume
2)Mukaji
3)Musambakane [mulume ne mukaji]
4)KI MUMANYE
5)MUBENE
</t>
        </is>
      </c>
      <c r="K89" s="45">
        <f>LEN(J89)</f>
        <v/>
      </c>
      <c r="L89" s="131" t="inlineStr">
        <is>
          <t>Single Choice</t>
        </is>
      </c>
      <c r="M89" s="133" t="inlineStr">
        <is>
          <t>NA</t>
        </is>
      </c>
      <c r="N89" s="133" t="inlineStr">
        <is>
          <t>NA</t>
        </is>
      </c>
      <c r="O89" s="133" t="inlineStr">
        <is>
          <t>Form Type - Buttons</t>
        </is>
      </c>
      <c r="P89" s="25" t="inlineStr">
        <is>
          <t>NA</t>
        </is>
      </c>
      <c r="Q89" s="31" t="inlineStr">
        <is>
          <t>1-5 = income_main_control</t>
        </is>
      </c>
      <c r="R89" s="31" t="n"/>
      <c r="S89" s="205" t="inlineStr">
        <is>
          <t>if income_main_gender = 1-5, go to income_main_comp or optional question</t>
        </is>
      </c>
      <c r="T89" s="205" t="inlineStr"/>
      <c r="U89" s="19" t="n"/>
      <c r="V89" s="167">
        <f>1</f>
        <v/>
      </c>
      <c r="W89" s="43" t="n"/>
      <c r="Y89" s="50" t="inlineStr">
        <is>
          <t>no</t>
        </is>
      </c>
      <c r="Z89" s="564" t="n"/>
      <c r="AC89" s="169" t="n">
        <v>4.787401676177979</v>
      </c>
      <c r="AD89" s="169">
        <f>IF(AC89="","",AC89*V89)</f>
        <v/>
      </c>
      <c r="AE89" s="43" t="inlineStr"/>
    </row>
    <row r="90" ht="153" customFormat="1" customHeight="1" s="48">
      <c r="A90" s="34">
        <f>A89+1</f>
        <v/>
      </c>
      <c r="B90" s="427" t="inlineStr">
        <is>
          <t>income_main_control</t>
        </is>
      </c>
      <c r="C90" s="406" t="inlineStr">
        <is>
          <t>income_main_control</t>
        </is>
      </c>
      <c r="D90" s="191" t="inlineStr">
        <is>
          <t>Who controls the revenue that is earned from this source? 
[OPERATOR: SINGLE RESPONSE.]
1)Male household member[s]
2)Female household member[s]
3)Joint household members [both female &amp; male]
4)DON'T KNOW
5)REFUSED</t>
        </is>
      </c>
      <c r="E90" s="410">
        <f>LEN(D90)</f>
        <v/>
      </c>
      <c r="F90" s="60" t="inlineStr">
        <is>
          <t>Qui contrôle les revenus qui proviennent de cette source? 
[OPÉRATEUR/OPÉRATRICE: RÉPONSE UNIQUE].
1)Membre[s] masculin[s] du ménage
2)Membre[s] féminin[s] du ménage
3)Membres du ménage conjointement [femme et homme]
4)NE SAIT PAS
5)REFUSÉ</t>
        </is>
      </c>
      <c r="G90" s="16">
        <f>LEN(F90)</f>
        <v/>
      </c>
      <c r="H90" s="60" t="inlineStr">
        <is>
          <t>Nani anadhibiti mapato yanayopatikana kutokana na chanzo hiki?
[OPERATOR: JIBU MOJA.]
1)Mwanafamilia wa kiume
2)Wanakaya wa kike
3)Wanakaya wa pamoja [wanaume na wanawake]
4)SIJUE
5)KUKATALA</t>
        </is>
      </c>
      <c r="I90" s="16" t="n"/>
      <c r="J90" s="60" t="inlineStr">
        <is>
          <t xml:space="preserve">Nnganyi udi ulombola makuta adi afumina ku tshintu etshi?
[ENQUETEUR/TRICE:Bipwebo imwe].
1)Muena mu nzubu wa balume
2)Muena mu nzubu wa bakaji
3)Bena mu nzubu pamue [mukaji ne mulume]
4)TSHIENA MUMANYE
5)MUBENE
</t>
        </is>
      </c>
      <c r="K90" s="45">
        <f>LEN(J90)</f>
        <v/>
      </c>
      <c r="L90" s="134" t="inlineStr">
        <is>
          <t>Single Choice</t>
        </is>
      </c>
      <c r="M90" s="16" t="inlineStr">
        <is>
          <t>NA</t>
        </is>
      </c>
      <c r="N90" s="16" t="inlineStr">
        <is>
          <t>NA</t>
        </is>
      </c>
      <c r="O90" s="16" t="inlineStr">
        <is>
          <t>Form Type - Buttons</t>
        </is>
      </c>
      <c r="P90" s="25" t="inlineStr">
        <is>
          <t>NA</t>
        </is>
      </c>
      <c r="Q90" s="132" t="inlineStr">
        <is>
          <t>1-5 = income_main_comp</t>
        </is>
      </c>
      <c r="R90" s="29" t="n"/>
      <c r="S90" s="29" t="inlineStr">
        <is>
          <t>if income_main_control = 1-5, go to income_main_comp</t>
        </is>
      </c>
      <c r="T90" s="125" t="inlineStr"/>
      <c r="U90" s="10" t="n"/>
      <c r="V90" s="167">
        <f>1</f>
        <v/>
      </c>
      <c r="W90" s="43" t="n"/>
      <c r="X90" s="207" t="n"/>
      <c r="Y90" s="50" t="inlineStr">
        <is>
          <t>no</t>
        </is>
      </c>
      <c r="Z90" s="564" t="n"/>
      <c r="AA90" s="207" t="n"/>
      <c r="AB90" s="207" t="n"/>
      <c r="AC90" s="169" t="n">
        <v>20.91836738586426</v>
      </c>
      <c r="AD90" s="169">
        <f>IF(AC90="","",AC90*V90)</f>
        <v/>
      </c>
      <c r="AE90" s="43" t="inlineStr"/>
      <c r="AF90" s="207" t="n"/>
      <c r="AG90" s="207" t="n"/>
      <c r="AH90" s="207" t="n"/>
      <c r="AI90" s="207" t="n"/>
      <c r="AJ90" s="207" t="n"/>
      <c r="AK90" s="207" t="n"/>
      <c r="AL90" s="207" t="n"/>
      <c r="AM90" s="207" t="n"/>
      <c r="AN90" s="207" t="n"/>
      <c r="AO90" s="207" t="n"/>
      <c r="AP90" s="207" t="n"/>
      <c r="AQ90" s="207" t="n"/>
      <c r="AR90" s="207" t="n"/>
      <c r="AS90" s="207" t="n"/>
      <c r="AT90" s="207" t="n"/>
      <c r="AU90" s="207" t="n"/>
      <c r="AV90" s="207" t="n"/>
      <c r="AW90" s="207" t="n"/>
      <c r="AX90" s="207" t="n"/>
      <c r="AY90" s="207" t="n"/>
      <c r="AZ90" s="207" t="n"/>
      <c r="BA90" s="207" t="n"/>
      <c r="BB90" s="207" t="n"/>
      <c r="BC90" s="207" t="n"/>
      <c r="BD90" s="207" t="n"/>
      <c r="BE90" s="207" t="n"/>
      <c r="BF90" s="207" t="n"/>
      <c r="BG90" s="207" t="n"/>
      <c r="BH90" s="207" t="n"/>
      <c r="BI90" s="207" t="n"/>
      <c r="BJ90" s="207" t="n"/>
      <c r="BK90" s="207" t="n"/>
      <c r="BL90" s="207" t="n"/>
      <c r="BM90" s="207" t="n"/>
      <c r="BN90" s="207" t="n"/>
      <c r="BO90" s="207" t="n"/>
      <c r="BP90" s="207" t="n"/>
      <c r="BQ90" s="207" t="n"/>
      <c r="BR90" s="207" t="n"/>
      <c r="BS90" s="207" t="n"/>
      <c r="BT90" s="207" t="n"/>
      <c r="BU90" s="207" t="n"/>
      <c r="BV90" s="207" t="n"/>
      <c r="BW90" s="207" t="n"/>
      <c r="BX90" s="207" t="n"/>
      <c r="BY90" s="207" t="n"/>
      <c r="BZ90" s="207" t="n"/>
      <c r="CA90" s="207" t="n"/>
      <c r="CB90" s="207" t="n"/>
      <c r="CC90" s="207" t="n"/>
      <c r="CD90" s="207" t="n"/>
      <c r="CE90" s="207" t="n"/>
      <c r="CF90" s="207" t="n"/>
      <c r="CG90" s="207" t="n"/>
      <c r="CH90" s="207" t="n"/>
      <c r="CI90" s="207" t="n"/>
      <c r="CJ90" s="207" t="n"/>
      <c r="CK90" s="207" t="n"/>
      <c r="CL90" s="207" t="n"/>
      <c r="CM90" s="207" t="n"/>
      <c r="CN90" s="207" t="n"/>
      <c r="CO90" s="207" t="n"/>
      <c r="CP90" s="207" t="n"/>
      <c r="CQ90" s="207" t="n"/>
      <c r="CR90" s="207" t="n"/>
      <c r="CS90" s="207" t="n"/>
      <c r="CT90" s="207" t="n"/>
      <c r="CU90" s="207" t="n"/>
      <c r="CV90" s="207" t="n"/>
      <c r="CW90" s="207" t="n"/>
      <c r="CX90" s="207" t="n"/>
      <c r="CY90" s="207" t="n"/>
      <c r="CZ90" s="207" t="n"/>
      <c r="DA90" s="207" t="n"/>
      <c r="DB90" s="207" t="n"/>
      <c r="DC90" s="207" t="n"/>
      <c r="DD90" s="207" t="n"/>
      <c r="DE90" s="207" t="n"/>
      <c r="DF90" s="207" t="n"/>
      <c r="DG90" s="207" t="n"/>
      <c r="DH90" s="207" t="n"/>
      <c r="DI90" s="207" t="n"/>
      <c r="DJ90" s="207" t="n"/>
      <c r="DK90" s="207" t="n"/>
      <c r="DL90" s="207" t="n"/>
      <c r="DM90" s="207" t="n"/>
      <c r="DN90" s="207" t="n"/>
      <c r="DO90" s="207" t="n"/>
      <c r="DP90" s="207" t="n"/>
      <c r="DQ90" s="207" t="n"/>
      <c r="DR90" s="207" t="n"/>
      <c r="DS90" s="207" t="n"/>
      <c r="DT90" s="207" t="n"/>
      <c r="DU90" s="207" t="n"/>
      <c r="DV90" s="207" t="n"/>
      <c r="DW90" s="207" t="n"/>
      <c r="DX90" s="207" t="n"/>
      <c r="DY90" s="207" t="n"/>
      <c r="DZ90" s="207" t="n"/>
      <c r="EA90" s="207" t="n"/>
      <c r="EB90" s="207" t="n"/>
      <c r="EC90" s="207" t="n"/>
      <c r="ED90" s="207" t="n"/>
      <c r="EE90" s="207" t="n"/>
      <c r="EF90" s="207" t="n"/>
      <c r="EG90" s="207" t="n"/>
      <c r="EH90" s="207" t="n"/>
      <c r="EI90" s="207" t="n"/>
      <c r="EJ90" s="207" t="n"/>
      <c r="EK90" s="207" t="n"/>
      <c r="EL90" s="207" t="n"/>
      <c r="EM90" s="207" t="n"/>
      <c r="EN90" s="207" t="n"/>
      <c r="EO90" s="207" t="n"/>
      <c r="EP90" s="207" t="n"/>
      <c r="EQ90" s="207" t="n"/>
      <c r="ER90" s="207" t="n"/>
      <c r="ES90" s="207" t="n"/>
      <c r="ET90" s="207" t="n"/>
      <c r="EU90" s="207" t="n"/>
      <c r="EV90" s="207" t="n"/>
      <c r="EW90" s="207" t="n"/>
      <c r="EX90" s="207" t="n"/>
      <c r="EY90" s="207" t="n"/>
      <c r="EZ90" s="207" t="n"/>
      <c r="FA90" s="207" t="n"/>
      <c r="FB90" s="207" t="n"/>
      <c r="FC90" s="207" t="n"/>
      <c r="FD90" s="207" t="n"/>
      <c r="FE90" s="207" t="n"/>
      <c r="FF90" s="207" t="n"/>
      <c r="FG90" s="207" t="n"/>
      <c r="FH90" s="207" t="n"/>
      <c r="FI90" s="207" t="n"/>
      <c r="FJ90" s="207" t="n"/>
      <c r="FK90" s="207" t="n"/>
      <c r="FL90" s="207" t="n"/>
      <c r="FM90" s="207" t="n"/>
      <c r="FN90" s="207" t="n"/>
      <c r="FO90" s="207" t="n"/>
      <c r="FP90" s="207" t="n"/>
      <c r="FQ90" s="207" t="n"/>
      <c r="FR90" s="207" t="n"/>
      <c r="FS90" s="207" t="n"/>
      <c r="FT90" s="207" t="n"/>
      <c r="FU90" s="207" t="n"/>
      <c r="FV90" s="207" t="n"/>
      <c r="FW90" s="207" t="n"/>
      <c r="FX90" s="207" t="n"/>
      <c r="FY90" s="207" t="n"/>
      <c r="FZ90" s="207" t="n"/>
      <c r="GA90" s="207" t="n"/>
      <c r="GB90" s="207" t="n"/>
      <c r="GC90" s="207" t="n"/>
      <c r="GD90" s="207" t="n"/>
      <c r="GE90" s="207" t="n"/>
      <c r="GF90" s="207" t="n"/>
      <c r="GG90" s="207" t="n"/>
      <c r="GH90" s="207" t="n"/>
      <c r="GI90" s="207" t="n"/>
      <c r="GJ90" s="207" t="n"/>
      <c r="GK90" s="207" t="n"/>
      <c r="GL90" s="207" t="n"/>
      <c r="GM90" s="207" t="n"/>
      <c r="GN90" s="207" t="n"/>
      <c r="GO90" s="207" t="n"/>
      <c r="GP90" s="207" t="n"/>
      <c r="GQ90" s="207" t="n"/>
      <c r="GR90" s="207" t="n"/>
      <c r="GS90" s="207" t="n"/>
      <c r="GT90" s="207" t="n"/>
      <c r="GU90" s="207" t="n"/>
      <c r="GV90" s="207" t="n"/>
      <c r="GW90" s="207" t="n"/>
      <c r="GX90" s="207" t="n"/>
      <c r="GY90" s="207" t="n"/>
      <c r="GZ90" s="207" t="n"/>
      <c r="HA90" s="207" t="n"/>
      <c r="HB90" s="207" t="n"/>
      <c r="HC90" s="207" t="n"/>
      <c r="HD90" s="207" t="n"/>
      <c r="HE90" s="207" t="n"/>
      <c r="HF90" s="207" t="n"/>
      <c r="HG90" s="207" t="n"/>
      <c r="HH90" s="207" t="n"/>
      <c r="HI90" s="207" t="n"/>
      <c r="HJ90" s="207" t="n"/>
      <c r="HK90" s="207" t="n"/>
      <c r="HL90" s="207" t="n"/>
      <c r="HM90" s="207" t="n"/>
      <c r="HN90" s="207" t="n"/>
      <c r="HO90" s="207" t="n"/>
      <c r="HP90" s="207" t="n"/>
      <c r="HQ90" s="207" t="n"/>
      <c r="HR90" s="207" t="n"/>
      <c r="HS90" s="207" t="n"/>
      <c r="HT90" s="207" t="n"/>
      <c r="HU90" s="207" t="n"/>
      <c r="HV90" s="207" t="n"/>
      <c r="HW90" s="207" t="n"/>
      <c r="HX90" s="207" t="n"/>
      <c r="HY90" s="207" t="n"/>
      <c r="HZ90" s="207" t="n"/>
      <c r="IA90" s="207" t="n"/>
      <c r="IB90" s="207" t="n"/>
      <c r="IC90" s="207" t="n"/>
      <c r="ID90" s="207" t="n"/>
      <c r="IE90" s="207" t="n"/>
      <c r="IF90" s="207" t="n"/>
      <c r="IG90" s="207" t="n"/>
      <c r="IH90" s="207" t="n"/>
      <c r="II90" s="207" t="n"/>
      <c r="IJ90" s="207" t="n"/>
      <c r="IK90" s="207" t="n"/>
      <c r="IL90" s="207" t="n"/>
      <c r="IM90" s="207" t="n"/>
      <c r="IN90" s="207" t="n"/>
      <c r="IO90" s="207" t="n"/>
      <c r="IP90" s="207" t="n"/>
      <c r="IQ90" s="207" t="n"/>
      <c r="IR90" s="207" t="n"/>
      <c r="IS90" s="207" t="n"/>
      <c r="IT90" s="207" t="n"/>
      <c r="IU90" s="207" t="n"/>
      <c r="IV90" s="207" t="n"/>
      <c r="IW90" s="207" t="n"/>
      <c r="IX90" s="207" t="n"/>
      <c r="IY90" s="207" t="n"/>
      <c r="IZ90" s="207" t="n"/>
      <c r="JA90" s="207" t="n"/>
      <c r="JB90" s="207" t="n"/>
      <c r="JC90" s="207" t="n"/>
      <c r="JD90" s="207" t="n"/>
      <c r="JE90" s="207" t="n"/>
      <c r="JF90" s="207" t="n"/>
      <c r="JG90" s="207" t="n"/>
      <c r="JH90" s="207" t="n"/>
      <c r="JI90" s="207" t="n"/>
      <c r="JJ90" s="207" t="n"/>
      <c r="JK90" s="207" t="n"/>
      <c r="JL90" s="207" t="n"/>
      <c r="JM90" s="207" t="n"/>
      <c r="JN90" s="207" t="n"/>
      <c r="JO90" s="207" t="n"/>
      <c r="JP90" s="207" t="n"/>
      <c r="JQ90" s="207" t="n"/>
      <c r="JR90" s="207" t="n"/>
      <c r="JS90" s="207" t="n"/>
      <c r="JT90" s="207" t="n"/>
      <c r="JU90" s="207" t="n"/>
      <c r="JV90" s="207" t="n"/>
      <c r="JW90" s="207" t="n"/>
      <c r="JX90" s="207" t="n"/>
      <c r="JY90" s="207" t="n"/>
      <c r="JZ90" s="207" t="n"/>
      <c r="KA90" s="207" t="n"/>
      <c r="KB90" s="207" t="n"/>
      <c r="KC90" s="207" t="n"/>
      <c r="KD90" s="207" t="n"/>
      <c r="KE90" s="207" t="n"/>
      <c r="KF90" s="207" t="n"/>
      <c r="KG90" s="207" t="n"/>
      <c r="KH90" s="207" t="n"/>
      <c r="KI90" s="207" t="n"/>
      <c r="KJ90" s="207" t="n"/>
      <c r="KK90" s="207" t="n"/>
      <c r="KL90" s="207" t="n"/>
      <c r="KM90" s="207" t="n"/>
      <c r="KN90" s="207" t="n"/>
      <c r="KO90" s="207" t="n"/>
      <c r="KP90" s="207" t="n"/>
      <c r="KQ90" s="207" t="n"/>
      <c r="KR90" s="207" t="n"/>
      <c r="KS90" s="207" t="n"/>
      <c r="KT90" s="207" t="n"/>
      <c r="KU90" s="207" t="n"/>
      <c r="KV90" s="207" t="n"/>
      <c r="KW90" s="207" t="n"/>
      <c r="KX90" s="207" t="n"/>
      <c r="KY90" s="207" t="n"/>
      <c r="KZ90" s="207" t="n"/>
      <c r="LA90" s="207" t="n"/>
      <c r="LB90" s="207" t="n"/>
      <c r="LC90" s="207" t="n"/>
      <c r="LD90" s="207" t="n"/>
      <c r="LE90" s="207" t="n"/>
      <c r="LF90" s="207" t="n"/>
      <c r="LG90" s="207" t="n"/>
      <c r="LH90" s="207" t="n"/>
      <c r="LI90" s="207" t="n"/>
      <c r="LJ90" s="207" t="n"/>
      <c r="LK90" s="207" t="n"/>
      <c r="LL90" s="207" t="n"/>
      <c r="LM90" s="207" t="n"/>
      <c r="LN90" s="207" t="n"/>
      <c r="LO90" s="207" t="n"/>
      <c r="LP90" s="207" t="n"/>
      <c r="LQ90" s="207" t="n"/>
      <c r="LR90" s="207" t="n"/>
      <c r="LS90" s="207" t="n"/>
      <c r="LT90" s="207" t="n"/>
      <c r="LU90" s="207" t="n"/>
      <c r="LV90" s="207" t="n"/>
      <c r="LW90" s="207" t="n"/>
      <c r="LX90" s="207" t="n"/>
      <c r="LY90" s="207" t="n"/>
      <c r="LZ90" s="207" t="n"/>
      <c r="MA90" s="207" t="n"/>
      <c r="MB90" s="207" t="n"/>
      <c r="MC90" s="207" t="n"/>
      <c r="MD90" s="207" t="n"/>
      <c r="ME90" s="207" t="n"/>
      <c r="MF90" s="207" t="n"/>
      <c r="MG90" s="207" t="n"/>
      <c r="MH90" s="207" t="n"/>
      <c r="MI90" s="207" t="n"/>
      <c r="MJ90" s="207" t="n"/>
      <c r="MK90" s="207" t="n"/>
      <c r="ML90" s="207" t="n"/>
      <c r="MM90" s="207" t="n"/>
      <c r="MN90" s="207" t="n"/>
      <c r="MO90" s="207" t="n"/>
      <c r="MP90" s="207" t="n"/>
      <c r="MQ90" s="207" t="n"/>
      <c r="MR90" s="207" t="n"/>
      <c r="MS90" s="207" t="n"/>
      <c r="MT90" s="207" t="n"/>
      <c r="MU90" s="207" t="n"/>
      <c r="MV90" s="207" t="n"/>
      <c r="MW90" s="207" t="n"/>
      <c r="MX90" s="207" t="n"/>
      <c r="MY90" s="207" t="n"/>
      <c r="MZ90" s="207" t="n"/>
      <c r="NA90" s="207" t="n"/>
      <c r="NB90" s="207" t="n"/>
      <c r="NC90" s="207" t="n"/>
      <c r="ND90" s="207" t="n"/>
      <c r="NE90" s="207" t="n"/>
      <c r="NF90" s="207" t="n"/>
      <c r="NG90" s="207" t="n"/>
      <c r="NH90" s="207" t="n"/>
      <c r="NI90" s="207" t="n"/>
      <c r="NJ90" s="207" t="n"/>
      <c r="NK90" s="207" t="n"/>
      <c r="NL90" s="207" t="n"/>
      <c r="NM90" s="207" t="n"/>
      <c r="NN90" s="207" t="n"/>
      <c r="NO90" s="207" t="n"/>
      <c r="NP90" s="207" t="n"/>
      <c r="NQ90" s="207" t="n"/>
      <c r="NR90" s="207" t="n"/>
      <c r="NS90" s="207" t="n"/>
      <c r="NT90" s="207" t="n"/>
      <c r="NU90" s="207" t="n"/>
      <c r="NV90" s="207" t="n"/>
      <c r="NW90" s="207" t="n"/>
      <c r="NX90" s="207" t="n"/>
      <c r="NY90" s="207" t="n"/>
      <c r="NZ90" s="207" t="n"/>
      <c r="OA90" s="207" t="n"/>
      <c r="OB90" s="207" t="n"/>
      <c r="OC90" s="207" t="n"/>
      <c r="OD90" s="207" t="n"/>
      <c r="OE90" s="207" t="n"/>
      <c r="OF90" s="207" t="n"/>
      <c r="OG90" s="207" t="n"/>
      <c r="OH90" s="207" t="n"/>
      <c r="OI90" s="207" t="n"/>
      <c r="OJ90" s="207" t="n"/>
      <c r="OK90" s="207" t="n"/>
      <c r="OL90" s="207" t="n"/>
      <c r="OM90" s="207" t="n"/>
      <c r="ON90" s="207" t="n"/>
      <c r="OO90" s="207" t="n"/>
      <c r="OP90" s="207" t="n"/>
      <c r="OQ90" s="207" t="n"/>
      <c r="OR90" s="207" t="n"/>
      <c r="OS90" s="207" t="n"/>
      <c r="OT90" s="207" t="n"/>
      <c r="OU90" s="207" t="n"/>
      <c r="OV90" s="207" t="n"/>
      <c r="OW90" s="207" t="n"/>
      <c r="OX90" s="207" t="n"/>
      <c r="OY90" s="207" t="n"/>
      <c r="OZ90" s="207" t="n"/>
      <c r="PA90" s="207" t="n"/>
      <c r="PB90" s="207" t="n"/>
      <c r="PC90" s="207" t="n"/>
      <c r="PD90" s="207" t="n"/>
      <c r="PE90" s="207" t="n"/>
      <c r="PF90" s="207" t="n"/>
      <c r="PG90" s="207" t="n"/>
      <c r="PH90" s="207" t="n"/>
      <c r="PI90" s="207" t="n"/>
      <c r="PJ90" s="207" t="n"/>
      <c r="PK90" s="207" t="n"/>
      <c r="PL90" s="207" t="n"/>
      <c r="PM90" s="207" t="n"/>
      <c r="PN90" s="207" t="n"/>
      <c r="PO90" s="207" t="n"/>
      <c r="PP90" s="207" t="n"/>
      <c r="PQ90" s="207" t="n"/>
      <c r="PR90" s="207" t="n"/>
      <c r="PS90" s="207" t="n"/>
      <c r="PT90" s="207" t="n"/>
      <c r="PU90" s="207" t="n"/>
      <c r="PV90" s="207" t="n"/>
      <c r="PW90" s="207" t="n"/>
      <c r="PX90" s="207" t="n"/>
      <c r="PY90" s="207" t="n"/>
      <c r="PZ90" s="207" t="n"/>
      <c r="QA90" s="207" t="n"/>
      <c r="QB90" s="207" t="n"/>
      <c r="QC90" s="207" t="n"/>
      <c r="QD90" s="207" t="n"/>
      <c r="QE90" s="207" t="n"/>
      <c r="QF90" s="207" t="n"/>
      <c r="QG90" s="207" t="n"/>
      <c r="QH90" s="207" t="n"/>
      <c r="QI90" s="207" t="n"/>
      <c r="QJ90" s="207" t="n"/>
      <c r="QK90" s="207" t="n"/>
      <c r="QL90" s="207" t="n"/>
      <c r="QM90" s="207" t="n"/>
      <c r="QN90" s="207" t="n"/>
      <c r="QO90" s="207" t="n"/>
      <c r="QP90" s="207" t="n"/>
      <c r="QQ90" s="207" t="n"/>
      <c r="QR90" s="207" t="n"/>
      <c r="QS90" s="207" t="n"/>
      <c r="QT90" s="207" t="n"/>
      <c r="QU90" s="207" t="n"/>
      <c r="QV90" s="207" t="n"/>
      <c r="QW90" s="207" t="n"/>
      <c r="QX90" s="207" t="n"/>
      <c r="QY90" s="207" t="n"/>
      <c r="QZ90" s="207" t="n"/>
      <c r="RA90" s="207" t="n"/>
      <c r="RB90" s="207" t="n"/>
      <c r="RC90" s="207" t="n"/>
      <c r="RD90" s="207" t="n"/>
      <c r="RE90" s="207" t="n"/>
      <c r="RF90" s="207" t="n"/>
      <c r="RG90" s="207" t="n"/>
      <c r="RH90" s="207" t="n"/>
      <c r="RI90" s="207" t="n"/>
      <c r="RJ90" s="207" t="n"/>
      <c r="RK90" s="207" t="n"/>
      <c r="RL90" s="207" t="n"/>
      <c r="RM90" s="207" t="n"/>
      <c r="RN90" s="207" t="n"/>
      <c r="RO90" s="207" t="n"/>
      <c r="RP90" s="207" t="n"/>
      <c r="RQ90" s="207" t="n"/>
      <c r="RR90" s="207" t="n"/>
      <c r="RS90" s="207" t="n"/>
      <c r="RT90" s="207" t="n"/>
      <c r="RU90" s="207" t="n"/>
      <c r="RV90" s="207" t="n"/>
      <c r="RW90" s="207" t="n"/>
      <c r="RX90" s="207" t="n"/>
      <c r="RY90" s="207" t="n"/>
      <c r="RZ90" s="207" t="n"/>
      <c r="SA90" s="207" t="n"/>
      <c r="SB90" s="207" t="n"/>
      <c r="SC90" s="207" t="n"/>
      <c r="SD90" s="207" t="n"/>
      <c r="SE90" s="207" t="n"/>
      <c r="SF90" s="207" t="n"/>
      <c r="SG90" s="207" t="n"/>
      <c r="SH90" s="207" t="n"/>
      <c r="SI90" s="207" t="n"/>
      <c r="SJ90" s="207" t="n"/>
      <c r="SK90" s="207" t="n"/>
      <c r="SL90" s="207" t="n"/>
      <c r="SM90" s="207" t="n"/>
      <c r="SN90" s="207" t="n"/>
      <c r="SO90" s="207" t="n"/>
      <c r="SP90" s="207" t="n"/>
      <c r="SQ90" s="207" t="n"/>
      <c r="SR90" s="207" t="n"/>
      <c r="SS90" s="207" t="n"/>
      <c r="ST90" s="207" t="n"/>
      <c r="SU90" s="207" t="n"/>
      <c r="SV90" s="207" t="n"/>
      <c r="SW90" s="207" t="n"/>
      <c r="SX90" s="207" t="n"/>
      <c r="SY90" s="207" t="n"/>
      <c r="SZ90" s="207" t="n"/>
      <c r="TA90" s="207" t="n"/>
      <c r="TB90" s="207" t="n"/>
      <c r="TC90" s="207" t="n"/>
      <c r="TD90" s="207" t="n"/>
      <c r="TE90" s="207" t="n"/>
      <c r="TF90" s="207" t="n"/>
      <c r="TG90" s="207" t="n"/>
      <c r="TH90" s="207" t="n"/>
      <c r="TI90" s="207" t="n"/>
      <c r="TJ90" s="207" t="n"/>
      <c r="TK90" s="207" t="n"/>
      <c r="TL90" s="207" t="n"/>
      <c r="TM90" s="207" t="n"/>
      <c r="TN90" s="207" t="n"/>
      <c r="TO90" s="207" t="n"/>
      <c r="TP90" s="207" t="n"/>
      <c r="TQ90" s="207" t="n"/>
      <c r="TR90" s="207" t="n"/>
      <c r="TS90" s="207" t="n"/>
      <c r="TT90" s="207" t="n"/>
      <c r="TU90" s="207" t="n"/>
      <c r="TV90" s="207" t="n"/>
      <c r="TW90" s="207" t="n"/>
      <c r="TX90" s="207" t="n"/>
      <c r="TY90" s="207" t="n"/>
      <c r="TZ90" s="207" t="n"/>
      <c r="UA90" s="207" t="n"/>
      <c r="UB90" s="207" t="n"/>
      <c r="UC90" s="207" t="n"/>
      <c r="UD90" s="207" t="n"/>
      <c r="UE90" s="207" t="n"/>
      <c r="UF90" s="207" t="n"/>
      <c r="UG90" s="207" t="n"/>
      <c r="UH90" s="207" t="n"/>
      <c r="UI90" s="207" t="n"/>
      <c r="UJ90" s="207" t="n"/>
      <c r="UK90" s="207" t="n"/>
      <c r="UL90" s="207" t="n"/>
      <c r="UM90" s="207" t="n"/>
      <c r="UN90" s="207" t="n"/>
      <c r="UO90" s="207" t="n"/>
      <c r="UP90" s="207" t="n"/>
      <c r="UQ90" s="207" t="n"/>
      <c r="UR90" s="207" t="n"/>
      <c r="US90" s="207" t="n"/>
      <c r="UT90" s="207" t="n"/>
      <c r="UU90" s="207" t="n"/>
      <c r="UV90" s="207" t="n"/>
      <c r="UW90" s="207" t="n"/>
      <c r="UX90" s="207" t="n"/>
      <c r="UY90" s="207" t="n"/>
      <c r="UZ90" s="207" t="n"/>
      <c r="VA90" s="207" t="n"/>
      <c r="VB90" s="207" t="n"/>
      <c r="VC90" s="207" t="n"/>
      <c r="VD90" s="207" t="n"/>
      <c r="VE90" s="207" t="n"/>
      <c r="VF90" s="207" t="n"/>
      <c r="VG90" s="207" t="n"/>
      <c r="VH90" s="207" t="n"/>
      <c r="VI90" s="207" t="n"/>
      <c r="VJ90" s="207" t="n"/>
      <c r="VK90" s="207" t="n"/>
      <c r="VL90" s="207" t="n"/>
      <c r="VM90" s="207" t="n"/>
      <c r="VN90" s="207" t="n"/>
      <c r="VO90" s="207" t="n"/>
      <c r="VP90" s="207" t="n"/>
      <c r="VQ90" s="207" t="n"/>
      <c r="VR90" s="207" t="n"/>
      <c r="VS90" s="207" t="n"/>
      <c r="VT90" s="207" t="n"/>
      <c r="VU90" s="207" t="n"/>
      <c r="VV90" s="207" t="n"/>
      <c r="VW90" s="207" t="n"/>
      <c r="VX90" s="207" t="n"/>
      <c r="VY90" s="207" t="n"/>
      <c r="VZ90" s="207" t="n"/>
      <c r="WA90" s="207" t="n"/>
      <c r="WB90" s="207" t="n"/>
      <c r="WC90" s="207" t="n"/>
      <c r="WD90" s="207" t="n"/>
      <c r="WE90" s="207" t="n"/>
      <c r="WF90" s="207" t="n"/>
      <c r="WG90" s="207" t="n"/>
      <c r="WH90" s="207" t="n"/>
      <c r="WI90" s="207" t="n"/>
      <c r="WJ90" s="207" t="n"/>
      <c r="WK90" s="207" t="n"/>
      <c r="WL90" s="207" t="n"/>
      <c r="WM90" s="207" t="n"/>
      <c r="WN90" s="207" t="n"/>
      <c r="WO90" s="207" t="n"/>
      <c r="WP90" s="207" t="n"/>
      <c r="WQ90" s="207" t="n"/>
      <c r="WR90" s="207" t="n"/>
      <c r="WS90" s="207" t="n"/>
      <c r="WT90" s="207" t="n"/>
      <c r="WU90" s="207" t="n"/>
      <c r="WV90" s="207" t="n"/>
      <c r="WW90" s="207" t="n"/>
      <c r="WX90" s="207" t="n"/>
      <c r="WY90" s="207" t="n"/>
      <c r="WZ90" s="207" t="n"/>
      <c r="XA90" s="207" t="n"/>
      <c r="XB90" s="207" t="n"/>
      <c r="XC90" s="207" t="n"/>
      <c r="XD90" s="207" t="n"/>
      <c r="XE90" s="207" t="n"/>
      <c r="XF90" s="207" t="n"/>
      <c r="XG90" s="207" t="n"/>
      <c r="XH90" s="207" t="n"/>
      <c r="XI90" s="207" t="n"/>
      <c r="XJ90" s="207" t="n"/>
      <c r="XK90" s="207" t="n"/>
      <c r="XL90" s="207" t="n"/>
      <c r="XM90" s="207" t="n"/>
      <c r="XN90" s="207" t="n"/>
      <c r="XO90" s="207" t="n"/>
      <c r="XP90" s="207" t="n"/>
      <c r="XQ90" s="207" t="n"/>
      <c r="XR90" s="207" t="n"/>
      <c r="XS90" s="207" t="n"/>
      <c r="XT90" s="207" t="n"/>
      <c r="XU90" s="207" t="n"/>
      <c r="XV90" s="207" t="n"/>
      <c r="XW90" s="207" t="n"/>
      <c r="XX90" s="207" t="n"/>
      <c r="XY90" s="207" t="n"/>
      <c r="XZ90" s="207" t="n"/>
      <c r="YA90" s="207" t="n"/>
      <c r="YB90" s="207" t="n"/>
      <c r="YC90" s="207" t="n"/>
      <c r="YD90" s="207" t="n"/>
      <c r="YE90" s="207" t="n"/>
      <c r="YF90" s="207" t="n"/>
      <c r="YG90" s="207" t="n"/>
      <c r="YH90" s="207" t="n"/>
      <c r="YI90" s="207" t="n"/>
      <c r="YJ90" s="207" t="n"/>
      <c r="YK90" s="207" t="n"/>
      <c r="YL90" s="207" t="n"/>
      <c r="YM90" s="207" t="n"/>
      <c r="YN90" s="207" t="n"/>
      <c r="YO90" s="207" t="n"/>
      <c r="YP90" s="207" t="n"/>
      <c r="YQ90" s="207" t="n"/>
      <c r="YR90" s="207" t="n"/>
      <c r="YS90" s="207" t="n"/>
      <c r="YT90" s="207" t="n"/>
      <c r="YU90" s="207" t="n"/>
      <c r="YV90" s="207" t="n"/>
      <c r="YW90" s="207" t="n"/>
      <c r="YX90" s="207" t="n"/>
      <c r="YY90" s="207" t="n"/>
      <c r="YZ90" s="207" t="n"/>
      <c r="ZA90" s="207" t="n"/>
      <c r="ZB90" s="207" t="n"/>
      <c r="ZC90" s="207" t="n"/>
      <c r="ZD90" s="207" t="n"/>
      <c r="ZE90" s="207" t="n"/>
      <c r="ZF90" s="207" t="n"/>
      <c r="ZG90" s="207" t="n"/>
      <c r="ZH90" s="207" t="n"/>
      <c r="ZI90" s="207" t="n"/>
      <c r="ZJ90" s="207" t="n"/>
      <c r="ZK90" s="207" t="n"/>
      <c r="ZL90" s="207" t="n"/>
      <c r="ZM90" s="207" t="n"/>
      <c r="ZN90" s="207" t="n"/>
      <c r="ZO90" s="207" t="n"/>
      <c r="ZP90" s="207" t="n"/>
      <c r="ZQ90" s="207" t="n"/>
      <c r="ZR90" s="207" t="n"/>
      <c r="ZS90" s="207" t="n"/>
      <c r="ZT90" s="207" t="n"/>
      <c r="ZU90" s="207" t="n"/>
      <c r="ZV90" s="207" t="n"/>
      <c r="ZW90" s="207" t="n"/>
      <c r="ZX90" s="207" t="n"/>
      <c r="ZY90" s="207" t="n"/>
      <c r="ZZ90" s="207" t="n"/>
      <c r="AAA90" s="207" t="n"/>
      <c r="AAB90" s="207" t="n"/>
      <c r="AAC90" s="207" t="n"/>
      <c r="AAD90" s="207" t="n"/>
      <c r="AAE90" s="207" t="n"/>
      <c r="AAF90" s="207" t="n"/>
      <c r="AAG90" s="207" t="n"/>
      <c r="AAH90" s="207" t="n"/>
      <c r="AAI90" s="207" t="n"/>
      <c r="AAJ90" s="207" t="n"/>
      <c r="AAK90" s="207" t="n"/>
      <c r="AAL90" s="207" t="n"/>
      <c r="AAM90" s="207" t="n"/>
      <c r="AAN90" s="207" t="n"/>
      <c r="AAO90" s="207" t="n"/>
      <c r="AAP90" s="207" t="n"/>
      <c r="AAQ90" s="207" t="n"/>
      <c r="AAR90" s="207" t="n"/>
      <c r="AAS90" s="207" t="n"/>
      <c r="AAT90" s="207" t="n"/>
      <c r="AAU90" s="207" t="n"/>
      <c r="AAV90" s="207" t="n"/>
      <c r="AAW90" s="207" t="n"/>
      <c r="AAX90" s="207" t="n"/>
      <c r="AAY90" s="207" t="n"/>
      <c r="AAZ90" s="207" t="n"/>
      <c r="ABA90" s="207" t="n"/>
      <c r="ABB90" s="207" t="n"/>
      <c r="ABC90" s="207" t="n"/>
      <c r="ABD90" s="207" t="n"/>
      <c r="ABE90" s="207" t="n"/>
      <c r="ABF90" s="207" t="n"/>
      <c r="ABG90" s="207" t="n"/>
      <c r="ABH90" s="207" t="n"/>
      <c r="ABI90" s="207" t="n"/>
      <c r="ABJ90" s="207" t="n"/>
      <c r="ABK90" s="207" t="n"/>
      <c r="ABL90" s="207" t="n"/>
      <c r="ABM90" s="207" t="n"/>
      <c r="ABN90" s="207" t="n"/>
      <c r="ABO90" s="207" t="n"/>
      <c r="ABP90" s="207" t="n"/>
      <c r="ABQ90" s="207" t="n"/>
      <c r="ABR90" s="207" t="n"/>
      <c r="ABS90" s="207" t="n"/>
      <c r="ABT90" s="207" t="n"/>
      <c r="ABU90" s="207" t="n"/>
      <c r="ABV90" s="207" t="n"/>
      <c r="ABW90" s="207" t="n"/>
      <c r="ABX90" s="207" t="n"/>
      <c r="ABY90" s="207" t="n"/>
      <c r="ABZ90" s="207" t="n"/>
      <c r="ACA90" s="207" t="n"/>
      <c r="ACB90" s="207" t="n"/>
      <c r="ACC90" s="207" t="n"/>
      <c r="ACD90" s="207" t="n"/>
      <c r="ACE90" s="207" t="n"/>
      <c r="ACF90" s="207" t="n"/>
      <c r="ACG90" s="207" t="n"/>
      <c r="ACH90" s="207" t="n"/>
      <c r="ACI90" s="207" t="n"/>
      <c r="ACJ90" s="207" t="n"/>
      <c r="ACK90" s="207" t="n"/>
      <c r="ACL90" s="207" t="n"/>
      <c r="ACM90" s="207" t="n"/>
      <c r="ACN90" s="207" t="n"/>
      <c r="ACO90" s="207" t="n"/>
      <c r="ACP90" s="207" t="n"/>
      <c r="ACQ90" s="207" t="n"/>
      <c r="ACR90" s="207" t="n"/>
      <c r="ACS90" s="207" t="n"/>
      <c r="ACT90" s="207" t="n"/>
      <c r="ACU90" s="207" t="n"/>
      <c r="ACV90" s="207" t="n"/>
      <c r="ACW90" s="207" t="n"/>
      <c r="ACX90" s="207" t="n"/>
      <c r="ACY90" s="207" t="n"/>
      <c r="ACZ90" s="207" t="n"/>
      <c r="ADA90" s="207" t="n"/>
      <c r="ADB90" s="207" t="n"/>
      <c r="ADC90" s="207" t="n"/>
      <c r="ADD90" s="207" t="n"/>
      <c r="ADE90" s="207" t="n"/>
      <c r="ADF90" s="207" t="n"/>
      <c r="ADG90" s="207" t="n"/>
      <c r="ADH90" s="207" t="n"/>
      <c r="ADI90" s="207" t="n"/>
      <c r="ADJ90" s="207" t="n"/>
      <c r="ADK90" s="207" t="n"/>
      <c r="ADL90" s="207" t="n"/>
      <c r="ADM90" s="207" t="n"/>
      <c r="ADN90" s="207" t="n"/>
      <c r="ADO90" s="207" t="n"/>
      <c r="ADP90" s="207" t="n"/>
      <c r="ADQ90" s="207" t="n"/>
      <c r="ADR90" s="207" t="n"/>
      <c r="ADS90" s="207" t="n"/>
      <c r="ADT90" s="207" t="n"/>
      <c r="ADU90" s="207" t="n"/>
      <c r="ADV90" s="207" t="n"/>
      <c r="ADW90" s="207" t="n"/>
      <c r="ADX90" s="207" t="n"/>
      <c r="ADY90" s="207" t="n"/>
      <c r="ADZ90" s="207" t="n"/>
      <c r="AEA90" s="207" t="n"/>
      <c r="AEB90" s="207" t="n"/>
      <c r="AEC90" s="207" t="n"/>
      <c r="AED90" s="207" t="n"/>
      <c r="AEE90" s="207" t="n"/>
      <c r="AEF90" s="207" t="n"/>
      <c r="AEG90" s="207" t="n"/>
      <c r="AEH90" s="207" t="n"/>
      <c r="AEI90" s="207" t="n"/>
      <c r="AEJ90" s="207" t="n"/>
      <c r="AEK90" s="207" t="n"/>
      <c r="AEL90" s="207" t="n"/>
      <c r="AEM90" s="207" t="n"/>
      <c r="AEN90" s="207" t="n"/>
      <c r="AEO90" s="207" t="n"/>
      <c r="AEP90" s="207" t="n"/>
      <c r="AEQ90" s="207" t="n"/>
      <c r="AER90" s="207" t="n"/>
      <c r="AES90" s="207" t="n"/>
      <c r="AET90" s="207" t="n"/>
      <c r="AEU90" s="207" t="n"/>
      <c r="AEV90" s="207" t="n"/>
      <c r="AEW90" s="207" t="n"/>
      <c r="AEX90" s="207" t="n"/>
      <c r="AEY90" s="207" t="n"/>
      <c r="AEZ90" s="207" t="n"/>
      <c r="AFA90" s="207" t="n"/>
      <c r="AFB90" s="207" t="n"/>
      <c r="AFC90" s="207" t="n"/>
      <c r="AFD90" s="207" t="n"/>
      <c r="AFE90" s="207" t="n"/>
      <c r="AFF90" s="207" t="n"/>
      <c r="AFG90" s="207" t="n"/>
      <c r="AFH90" s="207" t="n"/>
      <c r="AFI90" s="207" t="n"/>
      <c r="AFJ90" s="207" t="n"/>
      <c r="AFK90" s="207" t="n"/>
      <c r="AFL90" s="207" t="n"/>
      <c r="AFM90" s="207" t="n"/>
      <c r="AFN90" s="207" t="n"/>
      <c r="AFO90" s="207" t="n"/>
      <c r="AFP90" s="207" t="n"/>
      <c r="AFQ90" s="207" t="n"/>
      <c r="AFR90" s="207" t="n"/>
      <c r="AFS90" s="207" t="n"/>
      <c r="AFT90" s="207" t="n"/>
      <c r="AFU90" s="207" t="n"/>
      <c r="AFV90" s="207" t="n"/>
      <c r="AFW90" s="207" t="n"/>
      <c r="AFX90" s="207" t="n"/>
      <c r="AFY90" s="207" t="n"/>
      <c r="AFZ90" s="207" t="n"/>
      <c r="AGA90" s="207" t="n"/>
      <c r="AGB90" s="207" t="n"/>
      <c r="AGC90" s="207" t="n"/>
      <c r="AGD90" s="207" t="n"/>
      <c r="AGE90" s="207" t="n"/>
      <c r="AGF90" s="207" t="n"/>
      <c r="AGG90" s="207" t="n"/>
      <c r="AGH90" s="207" t="n"/>
      <c r="AGI90" s="207" t="n"/>
      <c r="AGJ90" s="207" t="n"/>
      <c r="AGK90" s="207" t="n"/>
      <c r="AGL90" s="207" t="n"/>
      <c r="AGM90" s="207" t="n"/>
      <c r="AGN90" s="207" t="n"/>
      <c r="AGO90" s="207" t="n"/>
      <c r="AGP90" s="207" t="n"/>
      <c r="AGQ90" s="207" t="n"/>
      <c r="AGR90" s="207" t="n"/>
      <c r="AGS90" s="207" t="n"/>
      <c r="AGT90" s="207" t="n"/>
      <c r="AGU90" s="207" t="n"/>
      <c r="AGV90" s="207" t="n"/>
      <c r="AGW90" s="207" t="n"/>
      <c r="AGX90" s="207" t="n"/>
      <c r="AGY90" s="207" t="n"/>
      <c r="AGZ90" s="207" t="n"/>
      <c r="AHA90" s="207" t="n"/>
      <c r="AHB90" s="207" t="n"/>
      <c r="AHC90" s="207" t="n"/>
      <c r="AHD90" s="207" t="n"/>
      <c r="AHE90" s="207" t="n"/>
      <c r="AHF90" s="207" t="n"/>
      <c r="AHG90" s="207" t="n"/>
      <c r="AHH90" s="207" t="n"/>
      <c r="AHI90" s="207" t="n"/>
      <c r="AHJ90" s="207" t="n"/>
      <c r="AHK90" s="207" t="n"/>
      <c r="AHL90" s="207" t="n"/>
      <c r="AHM90" s="207" t="n"/>
      <c r="AHN90" s="207" t="n"/>
      <c r="AHO90" s="207" t="n"/>
      <c r="AHP90" s="207" t="n"/>
      <c r="AHQ90" s="207" t="n"/>
      <c r="AHR90" s="207" t="n"/>
      <c r="AHS90" s="207" t="n"/>
      <c r="AHT90" s="207" t="n"/>
      <c r="AHU90" s="207" t="n"/>
      <c r="AHV90" s="207" t="n"/>
      <c r="AHW90" s="207" t="n"/>
      <c r="AHX90" s="207" t="n"/>
      <c r="AHY90" s="207" t="n"/>
      <c r="AHZ90" s="207" t="n"/>
      <c r="AIA90" s="207" t="n"/>
      <c r="AIB90" s="207" t="n"/>
      <c r="AIC90" s="207" t="n"/>
      <c r="AID90" s="207" t="n"/>
      <c r="AIE90" s="207" t="n"/>
      <c r="AIF90" s="207" t="n"/>
      <c r="AIG90" s="207" t="n"/>
      <c r="AIH90" s="207" t="n"/>
      <c r="AII90" s="207" t="n"/>
      <c r="AIJ90" s="207" t="n"/>
      <c r="AIK90" s="207" t="n"/>
      <c r="AIL90" s="207" t="n"/>
      <c r="AIM90" s="207" t="n"/>
      <c r="AIN90" s="207" t="n"/>
      <c r="AIO90" s="207" t="n"/>
      <c r="AIP90" s="207" t="n"/>
      <c r="AIQ90" s="207" t="n"/>
      <c r="AIR90" s="207" t="n"/>
      <c r="AIS90" s="207" t="n"/>
      <c r="AIT90" s="207" t="n"/>
      <c r="AIU90" s="207" t="n"/>
      <c r="AIV90" s="207" t="n"/>
      <c r="AIW90" s="207" t="n"/>
      <c r="AIX90" s="207" t="n"/>
      <c r="AIY90" s="207" t="n"/>
      <c r="AIZ90" s="207" t="n"/>
      <c r="AJA90" s="207" t="n"/>
      <c r="AJB90" s="207" t="n"/>
      <c r="AJC90" s="207" t="n"/>
      <c r="AJD90" s="207" t="n"/>
      <c r="AJE90" s="207" t="n"/>
      <c r="AJF90" s="207" t="n"/>
      <c r="AJG90" s="207" t="n"/>
      <c r="AJH90" s="207" t="n"/>
      <c r="AJI90" s="207" t="n"/>
      <c r="AJJ90" s="207" t="n"/>
      <c r="AJK90" s="207" t="n"/>
      <c r="AJL90" s="207" t="n"/>
      <c r="AJM90" s="207" t="n"/>
      <c r="AJN90" s="207" t="n"/>
      <c r="AJO90" s="207" t="n"/>
      <c r="AJP90" s="207" t="n"/>
      <c r="AJQ90" s="207" t="n"/>
      <c r="AJR90" s="207" t="n"/>
      <c r="AJS90" s="207" t="n"/>
      <c r="AJT90" s="207" t="n"/>
      <c r="AJU90" s="207" t="n"/>
      <c r="AJV90" s="207" t="n"/>
      <c r="AJW90" s="207" t="n"/>
      <c r="AJX90" s="207" t="n"/>
      <c r="AJY90" s="207" t="n"/>
      <c r="AJZ90" s="207" t="n"/>
      <c r="AKA90" s="207" t="n"/>
      <c r="AKB90" s="207" t="n"/>
      <c r="AKC90" s="207" t="n"/>
      <c r="AKD90" s="207" t="n"/>
      <c r="AKE90" s="207" t="n"/>
      <c r="AKF90" s="207" t="n"/>
      <c r="AKG90" s="207" t="n"/>
      <c r="AKH90" s="207" t="n"/>
      <c r="AKI90" s="207" t="n"/>
      <c r="AKJ90" s="207" t="n"/>
      <c r="AKK90" s="207" t="n"/>
      <c r="AKL90" s="207" t="n"/>
      <c r="AKM90" s="207" t="n"/>
      <c r="AKN90" s="207" t="n"/>
      <c r="AKO90" s="207" t="n"/>
      <c r="AKP90" s="207" t="n"/>
      <c r="AKQ90" s="207" t="n"/>
      <c r="AKR90" s="207" t="n"/>
      <c r="AKS90" s="207" t="n"/>
      <c r="AKT90" s="207" t="n"/>
      <c r="AKU90" s="207" t="n"/>
      <c r="AKV90" s="207" t="n"/>
      <c r="AKW90" s="207" t="n"/>
      <c r="AKX90" s="207" t="n"/>
      <c r="AKY90" s="207" t="n"/>
      <c r="AKZ90" s="207" t="n"/>
      <c r="ALA90" s="207" t="n"/>
      <c r="ALB90" s="207" t="n"/>
      <c r="ALC90" s="207" t="n"/>
      <c r="ALD90" s="207" t="n"/>
      <c r="ALE90" s="207" t="n"/>
      <c r="ALF90" s="207" t="n"/>
      <c r="ALG90" s="207" t="n"/>
      <c r="ALH90" s="207" t="n"/>
      <c r="ALI90" s="207" t="n"/>
      <c r="ALJ90" s="207" t="n"/>
      <c r="ALK90" s="207" t="n"/>
      <c r="ALL90" s="207" t="n"/>
      <c r="ALM90" s="207" t="n"/>
      <c r="ALN90" s="207" t="n"/>
      <c r="ALO90" s="207" t="n"/>
      <c r="ALP90" s="207" t="n"/>
      <c r="ALQ90" s="207" t="n"/>
      <c r="ALR90" s="207" t="n"/>
      <c r="ALS90" s="207" t="n"/>
      <c r="ALT90" s="207" t="n"/>
      <c r="ALU90" s="207" t="n"/>
      <c r="ALV90" s="207" t="n"/>
      <c r="ALW90" s="207" t="n"/>
      <c r="ALX90" s="207" t="n"/>
      <c r="ALY90" s="207" t="n"/>
      <c r="ALZ90" s="207" t="n"/>
      <c r="AMA90" s="207" t="n"/>
      <c r="AMB90" s="207" t="n"/>
      <c r="AMC90" s="207" t="n"/>
      <c r="AMD90" s="207" t="n"/>
      <c r="AME90" s="207" t="n"/>
      <c r="AMF90" s="207" t="n"/>
      <c r="AMG90" s="207" t="n"/>
      <c r="AMH90" s="207" t="n"/>
      <c r="AMI90" s="207" t="n"/>
      <c r="AMJ90" s="207" t="n"/>
      <c r="AMK90" s="207" t="n"/>
      <c r="AML90" s="207" t="n"/>
      <c r="AMM90" s="207" t="n"/>
      <c r="AMN90" s="207" t="n"/>
      <c r="AMO90" s="207" t="n"/>
      <c r="AMP90" s="207" t="n"/>
      <c r="AMQ90" s="207" t="n"/>
      <c r="AMR90" s="207" t="n"/>
      <c r="AMS90" s="207" t="n"/>
      <c r="AMT90" s="207" t="n"/>
      <c r="AMU90" s="207" t="n"/>
      <c r="AMV90" s="207" t="n"/>
      <c r="AMW90" s="207" t="n"/>
      <c r="AMX90" s="207" t="n"/>
      <c r="AMY90" s="207" t="n"/>
      <c r="AMZ90" s="207" t="n"/>
      <c r="ANA90" s="207" t="n"/>
      <c r="ANB90" s="207" t="n"/>
      <c r="ANC90" s="207" t="n"/>
      <c r="AND90" s="207" t="n"/>
      <c r="ANE90" s="207" t="n"/>
      <c r="ANF90" s="207" t="n"/>
      <c r="ANG90" s="207" t="n"/>
      <c r="ANH90" s="207" t="n"/>
      <c r="ANI90" s="207" t="n"/>
      <c r="ANJ90" s="207" t="n"/>
      <c r="ANK90" s="207" t="n"/>
      <c r="ANL90" s="207" t="n"/>
      <c r="ANM90" s="207" t="n"/>
      <c r="ANN90" s="207" t="n"/>
      <c r="ANO90" s="207" t="n"/>
      <c r="ANP90" s="207" t="n"/>
      <c r="ANQ90" s="207" t="n"/>
      <c r="ANR90" s="207" t="n"/>
      <c r="ANS90" s="207" t="n"/>
      <c r="ANT90" s="207" t="n"/>
      <c r="ANU90" s="207" t="n"/>
      <c r="ANV90" s="207" t="n"/>
      <c r="ANW90" s="207" t="n"/>
      <c r="ANX90" s="207" t="n"/>
      <c r="ANY90" s="207" t="n"/>
      <c r="ANZ90" s="207" t="n"/>
      <c r="AOA90" s="207" t="n"/>
      <c r="AOB90" s="207" t="n"/>
      <c r="AOC90" s="207" t="n"/>
      <c r="AOD90" s="207" t="n"/>
      <c r="AOE90" s="207" t="n"/>
      <c r="AOF90" s="207" t="n"/>
      <c r="AOG90" s="207" t="n"/>
      <c r="AOH90" s="207" t="n"/>
      <c r="AOI90" s="207" t="n"/>
      <c r="AOJ90" s="207" t="n"/>
      <c r="AOK90" s="207" t="n"/>
      <c r="AOL90" s="207" t="n"/>
      <c r="AOM90" s="207" t="n"/>
      <c r="AON90" s="207" t="n"/>
      <c r="AOO90" s="207" t="n"/>
      <c r="AOP90" s="207" t="n"/>
      <c r="AOQ90" s="207" t="n"/>
      <c r="AOR90" s="207" t="n"/>
      <c r="AOS90" s="207" t="n"/>
      <c r="AOT90" s="207" t="n"/>
      <c r="AOU90" s="207" t="n"/>
      <c r="AOV90" s="207" t="n"/>
      <c r="AOW90" s="207" t="n"/>
      <c r="AOX90" s="207" t="n"/>
      <c r="AOY90" s="207" t="n"/>
      <c r="AOZ90" s="207" t="n"/>
      <c r="APA90" s="207" t="n"/>
      <c r="APB90" s="207" t="n"/>
      <c r="APC90" s="207" t="n"/>
      <c r="APD90" s="207" t="n"/>
      <c r="APE90" s="207" t="n"/>
      <c r="APF90" s="207" t="n"/>
      <c r="APG90" s="207" t="n"/>
      <c r="APH90" s="207" t="n"/>
      <c r="API90" s="207" t="n"/>
      <c r="APJ90" s="207" t="n"/>
      <c r="APK90" s="207" t="n"/>
      <c r="APL90" s="207" t="n"/>
      <c r="APM90" s="207" t="n"/>
      <c r="APN90" s="207" t="n"/>
      <c r="APO90" s="207" t="n"/>
      <c r="APP90" s="207" t="n"/>
      <c r="APQ90" s="207" t="n"/>
      <c r="APR90" s="207" t="n"/>
      <c r="APS90" s="207" t="n"/>
      <c r="APT90" s="207" t="n"/>
      <c r="APU90" s="207" t="n"/>
      <c r="APV90" s="207" t="n"/>
      <c r="APW90" s="207" t="n"/>
      <c r="APX90" s="207" t="n"/>
      <c r="APY90" s="207" t="n"/>
      <c r="APZ90" s="207" t="n"/>
      <c r="AQA90" s="207" t="n"/>
      <c r="AQB90" s="207" t="n"/>
      <c r="AQC90" s="207" t="n"/>
      <c r="AQD90" s="207" t="n"/>
      <c r="AQE90" s="207" t="n"/>
      <c r="AQF90" s="207" t="n"/>
      <c r="AQG90" s="207" t="n"/>
      <c r="AQH90" s="207" t="n"/>
      <c r="AQI90" s="207" t="n"/>
      <c r="AQJ90" s="207" t="n"/>
      <c r="AQK90" s="207" t="n"/>
      <c r="AQL90" s="207" t="n"/>
      <c r="AQM90" s="207" t="n"/>
      <c r="AQN90" s="207" t="n"/>
      <c r="AQO90" s="207" t="n"/>
      <c r="AQP90" s="207" t="n"/>
      <c r="AQQ90" s="207" t="n"/>
      <c r="AQR90" s="207" t="n"/>
      <c r="AQS90" s="207" t="n"/>
      <c r="AQT90" s="207" t="n"/>
      <c r="AQU90" s="207" t="n"/>
      <c r="AQV90" s="207" t="n"/>
      <c r="AQW90" s="207" t="n"/>
      <c r="AQX90" s="207" t="n"/>
      <c r="AQY90" s="207" t="n"/>
      <c r="AQZ90" s="207" t="n"/>
      <c r="ARA90" s="207" t="n"/>
      <c r="ARB90" s="207" t="n"/>
      <c r="ARC90" s="207" t="n"/>
      <c r="ARD90" s="207" t="n"/>
      <c r="ARE90" s="207" t="n"/>
      <c r="ARF90" s="207" t="n"/>
      <c r="ARG90" s="207" t="n"/>
      <c r="ARH90" s="207" t="n"/>
      <c r="ARI90" s="207" t="n"/>
      <c r="ARJ90" s="207" t="n"/>
      <c r="ARK90" s="207" t="n"/>
      <c r="ARL90" s="207" t="n"/>
      <c r="ARM90" s="207" t="n"/>
      <c r="ARN90" s="207" t="n"/>
      <c r="ARO90" s="207" t="n"/>
      <c r="ARP90" s="207" t="n"/>
      <c r="ARQ90" s="207" t="n"/>
      <c r="ARR90" s="207" t="n"/>
      <c r="ARS90" s="207" t="n"/>
      <c r="ART90" s="207" t="n"/>
      <c r="ARU90" s="207" t="n"/>
      <c r="ARV90" s="207" t="n"/>
      <c r="ARW90" s="207" t="n"/>
      <c r="ARX90" s="207" t="n"/>
      <c r="ARY90" s="207" t="n"/>
      <c r="ARZ90" s="207" t="n"/>
      <c r="ASA90" s="207" t="n"/>
      <c r="ASB90" s="207" t="n"/>
      <c r="ASC90" s="207" t="n"/>
      <c r="ASD90" s="207" t="n"/>
      <c r="ASE90" s="207" t="n"/>
      <c r="ASF90" s="207" t="n"/>
      <c r="ASG90" s="207" t="n"/>
      <c r="ASH90" s="207" t="n"/>
      <c r="ASI90" s="207" t="n"/>
      <c r="ASJ90" s="207" t="n"/>
      <c r="ASK90" s="207" t="n"/>
      <c r="ASL90" s="207" t="n"/>
      <c r="ASM90" s="207" t="n"/>
      <c r="ASN90" s="207" t="n"/>
      <c r="ASO90" s="207" t="n"/>
      <c r="ASP90" s="207" t="n"/>
      <c r="ASQ90" s="207" t="n"/>
      <c r="ASR90" s="207" t="n"/>
      <c r="ASS90" s="207" t="n"/>
      <c r="AST90" s="207" t="n"/>
      <c r="ASU90" s="207" t="n"/>
      <c r="ASV90" s="207" t="n"/>
      <c r="ASW90" s="207" t="n"/>
      <c r="ASX90" s="207" t="n"/>
      <c r="ASY90" s="207" t="n"/>
      <c r="ASZ90" s="207" t="n"/>
      <c r="ATA90" s="207" t="n"/>
      <c r="ATB90" s="207" t="n"/>
      <c r="ATC90" s="207" t="n"/>
      <c r="ATD90" s="207" t="n"/>
      <c r="ATE90" s="207" t="n"/>
      <c r="ATF90" s="207" t="n"/>
      <c r="ATG90" s="207" t="n"/>
      <c r="ATH90" s="207" t="n"/>
      <c r="ATI90" s="207" t="n"/>
      <c r="ATJ90" s="207" t="n"/>
      <c r="ATK90" s="207" t="n"/>
      <c r="ATL90" s="207" t="n"/>
      <c r="ATM90" s="207" t="n"/>
      <c r="ATN90" s="207" t="n"/>
      <c r="ATO90" s="207" t="n"/>
      <c r="ATP90" s="207" t="n"/>
      <c r="ATQ90" s="207" t="n"/>
      <c r="ATR90" s="207" t="n"/>
      <c r="ATS90" s="207" t="n"/>
      <c r="ATT90" s="207" t="n"/>
      <c r="ATU90" s="207" t="n"/>
      <c r="ATV90" s="207" t="n"/>
      <c r="ATW90" s="207" t="n"/>
      <c r="ATX90" s="207" t="n"/>
      <c r="ATY90" s="207" t="n"/>
      <c r="ATZ90" s="207" t="n"/>
      <c r="AUA90" s="207" t="n"/>
      <c r="AUB90" s="207" t="n"/>
      <c r="AUC90" s="207" t="n"/>
      <c r="AUD90" s="207" t="n"/>
      <c r="AUE90" s="207" t="n"/>
      <c r="AUF90" s="207" t="n"/>
      <c r="AUG90" s="207" t="n"/>
      <c r="AUH90" s="207" t="n"/>
      <c r="AUI90" s="207" t="n"/>
      <c r="AUJ90" s="207" t="n"/>
      <c r="AUK90" s="207" t="n"/>
      <c r="AUL90" s="207" t="n"/>
      <c r="AUM90" s="207" t="n"/>
      <c r="AUN90" s="207" t="n"/>
      <c r="AUO90" s="207" t="n"/>
      <c r="AUP90" s="207" t="n"/>
      <c r="AUQ90" s="207" t="n"/>
      <c r="AUR90" s="207" t="n"/>
      <c r="AUS90" s="207" t="n"/>
      <c r="AUT90" s="207" t="n"/>
      <c r="AUU90" s="207" t="n"/>
      <c r="AUV90" s="207" t="n"/>
      <c r="AUW90" s="207" t="n"/>
      <c r="AUX90" s="207" t="n"/>
      <c r="AUY90" s="207" t="n"/>
      <c r="AUZ90" s="207" t="n"/>
      <c r="AVA90" s="207" t="n"/>
      <c r="AVB90" s="207" t="n"/>
      <c r="AVC90" s="207" t="n"/>
      <c r="AVD90" s="207" t="n"/>
      <c r="AVE90" s="207" t="n"/>
      <c r="AVF90" s="207" t="n"/>
      <c r="AVG90" s="207" t="n"/>
      <c r="AVH90" s="207" t="n"/>
      <c r="AVI90" s="207" t="n"/>
      <c r="AVJ90" s="207" t="n"/>
      <c r="AVK90" s="207" t="n"/>
      <c r="AVL90" s="207" t="n"/>
      <c r="AVM90" s="207" t="n"/>
      <c r="AVN90" s="207" t="n"/>
      <c r="AVO90" s="207" t="n"/>
      <c r="AVP90" s="207" t="n"/>
      <c r="AVQ90" s="207" t="n"/>
      <c r="AVR90" s="207" t="n"/>
      <c r="AVS90" s="207" t="n"/>
      <c r="AVT90" s="207" t="n"/>
      <c r="AVU90" s="207" t="n"/>
      <c r="AVV90" s="207" t="n"/>
      <c r="AVW90" s="207" t="n"/>
      <c r="AVX90" s="207" t="n"/>
      <c r="AVY90" s="207" t="n"/>
      <c r="AVZ90" s="207" t="n"/>
      <c r="AWA90" s="207" t="n"/>
      <c r="AWB90" s="207" t="n"/>
      <c r="AWC90" s="207" t="n"/>
      <c r="AWD90" s="207" t="n"/>
      <c r="AWE90" s="207" t="n"/>
      <c r="AWF90" s="207" t="n"/>
      <c r="AWG90" s="207" t="n"/>
      <c r="AWH90" s="207" t="n"/>
      <c r="AWI90" s="207" t="n"/>
      <c r="AWJ90" s="207" t="n"/>
      <c r="AWK90" s="207" t="n"/>
      <c r="AWL90" s="207" t="n"/>
      <c r="AWM90" s="207" t="n"/>
      <c r="AWN90" s="207" t="n"/>
      <c r="AWO90" s="207" t="n"/>
      <c r="AWP90" s="207" t="n"/>
      <c r="AWQ90" s="207" t="n"/>
      <c r="AWR90" s="207" t="n"/>
      <c r="AWS90" s="207" t="n"/>
      <c r="AWT90" s="207" t="n"/>
      <c r="AWU90" s="207" t="n"/>
      <c r="AWV90" s="207" t="n"/>
      <c r="AWW90" s="207" t="n"/>
      <c r="AWX90" s="207" t="n"/>
      <c r="AWY90" s="207" t="n"/>
      <c r="AWZ90" s="207" t="n"/>
      <c r="AXA90" s="207" t="n"/>
      <c r="AXB90" s="207" t="n"/>
      <c r="AXC90" s="207" t="n"/>
      <c r="AXD90" s="207" t="n"/>
      <c r="AXE90" s="207" t="n"/>
      <c r="AXF90" s="207" t="n"/>
      <c r="AXG90" s="207" t="n"/>
      <c r="AXH90" s="207" t="n"/>
      <c r="AXI90" s="207" t="n"/>
      <c r="AXJ90" s="207" t="n"/>
      <c r="AXK90" s="207" t="n"/>
      <c r="AXL90" s="207" t="n"/>
      <c r="AXM90" s="207" t="n"/>
      <c r="AXN90" s="207" t="n"/>
      <c r="AXO90" s="207" t="n"/>
      <c r="AXP90" s="207" t="n"/>
      <c r="AXQ90" s="207" t="n"/>
      <c r="AXR90" s="207" t="n"/>
      <c r="AXS90" s="207" t="n"/>
      <c r="AXT90" s="207" t="n"/>
      <c r="AXU90" s="207" t="n"/>
      <c r="AXV90" s="207" t="n"/>
      <c r="AXW90" s="207" t="n"/>
      <c r="AXX90" s="207" t="n"/>
      <c r="AXY90" s="207" t="n"/>
      <c r="AXZ90" s="207" t="n"/>
      <c r="AYA90" s="207" t="n"/>
      <c r="AYB90" s="207" t="n"/>
      <c r="AYC90" s="207" t="n"/>
      <c r="AYD90" s="207" t="n"/>
      <c r="AYE90" s="207" t="n"/>
      <c r="AYF90" s="207" t="n"/>
      <c r="AYG90" s="207" t="n"/>
      <c r="AYH90" s="207" t="n"/>
      <c r="AYI90" s="207" t="n"/>
      <c r="AYJ90" s="207" t="n"/>
      <c r="AYK90" s="207" t="n"/>
      <c r="AYL90" s="207" t="n"/>
      <c r="AYM90" s="207" t="n"/>
      <c r="AYN90" s="207" t="n"/>
      <c r="AYO90" s="207" t="n"/>
      <c r="AYP90" s="207" t="n"/>
      <c r="AYQ90" s="207" t="n"/>
      <c r="AYR90" s="207" t="n"/>
      <c r="AYS90" s="207" t="n"/>
      <c r="AYT90" s="207" t="n"/>
      <c r="AYU90" s="207" t="n"/>
      <c r="AYV90" s="207" t="n"/>
      <c r="AYW90" s="207" t="n"/>
      <c r="AYX90" s="207" t="n"/>
      <c r="AYY90" s="207" t="n"/>
      <c r="AYZ90" s="207" t="n"/>
      <c r="AZA90" s="207" t="n"/>
      <c r="AZB90" s="207" t="n"/>
      <c r="AZC90" s="207" t="n"/>
      <c r="AZD90" s="207" t="n"/>
      <c r="AZE90" s="207" t="n"/>
      <c r="AZF90" s="207" t="n"/>
      <c r="AZG90" s="207" t="n"/>
      <c r="AZH90" s="207" t="n"/>
      <c r="AZI90" s="207" t="n"/>
      <c r="AZJ90" s="207" t="n"/>
      <c r="AZK90" s="207" t="n"/>
      <c r="AZL90" s="207" t="n"/>
      <c r="AZM90" s="207" t="n"/>
      <c r="AZN90" s="207" t="n"/>
      <c r="AZO90" s="207" t="n"/>
      <c r="AZP90" s="207" t="n"/>
      <c r="AZQ90" s="207" t="n"/>
      <c r="AZR90" s="207" t="n"/>
      <c r="AZS90" s="207" t="n"/>
      <c r="AZT90" s="207" t="n"/>
      <c r="AZU90" s="207" t="n"/>
      <c r="AZV90" s="207" t="n"/>
      <c r="AZW90" s="207" t="n"/>
      <c r="AZX90" s="207" t="n"/>
      <c r="AZY90" s="207" t="n"/>
      <c r="AZZ90" s="207" t="n"/>
      <c r="BAA90" s="207" t="n"/>
      <c r="BAB90" s="207" t="n"/>
      <c r="BAC90" s="207" t="n"/>
      <c r="BAD90" s="207" t="n"/>
      <c r="BAE90" s="207" t="n"/>
      <c r="BAF90" s="207" t="n"/>
      <c r="BAG90" s="207" t="n"/>
      <c r="BAH90" s="207" t="n"/>
      <c r="BAI90" s="207" t="n"/>
      <c r="BAJ90" s="207" t="n"/>
      <c r="BAK90" s="207" t="n"/>
      <c r="BAL90" s="207" t="n"/>
      <c r="BAM90" s="207" t="n"/>
      <c r="BAN90" s="207" t="n"/>
      <c r="BAO90" s="207" t="n"/>
      <c r="BAP90" s="207" t="n"/>
      <c r="BAQ90" s="207" t="n"/>
      <c r="BAR90" s="207" t="n"/>
      <c r="BAS90" s="207" t="n"/>
      <c r="BAT90" s="207" t="n"/>
      <c r="BAU90" s="207" t="n"/>
      <c r="BAV90" s="207" t="n"/>
      <c r="BAW90" s="207" t="n"/>
      <c r="BAX90" s="207" t="n"/>
      <c r="BAY90" s="207" t="n"/>
      <c r="BAZ90" s="207" t="n"/>
      <c r="BBA90" s="207" t="n"/>
      <c r="BBB90" s="207" t="n"/>
      <c r="BBC90" s="207" t="n"/>
      <c r="BBD90" s="207" t="n"/>
      <c r="BBE90" s="207" t="n"/>
      <c r="BBF90" s="207" t="n"/>
      <c r="BBG90" s="207" t="n"/>
      <c r="BBH90" s="207" t="n"/>
      <c r="BBI90" s="207" t="n"/>
      <c r="BBJ90" s="207" t="n"/>
      <c r="BBK90" s="207" t="n"/>
      <c r="BBL90" s="207" t="n"/>
      <c r="BBM90" s="207" t="n"/>
      <c r="BBN90" s="207" t="n"/>
      <c r="BBO90" s="207" t="n"/>
      <c r="BBP90" s="207" t="n"/>
      <c r="BBQ90" s="207" t="n"/>
      <c r="BBR90" s="207" t="n"/>
      <c r="BBS90" s="207" t="n"/>
      <c r="BBT90" s="207" t="n"/>
      <c r="BBU90" s="207" t="n"/>
      <c r="BBV90" s="207" t="n"/>
      <c r="BBW90" s="207" t="n"/>
      <c r="BBX90" s="207" t="n"/>
      <c r="BBY90" s="207" t="n"/>
      <c r="BBZ90" s="207" t="n"/>
      <c r="BCA90" s="207" t="n"/>
      <c r="BCB90" s="207" t="n"/>
      <c r="BCC90" s="207" t="n"/>
      <c r="BCD90" s="207" t="n"/>
      <c r="BCE90" s="207" t="n"/>
      <c r="BCF90" s="207" t="n"/>
      <c r="BCG90" s="207" t="n"/>
      <c r="BCH90" s="207" t="n"/>
      <c r="BCI90" s="207" t="n"/>
      <c r="BCJ90" s="207" t="n"/>
      <c r="BCK90" s="207" t="n"/>
      <c r="BCL90" s="207" t="n"/>
      <c r="BCM90" s="207" t="n"/>
      <c r="BCN90" s="207" t="n"/>
      <c r="BCO90" s="207" t="n"/>
      <c r="BCP90" s="207" t="n"/>
      <c r="BCQ90" s="207" t="n"/>
      <c r="BCR90" s="207" t="n"/>
      <c r="BCS90" s="207" t="n"/>
      <c r="BCT90" s="207" t="n"/>
      <c r="BCU90" s="207" t="n"/>
      <c r="BCV90" s="207" t="n"/>
      <c r="BCW90" s="207" t="n"/>
      <c r="BCX90" s="207" t="n"/>
      <c r="BCY90" s="207" t="n"/>
      <c r="BCZ90" s="207" t="n"/>
      <c r="BDA90" s="207" t="n"/>
      <c r="BDB90" s="207" t="n"/>
      <c r="BDC90" s="207" t="n"/>
      <c r="BDD90" s="207" t="n"/>
      <c r="BDE90" s="207" t="n"/>
      <c r="BDF90" s="207" t="n"/>
      <c r="BDG90" s="207" t="n"/>
      <c r="BDH90" s="207" t="n"/>
      <c r="BDI90" s="207" t="n"/>
      <c r="BDJ90" s="207" t="n"/>
      <c r="BDK90" s="207" t="n"/>
      <c r="BDL90" s="207" t="n"/>
      <c r="BDM90" s="207" t="n"/>
      <c r="BDN90" s="207" t="n"/>
      <c r="BDO90" s="207" t="n"/>
      <c r="BDP90" s="207" t="n"/>
      <c r="BDQ90" s="207" t="n"/>
      <c r="BDR90" s="207" t="n"/>
      <c r="BDS90" s="207" t="n"/>
      <c r="BDT90" s="207" t="n"/>
      <c r="BDU90" s="207" t="n"/>
      <c r="BDV90" s="207" t="n"/>
      <c r="BDW90" s="207" t="n"/>
      <c r="BDX90" s="207" t="n"/>
      <c r="BDY90" s="207" t="n"/>
      <c r="BDZ90" s="207" t="n"/>
      <c r="BEA90" s="207" t="n"/>
      <c r="BEB90" s="207" t="n"/>
      <c r="BEC90" s="207" t="n"/>
      <c r="BED90" s="207" t="n"/>
      <c r="BEE90" s="207" t="n"/>
      <c r="BEF90" s="207" t="n"/>
      <c r="BEG90" s="207" t="n"/>
      <c r="BEH90" s="207" t="n"/>
      <c r="BEI90" s="207" t="n"/>
      <c r="BEJ90" s="207" t="n"/>
      <c r="BEK90" s="207" t="n"/>
      <c r="BEL90" s="207" t="n"/>
      <c r="BEM90" s="207" t="n"/>
      <c r="BEN90" s="207" t="n"/>
      <c r="BEO90" s="207" t="n"/>
      <c r="BEP90" s="207" t="n"/>
      <c r="BEQ90" s="207" t="n"/>
      <c r="BER90" s="207" t="n"/>
      <c r="BES90" s="207" t="n"/>
      <c r="BET90" s="207" t="n"/>
      <c r="BEU90" s="207" t="n"/>
      <c r="BEV90" s="207" t="n"/>
      <c r="BEW90" s="207" t="n"/>
      <c r="BEX90" s="207" t="n"/>
      <c r="BEY90" s="207" t="n"/>
      <c r="BEZ90" s="207" t="n"/>
      <c r="BFA90" s="207" t="n"/>
      <c r="BFB90" s="207" t="n"/>
      <c r="BFC90" s="207" t="n"/>
      <c r="BFD90" s="207" t="n"/>
      <c r="BFE90" s="207" t="n"/>
      <c r="BFF90" s="207" t="n"/>
      <c r="BFG90" s="207" t="n"/>
      <c r="BFH90" s="207" t="n"/>
      <c r="BFI90" s="207" t="n"/>
      <c r="BFJ90" s="207" t="n"/>
      <c r="BFK90" s="207" t="n"/>
      <c r="BFL90" s="207" t="n"/>
      <c r="BFM90" s="207" t="n"/>
      <c r="BFN90" s="207" t="n"/>
      <c r="BFO90" s="207" t="n"/>
      <c r="BFP90" s="207" t="n"/>
      <c r="BFQ90" s="207" t="n"/>
      <c r="BFR90" s="207" t="n"/>
      <c r="BFS90" s="207" t="n"/>
      <c r="BFT90" s="207" t="n"/>
      <c r="BFU90" s="207" t="n"/>
      <c r="BFV90" s="207" t="n"/>
      <c r="BFW90" s="207" t="n"/>
      <c r="BFX90" s="207" t="n"/>
      <c r="BFY90" s="207" t="n"/>
      <c r="BFZ90" s="207" t="n"/>
      <c r="BGA90" s="207" t="n"/>
      <c r="BGB90" s="207" t="n"/>
      <c r="BGC90" s="207" t="n"/>
      <c r="BGD90" s="207" t="n"/>
      <c r="BGE90" s="207" t="n"/>
      <c r="BGF90" s="207" t="n"/>
      <c r="BGG90" s="207" t="n"/>
      <c r="BGH90" s="207" t="n"/>
      <c r="BGI90" s="207" t="n"/>
      <c r="BGJ90" s="207" t="n"/>
      <c r="BGK90" s="207" t="n"/>
      <c r="BGL90" s="207" t="n"/>
      <c r="BGM90" s="207" t="n"/>
      <c r="BGN90" s="207" t="n"/>
      <c r="BGO90" s="207" t="n"/>
      <c r="BGP90" s="207" t="n"/>
      <c r="BGQ90" s="207" t="n"/>
      <c r="BGR90" s="207" t="n"/>
      <c r="BGS90" s="207" t="n"/>
      <c r="BGT90" s="207" t="n"/>
      <c r="BGU90" s="207" t="n"/>
      <c r="BGV90" s="207" t="n"/>
      <c r="BGW90" s="207" t="n"/>
      <c r="BGX90" s="207" t="n"/>
      <c r="BGY90" s="207" t="n"/>
      <c r="BGZ90" s="207" t="n"/>
      <c r="BHA90" s="207" t="n"/>
      <c r="BHB90" s="207" t="n"/>
      <c r="BHC90" s="207" t="n"/>
      <c r="BHD90" s="207" t="n"/>
      <c r="BHE90" s="207" t="n"/>
      <c r="BHF90" s="207" t="n"/>
      <c r="BHG90" s="207" t="n"/>
      <c r="BHH90" s="207" t="n"/>
      <c r="BHI90" s="207" t="n"/>
      <c r="BHJ90" s="207" t="n"/>
      <c r="BHK90" s="207" t="n"/>
      <c r="BHL90" s="207" t="n"/>
      <c r="BHM90" s="207" t="n"/>
      <c r="BHN90" s="207" t="n"/>
      <c r="BHO90" s="207" t="n"/>
      <c r="BHP90" s="207" t="n"/>
      <c r="BHQ90" s="207" t="n"/>
      <c r="BHR90" s="207" t="n"/>
      <c r="BHS90" s="207" t="n"/>
      <c r="BHT90" s="207" t="n"/>
      <c r="BHU90" s="207" t="n"/>
      <c r="BHV90" s="207" t="n"/>
      <c r="BHW90" s="207" t="n"/>
      <c r="BHX90" s="207" t="n"/>
      <c r="BHY90" s="207" t="n"/>
      <c r="BHZ90" s="207" t="n"/>
      <c r="BIA90" s="207" t="n"/>
      <c r="BIB90" s="207" t="n"/>
      <c r="BIC90" s="207" t="n"/>
      <c r="BID90" s="207" t="n"/>
      <c r="BIE90" s="207" t="n"/>
      <c r="BIF90" s="207" t="n"/>
      <c r="BIG90" s="207" t="n"/>
      <c r="BIH90" s="207" t="n"/>
      <c r="BII90" s="207" t="n"/>
      <c r="BIJ90" s="207" t="n"/>
      <c r="BIK90" s="207" t="n"/>
      <c r="BIL90" s="207" t="n"/>
      <c r="BIM90" s="207" t="n"/>
      <c r="BIN90" s="207" t="n"/>
      <c r="BIO90" s="207" t="n"/>
      <c r="BIP90" s="207" t="n"/>
      <c r="BIQ90" s="207" t="n"/>
      <c r="BIR90" s="207" t="n"/>
      <c r="BIS90" s="207" t="n"/>
      <c r="BIT90" s="207" t="n"/>
      <c r="BIU90" s="207" t="n"/>
      <c r="BIV90" s="207" t="n"/>
      <c r="BIW90" s="207" t="n"/>
      <c r="BIX90" s="207" t="n"/>
      <c r="BIY90" s="207" t="n"/>
      <c r="BIZ90" s="207" t="n"/>
      <c r="BJA90" s="207" t="n"/>
      <c r="BJB90" s="207" t="n"/>
      <c r="BJC90" s="207" t="n"/>
      <c r="BJD90" s="207" t="n"/>
      <c r="BJE90" s="207" t="n"/>
      <c r="BJF90" s="207" t="n"/>
      <c r="BJG90" s="207" t="n"/>
      <c r="BJH90" s="207" t="n"/>
      <c r="BJI90" s="207" t="n"/>
      <c r="BJJ90" s="207" t="n"/>
      <c r="BJK90" s="207" t="n"/>
      <c r="BJL90" s="207" t="n"/>
      <c r="BJM90" s="207" t="n"/>
      <c r="BJN90" s="207" t="n"/>
      <c r="BJO90" s="207" t="n"/>
      <c r="BJP90" s="207" t="n"/>
      <c r="BJQ90" s="207" t="n"/>
      <c r="BJR90" s="207" t="n"/>
      <c r="BJS90" s="207" t="n"/>
      <c r="BJT90" s="207" t="n"/>
      <c r="BJU90" s="207" t="n"/>
      <c r="BJV90" s="207" t="n"/>
      <c r="BJW90" s="207" t="n"/>
      <c r="BJX90" s="207" t="n"/>
      <c r="BJY90" s="207" t="n"/>
      <c r="BJZ90" s="207" t="n"/>
      <c r="BKA90" s="207" t="n"/>
      <c r="BKB90" s="207" t="n"/>
      <c r="BKC90" s="207" t="n"/>
      <c r="BKD90" s="207" t="n"/>
      <c r="BKE90" s="207" t="n"/>
      <c r="BKF90" s="207" t="n"/>
      <c r="BKG90" s="207" t="n"/>
      <c r="BKH90" s="207" t="n"/>
      <c r="BKI90" s="207" t="n"/>
      <c r="BKJ90" s="207" t="n"/>
      <c r="BKK90" s="207" t="n"/>
      <c r="BKL90" s="207" t="n"/>
      <c r="BKM90" s="207" t="n"/>
      <c r="BKN90" s="207" t="n"/>
      <c r="BKO90" s="207" t="n"/>
      <c r="BKP90" s="207" t="n"/>
      <c r="BKQ90" s="207" t="n"/>
      <c r="BKR90" s="207" t="n"/>
      <c r="BKS90" s="207" t="n"/>
      <c r="BKT90" s="207" t="n"/>
      <c r="BKU90" s="207" t="n"/>
      <c r="BKV90" s="207" t="n"/>
      <c r="BKW90" s="207" t="n"/>
      <c r="BKX90" s="207" t="n"/>
      <c r="BKY90" s="207" t="n"/>
      <c r="BKZ90" s="207" t="n"/>
      <c r="BLA90" s="207" t="n"/>
      <c r="BLB90" s="207" t="n"/>
      <c r="BLC90" s="207" t="n"/>
      <c r="BLD90" s="207" t="n"/>
      <c r="BLE90" s="207" t="n"/>
      <c r="BLF90" s="207" t="n"/>
      <c r="BLG90" s="207" t="n"/>
      <c r="BLH90" s="207" t="n"/>
      <c r="BLI90" s="207" t="n"/>
      <c r="BLJ90" s="207" t="n"/>
      <c r="BLK90" s="207" t="n"/>
      <c r="BLL90" s="207" t="n"/>
      <c r="BLM90" s="207" t="n"/>
      <c r="BLN90" s="207" t="n"/>
      <c r="BLO90" s="207" t="n"/>
      <c r="BLP90" s="207" t="n"/>
      <c r="BLQ90" s="207" t="n"/>
      <c r="BLR90" s="207" t="n"/>
      <c r="BLS90" s="207" t="n"/>
      <c r="BLT90" s="207" t="n"/>
      <c r="BLU90" s="207" t="n"/>
      <c r="BLV90" s="207" t="n"/>
      <c r="BLW90" s="207" t="n"/>
      <c r="BLX90" s="207" t="n"/>
      <c r="BLY90" s="207" t="n"/>
      <c r="BLZ90" s="207" t="n"/>
      <c r="BMA90" s="207" t="n"/>
      <c r="BMB90" s="207" t="n"/>
      <c r="BMC90" s="207" t="n"/>
      <c r="BMD90" s="207" t="n"/>
      <c r="BME90" s="207" t="n"/>
      <c r="BMF90" s="207" t="n"/>
      <c r="BMG90" s="207" t="n"/>
      <c r="BMH90" s="207" t="n"/>
      <c r="BMI90" s="207" t="n"/>
      <c r="BMJ90" s="207" t="n"/>
      <c r="BMK90" s="207" t="n"/>
      <c r="BML90" s="207" t="n"/>
      <c r="BMM90" s="207" t="n"/>
      <c r="BMN90" s="207" t="n"/>
      <c r="BMO90" s="207" t="n"/>
      <c r="BMP90" s="207" t="n"/>
      <c r="BMQ90" s="207" t="n"/>
      <c r="BMR90" s="207" t="n"/>
      <c r="BMS90" s="207" t="n"/>
      <c r="BMT90" s="207" t="n"/>
      <c r="BMU90" s="207" t="n"/>
      <c r="BMV90" s="207" t="n"/>
      <c r="BMW90" s="207" t="n"/>
      <c r="BMX90" s="207" t="n"/>
      <c r="BMY90" s="207" t="n"/>
      <c r="BMZ90" s="207" t="n"/>
      <c r="BNA90" s="207" t="n"/>
      <c r="BNB90" s="207" t="n"/>
      <c r="BNC90" s="207" t="n"/>
      <c r="BND90" s="207" t="n"/>
      <c r="BNE90" s="207" t="n"/>
      <c r="BNF90" s="207" t="n"/>
      <c r="BNG90" s="207" t="n"/>
      <c r="BNH90" s="207" t="n"/>
      <c r="BNI90" s="207" t="n"/>
      <c r="BNJ90" s="207" t="n"/>
      <c r="BNK90" s="207" t="n"/>
      <c r="BNL90" s="207" t="n"/>
      <c r="BNM90" s="207" t="n"/>
      <c r="BNN90" s="207" t="n"/>
      <c r="BNO90" s="207" t="n"/>
      <c r="BNP90" s="207" t="n"/>
      <c r="BNQ90" s="207" t="n"/>
      <c r="BNR90" s="207" t="n"/>
      <c r="BNS90" s="207" t="n"/>
      <c r="BNT90" s="207" t="n"/>
      <c r="BNU90" s="207" t="n"/>
      <c r="BNV90" s="207" t="n"/>
      <c r="BNW90" s="207" t="n"/>
      <c r="BNX90" s="207" t="n"/>
      <c r="BNY90" s="207" t="n"/>
      <c r="BNZ90" s="207" t="n"/>
      <c r="BOA90" s="207" t="n"/>
      <c r="BOB90" s="207" t="n"/>
      <c r="BOC90" s="207" t="n"/>
      <c r="BOD90" s="207" t="n"/>
      <c r="BOE90" s="207" t="n"/>
      <c r="BOF90" s="207" t="n"/>
      <c r="BOG90" s="207" t="n"/>
      <c r="BOH90" s="207" t="n"/>
      <c r="BOI90" s="207" t="n"/>
      <c r="BOJ90" s="207" t="n"/>
      <c r="BOK90" s="207" t="n"/>
      <c r="BOL90" s="207" t="n"/>
      <c r="BOM90" s="207" t="n"/>
      <c r="BON90" s="207" t="n"/>
      <c r="BOO90" s="207" t="n"/>
      <c r="BOP90" s="207" t="n"/>
      <c r="BOQ90" s="207" t="n"/>
      <c r="BOR90" s="207" t="n"/>
      <c r="BOS90" s="207" t="n"/>
      <c r="BOT90" s="207" t="n"/>
      <c r="BOU90" s="207" t="n"/>
      <c r="BOV90" s="207" t="n"/>
      <c r="BOW90" s="207" t="n"/>
      <c r="BOX90" s="207" t="n"/>
      <c r="BOY90" s="207" t="n"/>
      <c r="BOZ90" s="207" t="n"/>
      <c r="BPA90" s="207" t="n"/>
      <c r="BPB90" s="207" t="n"/>
      <c r="BPC90" s="207" t="n"/>
      <c r="BPD90" s="207" t="n"/>
      <c r="BPE90" s="207" t="n"/>
      <c r="BPF90" s="207" t="n"/>
      <c r="BPG90" s="207" t="n"/>
      <c r="BPH90" s="207" t="n"/>
      <c r="BPI90" s="207" t="n"/>
      <c r="BPJ90" s="207" t="n"/>
      <c r="BPK90" s="207" t="n"/>
      <c r="BPL90" s="207" t="n"/>
      <c r="BPM90" s="207" t="n"/>
      <c r="BPN90" s="207" t="n"/>
      <c r="BPO90" s="207" t="n"/>
      <c r="BPP90" s="207" t="n"/>
      <c r="BPQ90" s="207" t="n"/>
      <c r="BPR90" s="207" t="n"/>
      <c r="BPS90" s="207" t="n"/>
      <c r="BPT90" s="207" t="n"/>
      <c r="BPU90" s="207" t="n"/>
      <c r="BPV90" s="207" t="n"/>
      <c r="BPW90" s="207" t="n"/>
      <c r="BPX90" s="207" t="n"/>
      <c r="BPY90" s="207" t="n"/>
      <c r="BPZ90" s="207" t="n"/>
      <c r="BQA90" s="207" t="n"/>
      <c r="BQB90" s="207" t="n"/>
      <c r="BQC90" s="207" t="n"/>
      <c r="BQD90" s="207" t="n"/>
      <c r="BQE90" s="207" t="n"/>
      <c r="BQF90" s="207" t="n"/>
      <c r="BQG90" s="207" t="n"/>
      <c r="BQH90" s="207" t="n"/>
      <c r="BQI90" s="207" t="n"/>
      <c r="BQJ90" s="207" t="n"/>
      <c r="BQK90" s="207" t="n"/>
      <c r="BQL90" s="207" t="n"/>
      <c r="BQM90" s="207" t="n"/>
      <c r="BQN90" s="207" t="n"/>
      <c r="BQO90" s="207" t="n"/>
      <c r="BQP90" s="207" t="n"/>
      <c r="BQQ90" s="207" t="n"/>
      <c r="BQR90" s="207" t="n"/>
      <c r="BQS90" s="207" t="n"/>
      <c r="BQT90" s="207" t="n"/>
      <c r="BQU90" s="207" t="n"/>
      <c r="BQV90" s="207" t="n"/>
      <c r="BQW90" s="207" t="n"/>
      <c r="BQX90" s="207" t="n"/>
      <c r="BQY90" s="207" t="n"/>
      <c r="BQZ90" s="207" t="n"/>
      <c r="BRA90" s="207" t="n"/>
      <c r="BRB90" s="207" t="n"/>
      <c r="BRC90" s="207" t="n"/>
      <c r="BRD90" s="207" t="n"/>
      <c r="BRE90" s="207" t="n"/>
      <c r="BRF90" s="207" t="n"/>
      <c r="BRG90" s="207" t="n"/>
      <c r="BRH90" s="207" t="n"/>
      <c r="BRI90" s="207" t="n"/>
      <c r="BRJ90" s="207" t="n"/>
      <c r="BRK90" s="207" t="n"/>
      <c r="BRL90" s="207" t="n"/>
      <c r="BRM90" s="207" t="n"/>
      <c r="BRN90" s="207" t="n"/>
      <c r="BRO90" s="207" t="n"/>
      <c r="BRP90" s="207" t="n"/>
      <c r="BRQ90" s="207" t="n"/>
      <c r="BRR90" s="207" t="n"/>
      <c r="BRS90" s="207" t="n"/>
      <c r="BRT90" s="207" t="n"/>
      <c r="BRU90" s="207" t="n"/>
      <c r="BRV90" s="207" t="n"/>
      <c r="BRW90" s="207" t="n"/>
      <c r="BRX90" s="207" t="n"/>
      <c r="BRY90" s="207" t="n"/>
      <c r="BRZ90" s="207" t="n"/>
      <c r="BSA90" s="207" t="n"/>
      <c r="BSB90" s="207" t="n"/>
      <c r="BSC90" s="207" t="n"/>
      <c r="BSD90" s="207" t="n"/>
      <c r="BSE90" s="207" t="n"/>
      <c r="BSF90" s="207" t="n"/>
      <c r="BSG90" s="207" t="n"/>
      <c r="BSH90" s="207" t="n"/>
      <c r="BSI90" s="207" t="n"/>
      <c r="BSJ90" s="207" t="n"/>
      <c r="BSK90" s="207" t="n"/>
      <c r="BSL90" s="207" t="n"/>
      <c r="BSM90" s="207" t="n"/>
      <c r="BSN90" s="207" t="n"/>
      <c r="BSO90" s="207" t="n"/>
      <c r="BSP90" s="207" t="n"/>
      <c r="BSQ90" s="207" t="n"/>
      <c r="BSR90" s="207" t="n"/>
      <c r="BSS90" s="207" t="n"/>
      <c r="BST90" s="207" t="n"/>
      <c r="BSU90" s="207" t="n"/>
      <c r="BSV90" s="207" t="n"/>
      <c r="BSW90" s="207" t="n"/>
      <c r="BSX90" s="207" t="n"/>
      <c r="BSY90" s="207" t="n"/>
      <c r="BSZ90" s="207" t="n"/>
      <c r="BTA90" s="207" t="n"/>
      <c r="BTB90" s="207" t="n"/>
      <c r="BTC90" s="207" t="n"/>
      <c r="BTD90" s="207" t="n"/>
      <c r="BTE90" s="207" t="n"/>
      <c r="BTF90" s="207" t="n"/>
      <c r="BTG90" s="207" t="n"/>
      <c r="BTH90" s="207" t="n"/>
      <c r="BTI90" s="207" t="n"/>
      <c r="BTJ90" s="207" t="n"/>
      <c r="BTK90" s="207" t="n"/>
      <c r="BTL90" s="207" t="n"/>
      <c r="BTM90" s="207" t="n"/>
      <c r="BTN90" s="207" t="n"/>
      <c r="BTO90" s="207" t="n"/>
      <c r="BTP90" s="207" t="n"/>
      <c r="BTQ90" s="207" t="n"/>
      <c r="BTR90" s="207" t="n"/>
      <c r="BTS90" s="207" t="n"/>
      <c r="BTT90" s="207" t="n"/>
      <c r="BTU90" s="207" t="n"/>
      <c r="BTV90" s="207" t="n"/>
      <c r="BTW90" s="207" t="n"/>
      <c r="BTX90" s="207" t="n"/>
      <c r="BTY90" s="207" t="n"/>
      <c r="BTZ90" s="207" t="n"/>
      <c r="BUA90" s="207" t="n"/>
      <c r="BUB90" s="207" t="n"/>
      <c r="BUC90" s="207" t="n"/>
      <c r="BUD90" s="207" t="n"/>
      <c r="BUE90" s="207" t="n"/>
      <c r="BUF90" s="207" t="n"/>
      <c r="BUG90" s="207" t="n"/>
      <c r="BUH90" s="207" t="n"/>
      <c r="BUI90" s="207" t="n"/>
      <c r="BUJ90" s="207" t="n"/>
      <c r="BUK90" s="207" t="n"/>
      <c r="BUL90" s="207" t="n"/>
      <c r="BUM90" s="207" t="n"/>
      <c r="BUN90" s="207" t="n"/>
      <c r="BUO90" s="207" t="n"/>
      <c r="BUP90" s="207" t="n"/>
      <c r="BUQ90" s="207" t="n"/>
      <c r="BUR90" s="207" t="n"/>
      <c r="BUS90" s="207" t="n"/>
      <c r="BUT90" s="207" t="n"/>
      <c r="BUU90" s="207" t="n"/>
      <c r="BUV90" s="207" t="n"/>
      <c r="BUW90" s="207" t="n"/>
      <c r="BUX90" s="207" t="n"/>
      <c r="BUY90" s="207" t="n"/>
      <c r="BUZ90" s="207" t="n"/>
      <c r="BVA90" s="207" t="n"/>
      <c r="BVB90" s="207" t="n"/>
      <c r="BVC90" s="207" t="n"/>
      <c r="BVD90" s="207" t="n"/>
      <c r="BVE90" s="207" t="n"/>
      <c r="BVF90" s="207" t="n"/>
      <c r="BVG90" s="207" t="n"/>
      <c r="BVH90" s="207" t="n"/>
      <c r="BVI90" s="207" t="n"/>
      <c r="BVJ90" s="207" t="n"/>
      <c r="BVK90" s="207" t="n"/>
      <c r="BVL90" s="207" t="n"/>
      <c r="BVM90" s="207" t="n"/>
      <c r="BVN90" s="207" t="n"/>
      <c r="BVO90" s="207" t="n"/>
      <c r="BVP90" s="207" t="n"/>
      <c r="BVQ90" s="207" t="n"/>
      <c r="BVR90" s="207" t="n"/>
      <c r="BVS90" s="207" t="n"/>
      <c r="BVT90" s="207" t="n"/>
      <c r="BVU90" s="207" t="n"/>
      <c r="BVV90" s="207" t="n"/>
      <c r="BVW90" s="207" t="n"/>
      <c r="BVX90" s="207" t="n"/>
      <c r="BVY90" s="207" t="n"/>
      <c r="BVZ90" s="207" t="n"/>
      <c r="BWA90" s="207" t="n"/>
      <c r="BWB90" s="207" t="n"/>
      <c r="BWC90" s="207" t="n"/>
      <c r="BWD90" s="207" t="n"/>
      <c r="BWE90" s="207" t="n"/>
      <c r="BWF90" s="207" t="n"/>
      <c r="BWG90" s="207" t="n"/>
      <c r="BWH90" s="207" t="n"/>
      <c r="BWI90" s="207" t="n"/>
      <c r="BWJ90" s="207" t="n"/>
      <c r="BWK90" s="207" t="n"/>
      <c r="BWL90" s="207" t="n"/>
      <c r="BWM90" s="207" t="n"/>
      <c r="BWN90" s="207" t="n"/>
      <c r="BWO90" s="207" t="n"/>
      <c r="BWP90" s="207" t="n"/>
      <c r="BWQ90" s="207" t="n"/>
      <c r="BWR90" s="207" t="n"/>
      <c r="BWS90" s="207" t="n"/>
      <c r="BWT90" s="207" t="n"/>
      <c r="BWU90" s="207" t="n"/>
      <c r="BWV90" s="207" t="n"/>
      <c r="BWW90" s="207" t="n"/>
      <c r="BWX90" s="207" t="n"/>
      <c r="BWY90" s="207" t="n"/>
      <c r="BWZ90" s="207" t="n"/>
      <c r="BXA90" s="207" t="n"/>
      <c r="BXB90" s="207" t="n"/>
      <c r="BXC90" s="207" t="n"/>
      <c r="BXD90" s="207" t="n"/>
      <c r="BXE90" s="207" t="n"/>
      <c r="BXF90" s="207" t="n"/>
      <c r="BXG90" s="207" t="n"/>
      <c r="BXH90" s="207" t="n"/>
      <c r="BXI90" s="207" t="n"/>
      <c r="BXJ90" s="207" t="n"/>
      <c r="BXK90" s="207" t="n"/>
      <c r="BXL90" s="207" t="n"/>
      <c r="BXM90" s="207" t="n"/>
      <c r="BXN90" s="207" t="n"/>
      <c r="BXO90" s="207" t="n"/>
      <c r="BXP90" s="207" t="n"/>
      <c r="BXQ90" s="207" t="n"/>
      <c r="BXR90" s="207" t="n"/>
      <c r="BXS90" s="207" t="n"/>
      <c r="BXT90" s="207" t="n"/>
      <c r="BXU90" s="207" t="n"/>
      <c r="BXV90" s="207" t="n"/>
      <c r="BXW90" s="207" t="n"/>
      <c r="BXX90" s="207" t="n"/>
      <c r="BXY90" s="207" t="n"/>
      <c r="BXZ90" s="207" t="n"/>
      <c r="BYA90" s="207" t="n"/>
      <c r="BYB90" s="207" t="n"/>
      <c r="BYC90" s="207" t="n"/>
      <c r="BYD90" s="207" t="n"/>
      <c r="BYE90" s="207" t="n"/>
      <c r="BYF90" s="207" t="n"/>
      <c r="BYG90" s="207" t="n"/>
      <c r="BYH90" s="207" t="n"/>
      <c r="BYI90" s="207" t="n"/>
      <c r="BYJ90" s="207" t="n"/>
      <c r="BYK90" s="207" t="n"/>
      <c r="BYL90" s="207" t="n"/>
      <c r="BYM90" s="207" t="n"/>
      <c r="BYN90" s="207" t="n"/>
      <c r="BYO90" s="207" t="n"/>
      <c r="BYP90" s="207" t="n"/>
      <c r="BYQ90" s="207" t="n"/>
      <c r="BYR90" s="207" t="n"/>
      <c r="BYS90" s="207" t="n"/>
      <c r="BYT90" s="207" t="n"/>
      <c r="BYU90" s="207" t="n"/>
      <c r="BYV90" s="207" t="n"/>
      <c r="BYW90" s="207" t="n"/>
      <c r="BYX90" s="207" t="n"/>
      <c r="BYY90" s="207" t="n"/>
      <c r="BYZ90" s="207" t="n"/>
      <c r="BZA90" s="207" t="n"/>
      <c r="BZB90" s="207" t="n"/>
      <c r="BZC90" s="207" t="n"/>
      <c r="BZD90" s="207" t="n"/>
      <c r="BZE90" s="207" t="n"/>
      <c r="BZF90" s="207" t="n"/>
      <c r="BZG90" s="207" t="n"/>
      <c r="BZH90" s="207" t="n"/>
      <c r="BZI90" s="207" t="n"/>
      <c r="BZJ90" s="207" t="n"/>
      <c r="BZK90" s="207" t="n"/>
      <c r="BZL90" s="207" t="n"/>
      <c r="BZM90" s="207" t="n"/>
      <c r="BZN90" s="207" t="n"/>
      <c r="BZO90" s="207" t="n"/>
      <c r="BZP90" s="207" t="n"/>
      <c r="BZQ90" s="207" t="n"/>
      <c r="BZR90" s="207" t="n"/>
      <c r="BZS90" s="207" t="n"/>
      <c r="BZT90" s="207" t="n"/>
      <c r="BZU90" s="207" t="n"/>
      <c r="BZV90" s="207" t="n"/>
      <c r="BZW90" s="207" t="n"/>
      <c r="BZX90" s="207" t="n"/>
      <c r="BZY90" s="207" t="n"/>
      <c r="BZZ90" s="207" t="n"/>
      <c r="CAA90" s="207" t="n"/>
      <c r="CAB90" s="207" t="n"/>
      <c r="CAC90" s="207" t="n"/>
      <c r="CAD90" s="207" t="n"/>
      <c r="CAE90" s="207" t="n"/>
      <c r="CAF90" s="207" t="n"/>
      <c r="CAG90" s="207" t="n"/>
      <c r="CAH90" s="207" t="n"/>
      <c r="CAI90" s="207" t="n"/>
      <c r="CAJ90" s="207" t="n"/>
      <c r="CAK90" s="207" t="n"/>
      <c r="CAL90" s="207" t="n"/>
      <c r="CAM90" s="207" t="n"/>
      <c r="CAN90" s="207" t="n"/>
      <c r="CAO90" s="207" t="n"/>
      <c r="CAP90" s="207" t="n"/>
      <c r="CAQ90" s="207" t="n"/>
      <c r="CAR90" s="207" t="n"/>
      <c r="CAS90" s="207" t="n"/>
      <c r="CAT90" s="207" t="n"/>
      <c r="CAU90" s="207" t="n"/>
      <c r="CAV90" s="207" t="n"/>
      <c r="CAW90" s="207" t="n"/>
      <c r="CAX90" s="207" t="n"/>
      <c r="CAY90" s="207" t="n"/>
      <c r="CAZ90" s="207" t="n"/>
      <c r="CBA90" s="207" t="n"/>
      <c r="CBB90" s="207" t="n"/>
      <c r="CBC90" s="207" t="n"/>
      <c r="CBD90" s="207" t="n"/>
      <c r="CBE90" s="207" t="n"/>
      <c r="CBF90" s="207" t="n"/>
      <c r="CBG90" s="207" t="n"/>
      <c r="CBH90" s="207" t="n"/>
      <c r="CBI90" s="207" t="n"/>
      <c r="CBJ90" s="207" t="n"/>
      <c r="CBK90" s="207" t="n"/>
      <c r="CBL90" s="207" t="n"/>
      <c r="CBM90" s="207" t="n"/>
      <c r="CBN90" s="207" t="n"/>
      <c r="CBO90" s="207" t="n"/>
      <c r="CBP90" s="207" t="n"/>
      <c r="CBQ90" s="207" t="n"/>
      <c r="CBR90" s="207" t="n"/>
      <c r="CBS90" s="207" t="n"/>
      <c r="CBT90" s="207" t="n"/>
      <c r="CBU90" s="207" t="n"/>
      <c r="CBV90" s="207" t="n"/>
      <c r="CBW90" s="207" t="n"/>
      <c r="CBX90" s="207" t="n"/>
      <c r="CBY90" s="207" t="n"/>
      <c r="CBZ90" s="207" t="n"/>
      <c r="CCA90" s="207" t="n"/>
      <c r="CCB90" s="207" t="n"/>
      <c r="CCC90" s="207" t="n"/>
      <c r="CCD90" s="207" t="n"/>
      <c r="CCE90" s="207" t="n"/>
      <c r="CCF90" s="207" t="n"/>
      <c r="CCG90" s="207" t="n"/>
      <c r="CCH90" s="207" t="n"/>
      <c r="CCI90" s="207" t="n"/>
      <c r="CCJ90" s="207" t="n"/>
      <c r="CCK90" s="207" t="n"/>
      <c r="CCL90" s="207" t="n"/>
      <c r="CCM90" s="207" t="n"/>
      <c r="CCN90" s="207" t="n"/>
      <c r="CCO90" s="207" t="n"/>
      <c r="CCP90" s="207" t="n"/>
      <c r="CCQ90" s="207" t="n"/>
      <c r="CCR90" s="207" t="n"/>
      <c r="CCS90" s="207" t="n"/>
      <c r="CCT90" s="207" t="n"/>
      <c r="CCU90" s="207" t="n"/>
      <c r="CCV90" s="207" t="n"/>
      <c r="CCW90" s="207" t="n"/>
      <c r="CCX90" s="207" t="n"/>
      <c r="CCY90" s="207" t="n"/>
      <c r="CCZ90" s="207" t="n"/>
      <c r="CDA90" s="207" t="n"/>
      <c r="CDB90" s="207" t="n"/>
      <c r="CDC90" s="207" t="n"/>
      <c r="CDD90" s="207" t="n"/>
      <c r="CDE90" s="207" t="n"/>
      <c r="CDF90" s="207" t="n"/>
      <c r="CDG90" s="207" t="n"/>
      <c r="CDH90" s="207" t="n"/>
      <c r="CDI90" s="207" t="n"/>
      <c r="CDJ90" s="207" t="n"/>
      <c r="CDK90" s="207" t="n"/>
      <c r="CDL90" s="207" t="n"/>
      <c r="CDM90" s="207" t="n"/>
      <c r="CDN90" s="207" t="n"/>
      <c r="CDO90" s="207" t="n"/>
      <c r="CDP90" s="207" t="n"/>
      <c r="CDQ90" s="207" t="n"/>
      <c r="CDR90" s="207" t="n"/>
      <c r="CDS90" s="207" t="n"/>
      <c r="CDT90" s="207" t="n"/>
      <c r="CDU90" s="207" t="n"/>
      <c r="CDV90" s="207" t="n"/>
      <c r="CDW90" s="207" t="n"/>
      <c r="CDX90" s="207" t="n"/>
      <c r="CDY90" s="207" t="n"/>
      <c r="CDZ90" s="207" t="n"/>
      <c r="CEA90" s="207" t="n"/>
      <c r="CEB90" s="207" t="n"/>
      <c r="CEC90" s="207" t="n"/>
      <c r="CED90" s="207" t="n"/>
      <c r="CEE90" s="207" t="n"/>
      <c r="CEF90" s="207" t="n"/>
      <c r="CEG90" s="207" t="n"/>
      <c r="CEH90" s="207" t="n"/>
      <c r="CEI90" s="207" t="n"/>
      <c r="CEJ90" s="207" t="n"/>
      <c r="CEK90" s="207" t="n"/>
      <c r="CEL90" s="207" t="n"/>
      <c r="CEM90" s="207" t="n"/>
      <c r="CEN90" s="207" t="n"/>
      <c r="CEO90" s="207" t="n"/>
      <c r="CEP90" s="207" t="n"/>
      <c r="CEQ90" s="207" t="n"/>
      <c r="CER90" s="207" t="n"/>
      <c r="CES90" s="207" t="n"/>
      <c r="CET90" s="207" t="n"/>
      <c r="CEU90" s="207" t="n"/>
      <c r="CEV90" s="207" t="n"/>
      <c r="CEW90" s="207" t="n"/>
      <c r="CEX90" s="207" t="n"/>
      <c r="CEY90" s="207" t="n"/>
      <c r="CEZ90" s="207" t="n"/>
      <c r="CFA90" s="207" t="n"/>
      <c r="CFB90" s="207" t="n"/>
      <c r="CFC90" s="207" t="n"/>
      <c r="CFD90" s="207" t="n"/>
      <c r="CFE90" s="207" t="n"/>
      <c r="CFF90" s="207" t="n"/>
      <c r="CFG90" s="207" t="n"/>
      <c r="CFH90" s="207" t="n"/>
      <c r="CFI90" s="207" t="n"/>
      <c r="CFJ90" s="207" t="n"/>
      <c r="CFK90" s="207" t="n"/>
      <c r="CFL90" s="207" t="n"/>
      <c r="CFM90" s="207" t="n"/>
      <c r="CFN90" s="207" t="n"/>
      <c r="CFO90" s="207" t="n"/>
      <c r="CFP90" s="207" t="n"/>
      <c r="CFQ90" s="207" t="n"/>
      <c r="CFR90" s="207" t="n"/>
      <c r="CFS90" s="207" t="n"/>
      <c r="CFT90" s="207" t="n"/>
      <c r="CFU90" s="207" t="n"/>
      <c r="CFV90" s="207" t="n"/>
      <c r="CFW90" s="207" t="n"/>
      <c r="CFX90" s="207" t="n"/>
      <c r="CFY90" s="207" t="n"/>
      <c r="CFZ90" s="207" t="n"/>
      <c r="CGA90" s="207" t="n"/>
      <c r="CGB90" s="207" t="n"/>
      <c r="CGC90" s="207" t="n"/>
      <c r="CGD90" s="207" t="n"/>
      <c r="CGE90" s="207" t="n"/>
      <c r="CGF90" s="207" t="n"/>
      <c r="CGG90" s="207" t="n"/>
      <c r="CGH90" s="207" t="n"/>
      <c r="CGI90" s="207" t="n"/>
      <c r="CGJ90" s="207" t="n"/>
      <c r="CGK90" s="207" t="n"/>
      <c r="CGL90" s="207" t="n"/>
      <c r="CGM90" s="207" t="n"/>
      <c r="CGN90" s="207" t="n"/>
      <c r="CGO90" s="207" t="n"/>
      <c r="CGP90" s="207" t="n"/>
      <c r="CGQ90" s="207" t="n"/>
      <c r="CGR90" s="207" t="n"/>
      <c r="CGS90" s="207" t="n"/>
      <c r="CGT90" s="207" t="n"/>
      <c r="CGU90" s="207" t="n"/>
      <c r="CGV90" s="207" t="n"/>
      <c r="CGW90" s="207" t="n"/>
      <c r="CGX90" s="207" t="n"/>
      <c r="CGY90" s="207" t="n"/>
      <c r="CGZ90" s="207" t="n"/>
      <c r="CHA90" s="207" t="n"/>
      <c r="CHB90" s="207" t="n"/>
      <c r="CHC90" s="207" t="n"/>
      <c r="CHD90" s="207" t="n"/>
      <c r="CHE90" s="207" t="n"/>
      <c r="CHF90" s="207" t="n"/>
      <c r="CHG90" s="207" t="n"/>
      <c r="CHH90" s="207" t="n"/>
      <c r="CHI90" s="207" t="n"/>
      <c r="CHJ90" s="207" t="n"/>
      <c r="CHK90" s="207" t="n"/>
      <c r="CHL90" s="207" t="n"/>
      <c r="CHM90" s="207" t="n"/>
      <c r="CHN90" s="207" t="n"/>
      <c r="CHO90" s="207" t="n"/>
      <c r="CHP90" s="207" t="n"/>
      <c r="CHQ90" s="207" t="n"/>
      <c r="CHR90" s="207" t="n"/>
      <c r="CHS90" s="207" t="n"/>
      <c r="CHT90" s="207" t="n"/>
      <c r="CHU90" s="207" t="n"/>
      <c r="CHV90" s="207" t="n"/>
      <c r="CHW90" s="207" t="n"/>
      <c r="CHX90" s="207" t="n"/>
      <c r="CHY90" s="207" t="n"/>
      <c r="CHZ90" s="207" t="n"/>
      <c r="CIA90" s="207" t="n"/>
      <c r="CIB90" s="207" t="n"/>
      <c r="CIC90" s="207" t="n"/>
      <c r="CID90" s="207" t="n"/>
      <c r="CIE90" s="207" t="n"/>
      <c r="CIF90" s="207" t="n"/>
      <c r="CIG90" s="207" t="n"/>
      <c r="CIH90" s="207" t="n"/>
      <c r="CII90" s="207" t="n"/>
      <c r="CIJ90" s="207" t="n"/>
      <c r="CIK90" s="207" t="n"/>
      <c r="CIL90" s="207" t="n"/>
      <c r="CIM90" s="207" t="n"/>
      <c r="CIN90" s="207" t="n"/>
      <c r="CIO90" s="207" t="n"/>
      <c r="CIP90" s="207" t="n"/>
      <c r="CIQ90" s="207" t="n"/>
      <c r="CIR90" s="207" t="n"/>
      <c r="CIS90" s="207" t="n"/>
      <c r="CIT90" s="207" t="n"/>
      <c r="CIU90" s="207" t="n"/>
      <c r="CIV90" s="207" t="n"/>
      <c r="CIW90" s="207" t="n"/>
      <c r="CIX90" s="207" t="n"/>
      <c r="CIY90" s="207" t="n"/>
      <c r="CIZ90" s="207" t="n"/>
      <c r="CJA90" s="207" t="n"/>
      <c r="CJB90" s="207" t="n"/>
      <c r="CJC90" s="207" t="n"/>
      <c r="CJD90" s="207" t="n"/>
      <c r="CJE90" s="207" t="n"/>
      <c r="CJF90" s="207" t="n"/>
      <c r="CJG90" s="207" t="n"/>
      <c r="CJH90" s="207" t="n"/>
      <c r="CJI90" s="207" t="n"/>
      <c r="CJJ90" s="207" t="n"/>
      <c r="CJK90" s="207" t="n"/>
      <c r="CJL90" s="207" t="n"/>
      <c r="CJM90" s="207" t="n"/>
      <c r="CJN90" s="207" t="n"/>
      <c r="CJO90" s="207" t="n"/>
      <c r="CJP90" s="207" t="n"/>
      <c r="CJQ90" s="207" t="n"/>
      <c r="CJR90" s="207" t="n"/>
      <c r="CJS90" s="207" t="n"/>
      <c r="CJT90" s="207" t="n"/>
      <c r="CJU90" s="207" t="n"/>
      <c r="CJV90" s="207" t="n"/>
      <c r="CJW90" s="207" t="n"/>
      <c r="CJX90" s="207" t="n"/>
      <c r="CJY90" s="207" t="n"/>
      <c r="CJZ90" s="207" t="n"/>
      <c r="CKA90" s="207" t="n"/>
      <c r="CKB90" s="207" t="n"/>
      <c r="CKC90" s="207" t="n"/>
      <c r="CKD90" s="207" t="n"/>
      <c r="CKE90" s="207" t="n"/>
      <c r="CKF90" s="207" t="n"/>
      <c r="CKG90" s="207" t="n"/>
      <c r="CKH90" s="207" t="n"/>
      <c r="CKI90" s="207" t="n"/>
      <c r="CKJ90" s="207" t="n"/>
      <c r="CKK90" s="207" t="n"/>
      <c r="CKL90" s="207" t="n"/>
      <c r="CKM90" s="207" t="n"/>
      <c r="CKN90" s="207" t="n"/>
      <c r="CKO90" s="207" t="n"/>
      <c r="CKP90" s="207" t="n"/>
      <c r="CKQ90" s="207" t="n"/>
      <c r="CKR90" s="207" t="n"/>
      <c r="CKS90" s="207" t="n"/>
      <c r="CKT90" s="207" t="n"/>
      <c r="CKU90" s="207" t="n"/>
      <c r="CKV90" s="207" t="n"/>
      <c r="CKW90" s="207" t="n"/>
      <c r="CKX90" s="207" t="n"/>
      <c r="CKY90" s="207" t="n"/>
      <c r="CKZ90" s="207" t="n"/>
      <c r="CLA90" s="207" t="n"/>
      <c r="CLB90" s="207" t="n"/>
      <c r="CLC90" s="207" t="n"/>
      <c r="CLD90" s="207" t="n"/>
      <c r="CLE90" s="207" t="n"/>
      <c r="CLF90" s="207" t="n"/>
      <c r="CLG90" s="207" t="n"/>
      <c r="CLH90" s="207" t="n"/>
      <c r="CLI90" s="207" t="n"/>
      <c r="CLJ90" s="207" t="n"/>
      <c r="CLK90" s="207" t="n"/>
      <c r="CLL90" s="207" t="n"/>
      <c r="CLM90" s="207" t="n"/>
      <c r="CLN90" s="207" t="n"/>
      <c r="CLO90" s="207" t="n"/>
      <c r="CLP90" s="207" t="n"/>
      <c r="CLQ90" s="207" t="n"/>
      <c r="CLR90" s="207" t="n"/>
      <c r="CLS90" s="207" t="n"/>
      <c r="CLT90" s="207" t="n"/>
      <c r="CLU90" s="207" t="n"/>
      <c r="CLV90" s="207" t="n"/>
      <c r="CLW90" s="207" t="n"/>
      <c r="CLX90" s="207" t="n"/>
      <c r="CLY90" s="207" t="n"/>
      <c r="CLZ90" s="207" t="n"/>
      <c r="CMA90" s="207" t="n"/>
      <c r="CMB90" s="207" t="n"/>
      <c r="CMC90" s="207" t="n"/>
      <c r="CMD90" s="207" t="n"/>
      <c r="CME90" s="207" t="n"/>
      <c r="CMF90" s="207" t="n"/>
      <c r="CMG90" s="207" t="n"/>
      <c r="CMH90" s="207" t="n"/>
      <c r="CMI90" s="207" t="n"/>
      <c r="CMJ90" s="207" t="n"/>
      <c r="CMK90" s="207" t="n"/>
      <c r="CML90" s="207" t="n"/>
      <c r="CMM90" s="207" t="n"/>
      <c r="CMN90" s="207" t="n"/>
      <c r="CMO90" s="207" t="n"/>
      <c r="CMP90" s="207" t="n"/>
      <c r="CMQ90" s="207" t="n"/>
      <c r="CMR90" s="207" t="n"/>
      <c r="CMS90" s="207" t="n"/>
      <c r="CMT90" s="207" t="n"/>
      <c r="CMU90" s="207" t="n"/>
      <c r="CMV90" s="207" t="n"/>
      <c r="CMW90" s="207" t="n"/>
      <c r="CMX90" s="207" t="n"/>
      <c r="CMY90" s="207" t="n"/>
      <c r="CMZ90" s="207" t="n"/>
      <c r="CNA90" s="207" t="n"/>
      <c r="CNB90" s="207" t="n"/>
      <c r="CNC90" s="207" t="n"/>
      <c r="CND90" s="207" t="n"/>
      <c r="CNE90" s="207" t="n"/>
      <c r="CNF90" s="207" t="n"/>
      <c r="CNG90" s="207" t="n"/>
      <c r="CNH90" s="207" t="n"/>
      <c r="CNI90" s="207" t="n"/>
      <c r="CNJ90" s="207" t="n"/>
      <c r="CNK90" s="207" t="n"/>
      <c r="CNL90" s="207" t="n"/>
      <c r="CNM90" s="207" t="n"/>
      <c r="CNN90" s="207" t="n"/>
      <c r="CNO90" s="207" t="n"/>
      <c r="CNP90" s="207" t="n"/>
      <c r="CNQ90" s="207" t="n"/>
      <c r="CNR90" s="207" t="n"/>
      <c r="CNS90" s="207" t="n"/>
      <c r="CNT90" s="207" t="n"/>
      <c r="CNU90" s="207" t="n"/>
      <c r="CNV90" s="207" t="n"/>
      <c r="CNW90" s="207" t="n"/>
      <c r="CNX90" s="207" t="n"/>
      <c r="CNY90" s="207" t="n"/>
      <c r="CNZ90" s="207" t="n"/>
      <c r="COA90" s="207" t="n"/>
      <c r="COB90" s="207" t="n"/>
      <c r="COC90" s="207" t="n"/>
      <c r="COD90" s="207" t="n"/>
      <c r="COE90" s="207" t="n"/>
      <c r="COF90" s="207" t="n"/>
      <c r="COG90" s="207" t="n"/>
      <c r="COH90" s="207" t="n"/>
      <c r="COI90" s="207" t="n"/>
      <c r="COJ90" s="207" t="n"/>
      <c r="COK90" s="207" t="n"/>
      <c r="COL90" s="207" t="n"/>
      <c r="COM90" s="207" t="n"/>
      <c r="CON90" s="207" t="n"/>
      <c r="COO90" s="207" t="n"/>
      <c r="COP90" s="207" t="n"/>
      <c r="COQ90" s="207" t="n"/>
      <c r="COR90" s="207" t="n"/>
      <c r="COS90" s="207" t="n"/>
      <c r="COT90" s="207" t="n"/>
      <c r="COU90" s="207" t="n"/>
      <c r="COV90" s="207" t="n"/>
      <c r="COW90" s="207" t="n"/>
      <c r="COX90" s="207" t="n"/>
      <c r="COY90" s="207" t="n"/>
      <c r="COZ90" s="207" t="n"/>
      <c r="CPA90" s="207" t="n"/>
      <c r="CPB90" s="207" t="n"/>
      <c r="CPC90" s="207" t="n"/>
      <c r="CPD90" s="207" t="n"/>
      <c r="CPE90" s="207" t="n"/>
      <c r="CPF90" s="207" t="n"/>
      <c r="CPG90" s="207" t="n"/>
      <c r="CPH90" s="207" t="n"/>
      <c r="CPI90" s="207" t="n"/>
      <c r="CPJ90" s="207" t="n"/>
      <c r="CPK90" s="207" t="n"/>
      <c r="CPL90" s="207" t="n"/>
      <c r="CPM90" s="207" t="n"/>
      <c r="CPN90" s="207" t="n"/>
      <c r="CPO90" s="207" t="n"/>
      <c r="CPP90" s="207" t="n"/>
      <c r="CPQ90" s="207" t="n"/>
      <c r="CPR90" s="207" t="n"/>
      <c r="CPS90" s="207" t="n"/>
      <c r="CPT90" s="207" t="n"/>
      <c r="CPU90" s="207" t="n"/>
      <c r="CPV90" s="207" t="n"/>
      <c r="CPW90" s="207" t="n"/>
      <c r="CPX90" s="207" t="n"/>
      <c r="CPY90" s="207" t="n"/>
      <c r="CPZ90" s="207" t="n"/>
      <c r="CQA90" s="207" t="n"/>
      <c r="CQB90" s="207" t="n"/>
      <c r="CQC90" s="207" t="n"/>
      <c r="CQD90" s="207" t="n"/>
      <c r="CQE90" s="207" t="n"/>
      <c r="CQF90" s="207" t="n"/>
      <c r="CQG90" s="207" t="n"/>
      <c r="CQH90" s="207" t="n"/>
      <c r="CQI90" s="207" t="n"/>
      <c r="CQJ90" s="207" t="n"/>
      <c r="CQK90" s="207" t="n"/>
      <c r="CQL90" s="207" t="n"/>
      <c r="CQM90" s="207" t="n"/>
      <c r="CQN90" s="207" t="n"/>
      <c r="CQO90" s="207" t="n"/>
      <c r="CQP90" s="207" t="n"/>
      <c r="CQQ90" s="207" t="n"/>
      <c r="CQR90" s="207" t="n"/>
      <c r="CQS90" s="207" t="n"/>
      <c r="CQT90" s="207" t="n"/>
      <c r="CQU90" s="207" t="n"/>
      <c r="CQV90" s="207" t="n"/>
      <c r="CQW90" s="207" t="n"/>
      <c r="CQX90" s="207" t="n"/>
      <c r="CQY90" s="207" t="n"/>
      <c r="CQZ90" s="207" t="n"/>
      <c r="CRA90" s="207" t="n"/>
      <c r="CRB90" s="207" t="n"/>
      <c r="CRC90" s="207" t="n"/>
      <c r="CRD90" s="207" t="n"/>
      <c r="CRE90" s="207" t="n"/>
      <c r="CRF90" s="207" t="n"/>
      <c r="CRG90" s="207" t="n"/>
      <c r="CRH90" s="207" t="n"/>
      <c r="CRI90" s="207" t="n"/>
      <c r="CRJ90" s="207" t="n"/>
      <c r="CRK90" s="207" t="n"/>
      <c r="CRL90" s="207" t="n"/>
      <c r="CRM90" s="207" t="n"/>
      <c r="CRN90" s="207" t="n"/>
      <c r="CRO90" s="207" t="n"/>
      <c r="CRP90" s="207" t="n"/>
      <c r="CRQ90" s="207" t="n"/>
      <c r="CRR90" s="207" t="n"/>
      <c r="CRS90" s="207" t="n"/>
      <c r="CRT90" s="207" t="n"/>
      <c r="CRU90" s="207" t="n"/>
      <c r="CRV90" s="207" t="n"/>
      <c r="CRW90" s="207" t="n"/>
      <c r="CRX90" s="207" t="n"/>
      <c r="CRY90" s="207" t="n"/>
      <c r="CRZ90" s="207" t="n"/>
      <c r="CSA90" s="207" t="n"/>
      <c r="CSB90" s="207" t="n"/>
      <c r="CSC90" s="207" t="n"/>
      <c r="CSD90" s="207" t="n"/>
      <c r="CSE90" s="207" t="n"/>
      <c r="CSF90" s="207" t="n"/>
      <c r="CSG90" s="207" t="n"/>
      <c r="CSH90" s="207" t="n"/>
      <c r="CSI90" s="207" t="n"/>
      <c r="CSJ90" s="207" t="n"/>
      <c r="CSK90" s="207" t="n"/>
      <c r="CSL90" s="207" t="n"/>
      <c r="CSM90" s="207" t="n"/>
      <c r="CSN90" s="207" t="n"/>
      <c r="CSO90" s="207" t="n"/>
      <c r="CSP90" s="207" t="n"/>
      <c r="CSQ90" s="207" t="n"/>
      <c r="CSR90" s="207" t="n"/>
      <c r="CSS90" s="207" t="n"/>
      <c r="CST90" s="207" t="n"/>
      <c r="CSU90" s="207" t="n"/>
      <c r="CSV90" s="207" t="n"/>
      <c r="CSW90" s="207" t="n"/>
      <c r="CSX90" s="207" t="n"/>
      <c r="CSY90" s="207" t="n"/>
      <c r="CSZ90" s="207" t="n"/>
      <c r="CTA90" s="207" t="n"/>
      <c r="CTB90" s="207" t="n"/>
      <c r="CTC90" s="207" t="n"/>
      <c r="CTD90" s="207" t="n"/>
      <c r="CTE90" s="207" t="n"/>
      <c r="CTF90" s="207" t="n"/>
      <c r="CTG90" s="207" t="n"/>
      <c r="CTH90" s="207" t="n"/>
      <c r="CTI90" s="207" t="n"/>
      <c r="CTJ90" s="207" t="n"/>
      <c r="CTK90" s="207" t="n"/>
      <c r="CTL90" s="207" t="n"/>
      <c r="CTM90" s="207" t="n"/>
      <c r="CTN90" s="207" t="n"/>
      <c r="CTO90" s="207" t="n"/>
      <c r="CTP90" s="207" t="n"/>
      <c r="CTQ90" s="207" t="n"/>
      <c r="CTR90" s="207" t="n"/>
      <c r="CTS90" s="207" t="n"/>
      <c r="CTT90" s="207" t="n"/>
      <c r="CTU90" s="207" t="n"/>
      <c r="CTV90" s="207" t="n"/>
      <c r="CTW90" s="207" t="n"/>
      <c r="CTX90" s="207" t="n"/>
      <c r="CTY90" s="207" t="n"/>
      <c r="CTZ90" s="207" t="n"/>
      <c r="CUA90" s="207" t="n"/>
      <c r="CUB90" s="207" t="n"/>
      <c r="CUC90" s="207" t="n"/>
      <c r="CUD90" s="207" t="n"/>
      <c r="CUE90" s="207" t="n"/>
      <c r="CUF90" s="207" t="n"/>
      <c r="CUG90" s="207" t="n"/>
      <c r="CUH90" s="207" t="n"/>
      <c r="CUI90" s="207" t="n"/>
      <c r="CUJ90" s="207" t="n"/>
      <c r="CUK90" s="207" t="n"/>
      <c r="CUL90" s="207" t="n"/>
      <c r="CUM90" s="207" t="n"/>
      <c r="CUN90" s="207" t="n"/>
      <c r="CUO90" s="207" t="n"/>
      <c r="CUP90" s="207" t="n"/>
      <c r="CUQ90" s="207" t="n"/>
      <c r="CUR90" s="207" t="n"/>
      <c r="CUS90" s="207" t="n"/>
      <c r="CUT90" s="207" t="n"/>
      <c r="CUU90" s="207" t="n"/>
      <c r="CUV90" s="207" t="n"/>
      <c r="CUW90" s="207" t="n"/>
      <c r="CUX90" s="207" t="n"/>
      <c r="CUY90" s="207" t="n"/>
      <c r="CUZ90" s="207" t="n"/>
      <c r="CVA90" s="207" t="n"/>
      <c r="CVB90" s="207" t="n"/>
      <c r="CVC90" s="207" t="n"/>
      <c r="CVD90" s="207" t="n"/>
      <c r="CVE90" s="207" t="n"/>
      <c r="CVF90" s="207" t="n"/>
      <c r="CVG90" s="207" t="n"/>
      <c r="CVH90" s="207" t="n"/>
      <c r="CVI90" s="207" t="n"/>
      <c r="CVJ90" s="207" t="n"/>
      <c r="CVK90" s="207" t="n"/>
      <c r="CVL90" s="207" t="n"/>
      <c r="CVM90" s="207" t="n"/>
      <c r="CVN90" s="207" t="n"/>
      <c r="CVO90" s="207" t="n"/>
      <c r="CVP90" s="207" t="n"/>
      <c r="CVQ90" s="207" t="n"/>
      <c r="CVR90" s="207" t="n"/>
      <c r="CVS90" s="207" t="n"/>
      <c r="CVT90" s="207" t="n"/>
      <c r="CVU90" s="207" t="n"/>
      <c r="CVV90" s="207" t="n"/>
      <c r="CVW90" s="207" t="n"/>
      <c r="CVX90" s="207" t="n"/>
      <c r="CVY90" s="207" t="n"/>
      <c r="CVZ90" s="207" t="n"/>
      <c r="CWA90" s="207" t="n"/>
      <c r="CWB90" s="207" t="n"/>
      <c r="CWC90" s="207" t="n"/>
      <c r="CWD90" s="207" t="n"/>
      <c r="CWE90" s="207" t="n"/>
      <c r="CWF90" s="207" t="n"/>
      <c r="CWG90" s="207" t="n"/>
      <c r="CWH90" s="207" t="n"/>
      <c r="CWI90" s="207" t="n"/>
      <c r="CWJ90" s="207" t="n"/>
      <c r="CWK90" s="207" t="n"/>
      <c r="CWL90" s="207" t="n"/>
      <c r="CWM90" s="207" t="n"/>
      <c r="CWN90" s="207" t="n"/>
      <c r="CWO90" s="207" t="n"/>
      <c r="CWP90" s="207" t="n"/>
      <c r="CWQ90" s="207" t="n"/>
      <c r="CWR90" s="207" t="n"/>
      <c r="CWS90" s="207" t="n"/>
      <c r="CWT90" s="207" t="n"/>
      <c r="CWU90" s="207" t="n"/>
      <c r="CWV90" s="207" t="n"/>
      <c r="CWW90" s="207" t="n"/>
      <c r="CWX90" s="207" t="n"/>
      <c r="CWY90" s="207" t="n"/>
      <c r="CWZ90" s="207" t="n"/>
      <c r="CXA90" s="207" t="n"/>
      <c r="CXB90" s="207" t="n"/>
      <c r="CXC90" s="207" t="n"/>
      <c r="CXD90" s="207" t="n"/>
      <c r="CXE90" s="207" t="n"/>
      <c r="CXF90" s="207" t="n"/>
      <c r="CXG90" s="207" t="n"/>
      <c r="CXH90" s="207" t="n"/>
      <c r="CXI90" s="207" t="n"/>
      <c r="CXJ90" s="207" t="n"/>
      <c r="CXK90" s="207" t="n"/>
      <c r="CXL90" s="207" t="n"/>
      <c r="CXM90" s="207" t="n"/>
      <c r="CXN90" s="207" t="n"/>
      <c r="CXO90" s="207" t="n"/>
      <c r="CXP90" s="207" t="n"/>
      <c r="CXQ90" s="207" t="n"/>
      <c r="CXR90" s="207" t="n"/>
      <c r="CXS90" s="207" t="n"/>
      <c r="CXT90" s="207" t="n"/>
      <c r="CXU90" s="207" t="n"/>
      <c r="CXV90" s="207" t="n"/>
      <c r="CXW90" s="207" t="n"/>
      <c r="CXX90" s="207" t="n"/>
      <c r="CXY90" s="207" t="n"/>
      <c r="CXZ90" s="207" t="n"/>
      <c r="CYA90" s="207" t="n"/>
      <c r="CYB90" s="207" t="n"/>
      <c r="CYC90" s="207" t="n"/>
      <c r="CYD90" s="207" t="n"/>
      <c r="CYE90" s="207" t="n"/>
      <c r="CYF90" s="207" t="n"/>
      <c r="CYG90" s="207" t="n"/>
      <c r="CYH90" s="207" t="n"/>
      <c r="CYI90" s="207" t="n"/>
      <c r="CYJ90" s="207" t="n"/>
      <c r="CYK90" s="207" t="n"/>
      <c r="CYL90" s="207" t="n"/>
      <c r="CYM90" s="207" t="n"/>
      <c r="CYN90" s="207" t="n"/>
      <c r="CYO90" s="207" t="n"/>
      <c r="CYP90" s="207" t="n"/>
      <c r="CYQ90" s="207" t="n"/>
      <c r="CYR90" s="207" t="n"/>
      <c r="CYS90" s="207" t="n"/>
      <c r="CYT90" s="207" t="n"/>
      <c r="CYU90" s="207" t="n"/>
      <c r="CYV90" s="207" t="n"/>
      <c r="CYW90" s="207" t="n"/>
      <c r="CYX90" s="207" t="n"/>
      <c r="CYY90" s="207" t="n"/>
      <c r="CYZ90" s="207" t="n"/>
      <c r="CZA90" s="207" t="n"/>
      <c r="CZB90" s="207" t="n"/>
      <c r="CZC90" s="207" t="n"/>
      <c r="CZD90" s="207" t="n"/>
      <c r="CZE90" s="207" t="n"/>
      <c r="CZF90" s="207" t="n"/>
      <c r="CZG90" s="207" t="n"/>
      <c r="CZH90" s="207" t="n"/>
      <c r="CZI90" s="207" t="n"/>
      <c r="CZJ90" s="207" t="n"/>
      <c r="CZK90" s="207" t="n"/>
      <c r="CZL90" s="207" t="n"/>
      <c r="CZM90" s="207" t="n"/>
      <c r="CZN90" s="207" t="n"/>
      <c r="CZO90" s="207" t="n"/>
      <c r="CZP90" s="207" t="n"/>
      <c r="CZQ90" s="207" t="n"/>
      <c r="CZR90" s="207" t="n"/>
      <c r="CZS90" s="207" t="n"/>
      <c r="CZT90" s="207" t="n"/>
      <c r="CZU90" s="207" t="n"/>
      <c r="CZV90" s="207" t="n"/>
      <c r="CZW90" s="207" t="n"/>
      <c r="CZX90" s="207" t="n"/>
      <c r="CZY90" s="207" t="n"/>
      <c r="CZZ90" s="207" t="n"/>
      <c r="DAA90" s="207" t="n"/>
      <c r="DAB90" s="207" t="n"/>
      <c r="DAC90" s="207" t="n"/>
      <c r="DAD90" s="207" t="n"/>
      <c r="DAE90" s="207" t="n"/>
      <c r="DAF90" s="207" t="n"/>
      <c r="DAG90" s="207" t="n"/>
      <c r="DAH90" s="207" t="n"/>
      <c r="DAI90" s="207" t="n"/>
      <c r="DAJ90" s="207" t="n"/>
      <c r="DAK90" s="207" t="n"/>
      <c r="DAL90" s="207" t="n"/>
      <c r="DAM90" s="207" t="n"/>
      <c r="DAN90" s="207" t="n"/>
      <c r="DAO90" s="207" t="n"/>
      <c r="DAP90" s="207" t="n"/>
      <c r="DAQ90" s="207" t="n"/>
      <c r="DAR90" s="207" t="n"/>
      <c r="DAS90" s="207" t="n"/>
      <c r="DAT90" s="207" t="n"/>
      <c r="DAU90" s="207" t="n"/>
      <c r="DAV90" s="207" t="n"/>
      <c r="DAW90" s="207" t="n"/>
      <c r="DAX90" s="207" t="n"/>
      <c r="DAY90" s="207" t="n"/>
      <c r="DAZ90" s="207" t="n"/>
      <c r="DBA90" s="207" t="n"/>
      <c r="DBB90" s="207" t="n"/>
      <c r="DBC90" s="207" t="n"/>
      <c r="DBD90" s="207" t="n"/>
      <c r="DBE90" s="207" t="n"/>
      <c r="DBF90" s="207" t="n"/>
      <c r="DBG90" s="207" t="n"/>
      <c r="DBH90" s="207" t="n"/>
      <c r="DBI90" s="207" t="n"/>
      <c r="DBJ90" s="207" t="n"/>
      <c r="DBK90" s="207" t="n"/>
      <c r="DBL90" s="207" t="n"/>
      <c r="DBM90" s="207" t="n"/>
      <c r="DBN90" s="207" t="n"/>
      <c r="DBO90" s="207" t="n"/>
      <c r="DBP90" s="207" t="n"/>
      <c r="DBQ90" s="207" t="n"/>
      <c r="DBR90" s="207" t="n"/>
      <c r="DBS90" s="207" t="n"/>
      <c r="DBT90" s="207" t="n"/>
      <c r="DBU90" s="207" t="n"/>
      <c r="DBV90" s="207" t="n"/>
      <c r="DBW90" s="207" t="n"/>
      <c r="DBX90" s="207" t="n"/>
      <c r="DBY90" s="207" t="n"/>
      <c r="DBZ90" s="207" t="n"/>
      <c r="DCA90" s="207" t="n"/>
      <c r="DCB90" s="207" t="n"/>
      <c r="DCC90" s="207" t="n"/>
      <c r="DCD90" s="207" t="n"/>
      <c r="DCE90" s="207" t="n"/>
      <c r="DCF90" s="207" t="n"/>
      <c r="DCG90" s="207" t="n"/>
      <c r="DCH90" s="207" t="n"/>
      <c r="DCI90" s="207" t="n"/>
      <c r="DCJ90" s="207" t="n"/>
      <c r="DCK90" s="207" t="n"/>
      <c r="DCL90" s="207" t="n"/>
      <c r="DCM90" s="207" t="n"/>
      <c r="DCN90" s="207" t="n"/>
      <c r="DCO90" s="207" t="n"/>
      <c r="DCP90" s="207" t="n"/>
      <c r="DCQ90" s="207" t="n"/>
      <c r="DCR90" s="207" t="n"/>
      <c r="DCS90" s="207" t="n"/>
      <c r="DCT90" s="207" t="n"/>
      <c r="DCU90" s="207" t="n"/>
      <c r="DCV90" s="207" t="n"/>
      <c r="DCW90" s="207" t="n"/>
      <c r="DCX90" s="207" t="n"/>
      <c r="DCY90" s="207" t="n"/>
      <c r="DCZ90" s="207" t="n"/>
      <c r="DDA90" s="207" t="n"/>
      <c r="DDB90" s="207" t="n"/>
      <c r="DDC90" s="207" t="n"/>
      <c r="DDD90" s="207" t="n"/>
      <c r="DDE90" s="207" t="n"/>
      <c r="DDF90" s="207" t="n"/>
      <c r="DDG90" s="207" t="n"/>
      <c r="DDH90" s="207" t="n"/>
      <c r="DDI90" s="207" t="n"/>
      <c r="DDJ90" s="207" t="n"/>
      <c r="DDK90" s="207" t="n"/>
      <c r="DDL90" s="207" t="n"/>
      <c r="DDM90" s="207" t="n"/>
      <c r="DDN90" s="207" t="n"/>
      <c r="DDO90" s="207" t="n"/>
      <c r="DDP90" s="207" t="n"/>
      <c r="DDQ90" s="207" t="n"/>
      <c r="DDR90" s="207" t="n"/>
      <c r="DDS90" s="207" t="n"/>
      <c r="DDT90" s="207" t="n"/>
      <c r="DDU90" s="207" t="n"/>
      <c r="DDV90" s="207" t="n"/>
      <c r="DDW90" s="207" t="n"/>
      <c r="DDX90" s="207" t="n"/>
      <c r="DDY90" s="207" t="n"/>
      <c r="DDZ90" s="207" t="n"/>
      <c r="DEA90" s="207" t="n"/>
      <c r="DEB90" s="207" t="n"/>
      <c r="DEC90" s="207" t="n"/>
      <c r="DED90" s="207" t="n"/>
      <c r="DEE90" s="207" t="n"/>
      <c r="DEF90" s="207" t="n"/>
      <c r="DEG90" s="207" t="n"/>
      <c r="DEH90" s="207" t="n"/>
      <c r="DEI90" s="207" t="n"/>
      <c r="DEJ90" s="207" t="n"/>
      <c r="DEK90" s="207" t="n"/>
      <c r="DEL90" s="207" t="n"/>
      <c r="DEM90" s="207" t="n"/>
      <c r="DEN90" s="207" t="n"/>
      <c r="DEO90" s="207" t="n"/>
      <c r="DEP90" s="207" t="n"/>
      <c r="DEQ90" s="207" t="n"/>
      <c r="DER90" s="207" t="n"/>
      <c r="DES90" s="207" t="n"/>
      <c r="DET90" s="207" t="n"/>
      <c r="DEU90" s="207" t="n"/>
      <c r="DEV90" s="207" t="n"/>
      <c r="DEW90" s="207" t="n"/>
      <c r="DEX90" s="207" t="n"/>
      <c r="DEY90" s="207" t="n"/>
      <c r="DEZ90" s="207" t="n"/>
      <c r="DFA90" s="207" t="n"/>
      <c r="DFB90" s="207" t="n"/>
      <c r="DFC90" s="207" t="n"/>
      <c r="DFD90" s="207" t="n"/>
      <c r="DFE90" s="207" t="n"/>
      <c r="DFF90" s="207" t="n"/>
      <c r="DFG90" s="207" t="n"/>
      <c r="DFH90" s="207" t="n"/>
      <c r="DFI90" s="207" t="n"/>
      <c r="DFJ90" s="207" t="n"/>
      <c r="DFK90" s="207" t="n"/>
      <c r="DFL90" s="207" t="n"/>
      <c r="DFM90" s="207" t="n"/>
      <c r="DFN90" s="207" t="n"/>
      <c r="DFO90" s="207" t="n"/>
      <c r="DFP90" s="207" t="n"/>
      <c r="DFQ90" s="207" t="n"/>
      <c r="DFR90" s="207" t="n"/>
      <c r="DFS90" s="207" t="n"/>
      <c r="DFT90" s="207" t="n"/>
      <c r="DFU90" s="207" t="n"/>
      <c r="DFV90" s="207" t="n"/>
      <c r="DFW90" s="207" t="n"/>
      <c r="DFX90" s="207" t="n"/>
      <c r="DFY90" s="207" t="n"/>
      <c r="DFZ90" s="207" t="n"/>
      <c r="DGA90" s="207" t="n"/>
      <c r="DGB90" s="207" t="n"/>
      <c r="DGC90" s="207" t="n"/>
      <c r="DGD90" s="207" t="n"/>
      <c r="DGE90" s="207" t="n"/>
      <c r="DGF90" s="207" t="n"/>
      <c r="DGG90" s="207" t="n"/>
      <c r="DGH90" s="207" t="n"/>
      <c r="DGI90" s="207" t="n"/>
      <c r="DGJ90" s="207" t="n"/>
      <c r="DGK90" s="207" t="n"/>
      <c r="DGL90" s="207" t="n"/>
      <c r="DGM90" s="207" t="n"/>
      <c r="DGN90" s="207" t="n"/>
      <c r="DGO90" s="207" t="n"/>
      <c r="DGP90" s="207" t="n"/>
      <c r="DGQ90" s="207" t="n"/>
      <c r="DGR90" s="207" t="n"/>
      <c r="DGS90" s="207" t="n"/>
      <c r="DGT90" s="207" t="n"/>
      <c r="DGU90" s="207" t="n"/>
      <c r="DGV90" s="207" t="n"/>
      <c r="DGW90" s="207" t="n"/>
      <c r="DGX90" s="207" t="n"/>
      <c r="DGY90" s="207" t="n"/>
      <c r="DGZ90" s="207" t="n"/>
      <c r="DHA90" s="207" t="n"/>
      <c r="DHB90" s="207" t="n"/>
      <c r="DHC90" s="207" t="n"/>
      <c r="DHD90" s="207" t="n"/>
      <c r="DHE90" s="207" t="n"/>
      <c r="DHF90" s="207" t="n"/>
      <c r="DHG90" s="207" t="n"/>
      <c r="DHH90" s="207" t="n"/>
      <c r="DHI90" s="207" t="n"/>
      <c r="DHJ90" s="207" t="n"/>
      <c r="DHK90" s="207" t="n"/>
      <c r="DHL90" s="207" t="n"/>
      <c r="DHM90" s="207" t="n"/>
      <c r="DHN90" s="207" t="n"/>
      <c r="DHO90" s="207" t="n"/>
      <c r="DHP90" s="207" t="n"/>
      <c r="DHQ90" s="207" t="n"/>
      <c r="DHR90" s="207" t="n"/>
      <c r="DHS90" s="207" t="n"/>
      <c r="DHT90" s="207" t="n"/>
      <c r="DHU90" s="207" t="n"/>
      <c r="DHV90" s="207" t="n"/>
      <c r="DHW90" s="207" t="n"/>
      <c r="DHX90" s="207" t="n"/>
      <c r="DHY90" s="207" t="n"/>
      <c r="DHZ90" s="207" t="n"/>
      <c r="DIA90" s="207" t="n"/>
      <c r="DIB90" s="207" t="n"/>
      <c r="DIC90" s="207" t="n"/>
      <c r="DID90" s="207" t="n"/>
      <c r="DIE90" s="207" t="n"/>
      <c r="DIF90" s="207" t="n"/>
      <c r="DIG90" s="207" t="n"/>
      <c r="DIH90" s="207" t="n"/>
      <c r="DII90" s="207" t="n"/>
      <c r="DIJ90" s="207" t="n"/>
      <c r="DIK90" s="207" t="n"/>
      <c r="DIL90" s="207" t="n"/>
      <c r="DIM90" s="207" t="n"/>
      <c r="DIN90" s="207" t="n"/>
      <c r="DIO90" s="207" t="n"/>
      <c r="DIP90" s="207" t="n"/>
      <c r="DIQ90" s="207" t="n"/>
      <c r="DIR90" s="207" t="n"/>
      <c r="DIS90" s="207" t="n"/>
      <c r="DIT90" s="207" t="n"/>
      <c r="DIU90" s="207" t="n"/>
      <c r="DIV90" s="207" t="n"/>
      <c r="DIW90" s="207" t="n"/>
      <c r="DIX90" s="207" t="n"/>
      <c r="DIY90" s="207" t="n"/>
      <c r="DIZ90" s="207" t="n"/>
      <c r="DJA90" s="207" t="n"/>
      <c r="DJB90" s="207" t="n"/>
      <c r="DJC90" s="207" t="n"/>
      <c r="DJD90" s="207" t="n"/>
      <c r="DJE90" s="207" t="n"/>
      <c r="DJF90" s="207" t="n"/>
      <c r="DJG90" s="207" t="n"/>
      <c r="DJH90" s="207" t="n"/>
      <c r="DJI90" s="207" t="n"/>
      <c r="DJJ90" s="207" t="n"/>
      <c r="DJK90" s="207" t="n"/>
      <c r="DJL90" s="207" t="n"/>
      <c r="DJM90" s="207" t="n"/>
      <c r="DJN90" s="207" t="n"/>
      <c r="DJO90" s="207" t="n"/>
      <c r="DJP90" s="207" t="n"/>
      <c r="DJQ90" s="207" t="n"/>
      <c r="DJR90" s="207" t="n"/>
      <c r="DJS90" s="207" t="n"/>
      <c r="DJT90" s="207" t="n"/>
      <c r="DJU90" s="207" t="n"/>
      <c r="DJV90" s="207" t="n"/>
      <c r="DJW90" s="207" t="n"/>
      <c r="DJX90" s="207" t="n"/>
      <c r="DJY90" s="207" t="n"/>
      <c r="DJZ90" s="207" t="n"/>
      <c r="DKA90" s="207" t="n"/>
      <c r="DKB90" s="207" t="n"/>
      <c r="DKC90" s="207" t="n"/>
      <c r="DKD90" s="207" t="n"/>
      <c r="DKE90" s="207" t="n"/>
      <c r="DKF90" s="207" t="n"/>
      <c r="DKG90" s="207" t="n"/>
      <c r="DKH90" s="207" t="n"/>
      <c r="DKI90" s="207" t="n"/>
      <c r="DKJ90" s="207" t="n"/>
      <c r="DKK90" s="207" t="n"/>
      <c r="DKL90" s="207" t="n"/>
      <c r="DKM90" s="207" t="n"/>
      <c r="DKN90" s="207" t="n"/>
      <c r="DKO90" s="207" t="n"/>
      <c r="DKP90" s="207" t="n"/>
      <c r="DKQ90" s="207" t="n"/>
      <c r="DKR90" s="207" t="n"/>
      <c r="DKS90" s="207" t="n"/>
      <c r="DKT90" s="207" t="n"/>
      <c r="DKU90" s="207" t="n"/>
      <c r="DKV90" s="207" t="n"/>
      <c r="DKW90" s="207" t="n"/>
      <c r="DKX90" s="207" t="n"/>
      <c r="DKY90" s="207" t="n"/>
      <c r="DKZ90" s="207" t="n"/>
      <c r="DLA90" s="207" t="n"/>
      <c r="DLB90" s="207" t="n"/>
      <c r="DLC90" s="207" t="n"/>
      <c r="DLD90" s="207" t="n"/>
      <c r="DLE90" s="207" t="n"/>
      <c r="DLF90" s="207" t="n"/>
      <c r="DLG90" s="207" t="n"/>
      <c r="DLH90" s="207" t="n"/>
      <c r="DLI90" s="207" t="n"/>
      <c r="DLJ90" s="207" t="n"/>
      <c r="DLK90" s="207" t="n"/>
      <c r="DLL90" s="207" t="n"/>
      <c r="DLM90" s="207" t="n"/>
      <c r="DLN90" s="207" t="n"/>
      <c r="DLO90" s="207" t="n"/>
      <c r="DLP90" s="207" t="n"/>
      <c r="DLQ90" s="207" t="n"/>
      <c r="DLR90" s="207" t="n"/>
      <c r="DLS90" s="207" t="n"/>
      <c r="DLT90" s="207" t="n"/>
      <c r="DLU90" s="207" t="n"/>
      <c r="DLV90" s="207" t="n"/>
      <c r="DLW90" s="207" t="n"/>
      <c r="DLX90" s="207" t="n"/>
      <c r="DLY90" s="207" t="n"/>
      <c r="DLZ90" s="207" t="n"/>
      <c r="DMA90" s="207" t="n"/>
      <c r="DMB90" s="207" t="n"/>
      <c r="DMC90" s="207" t="n"/>
      <c r="DMD90" s="207" t="n"/>
      <c r="DME90" s="207" t="n"/>
      <c r="DMF90" s="207" t="n"/>
      <c r="DMG90" s="207" t="n"/>
      <c r="DMH90" s="207" t="n"/>
      <c r="DMI90" s="207" t="n"/>
      <c r="DMJ90" s="207" t="n"/>
      <c r="DMK90" s="207" t="n"/>
      <c r="DML90" s="207" t="n"/>
      <c r="DMM90" s="207" t="n"/>
      <c r="DMN90" s="207" t="n"/>
      <c r="DMO90" s="207" t="n"/>
      <c r="DMP90" s="207" t="n"/>
      <c r="DMQ90" s="207" t="n"/>
      <c r="DMR90" s="207" t="n"/>
      <c r="DMS90" s="207" t="n"/>
      <c r="DMT90" s="207" t="n"/>
      <c r="DMU90" s="207" t="n"/>
      <c r="DMV90" s="207" t="n"/>
      <c r="DMW90" s="207" t="n"/>
      <c r="DMX90" s="207" t="n"/>
      <c r="DMY90" s="207" t="n"/>
      <c r="DMZ90" s="207" t="n"/>
      <c r="DNA90" s="207" t="n"/>
      <c r="DNB90" s="207" t="n"/>
      <c r="DNC90" s="207" t="n"/>
      <c r="DND90" s="207" t="n"/>
      <c r="DNE90" s="207" t="n"/>
      <c r="DNF90" s="207" t="n"/>
      <c r="DNG90" s="207" t="n"/>
      <c r="DNH90" s="207" t="n"/>
      <c r="DNI90" s="207" t="n"/>
      <c r="DNJ90" s="207" t="n"/>
      <c r="DNK90" s="207" t="n"/>
      <c r="DNL90" s="207" t="n"/>
      <c r="DNM90" s="207" t="n"/>
      <c r="DNN90" s="207" t="n"/>
      <c r="DNO90" s="207" t="n"/>
      <c r="DNP90" s="207" t="n"/>
      <c r="DNQ90" s="207" t="n"/>
      <c r="DNR90" s="207" t="n"/>
      <c r="DNS90" s="207" t="n"/>
      <c r="DNT90" s="207" t="n"/>
      <c r="DNU90" s="207" t="n"/>
      <c r="DNV90" s="207" t="n"/>
      <c r="DNW90" s="207" t="n"/>
      <c r="DNX90" s="207" t="n"/>
      <c r="DNY90" s="207" t="n"/>
      <c r="DNZ90" s="207" t="n"/>
      <c r="DOA90" s="207" t="n"/>
      <c r="DOB90" s="207" t="n"/>
      <c r="DOC90" s="207" t="n"/>
      <c r="DOD90" s="207" t="n"/>
      <c r="DOE90" s="207" t="n"/>
      <c r="DOF90" s="207" t="n"/>
      <c r="DOG90" s="207" t="n"/>
      <c r="DOH90" s="207" t="n"/>
      <c r="DOI90" s="207" t="n"/>
      <c r="DOJ90" s="207" t="n"/>
      <c r="DOK90" s="207" t="n"/>
      <c r="DOL90" s="207" t="n"/>
      <c r="DOM90" s="207" t="n"/>
      <c r="DON90" s="207" t="n"/>
      <c r="DOO90" s="207" t="n"/>
      <c r="DOP90" s="207" t="n"/>
      <c r="DOQ90" s="207" t="n"/>
      <c r="DOR90" s="207" t="n"/>
      <c r="DOS90" s="207" t="n"/>
      <c r="DOT90" s="207" t="n"/>
      <c r="DOU90" s="207" t="n"/>
      <c r="DOV90" s="207" t="n"/>
      <c r="DOW90" s="207" t="n"/>
      <c r="DOX90" s="207" t="n"/>
      <c r="DOY90" s="207" t="n"/>
      <c r="DOZ90" s="207" t="n"/>
      <c r="DPA90" s="207" t="n"/>
      <c r="DPB90" s="207" t="n"/>
      <c r="DPC90" s="207" t="n"/>
      <c r="DPD90" s="207" t="n"/>
      <c r="DPE90" s="207" t="n"/>
      <c r="DPF90" s="207" t="n"/>
      <c r="DPG90" s="207" t="n"/>
      <c r="DPH90" s="207" t="n"/>
      <c r="DPI90" s="207" t="n"/>
      <c r="DPJ90" s="207" t="n"/>
      <c r="DPK90" s="207" t="n"/>
      <c r="DPL90" s="207" t="n"/>
      <c r="DPM90" s="207" t="n"/>
      <c r="DPN90" s="207" t="n"/>
      <c r="DPO90" s="207" t="n"/>
      <c r="DPP90" s="207" t="n"/>
      <c r="DPQ90" s="207" t="n"/>
      <c r="DPR90" s="207" t="n"/>
      <c r="DPS90" s="207" t="n"/>
      <c r="DPT90" s="207" t="n"/>
      <c r="DPU90" s="207" t="n"/>
      <c r="DPV90" s="207" t="n"/>
      <c r="DPW90" s="207" t="n"/>
      <c r="DPX90" s="207" t="n"/>
      <c r="DPY90" s="207" t="n"/>
      <c r="DPZ90" s="207" t="n"/>
      <c r="DQA90" s="207" t="n"/>
      <c r="DQB90" s="207" t="n"/>
      <c r="DQC90" s="207" t="n"/>
      <c r="DQD90" s="207" t="n"/>
      <c r="DQE90" s="207" t="n"/>
      <c r="DQF90" s="207" t="n"/>
      <c r="DQG90" s="207" t="n"/>
      <c r="DQH90" s="207" t="n"/>
      <c r="DQI90" s="207" t="n"/>
      <c r="DQJ90" s="207" t="n"/>
      <c r="DQK90" s="207" t="n"/>
      <c r="DQL90" s="207" t="n"/>
      <c r="DQM90" s="207" t="n"/>
      <c r="DQN90" s="207" t="n"/>
      <c r="DQO90" s="207" t="n"/>
      <c r="DQP90" s="207" t="n"/>
      <c r="DQQ90" s="207" t="n"/>
      <c r="DQR90" s="207" t="n"/>
      <c r="DQS90" s="207" t="n"/>
      <c r="DQT90" s="207" t="n"/>
      <c r="DQU90" s="207" t="n"/>
      <c r="DQV90" s="207" t="n"/>
      <c r="DQW90" s="207" t="n"/>
      <c r="DQX90" s="207" t="n"/>
      <c r="DQY90" s="207" t="n"/>
      <c r="DQZ90" s="207" t="n"/>
      <c r="DRA90" s="207" t="n"/>
      <c r="DRB90" s="207" t="n"/>
      <c r="DRC90" s="207" t="n"/>
      <c r="DRD90" s="207" t="n"/>
      <c r="DRE90" s="207" t="n"/>
      <c r="DRF90" s="207" t="n"/>
      <c r="DRG90" s="207" t="n"/>
      <c r="DRH90" s="207" t="n"/>
      <c r="DRI90" s="207" t="n"/>
      <c r="DRJ90" s="207" t="n"/>
      <c r="DRK90" s="207" t="n"/>
      <c r="DRL90" s="207" t="n"/>
      <c r="DRM90" s="207" t="n"/>
      <c r="DRN90" s="207" t="n"/>
      <c r="DRO90" s="207" t="n"/>
      <c r="DRP90" s="207" t="n"/>
      <c r="DRQ90" s="207" t="n"/>
      <c r="DRR90" s="207" t="n"/>
      <c r="DRS90" s="207" t="n"/>
      <c r="DRT90" s="207" t="n"/>
      <c r="DRU90" s="207" t="n"/>
      <c r="DRV90" s="207" t="n"/>
      <c r="DRW90" s="207" t="n"/>
      <c r="DRX90" s="207" t="n"/>
      <c r="DRY90" s="207" t="n"/>
      <c r="DRZ90" s="207" t="n"/>
      <c r="DSA90" s="207" t="n"/>
      <c r="DSB90" s="207" t="n"/>
      <c r="DSC90" s="207" t="n"/>
      <c r="DSD90" s="207" t="n"/>
      <c r="DSE90" s="207" t="n"/>
      <c r="DSF90" s="207" t="n"/>
      <c r="DSG90" s="207" t="n"/>
      <c r="DSH90" s="207" t="n"/>
      <c r="DSI90" s="207" t="n"/>
      <c r="DSJ90" s="207" t="n"/>
      <c r="DSK90" s="207" t="n"/>
      <c r="DSL90" s="207" t="n"/>
      <c r="DSM90" s="207" t="n"/>
      <c r="DSN90" s="207" t="n"/>
      <c r="DSO90" s="207" t="n"/>
      <c r="DSP90" s="207" t="n"/>
      <c r="DSQ90" s="207" t="n"/>
      <c r="DSR90" s="207" t="n"/>
      <c r="DSS90" s="207" t="n"/>
      <c r="DST90" s="207" t="n"/>
      <c r="DSU90" s="207" t="n"/>
      <c r="DSV90" s="207" t="n"/>
      <c r="DSW90" s="207" t="n"/>
      <c r="DSX90" s="207" t="n"/>
      <c r="DSY90" s="207" t="n"/>
      <c r="DSZ90" s="207" t="n"/>
      <c r="DTA90" s="207" t="n"/>
      <c r="DTB90" s="207" t="n"/>
      <c r="DTC90" s="207" t="n"/>
      <c r="DTD90" s="207" t="n"/>
      <c r="DTE90" s="207" t="n"/>
      <c r="DTF90" s="207" t="n"/>
      <c r="DTG90" s="207" t="n"/>
      <c r="DTH90" s="207" t="n"/>
      <c r="DTI90" s="207" t="n"/>
      <c r="DTJ90" s="207" t="n"/>
      <c r="DTK90" s="207" t="n"/>
      <c r="DTL90" s="207" t="n"/>
      <c r="DTM90" s="207" t="n"/>
      <c r="DTN90" s="207" t="n"/>
      <c r="DTO90" s="207" t="n"/>
      <c r="DTP90" s="207" t="n"/>
      <c r="DTQ90" s="207" t="n"/>
      <c r="DTR90" s="207" t="n"/>
      <c r="DTS90" s="207" t="n"/>
      <c r="DTT90" s="207" t="n"/>
      <c r="DTU90" s="207" t="n"/>
      <c r="DTV90" s="207" t="n"/>
      <c r="DTW90" s="207" t="n"/>
      <c r="DTX90" s="207" t="n"/>
      <c r="DTY90" s="207" t="n"/>
      <c r="DTZ90" s="207" t="n"/>
      <c r="DUA90" s="207" t="n"/>
      <c r="DUB90" s="207" t="n"/>
      <c r="DUC90" s="207" t="n"/>
      <c r="DUD90" s="207" t="n"/>
      <c r="DUE90" s="207" t="n"/>
      <c r="DUF90" s="207" t="n"/>
      <c r="DUG90" s="207" t="n"/>
      <c r="DUH90" s="207" t="n"/>
      <c r="DUI90" s="207" t="n"/>
      <c r="DUJ90" s="207" t="n"/>
      <c r="DUK90" s="207" t="n"/>
      <c r="DUL90" s="207" t="n"/>
      <c r="DUM90" s="207" t="n"/>
      <c r="DUN90" s="207" t="n"/>
      <c r="DUO90" s="207" t="n"/>
      <c r="DUP90" s="207" t="n"/>
      <c r="DUQ90" s="207" t="n"/>
      <c r="DUR90" s="207" t="n"/>
      <c r="DUS90" s="207" t="n"/>
      <c r="DUT90" s="207" t="n"/>
      <c r="DUU90" s="207" t="n"/>
      <c r="DUV90" s="207" t="n"/>
      <c r="DUW90" s="207" t="n"/>
      <c r="DUX90" s="207" t="n"/>
      <c r="DUY90" s="207" t="n"/>
      <c r="DUZ90" s="207" t="n"/>
      <c r="DVA90" s="207" t="n"/>
      <c r="DVB90" s="207" t="n"/>
      <c r="DVC90" s="207" t="n"/>
      <c r="DVD90" s="207" t="n"/>
      <c r="DVE90" s="207" t="n"/>
      <c r="DVF90" s="207" t="n"/>
      <c r="DVG90" s="207" t="n"/>
      <c r="DVH90" s="207" t="n"/>
      <c r="DVI90" s="207" t="n"/>
      <c r="DVJ90" s="207" t="n"/>
      <c r="DVK90" s="207" t="n"/>
      <c r="DVL90" s="207" t="n"/>
      <c r="DVM90" s="207" t="n"/>
      <c r="DVN90" s="207" t="n"/>
      <c r="DVO90" s="207" t="n"/>
      <c r="DVP90" s="207" t="n"/>
      <c r="DVQ90" s="207" t="n"/>
      <c r="DVR90" s="207" t="n"/>
      <c r="DVS90" s="207" t="n"/>
      <c r="DVT90" s="207" t="n"/>
      <c r="DVU90" s="207" t="n"/>
      <c r="DVV90" s="207" t="n"/>
      <c r="DVW90" s="207" t="n"/>
      <c r="DVX90" s="207" t="n"/>
      <c r="DVY90" s="207" t="n"/>
      <c r="DVZ90" s="207" t="n"/>
      <c r="DWA90" s="207" t="n"/>
      <c r="DWB90" s="207" t="n"/>
      <c r="DWC90" s="207" t="n"/>
      <c r="DWD90" s="207" t="n"/>
      <c r="DWE90" s="207" t="n"/>
      <c r="DWF90" s="207" t="n"/>
      <c r="DWG90" s="207" t="n"/>
      <c r="DWH90" s="207" t="n"/>
      <c r="DWI90" s="207" t="n"/>
      <c r="DWJ90" s="207" t="n"/>
      <c r="DWK90" s="207" t="n"/>
      <c r="DWL90" s="207" t="n"/>
      <c r="DWM90" s="207" t="n"/>
      <c r="DWN90" s="207" t="n"/>
      <c r="DWO90" s="207" t="n"/>
      <c r="DWP90" s="207" t="n"/>
      <c r="DWQ90" s="207" t="n"/>
      <c r="DWR90" s="207" t="n"/>
      <c r="DWS90" s="207" t="n"/>
      <c r="DWT90" s="207" t="n"/>
      <c r="DWU90" s="207" t="n"/>
      <c r="DWV90" s="207" t="n"/>
      <c r="DWW90" s="207" t="n"/>
      <c r="DWX90" s="207" t="n"/>
      <c r="DWY90" s="207" t="n"/>
      <c r="DWZ90" s="207" t="n"/>
      <c r="DXA90" s="207" t="n"/>
      <c r="DXB90" s="207" t="n"/>
      <c r="DXC90" s="207" t="n"/>
      <c r="DXD90" s="207" t="n"/>
      <c r="DXE90" s="207" t="n"/>
      <c r="DXF90" s="207" t="n"/>
      <c r="DXG90" s="207" t="n"/>
      <c r="DXH90" s="207" t="n"/>
      <c r="DXI90" s="207" t="n"/>
      <c r="DXJ90" s="207" t="n"/>
      <c r="DXK90" s="207" t="n"/>
      <c r="DXL90" s="207" t="n"/>
      <c r="DXM90" s="207" t="n"/>
      <c r="DXN90" s="207" t="n"/>
      <c r="DXO90" s="207" t="n"/>
      <c r="DXP90" s="207" t="n"/>
      <c r="DXQ90" s="207" t="n"/>
      <c r="DXR90" s="207" t="n"/>
      <c r="DXS90" s="207" t="n"/>
      <c r="DXT90" s="207" t="n"/>
      <c r="DXU90" s="207" t="n"/>
      <c r="DXV90" s="207" t="n"/>
      <c r="DXW90" s="207" t="n"/>
      <c r="DXX90" s="207" t="n"/>
      <c r="DXY90" s="207" t="n"/>
      <c r="DXZ90" s="207" t="n"/>
      <c r="DYA90" s="207" t="n"/>
      <c r="DYB90" s="207" t="n"/>
      <c r="DYC90" s="207" t="n"/>
      <c r="DYD90" s="207" t="n"/>
      <c r="DYE90" s="207" t="n"/>
      <c r="DYF90" s="207" t="n"/>
      <c r="DYG90" s="207" t="n"/>
      <c r="DYH90" s="207" t="n"/>
      <c r="DYI90" s="207" t="n"/>
      <c r="DYJ90" s="207" t="n"/>
      <c r="DYK90" s="207" t="n"/>
      <c r="DYL90" s="207" t="n"/>
      <c r="DYM90" s="207" t="n"/>
      <c r="DYN90" s="207" t="n"/>
      <c r="DYO90" s="207" t="n"/>
      <c r="DYP90" s="207" t="n"/>
      <c r="DYQ90" s="207" t="n"/>
      <c r="DYR90" s="207" t="n"/>
      <c r="DYS90" s="207" t="n"/>
      <c r="DYT90" s="207" t="n"/>
      <c r="DYU90" s="207" t="n"/>
      <c r="DYV90" s="207" t="n"/>
      <c r="DYW90" s="207" t="n"/>
      <c r="DYX90" s="207" t="n"/>
      <c r="DYY90" s="207" t="n"/>
      <c r="DYZ90" s="207" t="n"/>
      <c r="DZA90" s="207" t="n"/>
      <c r="DZB90" s="207" t="n"/>
      <c r="DZC90" s="207" t="n"/>
      <c r="DZD90" s="207" t="n"/>
      <c r="DZE90" s="207" t="n"/>
      <c r="DZF90" s="207" t="n"/>
      <c r="DZG90" s="207" t="n"/>
      <c r="DZH90" s="207" t="n"/>
      <c r="DZI90" s="207" t="n"/>
      <c r="DZJ90" s="207" t="n"/>
      <c r="DZK90" s="207" t="n"/>
      <c r="DZL90" s="207" t="n"/>
      <c r="DZM90" s="207" t="n"/>
      <c r="DZN90" s="207" t="n"/>
      <c r="DZO90" s="207" t="n"/>
      <c r="DZP90" s="207" t="n"/>
      <c r="DZQ90" s="207" t="n"/>
      <c r="DZR90" s="207" t="n"/>
      <c r="DZS90" s="207" t="n"/>
      <c r="DZT90" s="207" t="n"/>
      <c r="DZU90" s="207" t="n"/>
      <c r="DZV90" s="207" t="n"/>
      <c r="DZW90" s="207" t="n"/>
      <c r="DZX90" s="207" t="n"/>
      <c r="DZY90" s="207" t="n"/>
      <c r="DZZ90" s="207" t="n"/>
      <c r="EAA90" s="207" t="n"/>
      <c r="EAB90" s="207" t="n"/>
      <c r="EAC90" s="207" t="n"/>
      <c r="EAD90" s="207" t="n"/>
      <c r="EAE90" s="207" t="n"/>
      <c r="EAF90" s="207" t="n"/>
      <c r="EAG90" s="207" t="n"/>
      <c r="EAH90" s="207" t="n"/>
      <c r="EAI90" s="207" t="n"/>
      <c r="EAJ90" s="207" t="n"/>
      <c r="EAK90" s="207" t="n"/>
      <c r="EAL90" s="207" t="n"/>
      <c r="EAM90" s="207" t="n"/>
      <c r="EAN90" s="207" t="n"/>
      <c r="EAO90" s="207" t="n"/>
      <c r="EAP90" s="207" t="n"/>
      <c r="EAQ90" s="207" t="n"/>
      <c r="EAR90" s="207" t="n"/>
      <c r="EAS90" s="207" t="n"/>
      <c r="EAT90" s="207" t="n"/>
      <c r="EAU90" s="207" t="n"/>
      <c r="EAV90" s="207" t="n"/>
      <c r="EAW90" s="207" t="n"/>
      <c r="EAX90" s="207" t="n"/>
      <c r="EAY90" s="207" t="n"/>
      <c r="EAZ90" s="207" t="n"/>
      <c r="EBA90" s="207" t="n"/>
      <c r="EBB90" s="207" t="n"/>
      <c r="EBC90" s="207" t="n"/>
      <c r="EBD90" s="207" t="n"/>
      <c r="EBE90" s="207" t="n"/>
      <c r="EBF90" s="207" t="n"/>
      <c r="EBG90" s="207" t="n"/>
      <c r="EBH90" s="207" t="n"/>
      <c r="EBI90" s="207" t="n"/>
      <c r="EBJ90" s="207" t="n"/>
      <c r="EBK90" s="207" t="n"/>
      <c r="EBL90" s="207" t="n"/>
      <c r="EBM90" s="207" t="n"/>
      <c r="EBN90" s="207" t="n"/>
      <c r="EBO90" s="207" t="n"/>
      <c r="EBP90" s="207" t="n"/>
      <c r="EBQ90" s="207" t="n"/>
      <c r="EBR90" s="207" t="n"/>
      <c r="EBS90" s="207" t="n"/>
      <c r="EBT90" s="207" t="n"/>
      <c r="EBU90" s="207" t="n"/>
      <c r="EBV90" s="207" t="n"/>
      <c r="EBW90" s="207" t="n"/>
      <c r="EBX90" s="207" t="n"/>
      <c r="EBY90" s="207" t="n"/>
      <c r="EBZ90" s="207" t="n"/>
      <c r="ECA90" s="207" t="n"/>
      <c r="ECB90" s="207" t="n"/>
      <c r="ECC90" s="207" t="n"/>
      <c r="ECD90" s="207" t="n"/>
      <c r="ECE90" s="207" t="n"/>
      <c r="ECF90" s="207" t="n"/>
      <c r="ECG90" s="207" t="n"/>
      <c r="ECH90" s="207" t="n"/>
      <c r="ECI90" s="207" t="n"/>
      <c r="ECJ90" s="207" t="n"/>
      <c r="ECK90" s="207" t="n"/>
      <c r="ECL90" s="207" t="n"/>
      <c r="ECM90" s="207" t="n"/>
      <c r="ECN90" s="207" t="n"/>
      <c r="ECO90" s="207" t="n"/>
      <c r="ECP90" s="207" t="n"/>
      <c r="ECQ90" s="207" t="n"/>
      <c r="ECR90" s="207" t="n"/>
      <c r="ECS90" s="207" t="n"/>
      <c r="ECT90" s="207" t="n"/>
      <c r="ECU90" s="207" t="n"/>
      <c r="ECV90" s="207" t="n"/>
      <c r="ECW90" s="207" t="n"/>
      <c r="ECX90" s="207" t="n"/>
      <c r="ECY90" s="207" t="n"/>
      <c r="ECZ90" s="207" t="n"/>
      <c r="EDA90" s="207" t="n"/>
      <c r="EDB90" s="207" t="n"/>
      <c r="EDC90" s="207" t="n"/>
      <c r="EDD90" s="207" t="n"/>
      <c r="EDE90" s="207" t="n"/>
      <c r="EDF90" s="207" t="n"/>
      <c r="EDG90" s="207" t="n"/>
      <c r="EDH90" s="207" t="n"/>
      <c r="EDI90" s="207" t="n"/>
      <c r="EDJ90" s="207" t="n"/>
      <c r="EDK90" s="207" t="n"/>
      <c r="EDL90" s="207" t="n"/>
      <c r="EDM90" s="207" t="n"/>
      <c r="EDN90" s="207" t="n"/>
      <c r="EDO90" s="207" t="n"/>
      <c r="EDP90" s="207" t="n"/>
      <c r="EDQ90" s="207" t="n"/>
      <c r="EDR90" s="207" t="n"/>
      <c r="EDS90" s="207" t="n"/>
      <c r="EDT90" s="207" t="n"/>
      <c r="EDU90" s="207" t="n"/>
      <c r="EDV90" s="207" t="n"/>
      <c r="EDW90" s="207" t="n"/>
      <c r="EDX90" s="207" t="n"/>
      <c r="EDY90" s="207" t="n"/>
      <c r="EDZ90" s="207" t="n"/>
      <c r="EEA90" s="207" t="n"/>
      <c r="EEB90" s="207" t="n"/>
      <c r="EEC90" s="207" t="n"/>
      <c r="EED90" s="207" t="n"/>
      <c r="EEE90" s="207" t="n"/>
      <c r="EEF90" s="207" t="n"/>
      <c r="EEG90" s="207" t="n"/>
      <c r="EEH90" s="207" t="n"/>
      <c r="EEI90" s="207" t="n"/>
      <c r="EEJ90" s="207" t="n"/>
      <c r="EEK90" s="207" t="n"/>
      <c r="EEL90" s="207" t="n"/>
      <c r="EEM90" s="207" t="n"/>
      <c r="EEN90" s="207" t="n"/>
      <c r="EEO90" s="207" t="n"/>
      <c r="EEP90" s="207" t="n"/>
      <c r="EEQ90" s="207" t="n"/>
      <c r="EER90" s="207" t="n"/>
      <c r="EES90" s="207" t="n"/>
      <c r="EET90" s="207" t="n"/>
      <c r="EEU90" s="207" t="n"/>
      <c r="EEV90" s="207" t="n"/>
      <c r="EEW90" s="207" t="n"/>
      <c r="EEX90" s="207" t="n"/>
      <c r="EEY90" s="207" t="n"/>
      <c r="EEZ90" s="207" t="n"/>
      <c r="EFA90" s="207" t="n"/>
      <c r="EFB90" s="207" t="n"/>
      <c r="EFC90" s="207" t="n"/>
      <c r="EFD90" s="207" t="n"/>
      <c r="EFE90" s="207" t="n"/>
      <c r="EFF90" s="207" t="n"/>
      <c r="EFG90" s="207" t="n"/>
      <c r="EFH90" s="207" t="n"/>
      <c r="EFI90" s="207" t="n"/>
      <c r="EFJ90" s="207" t="n"/>
      <c r="EFK90" s="207" t="n"/>
      <c r="EFL90" s="207" t="n"/>
      <c r="EFM90" s="207" t="n"/>
      <c r="EFN90" s="207" t="n"/>
      <c r="EFO90" s="207" t="n"/>
      <c r="EFP90" s="207" t="n"/>
      <c r="EFQ90" s="207" t="n"/>
      <c r="EFR90" s="207" t="n"/>
      <c r="EFS90" s="207" t="n"/>
      <c r="EFT90" s="207" t="n"/>
      <c r="EFU90" s="207" t="n"/>
      <c r="EFV90" s="207" t="n"/>
      <c r="EFW90" s="207" t="n"/>
      <c r="EFX90" s="207" t="n"/>
      <c r="EFY90" s="207" t="n"/>
      <c r="EFZ90" s="207" t="n"/>
      <c r="EGA90" s="207" t="n"/>
      <c r="EGB90" s="207" t="n"/>
      <c r="EGC90" s="207" t="n"/>
      <c r="EGD90" s="207" t="n"/>
      <c r="EGE90" s="207" t="n"/>
      <c r="EGF90" s="207" t="n"/>
      <c r="EGG90" s="207" t="n"/>
      <c r="EGH90" s="207" t="n"/>
      <c r="EGI90" s="207" t="n"/>
      <c r="EGJ90" s="207" t="n"/>
      <c r="EGK90" s="207" t="n"/>
      <c r="EGL90" s="207" t="n"/>
      <c r="EGM90" s="207" t="n"/>
      <c r="EGN90" s="207" t="n"/>
      <c r="EGO90" s="207" t="n"/>
      <c r="EGP90" s="207" t="n"/>
      <c r="EGQ90" s="207" t="n"/>
      <c r="EGR90" s="207" t="n"/>
      <c r="EGS90" s="207" t="n"/>
      <c r="EGT90" s="207" t="n"/>
      <c r="EGU90" s="207" t="n"/>
      <c r="EGV90" s="207" t="n"/>
      <c r="EGW90" s="207" t="n"/>
      <c r="EGX90" s="207" t="n"/>
      <c r="EGY90" s="207" t="n"/>
      <c r="EGZ90" s="207" t="n"/>
      <c r="EHA90" s="207" t="n"/>
      <c r="EHB90" s="207" t="n"/>
      <c r="EHC90" s="207" t="n"/>
      <c r="EHD90" s="207" t="n"/>
      <c r="EHE90" s="207" t="n"/>
      <c r="EHF90" s="207" t="n"/>
      <c r="EHG90" s="207" t="n"/>
      <c r="EHH90" s="207" t="n"/>
      <c r="EHI90" s="207" t="n"/>
      <c r="EHJ90" s="207" t="n"/>
      <c r="EHK90" s="207" t="n"/>
      <c r="EHL90" s="207" t="n"/>
      <c r="EHM90" s="207" t="n"/>
      <c r="EHN90" s="207" t="n"/>
      <c r="EHO90" s="207" t="n"/>
      <c r="EHP90" s="207" t="n"/>
      <c r="EHQ90" s="207" t="n"/>
      <c r="EHR90" s="207" t="n"/>
      <c r="EHS90" s="207" t="n"/>
      <c r="EHT90" s="207" t="n"/>
      <c r="EHU90" s="207" t="n"/>
      <c r="EHV90" s="207" t="n"/>
      <c r="EHW90" s="207" t="n"/>
      <c r="EHX90" s="207" t="n"/>
      <c r="EHY90" s="207" t="n"/>
      <c r="EHZ90" s="207" t="n"/>
      <c r="EIA90" s="207" t="n"/>
      <c r="EIB90" s="207" t="n"/>
      <c r="EIC90" s="207" t="n"/>
      <c r="EID90" s="207" t="n"/>
      <c r="EIE90" s="207" t="n"/>
      <c r="EIF90" s="207" t="n"/>
      <c r="EIG90" s="207" t="n"/>
      <c r="EIH90" s="207" t="n"/>
      <c r="EII90" s="207" t="n"/>
      <c r="EIJ90" s="207" t="n"/>
      <c r="EIK90" s="207" t="n"/>
      <c r="EIL90" s="207" t="n"/>
      <c r="EIM90" s="207" t="n"/>
      <c r="EIN90" s="207" t="n"/>
      <c r="EIO90" s="207" t="n"/>
      <c r="EIP90" s="207" t="n"/>
      <c r="EIQ90" s="207" t="n"/>
      <c r="EIR90" s="207" t="n"/>
      <c r="EIS90" s="207" t="n"/>
      <c r="EIT90" s="207" t="n"/>
      <c r="EIU90" s="207" t="n"/>
      <c r="EIV90" s="207" t="n"/>
      <c r="EIW90" s="207" t="n"/>
      <c r="EIX90" s="207" t="n"/>
      <c r="EIY90" s="207" t="n"/>
      <c r="EIZ90" s="207" t="n"/>
      <c r="EJA90" s="207" t="n"/>
      <c r="EJB90" s="207" t="n"/>
      <c r="EJC90" s="207" t="n"/>
      <c r="EJD90" s="207" t="n"/>
      <c r="EJE90" s="207" t="n"/>
      <c r="EJF90" s="207" t="n"/>
      <c r="EJG90" s="207" t="n"/>
      <c r="EJH90" s="207" t="n"/>
      <c r="EJI90" s="207" t="n"/>
      <c r="EJJ90" s="207" t="n"/>
      <c r="EJK90" s="207" t="n"/>
      <c r="EJL90" s="207" t="n"/>
      <c r="EJM90" s="207" t="n"/>
      <c r="EJN90" s="207" t="n"/>
      <c r="EJO90" s="207" t="n"/>
      <c r="EJP90" s="207" t="n"/>
      <c r="EJQ90" s="207" t="n"/>
      <c r="EJR90" s="207" t="n"/>
      <c r="EJS90" s="207" t="n"/>
      <c r="EJT90" s="207" t="n"/>
      <c r="EJU90" s="207" t="n"/>
      <c r="EJV90" s="207" t="n"/>
      <c r="EJW90" s="207" t="n"/>
      <c r="EJX90" s="207" t="n"/>
      <c r="EJY90" s="207" t="n"/>
      <c r="EJZ90" s="207" t="n"/>
      <c r="EKA90" s="207" t="n"/>
      <c r="EKB90" s="207" t="n"/>
      <c r="EKC90" s="207" t="n"/>
      <c r="EKD90" s="207" t="n"/>
      <c r="EKE90" s="207" t="n"/>
      <c r="EKF90" s="207" t="n"/>
      <c r="EKG90" s="207" t="n"/>
      <c r="EKH90" s="207" t="n"/>
      <c r="EKI90" s="207" t="n"/>
      <c r="EKJ90" s="207" t="n"/>
      <c r="EKK90" s="207" t="n"/>
      <c r="EKL90" s="207" t="n"/>
      <c r="EKM90" s="207" t="n"/>
      <c r="EKN90" s="207" t="n"/>
      <c r="EKO90" s="207" t="n"/>
      <c r="EKP90" s="207" t="n"/>
      <c r="EKQ90" s="207" t="n"/>
      <c r="EKR90" s="207" t="n"/>
      <c r="EKS90" s="207" t="n"/>
      <c r="EKT90" s="207" t="n"/>
      <c r="EKU90" s="207" t="n"/>
      <c r="EKV90" s="207" t="n"/>
      <c r="EKW90" s="207" t="n"/>
      <c r="EKX90" s="207" t="n"/>
      <c r="EKY90" s="207" t="n"/>
      <c r="EKZ90" s="207" t="n"/>
      <c r="ELA90" s="207" t="n"/>
      <c r="ELB90" s="207" t="n"/>
      <c r="ELC90" s="207" t="n"/>
      <c r="ELD90" s="207" t="n"/>
      <c r="ELE90" s="207" t="n"/>
      <c r="ELF90" s="207" t="n"/>
      <c r="ELG90" s="207" t="n"/>
      <c r="ELH90" s="207" t="n"/>
      <c r="ELI90" s="207" t="n"/>
      <c r="ELJ90" s="207" t="n"/>
      <c r="ELK90" s="207" t="n"/>
      <c r="ELL90" s="207" t="n"/>
      <c r="ELM90" s="207" t="n"/>
      <c r="ELN90" s="207" t="n"/>
      <c r="ELO90" s="207" t="n"/>
      <c r="ELP90" s="207" t="n"/>
      <c r="ELQ90" s="207" t="n"/>
      <c r="ELR90" s="207" t="n"/>
      <c r="ELS90" s="207" t="n"/>
      <c r="ELT90" s="207" t="n"/>
      <c r="ELU90" s="207" t="n"/>
      <c r="ELV90" s="207" t="n"/>
      <c r="ELW90" s="207" t="n"/>
      <c r="ELX90" s="207" t="n"/>
      <c r="ELY90" s="207" t="n"/>
      <c r="ELZ90" s="207" t="n"/>
      <c r="EMA90" s="207" t="n"/>
      <c r="EMB90" s="207" t="n"/>
      <c r="EMC90" s="207" t="n"/>
      <c r="EMD90" s="207" t="n"/>
      <c r="EME90" s="207" t="n"/>
      <c r="EMF90" s="207" t="n"/>
      <c r="EMG90" s="207" t="n"/>
      <c r="EMH90" s="207" t="n"/>
      <c r="EMI90" s="207" t="n"/>
      <c r="EMJ90" s="207" t="n"/>
      <c r="EMK90" s="207" t="n"/>
      <c r="EML90" s="207" t="n"/>
      <c r="EMM90" s="207" t="n"/>
      <c r="EMN90" s="207" t="n"/>
      <c r="EMO90" s="207" t="n"/>
      <c r="EMP90" s="207" t="n"/>
      <c r="EMQ90" s="207" t="n"/>
      <c r="EMR90" s="207" t="n"/>
      <c r="EMS90" s="207" t="n"/>
      <c r="EMT90" s="207" t="n"/>
      <c r="EMU90" s="207" t="n"/>
      <c r="EMV90" s="207" t="n"/>
      <c r="EMW90" s="207" t="n"/>
      <c r="EMX90" s="207" t="n"/>
      <c r="EMY90" s="207" t="n"/>
      <c r="EMZ90" s="207" t="n"/>
      <c r="ENA90" s="207" t="n"/>
      <c r="ENB90" s="207" t="n"/>
      <c r="ENC90" s="207" t="n"/>
      <c r="END90" s="207" t="n"/>
      <c r="ENE90" s="207" t="n"/>
      <c r="ENF90" s="207" t="n"/>
      <c r="ENG90" s="207" t="n"/>
      <c r="ENH90" s="207" t="n"/>
      <c r="ENI90" s="207" t="n"/>
      <c r="ENJ90" s="207" t="n"/>
      <c r="ENK90" s="207" t="n"/>
      <c r="ENL90" s="207" t="n"/>
      <c r="ENM90" s="207" t="n"/>
      <c r="ENN90" s="207" t="n"/>
      <c r="ENO90" s="207" t="n"/>
      <c r="ENP90" s="207" t="n"/>
      <c r="ENQ90" s="207" t="n"/>
      <c r="ENR90" s="207" t="n"/>
      <c r="ENS90" s="207" t="n"/>
      <c r="ENT90" s="207" t="n"/>
      <c r="ENU90" s="207" t="n"/>
      <c r="ENV90" s="207" t="n"/>
      <c r="ENW90" s="207" t="n"/>
      <c r="ENX90" s="207" t="n"/>
      <c r="ENY90" s="207" t="n"/>
      <c r="ENZ90" s="207" t="n"/>
      <c r="EOA90" s="207" t="n"/>
      <c r="EOB90" s="207" t="n"/>
      <c r="EOC90" s="207" t="n"/>
      <c r="EOD90" s="207" t="n"/>
      <c r="EOE90" s="207" t="n"/>
      <c r="EOF90" s="207" t="n"/>
      <c r="EOG90" s="207" t="n"/>
      <c r="EOH90" s="207" t="n"/>
      <c r="EOI90" s="207" t="n"/>
      <c r="EOJ90" s="207" t="n"/>
      <c r="EOK90" s="207" t="n"/>
      <c r="EOL90" s="207" t="n"/>
      <c r="EOM90" s="207" t="n"/>
      <c r="EON90" s="207" t="n"/>
      <c r="EOO90" s="207" t="n"/>
      <c r="EOP90" s="207" t="n"/>
      <c r="EOQ90" s="207" t="n"/>
      <c r="EOR90" s="207" t="n"/>
      <c r="EOS90" s="207" t="n"/>
      <c r="EOT90" s="207" t="n"/>
      <c r="EOU90" s="207" t="n"/>
      <c r="EOV90" s="207" t="n"/>
      <c r="EOW90" s="207" t="n"/>
      <c r="EOX90" s="207" t="n"/>
      <c r="EOY90" s="207" t="n"/>
      <c r="EOZ90" s="207" t="n"/>
      <c r="EPA90" s="207" t="n"/>
      <c r="EPB90" s="207" t="n"/>
      <c r="EPC90" s="207" t="n"/>
      <c r="EPD90" s="207" t="n"/>
      <c r="EPE90" s="207" t="n"/>
      <c r="EPF90" s="207" t="n"/>
      <c r="EPG90" s="207" t="n"/>
      <c r="EPH90" s="207" t="n"/>
      <c r="EPI90" s="207" t="n"/>
      <c r="EPJ90" s="207" t="n"/>
      <c r="EPK90" s="207" t="n"/>
      <c r="EPL90" s="207" t="n"/>
      <c r="EPM90" s="207" t="n"/>
      <c r="EPN90" s="207" t="n"/>
      <c r="EPO90" s="207" t="n"/>
      <c r="EPP90" s="207" t="n"/>
      <c r="EPQ90" s="207" t="n"/>
      <c r="EPR90" s="207" t="n"/>
      <c r="EPS90" s="207" t="n"/>
      <c r="EPT90" s="207" t="n"/>
      <c r="EPU90" s="207" t="n"/>
      <c r="EPV90" s="207" t="n"/>
      <c r="EPW90" s="207" t="n"/>
      <c r="EPX90" s="207" t="n"/>
      <c r="EPY90" s="207" t="n"/>
      <c r="EPZ90" s="207" t="n"/>
      <c r="EQA90" s="207" t="n"/>
      <c r="EQB90" s="207" t="n"/>
      <c r="EQC90" s="207" t="n"/>
      <c r="EQD90" s="207" t="n"/>
      <c r="EQE90" s="207" t="n"/>
      <c r="EQF90" s="207" t="n"/>
      <c r="EQG90" s="207" t="n"/>
      <c r="EQH90" s="207" t="n"/>
      <c r="EQI90" s="207" t="n"/>
      <c r="EQJ90" s="207" t="n"/>
      <c r="EQK90" s="207" t="n"/>
      <c r="EQL90" s="207" t="n"/>
      <c r="EQM90" s="207" t="n"/>
      <c r="EQN90" s="207" t="n"/>
      <c r="EQO90" s="207" t="n"/>
      <c r="EQP90" s="207" t="n"/>
      <c r="EQQ90" s="207" t="n"/>
      <c r="EQR90" s="207" t="n"/>
      <c r="EQS90" s="207" t="n"/>
      <c r="EQT90" s="207" t="n"/>
      <c r="EQU90" s="207" t="n"/>
      <c r="EQV90" s="207" t="n"/>
      <c r="EQW90" s="207" t="n"/>
      <c r="EQX90" s="207" t="n"/>
      <c r="EQY90" s="207" t="n"/>
      <c r="EQZ90" s="207" t="n"/>
      <c r="ERA90" s="207" t="n"/>
      <c r="ERB90" s="207" t="n"/>
      <c r="ERC90" s="207" t="n"/>
      <c r="ERD90" s="207" t="n"/>
      <c r="ERE90" s="207" t="n"/>
      <c r="ERF90" s="207" t="n"/>
      <c r="ERG90" s="207" t="n"/>
      <c r="ERH90" s="207" t="n"/>
      <c r="ERI90" s="207" t="n"/>
      <c r="ERJ90" s="207" t="n"/>
      <c r="ERK90" s="207" t="n"/>
      <c r="ERL90" s="207" t="n"/>
      <c r="ERM90" s="207" t="n"/>
      <c r="ERN90" s="207" t="n"/>
      <c r="ERO90" s="207" t="n"/>
      <c r="ERP90" s="207" t="n"/>
      <c r="ERQ90" s="207" t="n"/>
      <c r="ERR90" s="207" t="n"/>
      <c r="ERS90" s="207" t="n"/>
      <c r="ERT90" s="207" t="n"/>
      <c r="ERU90" s="207" t="n"/>
      <c r="ERV90" s="207" t="n"/>
      <c r="ERW90" s="207" t="n"/>
      <c r="ERX90" s="207" t="n"/>
      <c r="ERY90" s="207" t="n"/>
      <c r="ERZ90" s="207" t="n"/>
      <c r="ESA90" s="207" t="n"/>
      <c r="ESB90" s="207" t="n"/>
      <c r="ESC90" s="207" t="n"/>
      <c r="ESD90" s="207" t="n"/>
      <c r="ESE90" s="207" t="n"/>
      <c r="ESF90" s="207" t="n"/>
      <c r="ESG90" s="207" t="n"/>
      <c r="ESH90" s="207" t="n"/>
      <c r="ESI90" s="207" t="n"/>
      <c r="ESJ90" s="207" t="n"/>
      <c r="ESK90" s="207" t="n"/>
      <c r="ESL90" s="207" t="n"/>
      <c r="ESM90" s="207" t="n"/>
      <c r="ESN90" s="207" t="n"/>
      <c r="ESO90" s="207" t="n"/>
      <c r="ESP90" s="207" t="n"/>
      <c r="ESQ90" s="207" t="n"/>
      <c r="ESR90" s="207" t="n"/>
      <c r="ESS90" s="207" t="n"/>
      <c r="EST90" s="207" t="n"/>
      <c r="ESU90" s="207" t="n"/>
      <c r="ESV90" s="207" t="n"/>
      <c r="ESW90" s="207" t="n"/>
      <c r="ESX90" s="207" t="n"/>
      <c r="ESY90" s="207" t="n"/>
      <c r="ESZ90" s="207" t="n"/>
      <c r="ETA90" s="207" t="n"/>
      <c r="ETB90" s="207" t="n"/>
      <c r="ETC90" s="207" t="n"/>
      <c r="ETD90" s="207" t="n"/>
      <c r="ETE90" s="207" t="n"/>
      <c r="ETF90" s="207" t="n"/>
      <c r="ETG90" s="207" t="n"/>
      <c r="ETH90" s="207" t="n"/>
      <c r="ETI90" s="207" t="n"/>
      <c r="ETJ90" s="207" t="n"/>
      <c r="ETK90" s="207" t="n"/>
      <c r="ETL90" s="207" t="n"/>
      <c r="ETM90" s="207" t="n"/>
      <c r="ETN90" s="207" t="n"/>
      <c r="ETO90" s="207" t="n"/>
      <c r="ETP90" s="207" t="n"/>
      <c r="ETQ90" s="207" t="n"/>
      <c r="ETR90" s="207" t="n"/>
      <c r="ETS90" s="207" t="n"/>
      <c r="ETT90" s="207" t="n"/>
      <c r="ETU90" s="207" t="n"/>
      <c r="ETV90" s="207" t="n"/>
      <c r="ETW90" s="207" t="n"/>
      <c r="ETX90" s="207" t="n"/>
      <c r="ETY90" s="207" t="n"/>
      <c r="ETZ90" s="207" t="n"/>
      <c r="EUA90" s="207" t="n"/>
      <c r="EUB90" s="207" t="n"/>
      <c r="EUC90" s="207" t="n"/>
      <c r="EUD90" s="207" t="n"/>
      <c r="EUE90" s="207" t="n"/>
      <c r="EUF90" s="207" t="n"/>
      <c r="EUG90" s="207" t="n"/>
      <c r="EUH90" s="207" t="n"/>
      <c r="EUI90" s="207" t="n"/>
      <c r="EUJ90" s="207" t="n"/>
      <c r="EUK90" s="207" t="n"/>
      <c r="EUL90" s="207" t="n"/>
      <c r="EUM90" s="207" t="n"/>
      <c r="EUN90" s="207" t="n"/>
      <c r="EUO90" s="207" t="n"/>
      <c r="EUP90" s="207" t="n"/>
      <c r="EUQ90" s="207" t="n"/>
      <c r="EUR90" s="207" t="n"/>
      <c r="EUS90" s="207" t="n"/>
      <c r="EUT90" s="207" t="n"/>
      <c r="EUU90" s="207" t="n"/>
      <c r="EUV90" s="207" t="n"/>
      <c r="EUW90" s="207" t="n"/>
      <c r="EUX90" s="207" t="n"/>
      <c r="EUY90" s="207" t="n"/>
      <c r="EUZ90" s="207" t="n"/>
      <c r="EVA90" s="207" t="n"/>
      <c r="EVB90" s="207" t="n"/>
      <c r="EVC90" s="207" t="n"/>
      <c r="EVD90" s="207" t="n"/>
      <c r="EVE90" s="207" t="n"/>
      <c r="EVF90" s="207" t="n"/>
      <c r="EVG90" s="207" t="n"/>
      <c r="EVH90" s="207" t="n"/>
      <c r="EVI90" s="207" t="n"/>
      <c r="EVJ90" s="207" t="n"/>
      <c r="EVK90" s="207" t="n"/>
      <c r="EVL90" s="207" t="n"/>
      <c r="EVM90" s="207" t="n"/>
      <c r="EVN90" s="207" t="n"/>
      <c r="EVO90" s="207" t="n"/>
      <c r="EVP90" s="207" t="n"/>
      <c r="EVQ90" s="207" t="n"/>
      <c r="EVR90" s="207" t="n"/>
      <c r="EVS90" s="207" t="n"/>
      <c r="EVT90" s="207" t="n"/>
      <c r="EVU90" s="207" t="n"/>
      <c r="EVV90" s="207" t="n"/>
      <c r="EVW90" s="207" t="n"/>
      <c r="EVX90" s="207" t="n"/>
      <c r="EVY90" s="207" t="n"/>
      <c r="EVZ90" s="207" t="n"/>
      <c r="EWA90" s="207" t="n"/>
      <c r="EWB90" s="207" t="n"/>
      <c r="EWC90" s="207" t="n"/>
      <c r="EWD90" s="207" t="n"/>
      <c r="EWE90" s="207" t="n"/>
      <c r="EWF90" s="207" t="n"/>
      <c r="EWG90" s="207" t="n"/>
      <c r="EWH90" s="207" t="n"/>
      <c r="EWI90" s="207" t="n"/>
      <c r="EWJ90" s="207" t="n"/>
      <c r="EWK90" s="207" t="n"/>
      <c r="EWL90" s="207" t="n"/>
      <c r="EWM90" s="207" t="n"/>
      <c r="EWN90" s="207" t="n"/>
      <c r="EWO90" s="207" t="n"/>
      <c r="EWP90" s="207" t="n"/>
      <c r="EWQ90" s="207" t="n"/>
      <c r="EWR90" s="207" t="n"/>
      <c r="EWS90" s="207" t="n"/>
      <c r="EWT90" s="207" t="n"/>
      <c r="EWU90" s="207" t="n"/>
      <c r="EWV90" s="207" t="n"/>
      <c r="EWW90" s="207" t="n"/>
      <c r="EWX90" s="207" t="n"/>
      <c r="EWY90" s="207" t="n"/>
      <c r="EWZ90" s="207" t="n"/>
      <c r="EXA90" s="207" t="n"/>
      <c r="EXB90" s="207" t="n"/>
      <c r="EXC90" s="207" t="n"/>
      <c r="EXD90" s="207" t="n"/>
      <c r="EXE90" s="207" t="n"/>
      <c r="EXF90" s="207" t="n"/>
      <c r="EXG90" s="207" t="n"/>
      <c r="EXH90" s="207" t="n"/>
      <c r="EXI90" s="207" t="n"/>
      <c r="EXJ90" s="207" t="n"/>
      <c r="EXK90" s="207" t="n"/>
      <c r="EXL90" s="207" t="n"/>
      <c r="EXM90" s="207" t="n"/>
      <c r="EXN90" s="207" t="n"/>
      <c r="EXO90" s="207" t="n"/>
      <c r="EXP90" s="207" t="n"/>
      <c r="EXQ90" s="207" t="n"/>
      <c r="EXR90" s="207" t="n"/>
      <c r="EXS90" s="207" t="n"/>
      <c r="EXT90" s="207" t="n"/>
      <c r="EXU90" s="207" t="n"/>
      <c r="EXV90" s="207" t="n"/>
      <c r="EXW90" s="207" t="n"/>
      <c r="EXX90" s="207" t="n"/>
      <c r="EXY90" s="207" t="n"/>
      <c r="EXZ90" s="207" t="n"/>
      <c r="EYA90" s="207" t="n"/>
      <c r="EYB90" s="207" t="n"/>
      <c r="EYC90" s="207" t="n"/>
      <c r="EYD90" s="207" t="n"/>
      <c r="EYE90" s="207" t="n"/>
      <c r="EYF90" s="207" t="n"/>
      <c r="EYG90" s="207" t="n"/>
      <c r="EYH90" s="207" t="n"/>
      <c r="EYI90" s="207" t="n"/>
      <c r="EYJ90" s="207" t="n"/>
      <c r="EYK90" s="207" t="n"/>
      <c r="EYL90" s="207" t="n"/>
      <c r="EYM90" s="207" t="n"/>
      <c r="EYN90" s="207" t="n"/>
      <c r="EYO90" s="207" t="n"/>
      <c r="EYP90" s="207" t="n"/>
      <c r="EYQ90" s="207" t="n"/>
      <c r="EYR90" s="207" t="n"/>
      <c r="EYS90" s="207" t="n"/>
      <c r="EYT90" s="207" t="n"/>
      <c r="EYU90" s="207" t="n"/>
      <c r="EYV90" s="207" t="n"/>
      <c r="EYW90" s="207" t="n"/>
      <c r="EYX90" s="207" t="n"/>
      <c r="EYY90" s="207" t="n"/>
      <c r="EYZ90" s="207" t="n"/>
      <c r="EZA90" s="207" t="n"/>
      <c r="EZB90" s="207" t="n"/>
      <c r="EZC90" s="207" t="n"/>
      <c r="EZD90" s="207" t="n"/>
      <c r="EZE90" s="207" t="n"/>
      <c r="EZF90" s="207" t="n"/>
      <c r="EZG90" s="207" t="n"/>
      <c r="EZH90" s="207" t="n"/>
      <c r="EZI90" s="207" t="n"/>
      <c r="EZJ90" s="207" t="n"/>
      <c r="EZK90" s="207" t="n"/>
      <c r="EZL90" s="207" t="n"/>
      <c r="EZM90" s="207" t="n"/>
      <c r="EZN90" s="207" t="n"/>
      <c r="EZO90" s="207" t="n"/>
      <c r="EZP90" s="207" t="n"/>
      <c r="EZQ90" s="207" t="n"/>
      <c r="EZR90" s="207" t="n"/>
      <c r="EZS90" s="207" t="n"/>
      <c r="EZT90" s="207" t="n"/>
      <c r="EZU90" s="207" t="n"/>
      <c r="EZV90" s="207" t="n"/>
      <c r="EZW90" s="207" t="n"/>
      <c r="EZX90" s="207" t="n"/>
      <c r="EZY90" s="207" t="n"/>
      <c r="EZZ90" s="207" t="n"/>
      <c r="FAA90" s="207" t="n"/>
      <c r="FAB90" s="207" t="n"/>
      <c r="FAC90" s="207" t="n"/>
      <c r="FAD90" s="207" t="n"/>
      <c r="FAE90" s="207" t="n"/>
      <c r="FAF90" s="207" t="n"/>
      <c r="FAG90" s="207" t="n"/>
      <c r="FAH90" s="207" t="n"/>
      <c r="FAI90" s="207" t="n"/>
      <c r="FAJ90" s="207" t="n"/>
      <c r="FAK90" s="207" t="n"/>
      <c r="FAL90" s="207" t="n"/>
      <c r="FAM90" s="207" t="n"/>
      <c r="FAN90" s="207" t="n"/>
      <c r="FAO90" s="207" t="n"/>
      <c r="FAP90" s="207" t="n"/>
      <c r="FAQ90" s="207" t="n"/>
      <c r="FAR90" s="207" t="n"/>
      <c r="FAS90" s="207" t="n"/>
      <c r="FAT90" s="207" t="n"/>
      <c r="FAU90" s="207" t="n"/>
      <c r="FAV90" s="207" t="n"/>
      <c r="FAW90" s="207" t="n"/>
      <c r="FAX90" s="207" t="n"/>
      <c r="FAY90" s="207" t="n"/>
      <c r="FAZ90" s="207" t="n"/>
      <c r="FBA90" s="207" t="n"/>
      <c r="FBB90" s="207" t="n"/>
      <c r="FBC90" s="207" t="n"/>
      <c r="FBD90" s="207" t="n"/>
      <c r="FBE90" s="207" t="n"/>
      <c r="FBF90" s="207" t="n"/>
      <c r="FBG90" s="207" t="n"/>
      <c r="FBH90" s="207" t="n"/>
      <c r="FBI90" s="207" t="n"/>
      <c r="FBJ90" s="207" t="n"/>
      <c r="FBK90" s="207" t="n"/>
      <c r="FBL90" s="207" t="n"/>
      <c r="FBM90" s="207" t="n"/>
      <c r="FBN90" s="207" t="n"/>
      <c r="FBO90" s="207" t="n"/>
      <c r="FBP90" s="207" t="n"/>
      <c r="FBQ90" s="207" t="n"/>
      <c r="FBR90" s="207" t="n"/>
      <c r="FBS90" s="207" t="n"/>
      <c r="FBT90" s="207" t="n"/>
      <c r="FBU90" s="207" t="n"/>
      <c r="FBV90" s="207" t="n"/>
      <c r="FBW90" s="207" t="n"/>
      <c r="FBX90" s="207" t="n"/>
      <c r="FBY90" s="207" t="n"/>
      <c r="FBZ90" s="207" t="n"/>
      <c r="FCA90" s="207" t="n"/>
      <c r="FCB90" s="207" t="n"/>
      <c r="FCC90" s="207" t="n"/>
      <c r="FCD90" s="207" t="n"/>
      <c r="FCE90" s="207" t="n"/>
      <c r="FCF90" s="207" t="n"/>
      <c r="FCG90" s="207" t="n"/>
      <c r="FCH90" s="207" t="n"/>
      <c r="FCI90" s="207" t="n"/>
      <c r="FCJ90" s="207" t="n"/>
      <c r="FCK90" s="207" t="n"/>
      <c r="FCL90" s="207" t="n"/>
      <c r="FCM90" s="207" t="n"/>
      <c r="FCN90" s="207" t="n"/>
      <c r="FCO90" s="207" t="n"/>
      <c r="FCP90" s="207" t="n"/>
      <c r="FCQ90" s="207" t="n"/>
      <c r="FCR90" s="207" t="n"/>
      <c r="FCS90" s="207" t="n"/>
      <c r="FCT90" s="207" t="n"/>
      <c r="FCU90" s="207" t="n"/>
      <c r="FCV90" s="207" t="n"/>
      <c r="FCW90" s="207" t="n"/>
      <c r="FCX90" s="207" t="n"/>
      <c r="FCY90" s="207" t="n"/>
      <c r="FCZ90" s="207" t="n"/>
      <c r="FDA90" s="207" t="n"/>
      <c r="FDB90" s="207" t="n"/>
      <c r="FDC90" s="207" t="n"/>
      <c r="FDD90" s="207" t="n"/>
      <c r="FDE90" s="207" t="n"/>
      <c r="FDF90" s="207" t="n"/>
      <c r="FDG90" s="207" t="n"/>
      <c r="FDH90" s="207" t="n"/>
      <c r="FDI90" s="207" t="n"/>
      <c r="FDJ90" s="207" t="n"/>
      <c r="FDK90" s="207" t="n"/>
      <c r="FDL90" s="207" t="n"/>
      <c r="FDM90" s="207" t="n"/>
      <c r="FDN90" s="207" t="n"/>
      <c r="FDO90" s="207" t="n"/>
      <c r="FDP90" s="207" t="n"/>
      <c r="FDQ90" s="207" t="n"/>
      <c r="FDR90" s="207" t="n"/>
      <c r="FDS90" s="207" t="n"/>
      <c r="FDT90" s="207" t="n"/>
      <c r="FDU90" s="207" t="n"/>
      <c r="FDV90" s="207" t="n"/>
      <c r="FDW90" s="207" t="n"/>
      <c r="FDX90" s="207" t="n"/>
      <c r="FDY90" s="207" t="n"/>
      <c r="FDZ90" s="207" t="n"/>
      <c r="FEA90" s="207" t="n"/>
      <c r="FEB90" s="207" t="n"/>
      <c r="FEC90" s="207" t="n"/>
      <c r="FED90" s="207" t="n"/>
      <c r="FEE90" s="207" t="n"/>
      <c r="FEF90" s="207" t="n"/>
      <c r="FEG90" s="207" t="n"/>
      <c r="FEH90" s="207" t="n"/>
      <c r="FEI90" s="207" t="n"/>
      <c r="FEJ90" s="207" t="n"/>
      <c r="FEK90" s="207" t="n"/>
      <c r="FEL90" s="207" t="n"/>
      <c r="FEM90" s="207" t="n"/>
      <c r="FEN90" s="207" t="n"/>
      <c r="FEO90" s="207" t="n"/>
      <c r="FEP90" s="207" t="n"/>
      <c r="FEQ90" s="207" t="n"/>
      <c r="FER90" s="207" t="n"/>
      <c r="FES90" s="207" t="n"/>
      <c r="FET90" s="207" t="n"/>
      <c r="FEU90" s="207" t="n"/>
      <c r="FEV90" s="207" t="n"/>
      <c r="FEW90" s="207" t="n"/>
      <c r="FEX90" s="207" t="n"/>
      <c r="FEY90" s="207" t="n"/>
      <c r="FEZ90" s="207" t="n"/>
      <c r="FFA90" s="207" t="n"/>
      <c r="FFB90" s="207" t="n"/>
      <c r="FFC90" s="207" t="n"/>
      <c r="FFD90" s="207" t="n"/>
      <c r="FFE90" s="207" t="n"/>
      <c r="FFF90" s="207" t="n"/>
      <c r="FFG90" s="207" t="n"/>
      <c r="FFH90" s="207" t="n"/>
      <c r="FFI90" s="207" t="n"/>
      <c r="FFJ90" s="207" t="n"/>
      <c r="FFK90" s="207" t="n"/>
      <c r="FFL90" s="207" t="n"/>
      <c r="FFM90" s="207" t="n"/>
      <c r="FFN90" s="207" t="n"/>
      <c r="FFO90" s="207" t="n"/>
      <c r="FFP90" s="207" t="n"/>
      <c r="FFQ90" s="207" t="n"/>
      <c r="FFR90" s="207" t="n"/>
      <c r="FFS90" s="207" t="n"/>
      <c r="FFT90" s="207" t="n"/>
      <c r="FFU90" s="207" t="n"/>
      <c r="FFV90" s="207" t="n"/>
      <c r="FFW90" s="207" t="n"/>
      <c r="FFX90" s="207" t="n"/>
      <c r="FFY90" s="207" t="n"/>
      <c r="FFZ90" s="207" t="n"/>
      <c r="FGA90" s="207" t="n"/>
      <c r="FGB90" s="207" t="n"/>
      <c r="FGC90" s="207" t="n"/>
      <c r="FGD90" s="207" t="n"/>
      <c r="FGE90" s="207" t="n"/>
      <c r="FGF90" s="207" t="n"/>
      <c r="FGG90" s="207" t="n"/>
      <c r="FGH90" s="207" t="n"/>
      <c r="FGI90" s="207" t="n"/>
      <c r="FGJ90" s="207" t="n"/>
      <c r="FGK90" s="207" t="n"/>
      <c r="FGL90" s="207" t="n"/>
      <c r="FGM90" s="207" t="n"/>
      <c r="FGN90" s="207" t="n"/>
      <c r="FGO90" s="207" t="n"/>
      <c r="FGP90" s="207" t="n"/>
      <c r="FGQ90" s="207" t="n"/>
      <c r="FGR90" s="207" t="n"/>
      <c r="FGS90" s="207" t="n"/>
      <c r="FGT90" s="207" t="n"/>
      <c r="FGU90" s="207" t="n"/>
      <c r="FGV90" s="207" t="n"/>
      <c r="FGW90" s="207" t="n"/>
      <c r="FGX90" s="207" t="n"/>
      <c r="FGY90" s="207" t="n"/>
      <c r="FGZ90" s="207" t="n"/>
      <c r="FHA90" s="207" t="n"/>
      <c r="FHB90" s="207" t="n"/>
      <c r="FHC90" s="207" t="n"/>
      <c r="FHD90" s="207" t="n"/>
      <c r="FHE90" s="207" t="n"/>
      <c r="FHF90" s="207" t="n"/>
      <c r="FHG90" s="207" t="n"/>
      <c r="FHH90" s="207" t="n"/>
      <c r="FHI90" s="207" t="n"/>
      <c r="FHJ90" s="207" t="n"/>
      <c r="FHK90" s="207" t="n"/>
      <c r="FHL90" s="207" t="n"/>
      <c r="FHM90" s="207" t="n"/>
      <c r="FHN90" s="207" t="n"/>
      <c r="FHO90" s="207" t="n"/>
      <c r="FHP90" s="207" t="n"/>
      <c r="FHQ90" s="207" t="n"/>
      <c r="FHR90" s="207" t="n"/>
      <c r="FHS90" s="207" t="n"/>
      <c r="FHT90" s="207" t="n"/>
      <c r="FHU90" s="207" t="n"/>
      <c r="FHV90" s="207" t="n"/>
      <c r="FHW90" s="207" t="n"/>
      <c r="FHX90" s="207" t="n"/>
      <c r="FHY90" s="207" t="n"/>
      <c r="FHZ90" s="207" t="n"/>
      <c r="FIA90" s="207" t="n"/>
      <c r="FIB90" s="207" t="n"/>
      <c r="FIC90" s="207" t="n"/>
      <c r="FID90" s="207" t="n"/>
      <c r="FIE90" s="207" t="n"/>
      <c r="FIF90" s="207" t="n"/>
      <c r="FIG90" s="207" t="n"/>
      <c r="FIH90" s="207" t="n"/>
      <c r="FII90" s="207" t="n"/>
      <c r="FIJ90" s="207" t="n"/>
      <c r="FIK90" s="207" t="n"/>
      <c r="FIL90" s="207" t="n"/>
      <c r="FIM90" s="207" t="n"/>
      <c r="FIN90" s="207" t="n"/>
      <c r="FIO90" s="207" t="n"/>
      <c r="FIP90" s="207" t="n"/>
      <c r="FIQ90" s="207" t="n"/>
      <c r="FIR90" s="207" t="n"/>
      <c r="FIS90" s="207" t="n"/>
      <c r="FIT90" s="207" t="n"/>
      <c r="FIU90" s="207" t="n"/>
      <c r="FIV90" s="207" t="n"/>
      <c r="FIW90" s="207" t="n"/>
      <c r="FIX90" s="207" t="n"/>
      <c r="FIY90" s="207" t="n"/>
      <c r="FIZ90" s="207" t="n"/>
      <c r="FJA90" s="207" t="n"/>
      <c r="FJB90" s="207" t="n"/>
      <c r="FJC90" s="207" t="n"/>
      <c r="FJD90" s="207" t="n"/>
      <c r="FJE90" s="207" t="n"/>
      <c r="FJF90" s="207" t="n"/>
      <c r="FJG90" s="207" t="n"/>
      <c r="FJH90" s="207" t="n"/>
      <c r="FJI90" s="207" t="n"/>
      <c r="FJJ90" s="207" t="n"/>
      <c r="FJK90" s="207" t="n"/>
      <c r="FJL90" s="207" t="n"/>
      <c r="FJM90" s="207" t="n"/>
      <c r="FJN90" s="207" t="n"/>
      <c r="FJO90" s="207" t="n"/>
      <c r="FJP90" s="207" t="n"/>
      <c r="FJQ90" s="207" t="n"/>
      <c r="FJR90" s="207" t="n"/>
      <c r="FJS90" s="207" t="n"/>
      <c r="FJT90" s="207" t="n"/>
      <c r="FJU90" s="207" t="n"/>
      <c r="FJV90" s="207" t="n"/>
      <c r="FJW90" s="207" t="n"/>
      <c r="FJX90" s="207" t="n"/>
      <c r="FJY90" s="207" t="n"/>
      <c r="FJZ90" s="207" t="n"/>
      <c r="FKA90" s="207" t="n"/>
      <c r="FKB90" s="207" t="n"/>
      <c r="FKC90" s="207" t="n"/>
      <c r="FKD90" s="207" t="n"/>
      <c r="FKE90" s="207" t="n"/>
      <c r="FKF90" s="207" t="n"/>
      <c r="FKG90" s="207" t="n"/>
      <c r="FKH90" s="207" t="n"/>
      <c r="FKI90" s="207" t="n"/>
      <c r="FKJ90" s="207" t="n"/>
      <c r="FKK90" s="207" t="n"/>
      <c r="FKL90" s="207" t="n"/>
      <c r="FKM90" s="207" t="n"/>
      <c r="FKN90" s="207" t="n"/>
      <c r="FKO90" s="207" t="n"/>
      <c r="FKP90" s="207" t="n"/>
      <c r="FKQ90" s="207" t="n"/>
      <c r="FKR90" s="207" t="n"/>
      <c r="FKS90" s="207" t="n"/>
      <c r="FKT90" s="207" t="n"/>
      <c r="FKU90" s="207" t="n"/>
      <c r="FKV90" s="207" t="n"/>
      <c r="FKW90" s="207" t="n"/>
      <c r="FKX90" s="207" t="n"/>
      <c r="FKY90" s="207" t="n"/>
      <c r="FKZ90" s="207" t="n"/>
      <c r="FLA90" s="207" t="n"/>
      <c r="FLB90" s="207" t="n"/>
      <c r="FLC90" s="207" t="n"/>
      <c r="FLD90" s="207" t="n"/>
      <c r="FLE90" s="207" t="n"/>
      <c r="FLF90" s="207" t="n"/>
      <c r="FLG90" s="207" t="n"/>
      <c r="FLH90" s="207" t="n"/>
      <c r="FLI90" s="207" t="n"/>
      <c r="FLJ90" s="207" t="n"/>
      <c r="FLK90" s="207" t="n"/>
      <c r="FLL90" s="207" t="n"/>
      <c r="FLM90" s="207" t="n"/>
      <c r="FLN90" s="207" t="n"/>
      <c r="FLO90" s="207" t="n"/>
      <c r="FLP90" s="207" t="n"/>
      <c r="FLQ90" s="207" t="n"/>
      <c r="FLR90" s="207" t="n"/>
      <c r="FLS90" s="207" t="n"/>
      <c r="FLT90" s="207" t="n"/>
      <c r="FLU90" s="207" t="n"/>
      <c r="FLV90" s="207" t="n"/>
      <c r="FLW90" s="207" t="n"/>
      <c r="FLX90" s="207" t="n"/>
      <c r="FLY90" s="207" t="n"/>
      <c r="FLZ90" s="207" t="n"/>
      <c r="FMA90" s="207" t="n"/>
      <c r="FMB90" s="207" t="n"/>
      <c r="FMC90" s="207" t="n"/>
      <c r="FMD90" s="207" t="n"/>
      <c r="FME90" s="207" t="n"/>
      <c r="FMF90" s="207" t="n"/>
      <c r="FMG90" s="207" t="n"/>
      <c r="FMH90" s="207" t="n"/>
      <c r="FMI90" s="207" t="n"/>
      <c r="FMJ90" s="207" t="n"/>
      <c r="FMK90" s="207" t="n"/>
      <c r="FML90" s="207" t="n"/>
      <c r="FMM90" s="207" t="n"/>
      <c r="FMN90" s="207" t="n"/>
      <c r="FMO90" s="207" t="n"/>
      <c r="FMP90" s="207" t="n"/>
      <c r="FMQ90" s="207" t="n"/>
      <c r="FMR90" s="207" t="n"/>
      <c r="FMS90" s="207" t="n"/>
      <c r="FMT90" s="207" t="n"/>
      <c r="FMU90" s="207" t="n"/>
      <c r="FMV90" s="207" t="n"/>
      <c r="FMW90" s="207" t="n"/>
      <c r="FMX90" s="207" t="n"/>
      <c r="FMY90" s="207" t="n"/>
      <c r="FMZ90" s="207" t="n"/>
      <c r="FNA90" s="207" t="n"/>
      <c r="FNB90" s="207" t="n"/>
      <c r="FNC90" s="207" t="n"/>
      <c r="FND90" s="207" t="n"/>
      <c r="FNE90" s="207" t="n"/>
      <c r="FNF90" s="207" t="n"/>
      <c r="FNG90" s="207" t="n"/>
      <c r="FNH90" s="207" t="n"/>
      <c r="FNI90" s="207" t="n"/>
      <c r="FNJ90" s="207" t="n"/>
      <c r="FNK90" s="207" t="n"/>
      <c r="FNL90" s="207" t="n"/>
      <c r="FNM90" s="207" t="n"/>
      <c r="FNN90" s="207" t="n"/>
      <c r="FNO90" s="207" t="n"/>
      <c r="FNP90" s="207" t="n"/>
      <c r="FNQ90" s="207" t="n"/>
      <c r="FNR90" s="207" t="n"/>
      <c r="FNS90" s="207" t="n"/>
      <c r="FNT90" s="207" t="n"/>
      <c r="FNU90" s="207" t="n"/>
      <c r="FNV90" s="207" t="n"/>
      <c r="FNW90" s="207" t="n"/>
      <c r="FNX90" s="207" t="n"/>
      <c r="FNY90" s="207" t="n"/>
      <c r="FNZ90" s="207" t="n"/>
      <c r="FOA90" s="207" t="n"/>
      <c r="FOB90" s="207" t="n"/>
      <c r="FOC90" s="207" t="n"/>
      <c r="FOD90" s="207" t="n"/>
      <c r="FOE90" s="207" t="n"/>
      <c r="FOF90" s="207" t="n"/>
      <c r="FOG90" s="207" t="n"/>
      <c r="FOH90" s="207" t="n"/>
      <c r="FOI90" s="207" t="n"/>
      <c r="FOJ90" s="207" t="n"/>
      <c r="FOK90" s="207" t="n"/>
      <c r="FOL90" s="207" t="n"/>
      <c r="FOM90" s="207" t="n"/>
      <c r="FON90" s="207" t="n"/>
      <c r="FOO90" s="207" t="n"/>
      <c r="FOP90" s="207" t="n"/>
      <c r="FOQ90" s="207" t="n"/>
      <c r="FOR90" s="207" t="n"/>
      <c r="FOS90" s="207" t="n"/>
      <c r="FOT90" s="207" t="n"/>
      <c r="FOU90" s="207" t="n"/>
      <c r="FOV90" s="207" t="n"/>
      <c r="FOW90" s="207" t="n"/>
      <c r="FOX90" s="207" t="n"/>
      <c r="FOY90" s="207" t="n"/>
      <c r="FOZ90" s="207" t="n"/>
      <c r="FPA90" s="207" t="n"/>
      <c r="FPB90" s="207" t="n"/>
      <c r="FPC90" s="207" t="n"/>
      <c r="FPD90" s="207" t="n"/>
      <c r="FPE90" s="207" t="n"/>
      <c r="FPF90" s="207" t="n"/>
      <c r="FPG90" s="207" t="n"/>
      <c r="FPH90" s="207" t="n"/>
      <c r="FPI90" s="207" t="n"/>
      <c r="FPJ90" s="207" t="n"/>
      <c r="FPK90" s="207" t="n"/>
      <c r="FPL90" s="207" t="n"/>
      <c r="FPM90" s="207" t="n"/>
      <c r="FPN90" s="207" t="n"/>
      <c r="FPO90" s="207" t="n"/>
      <c r="FPP90" s="207" t="n"/>
      <c r="FPQ90" s="207" t="n"/>
      <c r="FPR90" s="207" t="n"/>
      <c r="FPS90" s="207" t="n"/>
      <c r="FPT90" s="207" t="n"/>
      <c r="FPU90" s="207" t="n"/>
      <c r="FPV90" s="207" t="n"/>
      <c r="FPW90" s="207" t="n"/>
      <c r="FPX90" s="207" t="n"/>
      <c r="FPY90" s="207" t="n"/>
      <c r="FPZ90" s="207" t="n"/>
      <c r="FQA90" s="207" t="n"/>
      <c r="FQB90" s="207" t="n"/>
      <c r="FQC90" s="207" t="n"/>
      <c r="FQD90" s="207" t="n"/>
      <c r="FQE90" s="207" t="n"/>
      <c r="FQF90" s="207" t="n"/>
      <c r="FQG90" s="207" t="n"/>
      <c r="FQH90" s="207" t="n"/>
      <c r="FQI90" s="207" t="n"/>
      <c r="FQJ90" s="207" t="n"/>
      <c r="FQK90" s="207" t="n"/>
      <c r="FQL90" s="207" t="n"/>
      <c r="FQM90" s="207" t="n"/>
      <c r="FQN90" s="207" t="n"/>
      <c r="FQO90" s="207" t="n"/>
      <c r="FQP90" s="207" t="n"/>
      <c r="FQQ90" s="207" t="n"/>
      <c r="FQR90" s="207" t="n"/>
      <c r="FQS90" s="207" t="n"/>
      <c r="FQT90" s="207" t="n"/>
      <c r="FQU90" s="207" t="n"/>
      <c r="FQV90" s="207" t="n"/>
      <c r="FQW90" s="207" t="n"/>
      <c r="FQX90" s="207" t="n"/>
      <c r="FQY90" s="207" t="n"/>
      <c r="FQZ90" s="207" t="n"/>
      <c r="FRA90" s="207" t="n"/>
      <c r="FRB90" s="207" t="n"/>
      <c r="FRC90" s="207" t="n"/>
      <c r="FRD90" s="207" t="n"/>
      <c r="FRE90" s="207" t="n"/>
      <c r="FRF90" s="207" t="n"/>
      <c r="FRG90" s="207" t="n"/>
      <c r="FRH90" s="207" t="n"/>
      <c r="FRI90" s="207" t="n"/>
      <c r="FRJ90" s="207" t="n"/>
      <c r="FRK90" s="207" t="n"/>
      <c r="FRL90" s="207" t="n"/>
      <c r="FRM90" s="207" t="n"/>
      <c r="FRN90" s="207" t="n"/>
      <c r="FRO90" s="207" t="n"/>
      <c r="FRP90" s="207" t="n"/>
      <c r="FRQ90" s="207" t="n"/>
      <c r="FRR90" s="207" t="n"/>
      <c r="FRS90" s="207" t="n"/>
      <c r="FRT90" s="207" t="n"/>
      <c r="FRU90" s="207" t="n"/>
      <c r="FRV90" s="207" t="n"/>
      <c r="FRW90" s="207" t="n"/>
      <c r="FRX90" s="207" t="n"/>
      <c r="FRY90" s="207" t="n"/>
      <c r="FRZ90" s="207" t="n"/>
      <c r="FSA90" s="207" t="n"/>
      <c r="FSB90" s="207" t="n"/>
      <c r="FSC90" s="207" t="n"/>
      <c r="FSD90" s="207" t="n"/>
      <c r="FSE90" s="207" t="n"/>
      <c r="FSF90" s="207" t="n"/>
      <c r="FSG90" s="207" t="n"/>
      <c r="FSH90" s="207" t="n"/>
      <c r="FSI90" s="207" t="n"/>
      <c r="FSJ90" s="207" t="n"/>
      <c r="FSK90" s="207" t="n"/>
      <c r="FSL90" s="207" t="n"/>
      <c r="FSM90" s="207" t="n"/>
      <c r="FSN90" s="207" t="n"/>
      <c r="FSO90" s="207" t="n"/>
      <c r="FSP90" s="207" t="n"/>
      <c r="FSQ90" s="207" t="n"/>
      <c r="FSR90" s="207" t="n"/>
      <c r="FSS90" s="207" t="n"/>
      <c r="FST90" s="207" t="n"/>
      <c r="FSU90" s="207" t="n"/>
      <c r="FSV90" s="207" t="n"/>
      <c r="FSW90" s="207" t="n"/>
      <c r="FSX90" s="207" t="n"/>
      <c r="FSY90" s="207" t="n"/>
      <c r="FSZ90" s="207" t="n"/>
      <c r="FTA90" s="207" t="n"/>
      <c r="FTB90" s="207" t="n"/>
      <c r="FTC90" s="207" t="n"/>
      <c r="FTD90" s="207" t="n"/>
      <c r="FTE90" s="207" t="n"/>
      <c r="FTF90" s="207" t="n"/>
      <c r="FTG90" s="207" t="n"/>
      <c r="FTH90" s="207" t="n"/>
      <c r="FTI90" s="207" t="n"/>
      <c r="FTJ90" s="207" t="n"/>
      <c r="FTK90" s="207" t="n"/>
      <c r="FTL90" s="207" t="n"/>
      <c r="FTM90" s="207" t="n"/>
      <c r="FTN90" s="207" t="n"/>
      <c r="FTO90" s="207" t="n"/>
      <c r="FTP90" s="207" t="n"/>
      <c r="FTQ90" s="207" t="n"/>
      <c r="FTR90" s="207" t="n"/>
      <c r="FTS90" s="207" t="n"/>
      <c r="FTT90" s="207" t="n"/>
      <c r="FTU90" s="207" t="n"/>
      <c r="FTV90" s="207" t="n"/>
      <c r="FTW90" s="207" t="n"/>
      <c r="FTX90" s="207" t="n"/>
      <c r="FTY90" s="207" t="n"/>
      <c r="FTZ90" s="207" t="n"/>
      <c r="FUA90" s="207" t="n"/>
      <c r="FUB90" s="207" t="n"/>
      <c r="FUC90" s="207" t="n"/>
      <c r="FUD90" s="207" t="n"/>
      <c r="FUE90" s="207" t="n"/>
      <c r="FUF90" s="207" t="n"/>
      <c r="FUG90" s="207" t="n"/>
      <c r="FUH90" s="207" t="n"/>
      <c r="FUI90" s="207" t="n"/>
      <c r="FUJ90" s="207" t="n"/>
      <c r="FUK90" s="207" t="n"/>
      <c r="FUL90" s="207" t="n"/>
      <c r="FUM90" s="207" t="n"/>
      <c r="FUN90" s="207" t="n"/>
      <c r="FUO90" s="207" t="n"/>
      <c r="FUP90" s="207" t="n"/>
      <c r="FUQ90" s="207" t="n"/>
      <c r="FUR90" s="207" t="n"/>
      <c r="FUS90" s="207" t="n"/>
      <c r="FUT90" s="207" t="n"/>
      <c r="FUU90" s="207" t="n"/>
      <c r="FUV90" s="207" t="n"/>
      <c r="FUW90" s="207" t="n"/>
      <c r="FUX90" s="207" t="n"/>
      <c r="FUY90" s="207" t="n"/>
      <c r="FUZ90" s="207" t="n"/>
      <c r="FVA90" s="207" t="n"/>
      <c r="FVB90" s="207" t="n"/>
      <c r="FVC90" s="207" t="n"/>
      <c r="FVD90" s="207" t="n"/>
      <c r="FVE90" s="207" t="n"/>
      <c r="FVF90" s="207" t="n"/>
      <c r="FVG90" s="207" t="n"/>
      <c r="FVH90" s="207" t="n"/>
      <c r="FVI90" s="207" t="n"/>
      <c r="FVJ90" s="207" t="n"/>
      <c r="FVK90" s="207" t="n"/>
      <c r="FVL90" s="207" t="n"/>
      <c r="FVM90" s="207" t="n"/>
      <c r="FVN90" s="207" t="n"/>
      <c r="FVO90" s="207" t="n"/>
      <c r="FVP90" s="207" t="n"/>
      <c r="FVQ90" s="207" t="n"/>
      <c r="FVR90" s="207" t="n"/>
      <c r="FVS90" s="207" t="n"/>
      <c r="FVT90" s="207" t="n"/>
      <c r="FVU90" s="207" t="n"/>
      <c r="FVV90" s="207" t="n"/>
      <c r="FVW90" s="207" t="n"/>
      <c r="FVX90" s="207" t="n"/>
      <c r="FVY90" s="207" t="n"/>
      <c r="FVZ90" s="207" t="n"/>
      <c r="FWA90" s="207" t="n"/>
      <c r="FWB90" s="207" t="n"/>
      <c r="FWC90" s="207" t="n"/>
      <c r="FWD90" s="207" t="n"/>
      <c r="FWE90" s="207" t="n"/>
      <c r="FWF90" s="207" t="n"/>
      <c r="FWG90" s="207" t="n"/>
      <c r="FWH90" s="207" t="n"/>
      <c r="FWI90" s="207" t="n"/>
      <c r="FWJ90" s="207" t="n"/>
      <c r="FWK90" s="207" t="n"/>
      <c r="FWL90" s="207" t="n"/>
      <c r="FWM90" s="207" t="n"/>
      <c r="FWN90" s="207" t="n"/>
      <c r="FWO90" s="207" t="n"/>
      <c r="FWP90" s="207" t="n"/>
      <c r="FWQ90" s="207" t="n"/>
      <c r="FWR90" s="207" t="n"/>
      <c r="FWS90" s="207" t="n"/>
      <c r="FWT90" s="207" t="n"/>
      <c r="FWU90" s="207" t="n"/>
      <c r="FWV90" s="207" t="n"/>
      <c r="FWW90" s="207" t="n"/>
      <c r="FWX90" s="207" t="n"/>
      <c r="FWY90" s="207" t="n"/>
      <c r="FWZ90" s="207" t="n"/>
      <c r="FXA90" s="207" t="n"/>
      <c r="FXB90" s="207" t="n"/>
      <c r="FXC90" s="207" t="n"/>
      <c r="FXD90" s="207" t="n"/>
      <c r="FXE90" s="207" t="n"/>
      <c r="FXF90" s="207" t="n"/>
      <c r="FXG90" s="207" t="n"/>
      <c r="FXH90" s="207" t="n"/>
      <c r="FXI90" s="207" t="n"/>
      <c r="FXJ90" s="207" t="n"/>
      <c r="FXK90" s="207" t="n"/>
      <c r="FXL90" s="207" t="n"/>
      <c r="FXM90" s="207" t="n"/>
      <c r="FXN90" s="207" t="n"/>
      <c r="FXO90" s="207" t="n"/>
      <c r="FXP90" s="207" t="n"/>
      <c r="FXQ90" s="207" t="n"/>
      <c r="FXR90" s="207" t="n"/>
      <c r="FXS90" s="207" t="n"/>
      <c r="FXT90" s="207" t="n"/>
      <c r="FXU90" s="207" t="n"/>
      <c r="FXV90" s="207" t="n"/>
      <c r="FXW90" s="207" t="n"/>
      <c r="FXX90" s="207" t="n"/>
      <c r="FXY90" s="207" t="n"/>
      <c r="FXZ90" s="207" t="n"/>
      <c r="FYA90" s="207" t="n"/>
      <c r="FYB90" s="207" t="n"/>
      <c r="FYC90" s="207" t="n"/>
      <c r="FYD90" s="207" t="n"/>
      <c r="FYE90" s="207" t="n"/>
      <c r="FYF90" s="207" t="n"/>
      <c r="FYG90" s="207" t="n"/>
      <c r="FYH90" s="207" t="n"/>
      <c r="FYI90" s="207" t="n"/>
      <c r="FYJ90" s="207" t="n"/>
      <c r="FYK90" s="207" t="n"/>
      <c r="FYL90" s="207" t="n"/>
      <c r="FYM90" s="207" t="n"/>
      <c r="FYN90" s="207" t="n"/>
      <c r="FYO90" s="207" t="n"/>
      <c r="FYP90" s="207" t="n"/>
      <c r="FYQ90" s="207" t="n"/>
      <c r="FYR90" s="207" t="n"/>
      <c r="FYS90" s="207" t="n"/>
      <c r="FYT90" s="207" t="n"/>
      <c r="FYU90" s="207" t="n"/>
      <c r="FYV90" s="207" t="n"/>
      <c r="FYW90" s="207" t="n"/>
      <c r="FYX90" s="207" t="n"/>
      <c r="FYY90" s="207" t="n"/>
      <c r="FYZ90" s="207" t="n"/>
      <c r="FZA90" s="207" t="n"/>
      <c r="FZB90" s="207" t="n"/>
      <c r="FZC90" s="207" t="n"/>
      <c r="FZD90" s="207" t="n"/>
      <c r="FZE90" s="207" t="n"/>
      <c r="FZF90" s="207" t="n"/>
      <c r="FZG90" s="207" t="n"/>
      <c r="FZH90" s="207" t="n"/>
      <c r="FZI90" s="207" t="n"/>
      <c r="FZJ90" s="207" t="n"/>
      <c r="FZK90" s="207" t="n"/>
      <c r="FZL90" s="207" t="n"/>
      <c r="FZM90" s="207" t="n"/>
      <c r="FZN90" s="207" t="n"/>
      <c r="FZO90" s="207" t="n"/>
      <c r="FZP90" s="207" t="n"/>
      <c r="FZQ90" s="207" t="n"/>
      <c r="FZR90" s="207" t="n"/>
      <c r="FZS90" s="207" t="n"/>
      <c r="FZT90" s="207" t="n"/>
      <c r="FZU90" s="207" t="n"/>
      <c r="FZV90" s="207" t="n"/>
      <c r="FZW90" s="207" t="n"/>
      <c r="FZX90" s="207" t="n"/>
      <c r="FZY90" s="207" t="n"/>
      <c r="FZZ90" s="207" t="n"/>
      <c r="GAA90" s="207" t="n"/>
      <c r="GAB90" s="207" t="n"/>
      <c r="GAC90" s="207" t="n"/>
      <c r="GAD90" s="207" t="n"/>
      <c r="GAE90" s="207" t="n"/>
      <c r="GAF90" s="207" t="n"/>
      <c r="GAG90" s="207" t="n"/>
      <c r="GAH90" s="207" t="n"/>
      <c r="GAI90" s="207" t="n"/>
      <c r="GAJ90" s="207" t="n"/>
      <c r="GAK90" s="207" t="n"/>
      <c r="GAL90" s="207" t="n"/>
      <c r="GAM90" s="207" t="n"/>
      <c r="GAN90" s="207" t="n"/>
      <c r="GAO90" s="207" t="n"/>
      <c r="GAP90" s="207" t="n"/>
      <c r="GAQ90" s="207" t="n"/>
      <c r="GAR90" s="207" t="n"/>
      <c r="GAS90" s="207" t="n"/>
      <c r="GAT90" s="207" t="n"/>
      <c r="GAU90" s="207" t="n"/>
      <c r="GAV90" s="207" t="n"/>
      <c r="GAW90" s="207" t="n"/>
      <c r="GAX90" s="207" t="n"/>
      <c r="GAY90" s="207" t="n"/>
      <c r="GAZ90" s="207" t="n"/>
      <c r="GBA90" s="207" t="n"/>
      <c r="GBB90" s="207" t="n"/>
      <c r="GBC90" s="207" t="n"/>
      <c r="GBD90" s="207" t="n"/>
      <c r="GBE90" s="207" t="n"/>
      <c r="GBF90" s="207" t="n"/>
      <c r="GBG90" s="207" t="n"/>
      <c r="GBH90" s="207" t="n"/>
      <c r="GBI90" s="207" t="n"/>
      <c r="GBJ90" s="207" t="n"/>
      <c r="GBK90" s="207" t="n"/>
      <c r="GBL90" s="207" t="n"/>
      <c r="GBM90" s="207" t="n"/>
      <c r="GBN90" s="207" t="n"/>
      <c r="GBO90" s="207" t="n"/>
      <c r="GBP90" s="207" t="n"/>
      <c r="GBQ90" s="207" t="n"/>
      <c r="GBR90" s="207" t="n"/>
      <c r="GBS90" s="207" t="n"/>
      <c r="GBT90" s="207" t="n"/>
      <c r="GBU90" s="207" t="n"/>
      <c r="GBV90" s="207" t="n"/>
      <c r="GBW90" s="207" t="n"/>
      <c r="GBX90" s="207" t="n"/>
      <c r="GBY90" s="207" t="n"/>
      <c r="GBZ90" s="207" t="n"/>
      <c r="GCA90" s="207" t="n"/>
      <c r="GCB90" s="207" t="n"/>
      <c r="GCC90" s="207" t="n"/>
      <c r="GCD90" s="207" t="n"/>
      <c r="GCE90" s="207" t="n"/>
      <c r="GCF90" s="207" t="n"/>
      <c r="GCG90" s="207" t="n"/>
      <c r="GCH90" s="207" t="n"/>
      <c r="GCI90" s="207" t="n"/>
      <c r="GCJ90" s="207" t="n"/>
      <c r="GCK90" s="207" t="n"/>
      <c r="GCL90" s="207" t="n"/>
      <c r="GCM90" s="207" t="n"/>
      <c r="GCN90" s="207" t="n"/>
      <c r="GCO90" s="207" t="n"/>
      <c r="GCP90" s="207" t="n"/>
      <c r="GCQ90" s="207" t="n"/>
      <c r="GCR90" s="207" t="n"/>
      <c r="GCS90" s="207" t="n"/>
      <c r="GCT90" s="207" t="n"/>
      <c r="GCU90" s="207" t="n"/>
      <c r="GCV90" s="207" t="n"/>
      <c r="GCW90" s="207" t="n"/>
      <c r="GCX90" s="207" t="n"/>
      <c r="GCY90" s="207" t="n"/>
      <c r="GCZ90" s="207" t="n"/>
      <c r="GDA90" s="207" t="n"/>
      <c r="GDB90" s="207" t="n"/>
      <c r="GDC90" s="207" t="n"/>
      <c r="GDD90" s="207" t="n"/>
      <c r="GDE90" s="207" t="n"/>
      <c r="GDF90" s="207" t="n"/>
      <c r="GDG90" s="207" t="n"/>
      <c r="GDH90" s="207" t="n"/>
      <c r="GDI90" s="207" t="n"/>
      <c r="GDJ90" s="207" t="n"/>
      <c r="GDK90" s="207" t="n"/>
      <c r="GDL90" s="207" t="n"/>
      <c r="GDM90" s="207" t="n"/>
      <c r="GDN90" s="207" t="n"/>
      <c r="GDO90" s="207" t="n"/>
      <c r="GDP90" s="207" t="n"/>
      <c r="GDQ90" s="207" t="n"/>
      <c r="GDR90" s="207" t="n"/>
      <c r="GDS90" s="207" t="n"/>
      <c r="GDT90" s="207" t="n"/>
      <c r="GDU90" s="207" t="n"/>
      <c r="GDV90" s="207" t="n"/>
      <c r="GDW90" s="207" t="n"/>
      <c r="GDX90" s="207" t="n"/>
      <c r="GDY90" s="207" t="n"/>
      <c r="GDZ90" s="207" t="n"/>
      <c r="GEA90" s="207" t="n"/>
      <c r="GEB90" s="207" t="n"/>
      <c r="GEC90" s="207" t="n"/>
      <c r="GED90" s="207" t="n"/>
      <c r="GEE90" s="207" t="n"/>
      <c r="GEF90" s="207" t="n"/>
      <c r="GEG90" s="207" t="n"/>
      <c r="GEH90" s="207" t="n"/>
      <c r="GEI90" s="207" t="n"/>
      <c r="GEJ90" s="207" t="n"/>
      <c r="GEK90" s="207" t="n"/>
      <c r="GEL90" s="207" t="n"/>
      <c r="GEM90" s="207" t="n"/>
      <c r="GEN90" s="207" t="n"/>
      <c r="GEO90" s="207" t="n"/>
      <c r="GEP90" s="207" t="n"/>
      <c r="GEQ90" s="207" t="n"/>
      <c r="GER90" s="207" t="n"/>
      <c r="GES90" s="207" t="n"/>
      <c r="GET90" s="207" t="n"/>
      <c r="GEU90" s="207" t="n"/>
      <c r="GEV90" s="207" t="n"/>
      <c r="GEW90" s="207" t="n"/>
      <c r="GEX90" s="207" t="n"/>
      <c r="GEY90" s="207" t="n"/>
      <c r="GEZ90" s="207" t="n"/>
      <c r="GFA90" s="207" t="n"/>
      <c r="GFB90" s="207" t="n"/>
      <c r="GFC90" s="207" t="n"/>
      <c r="GFD90" s="207" t="n"/>
      <c r="GFE90" s="207" t="n"/>
      <c r="GFF90" s="207" t="n"/>
      <c r="GFG90" s="207" t="n"/>
      <c r="GFH90" s="207" t="n"/>
      <c r="GFI90" s="207" t="n"/>
      <c r="GFJ90" s="207" t="n"/>
      <c r="GFK90" s="207" t="n"/>
      <c r="GFL90" s="207" t="n"/>
      <c r="GFM90" s="207" t="n"/>
      <c r="GFN90" s="207" t="n"/>
      <c r="GFO90" s="207" t="n"/>
      <c r="GFP90" s="207" t="n"/>
      <c r="GFQ90" s="207" t="n"/>
      <c r="GFR90" s="207" t="n"/>
      <c r="GFS90" s="207" t="n"/>
      <c r="GFT90" s="207" t="n"/>
      <c r="GFU90" s="207" t="n"/>
      <c r="GFV90" s="207" t="n"/>
      <c r="GFW90" s="207" t="n"/>
      <c r="GFX90" s="207" t="n"/>
      <c r="GFY90" s="207" t="n"/>
      <c r="GFZ90" s="207" t="n"/>
      <c r="GGA90" s="207" t="n"/>
      <c r="GGB90" s="207" t="n"/>
      <c r="GGC90" s="207" t="n"/>
      <c r="GGD90" s="207" t="n"/>
      <c r="GGE90" s="207" t="n"/>
      <c r="GGF90" s="207" t="n"/>
      <c r="GGG90" s="207" t="n"/>
      <c r="GGH90" s="207" t="n"/>
      <c r="GGI90" s="207" t="n"/>
      <c r="GGJ90" s="207" t="n"/>
      <c r="GGK90" s="207" t="n"/>
      <c r="GGL90" s="207" t="n"/>
      <c r="GGM90" s="207" t="n"/>
      <c r="GGN90" s="207" t="n"/>
      <c r="GGO90" s="207" t="n"/>
      <c r="GGP90" s="207" t="n"/>
      <c r="GGQ90" s="207" t="n"/>
      <c r="GGR90" s="207" t="n"/>
      <c r="GGS90" s="207" t="n"/>
      <c r="GGT90" s="207" t="n"/>
      <c r="GGU90" s="207" t="n"/>
      <c r="GGV90" s="207" t="n"/>
      <c r="GGW90" s="207" t="n"/>
      <c r="GGX90" s="207" t="n"/>
      <c r="GGY90" s="207" t="n"/>
      <c r="GGZ90" s="207" t="n"/>
      <c r="GHA90" s="207" t="n"/>
      <c r="GHB90" s="207" t="n"/>
      <c r="GHC90" s="207" t="n"/>
      <c r="GHD90" s="207" t="n"/>
      <c r="GHE90" s="207" t="n"/>
      <c r="GHF90" s="207" t="n"/>
      <c r="GHG90" s="207" t="n"/>
      <c r="GHH90" s="207" t="n"/>
      <c r="GHI90" s="207" t="n"/>
      <c r="GHJ90" s="207" t="n"/>
      <c r="GHK90" s="207" t="n"/>
      <c r="GHL90" s="207" t="n"/>
      <c r="GHM90" s="207" t="n"/>
      <c r="GHN90" s="207" t="n"/>
      <c r="GHO90" s="207" t="n"/>
      <c r="GHP90" s="207" t="n"/>
      <c r="GHQ90" s="207" t="n"/>
      <c r="GHR90" s="207" t="n"/>
      <c r="GHS90" s="207" t="n"/>
      <c r="GHT90" s="207" t="n"/>
      <c r="GHU90" s="207" t="n"/>
      <c r="GHV90" s="207" t="n"/>
      <c r="GHW90" s="207" t="n"/>
      <c r="GHX90" s="207" t="n"/>
      <c r="GHY90" s="207" t="n"/>
      <c r="GHZ90" s="207" t="n"/>
      <c r="GIA90" s="207" t="n"/>
      <c r="GIB90" s="207" t="n"/>
      <c r="GIC90" s="207" t="n"/>
      <c r="GID90" s="207" t="n"/>
      <c r="GIE90" s="207" t="n"/>
      <c r="GIF90" s="207" t="n"/>
      <c r="GIG90" s="207" t="n"/>
      <c r="GIH90" s="207" t="n"/>
      <c r="GII90" s="207" t="n"/>
      <c r="GIJ90" s="207" t="n"/>
      <c r="GIK90" s="207" t="n"/>
      <c r="GIL90" s="207" t="n"/>
      <c r="GIM90" s="207" t="n"/>
      <c r="GIN90" s="207" t="n"/>
      <c r="GIO90" s="207" t="n"/>
      <c r="GIP90" s="207" t="n"/>
      <c r="GIQ90" s="207" t="n"/>
      <c r="GIR90" s="207" t="n"/>
      <c r="GIS90" s="207" t="n"/>
      <c r="GIT90" s="207" t="n"/>
      <c r="GIU90" s="207" t="n"/>
      <c r="GIV90" s="207" t="n"/>
      <c r="GIW90" s="207" t="n"/>
      <c r="GIX90" s="207" t="n"/>
      <c r="GIY90" s="207" t="n"/>
      <c r="GIZ90" s="207" t="n"/>
      <c r="GJA90" s="207" t="n"/>
      <c r="GJB90" s="207" t="n"/>
      <c r="GJC90" s="207" t="n"/>
      <c r="GJD90" s="207" t="n"/>
      <c r="GJE90" s="207" t="n"/>
      <c r="GJF90" s="207" t="n"/>
      <c r="GJG90" s="207" t="n"/>
      <c r="GJH90" s="207" t="n"/>
      <c r="GJI90" s="207" t="n"/>
      <c r="GJJ90" s="207" t="n"/>
      <c r="GJK90" s="207" t="n"/>
      <c r="GJL90" s="207" t="n"/>
      <c r="GJM90" s="207" t="n"/>
      <c r="GJN90" s="207" t="n"/>
      <c r="GJO90" s="207" t="n"/>
      <c r="GJP90" s="207" t="n"/>
      <c r="GJQ90" s="207" t="n"/>
      <c r="GJR90" s="207" t="n"/>
      <c r="GJS90" s="207" t="n"/>
      <c r="GJT90" s="207" t="n"/>
      <c r="GJU90" s="207" t="n"/>
      <c r="GJV90" s="207" t="n"/>
      <c r="GJW90" s="207" t="n"/>
      <c r="GJX90" s="207" t="n"/>
      <c r="GJY90" s="207" t="n"/>
      <c r="GJZ90" s="207" t="n"/>
      <c r="GKA90" s="207" t="n"/>
      <c r="GKB90" s="207" t="n"/>
      <c r="GKC90" s="207" t="n"/>
      <c r="GKD90" s="207" t="n"/>
      <c r="GKE90" s="207" t="n"/>
      <c r="GKF90" s="207" t="n"/>
      <c r="GKG90" s="207" t="n"/>
      <c r="GKH90" s="207" t="n"/>
      <c r="GKI90" s="207" t="n"/>
      <c r="GKJ90" s="207" t="n"/>
      <c r="GKK90" s="207" t="n"/>
      <c r="GKL90" s="207" t="n"/>
      <c r="GKM90" s="207" t="n"/>
      <c r="GKN90" s="207" t="n"/>
      <c r="GKO90" s="207" t="n"/>
      <c r="GKP90" s="207" t="n"/>
      <c r="GKQ90" s="207" t="n"/>
      <c r="GKR90" s="207" t="n"/>
      <c r="GKS90" s="207" t="n"/>
      <c r="GKT90" s="207" t="n"/>
      <c r="GKU90" s="207" t="n"/>
      <c r="GKV90" s="207" t="n"/>
      <c r="GKW90" s="207" t="n"/>
      <c r="GKX90" s="207" t="n"/>
      <c r="GKY90" s="207" t="n"/>
      <c r="GKZ90" s="207" t="n"/>
      <c r="GLA90" s="207" t="n"/>
      <c r="GLB90" s="207" t="n"/>
      <c r="GLC90" s="207" t="n"/>
      <c r="GLD90" s="207" t="n"/>
      <c r="GLE90" s="207" t="n"/>
      <c r="GLF90" s="207" t="n"/>
      <c r="GLG90" s="207" t="n"/>
      <c r="GLH90" s="207" t="n"/>
      <c r="GLI90" s="207" t="n"/>
      <c r="GLJ90" s="207" t="n"/>
      <c r="GLK90" s="207" t="n"/>
      <c r="GLL90" s="207" t="n"/>
      <c r="GLM90" s="207" t="n"/>
      <c r="GLN90" s="207" t="n"/>
      <c r="GLO90" s="207" t="n"/>
      <c r="GLP90" s="207" t="n"/>
      <c r="GLQ90" s="207" t="n"/>
      <c r="GLR90" s="207" t="n"/>
      <c r="GLS90" s="207" t="n"/>
      <c r="GLT90" s="207" t="n"/>
      <c r="GLU90" s="207" t="n"/>
      <c r="GLV90" s="207" t="n"/>
      <c r="GLW90" s="207" t="n"/>
      <c r="GLX90" s="207" t="n"/>
      <c r="GLY90" s="207" t="n"/>
      <c r="GLZ90" s="207" t="n"/>
      <c r="GMA90" s="207" t="n"/>
      <c r="GMB90" s="207" t="n"/>
      <c r="GMC90" s="207" t="n"/>
      <c r="GMD90" s="207" t="n"/>
      <c r="GME90" s="207" t="n"/>
      <c r="GMF90" s="207" t="n"/>
      <c r="GMG90" s="207" t="n"/>
      <c r="GMH90" s="207" t="n"/>
      <c r="GMI90" s="207" t="n"/>
      <c r="GMJ90" s="207" t="n"/>
      <c r="GMK90" s="207" t="n"/>
      <c r="GML90" s="207" t="n"/>
      <c r="GMM90" s="207" t="n"/>
      <c r="GMN90" s="207" t="n"/>
      <c r="GMO90" s="207" t="n"/>
      <c r="GMP90" s="207" t="n"/>
      <c r="GMQ90" s="207" t="n"/>
      <c r="GMR90" s="207" t="n"/>
      <c r="GMS90" s="207" t="n"/>
      <c r="GMT90" s="207" t="n"/>
      <c r="GMU90" s="207" t="n"/>
      <c r="GMV90" s="207" t="n"/>
      <c r="GMW90" s="207" t="n"/>
      <c r="GMX90" s="207" t="n"/>
      <c r="GMY90" s="207" t="n"/>
      <c r="GMZ90" s="207" t="n"/>
      <c r="GNA90" s="207" t="n"/>
      <c r="GNB90" s="207" t="n"/>
      <c r="GNC90" s="207" t="n"/>
      <c r="GND90" s="207" t="n"/>
      <c r="GNE90" s="207" t="n"/>
      <c r="GNF90" s="207" t="n"/>
      <c r="GNG90" s="207" t="n"/>
      <c r="GNH90" s="207" t="n"/>
      <c r="GNI90" s="207" t="n"/>
      <c r="GNJ90" s="207" t="n"/>
      <c r="GNK90" s="207" t="n"/>
      <c r="GNL90" s="207" t="n"/>
      <c r="GNM90" s="207" t="n"/>
      <c r="GNN90" s="207" t="n"/>
      <c r="GNO90" s="207" t="n"/>
      <c r="GNP90" s="207" t="n"/>
      <c r="GNQ90" s="207" t="n"/>
      <c r="GNR90" s="207" t="n"/>
      <c r="GNS90" s="207" t="n"/>
      <c r="GNT90" s="207" t="n"/>
      <c r="GNU90" s="207" t="n"/>
      <c r="GNV90" s="207" t="n"/>
      <c r="GNW90" s="207" t="n"/>
      <c r="GNX90" s="207" t="n"/>
      <c r="GNY90" s="207" t="n"/>
      <c r="GNZ90" s="207" t="n"/>
      <c r="GOA90" s="207" t="n"/>
      <c r="GOB90" s="207" t="n"/>
      <c r="GOC90" s="207" t="n"/>
      <c r="GOD90" s="207" t="n"/>
      <c r="GOE90" s="207" t="n"/>
      <c r="GOF90" s="207" t="n"/>
      <c r="GOG90" s="207" t="n"/>
      <c r="GOH90" s="207" t="n"/>
      <c r="GOI90" s="207" t="n"/>
      <c r="GOJ90" s="207" t="n"/>
      <c r="GOK90" s="207" t="n"/>
      <c r="GOL90" s="207" t="n"/>
      <c r="GOM90" s="207" t="n"/>
      <c r="GON90" s="207" t="n"/>
      <c r="GOO90" s="207" t="n"/>
      <c r="GOP90" s="207" t="n"/>
      <c r="GOQ90" s="207" t="n"/>
      <c r="GOR90" s="207" t="n"/>
      <c r="GOS90" s="207" t="n"/>
      <c r="GOT90" s="207" t="n"/>
      <c r="GOU90" s="207" t="n"/>
      <c r="GOV90" s="207" t="n"/>
      <c r="GOW90" s="207" t="n"/>
      <c r="GOX90" s="207" t="n"/>
      <c r="GOY90" s="207" t="n"/>
      <c r="GOZ90" s="207" t="n"/>
      <c r="GPA90" s="207" t="n"/>
      <c r="GPB90" s="207" t="n"/>
      <c r="GPC90" s="207" t="n"/>
      <c r="GPD90" s="207" t="n"/>
      <c r="GPE90" s="207" t="n"/>
      <c r="GPF90" s="207" t="n"/>
      <c r="GPG90" s="207" t="n"/>
      <c r="GPH90" s="207" t="n"/>
      <c r="GPI90" s="207" t="n"/>
      <c r="GPJ90" s="207" t="n"/>
      <c r="GPK90" s="207" t="n"/>
      <c r="GPL90" s="207" t="n"/>
      <c r="GPM90" s="207" t="n"/>
      <c r="GPN90" s="207" t="n"/>
      <c r="GPO90" s="207" t="n"/>
      <c r="GPP90" s="207" t="n"/>
      <c r="GPQ90" s="207" t="n"/>
      <c r="GPR90" s="207" t="n"/>
      <c r="GPS90" s="207" t="n"/>
      <c r="GPT90" s="207" t="n"/>
      <c r="GPU90" s="207" t="n"/>
      <c r="GPV90" s="207" t="n"/>
      <c r="GPW90" s="207" t="n"/>
      <c r="GPX90" s="207" t="n"/>
      <c r="GPY90" s="207" t="n"/>
      <c r="GPZ90" s="207" t="n"/>
      <c r="GQA90" s="207" t="n"/>
      <c r="GQB90" s="207" t="n"/>
      <c r="GQC90" s="207" t="n"/>
      <c r="GQD90" s="207" t="n"/>
      <c r="GQE90" s="207" t="n"/>
      <c r="GQF90" s="207" t="n"/>
      <c r="GQG90" s="207" t="n"/>
      <c r="GQH90" s="207" t="n"/>
      <c r="GQI90" s="207" t="n"/>
      <c r="GQJ90" s="207" t="n"/>
      <c r="GQK90" s="207" t="n"/>
      <c r="GQL90" s="207" t="n"/>
      <c r="GQM90" s="207" t="n"/>
      <c r="GQN90" s="207" t="n"/>
      <c r="GQO90" s="207" t="n"/>
      <c r="GQP90" s="207" t="n"/>
      <c r="GQQ90" s="207" t="n"/>
      <c r="GQR90" s="207" t="n"/>
      <c r="GQS90" s="207" t="n"/>
      <c r="GQT90" s="207" t="n"/>
      <c r="GQU90" s="207" t="n"/>
      <c r="GQV90" s="207" t="n"/>
      <c r="GQW90" s="207" t="n"/>
      <c r="GQX90" s="207" t="n"/>
      <c r="GQY90" s="207" t="n"/>
      <c r="GQZ90" s="207" t="n"/>
      <c r="GRA90" s="207" t="n"/>
      <c r="GRB90" s="207" t="n"/>
      <c r="GRC90" s="207" t="n"/>
      <c r="GRD90" s="207" t="n"/>
      <c r="GRE90" s="207" t="n"/>
      <c r="GRF90" s="207" t="n"/>
      <c r="GRG90" s="207" t="n"/>
      <c r="GRH90" s="207" t="n"/>
      <c r="GRI90" s="207" t="n"/>
      <c r="GRJ90" s="207" t="n"/>
      <c r="GRK90" s="207" t="n"/>
      <c r="GRL90" s="207" t="n"/>
      <c r="GRM90" s="207" t="n"/>
      <c r="GRN90" s="207" t="n"/>
      <c r="GRO90" s="207" t="n"/>
      <c r="GRP90" s="207" t="n"/>
      <c r="GRQ90" s="207" t="n"/>
      <c r="GRR90" s="207" t="n"/>
      <c r="GRS90" s="207" t="n"/>
      <c r="GRT90" s="207" t="n"/>
      <c r="GRU90" s="207" t="n"/>
      <c r="GRV90" s="207" t="n"/>
      <c r="GRW90" s="207" t="n"/>
      <c r="GRX90" s="207" t="n"/>
      <c r="GRY90" s="207" t="n"/>
      <c r="GRZ90" s="207" t="n"/>
      <c r="GSA90" s="207" t="n"/>
      <c r="GSB90" s="207" t="n"/>
      <c r="GSC90" s="207" t="n"/>
      <c r="GSD90" s="207" t="n"/>
      <c r="GSE90" s="207" t="n"/>
      <c r="GSF90" s="207" t="n"/>
      <c r="GSG90" s="207" t="n"/>
      <c r="GSH90" s="207" t="n"/>
      <c r="GSI90" s="207" t="n"/>
      <c r="GSJ90" s="207" t="n"/>
      <c r="GSK90" s="207" t="n"/>
      <c r="GSL90" s="207" t="n"/>
      <c r="GSM90" s="207" t="n"/>
      <c r="GSN90" s="207" t="n"/>
      <c r="GSO90" s="207" t="n"/>
      <c r="GSP90" s="207" t="n"/>
      <c r="GSQ90" s="207" t="n"/>
      <c r="GSR90" s="207" t="n"/>
      <c r="GSS90" s="207" t="n"/>
      <c r="GST90" s="207" t="n"/>
      <c r="GSU90" s="207" t="n"/>
      <c r="GSV90" s="207" t="n"/>
      <c r="GSW90" s="207" t="n"/>
      <c r="GSX90" s="207" t="n"/>
      <c r="GSY90" s="207" t="n"/>
      <c r="GSZ90" s="207" t="n"/>
      <c r="GTA90" s="207" t="n"/>
      <c r="GTB90" s="207" t="n"/>
      <c r="GTC90" s="207" t="n"/>
      <c r="GTD90" s="207" t="n"/>
      <c r="GTE90" s="207" t="n"/>
      <c r="GTF90" s="207" t="n"/>
      <c r="GTG90" s="207" t="n"/>
      <c r="GTH90" s="207" t="n"/>
      <c r="GTI90" s="207" t="n"/>
      <c r="GTJ90" s="207" t="n"/>
      <c r="GTK90" s="207" t="n"/>
      <c r="GTL90" s="207" t="n"/>
      <c r="GTM90" s="207" t="n"/>
      <c r="GTN90" s="207" t="n"/>
      <c r="GTO90" s="207" t="n"/>
      <c r="GTP90" s="207" t="n"/>
      <c r="GTQ90" s="207" t="n"/>
      <c r="GTR90" s="207" t="n"/>
      <c r="GTS90" s="207" t="n"/>
      <c r="GTT90" s="207" t="n"/>
      <c r="GTU90" s="207" t="n"/>
      <c r="GTV90" s="207" t="n"/>
      <c r="GTW90" s="207" t="n"/>
      <c r="GTX90" s="207" t="n"/>
      <c r="GTY90" s="207" t="n"/>
      <c r="GTZ90" s="207" t="n"/>
      <c r="GUA90" s="207" t="n"/>
      <c r="GUB90" s="207" t="n"/>
      <c r="GUC90" s="207" t="n"/>
      <c r="GUD90" s="207" t="n"/>
      <c r="GUE90" s="207" t="n"/>
      <c r="GUF90" s="207" t="n"/>
      <c r="GUG90" s="207" t="n"/>
      <c r="GUH90" s="207" t="n"/>
      <c r="GUI90" s="207" t="n"/>
      <c r="GUJ90" s="207" t="n"/>
      <c r="GUK90" s="207" t="n"/>
      <c r="GUL90" s="207" t="n"/>
      <c r="GUM90" s="207" t="n"/>
      <c r="GUN90" s="207" t="n"/>
      <c r="GUO90" s="207" t="n"/>
      <c r="GUP90" s="207" t="n"/>
      <c r="GUQ90" s="207" t="n"/>
      <c r="GUR90" s="207" t="n"/>
      <c r="GUS90" s="207" t="n"/>
      <c r="GUT90" s="207" t="n"/>
      <c r="GUU90" s="207" t="n"/>
      <c r="GUV90" s="207" t="n"/>
      <c r="GUW90" s="207" t="n"/>
      <c r="GUX90" s="207" t="n"/>
      <c r="GUY90" s="207" t="n"/>
      <c r="GUZ90" s="207" t="n"/>
      <c r="GVA90" s="207" t="n"/>
      <c r="GVB90" s="207" t="n"/>
      <c r="GVC90" s="207" t="n"/>
      <c r="GVD90" s="207" t="n"/>
      <c r="GVE90" s="207" t="n"/>
      <c r="GVF90" s="207" t="n"/>
      <c r="GVG90" s="207" t="n"/>
      <c r="GVH90" s="207" t="n"/>
      <c r="GVI90" s="207" t="n"/>
      <c r="GVJ90" s="207" t="n"/>
      <c r="GVK90" s="207" t="n"/>
      <c r="GVL90" s="207" t="n"/>
      <c r="GVM90" s="207" t="n"/>
      <c r="GVN90" s="207" t="n"/>
      <c r="GVO90" s="207" t="n"/>
      <c r="GVP90" s="207" t="n"/>
      <c r="GVQ90" s="207" t="n"/>
      <c r="GVR90" s="207" t="n"/>
      <c r="GVS90" s="207" t="n"/>
      <c r="GVT90" s="207" t="n"/>
      <c r="GVU90" s="207" t="n"/>
      <c r="GVV90" s="207" t="n"/>
      <c r="GVW90" s="207" t="n"/>
      <c r="GVX90" s="207" t="n"/>
      <c r="GVY90" s="207" t="n"/>
      <c r="GVZ90" s="207" t="n"/>
      <c r="GWA90" s="207" t="n"/>
      <c r="GWB90" s="207" t="n"/>
      <c r="GWC90" s="207" t="n"/>
      <c r="GWD90" s="207" t="n"/>
      <c r="GWE90" s="207" t="n"/>
      <c r="GWF90" s="207" t="n"/>
      <c r="GWG90" s="207" t="n"/>
      <c r="GWH90" s="207" t="n"/>
      <c r="GWI90" s="207" t="n"/>
      <c r="GWJ90" s="207" t="n"/>
      <c r="GWK90" s="207" t="n"/>
      <c r="GWL90" s="207" t="n"/>
      <c r="GWM90" s="207" t="n"/>
      <c r="GWN90" s="207" t="n"/>
      <c r="GWO90" s="207" t="n"/>
      <c r="GWP90" s="207" t="n"/>
      <c r="GWQ90" s="207" t="n"/>
      <c r="GWR90" s="207" t="n"/>
      <c r="GWS90" s="207" t="n"/>
      <c r="GWT90" s="207" t="n"/>
      <c r="GWU90" s="207" t="n"/>
      <c r="GWV90" s="207" t="n"/>
      <c r="GWW90" s="207" t="n"/>
      <c r="GWX90" s="207" t="n"/>
      <c r="GWY90" s="207" t="n"/>
      <c r="GWZ90" s="207" t="n"/>
      <c r="GXA90" s="207" t="n"/>
      <c r="GXB90" s="207" t="n"/>
      <c r="GXC90" s="207" t="n"/>
      <c r="GXD90" s="207" t="n"/>
      <c r="GXE90" s="207" t="n"/>
      <c r="GXF90" s="207" t="n"/>
      <c r="GXG90" s="207" t="n"/>
      <c r="GXH90" s="207" t="n"/>
      <c r="GXI90" s="207" t="n"/>
      <c r="GXJ90" s="207" t="n"/>
      <c r="GXK90" s="207" t="n"/>
      <c r="GXL90" s="207" t="n"/>
      <c r="GXM90" s="207" t="n"/>
      <c r="GXN90" s="207" t="n"/>
      <c r="GXO90" s="207" t="n"/>
      <c r="GXP90" s="207" t="n"/>
      <c r="GXQ90" s="207" t="n"/>
      <c r="GXR90" s="207" t="n"/>
      <c r="GXS90" s="207" t="n"/>
      <c r="GXT90" s="207" t="n"/>
      <c r="GXU90" s="207" t="n"/>
      <c r="GXV90" s="207" t="n"/>
      <c r="GXW90" s="207" t="n"/>
      <c r="GXX90" s="207" t="n"/>
      <c r="GXY90" s="207" t="n"/>
      <c r="GXZ90" s="207" t="n"/>
      <c r="GYA90" s="207" t="n"/>
      <c r="GYB90" s="207" t="n"/>
      <c r="GYC90" s="207" t="n"/>
      <c r="GYD90" s="207" t="n"/>
      <c r="GYE90" s="207" t="n"/>
      <c r="GYF90" s="207" t="n"/>
      <c r="GYG90" s="207" t="n"/>
      <c r="GYH90" s="207" t="n"/>
      <c r="GYI90" s="207" t="n"/>
      <c r="GYJ90" s="207" t="n"/>
      <c r="GYK90" s="207" t="n"/>
      <c r="GYL90" s="207" t="n"/>
      <c r="GYM90" s="207" t="n"/>
      <c r="GYN90" s="207" t="n"/>
      <c r="GYO90" s="207" t="n"/>
      <c r="GYP90" s="207" t="n"/>
      <c r="GYQ90" s="207" t="n"/>
      <c r="GYR90" s="207" t="n"/>
      <c r="GYS90" s="207" t="n"/>
      <c r="GYT90" s="207" t="n"/>
      <c r="GYU90" s="207" t="n"/>
      <c r="GYV90" s="207" t="n"/>
      <c r="GYW90" s="207" t="n"/>
      <c r="GYX90" s="207" t="n"/>
      <c r="GYY90" s="207" t="n"/>
      <c r="GYZ90" s="207" t="n"/>
      <c r="GZA90" s="207" t="n"/>
      <c r="GZB90" s="207" t="n"/>
      <c r="GZC90" s="207" t="n"/>
      <c r="GZD90" s="207" t="n"/>
      <c r="GZE90" s="207" t="n"/>
      <c r="GZF90" s="207" t="n"/>
      <c r="GZG90" s="207" t="n"/>
      <c r="GZH90" s="207" t="n"/>
      <c r="GZI90" s="207" t="n"/>
      <c r="GZJ90" s="207" t="n"/>
      <c r="GZK90" s="207" t="n"/>
      <c r="GZL90" s="207" t="n"/>
      <c r="GZM90" s="207" t="n"/>
      <c r="GZN90" s="207" t="n"/>
      <c r="GZO90" s="207" t="n"/>
      <c r="GZP90" s="207" t="n"/>
      <c r="GZQ90" s="207" t="n"/>
      <c r="GZR90" s="207" t="n"/>
      <c r="GZS90" s="207" t="n"/>
      <c r="GZT90" s="207" t="n"/>
      <c r="GZU90" s="207" t="n"/>
      <c r="GZV90" s="207" t="n"/>
      <c r="GZW90" s="207" t="n"/>
      <c r="GZX90" s="207" t="n"/>
      <c r="GZY90" s="207" t="n"/>
      <c r="GZZ90" s="207" t="n"/>
      <c r="HAA90" s="207" t="n"/>
      <c r="HAB90" s="207" t="n"/>
      <c r="HAC90" s="207" t="n"/>
      <c r="HAD90" s="207" t="n"/>
      <c r="HAE90" s="207" t="n"/>
      <c r="HAF90" s="207" t="n"/>
      <c r="HAG90" s="207" t="n"/>
      <c r="HAH90" s="207" t="n"/>
      <c r="HAI90" s="207" t="n"/>
      <c r="HAJ90" s="207" t="n"/>
      <c r="HAK90" s="207" t="n"/>
      <c r="HAL90" s="207" t="n"/>
      <c r="HAM90" s="207" t="n"/>
      <c r="HAN90" s="207" t="n"/>
      <c r="HAO90" s="207" t="n"/>
      <c r="HAP90" s="207" t="n"/>
      <c r="HAQ90" s="207" t="n"/>
      <c r="HAR90" s="207" t="n"/>
      <c r="HAS90" s="207" t="n"/>
      <c r="HAT90" s="207" t="n"/>
      <c r="HAU90" s="207" t="n"/>
      <c r="HAV90" s="207" t="n"/>
      <c r="HAW90" s="207" t="n"/>
      <c r="HAX90" s="207" t="n"/>
      <c r="HAY90" s="207" t="n"/>
      <c r="HAZ90" s="207" t="n"/>
      <c r="HBA90" s="207" t="n"/>
      <c r="HBB90" s="207" t="n"/>
      <c r="HBC90" s="207" t="n"/>
      <c r="HBD90" s="207" t="n"/>
      <c r="HBE90" s="207" t="n"/>
      <c r="HBF90" s="207" t="n"/>
      <c r="HBG90" s="207" t="n"/>
      <c r="HBH90" s="207" t="n"/>
      <c r="HBI90" s="207" t="n"/>
      <c r="HBJ90" s="207" t="n"/>
      <c r="HBK90" s="207" t="n"/>
      <c r="HBL90" s="207" t="n"/>
      <c r="HBM90" s="207" t="n"/>
      <c r="HBN90" s="207" t="n"/>
      <c r="HBO90" s="207" t="n"/>
      <c r="HBP90" s="207" t="n"/>
      <c r="HBQ90" s="207" t="n"/>
      <c r="HBR90" s="207" t="n"/>
      <c r="HBS90" s="207" t="n"/>
      <c r="HBT90" s="207" t="n"/>
      <c r="HBU90" s="207" t="n"/>
      <c r="HBV90" s="207" t="n"/>
      <c r="HBW90" s="207" t="n"/>
      <c r="HBX90" s="207" t="n"/>
      <c r="HBY90" s="207" t="n"/>
      <c r="HBZ90" s="207" t="n"/>
      <c r="HCA90" s="207" t="n"/>
      <c r="HCB90" s="207" t="n"/>
      <c r="HCC90" s="207" t="n"/>
      <c r="HCD90" s="207" t="n"/>
      <c r="HCE90" s="207" t="n"/>
      <c r="HCF90" s="207" t="n"/>
      <c r="HCG90" s="207" t="n"/>
      <c r="HCH90" s="207" t="n"/>
      <c r="HCI90" s="207" t="n"/>
      <c r="HCJ90" s="207" t="n"/>
      <c r="HCK90" s="207" t="n"/>
      <c r="HCL90" s="207" t="n"/>
      <c r="HCM90" s="207" t="n"/>
      <c r="HCN90" s="207" t="n"/>
      <c r="HCO90" s="207" t="n"/>
      <c r="HCP90" s="207" t="n"/>
      <c r="HCQ90" s="207" t="n"/>
      <c r="HCR90" s="207" t="n"/>
      <c r="HCS90" s="207" t="n"/>
      <c r="HCT90" s="207" t="n"/>
      <c r="HCU90" s="207" t="n"/>
      <c r="HCV90" s="207" t="n"/>
      <c r="HCW90" s="207" t="n"/>
      <c r="HCX90" s="207" t="n"/>
      <c r="HCY90" s="207" t="n"/>
      <c r="HCZ90" s="207" t="n"/>
      <c r="HDA90" s="207" t="n"/>
      <c r="HDB90" s="207" t="n"/>
      <c r="HDC90" s="207" t="n"/>
      <c r="HDD90" s="207" t="n"/>
      <c r="HDE90" s="207" t="n"/>
      <c r="HDF90" s="207" t="n"/>
      <c r="HDG90" s="207" t="n"/>
      <c r="HDH90" s="207" t="n"/>
      <c r="HDI90" s="207" t="n"/>
      <c r="HDJ90" s="207" t="n"/>
      <c r="HDK90" s="207" t="n"/>
      <c r="HDL90" s="207" t="n"/>
      <c r="HDM90" s="207" t="n"/>
      <c r="HDN90" s="207" t="n"/>
      <c r="HDO90" s="207" t="n"/>
      <c r="HDP90" s="207" t="n"/>
      <c r="HDQ90" s="207" t="n"/>
      <c r="HDR90" s="207" t="n"/>
      <c r="HDS90" s="207" t="n"/>
      <c r="HDT90" s="207" t="n"/>
      <c r="HDU90" s="207" t="n"/>
      <c r="HDV90" s="207" t="n"/>
      <c r="HDW90" s="207" t="n"/>
      <c r="HDX90" s="207" t="n"/>
      <c r="HDY90" s="207" t="n"/>
      <c r="HDZ90" s="207" t="n"/>
      <c r="HEA90" s="207" t="n"/>
      <c r="HEB90" s="207" t="n"/>
      <c r="HEC90" s="207" t="n"/>
      <c r="HED90" s="207" t="n"/>
      <c r="HEE90" s="207" t="n"/>
      <c r="HEF90" s="207" t="n"/>
      <c r="HEG90" s="207" t="n"/>
      <c r="HEH90" s="207" t="n"/>
      <c r="HEI90" s="207" t="n"/>
      <c r="HEJ90" s="207" t="n"/>
      <c r="HEK90" s="207" t="n"/>
      <c r="HEL90" s="207" t="n"/>
      <c r="HEM90" s="207" t="n"/>
      <c r="HEN90" s="207" t="n"/>
      <c r="HEO90" s="207" t="n"/>
      <c r="HEP90" s="207" t="n"/>
      <c r="HEQ90" s="207" t="n"/>
      <c r="HER90" s="207" t="n"/>
      <c r="HES90" s="207" t="n"/>
      <c r="HET90" s="207" t="n"/>
      <c r="HEU90" s="207" t="n"/>
      <c r="HEV90" s="207" t="n"/>
      <c r="HEW90" s="207" t="n"/>
      <c r="HEX90" s="207" t="n"/>
      <c r="HEY90" s="207" t="n"/>
      <c r="HEZ90" s="207" t="n"/>
      <c r="HFA90" s="207" t="n"/>
      <c r="HFB90" s="207" t="n"/>
      <c r="HFC90" s="207" t="n"/>
      <c r="HFD90" s="207" t="n"/>
      <c r="HFE90" s="207" t="n"/>
      <c r="HFF90" s="207" t="n"/>
      <c r="HFG90" s="207" t="n"/>
      <c r="HFH90" s="207" t="n"/>
      <c r="HFI90" s="207" t="n"/>
      <c r="HFJ90" s="207" t="n"/>
      <c r="HFK90" s="207" t="n"/>
      <c r="HFL90" s="207" t="n"/>
      <c r="HFM90" s="207" t="n"/>
      <c r="HFN90" s="207" t="n"/>
      <c r="HFO90" s="207" t="n"/>
      <c r="HFP90" s="207" t="n"/>
      <c r="HFQ90" s="207" t="n"/>
      <c r="HFR90" s="207" t="n"/>
      <c r="HFS90" s="207" t="n"/>
      <c r="HFT90" s="207" t="n"/>
      <c r="HFU90" s="207" t="n"/>
      <c r="HFV90" s="207" t="n"/>
      <c r="HFW90" s="207" t="n"/>
      <c r="HFX90" s="207" t="n"/>
      <c r="HFY90" s="207" t="n"/>
      <c r="HFZ90" s="207" t="n"/>
      <c r="HGA90" s="207" t="n"/>
      <c r="HGB90" s="207" t="n"/>
      <c r="HGC90" s="207" t="n"/>
      <c r="HGD90" s="207" t="n"/>
      <c r="HGE90" s="207" t="n"/>
      <c r="HGF90" s="207" t="n"/>
      <c r="HGG90" s="207" t="n"/>
      <c r="HGH90" s="207" t="n"/>
      <c r="HGI90" s="207" t="n"/>
      <c r="HGJ90" s="207" t="n"/>
      <c r="HGK90" s="207" t="n"/>
      <c r="HGL90" s="207" t="n"/>
      <c r="HGM90" s="207" t="n"/>
      <c r="HGN90" s="207" t="n"/>
      <c r="HGO90" s="207" t="n"/>
      <c r="HGP90" s="207" t="n"/>
      <c r="HGQ90" s="207" t="n"/>
      <c r="HGR90" s="207" t="n"/>
      <c r="HGS90" s="207" t="n"/>
      <c r="HGT90" s="207" t="n"/>
      <c r="HGU90" s="207" t="n"/>
      <c r="HGV90" s="207" t="n"/>
      <c r="HGW90" s="207" t="n"/>
      <c r="HGX90" s="207" t="n"/>
      <c r="HGY90" s="207" t="n"/>
      <c r="HGZ90" s="207" t="n"/>
      <c r="HHA90" s="207" t="n"/>
      <c r="HHB90" s="207" t="n"/>
      <c r="HHC90" s="207" t="n"/>
      <c r="HHD90" s="207" t="n"/>
      <c r="HHE90" s="207" t="n"/>
      <c r="HHF90" s="207" t="n"/>
      <c r="HHG90" s="207" t="n"/>
      <c r="HHH90" s="207" t="n"/>
      <c r="HHI90" s="207" t="n"/>
      <c r="HHJ90" s="207" t="n"/>
      <c r="HHK90" s="207" t="n"/>
      <c r="HHL90" s="207" t="n"/>
      <c r="HHM90" s="207" t="n"/>
      <c r="HHN90" s="207" t="n"/>
      <c r="HHO90" s="207" t="n"/>
      <c r="HHP90" s="207" t="n"/>
      <c r="HHQ90" s="207" t="n"/>
      <c r="HHR90" s="207" t="n"/>
      <c r="HHS90" s="207" t="n"/>
      <c r="HHT90" s="207" t="n"/>
      <c r="HHU90" s="207" t="n"/>
      <c r="HHV90" s="207" t="n"/>
      <c r="HHW90" s="207" t="n"/>
      <c r="HHX90" s="207" t="n"/>
      <c r="HHY90" s="207" t="n"/>
      <c r="HHZ90" s="207" t="n"/>
      <c r="HIA90" s="207" t="n"/>
      <c r="HIB90" s="207" t="n"/>
      <c r="HIC90" s="207" t="n"/>
      <c r="HID90" s="207" t="n"/>
      <c r="HIE90" s="207" t="n"/>
      <c r="HIF90" s="207" t="n"/>
      <c r="HIG90" s="207" t="n"/>
      <c r="HIH90" s="207" t="n"/>
      <c r="HII90" s="207" t="n"/>
      <c r="HIJ90" s="207" t="n"/>
      <c r="HIK90" s="207" t="n"/>
      <c r="HIL90" s="207" t="n"/>
      <c r="HIM90" s="207" t="n"/>
      <c r="HIN90" s="207" t="n"/>
      <c r="HIO90" s="207" t="n"/>
      <c r="HIP90" s="207" t="n"/>
      <c r="HIQ90" s="207" t="n"/>
      <c r="HIR90" s="207" t="n"/>
      <c r="HIS90" s="207" t="n"/>
      <c r="HIT90" s="207" t="n"/>
      <c r="HIU90" s="207" t="n"/>
      <c r="HIV90" s="207" t="n"/>
      <c r="HIW90" s="207" t="n"/>
      <c r="HIX90" s="207" t="n"/>
      <c r="HIY90" s="207" t="n"/>
      <c r="HIZ90" s="207" t="n"/>
      <c r="HJA90" s="207" t="n"/>
      <c r="HJB90" s="207" t="n"/>
      <c r="HJC90" s="207" t="n"/>
      <c r="HJD90" s="207" t="n"/>
      <c r="HJE90" s="207" t="n"/>
      <c r="HJF90" s="207" t="n"/>
      <c r="HJG90" s="207" t="n"/>
      <c r="HJH90" s="207" t="n"/>
      <c r="HJI90" s="207" t="n"/>
      <c r="HJJ90" s="207" t="n"/>
      <c r="HJK90" s="207" t="n"/>
      <c r="HJL90" s="207" t="n"/>
      <c r="HJM90" s="207" t="n"/>
      <c r="HJN90" s="207" t="n"/>
      <c r="HJO90" s="207" t="n"/>
      <c r="HJP90" s="207" t="n"/>
      <c r="HJQ90" s="207" t="n"/>
      <c r="HJR90" s="207" t="n"/>
      <c r="HJS90" s="207" t="n"/>
      <c r="HJT90" s="207" t="n"/>
      <c r="HJU90" s="207" t="n"/>
      <c r="HJV90" s="207" t="n"/>
      <c r="HJW90" s="207" t="n"/>
      <c r="HJX90" s="207" t="n"/>
      <c r="HJY90" s="207" t="n"/>
      <c r="HJZ90" s="207" t="n"/>
      <c r="HKA90" s="207" t="n"/>
      <c r="HKB90" s="207" t="n"/>
      <c r="HKC90" s="207" t="n"/>
      <c r="HKD90" s="207" t="n"/>
      <c r="HKE90" s="207" t="n"/>
      <c r="HKF90" s="207" t="n"/>
      <c r="HKG90" s="207" t="n"/>
      <c r="HKH90" s="207" t="n"/>
      <c r="HKI90" s="207" t="n"/>
      <c r="HKJ90" s="207" t="n"/>
      <c r="HKK90" s="207" t="n"/>
      <c r="HKL90" s="207" t="n"/>
      <c r="HKM90" s="207" t="n"/>
      <c r="HKN90" s="207" t="n"/>
      <c r="HKO90" s="207" t="n"/>
      <c r="HKP90" s="207" t="n"/>
      <c r="HKQ90" s="207" t="n"/>
      <c r="HKR90" s="207" t="n"/>
      <c r="HKS90" s="207" t="n"/>
      <c r="HKT90" s="207" t="n"/>
      <c r="HKU90" s="207" t="n"/>
      <c r="HKV90" s="207" t="n"/>
      <c r="HKW90" s="207" t="n"/>
      <c r="HKX90" s="207" t="n"/>
      <c r="HKY90" s="207" t="n"/>
      <c r="HKZ90" s="207" t="n"/>
      <c r="HLA90" s="207" t="n"/>
      <c r="HLB90" s="207" t="n"/>
      <c r="HLC90" s="207" t="n"/>
      <c r="HLD90" s="207" t="n"/>
      <c r="HLE90" s="207" t="n"/>
      <c r="HLF90" s="207" t="n"/>
      <c r="HLG90" s="207" t="n"/>
      <c r="HLH90" s="207" t="n"/>
      <c r="HLI90" s="207" t="n"/>
      <c r="HLJ90" s="207" t="n"/>
      <c r="HLK90" s="207" t="n"/>
      <c r="HLL90" s="207" t="n"/>
      <c r="HLM90" s="207" t="n"/>
      <c r="HLN90" s="207" t="n"/>
      <c r="HLO90" s="207" t="n"/>
      <c r="HLP90" s="207" t="n"/>
      <c r="HLQ90" s="207" t="n"/>
      <c r="HLR90" s="207" t="n"/>
      <c r="HLS90" s="207" t="n"/>
      <c r="HLT90" s="207" t="n"/>
      <c r="HLU90" s="207" t="n"/>
      <c r="HLV90" s="207" t="n"/>
      <c r="HLW90" s="207" t="n"/>
      <c r="HLX90" s="207" t="n"/>
      <c r="HLY90" s="207" t="n"/>
      <c r="HLZ90" s="207" t="n"/>
      <c r="HMA90" s="207" t="n"/>
      <c r="HMB90" s="207" t="n"/>
      <c r="HMC90" s="207" t="n"/>
      <c r="HMD90" s="207" t="n"/>
      <c r="HME90" s="207" t="n"/>
      <c r="HMF90" s="207" t="n"/>
      <c r="HMG90" s="207" t="n"/>
      <c r="HMH90" s="207" t="n"/>
      <c r="HMI90" s="207" t="n"/>
      <c r="HMJ90" s="207" t="n"/>
      <c r="HMK90" s="207" t="n"/>
      <c r="HML90" s="207" t="n"/>
      <c r="HMM90" s="207" t="n"/>
      <c r="HMN90" s="207" t="n"/>
      <c r="HMO90" s="207" t="n"/>
      <c r="HMP90" s="207" t="n"/>
      <c r="HMQ90" s="207" t="n"/>
      <c r="HMR90" s="207" t="n"/>
      <c r="HMS90" s="207" t="n"/>
      <c r="HMT90" s="207" t="n"/>
      <c r="HMU90" s="207" t="n"/>
      <c r="HMV90" s="207" t="n"/>
      <c r="HMW90" s="207" t="n"/>
      <c r="HMX90" s="207" t="n"/>
      <c r="HMY90" s="207" t="n"/>
      <c r="HMZ90" s="207" t="n"/>
      <c r="HNA90" s="207" t="n"/>
      <c r="HNB90" s="207" t="n"/>
      <c r="HNC90" s="207" t="n"/>
      <c r="HND90" s="207" t="n"/>
      <c r="HNE90" s="207" t="n"/>
      <c r="HNF90" s="207" t="n"/>
      <c r="HNG90" s="207" t="n"/>
      <c r="HNH90" s="207" t="n"/>
      <c r="HNI90" s="207" t="n"/>
      <c r="HNJ90" s="207" t="n"/>
      <c r="HNK90" s="207" t="n"/>
      <c r="HNL90" s="207" t="n"/>
      <c r="HNM90" s="207" t="n"/>
      <c r="HNN90" s="207" t="n"/>
      <c r="HNO90" s="207" t="n"/>
      <c r="HNP90" s="207" t="n"/>
      <c r="HNQ90" s="207" t="n"/>
      <c r="HNR90" s="207" t="n"/>
      <c r="HNS90" s="207" t="n"/>
      <c r="HNT90" s="207" t="n"/>
      <c r="HNU90" s="207" t="n"/>
      <c r="HNV90" s="207" t="n"/>
      <c r="HNW90" s="207" t="n"/>
      <c r="HNX90" s="207" t="n"/>
      <c r="HNY90" s="207" t="n"/>
      <c r="HNZ90" s="207" t="n"/>
      <c r="HOA90" s="207" t="n"/>
      <c r="HOB90" s="207" t="n"/>
      <c r="HOC90" s="207" t="n"/>
      <c r="HOD90" s="207" t="n"/>
      <c r="HOE90" s="207" t="n"/>
      <c r="HOF90" s="207" t="n"/>
      <c r="HOG90" s="207" t="n"/>
      <c r="HOH90" s="207" t="n"/>
      <c r="HOI90" s="207" t="n"/>
      <c r="HOJ90" s="207" t="n"/>
      <c r="HOK90" s="207" t="n"/>
      <c r="HOL90" s="207" t="n"/>
      <c r="HOM90" s="207" t="n"/>
      <c r="HON90" s="207" t="n"/>
      <c r="HOO90" s="207" t="n"/>
      <c r="HOP90" s="207" t="n"/>
      <c r="HOQ90" s="207" t="n"/>
      <c r="HOR90" s="207" t="n"/>
      <c r="HOS90" s="207" t="n"/>
      <c r="HOT90" s="207" t="n"/>
      <c r="HOU90" s="207" t="n"/>
      <c r="HOV90" s="207" t="n"/>
      <c r="HOW90" s="207" t="n"/>
      <c r="HOX90" s="207" t="n"/>
      <c r="HOY90" s="207" t="n"/>
      <c r="HOZ90" s="207" t="n"/>
      <c r="HPA90" s="207" t="n"/>
      <c r="HPB90" s="207" t="n"/>
      <c r="HPC90" s="207" t="n"/>
      <c r="HPD90" s="207" t="n"/>
      <c r="HPE90" s="207" t="n"/>
      <c r="HPF90" s="207" t="n"/>
      <c r="HPG90" s="207" t="n"/>
      <c r="HPH90" s="207" t="n"/>
      <c r="HPI90" s="207" t="n"/>
      <c r="HPJ90" s="207" t="n"/>
      <c r="HPK90" s="207" t="n"/>
      <c r="HPL90" s="207" t="n"/>
      <c r="HPM90" s="207" t="n"/>
      <c r="HPN90" s="207" t="n"/>
      <c r="HPO90" s="207" t="n"/>
      <c r="HPP90" s="207" t="n"/>
      <c r="HPQ90" s="207" t="n"/>
      <c r="HPR90" s="207" t="n"/>
      <c r="HPS90" s="207" t="n"/>
      <c r="HPT90" s="207" t="n"/>
      <c r="HPU90" s="207" t="n"/>
      <c r="HPV90" s="207" t="n"/>
      <c r="HPW90" s="207" t="n"/>
      <c r="HPX90" s="207" t="n"/>
      <c r="HPY90" s="207" t="n"/>
      <c r="HPZ90" s="207" t="n"/>
      <c r="HQA90" s="207" t="n"/>
      <c r="HQB90" s="207" t="n"/>
      <c r="HQC90" s="207" t="n"/>
      <c r="HQD90" s="207" t="n"/>
      <c r="HQE90" s="207" t="n"/>
      <c r="HQF90" s="207" t="n"/>
      <c r="HQG90" s="207" t="n"/>
      <c r="HQH90" s="207" t="n"/>
      <c r="HQI90" s="207" t="n"/>
      <c r="HQJ90" s="207" t="n"/>
      <c r="HQK90" s="207" t="n"/>
      <c r="HQL90" s="207" t="n"/>
      <c r="HQM90" s="207" t="n"/>
      <c r="HQN90" s="207" t="n"/>
      <c r="HQO90" s="207" t="n"/>
      <c r="HQP90" s="207" t="n"/>
      <c r="HQQ90" s="207" t="n"/>
      <c r="HQR90" s="207" t="n"/>
      <c r="HQS90" s="207" t="n"/>
      <c r="HQT90" s="207" t="n"/>
      <c r="HQU90" s="207" t="n"/>
      <c r="HQV90" s="207" t="n"/>
      <c r="HQW90" s="207" t="n"/>
      <c r="HQX90" s="207" t="n"/>
      <c r="HQY90" s="207" t="n"/>
      <c r="HQZ90" s="207" t="n"/>
      <c r="HRA90" s="207" t="n"/>
      <c r="HRB90" s="207" t="n"/>
      <c r="HRC90" s="207" t="n"/>
      <c r="HRD90" s="207" t="n"/>
      <c r="HRE90" s="207" t="n"/>
      <c r="HRF90" s="207" t="n"/>
      <c r="HRG90" s="207" t="n"/>
      <c r="HRH90" s="207" t="n"/>
      <c r="HRI90" s="207" t="n"/>
      <c r="HRJ90" s="207" t="n"/>
      <c r="HRK90" s="207" t="n"/>
      <c r="HRL90" s="207" t="n"/>
      <c r="HRM90" s="207" t="n"/>
      <c r="HRN90" s="207" t="n"/>
      <c r="HRO90" s="207" t="n"/>
      <c r="HRP90" s="207" t="n"/>
      <c r="HRQ90" s="207" t="n"/>
      <c r="HRR90" s="207" t="n"/>
      <c r="HRS90" s="207" t="n"/>
      <c r="HRT90" s="207" t="n"/>
      <c r="HRU90" s="207" t="n"/>
      <c r="HRV90" s="207" t="n"/>
      <c r="HRW90" s="207" t="n"/>
      <c r="HRX90" s="207" t="n"/>
      <c r="HRY90" s="207" t="n"/>
      <c r="HRZ90" s="207" t="n"/>
      <c r="HSA90" s="207" t="n"/>
      <c r="HSB90" s="207" t="n"/>
      <c r="HSC90" s="207" t="n"/>
      <c r="HSD90" s="207" t="n"/>
      <c r="HSE90" s="207" t="n"/>
      <c r="HSF90" s="207" t="n"/>
      <c r="HSG90" s="207" t="n"/>
      <c r="HSH90" s="207" t="n"/>
      <c r="HSI90" s="207" t="n"/>
      <c r="HSJ90" s="207" t="n"/>
      <c r="HSK90" s="207" t="n"/>
      <c r="HSL90" s="207" t="n"/>
      <c r="HSM90" s="207" t="n"/>
      <c r="HSN90" s="207" t="n"/>
      <c r="HSO90" s="207" t="n"/>
      <c r="HSP90" s="207" t="n"/>
      <c r="HSQ90" s="207" t="n"/>
      <c r="HSR90" s="207" t="n"/>
      <c r="HSS90" s="207" t="n"/>
      <c r="HST90" s="207" t="n"/>
      <c r="HSU90" s="207" t="n"/>
      <c r="HSV90" s="207" t="n"/>
      <c r="HSW90" s="207" t="n"/>
      <c r="HSX90" s="207" t="n"/>
      <c r="HSY90" s="207" t="n"/>
      <c r="HSZ90" s="207" t="n"/>
      <c r="HTA90" s="207" t="n"/>
      <c r="HTB90" s="207" t="n"/>
      <c r="HTC90" s="207" t="n"/>
      <c r="HTD90" s="207" t="n"/>
      <c r="HTE90" s="207" t="n"/>
      <c r="HTF90" s="207" t="n"/>
      <c r="HTG90" s="207" t="n"/>
      <c r="HTH90" s="207" t="n"/>
      <c r="HTI90" s="207" t="n"/>
      <c r="HTJ90" s="207" t="n"/>
      <c r="HTK90" s="207" t="n"/>
      <c r="HTL90" s="207" t="n"/>
      <c r="HTM90" s="207" t="n"/>
      <c r="HTN90" s="207" t="n"/>
      <c r="HTO90" s="207" t="n"/>
      <c r="HTP90" s="207" t="n"/>
      <c r="HTQ90" s="207" t="n"/>
      <c r="HTR90" s="207" t="n"/>
      <c r="HTS90" s="207" t="n"/>
      <c r="HTT90" s="207" t="n"/>
      <c r="HTU90" s="207" t="n"/>
      <c r="HTV90" s="207" t="n"/>
      <c r="HTW90" s="207" t="n"/>
      <c r="HTX90" s="207" t="n"/>
      <c r="HTY90" s="207" t="n"/>
      <c r="HTZ90" s="207" t="n"/>
      <c r="HUA90" s="207" t="n"/>
      <c r="HUB90" s="207" t="n"/>
      <c r="HUC90" s="207" t="n"/>
      <c r="HUD90" s="207" t="n"/>
      <c r="HUE90" s="207" t="n"/>
      <c r="HUF90" s="207" t="n"/>
      <c r="HUG90" s="207" t="n"/>
      <c r="HUH90" s="207" t="n"/>
      <c r="HUI90" s="207" t="n"/>
      <c r="HUJ90" s="207" t="n"/>
      <c r="HUK90" s="207" t="n"/>
      <c r="HUL90" s="207" t="n"/>
      <c r="HUM90" s="207" t="n"/>
      <c r="HUN90" s="207" t="n"/>
      <c r="HUO90" s="207" t="n"/>
      <c r="HUP90" s="207" t="n"/>
      <c r="HUQ90" s="207" t="n"/>
      <c r="HUR90" s="207" t="n"/>
      <c r="HUS90" s="207" t="n"/>
      <c r="HUT90" s="207" t="n"/>
      <c r="HUU90" s="207" t="n"/>
      <c r="HUV90" s="207" t="n"/>
      <c r="HUW90" s="207" t="n"/>
      <c r="HUX90" s="207" t="n"/>
      <c r="HUY90" s="207" t="n"/>
      <c r="HUZ90" s="207" t="n"/>
      <c r="HVA90" s="207" t="n"/>
      <c r="HVB90" s="207" t="n"/>
      <c r="HVC90" s="207" t="n"/>
      <c r="HVD90" s="207" t="n"/>
      <c r="HVE90" s="207" t="n"/>
      <c r="HVF90" s="207" t="n"/>
      <c r="HVG90" s="207" t="n"/>
      <c r="HVH90" s="207" t="n"/>
      <c r="HVI90" s="207" t="n"/>
      <c r="HVJ90" s="207" t="n"/>
      <c r="HVK90" s="207" t="n"/>
      <c r="HVL90" s="207" t="n"/>
      <c r="HVM90" s="207" t="n"/>
      <c r="HVN90" s="207" t="n"/>
      <c r="HVO90" s="207" t="n"/>
      <c r="HVP90" s="207" t="n"/>
      <c r="HVQ90" s="207" t="n"/>
      <c r="HVR90" s="207" t="n"/>
      <c r="HVS90" s="207" t="n"/>
      <c r="HVT90" s="207" t="n"/>
      <c r="HVU90" s="207" t="n"/>
      <c r="HVV90" s="207" t="n"/>
      <c r="HVW90" s="207" t="n"/>
      <c r="HVX90" s="207" t="n"/>
      <c r="HVY90" s="207" t="n"/>
      <c r="HVZ90" s="207" t="n"/>
      <c r="HWA90" s="207" t="n"/>
      <c r="HWB90" s="207" t="n"/>
      <c r="HWC90" s="207" t="n"/>
      <c r="HWD90" s="207" t="n"/>
      <c r="HWE90" s="207" t="n"/>
      <c r="HWF90" s="207" t="n"/>
      <c r="HWG90" s="207" t="n"/>
      <c r="HWH90" s="207" t="n"/>
      <c r="HWI90" s="207" t="n"/>
      <c r="HWJ90" s="207" t="n"/>
      <c r="HWK90" s="207" t="n"/>
      <c r="HWL90" s="207" t="n"/>
      <c r="HWM90" s="207" t="n"/>
      <c r="HWN90" s="207" t="n"/>
      <c r="HWO90" s="207" t="n"/>
      <c r="HWP90" s="207" t="n"/>
      <c r="HWQ90" s="207" t="n"/>
      <c r="HWR90" s="207" t="n"/>
      <c r="HWS90" s="207" t="n"/>
      <c r="HWT90" s="207" t="n"/>
      <c r="HWU90" s="207" t="n"/>
      <c r="HWV90" s="207" t="n"/>
      <c r="HWW90" s="207" t="n"/>
      <c r="HWX90" s="207" t="n"/>
      <c r="HWY90" s="207" t="n"/>
      <c r="HWZ90" s="207" t="n"/>
      <c r="HXA90" s="207" t="n"/>
      <c r="HXB90" s="207" t="n"/>
      <c r="HXC90" s="207" t="n"/>
      <c r="HXD90" s="207" t="n"/>
      <c r="HXE90" s="207" t="n"/>
      <c r="HXF90" s="207" t="n"/>
      <c r="HXG90" s="207" t="n"/>
      <c r="HXH90" s="207" t="n"/>
      <c r="HXI90" s="207" t="n"/>
      <c r="HXJ90" s="207" t="n"/>
      <c r="HXK90" s="207" t="n"/>
      <c r="HXL90" s="207" t="n"/>
      <c r="HXM90" s="207" t="n"/>
      <c r="HXN90" s="207" t="n"/>
      <c r="HXO90" s="207" t="n"/>
      <c r="HXP90" s="207" t="n"/>
      <c r="HXQ90" s="207" t="n"/>
      <c r="HXR90" s="207" t="n"/>
      <c r="HXS90" s="207" t="n"/>
      <c r="HXT90" s="207" t="n"/>
      <c r="HXU90" s="207" t="n"/>
      <c r="HXV90" s="207" t="n"/>
      <c r="HXW90" s="207" t="n"/>
      <c r="HXX90" s="207" t="n"/>
      <c r="HXY90" s="207" t="n"/>
      <c r="HXZ90" s="207" t="n"/>
      <c r="HYA90" s="207" t="n"/>
      <c r="HYB90" s="207" t="n"/>
      <c r="HYC90" s="207" t="n"/>
      <c r="HYD90" s="207" t="n"/>
      <c r="HYE90" s="207" t="n"/>
      <c r="HYF90" s="207" t="n"/>
      <c r="HYG90" s="207" t="n"/>
      <c r="HYH90" s="207" t="n"/>
      <c r="HYI90" s="207" t="n"/>
      <c r="HYJ90" s="207" t="n"/>
      <c r="HYK90" s="207" t="n"/>
      <c r="HYL90" s="207" t="n"/>
      <c r="HYM90" s="207" t="n"/>
      <c r="HYN90" s="207" t="n"/>
      <c r="HYO90" s="207" t="n"/>
      <c r="HYP90" s="207" t="n"/>
      <c r="HYQ90" s="207" t="n"/>
      <c r="HYR90" s="207" t="n"/>
      <c r="HYS90" s="207" t="n"/>
      <c r="HYT90" s="207" t="n"/>
      <c r="HYU90" s="207" t="n"/>
      <c r="HYV90" s="207" t="n"/>
      <c r="HYW90" s="207" t="n"/>
      <c r="HYX90" s="207" t="n"/>
      <c r="HYY90" s="207" t="n"/>
      <c r="HYZ90" s="207" t="n"/>
      <c r="HZA90" s="207" t="n"/>
      <c r="HZB90" s="207" t="n"/>
      <c r="HZC90" s="207" t="n"/>
      <c r="HZD90" s="207" t="n"/>
      <c r="HZE90" s="207" t="n"/>
      <c r="HZF90" s="207" t="n"/>
      <c r="HZG90" s="207" t="n"/>
      <c r="HZH90" s="207" t="n"/>
      <c r="HZI90" s="207" t="n"/>
      <c r="HZJ90" s="207" t="n"/>
      <c r="HZK90" s="207" t="n"/>
      <c r="HZL90" s="207" t="n"/>
      <c r="HZM90" s="207" t="n"/>
      <c r="HZN90" s="207" t="n"/>
      <c r="HZO90" s="207" t="n"/>
      <c r="HZP90" s="207" t="n"/>
      <c r="HZQ90" s="207" t="n"/>
      <c r="HZR90" s="207" t="n"/>
      <c r="HZS90" s="207" t="n"/>
      <c r="HZT90" s="207" t="n"/>
      <c r="HZU90" s="207" t="n"/>
      <c r="HZV90" s="207" t="n"/>
      <c r="HZW90" s="207" t="n"/>
      <c r="HZX90" s="207" t="n"/>
      <c r="HZY90" s="207" t="n"/>
      <c r="HZZ90" s="207" t="n"/>
      <c r="IAA90" s="207" t="n"/>
      <c r="IAB90" s="207" t="n"/>
      <c r="IAC90" s="207" t="n"/>
      <c r="IAD90" s="207" t="n"/>
      <c r="IAE90" s="207" t="n"/>
      <c r="IAF90" s="207" t="n"/>
      <c r="IAG90" s="207" t="n"/>
      <c r="IAH90" s="207" t="n"/>
      <c r="IAI90" s="207" t="n"/>
      <c r="IAJ90" s="207" t="n"/>
      <c r="IAK90" s="207" t="n"/>
      <c r="IAL90" s="207" t="n"/>
      <c r="IAM90" s="207" t="n"/>
      <c r="IAN90" s="207" t="n"/>
      <c r="IAO90" s="207" t="n"/>
      <c r="IAP90" s="207" t="n"/>
      <c r="IAQ90" s="207" t="n"/>
      <c r="IAR90" s="207" t="n"/>
      <c r="IAS90" s="207" t="n"/>
      <c r="IAT90" s="207" t="n"/>
      <c r="IAU90" s="207" t="n"/>
      <c r="IAV90" s="207" t="n"/>
      <c r="IAW90" s="207" t="n"/>
      <c r="IAX90" s="207" t="n"/>
      <c r="IAY90" s="207" t="n"/>
      <c r="IAZ90" s="207" t="n"/>
      <c r="IBA90" s="207" t="n"/>
      <c r="IBB90" s="207" t="n"/>
      <c r="IBC90" s="207" t="n"/>
      <c r="IBD90" s="207" t="n"/>
      <c r="IBE90" s="207" t="n"/>
      <c r="IBF90" s="207" t="n"/>
      <c r="IBG90" s="207" t="n"/>
      <c r="IBH90" s="207" t="n"/>
      <c r="IBI90" s="207" t="n"/>
      <c r="IBJ90" s="207" t="n"/>
      <c r="IBK90" s="207" t="n"/>
      <c r="IBL90" s="207" t="n"/>
      <c r="IBM90" s="207" t="n"/>
      <c r="IBN90" s="207" t="n"/>
      <c r="IBO90" s="207" t="n"/>
      <c r="IBP90" s="207" t="n"/>
      <c r="IBQ90" s="207" t="n"/>
      <c r="IBR90" s="207" t="n"/>
      <c r="IBS90" s="207" t="n"/>
      <c r="IBT90" s="207" t="n"/>
      <c r="IBU90" s="207" t="n"/>
      <c r="IBV90" s="207" t="n"/>
      <c r="IBW90" s="207" t="n"/>
      <c r="IBX90" s="207" t="n"/>
      <c r="IBY90" s="207" t="n"/>
      <c r="IBZ90" s="207" t="n"/>
      <c r="ICA90" s="207" t="n"/>
      <c r="ICB90" s="207" t="n"/>
      <c r="ICC90" s="207" t="n"/>
      <c r="ICD90" s="207" t="n"/>
      <c r="ICE90" s="207" t="n"/>
      <c r="ICF90" s="207" t="n"/>
      <c r="ICG90" s="207" t="n"/>
      <c r="ICH90" s="207" t="n"/>
      <c r="ICI90" s="207" t="n"/>
      <c r="ICJ90" s="207" t="n"/>
      <c r="ICK90" s="207" t="n"/>
      <c r="ICL90" s="207" t="n"/>
      <c r="ICM90" s="207" t="n"/>
      <c r="ICN90" s="207" t="n"/>
      <c r="ICO90" s="207" t="n"/>
      <c r="ICP90" s="207" t="n"/>
      <c r="ICQ90" s="207" t="n"/>
      <c r="ICR90" s="207" t="n"/>
      <c r="ICS90" s="207" t="n"/>
      <c r="ICT90" s="207" t="n"/>
      <c r="ICU90" s="207" t="n"/>
      <c r="ICV90" s="207" t="n"/>
      <c r="ICW90" s="207" t="n"/>
      <c r="ICX90" s="207" t="n"/>
      <c r="ICY90" s="207" t="n"/>
      <c r="ICZ90" s="207" t="n"/>
      <c r="IDA90" s="207" t="n"/>
      <c r="IDB90" s="207" t="n"/>
      <c r="IDC90" s="207" t="n"/>
      <c r="IDD90" s="207" t="n"/>
      <c r="IDE90" s="207" t="n"/>
      <c r="IDF90" s="207" t="n"/>
      <c r="IDG90" s="207" t="n"/>
      <c r="IDH90" s="207" t="n"/>
      <c r="IDI90" s="207" t="n"/>
      <c r="IDJ90" s="207" t="n"/>
      <c r="IDK90" s="207" t="n"/>
      <c r="IDL90" s="207" t="n"/>
      <c r="IDM90" s="207" t="n"/>
      <c r="IDN90" s="207" t="n"/>
      <c r="IDO90" s="207" t="n"/>
      <c r="IDP90" s="207" t="n"/>
      <c r="IDQ90" s="207" t="n"/>
      <c r="IDR90" s="207" t="n"/>
      <c r="IDS90" s="207" t="n"/>
      <c r="IDT90" s="207" t="n"/>
      <c r="IDU90" s="207" t="n"/>
      <c r="IDV90" s="207" t="n"/>
      <c r="IDW90" s="207" t="n"/>
      <c r="IDX90" s="207" t="n"/>
      <c r="IDY90" s="207" t="n"/>
      <c r="IDZ90" s="207" t="n"/>
      <c r="IEA90" s="207" t="n"/>
      <c r="IEB90" s="207" t="n"/>
      <c r="IEC90" s="207" t="n"/>
      <c r="IED90" s="207" t="n"/>
      <c r="IEE90" s="207" t="n"/>
      <c r="IEF90" s="207" t="n"/>
      <c r="IEG90" s="207" t="n"/>
      <c r="IEH90" s="207" t="n"/>
      <c r="IEI90" s="207" t="n"/>
      <c r="IEJ90" s="207" t="n"/>
      <c r="IEK90" s="207" t="n"/>
      <c r="IEL90" s="207" t="n"/>
      <c r="IEM90" s="207" t="n"/>
      <c r="IEN90" s="207" t="n"/>
      <c r="IEO90" s="207" t="n"/>
      <c r="IEP90" s="207" t="n"/>
      <c r="IEQ90" s="207" t="n"/>
      <c r="IER90" s="207" t="n"/>
      <c r="IES90" s="207" t="n"/>
      <c r="IET90" s="207" t="n"/>
      <c r="IEU90" s="207" t="n"/>
      <c r="IEV90" s="207" t="n"/>
      <c r="IEW90" s="207" t="n"/>
      <c r="IEX90" s="207" t="n"/>
      <c r="IEY90" s="207" t="n"/>
      <c r="IEZ90" s="207" t="n"/>
      <c r="IFA90" s="207" t="n"/>
      <c r="IFB90" s="207" t="n"/>
      <c r="IFC90" s="207" t="n"/>
      <c r="IFD90" s="207" t="n"/>
      <c r="IFE90" s="207" t="n"/>
      <c r="IFF90" s="207" t="n"/>
      <c r="IFG90" s="207" t="n"/>
      <c r="IFH90" s="207" t="n"/>
      <c r="IFI90" s="207" t="n"/>
      <c r="IFJ90" s="207" t="n"/>
      <c r="IFK90" s="207" t="n"/>
      <c r="IFL90" s="207" t="n"/>
      <c r="IFM90" s="207" t="n"/>
      <c r="IFN90" s="207" t="n"/>
      <c r="IFO90" s="207" t="n"/>
      <c r="IFP90" s="207" t="n"/>
      <c r="IFQ90" s="207" t="n"/>
      <c r="IFR90" s="207" t="n"/>
      <c r="IFS90" s="207" t="n"/>
      <c r="IFT90" s="207" t="n"/>
      <c r="IFU90" s="207" t="n"/>
      <c r="IFV90" s="207" t="n"/>
      <c r="IFW90" s="207" t="n"/>
      <c r="IFX90" s="207" t="n"/>
      <c r="IFY90" s="207" t="n"/>
      <c r="IFZ90" s="207" t="n"/>
      <c r="IGA90" s="207" t="n"/>
      <c r="IGB90" s="207" t="n"/>
      <c r="IGC90" s="207" t="n"/>
      <c r="IGD90" s="207" t="n"/>
      <c r="IGE90" s="207" t="n"/>
      <c r="IGF90" s="207" t="n"/>
      <c r="IGG90" s="207" t="n"/>
      <c r="IGH90" s="207" t="n"/>
      <c r="IGI90" s="207" t="n"/>
      <c r="IGJ90" s="207" t="n"/>
      <c r="IGK90" s="207" t="n"/>
      <c r="IGL90" s="207" t="n"/>
      <c r="IGM90" s="207" t="n"/>
      <c r="IGN90" s="207" t="n"/>
      <c r="IGO90" s="207" t="n"/>
      <c r="IGP90" s="207" t="n"/>
      <c r="IGQ90" s="207" t="n"/>
      <c r="IGR90" s="207" t="n"/>
      <c r="IGS90" s="207" t="n"/>
      <c r="IGT90" s="207" t="n"/>
      <c r="IGU90" s="207" t="n"/>
      <c r="IGV90" s="207" t="n"/>
      <c r="IGW90" s="207" t="n"/>
      <c r="IGX90" s="207" t="n"/>
      <c r="IGY90" s="207" t="n"/>
      <c r="IGZ90" s="207" t="n"/>
      <c r="IHA90" s="207" t="n"/>
      <c r="IHB90" s="207" t="n"/>
      <c r="IHC90" s="207" t="n"/>
      <c r="IHD90" s="207" t="n"/>
      <c r="IHE90" s="207" t="n"/>
      <c r="IHF90" s="207" t="n"/>
      <c r="IHG90" s="207" t="n"/>
      <c r="IHH90" s="207" t="n"/>
      <c r="IHI90" s="207" t="n"/>
      <c r="IHJ90" s="207" t="n"/>
      <c r="IHK90" s="207" t="n"/>
      <c r="IHL90" s="207" t="n"/>
      <c r="IHM90" s="207" t="n"/>
      <c r="IHN90" s="207" t="n"/>
      <c r="IHO90" s="207" t="n"/>
      <c r="IHP90" s="207" t="n"/>
      <c r="IHQ90" s="207" t="n"/>
      <c r="IHR90" s="207" t="n"/>
      <c r="IHS90" s="207" t="n"/>
      <c r="IHT90" s="207" t="n"/>
      <c r="IHU90" s="207" t="n"/>
      <c r="IHV90" s="207" t="n"/>
      <c r="IHW90" s="207" t="n"/>
      <c r="IHX90" s="207" t="n"/>
      <c r="IHY90" s="207" t="n"/>
      <c r="IHZ90" s="207" t="n"/>
      <c r="IIA90" s="207" t="n"/>
      <c r="IIB90" s="207" t="n"/>
      <c r="IIC90" s="207" t="n"/>
      <c r="IID90" s="207" t="n"/>
      <c r="IIE90" s="207" t="n"/>
      <c r="IIF90" s="207" t="n"/>
      <c r="IIG90" s="207" t="n"/>
      <c r="IIH90" s="207" t="n"/>
      <c r="III90" s="207" t="n"/>
      <c r="IIJ90" s="207" t="n"/>
      <c r="IIK90" s="207" t="n"/>
      <c r="IIL90" s="207" t="n"/>
      <c r="IIM90" s="207" t="n"/>
      <c r="IIN90" s="207" t="n"/>
      <c r="IIO90" s="207" t="n"/>
      <c r="IIP90" s="207" t="n"/>
      <c r="IIQ90" s="207" t="n"/>
      <c r="IIR90" s="207" t="n"/>
      <c r="IIS90" s="207" t="n"/>
      <c r="IIT90" s="207" t="n"/>
      <c r="IIU90" s="207" t="n"/>
      <c r="IIV90" s="207" t="n"/>
      <c r="IIW90" s="207" t="n"/>
      <c r="IIX90" s="207" t="n"/>
      <c r="IIY90" s="207" t="n"/>
      <c r="IIZ90" s="207" t="n"/>
      <c r="IJA90" s="207" t="n"/>
      <c r="IJB90" s="207" t="n"/>
      <c r="IJC90" s="207" t="n"/>
      <c r="IJD90" s="207" t="n"/>
      <c r="IJE90" s="207" t="n"/>
      <c r="IJF90" s="207" t="n"/>
      <c r="IJG90" s="207" t="n"/>
      <c r="IJH90" s="207" t="n"/>
      <c r="IJI90" s="207" t="n"/>
      <c r="IJJ90" s="207" t="n"/>
      <c r="IJK90" s="207" t="n"/>
      <c r="IJL90" s="207" t="n"/>
      <c r="IJM90" s="207" t="n"/>
      <c r="IJN90" s="207" t="n"/>
      <c r="IJO90" s="207" t="n"/>
      <c r="IJP90" s="207" t="n"/>
      <c r="IJQ90" s="207" t="n"/>
      <c r="IJR90" s="207" t="n"/>
      <c r="IJS90" s="207" t="n"/>
      <c r="IJT90" s="207" t="n"/>
      <c r="IJU90" s="207" t="n"/>
      <c r="IJV90" s="207" t="n"/>
      <c r="IJW90" s="207" t="n"/>
      <c r="IJX90" s="207" t="n"/>
      <c r="IJY90" s="207" t="n"/>
      <c r="IJZ90" s="207" t="n"/>
      <c r="IKA90" s="207" t="n"/>
      <c r="IKB90" s="207" t="n"/>
      <c r="IKC90" s="207" t="n"/>
      <c r="IKD90" s="207" t="n"/>
      <c r="IKE90" s="207" t="n"/>
      <c r="IKF90" s="207" t="n"/>
      <c r="IKG90" s="207" t="n"/>
      <c r="IKH90" s="207" t="n"/>
      <c r="IKI90" s="207" t="n"/>
      <c r="IKJ90" s="207" t="n"/>
      <c r="IKK90" s="207" t="n"/>
      <c r="IKL90" s="207" t="n"/>
      <c r="IKM90" s="207" t="n"/>
      <c r="IKN90" s="207" t="n"/>
      <c r="IKO90" s="207" t="n"/>
      <c r="IKP90" s="207" t="n"/>
      <c r="IKQ90" s="207" t="n"/>
      <c r="IKR90" s="207" t="n"/>
      <c r="IKS90" s="207" t="n"/>
      <c r="IKT90" s="207" t="n"/>
      <c r="IKU90" s="207" t="n"/>
      <c r="IKV90" s="207" t="n"/>
      <c r="IKW90" s="207" t="n"/>
      <c r="IKX90" s="207" t="n"/>
      <c r="IKY90" s="207" t="n"/>
      <c r="IKZ90" s="207" t="n"/>
      <c r="ILA90" s="207" t="n"/>
      <c r="ILB90" s="207" t="n"/>
      <c r="ILC90" s="207" t="n"/>
      <c r="ILD90" s="207" t="n"/>
      <c r="ILE90" s="207" t="n"/>
      <c r="ILF90" s="207" t="n"/>
      <c r="ILG90" s="207" t="n"/>
      <c r="ILH90" s="207" t="n"/>
      <c r="ILI90" s="207" t="n"/>
      <c r="ILJ90" s="207" t="n"/>
      <c r="ILK90" s="207" t="n"/>
      <c r="ILL90" s="207" t="n"/>
      <c r="ILM90" s="207" t="n"/>
      <c r="ILN90" s="207" t="n"/>
      <c r="ILO90" s="207" t="n"/>
      <c r="ILP90" s="207" t="n"/>
      <c r="ILQ90" s="207" t="n"/>
      <c r="ILR90" s="207" t="n"/>
      <c r="ILS90" s="207" t="n"/>
      <c r="ILT90" s="207" t="n"/>
      <c r="ILU90" s="207" t="n"/>
      <c r="ILV90" s="207" t="n"/>
      <c r="ILW90" s="207" t="n"/>
      <c r="ILX90" s="207" t="n"/>
      <c r="ILY90" s="207" t="n"/>
      <c r="ILZ90" s="207" t="n"/>
      <c r="IMA90" s="207" t="n"/>
      <c r="IMB90" s="207" t="n"/>
      <c r="IMC90" s="207" t="n"/>
      <c r="IMD90" s="207" t="n"/>
      <c r="IME90" s="207" t="n"/>
      <c r="IMF90" s="207" t="n"/>
      <c r="IMG90" s="207" t="n"/>
      <c r="IMH90" s="207" t="n"/>
      <c r="IMI90" s="207" t="n"/>
      <c r="IMJ90" s="207" t="n"/>
      <c r="IMK90" s="207" t="n"/>
      <c r="IML90" s="207" t="n"/>
      <c r="IMM90" s="207" t="n"/>
      <c r="IMN90" s="207" t="n"/>
      <c r="IMO90" s="207" t="n"/>
      <c r="IMP90" s="207" t="n"/>
      <c r="IMQ90" s="207" t="n"/>
      <c r="IMR90" s="207" t="n"/>
      <c r="IMS90" s="207" t="n"/>
      <c r="IMT90" s="207" t="n"/>
      <c r="IMU90" s="207" t="n"/>
      <c r="IMV90" s="207" t="n"/>
      <c r="IMW90" s="207" t="n"/>
      <c r="IMX90" s="207" t="n"/>
      <c r="IMY90" s="207" t="n"/>
      <c r="IMZ90" s="207" t="n"/>
      <c r="INA90" s="207" t="n"/>
      <c r="INB90" s="207" t="n"/>
      <c r="INC90" s="207" t="n"/>
      <c r="IND90" s="207" t="n"/>
      <c r="INE90" s="207" t="n"/>
      <c r="INF90" s="207" t="n"/>
      <c r="ING90" s="207" t="n"/>
      <c r="INH90" s="207" t="n"/>
      <c r="INI90" s="207" t="n"/>
      <c r="INJ90" s="207" t="n"/>
      <c r="INK90" s="207" t="n"/>
      <c r="INL90" s="207" t="n"/>
      <c r="INM90" s="207" t="n"/>
      <c r="INN90" s="207" t="n"/>
      <c r="INO90" s="207" t="n"/>
      <c r="INP90" s="207" t="n"/>
      <c r="INQ90" s="207" t="n"/>
      <c r="INR90" s="207" t="n"/>
      <c r="INS90" s="207" t="n"/>
      <c r="INT90" s="207" t="n"/>
      <c r="INU90" s="207" t="n"/>
      <c r="INV90" s="207" t="n"/>
      <c r="INW90" s="207" t="n"/>
      <c r="INX90" s="207" t="n"/>
      <c r="INY90" s="207" t="n"/>
      <c r="INZ90" s="207" t="n"/>
      <c r="IOA90" s="207" t="n"/>
      <c r="IOB90" s="207" t="n"/>
      <c r="IOC90" s="207" t="n"/>
      <c r="IOD90" s="207" t="n"/>
      <c r="IOE90" s="207" t="n"/>
      <c r="IOF90" s="207" t="n"/>
      <c r="IOG90" s="207" t="n"/>
      <c r="IOH90" s="207" t="n"/>
      <c r="IOI90" s="207" t="n"/>
      <c r="IOJ90" s="207" t="n"/>
      <c r="IOK90" s="207" t="n"/>
      <c r="IOL90" s="207" t="n"/>
      <c r="IOM90" s="207" t="n"/>
      <c r="ION90" s="207" t="n"/>
      <c r="IOO90" s="207" t="n"/>
      <c r="IOP90" s="207" t="n"/>
      <c r="IOQ90" s="207" t="n"/>
      <c r="IOR90" s="207" t="n"/>
      <c r="IOS90" s="207" t="n"/>
      <c r="IOT90" s="207" t="n"/>
      <c r="IOU90" s="207" t="n"/>
      <c r="IOV90" s="207" t="n"/>
      <c r="IOW90" s="207" t="n"/>
      <c r="IOX90" s="207" t="n"/>
      <c r="IOY90" s="207" t="n"/>
      <c r="IOZ90" s="207" t="n"/>
      <c r="IPA90" s="207" t="n"/>
      <c r="IPB90" s="207" t="n"/>
      <c r="IPC90" s="207" t="n"/>
      <c r="IPD90" s="207" t="n"/>
      <c r="IPE90" s="207" t="n"/>
      <c r="IPF90" s="207" t="n"/>
      <c r="IPG90" s="207" t="n"/>
      <c r="IPH90" s="207" t="n"/>
      <c r="IPI90" s="207" t="n"/>
      <c r="IPJ90" s="207" t="n"/>
      <c r="IPK90" s="207" t="n"/>
      <c r="IPL90" s="207" t="n"/>
      <c r="IPM90" s="207" t="n"/>
      <c r="IPN90" s="207" t="n"/>
      <c r="IPO90" s="207" t="n"/>
      <c r="IPP90" s="207" t="n"/>
      <c r="IPQ90" s="207" t="n"/>
      <c r="IPR90" s="207" t="n"/>
      <c r="IPS90" s="207" t="n"/>
      <c r="IPT90" s="207" t="n"/>
      <c r="IPU90" s="207" t="n"/>
      <c r="IPV90" s="207" t="n"/>
      <c r="IPW90" s="207" t="n"/>
      <c r="IPX90" s="207" t="n"/>
      <c r="IPY90" s="207" t="n"/>
      <c r="IPZ90" s="207" t="n"/>
      <c r="IQA90" s="207" t="n"/>
      <c r="IQB90" s="207" t="n"/>
      <c r="IQC90" s="207" t="n"/>
      <c r="IQD90" s="207" t="n"/>
      <c r="IQE90" s="207" t="n"/>
      <c r="IQF90" s="207" t="n"/>
      <c r="IQG90" s="207" t="n"/>
      <c r="IQH90" s="207" t="n"/>
      <c r="IQI90" s="207" t="n"/>
      <c r="IQJ90" s="207" t="n"/>
      <c r="IQK90" s="207" t="n"/>
      <c r="IQL90" s="207" t="n"/>
      <c r="IQM90" s="207" t="n"/>
      <c r="IQN90" s="207" t="n"/>
      <c r="IQO90" s="207" t="n"/>
      <c r="IQP90" s="207" t="n"/>
      <c r="IQQ90" s="207" t="n"/>
      <c r="IQR90" s="207" t="n"/>
      <c r="IQS90" s="207" t="n"/>
      <c r="IQT90" s="207" t="n"/>
      <c r="IQU90" s="207" t="n"/>
      <c r="IQV90" s="207" t="n"/>
      <c r="IQW90" s="207" t="n"/>
      <c r="IQX90" s="207" t="n"/>
      <c r="IQY90" s="207" t="n"/>
      <c r="IQZ90" s="207" t="n"/>
      <c r="IRA90" s="207" t="n"/>
      <c r="IRB90" s="207" t="n"/>
      <c r="IRC90" s="207" t="n"/>
      <c r="IRD90" s="207" t="n"/>
      <c r="IRE90" s="207" t="n"/>
      <c r="IRF90" s="207" t="n"/>
      <c r="IRG90" s="207" t="n"/>
      <c r="IRH90" s="207" t="n"/>
      <c r="IRI90" s="207" t="n"/>
      <c r="IRJ90" s="207" t="n"/>
      <c r="IRK90" s="207" t="n"/>
      <c r="IRL90" s="207" t="n"/>
      <c r="IRM90" s="207" t="n"/>
      <c r="IRN90" s="207" t="n"/>
      <c r="IRO90" s="207" t="n"/>
      <c r="IRP90" s="207" t="n"/>
      <c r="IRQ90" s="207" t="n"/>
      <c r="IRR90" s="207" t="n"/>
      <c r="IRS90" s="207" t="n"/>
      <c r="IRT90" s="207" t="n"/>
      <c r="IRU90" s="207" t="n"/>
      <c r="IRV90" s="207" t="n"/>
      <c r="IRW90" s="207" t="n"/>
      <c r="IRX90" s="207" t="n"/>
      <c r="IRY90" s="207" t="n"/>
      <c r="IRZ90" s="207" t="n"/>
      <c r="ISA90" s="207" t="n"/>
      <c r="ISB90" s="207" t="n"/>
      <c r="ISC90" s="207" t="n"/>
      <c r="ISD90" s="207" t="n"/>
      <c r="ISE90" s="207" t="n"/>
      <c r="ISF90" s="207" t="n"/>
      <c r="ISG90" s="207" t="n"/>
      <c r="ISH90" s="207" t="n"/>
      <c r="ISI90" s="207" t="n"/>
      <c r="ISJ90" s="207" t="n"/>
      <c r="ISK90" s="207" t="n"/>
      <c r="ISL90" s="207" t="n"/>
      <c r="ISM90" s="207" t="n"/>
      <c r="ISN90" s="207" t="n"/>
      <c r="ISO90" s="207" t="n"/>
      <c r="ISP90" s="207" t="n"/>
      <c r="ISQ90" s="207" t="n"/>
      <c r="ISR90" s="207" t="n"/>
      <c r="ISS90" s="207" t="n"/>
      <c r="IST90" s="207" t="n"/>
      <c r="ISU90" s="207" t="n"/>
      <c r="ISV90" s="207" t="n"/>
      <c r="ISW90" s="207" t="n"/>
      <c r="ISX90" s="207" t="n"/>
      <c r="ISY90" s="207" t="n"/>
      <c r="ISZ90" s="207" t="n"/>
      <c r="ITA90" s="207" t="n"/>
      <c r="ITB90" s="207" t="n"/>
      <c r="ITC90" s="207" t="n"/>
      <c r="ITD90" s="207" t="n"/>
      <c r="ITE90" s="207" t="n"/>
      <c r="ITF90" s="207" t="n"/>
      <c r="ITG90" s="207" t="n"/>
      <c r="ITH90" s="207" t="n"/>
      <c r="ITI90" s="207" t="n"/>
      <c r="ITJ90" s="207" t="n"/>
      <c r="ITK90" s="207" t="n"/>
      <c r="ITL90" s="207" t="n"/>
      <c r="ITM90" s="207" t="n"/>
      <c r="ITN90" s="207" t="n"/>
      <c r="ITO90" s="207" t="n"/>
      <c r="ITP90" s="207" t="n"/>
      <c r="ITQ90" s="207" t="n"/>
      <c r="ITR90" s="207" t="n"/>
      <c r="ITS90" s="207" t="n"/>
      <c r="ITT90" s="207" t="n"/>
      <c r="ITU90" s="207" t="n"/>
      <c r="ITV90" s="207" t="n"/>
      <c r="ITW90" s="207" t="n"/>
      <c r="ITX90" s="207" t="n"/>
      <c r="ITY90" s="207" t="n"/>
      <c r="ITZ90" s="207" t="n"/>
      <c r="IUA90" s="207" t="n"/>
      <c r="IUB90" s="207" t="n"/>
      <c r="IUC90" s="207" t="n"/>
      <c r="IUD90" s="207" t="n"/>
      <c r="IUE90" s="207" t="n"/>
      <c r="IUF90" s="207" t="n"/>
      <c r="IUG90" s="207" t="n"/>
      <c r="IUH90" s="207" t="n"/>
      <c r="IUI90" s="207" t="n"/>
      <c r="IUJ90" s="207" t="n"/>
      <c r="IUK90" s="207" t="n"/>
      <c r="IUL90" s="207" t="n"/>
      <c r="IUM90" s="207" t="n"/>
      <c r="IUN90" s="207" t="n"/>
      <c r="IUO90" s="207" t="n"/>
      <c r="IUP90" s="207" t="n"/>
      <c r="IUQ90" s="207" t="n"/>
      <c r="IUR90" s="207" t="n"/>
      <c r="IUS90" s="207" t="n"/>
      <c r="IUT90" s="207" t="n"/>
      <c r="IUU90" s="207" t="n"/>
      <c r="IUV90" s="207" t="n"/>
      <c r="IUW90" s="207" t="n"/>
      <c r="IUX90" s="207" t="n"/>
      <c r="IUY90" s="207" t="n"/>
      <c r="IUZ90" s="207" t="n"/>
      <c r="IVA90" s="207" t="n"/>
      <c r="IVB90" s="207" t="n"/>
      <c r="IVC90" s="207" t="n"/>
      <c r="IVD90" s="207" t="n"/>
      <c r="IVE90" s="207" t="n"/>
      <c r="IVF90" s="207" t="n"/>
      <c r="IVG90" s="207" t="n"/>
      <c r="IVH90" s="207" t="n"/>
      <c r="IVI90" s="207" t="n"/>
      <c r="IVJ90" s="207" t="n"/>
      <c r="IVK90" s="207" t="n"/>
      <c r="IVL90" s="207" t="n"/>
      <c r="IVM90" s="207" t="n"/>
      <c r="IVN90" s="207" t="n"/>
      <c r="IVO90" s="207" t="n"/>
      <c r="IVP90" s="207" t="n"/>
      <c r="IVQ90" s="207" t="n"/>
      <c r="IVR90" s="207" t="n"/>
      <c r="IVS90" s="207" t="n"/>
      <c r="IVT90" s="207" t="n"/>
      <c r="IVU90" s="207" t="n"/>
      <c r="IVV90" s="207" t="n"/>
      <c r="IVW90" s="207" t="n"/>
      <c r="IVX90" s="207" t="n"/>
      <c r="IVY90" s="207" t="n"/>
      <c r="IVZ90" s="207" t="n"/>
      <c r="IWA90" s="207" t="n"/>
      <c r="IWB90" s="207" t="n"/>
      <c r="IWC90" s="207" t="n"/>
      <c r="IWD90" s="207" t="n"/>
      <c r="IWE90" s="207" t="n"/>
      <c r="IWF90" s="207" t="n"/>
      <c r="IWG90" s="207" t="n"/>
      <c r="IWH90" s="207" t="n"/>
      <c r="IWI90" s="207" t="n"/>
      <c r="IWJ90" s="207" t="n"/>
      <c r="IWK90" s="207" t="n"/>
      <c r="IWL90" s="207" t="n"/>
      <c r="IWM90" s="207" t="n"/>
      <c r="IWN90" s="207" t="n"/>
      <c r="IWO90" s="207" t="n"/>
      <c r="IWP90" s="207" t="n"/>
      <c r="IWQ90" s="207" t="n"/>
      <c r="IWR90" s="207" t="n"/>
      <c r="IWS90" s="207" t="n"/>
      <c r="IWT90" s="207" t="n"/>
      <c r="IWU90" s="207" t="n"/>
      <c r="IWV90" s="207" t="n"/>
      <c r="IWW90" s="207" t="n"/>
      <c r="IWX90" s="207" t="n"/>
      <c r="IWY90" s="207" t="n"/>
      <c r="IWZ90" s="207" t="n"/>
      <c r="IXA90" s="207" t="n"/>
      <c r="IXB90" s="207" t="n"/>
      <c r="IXC90" s="207" t="n"/>
      <c r="IXD90" s="207" t="n"/>
      <c r="IXE90" s="207" t="n"/>
      <c r="IXF90" s="207" t="n"/>
      <c r="IXG90" s="207" t="n"/>
      <c r="IXH90" s="207" t="n"/>
      <c r="IXI90" s="207" t="n"/>
      <c r="IXJ90" s="207" t="n"/>
      <c r="IXK90" s="207" t="n"/>
      <c r="IXL90" s="207" t="n"/>
      <c r="IXM90" s="207" t="n"/>
      <c r="IXN90" s="207" t="n"/>
      <c r="IXO90" s="207" t="n"/>
      <c r="IXP90" s="207" t="n"/>
      <c r="IXQ90" s="207" t="n"/>
      <c r="IXR90" s="207" t="n"/>
      <c r="IXS90" s="207" t="n"/>
      <c r="IXT90" s="207" t="n"/>
      <c r="IXU90" s="207" t="n"/>
      <c r="IXV90" s="207" t="n"/>
      <c r="IXW90" s="207" t="n"/>
      <c r="IXX90" s="207" t="n"/>
      <c r="IXY90" s="207" t="n"/>
      <c r="IXZ90" s="207" t="n"/>
      <c r="IYA90" s="207" t="n"/>
      <c r="IYB90" s="207" t="n"/>
      <c r="IYC90" s="207" t="n"/>
      <c r="IYD90" s="207" t="n"/>
      <c r="IYE90" s="207" t="n"/>
      <c r="IYF90" s="207" t="n"/>
      <c r="IYG90" s="207" t="n"/>
      <c r="IYH90" s="207" t="n"/>
      <c r="IYI90" s="207" t="n"/>
      <c r="IYJ90" s="207" t="n"/>
      <c r="IYK90" s="207" t="n"/>
      <c r="IYL90" s="207" t="n"/>
      <c r="IYM90" s="207" t="n"/>
      <c r="IYN90" s="207" t="n"/>
      <c r="IYO90" s="207" t="n"/>
      <c r="IYP90" s="207" t="n"/>
      <c r="IYQ90" s="207" t="n"/>
      <c r="IYR90" s="207" t="n"/>
      <c r="IYS90" s="207" t="n"/>
      <c r="IYT90" s="207" t="n"/>
      <c r="IYU90" s="207" t="n"/>
      <c r="IYV90" s="207" t="n"/>
      <c r="IYW90" s="207" t="n"/>
      <c r="IYX90" s="207" t="n"/>
      <c r="IYY90" s="207" t="n"/>
      <c r="IYZ90" s="207" t="n"/>
      <c r="IZA90" s="207" t="n"/>
      <c r="IZB90" s="207" t="n"/>
      <c r="IZC90" s="207" t="n"/>
      <c r="IZD90" s="207" t="n"/>
      <c r="IZE90" s="207" t="n"/>
      <c r="IZF90" s="207" t="n"/>
      <c r="IZG90" s="207" t="n"/>
      <c r="IZH90" s="207" t="n"/>
      <c r="IZI90" s="207" t="n"/>
      <c r="IZJ90" s="207" t="n"/>
      <c r="IZK90" s="207" t="n"/>
      <c r="IZL90" s="207" t="n"/>
      <c r="IZM90" s="207" t="n"/>
      <c r="IZN90" s="207" t="n"/>
      <c r="IZO90" s="207" t="n"/>
      <c r="IZP90" s="207" t="n"/>
      <c r="IZQ90" s="207" t="n"/>
      <c r="IZR90" s="207" t="n"/>
      <c r="IZS90" s="207" t="n"/>
      <c r="IZT90" s="207" t="n"/>
      <c r="IZU90" s="207" t="n"/>
      <c r="IZV90" s="207" t="n"/>
      <c r="IZW90" s="207" t="n"/>
      <c r="IZX90" s="207" t="n"/>
      <c r="IZY90" s="207" t="n"/>
      <c r="IZZ90" s="207" t="n"/>
      <c r="JAA90" s="207" t="n"/>
      <c r="JAB90" s="207" t="n"/>
      <c r="JAC90" s="207" t="n"/>
      <c r="JAD90" s="207" t="n"/>
      <c r="JAE90" s="207" t="n"/>
      <c r="JAF90" s="207" t="n"/>
      <c r="JAG90" s="207" t="n"/>
      <c r="JAH90" s="207" t="n"/>
      <c r="JAI90" s="207" t="n"/>
      <c r="JAJ90" s="207" t="n"/>
      <c r="JAK90" s="207" t="n"/>
      <c r="JAL90" s="207" t="n"/>
      <c r="JAM90" s="207" t="n"/>
      <c r="JAN90" s="207" t="n"/>
      <c r="JAO90" s="207" t="n"/>
      <c r="JAP90" s="207" t="n"/>
      <c r="JAQ90" s="207" t="n"/>
      <c r="JAR90" s="207" t="n"/>
      <c r="JAS90" s="207" t="n"/>
      <c r="JAT90" s="207" t="n"/>
      <c r="JAU90" s="207" t="n"/>
      <c r="JAV90" s="207" t="n"/>
      <c r="JAW90" s="207" t="n"/>
      <c r="JAX90" s="207" t="n"/>
      <c r="JAY90" s="207" t="n"/>
      <c r="JAZ90" s="207" t="n"/>
      <c r="JBA90" s="207" t="n"/>
      <c r="JBB90" s="207" t="n"/>
      <c r="JBC90" s="207" t="n"/>
      <c r="JBD90" s="207" t="n"/>
      <c r="JBE90" s="207" t="n"/>
      <c r="JBF90" s="207" t="n"/>
      <c r="JBG90" s="207" t="n"/>
      <c r="JBH90" s="207" t="n"/>
      <c r="JBI90" s="207" t="n"/>
      <c r="JBJ90" s="207" t="n"/>
      <c r="JBK90" s="207" t="n"/>
      <c r="JBL90" s="207" t="n"/>
      <c r="JBM90" s="207" t="n"/>
      <c r="JBN90" s="207" t="n"/>
      <c r="JBO90" s="207" t="n"/>
      <c r="JBP90" s="207" t="n"/>
      <c r="JBQ90" s="207" t="n"/>
      <c r="JBR90" s="207" t="n"/>
      <c r="JBS90" s="207" t="n"/>
      <c r="JBT90" s="207" t="n"/>
      <c r="JBU90" s="207" t="n"/>
      <c r="JBV90" s="207" t="n"/>
      <c r="JBW90" s="207" t="n"/>
      <c r="JBX90" s="207" t="n"/>
      <c r="JBY90" s="207" t="n"/>
      <c r="JBZ90" s="207" t="n"/>
      <c r="JCA90" s="207" t="n"/>
      <c r="JCB90" s="207" t="n"/>
      <c r="JCC90" s="207" t="n"/>
      <c r="JCD90" s="207" t="n"/>
      <c r="JCE90" s="207" t="n"/>
      <c r="JCF90" s="207" t="n"/>
      <c r="JCG90" s="207" t="n"/>
      <c r="JCH90" s="207" t="n"/>
      <c r="JCI90" s="207" t="n"/>
      <c r="JCJ90" s="207" t="n"/>
      <c r="JCK90" s="207" t="n"/>
      <c r="JCL90" s="207" t="n"/>
      <c r="JCM90" s="207" t="n"/>
      <c r="JCN90" s="207" t="n"/>
      <c r="JCO90" s="207" t="n"/>
      <c r="JCP90" s="207" t="n"/>
      <c r="JCQ90" s="207" t="n"/>
      <c r="JCR90" s="207" t="n"/>
      <c r="JCS90" s="207" t="n"/>
      <c r="JCT90" s="207" t="n"/>
      <c r="JCU90" s="207" t="n"/>
      <c r="JCV90" s="207" t="n"/>
      <c r="JCW90" s="207" t="n"/>
      <c r="JCX90" s="207" t="n"/>
      <c r="JCY90" s="207" t="n"/>
      <c r="JCZ90" s="207" t="n"/>
      <c r="JDA90" s="207" t="n"/>
      <c r="JDB90" s="207" t="n"/>
      <c r="JDC90" s="207" t="n"/>
      <c r="JDD90" s="207" t="n"/>
      <c r="JDE90" s="207" t="n"/>
      <c r="JDF90" s="207" t="n"/>
      <c r="JDG90" s="207" t="n"/>
      <c r="JDH90" s="207" t="n"/>
      <c r="JDI90" s="207" t="n"/>
      <c r="JDJ90" s="207" t="n"/>
      <c r="JDK90" s="207" t="n"/>
      <c r="JDL90" s="207" t="n"/>
      <c r="JDM90" s="207" t="n"/>
      <c r="JDN90" s="207" t="n"/>
      <c r="JDO90" s="207" t="n"/>
      <c r="JDP90" s="207" t="n"/>
      <c r="JDQ90" s="207" t="n"/>
      <c r="JDR90" s="207" t="n"/>
      <c r="JDS90" s="207" t="n"/>
      <c r="JDT90" s="207" t="n"/>
      <c r="JDU90" s="207" t="n"/>
      <c r="JDV90" s="207" t="n"/>
      <c r="JDW90" s="207" t="n"/>
      <c r="JDX90" s="207" t="n"/>
      <c r="JDY90" s="207" t="n"/>
      <c r="JDZ90" s="207" t="n"/>
      <c r="JEA90" s="207" t="n"/>
      <c r="JEB90" s="207" t="n"/>
      <c r="JEC90" s="207" t="n"/>
      <c r="JED90" s="207" t="n"/>
      <c r="JEE90" s="207" t="n"/>
      <c r="JEF90" s="207" t="n"/>
      <c r="JEG90" s="207" t="n"/>
      <c r="JEH90" s="207" t="n"/>
      <c r="JEI90" s="207" t="n"/>
      <c r="JEJ90" s="207" t="n"/>
      <c r="JEK90" s="207" t="n"/>
      <c r="JEL90" s="207" t="n"/>
      <c r="JEM90" s="207" t="n"/>
      <c r="JEN90" s="207" t="n"/>
      <c r="JEO90" s="207" t="n"/>
      <c r="JEP90" s="207" t="n"/>
      <c r="JEQ90" s="207" t="n"/>
      <c r="JER90" s="207" t="n"/>
      <c r="JES90" s="207" t="n"/>
      <c r="JET90" s="207" t="n"/>
      <c r="JEU90" s="207" t="n"/>
      <c r="JEV90" s="207" t="n"/>
      <c r="JEW90" s="207" t="n"/>
      <c r="JEX90" s="207" t="n"/>
      <c r="JEY90" s="207" t="n"/>
      <c r="JEZ90" s="207" t="n"/>
      <c r="JFA90" s="207" t="n"/>
      <c r="JFB90" s="207" t="n"/>
      <c r="JFC90" s="207" t="n"/>
      <c r="JFD90" s="207" t="n"/>
      <c r="JFE90" s="207" t="n"/>
      <c r="JFF90" s="207" t="n"/>
      <c r="JFG90" s="207" t="n"/>
      <c r="JFH90" s="207" t="n"/>
      <c r="JFI90" s="207" t="n"/>
      <c r="JFJ90" s="207" t="n"/>
      <c r="JFK90" s="207" t="n"/>
      <c r="JFL90" s="207" t="n"/>
      <c r="JFM90" s="207" t="n"/>
      <c r="JFN90" s="207" t="n"/>
      <c r="JFO90" s="207" t="n"/>
      <c r="JFP90" s="207" t="n"/>
      <c r="JFQ90" s="207" t="n"/>
      <c r="JFR90" s="207" t="n"/>
      <c r="JFS90" s="207" t="n"/>
      <c r="JFT90" s="207" t="n"/>
      <c r="JFU90" s="207" t="n"/>
      <c r="JFV90" s="207" t="n"/>
      <c r="JFW90" s="207" t="n"/>
      <c r="JFX90" s="207" t="n"/>
      <c r="JFY90" s="207" t="n"/>
      <c r="JFZ90" s="207" t="n"/>
      <c r="JGA90" s="207" t="n"/>
      <c r="JGB90" s="207" t="n"/>
      <c r="JGC90" s="207" t="n"/>
      <c r="JGD90" s="207" t="n"/>
      <c r="JGE90" s="207" t="n"/>
      <c r="JGF90" s="207" t="n"/>
      <c r="JGG90" s="207" t="n"/>
      <c r="JGH90" s="207" t="n"/>
      <c r="JGI90" s="207" t="n"/>
      <c r="JGJ90" s="207" t="n"/>
      <c r="JGK90" s="207" t="n"/>
      <c r="JGL90" s="207" t="n"/>
      <c r="JGM90" s="207" t="n"/>
      <c r="JGN90" s="207" t="n"/>
      <c r="JGO90" s="207" t="n"/>
      <c r="JGP90" s="207" t="n"/>
      <c r="JGQ90" s="207" t="n"/>
      <c r="JGR90" s="207" t="n"/>
      <c r="JGS90" s="207" t="n"/>
      <c r="JGT90" s="207" t="n"/>
      <c r="JGU90" s="207" t="n"/>
      <c r="JGV90" s="207" t="n"/>
      <c r="JGW90" s="207" t="n"/>
      <c r="JGX90" s="207" t="n"/>
      <c r="JGY90" s="207" t="n"/>
      <c r="JGZ90" s="207" t="n"/>
      <c r="JHA90" s="207" t="n"/>
      <c r="JHB90" s="207" t="n"/>
      <c r="JHC90" s="207" t="n"/>
      <c r="JHD90" s="207" t="n"/>
      <c r="JHE90" s="207" t="n"/>
      <c r="JHF90" s="207" t="n"/>
      <c r="JHG90" s="207" t="n"/>
      <c r="JHH90" s="207" t="n"/>
      <c r="JHI90" s="207" t="n"/>
      <c r="JHJ90" s="207" t="n"/>
      <c r="JHK90" s="207" t="n"/>
      <c r="JHL90" s="207" t="n"/>
      <c r="JHM90" s="207" t="n"/>
      <c r="JHN90" s="207" t="n"/>
      <c r="JHO90" s="207" t="n"/>
      <c r="JHP90" s="207" t="n"/>
      <c r="JHQ90" s="207" t="n"/>
      <c r="JHR90" s="207" t="n"/>
      <c r="JHS90" s="207" t="n"/>
      <c r="JHT90" s="207" t="n"/>
      <c r="JHU90" s="207" t="n"/>
      <c r="JHV90" s="207" t="n"/>
      <c r="JHW90" s="207" t="n"/>
      <c r="JHX90" s="207" t="n"/>
      <c r="JHY90" s="207" t="n"/>
      <c r="JHZ90" s="207" t="n"/>
      <c r="JIA90" s="207" t="n"/>
      <c r="JIB90" s="207" t="n"/>
      <c r="JIC90" s="207" t="n"/>
      <c r="JID90" s="207" t="n"/>
      <c r="JIE90" s="207" t="n"/>
      <c r="JIF90" s="207" t="n"/>
      <c r="JIG90" s="207" t="n"/>
      <c r="JIH90" s="207" t="n"/>
      <c r="JII90" s="207" t="n"/>
      <c r="JIJ90" s="207" t="n"/>
      <c r="JIK90" s="207" t="n"/>
      <c r="JIL90" s="207" t="n"/>
      <c r="JIM90" s="207" t="n"/>
      <c r="JIN90" s="207" t="n"/>
      <c r="JIO90" s="207" t="n"/>
      <c r="JIP90" s="207" t="n"/>
      <c r="JIQ90" s="207" t="n"/>
      <c r="JIR90" s="207" t="n"/>
      <c r="JIS90" s="207" t="n"/>
      <c r="JIT90" s="207" t="n"/>
      <c r="JIU90" s="207" t="n"/>
      <c r="JIV90" s="207" t="n"/>
      <c r="JIW90" s="207" t="n"/>
      <c r="JIX90" s="207" t="n"/>
      <c r="JIY90" s="207" t="n"/>
      <c r="JIZ90" s="207" t="n"/>
      <c r="JJA90" s="207" t="n"/>
      <c r="JJB90" s="207" t="n"/>
      <c r="JJC90" s="207" t="n"/>
      <c r="JJD90" s="207" t="n"/>
      <c r="JJE90" s="207" t="n"/>
      <c r="JJF90" s="207" t="n"/>
      <c r="JJG90" s="207" t="n"/>
      <c r="JJH90" s="207" t="n"/>
      <c r="JJI90" s="207" t="n"/>
      <c r="JJJ90" s="207" t="n"/>
      <c r="JJK90" s="207" t="n"/>
      <c r="JJL90" s="207" t="n"/>
      <c r="JJM90" s="207" t="n"/>
      <c r="JJN90" s="207" t="n"/>
      <c r="JJO90" s="207" t="n"/>
      <c r="JJP90" s="207" t="n"/>
      <c r="JJQ90" s="207" t="n"/>
      <c r="JJR90" s="207" t="n"/>
      <c r="JJS90" s="207" t="n"/>
      <c r="JJT90" s="207" t="n"/>
      <c r="JJU90" s="207" t="n"/>
      <c r="JJV90" s="207" t="n"/>
      <c r="JJW90" s="207" t="n"/>
      <c r="JJX90" s="207" t="n"/>
      <c r="JJY90" s="207" t="n"/>
      <c r="JJZ90" s="207" t="n"/>
      <c r="JKA90" s="207" t="n"/>
      <c r="JKB90" s="207" t="n"/>
      <c r="JKC90" s="207" t="n"/>
      <c r="JKD90" s="207" t="n"/>
      <c r="JKE90" s="207" t="n"/>
      <c r="JKF90" s="207" t="n"/>
      <c r="JKG90" s="207" t="n"/>
      <c r="JKH90" s="207" t="n"/>
      <c r="JKI90" s="207" t="n"/>
      <c r="JKJ90" s="207" t="n"/>
      <c r="JKK90" s="207" t="n"/>
      <c r="JKL90" s="207" t="n"/>
      <c r="JKM90" s="207" t="n"/>
      <c r="JKN90" s="207" t="n"/>
      <c r="JKO90" s="207" t="n"/>
      <c r="JKP90" s="207" t="n"/>
      <c r="JKQ90" s="207" t="n"/>
      <c r="JKR90" s="207" t="n"/>
      <c r="JKS90" s="207" t="n"/>
      <c r="JKT90" s="207" t="n"/>
      <c r="JKU90" s="207" t="n"/>
      <c r="JKV90" s="207" t="n"/>
      <c r="JKW90" s="207" t="n"/>
      <c r="JKX90" s="207" t="n"/>
      <c r="JKY90" s="207" t="n"/>
      <c r="JKZ90" s="207" t="n"/>
      <c r="JLA90" s="207" t="n"/>
      <c r="JLB90" s="207" t="n"/>
      <c r="JLC90" s="207" t="n"/>
      <c r="JLD90" s="207" t="n"/>
      <c r="JLE90" s="207" t="n"/>
      <c r="JLF90" s="207" t="n"/>
      <c r="JLG90" s="207" t="n"/>
      <c r="JLH90" s="207" t="n"/>
      <c r="JLI90" s="207" t="n"/>
      <c r="JLJ90" s="207" t="n"/>
      <c r="JLK90" s="207" t="n"/>
      <c r="JLL90" s="207" t="n"/>
      <c r="JLM90" s="207" t="n"/>
      <c r="JLN90" s="207" t="n"/>
      <c r="JLO90" s="207" t="n"/>
      <c r="JLP90" s="207" t="n"/>
      <c r="JLQ90" s="207" t="n"/>
      <c r="JLR90" s="207" t="n"/>
      <c r="JLS90" s="207" t="n"/>
      <c r="JLT90" s="207" t="n"/>
      <c r="JLU90" s="207" t="n"/>
      <c r="JLV90" s="207" t="n"/>
      <c r="JLW90" s="207" t="n"/>
      <c r="JLX90" s="207" t="n"/>
      <c r="JLY90" s="207" t="n"/>
      <c r="JLZ90" s="207" t="n"/>
      <c r="JMA90" s="207" t="n"/>
      <c r="JMB90" s="207" t="n"/>
      <c r="JMC90" s="207" t="n"/>
      <c r="JMD90" s="207" t="n"/>
      <c r="JME90" s="207" t="n"/>
      <c r="JMF90" s="207" t="n"/>
      <c r="JMG90" s="207" t="n"/>
      <c r="JMH90" s="207" t="n"/>
      <c r="JMI90" s="207" t="n"/>
      <c r="JMJ90" s="207" t="n"/>
      <c r="JMK90" s="207" t="n"/>
      <c r="JML90" s="207" t="n"/>
      <c r="JMM90" s="207" t="n"/>
      <c r="JMN90" s="207" t="n"/>
      <c r="JMO90" s="207" t="n"/>
      <c r="JMP90" s="207" t="n"/>
      <c r="JMQ90" s="207" t="n"/>
      <c r="JMR90" s="207" t="n"/>
      <c r="JMS90" s="207" t="n"/>
      <c r="JMT90" s="207" t="n"/>
      <c r="JMU90" s="207" t="n"/>
      <c r="JMV90" s="207" t="n"/>
      <c r="JMW90" s="207" t="n"/>
      <c r="JMX90" s="207" t="n"/>
      <c r="JMY90" s="207" t="n"/>
      <c r="JMZ90" s="207" t="n"/>
      <c r="JNA90" s="207" t="n"/>
      <c r="JNB90" s="207" t="n"/>
      <c r="JNC90" s="207" t="n"/>
      <c r="JND90" s="207" t="n"/>
      <c r="JNE90" s="207" t="n"/>
      <c r="JNF90" s="207" t="n"/>
      <c r="JNG90" s="207" t="n"/>
      <c r="JNH90" s="207" t="n"/>
      <c r="JNI90" s="207" t="n"/>
      <c r="JNJ90" s="207" t="n"/>
      <c r="JNK90" s="207" t="n"/>
      <c r="JNL90" s="207" t="n"/>
      <c r="JNM90" s="207" t="n"/>
      <c r="JNN90" s="207" t="n"/>
      <c r="JNO90" s="207" t="n"/>
      <c r="JNP90" s="207" t="n"/>
      <c r="JNQ90" s="207" t="n"/>
      <c r="JNR90" s="207" t="n"/>
      <c r="JNS90" s="207" t="n"/>
      <c r="JNT90" s="207" t="n"/>
      <c r="JNU90" s="207" t="n"/>
      <c r="JNV90" s="207" t="n"/>
      <c r="JNW90" s="207" t="n"/>
      <c r="JNX90" s="207" t="n"/>
      <c r="JNY90" s="207" t="n"/>
      <c r="JNZ90" s="207" t="n"/>
      <c r="JOA90" s="207" t="n"/>
      <c r="JOB90" s="207" t="n"/>
      <c r="JOC90" s="207" t="n"/>
      <c r="JOD90" s="207" t="n"/>
      <c r="JOE90" s="207" t="n"/>
      <c r="JOF90" s="207" t="n"/>
      <c r="JOG90" s="207" t="n"/>
      <c r="JOH90" s="207" t="n"/>
      <c r="JOI90" s="207" t="n"/>
      <c r="JOJ90" s="207" t="n"/>
      <c r="JOK90" s="207" t="n"/>
      <c r="JOL90" s="207" t="n"/>
      <c r="JOM90" s="207" t="n"/>
      <c r="JON90" s="207" t="n"/>
      <c r="JOO90" s="207" t="n"/>
      <c r="JOP90" s="207" t="n"/>
      <c r="JOQ90" s="207" t="n"/>
      <c r="JOR90" s="207" t="n"/>
      <c r="JOS90" s="207" t="n"/>
      <c r="JOT90" s="207" t="n"/>
      <c r="JOU90" s="207" t="n"/>
      <c r="JOV90" s="207" t="n"/>
      <c r="JOW90" s="207" t="n"/>
      <c r="JOX90" s="207" t="n"/>
      <c r="JOY90" s="207" t="n"/>
      <c r="JOZ90" s="207" t="n"/>
      <c r="JPA90" s="207" t="n"/>
      <c r="JPB90" s="207" t="n"/>
      <c r="JPC90" s="207" t="n"/>
      <c r="JPD90" s="207" t="n"/>
      <c r="JPE90" s="207" t="n"/>
      <c r="JPF90" s="207" t="n"/>
      <c r="JPG90" s="207" t="n"/>
      <c r="JPH90" s="207" t="n"/>
      <c r="JPI90" s="207" t="n"/>
      <c r="JPJ90" s="207" t="n"/>
      <c r="JPK90" s="207" t="n"/>
      <c r="JPL90" s="207" t="n"/>
      <c r="JPM90" s="207" t="n"/>
      <c r="JPN90" s="207" t="n"/>
      <c r="JPO90" s="207" t="n"/>
      <c r="JPP90" s="207" t="n"/>
      <c r="JPQ90" s="207" t="n"/>
      <c r="JPR90" s="207" t="n"/>
      <c r="JPS90" s="207" t="n"/>
      <c r="JPT90" s="207" t="n"/>
      <c r="JPU90" s="207" t="n"/>
      <c r="JPV90" s="207" t="n"/>
      <c r="JPW90" s="207" t="n"/>
      <c r="JPX90" s="207" t="n"/>
      <c r="JPY90" s="207" t="n"/>
      <c r="JPZ90" s="207" t="n"/>
      <c r="JQA90" s="207" t="n"/>
      <c r="JQB90" s="207" t="n"/>
      <c r="JQC90" s="207" t="n"/>
      <c r="JQD90" s="207" t="n"/>
      <c r="JQE90" s="207" t="n"/>
      <c r="JQF90" s="207" t="n"/>
      <c r="JQG90" s="207" t="n"/>
      <c r="JQH90" s="207" t="n"/>
      <c r="JQI90" s="207" t="n"/>
      <c r="JQJ90" s="207" t="n"/>
      <c r="JQK90" s="207" t="n"/>
      <c r="JQL90" s="207" t="n"/>
      <c r="JQM90" s="207" t="n"/>
      <c r="JQN90" s="207" t="n"/>
      <c r="JQO90" s="207" t="n"/>
      <c r="JQP90" s="207" t="n"/>
      <c r="JQQ90" s="207" t="n"/>
      <c r="JQR90" s="207" t="n"/>
      <c r="JQS90" s="207" t="n"/>
      <c r="JQT90" s="207" t="n"/>
      <c r="JQU90" s="207" t="n"/>
      <c r="JQV90" s="207" t="n"/>
      <c r="JQW90" s="207" t="n"/>
      <c r="JQX90" s="207" t="n"/>
      <c r="JQY90" s="207" t="n"/>
      <c r="JQZ90" s="207" t="n"/>
      <c r="JRA90" s="207" t="n"/>
      <c r="JRB90" s="207" t="n"/>
      <c r="JRC90" s="207" t="n"/>
      <c r="JRD90" s="207" t="n"/>
      <c r="JRE90" s="207" t="n"/>
      <c r="JRF90" s="207" t="n"/>
      <c r="JRG90" s="207" t="n"/>
      <c r="JRH90" s="207" t="n"/>
      <c r="JRI90" s="207" t="n"/>
      <c r="JRJ90" s="207" t="n"/>
      <c r="JRK90" s="207" t="n"/>
      <c r="JRL90" s="207" t="n"/>
      <c r="JRM90" s="207" t="n"/>
      <c r="JRN90" s="207" t="n"/>
      <c r="JRO90" s="207" t="n"/>
      <c r="JRP90" s="207" t="n"/>
      <c r="JRQ90" s="207" t="n"/>
      <c r="JRR90" s="207" t="n"/>
      <c r="JRS90" s="207" t="n"/>
      <c r="JRT90" s="207" t="n"/>
      <c r="JRU90" s="207" t="n"/>
      <c r="JRV90" s="207" t="n"/>
      <c r="JRW90" s="207" t="n"/>
      <c r="JRX90" s="207" t="n"/>
      <c r="JRY90" s="207" t="n"/>
      <c r="JRZ90" s="207" t="n"/>
      <c r="JSA90" s="207" t="n"/>
      <c r="JSB90" s="207" t="n"/>
      <c r="JSC90" s="207" t="n"/>
      <c r="JSD90" s="207" t="n"/>
      <c r="JSE90" s="207" t="n"/>
      <c r="JSF90" s="207" t="n"/>
      <c r="JSG90" s="207" t="n"/>
      <c r="JSH90" s="207" t="n"/>
      <c r="JSI90" s="207" t="n"/>
      <c r="JSJ90" s="207" t="n"/>
      <c r="JSK90" s="207" t="n"/>
      <c r="JSL90" s="207" t="n"/>
      <c r="JSM90" s="207" t="n"/>
      <c r="JSN90" s="207" t="n"/>
      <c r="JSO90" s="207" t="n"/>
      <c r="JSP90" s="207" t="n"/>
      <c r="JSQ90" s="207" t="n"/>
      <c r="JSR90" s="207" t="n"/>
      <c r="JSS90" s="207" t="n"/>
      <c r="JST90" s="207" t="n"/>
      <c r="JSU90" s="207" t="n"/>
      <c r="JSV90" s="207" t="n"/>
      <c r="JSW90" s="207" t="n"/>
      <c r="JSX90" s="207" t="n"/>
      <c r="JSY90" s="207" t="n"/>
      <c r="JSZ90" s="207" t="n"/>
      <c r="JTA90" s="207" t="n"/>
      <c r="JTB90" s="207" t="n"/>
      <c r="JTC90" s="207" t="n"/>
      <c r="JTD90" s="207" t="n"/>
      <c r="JTE90" s="207" t="n"/>
      <c r="JTF90" s="207" t="n"/>
      <c r="JTG90" s="207" t="n"/>
      <c r="JTH90" s="207" t="n"/>
      <c r="JTI90" s="207" t="n"/>
      <c r="JTJ90" s="207" t="n"/>
      <c r="JTK90" s="207" t="n"/>
      <c r="JTL90" s="207" t="n"/>
      <c r="JTM90" s="207" t="n"/>
      <c r="JTN90" s="207" t="n"/>
      <c r="JTO90" s="207" t="n"/>
      <c r="JTP90" s="207" t="n"/>
      <c r="JTQ90" s="207" t="n"/>
      <c r="JTR90" s="207" t="n"/>
      <c r="JTS90" s="207" t="n"/>
      <c r="JTT90" s="207" t="n"/>
      <c r="JTU90" s="207" t="n"/>
      <c r="JTV90" s="207" t="n"/>
      <c r="JTW90" s="207" t="n"/>
      <c r="JTX90" s="207" t="n"/>
      <c r="JTY90" s="207" t="n"/>
      <c r="JTZ90" s="207" t="n"/>
      <c r="JUA90" s="207" t="n"/>
      <c r="JUB90" s="207" t="n"/>
      <c r="JUC90" s="207" t="n"/>
      <c r="JUD90" s="207" t="n"/>
      <c r="JUE90" s="207" t="n"/>
      <c r="JUF90" s="207" t="n"/>
      <c r="JUG90" s="207" t="n"/>
      <c r="JUH90" s="207" t="n"/>
      <c r="JUI90" s="207" t="n"/>
      <c r="JUJ90" s="207" t="n"/>
      <c r="JUK90" s="207" t="n"/>
      <c r="JUL90" s="207" t="n"/>
      <c r="JUM90" s="207" t="n"/>
      <c r="JUN90" s="207" t="n"/>
      <c r="JUO90" s="207" t="n"/>
      <c r="JUP90" s="207" t="n"/>
      <c r="JUQ90" s="207" t="n"/>
      <c r="JUR90" s="207" t="n"/>
      <c r="JUS90" s="207" t="n"/>
      <c r="JUT90" s="207" t="n"/>
      <c r="JUU90" s="207" t="n"/>
      <c r="JUV90" s="207" t="n"/>
      <c r="JUW90" s="207" t="n"/>
      <c r="JUX90" s="207" t="n"/>
      <c r="JUY90" s="207" t="n"/>
      <c r="JUZ90" s="207" t="n"/>
      <c r="JVA90" s="207" t="n"/>
      <c r="JVB90" s="207" t="n"/>
      <c r="JVC90" s="207" t="n"/>
      <c r="JVD90" s="207" t="n"/>
      <c r="JVE90" s="207" t="n"/>
      <c r="JVF90" s="207" t="n"/>
      <c r="JVG90" s="207" t="n"/>
      <c r="JVH90" s="207" t="n"/>
      <c r="JVI90" s="207" t="n"/>
      <c r="JVJ90" s="207" t="n"/>
      <c r="JVK90" s="207" t="n"/>
      <c r="JVL90" s="207" t="n"/>
      <c r="JVM90" s="207" t="n"/>
      <c r="JVN90" s="207" t="n"/>
      <c r="JVO90" s="207" t="n"/>
      <c r="JVP90" s="207" t="n"/>
      <c r="JVQ90" s="207" t="n"/>
      <c r="JVR90" s="207" t="n"/>
      <c r="JVS90" s="207" t="n"/>
      <c r="JVT90" s="207" t="n"/>
      <c r="JVU90" s="207" t="n"/>
      <c r="JVV90" s="207" t="n"/>
      <c r="JVW90" s="207" t="n"/>
      <c r="JVX90" s="207" t="n"/>
      <c r="JVY90" s="207" t="n"/>
      <c r="JVZ90" s="207" t="n"/>
      <c r="JWA90" s="207" t="n"/>
      <c r="JWB90" s="207" t="n"/>
      <c r="JWC90" s="207" t="n"/>
      <c r="JWD90" s="207" t="n"/>
      <c r="JWE90" s="207" t="n"/>
      <c r="JWF90" s="207" t="n"/>
      <c r="JWG90" s="207" t="n"/>
      <c r="JWH90" s="207" t="n"/>
      <c r="JWI90" s="207" t="n"/>
      <c r="JWJ90" s="207" t="n"/>
      <c r="JWK90" s="207" t="n"/>
      <c r="JWL90" s="207" t="n"/>
      <c r="JWM90" s="207" t="n"/>
      <c r="JWN90" s="207" t="n"/>
      <c r="JWO90" s="207" t="n"/>
      <c r="JWP90" s="207" t="n"/>
      <c r="JWQ90" s="207" t="n"/>
      <c r="JWR90" s="207" t="n"/>
      <c r="JWS90" s="207" t="n"/>
      <c r="JWT90" s="207" t="n"/>
      <c r="JWU90" s="207" t="n"/>
      <c r="JWV90" s="207" t="n"/>
      <c r="JWW90" s="207" t="n"/>
      <c r="JWX90" s="207" t="n"/>
      <c r="JWY90" s="207" t="n"/>
      <c r="JWZ90" s="207" t="n"/>
      <c r="JXA90" s="207" t="n"/>
      <c r="JXB90" s="207" t="n"/>
      <c r="JXC90" s="207" t="n"/>
      <c r="JXD90" s="207" t="n"/>
      <c r="JXE90" s="207" t="n"/>
      <c r="JXF90" s="207" t="n"/>
      <c r="JXG90" s="207" t="n"/>
      <c r="JXH90" s="207" t="n"/>
      <c r="JXI90" s="207" t="n"/>
      <c r="JXJ90" s="207" t="n"/>
      <c r="JXK90" s="207" t="n"/>
      <c r="JXL90" s="207" t="n"/>
      <c r="JXM90" s="207" t="n"/>
      <c r="JXN90" s="207" t="n"/>
      <c r="JXO90" s="207" t="n"/>
      <c r="JXP90" s="207" t="n"/>
      <c r="JXQ90" s="207" t="n"/>
      <c r="JXR90" s="207" t="n"/>
      <c r="JXS90" s="207" t="n"/>
      <c r="JXT90" s="207" t="n"/>
      <c r="JXU90" s="207" t="n"/>
      <c r="JXV90" s="207" t="n"/>
      <c r="JXW90" s="207" t="n"/>
      <c r="JXX90" s="207" t="n"/>
      <c r="JXY90" s="207" t="n"/>
      <c r="JXZ90" s="207" t="n"/>
      <c r="JYA90" s="207" t="n"/>
      <c r="JYB90" s="207" t="n"/>
      <c r="JYC90" s="207" t="n"/>
      <c r="JYD90" s="207" t="n"/>
      <c r="JYE90" s="207" t="n"/>
      <c r="JYF90" s="207" t="n"/>
      <c r="JYG90" s="207" t="n"/>
      <c r="JYH90" s="207" t="n"/>
      <c r="JYI90" s="207" t="n"/>
      <c r="JYJ90" s="207" t="n"/>
      <c r="JYK90" s="207" t="n"/>
      <c r="JYL90" s="207" t="n"/>
      <c r="JYM90" s="207" t="n"/>
      <c r="JYN90" s="207" t="n"/>
      <c r="JYO90" s="207" t="n"/>
      <c r="JYP90" s="207" t="n"/>
      <c r="JYQ90" s="207" t="n"/>
      <c r="JYR90" s="207" t="n"/>
      <c r="JYS90" s="207" t="n"/>
      <c r="JYT90" s="207" t="n"/>
      <c r="JYU90" s="207" t="n"/>
      <c r="JYV90" s="207" t="n"/>
      <c r="JYW90" s="207" t="n"/>
      <c r="JYX90" s="207" t="n"/>
      <c r="JYY90" s="207" t="n"/>
      <c r="JYZ90" s="207" t="n"/>
      <c r="JZA90" s="207" t="n"/>
      <c r="JZB90" s="207" t="n"/>
      <c r="JZC90" s="207" t="n"/>
      <c r="JZD90" s="207" t="n"/>
      <c r="JZE90" s="207" t="n"/>
      <c r="JZF90" s="207" t="n"/>
      <c r="JZG90" s="207" t="n"/>
      <c r="JZH90" s="207" t="n"/>
      <c r="JZI90" s="207" t="n"/>
      <c r="JZJ90" s="207" t="n"/>
      <c r="JZK90" s="207" t="n"/>
      <c r="JZL90" s="207" t="n"/>
      <c r="JZM90" s="207" t="n"/>
      <c r="JZN90" s="207" t="n"/>
      <c r="JZO90" s="207" t="n"/>
      <c r="JZP90" s="207" t="n"/>
      <c r="JZQ90" s="207" t="n"/>
      <c r="JZR90" s="207" t="n"/>
      <c r="JZS90" s="207" t="n"/>
      <c r="JZT90" s="207" t="n"/>
      <c r="JZU90" s="207" t="n"/>
      <c r="JZV90" s="207" t="n"/>
      <c r="JZW90" s="207" t="n"/>
      <c r="JZX90" s="207" t="n"/>
      <c r="JZY90" s="207" t="n"/>
      <c r="JZZ90" s="207" t="n"/>
      <c r="KAA90" s="207" t="n"/>
      <c r="KAB90" s="207" t="n"/>
      <c r="KAC90" s="207" t="n"/>
      <c r="KAD90" s="207" t="n"/>
      <c r="KAE90" s="207" t="n"/>
      <c r="KAF90" s="207" t="n"/>
      <c r="KAG90" s="207" t="n"/>
      <c r="KAH90" s="207" t="n"/>
      <c r="KAI90" s="207" t="n"/>
      <c r="KAJ90" s="207" t="n"/>
      <c r="KAK90" s="207" t="n"/>
      <c r="KAL90" s="207" t="n"/>
      <c r="KAM90" s="207" t="n"/>
      <c r="KAN90" s="207" t="n"/>
      <c r="KAO90" s="207" t="n"/>
      <c r="KAP90" s="207" t="n"/>
      <c r="KAQ90" s="207" t="n"/>
      <c r="KAR90" s="207" t="n"/>
      <c r="KAS90" s="207" t="n"/>
      <c r="KAT90" s="207" t="n"/>
      <c r="KAU90" s="207" t="n"/>
      <c r="KAV90" s="207" t="n"/>
      <c r="KAW90" s="207" t="n"/>
      <c r="KAX90" s="207" t="n"/>
      <c r="KAY90" s="207" t="n"/>
      <c r="KAZ90" s="207" t="n"/>
      <c r="KBA90" s="207" t="n"/>
      <c r="KBB90" s="207" t="n"/>
      <c r="KBC90" s="207" t="n"/>
      <c r="KBD90" s="207" t="n"/>
      <c r="KBE90" s="207" t="n"/>
      <c r="KBF90" s="207" t="n"/>
      <c r="KBG90" s="207" t="n"/>
      <c r="KBH90" s="207" t="n"/>
      <c r="KBI90" s="207" t="n"/>
      <c r="KBJ90" s="207" t="n"/>
      <c r="KBK90" s="207" t="n"/>
      <c r="KBL90" s="207" t="n"/>
      <c r="KBM90" s="207" t="n"/>
      <c r="KBN90" s="207" t="n"/>
      <c r="KBO90" s="207" t="n"/>
      <c r="KBP90" s="207" t="n"/>
      <c r="KBQ90" s="207" t="n"/>
      <c r="KBR90" s="207" t="n"/>
      <c r="KBS90" s="207" t="n"/>
      <c r="KBT90" s="207" t="n"/>
      <c r="KBU90" s="207" t="n"/>
      <c r="KBV90" s="207" t="n"/>
      <c r="KBW90" s="207" t="n"/>
      <c r="KBX90" s="207" t="n"/>
      <c r="KBY90" s="207" t="n"/>
      <c r="KBZ90" s="207" t="n"/>
      <c r="KCA90" s="207" t="n"/>
      <c r="KCB90" s="207" t="n"/>
      <c r="KCC90" s="207" t="n"/>
      <c r="KCD90" s="207" t="n"/>
      <c r="KCE90" s="207" t="n"/>
      <c r="KCF90" s="207" t="n"/>
      <c r="KCG90" s="207" t="n"/>
      <c r="KCH90" s="207" t="n"/>
      <c r="KCI90" s="207" t="n"/>
      <c r="KCJ90" s="207" t="n"/>
      <c r="KCK90" s="207" t="n"/>
      <c r="KCL90" s="207" t="n"/>
      <c r="KCM90" s="207" t="n"/>
      <c r="KCN90" s="207" t="n"/>
      <c r="KCO90" s="207" t="n"/>
      <c r="KCP90" s="207" t="n"/>
      <c r="KCQ90" s="207" t="n"/>
      <c r="KCR90" s="207" t="n"/>
      <c r="KCS90" s="207" t="n"/>
      <c r="KCT90" s="207" t="n"/>
      <c r="KCU90" s="207" t="n"/>
      <c r="KCV90" s="207" t="n"/>
      <c r="KCW90" s="207" t="n"/>
      <c r="KCX90" s="207" t="n"/>
      <c r="KCY90" s="207" t="n"/>
      <c r="KCZ90" s="207" t="n"/>
      <c r="KDA90" s="207" t="n"/>
      <c r="KDB90" s="207" t="n"/>
      <c r="KDC90" s="207" t="n"/>
      <c r="KDD90" s="207" t="n"/>
      <c r="KDE90" s="207" t="n"/>
      <c r="KDF90" s="207" t="n"/>
      <c r="KDG90" s="207" t="n"/>
      <c r="KDH90" s="207" t="n"/>
      <c r="KDI90" s="207" t="n"/>
      <c r="KDJ90" s="207" t="n"/>
      <c r="KDK90" s="207" t="n"/>
      <c r="KDL90" s="207" t="n"/>
      <c r="KDM90" s="207" t="n"/>
      <c r="KDN90" s="207" t="n"/>
      <c r="KDO90" s="207" t="n"/>
      <c r="KDP90" s="207" t="n"/>
      <c r="KDQ90" s="207" t="n"/>
      <c r="KDR90" s="207" t="n"/>
      <c r="KDS90" s="207" t="n"/>
      <c r="KDT90" s="207" t="n"/>
      <c r="KDU90" s="207" t="n"/>
      <c r="KDV90" s="207" t="n"/>
      <c r="KDW90" s="207" t="n"/>
      <c r="KDX90" s="207" t="n"/>
      <c r="KDY90" s="207" t="n"/>
      <c r="KDZ90" s="207" t="n"/>
      <c r="KEA90" s="207" t="n"/>
      <c r="KEB90" s="207" t="n"/>
      <c r="KEC90" s="207" t="n"/>
      <c r="KED90" s="207" t="n"/>
      <c r="KEE90" s="207" t="n"/>
      <c r="KEF90" s="207" t="n"/>
      <c r="KEG90" s="207" t="n"/>
      <c r="KEH90" s="207" t="n"/>
      <c r="KEI90" s="207" t="n"/>
      <c r="KEJ90" s="207" t="n"/>
      <c r="KEK90" s="207" t="n"/>
      <c r="KEL90" s="207" t="n"/>
      <c r="KEM90" s="207" t="n"/>
      <c r="KEN90" s="207" t="n"/>
      <c r="KEO90" s="207" t="n"/>
      <c r="KEP90" s="207" t="n"/>
      <c r="KEQ90" s="207" t="n"/>
      <c r="KER90" s="207" t="n"/>
      <c r="KES90" s="207" t="n"/>
      <c r="KET90" s="207" t="n"/>
      <c r="KEU90" s="207" t="n"/>
      <c r="KEV90" s="207" t="n"/>
      <c r="KEW90" s="207" t="n"/>
      <c r="KEX90" s="207" t="n"/>
      <c r="KEY90" s="207" t="n"/>
      <c r="KEZ90" s="207" t="n"/>
      <c r="KFA90" s="207" t="n"/>
      <c r="KFB90" s="207" t="n"/>
      <c r="KFC90" s="207" t="n"/>
      <c r="KFD90" s="207" t="n"/>
      <c r="KFE90" s="207" t="n"/>
      <c r="KFF90" s="207" t="n"/>
      <c r="KFG90" s="207" t="n"/>
      <c r="KFH90" s="207" t="n"/>
      <c r="KFI90" s="207" t="n"/>
      <c r="KFJ90" s="207" t="n"/>
      <c r="KFK90" s="207" t="n"/>
      <c r="KFL90" s="207" t="n"/>
      <c r="KFM90" s="207" t="n"/>
      <c r="KFN90" s="207" t="n"/>
      <c r="KFO90" s="207" t="n"/>
      <c r="KFP90" s="207" t="n"/>
      <c r="KFQ90" s="207" t="n"/>
      <c r="KFR90" s="207" t="n"/>
      <c r="KFS90" s="207" t="n"/>
      <c r="KFT90" s="207" t="n"/>
      <c r="KFU90" s="207" t="n"/>
      <c r="KFV90" s="207" t="n"/>
      <c r="KFW90" s="207" t="n"/>
      <c r="KFX90" s="207" t="n"/>
      <c r="KFY90" s="207" t="n"/>
      <c r="KFZ90" s="207" t="n"/>
      <c r="KGA90" s="207" t="n"/>
      <c r="KGB90" s="207" t="n"/>
      <c r="KGC90" s="207" t="n"/>
      <c r="KGD90" s="207" t="n"/>
      <c r="KGE90" s="207" t="n"/>
      <c r="KGF90" s="207" t="n"/>
      <c r="KGG90" s="207" t="n"/>
      <c r="KGH90" s="207" t="n"/>
      <c r="KGI90" s="207" t="n"/>
      <c r="KGJ90" s="207" t="n"/>
      <c r="KGK90" s="207" t="n"/>
      <c r="KGL90" s="207" t="n"/>
      <c r="KGM90" s="207" t="n"/>
      <c r="KGN90" s="207" t="n"/>
      <c r="KGO90" s="207" t="n"/>
      <c r="KGP90" s="207" t="n"/>
      <c r="KGQ90" s="207" t="n"/>
      <c r="KGR90" s="207" t="n"/>
      <c r="KGS90" s="207" t="n"/>
      <c r="KGT90" s="207" t="n"/>
      <c r="KGU90" s="207" t="n"/>
      <c r="KGV90" s="207" t="n"/>
      <c r="KGW90" s="207" t="n"/>
      <c r="KGX90" s="207" t="n"/>
      <c r="KGY90" s="207" t="n"/>
      <c r="KGZ90" s="207" t="n"/>
      <c r="KHA90" s="207" t="n"/>
      <c r="KHB90" s="207" t="n"/>
      <c r="KHC90" s="207" t="n"/>
      <c r="KHD90" s="207" t="n"/>
      <c r="KHE90" s="207" t="n"/>
      <c r="KHF90" s="207" t="n"/>
      <c r="KHG90" s="207" t="n"/>
      <c r="KHH90" s="207" t="n"/>
      <c r="KHI90" s="207" t="n"/>
      <c r="KHJ90" s="207" t="n"/>
      <c r="KHK90" s="207" t="n"/>
      <c r="KHL90" s="207" t="n"/>
      <c r="KHM90" s="207" t="n"/>
      <c r="KHN90" s="207" t="n"/>
      <c r="KHO90" s="207" t="n"/>
      <c r="KHP90" s="207" t="n"/>
      <c r="KHQ90" s="207" t="n"/>
      <c r="KHR90" s="207" t="n"/>
      <c r="KHS90" s="207" t="n"/>
      <c r="KHT90" s="207" t="n"/>
      <c r="KHU90" s="207" t="n"/>
      <c r="KHV90" s="207" t="n"/>
      <c r="KHW90" s="207" t="n"/>
      <c r="KHX90" s="207" t="n"/>
      <c r="KHY90" s="207" t="n"/>
      <c r="KHZ90" s="207" t="n"/>
      <c r="KIA90" s="207" t="n"/>
      <c r="KIB90" s="207" t="n"/>
      <c r="KIC90" s="207" t="n"/>
      <c r="KID90" s="207" t="n"/>
      <c r="KIE90" s="207" t="n"/>
      <c r="KIF90" s="207" t="n"/>
      <c r="KIG90" s="207" t="n"/>
      <c r="KIH90" s="207" t="n"/>
      <c r="KII90" s="207" t="n"/>
      <c r="KIJ90" s="207" t="n"/>
      <c r="KIK90" s="207" t="n"/>
      <c r="KIL90" s="207" t="n"/>
      <c r="KIM90" s="207" t="n"/>
      <c r="KIN90" s="207" t="n"/>
      <c r="KIO90" s="207" t="n"/>
      <c r="KIP90" s="207" t="n"/>
      <c r="KIQ90" s="207" t="n"/>
      <c r="KIR90" s="207" t="n"/>
      <c r="KIS90" s="207" t="n"/>
      <c r="KIT90" s="207" t="n"/>
      <c r="KIU90" s="207" t="n"/>
      <c r="KIV90" s="207" t="n"/>
      <c r="KIW90" s="207" t="n"/>
      <c r="KIX90" s="207" t="n"/>
      <c r="KIY90" s="207" t="n"/>
      <c r="KIZ90" s="207" t="n"/>
      <c r="KJA90" s="207" t="n"/>
      <c r="KJB90" s="207" t="n"/>
      <c r="KJC90" s="207" t="n"/>
      <c r="KJD90" s="207" t="n"/>
      <c r="KJE90" s="207" t="n"/>
      <c r="KJF90" s="207" t="n"/>
      <c r="KJG90" s="207" t="n"/>
      <c r="KJH90" s="207" t="n"/>
      <c r="KJI90" s="207" t="n"/>
      <c r="KJJ90" s="207" t="n"/>
      <c r="KJK90" s="207" t="n"/>
      <c r="KJL90" s="207" t="n"/>
      <c r="KJM90" s="207" t="n"/>
      <c r="KJN90" s="207" t="n"/>
      <c r="KJO90" s="207" t="n"/>
      <c r="KJP90" s="207" t="n"/>
      <c r="KJQ90" s="207" t="n"/>
      <c r="KJR90" s="207" t="n"/>
      <c r="KJS90" s="207" t="n"/>
      <c r="KJT90" s="207" t="n"/>
      <c r="KJU90" s="207" t="n"/>
      <c r="KJV90" s="207" t="n"/>
      <c r="KJW90" s="207" t="n"/>
      <c r="KJX90" s="207" t="n"/>
      <c r="KJY90" s="207" t="n"/>
      <c r="KJZ90" s="207" t="n"/>
      <c r="KKA90" s="207" t="n"/>
      <c r="KKB90" s="207" t="n"/>
      <c r="KKC90" s="207" t="n"/>
      <c r="KKD90" s="207" t="n"/>
      <c r="KKE90" s="207" t="n"/>
      <c r="KKF90" s="207" t="n"/>
      <c r="KKG90" s="207" t="n"/>
      <c r="KKH90" s="207" t="n"/>
      <c r="KKI90" s="207" t="n"/>
      <c r="KKJ90" s="207" t="n"/>
      <c r="KKK90" s="207" t="n"/>
      <c r="KKL90" s="207" t="n"/>
      <c r="KKM90" s="207" t="n"/>
      <c r="KKN90" s="207" t="n"/>
      <c r="KKO90" s="207" t="n"/>
      <c r="KKP90" s="207" t="n"/>
      <c r="KKQ90" s="207" t="n"/>
      <c r="KKR90" s="207" t="n"/>
      <c r="KKS90" s="207" t="n"/>
      <c r="KKT90" s="207" t="n"/>
      <c r="KKU90" s="207" t="n"/>
      <c r="KKV90" s="207" t="n"/>
      <c r="KKW90" s="207" t="n"/>
      <c r="KKX90" s="207" t="n"/>
      <c r="KKY90" s="207" t="n"/>
      <c r="KKZ90" s="207" t="n"/>
      <c r="KLA90" s="207" t="n"/>
      <c r="KLB90" s="207" t="n"/>
      <c r="KLC90" s="207" t="n"/>
      <c r="KLD90" s="207" t="n"/>
      <c r="KLE90" s="207" t="n"/>
      <c r="KLF90" s="207" t="n"/>
      <c r="KLG90" s="207" t="n"/>
      <c r="KLH90" s="207" t="n"/>
      <c r="KLI90" s="207" t="n"/>
      <c r="KLJ90" s="207" t="n"/>
      <c r="KLK90" s="207" t="n"/>
      <c r="KLL90" s="207" t="n"/>
      <c r="KLM90" s="207" t="n"/>
      <c r="KLN90" s="207" t="n"/>
      <c r="KLO90" s="207" t="n"/>
      <c r="KLP90" s="207" t="n"/>
      <c r="KLQ90" s="207" t="n"/>
      <c r="KLR90" s="207" t="n"/>
      <c r="KLS90" s="207" t="n"/>
      <c r="KLT90" s="207" t="n"/>
      <c r="KLU90" s="207" t="n"/>
      <c r="KLV90" s="207" t="n"/>
      <c r="KLW90" s="207" t="n"/>
      <c r="KLX90" s="207" t="n"/>
      <c r="KLY90" s="207" t="n"/>
      <c r="KLZ90" s="207" t="n"/>
      <c r="KMA90" s="207" t="n"/>
      <c r="KMB90" s="207" t="n"/>
      <c r="KMC90" s="207" t="n"/>
      <c r="KMD90" s="207" t="n"/>
      <c r="KME90" s="207" t="n"/>
      <c r="KMF90" s="207" t="n"/>
      <c r="KMG90" s="207" t="n"/>
      <c r="KMH90" s="207" t="n"/>
      <c r="KMI90" s="207" t="n"/>
      <c r="KMJ90" s="207" t="n"/>
      <c r="KMK90" s="207" t="n"/>
      <c r="KML90" s="207" t="n"/>
      <c r="KMM90" s="207" t="n"/>
      <c r="KMN90" s="207" t="n"/>
      <c r="KMO90" s="207" t="n"/>
      <c r="KMP90" s="207" t="n"/>
      <c r="KMQ90" s="207" t="n"/>
      <c r="KMR90" s="207" t="n"/>
      <c r="KMS90" s="207" t="n"/>
      <c r="KMT90" s="207" t="n"/>
      <c r="KMU90" s="207" t="n"/>
      <c r="KMV90" s="207" t="n"/>
      <c r="KMW90" s="207" t="n"/>
      <c r="KMX90" s="207" t="n"/>
      <c r="KMY90" s="207" t="n"/>
      <c r="KMZ90" s="207" t="n"/>
      <c r="KNA90" s="207" t="n"/>
      <c r="KNB90" s="207" t="n"/>
      <c r="KNC90" s="207" t="n"/>
      <c r="KND90" s="207" t="n"/>
      <c r="KNE90" s="207" t="n"/>
      <c r="KNF90" s="207" t="n"/>
      <c r="KNG90" s="207" t="n"/>
      <c r="KNH90" s="207" t="n"/>
      <c r="KNI90" s="207" t="n"/>
      <c r="KNJ90" s="207" t="n"/>
      <c r="KNK90" s="207" t="n"/>
      <c r="KNL90" s="207" t="n"/>
      <c r="KNM90" s="207" t="n"/>
      <c r="KNN90" s="207" t="n"/>
      <c r="KNO90" s="207" t="n"/>
      <c r="KNP90" s="207" t="n"/>
      <c r="KNQ90" s="207" t="n"/>
      <c r="KNR90" s="207" t="n"/>
      <c r="KNS90" s="207" t="n"/>
      <c r="KNT90" s="207" t="n"/>
      <c r="KNU90" s="207" t="n"/>
      <c r="KNV90" s="207" t="n"/>
      <c r="KNW90" s="207" t="n"/>
      <c r="KNX90" s="207" t="n"/>
      <c r="KNY90" s="207" t="n"/>
      <c r="KNZ90" s="207" t="n"/>
      <c r="KOA90" s="207" t="n"/>
      <c r="KOB90" s="207" t="n"/>
      <c r="KOC90" s="207" t="n"/>
      <c r="KOD90" s="207" t="n"/>
      <c r="KOE90" s="207" t="n"/>
      <c r="KOF90" s="207" t="n"/>
      <c r="KOG90" s="207" t="n"/>
      <c r="KOH90" s="207" t="n"/>
      <c r="KOI90" s="207" t="n"/>
      <c r="KOJ90" s="207" t="n"/>
      <c r="KOK90" s="207" t="n"/>
      <c r="KOL90" s="207" t="n"/>
      <c r="KOM90" s="207" t="n"/>
      <c r="KON90" s="207" t="n"/>
      <c r="KOO90" s="207" t="n"/>
      <c r="KOP90" s="207" t="n"/>
      <c r="KOQ90" s="207" t="n"/>
      <c r="KOR90" s="207" t="n"/>
      <c r="KOS90" s="207" t="n"/>
      <c r="KOT90" s="207" t="n"/>
      <c r="KOU90" s="207" t="n"/>
      <c r="KOV90" s="207" t="n"/>
      <c r="KOW90" s="207" t="n"/>
      <c r="KOX90" s="207" t="n"/>
      <c r="KOY90" s="207" t="n"/>
      <c r="KOZ90" s="207" t="n"/>
      <c r="KPA90" s="207" t="n"/>
      <c r="KPB90" s="207" t="n"/>
      <c r="KPC90" s="207" t="n"/>
      <c r="KPD90" s="207" t="n"/>
      <c r="KPE90" s="207" t="n"/>
      <c r="KPF90" s="207" t="n"/>
      <c r="KPG90" s="207" t="n"/>
      <c r="KPH90" s="207" t="n"/>
      <c r="KPI90" s="207" t="n"/>
      <c r="KPJ90" s="207" t="n"/>
      <c r="KPK90" s="207" t="n"/>
      <c r="KPL90" s="207" t="n"/>
      <c r="KPM90" s="207" t="n"/>
      <c r="KPN90" s="207" t="n"/>
      <c r="KPO90" s="207" t="n"/>
      <c r="KPP90" s="207" t="n"/>
      <c r="KPQ90" s="207" t="n"/>
      <c r="KPR90" s="207" t="n"/>
      <c r="KPS90" s="207" t="n"/>
      <c r="KPT90" s="207" t="n"/>
      <c r="KPU90" s="207" t="n"/>
      <c r="KPV90" s="207" t="n"/>
      <c r="KPW90" s="207" t="n"/>
      <c r="KPX90" s="207" t="n"/>
      <c r="KPY90" s="207" t="n"/>
      <c r="KPZ90" s="207" t="n"/>
      <c r="KQA90" s="207" t="n"/>
      <c r="KQB90" s="207" t="n"/>
      <c r="KQC90" s="207" t="n"/>
      <c r="KQD90" s="207" t="n"/>
      <c r="KQE90" s="207" t="n"/>
      <c r="KQF90" s="207" t="n"/>
      <c r="KQG90" s="207" t="n"/>
      <c r="KQH90" s="207" t="n"/>
      <c r="KQI90" s="207" t="n"/>
      <c r="KQJ90" s="207" t="n"/>
      <c r="KQK90" s="207" t="n"/>
      <c r="KQL90" s="207" t="n"/>
      <c r="KQM90" s="207" t="n"/>
      <c r="KQN90" s="207" t="n"/>
      <c r="KQO90" s="207" t="n"/>
      <c r="KQP90" s="207" t="n"/>
      <c r="KQQ90" s="207" t="n"/>
      <c r="KQR90" s="207" t="n"/>
      <c r="KQS90" s="207" t="n"/>
      <c r="KQT90" s="207" t="n"/>
      <c r="KQU90" s="207" t="n"/>
      <c r="KQV90" s="207" t="n"/>
      <c r="KQW90" s="207" t="n"/>
      <c r="KQX90" s="207" t="n"/>
      <c r="KQY90" s="207" t="n"/>
      <c r="KQZ90" s="207" t="n"/>
      <c r="KRA90" s="207" t="n"/>
      <c r="KRB90" s="207" t="n"/>
      <c r="KRC90" s="207" t="n"/>
      <c r="KRD90" s="207" t="n"/>
      <c r="KRE90" s="207" t="n"/>
      <c r="KRF90" s="207" t="n"/>
      <c r="KRG90" s="207" t="n"/>
      <c r="KRH90" s="207" t="n"/>
      <c r="KRI90" s="207" t="n"/>
      <c r="KRJ90" s="207" t="n"/>
      <c r="KRK90" s="207" t="n"/>
      <c r="KRL90" s="207" t="n"/>
      <c r="KRM90" s="207" t="n"/>
      <c r="KRN90" s="207" t="n"/>
      <c r="KRO90" s="207" t="n"/>
      <c r="KRP90" s="207" t="n"/>
      <c r="KRQ90" s="207" t="n"/>
      <c r="KRR90" s="207" t="n"/>
      <c r="KRS90" s="207" t="n"/>
      <c r="KRT90" s="207" t="n"/>
      <c r="KRU90" s="207" t="n"/>
      <c r="KRV90" s="207" t="n"/>
      <c r="KRW90" s="207" t="n"/>
      <c r="KRX90" s="207" t="n"/>
      <c r="KRY90" s="207" t="n"/>
      <c r="KRZ90" s="207" t="n"/>
      <c r="KSA90" s="207" t="n"/>
      <c r="KSB90" s="207" t="n"/>
      <c r="KSC90" s="207" t="n"/>
      <c r="KSD90" s="207" t="n"/>
      <c r="KSE90" s="207" t="n"/>
      <c r="KSF90" s="207" t="n"/>
      <c r="KSG90" s="207" t="n"/>
      <c r="KSH90" s="207" t="n"/>
      <c r="KSI90" s="207" t="n"/>
      <c r="KSJ90" s="207" t="n"/>
      <c r="KSK90" s="207" t="n"/>
      <c r="KSL90" s="207" t="n"/>
      <c r="KSM90" s="207" t="n"/>
      <c r="KSN90" s="207" t="n"/>
      <c r="KSO90" s="207" t="n"/>
      <c r="KSP90" s="207" t="n"/>
      <c r="KSQ90" s="207" t="n"/>
      <c r="KSR90" s="207" t="n"/>
      <c r="KSS90" s="207" t="n"/>
      <c r="KST90" s="207" t="n"/>
      <c r="KSU90" s="207" t="n"/>
      <c r="KSV90" s="207" t="n"/>
      <c r="KSW90" s="207" t="n"/>
      <c r="KSX90" s="207" t="n"/>
      <c r="KSY90" s="207" t="n"/>
      <c r="KSZ90" s="207" t="n"/>
      <c r="KTA90" s="207" t="n"/>
      <c r="KTB90" s="207" t="n"/>
      <c r="KTC90" s="207" t="n"/>
      <c r="KTD90" s="207" t="n"/>
      <c r="KTE90" s="207" t="n"/>
      <c r="KTF90" s="207" t="n"/>
      <c r="KTG90" s="207" t="n"/>
      <c r="KTH90" s="207" t="n"/>
      <c r="KTI90" s="207" t="n"/>
      <c r="KTJ90" s="207" t="n"/>
      <c r="KTK90" s="207" t="n"/>
      <c r="KTL90" s="207" t="n"/>
      <c r="KTM90" s="207" t="n"/>
      <c r="KTN90" s="207" t="n"/>
      <c r="KTO90" s="207" t="n"/>
      <c r="KTP90" s="207" t="n"/>
      <c r="KTQ90" s="207" t="n"/>
      <c r="KTR90" s="207" t="n"/>
      <c r="KTS90" s="207" t="n"/>
      <c r="KTT90" s="207" t="n"/>
      <c r="KTU90" s="207" t="n"/>
      <c r="KTV90" s="207" t="n"/>
      <c r="KTW90" s="207" t="n"/>
      <c r="KTX90" s="207" t="n"/>
      <c r="KTY90" s="207" t="n"/>
      <c r="KTZ90" s="207" t="n"/>
      <c r="KUA90" s="207" t="n"/>
      <c r="KUB90" s="207" t="n"/>
      <c r="KUC90" s="207" t="n"/>
      <c r="KUD90" s="207" t="n"/>
      <c r="KUE90" s="207" t="n"/>
      <c r="KUF90" s="207" t="n"/>
      <c r="KUG90" s="207" t="n"/>
      <c r="KUH90" s="207" t="n"/>
      <c r="KUI90" s="207" t="n"/>
      <c r="KUJ90" s="207" t="n"/>
      <c r="KUK90" s="207" t="n"/>
      <c r="KUL90" s="207" t="n"/>
      <c r="KUM90" s="207" t="n"/>
      <c r="KUN90" s="207" t="n"/>
      <c r="KUO90" s="207" t="n"/>
      <c r="KUP90" s="207" t="n"/>
      <c r="KUQ90" s="207" t="n"/>
      <c r="KUR90" s="207" t="n"/>
      <c r="KUS90" s="207" t="n"/>
      <c r="KUT90" s="207" t="n"/>
      <c r="KUU90" s="207" t="n"/>
      <c r="KUV90" s="207" t="n"/>
      <c r="KUW90" s="207" t="n"/>
      <c r="KUX90" s="207" t="n"/>
      <c r="KUY90" s="207" t="n"/>
      <c r="KUZ90" s="207" t="n"/>
      <c r="KVA90" s="207" t="n"/>
      <c r="KVB90" s="207" t="n"/>
      <c r="KVC90" s="207" t="n"/>
      <c r="KVD90" s="207" t="n"/>
      <c r="KVE90" s="207" t="n"/>
      <c r="KVF90" s="207" t="n"/>
      <c r="KVG90" s="207" t="n"/>
      <c r="KVH90" s="207" t="n"/>
      <c r="KVI90" s="207" t="n"/>
      <c r="KVJ90" s="207" t="n"/>
      <c r="KVK90" s="207" t="n"/>
      <c r="KVL90" s="207" t="n"/>
      <c r="KVM90" s="207" t="n"/>
      <c r="KVN90" s="207" t="n"/>
      <c r="KVO90" s="207" t="n"/>
      <c r="KVP90" s="207" t="n"/>
      <c r="KVQ90" s="207" t="n"/>
      <c r="KVR90" s="207" t="n"/>
      <c r="KVS90" s="207" t="n"/>
      <c r="KVT90" s="207" t="n"/>
      <c r="KVU90" s="207" t="n"/>
      <c r="KVV90" s="207" t="n"/>
      <c r="KVW90" s="207" t="n"/>
      <c r="KVX90" s="207" t="n"/>
      <c r="KVY90" s="207" t="n"/>
      <c r="KVZ90" s="207" t="n"/>
      <c r="KWA90" s="207" t="n"/>
      <c r="KWB90" s="207" t="n"/>
      <c r="KWC90" s="207" t="n"/>
      <c r="KWD90" s="207" t="n"/>
      <c r="KWE90" s="207" t="n"/>
      <c r="KWF90" s="207" t="n"/>
      <c r="KWG90" s="207" t="n"/>
      <c r="KWH90" s="207" t="n"/>
      <c r="KWI90" s="207" t="n"/>
      <c r="KWJ90" s="207" t="n"/>
      <c r="KWK90" s="207" t="n"/>
      <c r="KWL90" s="207" t="n"/>
      <c r="KWM90" s="207" t="n"/>
      <c r="KWN90" s="207" t="n"/>
      <c r="KWO90" s="207" t="n"/>
      <c r="KWP90" s="207" t="n"/>
      <c r="KWQ90" s="207" t="n"/>
      <c r="KWR90" s="207" t="n"/>
      <c r="KWS90" s="207" t="n"/>
      <c r="KWT90" s="207" t="n"/>
      <c r="KWU90" s="207" t="n"/>
      <c r="KWV90" s="207" t="n"/>
      <c r="KWW90" s="207" t="n"/>
      <c r="KWX90" s="207" t="n"/>
      <c r="KWY90" s="207" t="n"/>
      <c r="KWZ90" s="207" t="n"/>
      <c r="KXA90" s="207" t="n"/>
      <c r="KXB90" s="207" t="n"/>
      <c r="KXC90" s="207" t="n"/>
      <c r="KXD90" s="207" t="n"/>
      <c r="KXE90" s="207" t="n"/>
      <c r="KXF90" s="207" t="n"/>
      <c r="KXG90" s="207" t="n"/>
      <c r="KXH90" s="207" t="n"/>
      <c r="KXI90" s="207" t="n"/>
      <c r="KXJ90" s="207" t="n"/>
      <c r="KXK90" s="207" t="n"/>
      <c r="KXL90" s="207" t="n"/>
      <c r="KXM90" s="207" t="n"/>
      <c r="KXN90" s="207" t="n"/>
      <c r="KXO90" s="207" t="n"/>
      <c r="KXP90" s="207" t="n"/>
      <c r="KXQ90" s="207" t="n"/>
      <c r="KXR90" s="207" t="n"/>
      <c r="KXS90" s="207" t="n"/>
      <c r="KXT90" s="207" t="n"/>
      <c r="KXU90" s="207" t="n"/>
      <c r="KXV90" s="207" t="n"/>
      <c r="KXW90" s="207" t="n"/>
      <c r="KXX90" s="207" t="n"/>
      <c r="KXY90" s="207" t="n"/>
      <c r="KXZ90" s="207" t="n"/>
      <c r="KYA90" s="207" t="n"/>
      <c r="KYB90" s="207" t="n"/>
      <c r="KYC90" s="207" t="n"/>
      <c r="KYD90" s="207" t="n"/>
      <c r="KYE90" s="207" t="n"/>
      <c r="KYF90" s="207" t="n"/>
      <c r="KYG90" s="207" t="n"/>
      <c r="KYH90" s="207" t="n"/>
      <c r="KYI90" s="207" t="n"/>
      <c r="KYJ90" s="207" t="n"/>
      <c r="KYK90" s="207" t="n"/>
      <c r="KYL90" s="207" t="n"/>
      <c r="KYM90" s="207" t="n"/>
      <c r="KYN90" s="207" t="n"/>
      <c r="KYO90" s="207" t="n"/>
      <c r="KYP90" s="207" t="n"/>
      <c r="KYQ90" s="207" t="n"/>
      <c r="KYR90" s="207" t="n"/>
      <c r="KYS90" s="207" t="n"/>
      <c r="KYT90" s="207" t="n"/>
      <c r="KYU90" s="207" t="n"/>
      <c r="KYV90" s="207" t="n"/>
      <c r="KYW90" s="207" t="n"/>
      <c r="KYX90" s="207" t="n"/>
      <c r="KYY90" s="207" t="n"/>
      <c r="KYZ90" s="207" t="n"/>
      <c r="KZA90" s="207" t="n"/>
      <c r="KZB90" s="207" t="n"/>
      <c r="KZC90" s="207" t="n"/>
      <c r="KZD90" s="207" t="n"/>
      <c r="KZE90" s="207" t="n"/>
      <c r="KZF90" s="207" t="n"/>
      <c r="KZG90" s="207" t="n"/>
      <c r="KZH90" s="207" t="n"/>
      <c r="KZI90" s="207" t="n"/>
      <c r="KZJ90" s="207" t="n"/>
      <c r="KZK90" s="207" t="n"/>
      <c r="KZL90" s="207" t="n"/>
      <c r="KZM90" s="207" t="n"/>
      <c r="KZN90" s="207" t="n"/>
      <c r="KZO90" s="207" t="n"/>
      <c r="KZP90" s="207" t="n"/>
      <c r="KZQ90" s="207" t="n"/>
      <c r="KZR90" s="207" t="n"/>
      <c r="KZS90" s="207" t="n"/>
      <c r="KZT90" s="207" t="n"/>
      <c r="KZU90" s="207" t="n"/>
      <c r="KZV90" s="207" t="n"/>
      <c r="KZW90" s="207" t="n"/>
      <c r="KZX90" s="207" t="n"/>
      <c r="KZY90" s="207" t="n"/>
      <c r="KZZ90" s="207" t="n"/>
      <c r="LAA90" s="207" t="n"/>
      <c r="LAB90" s="207" t="n"/>
      <c r="LAC90" s="207" t="n"/>
      <c r="LAD90" s="207" t="n"/>
      <c r="LAE90" s="207" t="n"/>
      <c r="LAF90" s="207" t="n"/>
      <c r="LAG90" s="207" t="n"/>
      <c r="LAH90" s="207" t="n"/>
      <c r="LAI90" s="207" t="n"/>
      <c r="LAJ90" s="207" t="n"/>
      <c r="LAK90" s="207" t="n"/>
      <c r="LAL90" s="207" t="n"/>
      <c r="LAM90" s="207" t="n"/>
      <c r="LAN90" s="207" t="n"/>
      <c r="LAO90" s="207" t="n"/>
      <c r="LAP90" s="207" t="n"/>
      <c r="LAQ90" s="207" t="n"/>
      <c r="LAR90" s="207" t="n"/>
      <c r="LAS90" s="207" t="n"/>
      <c r="LAT90" s="207" t="n"/>
      <c r="LAU90" s="207" t="n"/>
      <c r="LAV90" s="207" t="n"/>
      <c r="LAW90" s="207" t="n"/>
      <c r="LAX90" s="207" t="n"/>
      <c r="LAY90" s="207" t="n"/>
      <c r="LAZ90" s="207" t="n"/>
      <c r="LBA90" s="207" t="n"/>
      <c r="LBB90" s="207" t="n"/>
      <c r="LBC90" s="207" t="n"/>
      <c r="LBD90" s="207" t="n"/>
      <c r="LBE90" s="207" t="n"/>
      <c r="LBF90" s="207" t="n"/>
      <c r="LBG90" s="207" t="n"/>
      <c r="LBH90" s="207" t="n"/>
      <c r="LBI90" s="207" t="n"/>
      <c r="LBJ90" s="207" t="n"/>
      <c r="LBK90" s="207" t="n"/>
      <c r="LBL90" s="207" t="n"/>
      <c r="LBM90" s="207" t="n"/>
      <c r="LBN90" s="207" t="n"/>
      <c r="LBO90" s="207" t="n"/>
      <c r="LBP90" s="207" t="n"/>
      <c r="LBQ90" s="207" t="n"/>
      <c r="LBR90" s="207" t="n"/>
      <c r="LBS90" s="207" t="n"/>
      <c r="LBT90" s="207" t="n"/>
      <c r="LBU90" s="207" t="n"/>
      <c r="LBV90" s="207" t="n"/>
      <c r="LBW90" s="207" t="n"/>
      <c r="LBX90" s="207" t="n"/>
      <c r="LBY90" s="207" t="n"/>
      <c r="LBZ90" s="207" t="n"/>
      <c r="LCA90" s="207" t="n"/>
      <c r="LCB90" s="207" t="n"/>
      <c r="LCC90" s="207" t="n"/>
      <c r="LCD90" s="207" t="n"/>
      <c r="LCE90" s="207" t="n"/>
      <c r="LCF90" s="207" t="n"/>
      <c r="LCG90" s="207" t="n"/>
      <c r="LCH90" s="207" t="n"/>
      <c r="LCI90" s="207" t="n"/>
      <c r="LCJ90" s="207" t="n"/>
      <c r="LCK90" s="207" t="n"/>
      <c r="LCL90" s="207" t="n"/>
      <c r="LCM90" s="207" t="n"/>
      <c r="LCN90" s="207" t="n"/>
      <c r="LCO90" s="207" t="n"/>
      <c r="LCP90" s="207" t="n"/>
      <c r="LCQ90" s="207" t="n"/>
      <c r="LCR90" s="207" t="n"/>
      <c r="LCS90" s="207" t="n"/>
      <c r="LCT90" s="207" t="n"/>
      <c r="LCU90" s="207" t="n"/>
      <c r="LCV90" s="207" t="n"/>
      <c r="LCW90" s="207" t="n"/>
      <c r="LCX90" s="207" t="n"/>
      <c r="LCY90" s="207" t="n"/>
      <c r="LCZ90" s="207" t="n"/>
      <c r="LDA90" s="207" t="n"/>
      <c r="LDB90" s="207" t="n"/>
      <c r="LDC90" s="207" t="n"/>
      <c r="LDD90" s="207" t="n"/>
      <c r="LDE90" s="207" t="n"/>
      <c r="LDF90" s="207" t="n"/>
      <c r="LDG90" s="207" t="n"/>
      <c r="LDH90" s="207" t="n"/>
      <c r="LDI90" s="207" t="n"/>
      <c r="LDJ90" s="207" t="n"/>
      <c r="LDK90" s="207" t="n"/>
      <c r="LDL90" s="207" t="n"/>
      <c r="LDM90" s="207" t="n"/>
      <c r="LDN90" s="207" t="n"/>
      <c r="LDO90" s="207" t="n"/>
      <c r="LDP90" s="207" t="n"/>
      <c r="LDQ90" s="207" t="n"/>
      <c r="LDR90" s="207" t="n"/>
      <c r="LDS90" s="207" t="n"/>
      <c r="LDT90" s="207" t="n"/>
      <c r="LDU90" s="207" t="n"/>
      <c r="LDV90" s="207" t="n"/>
      <c r="LDW90" s="207" t="n"/>
      <c r="LDX90" s="207" t="n"/>
      <c r="LDY90" s="207" t="n"/>
      <c r="LDZ90" s="207" t="n"/>
      <c r="LEA90" s="207" t="n"/>
      <c r="LEB90" s="207" t="n"/>
      <c r="LEC90" s="207" t="n"/>
      <c r="LED90" s="207" t="n"/>
      <c r="LEE90" s="207" t="n"/>
      <c r="LEF90" s="207" t="n"/>
      <c r="LEG90" s="207" t="n"/>
      <c r="LEH90" s="207" t="n"/>
      <c r="LEI90" s="207" t="n"/>
      <c r="LEJ90" s="207" t="n"/>
      <c r="LEK90" s="207" t="n"/>
      <c r="LEL90" s="207" t="n"/>
      <c r="LEM90" s="207" t="n"/>
      <c r="LEN90" s="207" t="n"/>
      <c r="LEO90" s="207" t="n"/>
      <c r="LEP90" s="207" t="n"/>
      <c r="LEQ90" s="207" t="n"/>
      <c r="LER90" s="207" t="n"/>
      <c r="LES90" s="207" t="n"/>
      <c r="LET90" s="207" t="n"/>
      <c r="LEU90" s="207" t="n"/>
      <c r="LEV90" s="207" t="n"/>
      <c r="LEW90" s="207" t="n"/>
      <c r="LEX90" s="207" t="n"/>
      <c r="LEY90" s="207" t="n"/>
      <c r="LEZ90" s="207" t="n"/>
      <c r="LFA90" s="207" t="n"/>
      <c r="LFB90" s="207" t="n"/>
      <c r="LFC90" s="207" t="n"/>
      <c r="LFD90" s="207" t="n"/>
      <c r="LFE90" s="207" t="n"/>
      <c r="LFF90" s="207" t="n"/>
      <c r="LFG90" s="207" t="n"/>
      <c r="LFH90" s="207" t="n"/>
      <c r="LFI90" s="207" t="n"/>
      <c r="LFJ90" s="207" t="n"/>
      <c r="LFK90" s="207" t="n"/>
      <c r="LFL90" s="207" t="n"/>
      <c r="LFM90" s="207" t="n"/>
      <c r="LFN90" s="207" t="n"/>
      <c r="LFO90" s="207" t="n"/>
      <c r="LFP90" s="207" t="n"/>
      <c r="LFQ90" s="207" t="n"/>
      <c r="LFR90" s="207" t="n"/>
      <c r="LFS90" s="207" t="n"/>
      <c r="LFT90" s="207" t="n"/>
      <c r="LFU90" s="207" t="n"/>
      <c r="LFV90" s="207" t="n"/>
      <c r="LFW90" s="207" t="n"/>
      <c r="LFX90" s="207" t="n"/>
      <c r="LFY90" s="207" t="n"/>
      <c r="LFZ90" s="207" t="n"/>
      <c r="LGA90" s="207" t="n"/>
      <c r="LGB90" s="207" t="n"/>
      <c r="LGC90" s="207" t="n"/>
      <c r="LGD90" s="207" t="n"/>
      <c r="LGE90" s="207" t="n"/>
      <c r="LGF90" s="207" t="n"/>
      <c r="LGG90" s="207" t="n"/>
      <c r="LGH90" s="207" t="n"/>
      <c r="LGI90" s="207" t="n"/>
      <c r="LGJ90" s="207" t="n"/>
      <c r="LGK90" s="207" t="n"/>
      <c r="LGL90" s="207" t="n"/>
      <c r="LGM90" s="207" t="n"/>
      <c r="LGN90" s="207" t="n"/>
      <c r="LGO90" s="207" t="n"/>
      <c r="LGP90" s="207" t="n"/>
      <c r="LGQ90" s="207" t="n"/>
      <c r="LGR90" s="207" t="n"/>
      <c r="LGS90" s="207" t="n"/>
      <c r="LGT90" s="207" t="n"/>
      <c r="LGU90" s="207" t="n"/>
      <c r="LGV90" s="207" t="n"/>
      <c r="LGW90" s="207" t="n"/>
      <c r="LGX90" s="207" t="n"/>
      <c r="LGY90" s="207" t="n"/>
      <c r="LGZ90" s="207" t="n"/>
      <c r="LHA90" s="207" t="n"/>
      <c r="LHB90" s="207" t="n"/>
      <c r="LHC90" s="207" t="n"/>
      <c r="LHD90" s="207" t="n"/>
      <c r="LHE90" s="207" t="n"/>
      <c r="LHF90" s="207" t="n"/>
      <c r="LHG90" s="207" t="n"/>
      <c r="LHH90" s="207" t="n"/>
      <c r="LHI90" s="207" t="n"/>
      <c r="LHJ90" s="207" t="n"/>
      <c r="LHK90" s="207" t="n"/>
      <c r="LHL90" s="207" t="n"/>
      <c r="LHM90" s="207" t="n"/>
      <c r="LHN90" s="207" t="n"/>
      <c r="LHO90" s="207" t="n"/>
      <c r="LHP90" s="207" t="n"/>
      <c r="LHQ90" s="207" t="n"/>
      <c r="LHR90" s="207" t="n"/>
      <c r="LHS90" s="207" t="n"/>
      <c r="LHT90" s="207" t="n"/>
      <c r="LHU90" s="207" t="n"/>
      <c r="LHV90" s="207" t="n"/>
      <c r="LHW90" s="207" t="n"/>
      <c r="LHX90" s="207" t="n"/>
      <c r="LHY90" s="207" t="n"/>
      <c r="LHZ90" s="207" t="n"/>
      <c r="LIA90" s="207" t="n"/>
      <c r="LIB90" s="207" t="n"/>
      <c r="LIC90" s="207" t="n"/>
      <c r="LID90" s="207" t="n"/>
      <c r="LIE90" s="207" t="n"/>
      <c r="LIF90" s="207" t="n"/>
      <c r="LIG90" s="207" t="n"/>
      <c r="LIH90" s="207" t="n"/>
      <c r="LII90" s="207" t="n"/>
      <c r="LIJ90" s="207" t="n"/>
      <c r="LIK90" s="207" t="n"/>
      <c r="LIL90" s="207" t="n"/>
      <c r="LIM90" s="207" t="n"/>
      <c r="LIN90" s="207" t="n"/>
      <c r="LIO90" s="207" t="n"/>
      <c r="LIP90" s="207" t="n"/>
      <c r="LIQ90" s="207" t="n"/>
      <c r="LIR90" s="207" t="n"/>
      <c r="LIS90" s="207" t="n"/>
      <c r="LIT90" s="207" t="n"/>
      <c r="LIU90" s="207" t="n"/>
      <c r="LIV90" s="207" t="n"/>
      <c r="LIW90" s="207" t="n"/>
      <c r="LIX90" s="207" t="n"/>
      <c r="LIY90" s="207" t="n"/>
      <c r="LIZ90" s="207" t="n"/>
      <c r="LJA90" s="207" t="n"/>
      <c r="LJB90" s="207" t="n"/>
      <c r="LJC90" s="207" t="n"/>
      <c r="LJD90" s="207" t="n"/>
      <c r="LJE90" s="207" t="n"/>
      <c r="LJF90" s="207" t="n"/>
      <c r="LJG90" s="207" t="n"/>
      <c r="LJH90" s="207" t="n"/>
      <c r="LJI90" s="207" t="n"/>
      <c r="LJJ90" s="207" t="n"/>
      <c r="LJK90" s="207" t="n"/>
      <c r="LJL90" s="207" t="n"/>
      <c r="LJM90" s="207" t="n"/>
      <c r="LJN90" s="207" t="n"/>
      <c r="LJO90" s="207" t="n"/>
      <c r="LJP90" s="207" t="n"/>
      <c r="LJQ90" s="207" t="n"/>
      <c r="LJR90" s="207" t="n"/>
      <c r="LJS90" s="207" t="n"/>
      <c r="LJT90" s="207" t="n"/>
      <c r="LJU90" s="207" t="n"/>
      <c r="LJV90" s="207" t="n"/>
      <c r="LJW90" s="207" t="n"/>
      <c r="LJX90" s="207" t="n"/>
      <c r="LJY90" s="207" t="n"/>
      <c r="LJZ90" s="207" t="n"/>
      <c r="LKA90" s="207" t="n"/>
      <c r="LKB90" s="207" t="n"/>
      <c r="LKC90" s="207" t="n"/>
      <c r="LKD90" s="207" t="n"/>
      <c r="LKE90" s="207" t="n"/>
      <c r="LKF90" s="207" t="n"/>
      <c r="LKG90" s="207" t="n"/>
      <c r="LKH90" s="207" t="n"/>
      <c r="LKI90" s="207" t="n"/>
      <c r="LKJ90" s="207" t="n"/>
      <c r="LKK90" s="207" t="n"/>
      <c r="LKL90" s="207" t="n"/>
      <c r="LKM90" s="207" t="n"/>
      <c r="LKN90" s="207" t="n"/>
      <c r="LKO90" s="207" t="n"/>
      <c r="LKP90" s="207" t="n"/>
      <c r="LKQ90" s="207" t="n"/>
      <c r="LKR90" s="207" t="n"/>
      <c r="LKS90" s="207" t="n"/>
      <c r="LKT90" s="207" t="n"/>
      <c r="LKU90" s="207" t="n"/>
      <c r="LKV90" s="207" t="n"/>
      <c r="LKW90" s="207" t="n"/>
      <c r="LKX90" s="207" t="n"/>
      <c r="LKY90" s="207" t="n"/>
      <c r="LKZ90" s="207" t="n"/>
      <c r="LLA90" s="207" t="n"/>
      <c r="LLB90" s="207" t="n"/>
      <c r="LLC90" s="207" t="n"/>
      <c r="LLD90" s="207" t="n"/>
      <c r="LLE90" s="207" t="n"/>
      <c r="LLF90" s="207" t="n"/>
      <c r="LLG90" s="207" t="n"/>
      <c r="LLH90" s="207" t="n"/>
      <c r="LLI90" s="207" t="n"/>
      <c r="LLJ90" s="207" t="n"/>
      <c r="LLK90" s="207" t="n"/>
      <c r="LLL90" s="207" t="n"/>
      <c r="LLM90" s="207" t="n"/>
      <c r="LLN90" s="207" t="n"/>
      <c r="LLO90" s="207" t="n"/>
      <c r="LLP90" s="207" t="n"/>
      <c r="LLQ90" s="207" t="n"/>
      <c r="LLR90" s="207" t="n"/>
      <c r="LLS90" s="207" t="n"/>
      <c r="LLT90" s="207" t="n"/>
      <c r="LLU90" s="207" t="n"/>
      <c r="LLV90" s="207" t="n"/>
      <c r="LLW90" s="207" t="n"/>
      <c r="LLX90" s="207" t="n"/>
      <c r="LLY90" s="207" t="n"/>
      <c r="LLZ90" s="207" t="n"/>
      <c r="LMA90" s="207" t="n"/>
      <c r="LMB90" s="207" t="n"/>
      <c r="LMC90" s="207" t="n"/>
      <c r="LMD90" s="207" t="n"/>
      <c r="LME90" s="207" t="n"/>
      <c r="LMF90" s="207" t="n"/>
      <c r="LMG90" s="207" t="n"/>
      <c r="LMH90" s="207" t="n"/>
      <c r="LMI90" s="207" t="n"/>
      <c r="LMJ90" s="207" t="n"/>
      <c r="LMK90" s="207" t="n"/>
      <c r="LML90" s="207" t="n"/>
      <c r="LMM90" s="207" t="n"/>
      <c r="LMN90" s="207" t="n"/>
      <c r="LMO90" s="207" t="n"/>
      <c r="LMP90" s="207" t="n"/>
      <c r="LMQ90" s="207" t="n"/>
      <c r="LMR90" s="207" t="n"/>
      <c r="LMS90" s="207" t="n"/>
      <c r="LMT90" s="207" t="n"/>
      <c r="LMU90" s="207" t="n"/>
      <c r="LMV90" s="207" t="n"/>
      <c r="LMW90" s="207" t="n"/>
      <c r="LMX90" s="207" t="n"/>
      <c r="LMY90" s="207" t="n"/>
      <c r="LMZ90" s="207" t="n"/>
      <c r="LNA90" s="207" t="n"/>
      <c r="LNB90" s="207" t="n"/>
      <c r="LNC90" s="207" t="n"/>
      <c r="LND90" s="207" t="n"/>
      <c r="LNE90" s="207" t="n"/>
      <c r="LNF90" s="207" t="n"/>
      <c r="LNG90" s="207" t="n"/>
      <c r="LNH90" s="207" t="n"/>
      <c r="LNI90" s="207" t="n"/>
      <c r="LNJ90" s="207" t="n"/>
      <c r="LNK90" s="207" t="n"/>
      <c r="LNL90" s="207" t="n"/>
      <c r="LNM90" s="207" t="n"/>
      <c r="LNN90" s="207" t="n"/>
      <c r="LNO90" s="207" t="n"/>
      <c r="LNP90" s="207" t="n"/>
      <c r="LNQ90" s="207" t="n"/>
      <c r="LNR90" s="207" t="n"/>
      <c r="LNS90" s="207" t="n"/>
      <c r="LNT90" s="207" t="n"/>
      <c r="LNU90" s="207" t="n"/>
      <c r="LNV90" s="207" t="n"/>
      <c r="LNW90" s="207" t="n"/>
      <c r="LNX90" s="207" t="n"/>
      <c r="LNY90" s="207" t="n"/>
      <c r="LNZ90" s="207" t="n"/>
      <c r="LOA90" s="207" t="n"/>
      <c r="LOB90" s="207" t="n"/>
      <c r="LOC90" s="207" t="n"/>
      <c r="LOD90" s="207" t="n"/>
      <c r="LOE90" s="207" t="n"/>
      <c r="LOF90" s="207" t="n"/>
      <c r="LOG90" s="207" t="n"/>
      <c r="LOH90" s="207" t="n"/>
      <c r="LOI90" s="207" t="n"/>
      <c r="LOJ90" s="207" t="n"/>
      <c r="LOK90" s="207" t="n"/>
      <c r="LOL90" s="207" t="n"/>
      <c r="LOM90" s="207" t="n"/>
      <c r="LON90" s="207" t="n"/>
      <c r="LOO90" s="207" t="n"/>
      <c r="LOP90" s="207" t="n"/>
      <c r="LOQ90" s="207" t="n"/>
      <c r="LOR90" s="207" t="n"/>
      <c r="LOS90" s="207" t="n"/>
      <c r="LOT90" s="207" t="n"/>
      <c r="LOU90" s="207" t="n"/>
      <c r="LOV90" s="207" t="n"/>
      <c r="LOW90" s="207" t="n"/>
      <c r="LOX90" s="207" t="n"/>
      <c r="LOY90" s="207" t="n"/>
      <c r="LOZ90" s="207" t="n"/>
      <c r="LPA90" s="207" t="n"/>
      <c r="LPB90" s="207" t="n"/>
      <c r="LPC90" s="207" t="n"/>
      <c r="LPD90" s="207" t="n"/>
      <c r="LPE90" s="207" t="n"/>
      <c r="LPF90" s="207" t="n"/>
      <c r="LPG90" s="207" t="n"/>
      <c r="LPH90" s="207" t="n"/>
      <c r="LPI90" s="207" t="n"/>
      <c r="LPJ90" s="207" t="n"/>
      <c r="LPK90" s="207" t="n"/>
      <c r="LPL90" s="207" t="n"/>
      <c r="LPM90" s="207" t="n"/>
      <c r="LPN90" s="207" t="n"/>
      <c r="LPO90" s="207" t="n"/>
      <c r="LPP90" s="207" t="n"/>
      <c r="LPQ90" s="207" t="n"/>
      <c r="LPR90" s="207" t="n"/>
      <c r="LPS90" s="207" t="n"/>
      <c r="LPT90" s="207" t="n"/>
      <c r="LPU90" s="207" t="n"/>
      <c r="LPV90" s="207" t="n"/>
      <c r="LPW90" s="207" t="n"/>
      <c r="LPX90" s="207" t="n"/>
      <c r="LPY90" s="207" t="n"/>
      <c r="LPZ90" s="207" t="n"/>
      <c r="LQA90" s="207" t="n"/>
      <c r="LQB90" s="207" t="n"/>
      <c r="LQC90" s="207" t="n"/>
      <c r="LQD90" s="207" t="n"/>
      <c r="LQE90" s="207" t="n"/>
      <c r="LQF90" s="207" t="n"/>
      <c r="LQG90" s="207" t="n"/>
      <c r="LQH90" s="207" t="n"/>
      <c r="LQI90" s="207" t="n"/>
      <c r="LQJ90" s="207" t="n"/>
      <c r="LQK90" s="207" t="n"/>
      <c r="LQL90" s="207" t="n"/>
      <c r="LQM90" s="207" t="n"/>
      <c r="LQN90" s="207" t="n"/>
      <c r="LQO90" s="207" t="n"/>
      <c r="LQP90" s="207" t="n"/>
      <c r="LQQ90" s="207" t="n"/>
      <c r="LQR90" s="207" t="n"/>
      <c r="LQS90" s="207" t="n"/>
      <c r="LQT90" s="207" t="n"/>
      <c r="LQU90" s="207" t="n"/>
      <c r="LQV90" s="207" t="n"/>
      <c r="LQW90" s="207" t="n"/>
      <c r="LQX90" s="207" t="n"/>
      <c r="LQY90" s="207" t="n"/>
      <c r="LQZ90" s="207" t="n"/>
      <c r="LRA90" s="207" t="n"/>
      <c r="LRB90" s="207" t="n"/>
      <c r="LRC90" s="207" t="n"/>
      <c r="LRD90" s="207" t="n"/>
      <c r="LRE90" s="207" t="n"/>
      <c r="LRF90" s="207" t="n"/>
      <c r="LRG90" s="207" t="n"/>
      <c r="LRH90" s="207" t="n"/>
      <c r="LRI90" s="207" t="n"/>
      <c r="LRJ90" s="207" t="n"/>
      <c r="LRK90" s="207" t="n"/>
      <c r="LRL90" s="207" t="n"/>
      <c r="LRM90" s="207" t="n"/>
      <c r="LRN90" s="207" t="n"/>
      <c r="LRO90" s="207" t="n"/>
      <c r="LRP90" s="207" t="n"/>
      <c r="LRQ90" s="207" t="n"/>
      <c r="LRR90" s="207" t="n"/>
      <c r="LRS90" s="207" t="n"/>
      <c r="LRT90" s="207" t="n"/>
      <c r="LRU90" s="207" t="n"/>
      <c r="LRV90" s="207" t="n"/>
      <c r="LRW90" s="207" t="n"/>
      <c r="LRX90" s="207" t="n"/>
      <c r="LRY90" s="207" t="n"/>
      <c r="LRZ90" s="207" t="n"/>
      <c r="LSA90" s="207" t="n"/>
      <c r="LSB90" s="207" t="n"/>
      <c r="LSC90" s="207" t="n"/>
      <c r="LSD90" s="207" t="n"/>
      <c r="LSE90" s="207" t="n"/>
      <c r="LSF90" s="207" t="n"/>
      <c r="LSG90" s="207" t="n"/>
      <c r="LSH90" s="207" t="n"/>
      <c r="LSI90" s="207" t="n"/>
      <c r="LSJ90" s="207" t="n"/>
      <c r="LSK90" s="207" t="n"/>
      <c r="LSL90" s="207" t="n"/>
      <c r="LSM90" s="207" t="n"/>
      <c r="LSN90" s="207" t="n"/>
      <c r="LSO90" s="207" t="n"/>
      <c r="LSP90" s="207" t="n"/>
      <c r="LSQ90" s="207" t="n"/>
      <c r="LSR90" s="207" t="n"/>
      <c r="LSS90" s="207" t="n"/>
      <c r="LST90" s="207" t="n"/>
      <c r="LSU90" s="207" t="n"/>
      <c r="LSV90" s="207" t="n"/>
      <c r="LSW90" s="207" t="n"/>
      <c r="LSX90" s="207" t="n"/>
      <c r="LSY90" s="207" t="n"/>
      <c r="LSZ90" s="207" t="n"/>
      <c r="LTA90" s="207" t="n"/>
      <c r="LTB90" s="207" t="n"/>
      <c r="LTC90" s="207" t="n"/>
      <c r="LTD90" s="207" t="n"/>
      <c r="LTE90" s="207" t="n"/>
      <c r="LTF90" s="207" t="n"/>
      <c r="LTG90" s="207" t="n"/>
      <c r="LTH90" s="207" t="n"/>
      <c r="LTI90" s="207" t="n"/>
      <c r="LTJ90" s="207" t="n"/>
      <c r="LTK90" s="207" t="n"/>
      <c r="LTL90" s="207" t="n"/>
      <c r="LTM90" s="207" t="n"/>
      <c r="LTN90" s="207" t="n"/>
      <c r="LTO90" s="207" t="n"/>
      <c r="LTP90" s="207" t="n"/>
      <c r="LTQ90" s="207" t="n"/>
      <c r="LTR90" s="207" t="n"/>
      <c r="LTS90" s="207" t="n"/>
      <c r="LTT90" s="207" t="n"/>
      <c r="LTU90" s="207" t="n"/>
      <c r="LTV90" s="207" t="n"/>
      <c r="LTW90" s="207" t="n"/>
      <c r="LTX90" s="207" t="n"/>
      <c r="LTY90" s="207" t="n"/>
      <c r="LTZ90" s="207" t="n"/>
      <c r="LUA90" s="207" t="n"/>
      <c r="LUB90" s="207" t="n"/>
      <c r="LUC90" s="207" t="n"/>
      <c r="LUD90" s="207" t="n"/>
      <c r="LUE90" s="207" t="n"/>
      <c r="LUF90" s="207" t="n"/>
      <c r="LUG90" s="207" t="n"/>
      <c r="LUH90" s="207" t="n"/>
      <c r="LUI90" s="207" t="n"/>
      <c r="LUJ90" s="207" t="n"/>
      <c r="LUK90" s="207" t="n"/>
      <c r="LUL90" s="207" t="n"/>
      <c r="LUM90" s="207" t="n"/>
      <c r="LUN90" s="207" t="n"/>
      <c r="LUO90" s="207" t="n"/>
      <c r="LUP90" s="207" t="n"/>
      <c r="LUQ90" s="207" t="n"/>
      <c r="LUR90" s="207" t="n"/>
      <c r="LUS90" s="207" t="n"/>
      <c r="LUT90" s="207" t="n"/>
      <c r="LUU90" s="207" t="n"/>
      <c r="LUV90" s="207" t="n"/>
      <c r="LUW90" s="207" t="n"/>
      <c r="LUX90" s="207" t="n"/>
      <c r="LUY90" s="207" t="n"/>
      <c r="LUZ90" s="207" t="n"/>
      <c r="LVA90" s="207" t="n"/>
      <c r="LVB90" s="207" t="n"/>
      <c r="LVC90" s="207" t="n"/>
      <c r="LVD90" s="207" t="n"/>
      <c r="LVE90" s="207" t="n"/>
      <c r="LVF90" s="207" t="n"/>
      <c r="LVG90" s="207" t="n"/>
      <c r="LVH90" s="207" t="n"/>
      <c r="LVI90" s="207" t="n"/>
      <c r="LVJ90" s="207" t="n"/>
      <c r="LVK90" s="207" t="n"/>
      <c r="LVL90" s="207" t="n"/>
      <c r="LVM90" s="207" t="n"/>
      <c r="LVN90" s="207" t="n"/>
      <c r="LVO90" s="207" t="n"/>
      <c r="LVP90" s="207" t="n"/>
      <c r="LVQ90" s="207" t="n"/>
      <c r="LVR90" s="207" t="n"/>
      <c r="LVS90" s="207" t="n"/>
      <c r="LVT90" s="207" t="n"/>
      <c r="LVU90" s="207" t="n"/>
      <c r="LVV90" s="207" t="n"/>
      <c r="LVW90" s="207" t="n"/>
      <c r="LVX90" s="207" t="n"/>
      <c r="LVY90" s="207" t="n"/>
      <c r="LVZ90" s="207" t="n"/>
      <c r="LWA90" s="207" t="n"/>
      <c r="LWB90" s="207" t="n"/>
      <c r="LWC90" s="207" t="n"/>
      <c r="LWD90" s="207" t="n"/>
      <c r="LWE90" s="207" t="n"/>
      <c r="LWF90" s="207" t="n"/>
      <c r="LWG90" s="207" t="n"/>
      <c r="LWH90" s="207" t="n"/>
      <c r="LWI90" s="207" t="n"/>
      <c r="LWJ90" s="207" t="n"/>
      <c r="LWK90" s="207" t="n"/>
      <c r="LWL90" s="207" t="n"/>
      <c r="LWM90" s="207" t="n"/>
      <c r="LWN90" s="207" t="n"/>
      <c r="LWO90" s="207" t="n"/>
      <c r="LWP90" s="207" t="n"/>
      <c r="LWQ90" s="207" t="n"/>
      <c r="LWR90" s="207" t="n"/>
      <c r="LWS90" s="207" t="n"/>
      <c r="LWT90" s="207" t="n"/>
      <c r="LWU90" s="207" t="n"/>
      <c r="LWV90" s="207" t="n"/>
      <c r="LWW90" s="207" t="n"/>
      <c r="LWX90" s="207" t="n"/>
      <c r="LWY90" s="207" t="n"/>
      <c r="LWZ90" s="207" t="n"/>
      <c r="LXA90" s="207" t="n"/>
      <c r="LXB90" s="207" t="n"/>
      <c r="LXC90" s="207" t="n"/>
      <c r="LXD90" s="207" t="n"/>
      <c r="LXE90" s="207" t="n"/>
      <c r="LXF90" s="207" t="n"/>
      <c r="LXG90" s="207" t="n"/>
      <c r="LXH90" s="207" t="n"/>
      <c r="LXI90" s="207" t="n"/>
      <c r="LXJ90" s="207" t="n"/>
      <c r="LXK90" s="207" t="n"/>
      <c r="LXL90" s="207" t="n"/>
      <c r="LXM90" s="207" t="n"/>
      <c r="LXN90" s="207" t="n"/>
      <c r="LXO90" s="207" t="n"/>
      <c r="LXP90" s="207" t="n"/>
      <c r="LXQ90" s="207" t="n"/>
      <c r="LXR90" s="207" t="n"/>
      <c r="LXS90" s="207" t="n"/>
      <c r="LXT90" s="207" t="n"/>
      <c r="LXU90" s="207" t="n"/>
      <c r="LXV90" s="207" t="n"/>
      <c r="LXW90" s="207" t="n"/>
      <c r="LXX90" s="207" t="n"/>
      <c r="LXY90" s="207" t="n"/>
      <c r="LXZ90" s="207" t="n"/>
      <c r="LYA90" s="207" t="n"/>
      <c r="LYB90" s="207" t="n"/>
      <c r="LYC90" s="207" t="n"/>
      <c r="LYD90" s="207" t="n"/>
      <c r="LYE90" s="207" t="n"/>
      <c r="LYF90" s="207" t="n"/>
      <c r="LYG90" s="207" t="n"/>
      <c r="LYH90" s="207" t="n"/>
      <c r="LYI90" s="207" t="n"/>
      <c r="LYJ90" s="207" t="n"/>
      <c r="LYK90" s="207" t="n"/>
      <c r="LYL90" s="207" t="n"/>
      <c r="LYM90" s="207" t="n"/>
      <c r="LYN90" s="207" t="n"/>
      <c r="LYO90" s="207" t="n"/>
      <c r="LYP90" s="207" t="n"/>
      <c r="LYQ90" s="207" t="n"/>
      <c r="LYR90" s="207" t="n"/>
      <c r="LYS90" s="207" t="n"/>
      <c r="LYT90" s="207" t="n"/>
      <c r="LYU90" s="207" t="n"/>
      <c r="LYV90" s="207" t="n"/>
      <c r="LYW90" s="207" t="n"/>
      <c r="LYX90" s="207" t="n"/>
      <c r="LYY90" s="207" t="n"/>
      <c r="LYZ90" s="207" t="n"/>
      <c r="LZA90" s="207" t="n"/>
      <c r="LZB90" s="207" t="n"/>
      <c r="LZC90" s="207" t="n"/>
      <c r="LZD90" s="207" t="n"/>
      <c r="LZE90" s="207" t="n"/>
      <c r="LZF90" s="207" t="n"/>
      <c r="LZG90" s="207" t="n"/>
      <c r="LZH90" s="207" t="n"/>
      <c r="LZI90" s="207" t="n"/>
      <c r="LZJ90" s="207" t="n"/>
      <c r="LZK90" s="207" t="n"/>
      <c r="LZL90" s="207" t="n"/>
      <c r="LZM90" s="207" t="n"/>
      <c r="LZN90" s="207" t="n"/>
      <c r="LZO90" s="207" t="n"/>
      <c r="LZP90" s="207" t="n"/>
      <c r="LZQ90" s="207" t="n"/>
      <c r="LZR90" s="207" t="n"/>
      <c r="LZS90" s="207" t="n"/>
      <c r="LZT90" s="207" t="n"/>
      <c r="LZU90" s="207" t="n"/>
      <c r="LZV90" s="207" t="n"/>
      <c r="LZW90" s="207" t="n"/>
      <c r="LZX90" s="207" t="n"/>
      <c r="LZY90" s="207" t="n"/>
      <c r="LZZ90" s="207" t="n"/>
      <c r="MAA90" s="207" t="n"/>
      <c r="MAB90" s="207" t="n"/>
      <c r="MAC90" s="207" t="n"/>
      <c r="MAD90" s="207" t="n"/>
      <c r="MAE90" s="207" t="n"/>
      <c r="MAF90" s="207" t="n"/>
      <c r="MAG90" s="207" t="n"/>
      <c r="MAH90" s="207" t="n"/>
      <c r="MAI90" s="207" t="n"/>
      <c r="MAJ90" s="207" t="n"/>
      <c r="MAK90" s="207" t="n"/>
      <c r="MAL90" s="207" t="n"/>
      <c r="MAM90" s="207" t="n"/>
      <c r="MAN90" s="207" t="n"/>
      <c r="MAO90" s="207" t="n"/>
      <c r="MAP90" s="207" t="n"/>
      <c r="MAQ90" s="207" t="n"/>
      <c r="MAR90" s="207" t="n"/>
      <c r="MAS90" s="207" t="n"/>
      <c r="MAT90" s="207" t="n"/>
      <c r="MAU90" s="207" t="n"/>
      <c r="MAV90" s="207" t="n"/>
      <c r="MAW90" s="207" t="n"/>
      <c r="MAX90" s="207" t="n"/>
      <c r="MAY90" s="207" t="n"/>
      <c r="MAZ90" s="207" t="n"/>
      <c r="MBA90" s="207" t="n"/>
      <c r="MBB90" s="207" t="n"/>
      <c r="MBC90" s="207" t="n"/>
      <c r="MBD90" s="207" t="n"/>
      <c r="MBE90" s="207" t="n"/>
      <c r="MBF90" s="207" t="n"/>
      <c r="MBG90" s="207" t="n"/>
      <c r="MBH90" s="207" t="n"/>
      <c r="MBI90" s="207" t="n"/>
      <c r="MBJ90" s="207" t="n"/>
      <c r="MBK90" s="207" t="n"/>
      <c r="MBL90" s="207" t="n"/>
      <c r="MBM90" s="207" t="n"/>
      <c r="MBN90" s="207" t="n"/>
      <c r="MBO90" s="207" t="n"/>
      <c r="MBP90" s="207" t="n"/>
      <c r="MBQ90" s="207" t="n"/>
      <c r="MBR90" s="207" t="n"/>
      <c r="MBS90" s="207" t="n"/>
      <c r="MBT90" s="207" t="n"/>
      <c r="MBU90" s="207" t="n"/>
      <c r="MBV90" s="207" t="n"/>
      <c r="MBW90" s="207" t="n"/>
      <c r="MBX90" s="207" t="n"/>
      <c r="MBY90" s="207" t="n"/>
      <c r="MBZ90" s="207" t="n"/>
      <c r="MCA90" s="207" t="n"/>
      <c r="MCB90" s="207" t="n"/>
      <c r="MCC90" s="207" t="n"/>
      <c r="MCD90" s="207" t="n"/>
      <c r="MCE90" s="207" t="n"/>
      <c r="MCF90" s="207" t="n"/>
      <c r="MCG90" s="207" t="n"/>
      <c r="MCH90" s="207" t="n"/>
      <c r="MCI90" s="207" t="n"/>
      <c r="MCJ90" s="207" t="n"/>
      <c r="MCK90" s="207" t="n"/>
      <c r="MCL90" s="207" t="n"/>
      <c r="MCM90" s="207" t="n"/>
      <c r="MCN90" s="207" t="n"/>
      <c r="MCO90" s="207" t="n"/>
      <c r="MCP90" s="207" t="n"/>
      <c r="MCQ90" s="207" t="n"/>
      <c r="MCR90" s="207" t="n"/>
      <c r="MCS90" s="207" t="n"/>
      <c r="MCT90" s="207" t="n"/>
      <c r="MCU90" s="207" t="n"/>
      <c r="MCV90" s="207" t="n"/>
      <c r="MCW90" s="207" t="n"/>
      <c r="MCX90" s="207" t="n"/>
      <c r="MCY90" s="207" t="n"/>
      <c r="MCZ90" s="207" t="n"/>
      <c r="MDA90" s="207" t="n"/>
      <c r="MDB90" s="207" t="n"/>
      <c r="MDC90" s="207" t="n"/>
      <c r="MDD90" s="207" t="n"/>
      <c r="MDE90" s="207" t="n"/>
      <c r="MDF90" s="207" t="n"/>
      <c r="MDG90" s="207" t="n"/>
      <c r="MDH90" s="207" t="n"/>
      <c r="MDI90" s="207" t="n"/>
      <c r="MDJ90" s="207" t="n"/>
      <c r="MDK90" s="207" t="n"/>
      <c r="MDL90" s="207" t="n"/>
      <c r="MDM90" s="207" t="n"/>
      <c r="MDN90" s="207" t="n"/>
      <c r="MDO90" s="207" t="n"/>
      <c r="MDP90" s="207" t="n"/>
      <c r="MDQ90" s="207" t="n"/>
      <c r="MDR90" s="207" t="n"/>
      <c r="MDS90" s="207" t="n"/>
      <c r="MDT90" s="207" t="n"/>
      <c r="MDU90" s="207" t="n"/>
      <c r="MDV90" s="207" t="n"/>
      <c r="MDW90" s="207" t="n"/>
      <c r="MDX90" s="207" t="n"/>
      <c r="MDY90" s="207" t="n"/>
      <c r="MDZ90" s="207" t="n"/>
      <c r="MEA90" s="207" t="n"/>
      <c r="MEB90" s="207" t="n"/>
      <c r="MEC90" s="207" t="n"/>
      <c r="MED90" s="207" t="n"/>
      <c r="MEE90" s="207" t="n"/>
      <c r="MEF90" s="207" t="n"/>
      <c r="MEG90" s="207" t="n"/>
      <c r="MEH90" s="207" t="n"/>
      <c r="MEI90" s="207" t="n"/>
      <c r="MEJ90" s="207" t="n"/>
      <c r="MEK90" s="207" t="n"/>
      <c r="MEL90" s="207" t="n"/>
      <c r="MEM90" s="207" t="n"/>
      <c r="MEN90" s="207" t="n"/>
      <c r="MEO90" s="207" t="n"/>
      <c r="MEP90" s="207" t="n"/>
      <c r="MEQ90" s="207" t="n"/>
      <c r="MER90" s="207" t="n"/>
      <c r="MES90" s="207" t="n"/>
      <c r="MET90" s="207" t="n"/>
      <c r="MEU90" s="207" t="n"/>
      <c r="MEV90" s="207" t="n"/>
      <c r="MEW90" s="207" t="n"/>
      <c r="MEX90" s="207" t="n"/>
      <c r="MEY90" s="207" t="n"/>
      <c r="MEZ90" s="207" t="n"/>
      <c r="MFA90" s="207" t="n"/>
      <c r="MFB90" s="207" t="n"/>
      <c r="MFC90" s="207" t="n"/>
      <c r="MFD90" s="207" t="n"/>
      <c r="MFE90" s="207" t="n"/>
      <c r="MFF90" s="207" t="n"/>
      <c r="MFG90" s="207" t="n"/>
      <c r="MFH90" s="207" t="n"/>
      <c r="MFI90" s="207" t="n"/>
      <c r="MFJ90" s="207" t="n"/>
      <c r="MFK90" s="207" t="n"/>
      <c r="MFL90" s="207" t="n"/>
      <c r="MFM90" s="207" t="n"/>
      <c r="MFN90" s="207" t="n"/>
      <c r="MFO90" s="207" t="n"/>
      <c r="MFP90" s="207" t="n"/>
      <c r="MFQ90" s="207" t="n"/>
      <c r="MFR90" s="207" t="n"/>
      <c r="MFS90" s="207" t="n"/>
      <c r="MFT90" s="207" t="n"/>
      <c r="MFU90" s="207" t="n"/>
      <c r="MFV90" s="207" t="n"/>
      <c r="MFW90" s="207" t="n"/>
      <c r="MFX90" s="207" t="n"/>
      <c r="MFY90" s="207" t="n"/>
      <c r="MFZ90" s="207" t="n"/>
      <c r="MGA90" s="207" t="n"/>
      <c r="MGB90" s="207" t="n"/>
      <c r="MGC90" s="207" t="n"/>
      <c r="MGD90" s="207" t="n"/>
      <c r="MGE90" s="207" t="n"/>
      <c r="MGF90" s="207" t="n"/>
      <c r="MGG90" s="207" t="n"/>
      <c r="MGH90" s="207" t="n"/>
      <c r="MGI90" s="207" t="n"/>
      <c r="MGJ90" s="207" t="n"/>
      <c r="MGK90" s="207" t="n"/>
      <c r="MGL90" s="207" t="n"/>
      <c r="MGM90" s="207" t="n"/>
      <c r="MGN90" s="207" t="n"/>
      <c r="MGO90" s="207" t="n"/>
      <c r="MGP90" s="207" t="n"/>
      <c r="MGQ90" s="207" t="n"/>
      <c r="MGR90" s="207" t="n"/>
      <c r="MGS90" s="207" t="n"/>
      <c r="MGT90" s="207" t="n"/>
      <c r="MGU90" s="207" t="n"/>
      <c r="MGV90" s="207" t="n"/>
      <c r="MGW90" s="207" t="n"/>
      <c r="MGX90" s="207" t="n"/>
      <c r="MGY90" s="207" t="n"/>
      <c r="MGZ90" s="207" t="n"/>
      <c r="MHA90" s="207" t="n"/>
      <c r="MHB90" s="207" t="n"/>
      <c r="MHC90" s="207" t="n"/>
      <c r="MHD90" s="207" t="n"/>
      <c r="MHE90" s="207" t="n"/>
      <c r="MHF90" s="207" t="n"/>
      <c r="MHG90" s="207" t="n"/>
      <c r="MHH90" s="207" t="n"/>
      <c r="MHI90" s="207" t="n"/>
      <c r="MHJ90" s="207" t="n"/>
      <c r="MHK90" s="207" t="n"/>
      <c r="MHL90" s="207" t="n"/>
      <c r="MHM90" s="207" t="n"/>
      <c r="MHN90" s="207" t="n"/>
      <c r="MHO90" s="207" t="n"/>
      <c r="MHP90" s="207" t="n"/>
      <c r="MHQ90" s="207" t="n"/>
      <c r="MHR90" s="207" t="n"/>
      <c r="MHS90" s="207" t="n"/>
      <c r="MHT90" s="207" t="n"/>
      <c r="MHU90" s="207" t="n"/>
      <c r="MHV90" s="207" t="n"/>
      <c r="MHW90" s="207" t="n"/>
      <c r="MHX90" s="207" t="n"/>
      <c r="MHY90" s="207" t="n"/>
      <c r="MHZ90" s="207" t="n"/>
      <c r="MIA90" s="207" t="n"/>
      <c r="MIB90" s="207" t="n"/>
      <c r="MIC90" s="207" t="n"/>
      <c r="MID90" s="207" t="n"/>
      <c r="MIE90" s="207" t="n"/>
      <c r="MIF90" s="207" t="n"/>
      <c r="MIG90" s="207" t="n"/>
      <c r="MIH90" s="207" t="n"/>
      <c r="MII90" s="207" t="n"/>
      <c r="MIJ90" s="207" t="n"/>
      <c r="MIK90" s="207" t="n"/>
      <c r="MIL90" s="207" t="n"/>
      <c r="MIM90" s="207" t="n"/>
      <c r="MIN90" s="207" t="n"/>
      <c r="MIO90" s="207" t="n"/>
      <c r="MIP90" s="207" t="n"/>
      <c r="MIQ90" s="207" t="n"/>
      <c r="MIR90" s="207" t="n"/>
      <c r="MIS90" s="207" t="n"/>
      <c r="MIT90" s="207" t="n"/>
      <c r="MIU90" s="207" t="n"/>
      <c r="MIV90" s="207" t="n"/>
      <c r="MIW90" s="207" t="n"/>
      <c r="MIX90" s="207" t="n"/>
      <c r="MIY90" s="207" t="n"/>
      <c r="MIZ90" s="207" t="n"/>
      <c r="MJA90" s="207" t="n"/>
      <c r="MJB90" s="207" t="n"/>
      <c r="MJC90" s="207" t="n"/>
      <c r="MJD90" s="207" t="n"/>
      <c r="MJE90" s="207" t="n"/>
      <c r="MJF90" s="207" t="n"/>
      <c r="MJG90" s="207" t="n"/>
      <c r="MJH90" s="207" t="n"/>
      <c r="MJI90" s="207" t="n"/>
      <c r="MJJ90" s="207" t="n"/>
      <c r="MJK90" s="207" t="n"/>
      <c r="MJL90" s="207" t="n"/>
      <c r="MJM90" s="207" t="n"/>
      <c r="MJN90" s="207" t="n"/>
      <c r="MJO90" s="207" t="n"/>
      <c r="MJP90" s="207" t="n"/>
      <c r="MJQ90" s="207" t="n"/>
      <c r="MJR90" s="207" t="n"/>
      <c r="MJS90" s="207" t="n"/>
      <c r="MJT90" s="207" t="n"/>
      <c r="MJU90" s="207" t="n"/>
      <c r="MJV90" s="207" t="n"/>
      <c r="MJW90" s="207" t="n"/>
      <c r="MJX90" s="207" t="n"/>
      <c r="MJY90" s="207" t="n"/>
      <c r="MJZ90" s="207" t="n"/>
      <c r="MKA90" s="207" t="n"/>
      <c r="MKB90" s="207" t="n"/>
      <c r="MKC90" s="207" t="n"/>
      <c r="MKD90" s="207" t="n"/>
      <c r="MKE90" s="207" t="n"/>
      <c r="MKF90" s="207" t="n"/>
      <c r="MKG90" s="207" t="n"/>
      <c r="MKH90" s="207" t="n"/>
      <c r="MKI90" s="207" t="n"/>
      <c r="MKJ90" s="207" t="n"/>
      <c r="MKK90" s="207" t="n"/>
      <c r="MKL90" s="207" t="n"/>
      <c r="MKM90" s="207" t="n"/>
      <c r="MKN90" s="207" t="n"/>
      <c r="MKO90" s="207" t="n"/>
      <c r="MKP90" s="207" t="n"/>
      <c r="MKQ90" s="207" t="n"/>
      <c r="MKR90" s="207" t="n"/>
      <c r="MKS90" s="207" t="n"/>
      <c r="MKT90" s="207" t="n"/>
      <c r="MKU90" s="207" t="n"/>
      <c r="MKV90" s="207" t="n"/>
      <c r="MKW90" s="207" t="n"/>
      <c r="MKX90" s="207" t="n"/>
      <c r="MKY90" s="207" t="n"/>
      <c r="MKZ90" s="207" t="n"/>
      <c r="MLA90" s="207" t="n"/>
      <c r="MLB90" s="207" t="n"/>
      <c r="MLC90" s="207" t="n"/>
      <c r="MLD90" s="207" t="n"/>
      <c r="MLE90" s="207" t="n"/>
      <c r="MLF90" s="207" t="n"/>
      <c r="MLG90" s="207" t="n"/>
      <c r="MLH90" s="207" t="n"/>
      <c r="MLI90" s="207" t="n"/>
      <c r="MLJ90" s="207" t="n"/>
      <c r="MLK90" s="207" t="n"/>
      <c r="MLL90" s="207" t="n"/>
      <c r="MLM90" s="207" t="n"/>
      <c r="MLN90" s="207" t="n"/>
      <c r="MLO90" s="207" t="n"/>
      <c r="MLP90" s="207" t="n"/>
      <c r="MLQ90" s="207" t="n"/>
      <c r="MLR90" s="207" t="n"/>
      <c r="MLS90" s="207" t="n"/>
      <c r="MLT90" s="207" t="n"/>
      <c r="MLU90" s="207" t="n"/>
      <c r="MLV90" s="207" t="n"/>
      <c r="MLW90" s="207" t="n"/>
      <c r="MLX90" s="207" t="n"/>
      <c r="MLY90" s="207" t="n"/>
      <c r="MLZ90" s="207" t="n"/>
      <c r="MMA90" s="207" t="n"/>
      <c r="MMB90" s="207" t="n"/>
      <c r="MMC90" s="207" t="n"/>
      <c r="MMD90" s="207" t="n"/>
      <c r="MME90" s="207" t="n"/>
      <c r="MMF90" s="207" t="n"/>
      <c r="MMG90" s="207" t="n"/>
      <c r="MMH90" s="207" t="n"/>
      <c r="MMI90" s="207" t="n"/>
      <c r="MMJ90" s="207" t="n"/>
      <c r="MMK90" s="207" t="n"/>
      <c r="MML90" s="207" t="n"/>
      <c r="MMM90" s="207" t="n"/>
      <c r="MMN90" s="207" t="n"/>
      <c r="MMO90" s="207" t="n"/>
      <c r="MMP90" s="207" t="n"/>
      <c r="MMQ90" s="207" t="n"/>
      <c r="MMR90" s="207" t="n"/>
      <c r="MMS90" s="207" t="n"/>
      <c r="MMT90" s="207" t="n"/>
      <c r="MMU90" s="207" t="n"/>
      <c r="MMV90" s="207" t="n"/>
      <c r="MMW90" s="207" t="n"/>
      <c r="MMX90" s="207" t="n"/>
      <c r="MMY90" s="207" t="n"/>
      <c r="MMZ90" s="207" t="n"/>
      <c r="MNA90" s="207" t="n"/>
      <c r="MNB90" s="207" t="n"/>
      <c r="MNC90" s="207" t="n"/>
      <c r="MND90" s="207" t="n"/>
      <c r="MNE90" s="207" t="n"/>
      <c r="MNF90" s="207" t="n"/>
      <c r="MNG90" s="207" t="n"/>
      <c r="MNH90" s="207" t="n"/>
      <c r="MNI90" s="207" t="n"/>
      <c r="MNJ90" s="207" t="n"/>
      <c r="MNK90" s="207" t="n"/>
      <c r="MNL90" s="207" t="n"/>
      <c r="MNM90" s="207" t="n"/>
      <c r="MNN90" s="207" t="n"/>
      <c r="MNO90" s="207" t="n"/>
      <c r="MNP90" s="207" t="n"/>
      <c r="MNQ90" s="207" t="n"/>
      <c r="MNR90" s="207" t="n"/>
      <c r="MNS90" s="207" t="n"/>
      <c r="MNT90" s="207" t="n"/>
      <c r="MNU90" s="207" t="n"/>
      <c r="MNV90" s="207" t="n"/>
      <c r="MNW90" s="207" t="n"/>
      <c r="MNX90" s="207" t="n"/>
      <c r="MNY90" s="207" t="n"/>
      <c r="MNZ90" s="207" t="n"/>
      <c r="MOA90" s="207" t="n"/>
      <c r="MOB90" s="207" t="n"/>
      <c r="MOC90" s="207" t="n"/>
      <c r="MOD90" s="207" t="n"/>
      <c r="MOE90" s="207" t="n"/>
      <c r="MOF90" s="207" t="n"/>
      <c r="MOG90" s="207" t="n"/>
      <c r="MOH90" s="207" t="n"/>
      <c r="MOI90" s="207" t="n"/>
      <c r="MOJ90" s="207" t="n"/>
      <c r="MOK90" s="207" t="n"/>
      <c r="MOL90" s="207" t="n"/>
      <c r="MOM90" s="207" t="n"/>
      <c r="MON90" s="207" t="n"/>
      <c r="MOO90" s="207" t="n"/>
      <c r="MOP90" s="207" t="n"/>
      <c r="MOQ90" s="207" t="n"/>
      <c r="MOR90" s="207" t="n"/>
      <c r="MOS90" s="207" t="n"/>
      <c r="MOT90" s="207" t="n"/>
      <c r="MOU90" s="207" t="n"/>
      <c r="MOV90" s="207" t="n"/>
      <c r="MOW90" s="207" t="n"/>
      <c r="MOX90" s="207" t="n"/>
      <c r="MOY90" s="207" t="n"/>
      <c r="MOZ90" s="207" t="n"/>
      <c r="MPA90" s="207" t="n"/>
      <c r="MPB90" s="207" t="n"/>
      <c r="MPC90" s="207" t="n"/>
      <c r="MPD90" s="207" t="n"/>
      <c r="MPE90" s="207" t="n"/>
      <c r="MPF90" s="207" t="n"/>
      <c r="MPG90" s="207" t="n"/>
      <c r="MPH90" s="207" t="n"/>
      <c r="MPI90" s="207" t="n"/>
      <c r="MPJ90" s="207" t="n"/>
      <c r="MPK90" s="207" t="n"/>
      <c r="MPL90" s="207" t="n"/>
      <c r="MPM90" s="207" t="n"/>
      <c r="MPN90" s="207" t="n"/>
      <c r="MPO90" s="207" t="n"/>
      <c r="MPP90" s="207" t="n"/>
      <c r="MPQ90" s="207" t="n"/>
      <c r="MPR90" s="207" t="n"/>
      <c r="MPS90" s="207" t="n"/>
      <c r="MPT90" s="207" t="n"/>
      <c r="MPU90" s="207" t="n"/>
      <c r="MPV90" s="207" t="n"/>
      <c r="MPW90" s="207" t="n"/>
      <c r="MPX90" s="207" t="n"/>
      <c r="MPY90" s="207" t="n"/>
      <c r="MPZ90" s="207" t="n"/>
      <c r="MQA90" s="207" t="n"/>
      <c r="MQB90" s="207" t="n"/>
      <c r="MQC90" s="207" t="n"/>
      <c r="MQD90" s="207" t="n"/>
      <c r="MQE90" s="207" t="n"/>
      <c r="MQF90" s="207" t="n"/>
      <c r="MQG90" s="207" t="n"/>
      <c r="MQH90" s="207" t="n"/>
      <c r="MQI90" s="207" t="n"/>
      <c r="MQJ90" s="207" t="n"/>
      <c r="MQK90" s="207" t="n"/>
      <c r="MQL90" s="207" t="n"/>
      <c r="MQM90" s="207" t="n"/>
      <c r="MQN90" s="207" t="n"/>
      <c r="MQO90" s="207" t="n"/>
      <c r="MQP90" s="207" t="n"/>
      <c r="MQQ90" s="207" t="n"/>
      <c r="MQR90" s="207" t="n"/>
      <c r="MQS90" s="207" t="n"/>
      <c r="MQT90" s="207" t="n"/>
      <c r="MQU90" s="207" t="n"/>
      <c r="MQV90" s="207" t="n"/>
      <c r="MQW90" s="207" t="n"/>
      <c r="MQX90" s="207" t="n"/>
      <c r="MQY90" s="207" t="n"/>
      <c r="MQZ90" s="207" t="n"/>
      <c r="MRA90" s="207" t="n"/>
      <c r="MRB90" s="207" t="n"/>
      <c r="MRC90" s="207" t="n"/>
      <c r="MRD90" s="207" t="n"/>
      <c r="MRE90" s="207" t="n"/>
      <c r="MRF90" s="207" t="n"/>
      <c r="MRG90" s="207" t="n"/>
      <c r="MRH90" s="207" t="n"/>
      <c r="MRI90" s="207" t="n"/>
      <c r="MRJ90" s="207" t="n"/>
      <c r="MRK90" s="207" t="n"/>
      <c r="MRL90" s="207" t="n"/>
      <c r="MRM90" s="207" t="n"/>
      <c r="MRN90" s="207" t="n"/>
      <c r="MRO90" s="207" t="n"/>
      <c r="MRP90" s="207" t="n"/>
      <c r="MRQ90" s="207" t="n"/>
      <c r="MRR90" s="207" t="n"/>
      <c r="MRS90" s="207" t="n"/>
      <c r="MRT90" s="207" t="n"/>
      <c r="MRU90" s="207" t="n"/>
      <c r="MRV90" s="207" t="n"/>
      <c r="MRW90" s="207" t="n"/>
      <c r="MRX90" s="207" t="n"/>
      <c r="MRY90" s="207" t="n"/>
      <c r="MRZ90" s="207" t="n"/>
      <c r="MSA90" s="207" t="n"/>
      <c r="MSB90" s="207" t="n"/>
      <c r="MSC90" s="207" t="n"/>
      <c r="MSD90" s="207" t="n"/>
      <c r="MSE90" s="207" t="n"/>
      <c r="MSF90" s="207" t="n"/>
      <c r="MSG90" s="207" t="n"/>
      <c r="MSH90" s="207" t="n"/>
      <c r="MSI90" s="207" t="n"/>
      <c r="MSJ90" s="207" t="n"/>
      <c r="MSK90" s="207" t="n"/>
      <c r="MSL90" s="207" t="n"/>
      <c r="MSM90" s="207" t="n"/>
      <c r="MSN90" s="207" t="n"/>
      <c r="MSO90" s="207" t="n"/>
      <c r="MSP90" s="207" t="n"/>
      <c r="MSQ90" s="207" t="n"/>
      <c r="MSR90" s="207" t="n"/>
      <c r="MSS90" s="207" t="n"/>
      <c r="MST90" s="207" t="n"/>
      <c r="MSU90" s="207" t="n"/>
      <c r="MSV90" s="207" t="n"/>
      <c r="MSW90" s="207" t="n"/>
      <c r="MSX90" s="207" t="n"/>
      <c r="MSY90" s="207" t="n"/>
      <c r="MSZ90" s="207" t="n"/>
      <c r="MTA90" s="207" t="n"/>
      <c r="MTB90" s="207" t="n"/>
      <c r="MTC90" s="207" t="n"/>
      <c r="MTD90" s="207" t="n"/>
      <c r="MTE90" s="207" t="n"/>
      <c r="MTF90" s="207" t="n"/>
      <c r="MTG90" s="207" t="n"/>
      <c r="MTH90" s="207" t="n"/>
      <c r="MTI90" s="207" t="n"/>
      <c r="MTJ90" s="207" t="n"/>
      <c r="MTK90" s="207" t="n"/>
      <c r="MTL90" s="207" t="n"/>
      <c r="MTM90" s="207" t="n"/>
      <c r="MTN90" s="207" t="n"/>
      <c r="MTO90" s="207" t="n"/>
      <c r="MTP90" s="207" t="n"/>
      <c r="MTQ90" s="207" t="n"/>
      <c r="MTR90" s="207" t="n"/>
      <c r="MTS90" s="207" t="n"/>
      <c r="MTT90" s="207" t="n"/>
      <c r="MTU90" s="207" t="n"/>
      <c r="MTV90" s="207" t="n"/>
      <c r="MTW90" s="207" t="n"/>
      <c r="MTX90" s="207" t="n"/>
      <c r="MTY90" s="207" t="n"/>
      <c r="MTZ90" s="207" t="n"/>
      <c r="MUA90" s="207" t="n"/>
      <c r="MUB90" s="207" t="n"/>
      <c r="MUC90" s="207" t="n"/>
      <c r="MUD90" s="207" t="n"/>
      <c r="MUE90" s="207" t="n"/>
      <c r="MUF90" s="207" t="n"/>
      <c r="MUG90" s="207" t="n"/>
      <c r="MUH90" s="207" t="n"/>
      <c r="MUI90" s="207" t="n"/>
      <c r="MUJ90" s="207" t="n"/>
      <c r="MUK90" s="207" t="n"/>
      <c r="MUL90" s="207" t="n"/>
      <c r="MUM90" s="207" t="n"/>
      <c r="MUN90" s="207" t="n"/>
      <c r="MUO90" s="207" t="n"/>
      <c r="MUP90" s="207" t="n"/>
      <c r="MUQ90" s="207" t="n"/>
      <c r="MUR90" s="207" t="n"/>
      <c r="MUS90" s="207" t="n"/>
      <c r="MUT90" s="207" t="n"/>
      <c r="MUU90" s="207" t="n"/>
      <c r="MUV90" s="207" t="n"/>
      <c r="MUW90" s="207" t="n"/>
      <c r="MUX90" s="207" t="n"/>
      <c r="MUY90" s="207" t="n"/>
      <c r="MUZ90" s="207" t="n"/>
      <c r="MVA90" s="207" t="n"/>
      <c r="MVB90" s="207" t="n"/>
      <c r="MVC90" s="207" t="n"/>
      <c r="MVD90" s="207" t="n"/>
      <c r="MVE90" s="207" t="n"/>
      <c r="MVF90" s="207" t="n"/>
      <c r="MVG90" s="207" t="n"/>
      <c r="MVH90" s="207" t="n"/>
      <c r="MVI90" s="207" t="n"/>
      <c r="MVJ90" s="207" t="n"/>
      <c r="MVK90" s="207" t="n"/>
      <c r="MVL90" s="207" t="n"/>
      <c r="MVM90" s="207" t="n"/>
      <c r="MVN90" s="207" t="n"/>
      <c r="MVO90" s="207" t="n"/>
      <c r="MVP90" s="207" t="n"/>
      <c r="MVQ90" s="207" t="n"/>
      <c r="MVR90" s="207" t="n"/>
      <c r="MVS90" s="207" t="n"/>
      <c r="MVT90" s="207" t="n"/>
      <c r="MVU90" s="207" t="n"/>
      <c r="MVV90" s="207" t="n"/>
      <c r="MVW90" s="207" t="n"/>
      <c r="MVX90" s="207" t="n"/>
      <c r="MVY90" s="207" t="n"/>
      <c r="MVZ90" s="207" t="n"/>
      <c r="MWA90" s="207" t="n"/>
      <c r="MWB90" s="207" t="n"/>
      <c r="MWC90" s="207" t="n"/>
      <c r="MWD90" s="207" t="n"/>
      <c r="MWE90" s="207" t="n"/>
      <c r="MWF90" s="207" t="n"/>
      <c r="MWG90" s="207" t="n"/>
      <c r="MWH90" s="207" t="n"/>
      <c r="MWI90" s="207" t="n"/>
      <c r="MWJ90" s="207" t="n"/>
      <c r="MWK90" s="207" t="n"/>
      <c r="MWL90" s="207" t="n"/>
      <c r="MWM90" s="207" t="n"/>
      <c r="MWN90" s="207" t="n"/>
      <c r="MWO90" s="207" t="n"/>
      <c r="MWP90" s="207" t="n"/>
      <c r="MWQ90" s="207" t="n"/>
      <c r="MWR90" s="207" t="n"/>
      <c r="MWS90" s="207" t="n"/>
      <c r="MWT90" s="207" t="n"/>
      <c r="MWU90" s="207" t="n"/>
      <c r="MWV90" s="207" t="n"/>
      <c r="MWW90" s="207" t="n"/>
      <c r="MWX90" s="207" t="n"/>
      <c r="MWY90" s="207" t="n"/>
      <c r="MWZ90" s="207" t="n"/>
      <c r="MXA90" s="207" t="n"/>
      <c r="MXB90" s="207" t="n"/>
      <c r="MXC90" s="207" t="n"/>
      <c r="MXD90" s="207" t="n"/>
      <c r="MXE90" s="207" t="n"/>
      <c r="MXF90" s="207" t="n"/>
      <c r="MXG90" s="207" t="n"/>
      <c r="MXH90" s="207" t="n"/>
      <c r="MXI90" s="207" t="n"/>
      <c r="MXJ90" s="207" t="n"/>
      <c r="MXK90" s="207" t="n"/>
      <c r="MXL90" s="207" t="n"/>
      <c r="MXM90" s="207" t="n"/>
      <c r="MXN90" s="207" t="n"/>
      <c r="MXO90" s="207" t="n"/>
      <c r="MXP90" s="207" t="n"/>
      <c r="MXQ90" s="207" t="n"/>
      <c r="MXR90" s="207" t="n"/>
      <c r="MXS90" s="207" t="n"/>
      <c r="MXT90" s="207" t="n"/>
      <c r="MXU90" s="207" t="n"/>
      <c r="MXV90" s="207" t="n"/>
      <c r="MXW90" s="207" t="n"/>
      <c r="MXX90" s="207" t="n"/>
      <c r="MXY90" s="207" t="n"/>
      <c r="MXZ90" s="207" t="n"/>
      <c r="MYA90" s="207" t="n"/>
      <c r="MYB90" s="207" t="n"/>
      <c r="MYC90" s="207" t="n"/>
      <c r="MYD90" s="207" t="n"/>
      <c r="MYE90" s="207" t="n"/>
      <c r="MYF90" s="207" t="n"/>
      <c r="MYG90" s="207" t="n"/>
      <c r="MYH90" s="207" t="n"/>
      <c r="MYI90" s="207" t="n"/>
      <c r="MYJ90" s="207" t="n"/>
      <c r="MYK90" s="207" t="n"/>
      <c r="MYL90" s="207" t="n"/>
      <c r="MYM90" s="207" t="n"/>
      <c r="MYN90" s="207" t="n"/>
      <c r="MYO90" s="207" t="n"/>
      <c r="MYP90" s="207" t="n"/>
      <c r="MYQ90" s="207" t="n"/>
      <c r="MYR90" s="207" t="n"/>
      <c r="MYS90" s="207" t="n"/>
      <c r="MYT90" s="207" t="n"/>
      <c r="MYU90" s="207" t="n"/>
      <c r="MYV90" s="207" t="n"/>
      <c r="MYW90" s="207" t="n"/>
      <c r="MYX90" s="207" t="n"/>
      <c r="MYY90" s="207" t="n"/>
      <c r="MYZ90" s="207" t="n"/>
      <c r="MZA90" s="207" t="n"/>
      <c r="MZB90" s="207" t="n"/>
      <c r="MZC90" s="207" t="n"/>
      <c r="MZD90" s="207" t="n"/>
      <c r="MZE90" s="207" t="n"/>
      <c r="MZF90" s="207" t="n"/>
      <c r="MZG90" s="207" t="n"/>
      <c r="MZH90" s="207" t="n"/>
      <c r="MZI90" s="207" t="n"/>
      <c r="MZJ90" s="207" t="n"/>
      <c r="MZK90" s="207" t="n"/>
      <c r="MZL90" s="207" t="n"/>
      <c r="MZM90" s="207" t="n"/>
      <c r="MZN90" s="207" t="n"/>
      <c r="MZO90" s="207" t="n"/>
      <c r="MZP90" s="207" t="n"/>
      <c r="MZQ90" s="207" t="n"/>
      <c r="MZR90" s="207" t="n"/>
      <c r="MZS90" s="207" t="n"/>
      <c r="MZT90" s="207" t="n"/>
      <c r="MZU90" s="207" t="n"/>
      <c r="MZV90" s="207" t="n"/>
      <c r="MZW90" s="207" t="n"/>
      <c r="MZX90" s="207" t="n"/>
      <c r="MZY90" s="207" t="n"/>
      <c r="MZZ90" s="207" t="n"/>
      <c r="NAA90" s="207" t="n"/>
      <c r="NAB90" s="207" t="n"/>
      <c r="NAC90" s="207" t="n"/>
      <c r="NAD90" s="207" t="n"/>
      <c r="NAE90" s="207" t="n"/>
      <c r="NAF90" s="207" t="n"/>
      <c r="NAG90" s="207" t="n"/>
      <c r="NAH90" s="207" t="n"/>
      <c r="NAI90" s="207" t="n"/>
      <c r="NAJ90" s="207" t="n"/>
      <c r="NAK90" s="207" t="n"/>
      <c r="NAL90" s="207" t="n"/>
      <c r="NAM90" s="207" t="n"/>
      <c r="NAN90" s="207" t="n"/>
      <c r="NAO90" s="207" t="n"/>
      <c r="NAP90" s="207" t="n"/>
      <c r="NAQ90" s="207" t="n"/>
      <c r="NAR90" s="207" t="n"/>
      <c r="NAS90" s="207" t="n"/>
      <c r="NAT90" s="207" t="n"/>
      <c r="NAU90" s="207" t="n"/>
      <c r="NAV90" s="207" t="n"/>
      <c r="NAW90" s="207" t="n"/>
      <c r="NAX90" s="207" t="n"/>
      <c r="NAY90" s="207" t="n"/>
      <c r="NAZ90" s="207" t="n"/>
      <c r="NBA90" s="207" t="n"/>
      <c r="NBB90" s="207" t="n"/>
      <c r="NBC90" s="207" t="n"/>
      <c r="NBD90" s="207" t="n"/>
      <c r="NBE90" s="207" t="n"/>
      <c r="NBF90" s="207" t="n"/>
      <c r="NBG90" s="207" t="n"/>
      <c r="NBH90" s="207" t="n"/>
      <c r="NBI90" s="207" t="n"/>
      <c r="NBJ90" s="207" t="n"/>
      <c r="NBK90" s="207" t="n"/>
      <c r="NBL90" s="207" t="n"/>
      <c r="NBM90" s="207" t="n"/>
      <c r="NBN90" s="207" t="n"/>
      <c r="NBO90" s="207" t="n"/>
      <c r="NBP90" s="207" t="n"/>
      <c r="NBQ90" s="207" t="n"/>
      <c r="NBR90" s="207" t="n"/>
      <c r="NBS90" s="207" t="n"/>
      <c r="NBT90" s="207" t="n"/>
      <c r="NBU90" s="207" t="n"/>
      <c r="NBV90" s="207" t="n"/>
      <c r="NBW90" s="207" t="n"/>
      <c r="NBX90" s="207" t="n"/>
      <c r="NBY90" s="207" t="n"/>
      <c r="NBZ90" s="207" t="n"/>
      <c r="NCA90" s="207" t="n"/>
      <c r="NCB90" s="207" t="n"/>
      <c r="NCC90" s="207" t="n"/>
      <c r="NCD90" s="207" t="n"/>
      <c r="NCE90" s="207" t="n"/>
      <c r="NCF90" s="207" t="n"/>
      <c r="NCG90" s="207" t="n"/>
      <c r="NCH90" s="207" t="n"/>
      <c r="NCI90" s="207" t="n"/>
      <c r="NCJ90" s="207" t="n"/>
      <c r="NCK90" s="207" t="n"/>
      <c r="NCL90" s="207" t="n"/>
      <c r="NCM90" s="207" t="n"/>
      <c r="NCN90" s="207" t="n"/>
      <c r="NCO90" s="207" t="n"/>
      <c r="NCP90" s="207" t="n"/>
      <c r="NCQ90" s="207" t="n"/>
      <c r="NCR90" s="207" t="n"/>
      <c r="NCS90" s="207" t="n"/>
      <c r="NCT90" s="207" t="n"/>
      <c r="NCU90" s="207" t="n"/>
      <c r="NCV90" s="207" t="n"/>
      <c r="NCW90" s="207" t="n"/>
      <c r="NCX90" s="207" t="n"/>
      <c r="NCY90" s="207" t="n"/>
      <c r="NCZ90" s="207" t="n"/>
      <c r="NDA90" s="207" t="n"/>
      <c r="NDB90" s="207" t="n"/>
      <c r="NDC90" s="207" t="n"/>
      <c r="NDD90" s="207" t="n"/>
      <c r="NDE90" s="207" t="n"/>
      <c r="NDF90" s="207" t="n"/>
      <c r="NDG90" s="207" t="n"/>
      <c r="NDH90" s="207" t="n"/>
      <c r="NDI90" s="207" t="n"/>
      <c r="NDJ90" s="207" t="n"/>
      <c r="NDK90" s="207" t="n"/>
      <c r="NDL90" s="207" t="n"/>
      <c r="NDM90" s="207" t="n"/>
      <c r="NDN90" s="207" t="n"/>
      <c r="NDO90" s="207" t="n"/>
      <c r="NDP90" s="207" t="n"/>
      <c r="NDQ90" s="207" t="n"/>
      <c r="NDR90" s="207" t="n"/>
      <c r="NDS90" s="207" t="n"/>
      <c r="NDT90" s="207" t="n"/>
      <c r="NDU90" s="207" t="n"/>
      <c r="NDV90" s="207" t="n"/>
      <c r="NDW90" s="207" t="n"/>
      <c r="NDX90" s="207" t="n"/>
      <c r="NDY90" s="207" t="n"/>
      <c r="NDZ90" s="207" t="n"/>
      <c r="NEA90" s="207" t="n"/>
      <c r="NEB90" s="207" t="n"/>
      <c r="NEC90" s="207" t="n"/>
      <c r="NED90" s="207" t="n"/>
      <c r="NEE90" s="207" t="n"/>
      <c r="NEF90" s="207" t="n"/>
      <c r="NEG90" s="207" t="n"/>
      <c r="NEH90" s="207" t="n"/>
      <c r="NEI90" s="207" t="n"/>
      <c r="NEJ90" s="207" t="n"/>
      <c r="NEK90" s="207" t="n"/>
      <c r="NEL90" s="207" t="n"/>
      <c r="NEM90" s="207" t="n"/>
      <c r="NEN90" s="207" t="n"/>
      <c r="NEO90" s="207" t="n"/>
      <c r="NEP90" s="207" t="n"/>
      <c r="NEQ90" s="207" t="n"/>
      <c r="NER90" s="207" t="n"/>
      <c r="NES90" s="207" t="n"/>
      <c r="NET90" s="207" t="n"/>
      <c r="NEU90" s="207" t="n"/>
      <c r="NEV90" s="207" t="n"/>
      <c r="NEW90" s="207" t="n"/>
      <c r="NEX90" s="207" t="n"/>
      <c r="NEY90" s="207" t="n"/>
      <c r="NEZ90" s="207" t="n"/>
      <c r="NFA90" s="207" t="n"/>
      <c r="NFB90" s="207" t="n"/>
      <c r="NFC90" s="207" t="n"/>
      <c r="NFD90" s="207" t="n"/>
      <c r="NFE90" s="207" t="n"/>
      <c r="NFF90" s="207" t="n"/>
      <c r="NFG90" s="207" t="n"/>
      <c r="NFH90" s="207" t="n"/>
      <c r="NFI90" s="207" t="n"/>
      <c r="NFJ90" s="207" t="n"/>
      <c r="NFK90" s="207" t="n"/>
      <c r="NFL90" s="207" t="n"/>
      <c r="NFM90" s="207" t="n"/>
      <c r="NFN90" s="207" t="n"/>
      <c r="NFO90" s="207" t="n"/>
      <c r="NFP90" s="207" t="n"/>
      <c r="NFQ90" s="207" t="n"/>
      <c r="NFR90" s="207" t="n"/>
      <c r="NFS90" s="207" t="n"/>
      <c r="NFT90" s="207" t="n"/>
      <c r="NFU90" s="207" t="n"/>
      <c r="NFV90" s="207" t="n"/>
      <c r="NFW90" s="207" t="n"/>
      <c r="NFX90" s="207" t="n"/>
      <c r="NFY90" s="207" t="n"/>
      <c r="NFZ90" s="207" t="n"/>
      <c r="NGA90" s="207" t="n"/>
      <c r="NGB90" s="207" t="n"/>
      <c r="NGC90" s="207" t="n"/>
      <c r="NGD90" s="207" t="n"/>
      <c r="NGE90" s="207" t="n"/>
      <c r="NGF90" s="207" t="n"/>
      <c r="NGG90" s="207" t="n"/>
      <c r="NGH90" s="207" t="n"/>
      <c r="NGI90" s="207" t="n"/>
      <c r="NGJ90" s="207" t="n"/>
      <c r="NGK90" s="207" t="n"/>
      <c r="NGL90" s="207" t="n"/>
      <c r="NGM90" s="207" t="n"/>
      <c r="NGN90" s="207" t="n"/>
      <c r="NGO90" s="207" t="n"/>
      <c r="NGP90" s="207" t="n"/>
      <c r="NGQ90" s="207" t="n"/>
      <c r="NGR90" s="207" t="n"/>
      <c r="NGS90" s="207" t="n"/>
      <c r="NGT90" s="207" t="n"/>
      <c r="NGU90" s="207" t="n"/>
      <c r="NGV90" s="207" t="n"/>
      <c r="NGW90" s="207" t="n"/>
      <c r="NGX90" s="207" t="n"/>
      <c r="NGY90" s="207" t="n"/>
      <c r="NGZ90" s="207" t="n"/>
      <c r="NHA90" s="207" t="n"/>
      <c r="NHB90" s="207" t="n"/>
      <c r="NHC90" s="207" t="n"/>
      <c r="NHD90" s="207" t="n"/>
      <c r="NHE90" s="207" t="n"/>
      <c r="NHF90" s="207" t="n"/>
      <c r="NHG90" s="207" t="n"/>
      <c r="NHH90" s="207" t="n"/>
      <c r="NHI90" s="207" t="n"/>
      <c r="NHJ90" s="207" t="n"/>
      <c r="NHK90" s="207" t="n"/>
      <c r="NHL90" s="207" t="n"/>
      <c r="NHM90" s="207" t="n"/>
      <c r="NHN90" s="207" t="n"/>
      <c r="NHO90" s="207" t="n"/>
      <c r="NHP90" s="207" t="n"/>
      <c r="NHQ90" s="207" t="n"/>
      <c r="NHR90" s="207" t="n"/>
      <c r="NHS90" s="207" t="n"/>
      <c r="NHT90" s="207" t="n"/>
      <c r="NHU90" s="207" t="n"/>
      <c r="NHV90" s="207" t="n"/>
      <c r="NHW90" s="207" t="n"/>
      <c r="NHX90" s="207" t="n"/>
      <c r="NHY90" s="207" t="n"/>
      <c r="NHZ90" s="207" t="n"/>
      <c r="NIA90" s="207" t="n"/>
      <c r="NIB90" s="207" t="n"/>
      <c r="NIC90" s="207" t="n"/>
      <c r="NID90" s="207" t="n"/>
      <c r="NIE90" s="207" t="n"/>
      <c r="NIF90" s="207" t="n"/>
      <c r="NIG90" s="207" t="n"/>
      <c r="NIH90" s="207" t="n"/>
      <c r="NII90" s="207" t="n"/>
      <c r="NIJ90" s="207" t="n"/>
      <c r="NIK90" s="207" t="n"/>
      <c r="NIL90" s="207" t="n"/>
      <c r="NIM90" s="207" t="n"/>
      <c r="NIN90" s="207" t="n"/>
      <c r="NIO90" s="207" t="n"/>
      <c r="NIP90" s="207" t="n"/>
      <c r="NIQ90" s="207" t="n"/>
      <c r="NIR90" s="207" t="n"/>
      <c r="NIS90" s="207" t="n"/>
      <c r="NIT90" s="207" t="n"/>
      <c r="NIU90" s="207" t="n"/>
      <c r="NIV90" s="207" t="n"/>
      <c r="NIW90" s="207" t="n"/>
      <c r="NIX90" s="207" t="n"/>
      <c r="NIY90" s="207" t="n"/>
      <c r="NIZ90" s="207" t="n"/>
      <c r="NJA90" s="207" t="n"/>
      <c r="NJB90" s="207" t="n"/>
      <c r="NJC90" s="207" t="n"/>
      <c r="NJD90" s="207" t="n"/>
      <c r="NJE90" s="207" t="n"/>
      <c r="NJF90" s="207" t="n"/>
      <c r="NJG90" s="207" t="n"/>
      <c r="NJH90" s="207" t="n"/>
      <c r="NJI90" s="207" t="n"/>
      <c r="NJJ90" s="207" t="n"/>
      <c r="NJK90" s="207" t="n"/>
      <c r="NJL90" s="207" t="n"/>
      <c r="NJM90" s="207" t="n"/>
      <c r="NJN90" s="207" t="n"/>
      <c r="NJO90" s="207" t="n"/>
      <c r="NJP90" s="207" t="n"/>
      <c r="NJQ90" s="207" t="n"/>
      <c r="NJR90" s="207" t="n"/>
      <c r="NJS90" s="207" t="n"/>
      <c r="NJT90" s="207" t="n"/>
      <c r="NJU90" s="207" t="n"/>
      <c r="NJV90" s="207" t="n"/>
      <c r="NJW90" s="207" t="n"/>
      <c r="NJX90" s="207" t="n"/>
      <c r="NJY90" s="207" t="n"/>
      <c r="NJZ90" s="207" t="n"/>
      <c r="NKA90" s="207" t="n"/>
      <c r="NKB90" s="207" t="n"/>
      <c r="NKC90" s="207" t="n"/>
      <c r="NKD90" s="207" t="n"/>
      <c r="NKE90" s="207" t="n"/>
      <c r="NKF90" s="207" t="n"/>
      <c r="NKG90" s="207" t="n"/>
      <c r="NKH90" s="207" t="n"/>
      <c r="NKI90" s="207" t="n"/>
      <c r="NKJ90" s="207" t="n"/>
      <c r="NKK90" s="207" t="n"/>
      <c r="NKL90" s="207" t="n"/>
      <c r="NKM90" s="207" t="n"/>
      <c r="NKN90" s="207" t="n"/>
      <c r="NKO90" s="207" t="n"/>
      <c r="NKP90" s="207" t="n"/>
      <c r="NKQ90" s="207" t="n"/>
      <c r="NKR90" s="207" t="n"/>
      <c r="NKS90" s="207" t="n"/>
      <c r="NKT90" s="207" t="n"/>
      <c r="NKU90" s="207" t="n"/>
      <c r="NKV90" s="207" t="n"/>
      <c r="NKW90" s="207" t="n"/>
      <c r="NKX90" s="207" t="n"/>
      <c r="NKY90" s="207" t="n"/>
      <c r="NKZ90" s="207" t="n"/>
      <c r="NLA90" s="207" t="n"/>
      <c r="NLB90" s="207" t="n"/>
      <c r="NLC90" s="207" t="n"/>
      <c r="NLD90" s="207" t="n"/>
      <c r="NLE90" s="207" t="n"/>
      <c r="NLF90" s="207" t="n"/>
      <c r="NLG90" s="207" t="n"/>
      <c r="NLH90" s="207" t="n"/>
      <c r="NLI90" s="207" t="n"/>
      <c r="NLJ90" s="207" t="n"/>
      <c r="NLK90" s="207" t="n"/>
      <c r="NLL90" s="207" t="n"/>
      <c r="NLM90" s="207" t="n"/>
      <c r="NLN90" s="207" t="n"/>
      <c r="NLO90" s="207" t="n"/>
      <c r="NLP90" s="207" t="n"/>
      <c r="NLQ90" s="207" t="n"/>
      <c r="NLR90" s="207" t="n"/>
      <c r="NLS90" s="207" t="n"/>
      <c r="NLT90" s="207" t="n"/>
      <c r="NLU90" s="207" t="n"/>
      <c r="NLV90" s="207" t="n"/>
      <c r="NLW90" s="207" t="n"/>
      <c r="NLX90" s="207" t="n"/>
      <c r="NLY90" s="207" t="n"/>
      <c r="NLZ90" s="207" t="n"/>
      <c r="NMA90" s="207" t="n"/>
      <c r="NMB90" s="207" t="n"/>
      <c r="NMC90" s="207" t="n"/>
      <c r="NMD90" s="207" t="n"/>
      <c r="NME90" s="207" t="n"/>
      <c r="NMF90" s="207" t="n"/>
      <c r="NMG90" s="207" t="n"/>
      <c r="NMH90" s="207" t="n"/>
      <c r="NMI90" s="207" t="n"/>
      <c r="NMJ90" s="207" t="n"/>
      <c r="NMK90" s="207" t="n"/>
      <c r="NML90" s="207" t="n"/>
      <c r="NMM90" s="207" t="n"/>
      <c r="NMN90" s="207" t="n"/>
      <c r="NMO90" s="207" t="n"/>
      <c r="NMP90" s="207" t="n"/>
      <c r="NMQ90" s="207" t="n"/>
      <c r="NMR90" s="207" t="n"/>
      <c r="NMS90" s="207" t="n"/>
      <c r="NMT90" s="207" t="n"/>
      <c r="NMU90" s="207" t="n"/>
      <c r="NMV90" s="207" t="n"/>
      <c r="NMW90" s="207" t="n"/>
      <c r="NMX90" s="207" t="n"/>
      <c r="NMY90" s="207" t="n"/>
      <c r="NMZ90" s="207" t="n"/>
      <c r="NNA90" s="207" t="n"/>
      <c r="NNB90" s="207" t="n"/>
      <c r="NNC90" s="207" t="n"/>
      <c r="NND90" s="207" t="n"/>
      <c r="NNE90" s="207" t="n"/>
      <c r="NNF90" s="207" t="n"/>
      <c r="NNG90" s="207" t="n"/>
      <c r="NNH90" s="207" t="n"/>
      <c r="NNI90" s="207" t="n"/>
      <c r="NNJ90" s="207" t="n"/>
      <c r="NNK90" s="207" t="n"/>
      <c r="NNL90" s="207" t="n"/>
      <c r="NNM90" s="207" t="n"/>
      <c r="NNN90" s="207" t="n"/>
      <c r="NNO90" s="207" t="n"/>
      <c r="NNP90" s="207" t="n"/>
      <c r="NNQ90" s="207" t="n"/>
      <c r="NNR90" s="207" t="n"/>
      <c r="NNS90" s="207" t="n"/>
      <c r="NNT90" s="207" t="n"/>
      <c r="NNU90" s="207" t="n"/>
      <c r="NNV90" s="207" t="n"/>
      <c r="NNW90" s="207" t="n"/>
      <c r="NNX90" s="207" t="n"/>
      <c r="NNY90" s="207" t="n"/>
      <c r="NNZ90" s="207" t="n"/>
      <c r="NOA90" s="207" t="n"/>
      <c r="NOB90" s="207" t="n"/>
      <c r="NOC90" s="207" t="n"/>
      <c r="NOD90" s="207" t="n"/>
      <c r="NOE90" s="207" t="n"/>
      <c r="NOF90" s="207" t="n"/>
      <c r="NOG90" s="207" t="n"/>
      <c r="NOH90" s="207" t="n"/>
      <c r="NOI90" s="207" t="n"/>
      <c r="NOJ90" s="207" t="n"/>
      <c r="NOK90" s="207" t="n"/>
      <c r="NOL90" s="207" t="n"/>
      <c r="NOM90" s="207" t="n"/>
      <c r="NON90" s="207" t="n"/>
      <c r="NOO90" s="207" t="n"/>
      <c r="NOP90" s="207" t="n"/>
      <c r="NOQ90" s="207" t="n"/>
      <c r="NOR90" s="207" t="n"/>
      <c r="NOS90" s="207" t="n"/>
      <c r="NOT90" s="207" t="n"/>
      <c r="NOU90" s="207" t="n"/>
      <c r="NOV90" s="207" t="n"/>
      <c r="NOW90" s="207" t="n"/>
      <c r="NOX90" s="207" t="n"/>
      <c r="NOY90" s="207" t="n"/>
      <c r="NOZ90" s="207" t="n"/>
      <c r="NPA90" s="207" t="n"/>
      <c r="NPB90" s="207" t="n"/>
      <c r="NPC90" s="207" t="n"/>
      <c r="NPD90" s="207" t="n"/>
      <c r="NPE90" s="207" t="n"/>
      <c r="NPF90" s="207" t="n"/>
      <c r="NPG90" s="207" t="n"/>
      <c r="NPH90" s="207" t="n"/>
      <c r="NPI90" s="207" t="n"/>
      <c r="NPJ90" s="207" t="n"/>
      <c r="NPK90" s="207" t="n"/>
      <c r="NPL90" s="207" t="n"/>
      <c r="NPM90" s="207" t="n"/>
      <c r="NPN90" s="207" t="n"/>
      <c r="NPO90" s="207" t="n"/>
      <c r="NPP90" s="207" t="n"/>
      <c r="NPQ90" s="207" t="n"/>
      <c r="NPR90" s="207" t="n"/>
      <c r="NPS90" s="207" t="n"/>
      <c r="NPT90" s="207" t="n"/>
      <c r="NPU90" s="207" t="n"/>
      <c r="NPV90" s="207" t="n"/>
      <c r="NPW90" s="207" t="n"/>
      <c r="NPX90" s="207" t="n"/>
      <c r="NPY90" s="207" t="n"/>
      <c r="NPZ90" s="207" t="n"/>
      <c r="NQA90" s="207" t="n"/>
      <c r="NQB90" s="207" t="n"/>
      <c r="NQC90" s="207" t="n"/>
      <c r="NQD90" s="207" t="n"/>
      <c r="NQE90" s="207" t="n"/>
      <c r="NQF90" s="207" t="n"/>
      <c r="NQG90" s="207" t="n"/>
      <c r="NQH90" s="207" t="n"/>
      <c r="NQI90" s="207" t="n"/>
      <c r="NQJ90" s="207" t="n"/>
      <c r="NQK90" s="207" t="n"/>
      <c r="NQL90" s="207" t="n"/>
      <c r="NQM90" s="207" t="n"/>
      <c r="NQN90" s="207" t="n"/>
      <c r="NQO90" s="207" t="n"/>
      <c r="NQP90" s="207" t="n"/>
      <c r="NQQ90" s="207" t="n"/>
      <c r="NQR90" s="207" t="n"/>
      <c r="NQS90" s="207" t="n"/>
      <c r="NQT90" s="207" t="n"/>
      <c r="NQU90" s="207" t="n"/>
      <c r="NQV90" s="207" t="n"/>
      <c r="NQW90" s="207" t="n"/>
      <c r="NQX90" s="207" t="n"/>
      <c r="NQY90" s="207" t="n"/>
      <c r="NQZ90" s="207" t="n"/>
      <c r="NRA90" s="207" t="n"/>
      <c r="NRB90" s="207" t="n"/>
      <c r="NRC90" s="207" t="n"/>
      <c r="NRD90" s="207" t="n"/>
      <c r="NRE90" s="207" t="n"/>
      <c r="NRF90" s="207" t="n"/>
      <c r="NRG90" s="207" t="n"/>
      <c r="NRH90" s="207" t="n"/>
      <c r="NRI90" s="207" t="n"/>
      <c r="NRJ90" s="207" t="n"/>
      <c r="NRK90" s="207" t="n"/>
      <c r="NRL90" s="207" t="n"/>
      <c r="NRM90" s="207" t="n"/>
      <c r="NRN90" s="207" t="n"/>
      <c r="NRO90" s="207" t="n"/>
      <c r="NRP90" s="207" t="n"/>
      <c r="NRQ90" s="207" t="n"/>
      <c r="NRR90" s="207" t="n"/>
      <c r="NRS90" s="207" t="n"/>
      <c r="NRT90" s="207" t="n"/>
      <c r="NRU90" s="207" t="n"/>
      <c r="NRV90" s="207" t="n"/>
      <c r="NRW90" s="207" t="n"/>
      <c r="NRX90" s="207" t="n"/>
      <c r="NRY90" s="207" t="n"/>
      <c r="NRZ90" s="207" t="n"/>
      <c r="NSA90" s="207" t="n"/>
      <c r="NSB90" s="207" t="n"/>
      <c r="NSC90" s="207" t="n"/>
      <c r="NSD90" s="207" t="n"/>
      <c r="NSE90" s="207" t="n"/>
      <c r="NSF90" s="207" t="n"/>
      <c r="NSG90" s="207" t="n"/>
      <c r="NSH90" s="207" t="n"/>
      <c r="NSI90" s="207" t="n"/>
      <c r="NSJ90" s="207" t="n"/>
      <c r="NSK90" s="207" t="n"/>
      <c r="NSL90" s="207" t="n"/>
      <c r="NSM90" s="207" t="n"/>
      <c r="NSN90" s="207" t="n"/>
      <c r="NSO90" s="207" t="n"/>
      <c r="NSP90" s="207" t="n"/>
      <c r="NSQ90" s="207" t="n"/>
      <c r="NSR90" s="207" t="n"/>
      <c r="NSS90" s="207" t="n"/>
      <c r="NST90" s="207" t="n"/>
      <c r="NSU90" s="207" t="n"/>
      <c r="NSV90" s="207" t="n"/>
      <c r="NSW90" s="207" t="n"/>
      <c r="NSX90" s="207" t="n"/>
      <c r="NSY90" s="207" t="n"/>
      <c r="NSZ90" s="207" t="n"/>
      <c r="NTA90" s="207" t="n"/>
      <c r="NTB90" s="207" t="n"/>
      <c r="NTC90" s="207" t="n"/>
      <c r="NTD90" s="207" t="n"/>
      <c r="NTE90" s="207" t="n"/>
      <c r="NTF90" s="207" t="n"/>
      <c r="NTG90" s="207" t="n"/>
      <c r="NTH90" s="207" t="n"/>
      <c r="NTI90" s="207" t="n"/>
      <c r="NTJ90" s="207" t="n"/>
      <c r="NTK90" s="207" t="n"/>
      <c r="NTL90" s="207" t="n"/>
      <c r="NTM90" s="207" t="n"/>
      <c r="NTN90" s="207" t="n"/>
      <c r="NTO90" s="207" t="n"/>
      <c r="NTP90" s="207" t="n"/>
      <c r="NTQ90" s="207" t="n"/>
      <c r="NTR90" s="207" t="n"/>
      <c r="NTS90" s="207" t="n"/>
      <c r="NTT90" s="207" t="n"/>
      <c r="NTU90" s="207" t="n"/>
      <c r="NTV90" s="207" t="n"/>
      <c r="NTW90" s="207" t="n"/>
      <c r="NTX90" s="207" t="n"/>
      <c r="NTY90" s="207" t="n"/>
      <c r="NTZ90" s="207" t="n"/>
      <c r="NUA90" s="207" t="n"/>
      <c r="NUB90" s="207" t="n"/>
      <c r="NUC90" s="207" t="n"/>
      <c r="NUD90" s="207" t="n"/>
      <c r="NUE90" s="207" t="n"/>
      <c r="NUF90" s="207" t="n"/>
      <c r="NUG90" s="207" t="n"/>
      <c r="NUH90" s="207" t="n"/>
      <c r="NUI90" s="207" t="n"/>
      <c r="NUJ90" s="207" t="n"/>
      <c r="NUK90" s="207" t="n"/>
      <c r="NUL90" s="207" t="n"/>
      <c r="NUM90" s="207" t="n"/>
      <c r="NUN90" s="207" t="n"/>
      <c r="NUO90" s="207" t="n"/>
      <c r="NUP90" s="207" t="n"/>
      <c r="NUQ90" s="207" t="n"/>
      <c r="NUR90" s="207" t="n"/>
      <c r="NUS90" s="207" t="n"/>
      <c r="NUT90" s="207" t="n"/>
      <c r="NUU90" s="207" t="n"/>
      <c r="NUV90" s="207" t="n"/>
      <c r="NUW90" s="207" t="n"/>
      <c r="NUX90" s="207" t="n"/>
      <c r="NUY90" s="207" t="n"/>
      <c r="NUZ90" s="207" t="n"/>
      <c r="NVA90" s="207" t="n"/>
      <c r="NVB90" s="207" t="n"/>
      <c r="NVC90" s="207" t="n"/>
      <c r="NVD90" s="207" t="n"/>
      <c r="NVE90" s="207" t="n"/>
      <c r="NVF90" s="207" t="n"/>
      <c r="NVG90" s="207" t="n"/>
      <c r="NVH90" s="207" t="n"/>
      <c r="NVI90" s="207" t="n"/>
      <c r="NVJ90" s="207" t="n"/>
      <c r="NVK90" s="207" t="n"/>
      <c r="NVL90" s="207" t="n"/>
      <c r="NVM90" s="207" t="n"/>
      <c r="NVN90" s="207" t="n"/>
      <c r="NVO90" s="207" t="n"/>
      <c r="NVP90" s="207" t="n"/>
      <c r="NVQ90" s="207" t="n"/>
      <c r="NVR90" s="207" t="n"/>
      <c r="NVS90" s="207" t="n"/>
      <c r="NVT90" s="207" t="n"/>
      <c r="NVU90" s="207" t="n"/>
      <c r="NVV90" s="207" t="n"/>
      <c r="NVW90" s="207" t="n"/>
      <c r="NVX90" s="207" t="n"/>
      <c r="NVY90" s="207" t="n"/>
      <c r="NVZ90" s="207" t="n"/>
      <c r="NWA90" s="207" t="n"/>
      <c r="NWB90" s="207" t="n"/>
      <c r="NWC90" s="207" t="n"/>
      <c r="NWD90" s="207" t="n"/>
      <c r="NWE90" s="207" t="n"/>
      <c r="NWF90" s="207" t="n"/>
      <c r="NWG90" s="207" t="n"/>
      <c r="NWH90" s="207" t="n"/>
      <c r="NWI90" s="207" t="n"/>
      <c r="NWJ90" s="207" t="n"/>
      <c r="NWK90" s="207" t="n"/>
      <c r="NWL90" s="207" t="n"/>
      <c r="NWM90" s="207" t="n"/>
      <c r="NWN90" s="207" t="n"/>
      <c r="NWO90" s="207" t="n"/>
      <c r="NWP90" s="207" t="n"/>
      <c r="NWQ90" s="207" t="n"/>
      <c r="NWR90" s="207" t="n"/>
      <c r="NWS90" s="207" t="n"/>
      <c r="NWT90" s="207" t="n"/>
      <c r="NWU90" s="207" t="n"/>
      <c r="NWV90" s="207" t="n"/>
      <c r="NWW90" s="207" t="n"/>
      <c r="NWX90" s="207" t="n"/>
      <c r="NWY90" s="207" t="n"/>
      <c r="NWZ90" s="207" t="n"/>
      <c r="NXA90" s="207" t="n"/>
      <c r="NXB90" s="207" t="n"/>
      <c r="NXC90" s="207" t="n"/>
      <c r="NXD90" s="207" t="n"/>
      <c r="NXE90" s="207" t="n"/>
      <c r="NXF90" s="207" t="n"/>
      <c r="NXG90" s="207" t="n"/>
      <c r="NXH90" s="207" t="n"/>
      <c r="NXI90" s="207" t="n"/>
      <c r="NXJ90" s="207" t="n"/>
      <c r="NXK90" s="207" t="n"/>
      <c r="NXL90" s="207" t="n"/>
      <c r="NXM90" s="207" t="n"/>
      <c r="NXN90" s="207" t="n"/>
      <c r="NXO90" s="207" t="n"/>
      <c r="NXP90" s="207" t="n"/>
      <c r="NXQ90" s="207" t="n"/>
      <c r="NXR90" s="207" t="n"/>
      <c r="NXS90" s="207" t="n"/>
      <c r="NXT90" s="207" t="n"/>
      <c r="NXU90" s="207" t="n"/>
      <c r="NXV90" s="207" t="n"/>
      <c r="NXW90" s="207" t="n"/>
      <c r="NXX90" s="207" t="n"/>
      <c r="NXY90" s="207" t="n"/>
      <c r="NXZ90" s="207" t="n"/>
      <c r="NYA90" s="207" t="n"/>
      <c r="NYB90" s="207" t="n"/>
      <c r="NYC90" s="207" t="n"/>
      <c r="NYD90" s="207" t="n"/>
      <c r="NYE90" s="207" t="n"/>
      <c r="NYF90" s="207" t="n"/>
      <c r="NYG90" s="207" t="n"/>
      <c r="NYH90" s="207" t="n"/>
      <c r="NYI90" s="207" t="n"/>
      <c r="NYJ90" s="207" t="n"/>
      <c r="NYK90" s="207" t="n"/>
      <c r="NYL90" s="207" t="n"/>
      <c r="NYM90" s="207" t="n"/>
      <c r="NYN90" s="207" t="n"/>
      <c r="NYO90" s="207" t="n"/>
      <c r="NYP90" s="207" t="n"/>
      <c r="NYQ90" s="207" t="n"/>
      <c r="NYR90" s="207" t="n"/>
      <c r="NYS90" s="207" t="n"/>
      <c r="NYT90" s="207" t="n"/>
      <c r="NYU90" s="207" t="n"/>
      <c r="NYV90" s="207" t="n"/>
      <c r="NYW90" s="207" t="n"/>
      <c r="NYX90" s="207" t="n"/>
      <c r="NYY90" s="207" t="n"/>
      <c r="NYZ90" s="207" t="n"/>
      <c r="NZA90" s="207" t="n"/>
      <c r="NZB90" s="207" t="n"/>
      <c r="NZC90" s="207" t="n"/>
      <c r="NZD90" s="207" t="n"/>
      <c r="NZE90" s="207" t="n"/>
      <c r="NZF90" s="207" t="n"/>
      <c r="NZG90" s="207" t="n"/>
      <c r="NZH90" s="207" t="n"/>
      <c r="NZI90" s="207" t="n"/>
      <c r="NZJ90" s="207" t="n"/>
      <c r="NZK90" s="207" t="n"/>
      <c r="NZL90" s="207" t="n"/>
      <c r="NZM90" s="207" t="n"/>
      <c r="NZN90" s="207" t="n"/>
      <c r="NZO90" s="207" t="n"/>
      <c r="NZP90" s="207" t="n"/>
      <c r="NZQ90" s="207" t="n"/>
      <c r="NZR90" s="207" t="n"/>
      <c r="NZS90" s="207" t="n"/>
      <c r="NZT90" s="207" t="n"/>
      <c r="NZU90" s="207" t="n"/>
      <c r="NZV90" s="207" t="n"/>
      <c r="NZW90" s="207" t="n"/>
      <c r="NZX90" s="207" t="n"/>
      <c r="NZY90" s="207" t="n"/>
      <c r="NZZ90" s="207" t="n"/>
      <c r="OAA90" s="207" t="n"/>
      <c r="OAB90" s="207" t="n"/>
      <c r="OAC90" s="207" t="n"/>
      <c r="OAD90" s="207" t="n"/>
      <c r="OAE90" s="207" t="n"/>
      <c r="OAF90" s="207" t="n"/>
      <c r="OAG90" s="207" t="n"/>
      <c r="OAH90" s="207" t="n"/>
      <c r="OAI90" s="207" t="n"/>
      <c r="OAJ90" s="207" t="n"/>
      <c r="OAK90" s="207" t="n"/>
      <c r="OAL90" s="207" t="n"/>
      <c r="OAM90" s="207" t="n"/>
      <c r="OAN90" s="207" t="n"/>
      <c r="OAO90" s="207" t="n"/>
      <c r="OAP90" s="207" t="n"/>
      <c r="OAQ90" s="207" t="n"/>
      <c r="OAR90" s="207" t="n"/>
      <c r="OAS90" s="207" t="n"/>
      <c r="OAT90" s="207" t="n"/>
      <c r="OAU90" s="207" t="n"/>
      <c r="OAV90" s="207" t="n"/>
      <c r="OAW90" s="207" t="n"/>
      <c r="OAX90" s="207" t="n"/>
      <c r="OAY90" s="207" t="n"/>
      <c r="OAZ90" s="207" t="n"/>
      <c r="OBA90" s="207" t="n"/>
      <c r="OBB90" s="207" t="n"/>
      <c r="OBC90" s="207" t="n"/>
      <c r="OBD90" s="207" t="n"/>
      <c r="OBE90" s="207" t="n"/>
      <c r="OBF90" s="207" t="n"/>
      <c r="OBG90" s="207" t="n"/>
      <c r="OBH90" s="207" t="n"/>
      <c r="OBI90" s="207" t="n"/>
      <c r="OBJ90" s="207" t="n"/>
      <c r="OBK90" s="207" t="n"/>
      <c r="OBL90" s="207" t="n"/>
      <c r="OBM90" s="207" t="n"/>
      <c r="OBN90" s="207" t="n"/>
      <c r="OBO90" s="207" t="n"/>
      <c r="OBP90" s="207" t="n"/>
      <c r="OBQ90" s="207" t="n"/>
      <c r="OBR90" s="207" t="n"/>
      <c r="OBS90" s="207" t="n"/>
      <c r="OBT90" s="207" t="n"/>
      <c r="OBU90" s="207" t="n"/>
      <c r="OBV90" s="207" t="n"/>
      <c r="OBW90" s="207" t="n"/>
      <c r="OBX90" s="207" t="n"/>
      <c r="OBY90" s="207" t="n"/>
      <c r="OBZ90" s="207" t="n"/>
      <c r="OCA90" s="207" t="n"/>
      <c r="OCB90" s="207" t="n"/>
      <c r="OCC90" s="207" t="n"/>
      <c r="OCD90" s="207" t="n"/>
      <c r="OCE90" s="207" t="n"/>
      <c r="OCF90" s="207" t="n"/>
      <c r="OCG90" s="207" t="n"/>
      <c r="OCH90" s="207" t="n"/>
      <c r="OCI90" s="207" t="n"/>
      <c r="OCJ90" s="207" t="n"/>
      <c r="OCK90" s="207" t="n"/>
      <c r="OCL90" s="207" t="n"/>
      <c r="OCM90" s="207" t="n"/>
      <c r="OCN90" s="207" t="n"/>
      <c r="OCO90" s="207" t="n"/>
      <c r="OCP90" s="207" t="n"/>
      <c r="OCQ90" s="207" t="n"/>
      <c r="OCR90" s="207" t="n"/>
      <c r="OCS90" s="207" t="n"/>
      <c r="OCT90" s="207" t="n"/>
      <c r="OCU90" s="207" t="n"/>
      <c r="OCV90" s="207" t="n"/>
      <c r="OCW90" s="207" t="n"/>
      <c r="OCX90" s="207" t="n"/>
      <c r="OCY90" s="207" t="n"/>
      <c r="OCZ90" s="207" t="n"/>
      <c r="ODA90" s="207" t="n"/>
      <c r="ODB90" s="207" t="n"/>
      <c r="ODC90" s="207" t="n"/>
      <c r="ODD90" s="207" t="n"/>
      <c r="ODE90" s="207" t="n"/>
      <c r="ODF90" s="207" t="n"/>
      <c r="ODG90" s="207" t="n"/>
      <c r="ODH90" s="207" t="n"/>
      <c r="ODI90" s="207" t="n"/>
      <c r="ODJ90" s="207" t="n"/>
      <c r="ODK90" s="207" t="n"/>
      <c r="ODL90" s="207" t="n"/>
      <c r="ODM90" s="207" t="n"/>
      <c r="ODN90" s="207" t="n"/>
      <c r="ODO90" s="207" t="n"/>
      <c r="ODP90" s="207" t="n"/>
      <c r="ODQ90" s="207" t="n"/>
      <c r="ODR90" s="207" t="n"/>
      <c r="ODS90" s="207" t="n"/>
      <c r="ODT90" s="207" t="n"/>
      <c r="ODU90" s="207" t="n"/>
      <c r="ODV90" s="207" t="n"/>
      <c r="ODW90" s="207" t="n"/>
      <c r="ODX90" s="207" t="n"/>
      <c r="ODY90" s="207" t="n"/>
      <c r="ODZ90" s="207" t="n"/>
      <c r="OEA90" s="207" t="n"/>
      <c r="OEB90" s="207" t="n"/>
      <c r="OEC90" s="207" t="n"/>
      <c r="OED90" s="207" t="n"/>
      <c r="OEE90" s="207" t="n"/>
      <c r="OEF90" s="207" t="n"/>
      <c r="OEG90" s="207" t="n"/>
      <c r="OEH90" s="207" t="n"/>
      <c r="OEI90" s="207" t="n"/>
      <c r="OEJ90" s="207" t="n"/>
      <c r="OEK90" s="207" t="n"/>
      <c r="OEL90" s="207" t="n"/>
      <c r="OEM90" s="207" t="n"/>
      <c r="OEN90" s="207" t="n"/>
      <c r="OEO90" s="207" t="n"/>
      <c r="OEP90" s="207" t="n"/>
      <c r="OEQ90" s="207" t="n"/>
      <c r="OER90" s="207" t="n"/>
      <c r="OES90" s="207" t="n"/>
      <c r="OET90" s="207" t="n"/>
      <c r="OEU90" s="207" t="n"/>
      <c r="OEV90" s="207" t="n"/>
      <c r="OEW90" s="207" t="n"/>
      <c r="OEX90" s="207" t="n"/>
      <c r="OEY90" s="207" t="n"/>
      <c r="OEZ90" s="207" t="n"/>
      <c r="OFA90" s="207" t="n"/>
      <c r="OFB90" s="207" t="n"/>
      <c r="OFC90" s="207" t="n"/>
      <c r="OFD90" s="207" t="n"/>
      <c r="OFE90" s="207" t="n"/>
      <c r="OFF90" s="207" t="n"/>
      <c r="OFG90" s="207" t="n"/>
      <c r="OFH90" s="207" t="n"/>
      <c r="OFI90" s="207" t="n"/>
      <c r="OFJ90" s="207" t="n"/>
      <c r="OFK90" s="207" t="n"/>
      <c r="OFL90" s="207" t="n"/>
      <c r="OFM90" s="207" t="n"/>
      <c r="OFN90" s="207" t="n"/>
      <c r="OFO90" s="207" t="n"/>
      <c r="OFP90" s="207" t="n"/>
      <c r="OFQ90" s="207" t="n"/>
      <c r="OFR90" s="207" t="n"/>
      <c r="OFS90" s="207" t="n"/>
      <c r="OFT90" s="207" t="n"/>
      <c r="OFU90" s="207" t="n"/>
      <c r="OFV90" s="207" t="n"/>
      <c r="OFW90" s="207" t="n"/>
      <c r="OFX90" s="207" t="n"/>
      <c r="OFY90" s="207" t="n"/>
      <c r="OFZ90" s="207" t="n"/>
      <c r="OGA90" s="207" t="n"/>
      <c r="OGB90" s="207" t="n"/>
      <c r="OGC90" s="207" t="n"/>
      <c r="OGD90" s="207" t="n"/>
      <c r="OGE90" s="207" t="n"/>
      <c r="OGF90" s="207" t="n"/>
      <c r="OGG90" s="207" t="n"/>
      <c r="OGH90" s="207" t="n"/>
      <c r="OGI90" s="207" t="n"/>
      <c r="OGJ90" s="207" t="n"/>
      <c r="OGK90" s="207" t="n"/>
      <c r="OGL90" s="207" t="n"/>
      <c r="OGM90" s="207" t="n"/>
      <c r="OGN90" s="207" t="n"/>
      <c r="OGO90" s="207" t="n"/>
      <c r="OGP90" s="207" t="n"/>
      <c r="OGQ90" s="207" t="n"/>
      <c r="OGR90" s="207" t="n"/>
      <c r="OGS90" s="207" t="n"/>
      <c r="OGT90" s="207" t="n"/>
      <c r="OGU90" s="207" t="n"/>
      <c r="OGV90" s="207" t="n"/>
      <c r="OGW90" s="207" t="n"/>
      <c r="OGX90" s="207" t="n"/>
      <c r="OGY90" s="207" t="n"/>
      <c r="OGZ90" s="207" t="n"/>
      <c r="OHA90" s="207" t="n"/>
      <c r="OHB90" s="207" t="n"/>
      <c r="OHC90" s="207" t="n"/>
      <c r="OHD90" s="207" t="n"/>
      <c r="OHE90" s="207" t="n"/>
      <c r="OHF90" s="207" t="n"/>
      <c r="OHG90" s="207" t="n"/>
      <c r="OHH90" s="207" t="n"/>
      <c r="OHI90" s="207" t="n"/>
      <c r="OHJ90" s="207" t="n"/>
      <c r="OHK90" s="207" t="n"/>
      <c r="OHL90" s="207" t="n"/>
      <c r="OHM90" s="207" t="n"/>
      <c r="OHN90" s="207" t="n"/>
      <c r="OHO90" s="207" t="n"/>
      <c r="OHP90" s="207" t="n"/>
      <c r="OHQ90" s="207" t="n"/>
      <c r="OHR90" s="207" t="n"/>
      <c r="OHS90" s="207" t="n"/>
      <c r="OHT90" s="207" t="n"/>
      <c r="OHU90" s="207" t="n"/>
      <c r="OHV90" s="207" t="n"/>
      <c r="OHW90" s="207" t="n"/>
      <c r="OHX90" s="207" t="n"/>
      <c r="OHY90" s="207" t="n"/>
      <c r="OHZ90" s="207" t="n"/>
      <c r="OIA90" s="207" t="n"/>
      <c r="OIB90" s="207" t="n"/>
      <c r="OIC90" s="207" t="n"/>
      <c r="OID90" s="207" t="n"/>
      <c r="OIE90" s="207" t="n"/>
      <c r="OIF90" s="207" t="n"/>
      <c r="OIG90" s="207" t="n"/>
      <c r="OIH90" s="207" t="n"/>
      <c r="OII90" s="207" t="n"/>
      <c r="OIJ90" s="207" t="n"/>
      <c r="OIK90" s="207" t="n"/>
      <c r="OIL90" s="207" t="n"/>
      <c r="OIM90" s="207" t="n"/>
      <c r="OIN90" s="207" t="n"/>
      <c r="OIO90" s="207" t="n"/>
      <c r="OIP90" s="207" t="n"/>
      <c r="OIQ90" s="207" t="n"/>
      <c r="OIR90" s="207" t="n"/>
      <c r="OIS90" s="207" t="n"/>
      <c r="OIT90" s="207" t="n"/>
      <c r="OIU90" s="207" t="n"/>
      <c r="OIV90" s="207" t="n"/>
      <c r="OIW90" s="207" t="n"/>
      <c r="OIX90" s="207" t="n"/>
      <c r="OIY90" s="207" t="n"/>
      <c r="OIZ90" s="207" t="n"/>
      <c r="OJA90" s="207" t="n"/>
      <c r="OJB90" s="207" t="n"/>
      <c r="OJC90" s="207" t="n"/>
      <c r="OJD90" s="207" t="n"/>
      <c r="OJE90" s="207" t="n"/>
      <c r="OJF90" s="207" t="n"/>
      <c r="OJG90" s="207" t="n"/>
      <c r="OJH90" s="207" t="n"/>
      <c r="OJI90" s="207" t="n"/>
      <c r="OJJ90" s="207" t="n"/>
      <c r="OJK90" s="207" t="n"/>
      <c r="OJL90" s="207" t="n"/>
      <c r="OJM90" s="207" t="n"/>
      <c r="OJN90" s="207" t="n"/>
      <c r="OJO90" s="207" t="n"/>
      <c r="OJP90" s="207" t="n"/>
      <c r="OJQ90" s="207" t="n"/>
      <c r="OJR90" s="207" t="n"/>
      <c r="OJS90" s="207" t="n"/>
      <c r="OJT90" s="207" t="n"/>
      <c r="OJU90" s="207" t="n"/>
      <c r="OJV90" s="207" t="n"/>
      <c r="OJW90" s="207" t="n"/>
      <c r="OJX90" s="207" t="n"/>
      <c r="OJY90" s="207" t="n"/>
      <c r="OJZ90" s="207" t="n"/>
      <c r="OKA90" s="207" t="n"/>
      <c r="OKB90" s="207" t="n"/>
      <c r="OKC90" s="207" t="n"/>
      <c r="OKD90" s="207" t="n"/>
      <c r="OKE90" s="207" t="n"/>
      <c r="OKF90" s="207" t="n"/>
      <c r="OKG90" s="207" t="n"/>
      <c r="OKH90" s="207" t="n"/>
      <c r="OKI90" s="207" t="n"/>
      <c r="OKJ90" s="207" t="n"/>
      <c r="OKK90" s="207" t="n"/>
      <c r="OKL90" s="207" t="n"/>
      <c r="OKM90" s="207" t="n"/>
      <c r="OKN90" s="207" t="n"/>
      <c r="OKO90" s="207" t="n"/>
      <c r="OKP90" s="207" t="n"/>
      <c r="OKQ90" s="207" t="n"/>
      <c r="OKR90" s="207" t="n"/>
      <c r="OKS90" s="207" t="n"/>
      <c r="OKT90" s="207" t="n"/>
      <c r="OKU90" s="207" t="n"/>
      <c r="OKV90" s="207" t="n"/>
      <c r="OKW90" s="207" t="n"/>
      <c r="OKX90" s="207" t="n"/>
      <c r="OKY90" s="207" t="n"/>
      <c r="OKZ90" s="207" t="n"/>
      <c r="OLA90" s="207" t="n"/>
      <c r="OLB90" s="207" t="n"/>
      <c r="OLC90" s="207" t="n"/>
      <c r="OLD90" s="207" t="n"/>
      <c r="OLE90" s="207" t="n"/>
      <c r="OLF90" s="207" t="n"/>
      <c r="OLG90" s="207" t="n"/>
      <c r="OLH90" s="207" t="n"/>
      <c r="OLI90" s="207" t="n"/>
      <c r="OLJ90" s="207" t="n"/>
      <c r="OLK90" s="207" t="n"/>
      <c r="OLL90" s="207" t="n"/>
      <c r="OLM90" s="207" t="n"/>
      <c r="OLN90" s="207" t="n"/>
      <c r="OLO90" s="207" t="n"/>
      <c r="OLP90" s="207" t="n"/>
      <c r="OLQ90" s="207" t="n"/>
      <c r="OLR90" s="207" t="n"/>
      <c r="OLS90" s="207" t="n"/>
      <c r="OLT90" s="207" t="n"/>
      <c r="OLU90" s="207" t="n"/>
      <c r="OLV90" s="207" t="n"/>
      <c r="OLW90" s="207" t="n"/>
      <c r="OLX90" s="207" t="n"/>
      <c r="OLY90" s="207" t="n"/>
      <c r="OLZ90" s="207" t="n"/>
      <c r="OMA90" s="207" t="n"/>
      <c r="OMB90" s="207" t="n"/>
      <c r="OMC90" s="207" t="n"/>
      <c r="OMD90" s="207" t="n"/>
      <c r="OME90" s="207" t="n"/>
      <c r="OMF90" s="207" t="n"/>
      <c r="OMG90" s="207" t="n"/>
      <c r="OMH90" s="207" t="n"/>
      <c r="OMI90" s="207" t="n"/>
      <c r="OMJ90" s="207" t="n"/>
      <c r="OMK90" s="207" t="n"/>
      <c r="OML90" s="207" t="n"/>
      <c r="OMM90" s="207" t="n"/>
      <c r="OMN90" s="207" t="n"/>
      <c r="OMO90" s="207" t="n"/>
      <c r="OMP90" s="207" t="n"/>
      <c r="OMQ90" s="207" t="n"/>
      <c r="OMR90" s="207" t="n"/>
      <c r="OMS90" s="207" t="n"/>
      <c r="OMT90" s="207" t="n"/>
      <c r="OMU90" s="207" t="n"/>
      <c r="OMV90" s="207" t="n"/>
      <c r="OMW90" s="207" t="n"/>
      <c r="OMX90" s="207" t="n"/>
      <c r="OMY90" s="207" t="n"/>
      <c r="OMZ90" s="207" t="n"/>
      <c r="ONA90" s="207" t="n"/>
      <c r="ONB90" s="207" t="n"/>
      <c r="ONC90" s="207" t="n"/>
      <c r="OND90" s="207" t="n"/>
      <c r="ONE90" s="207" t="n"/>
      <c r="ONF90" s="207" t="n"/>
      <c r="ONG90" s="207" t="n"/>
      <c r="ONH90" s="207" t="n"/>
      <c r="ONI90" s="207" t="n"/>
      <c r="ONJ90" s="207" t="n"/>
      <c r="ONK90" s="207" t="n"/>
      <c r="ONL90" s="207" t="n"/>
      <c r="ONM90" s="207" t="n"/>
      <c r="ONN90" s="207" t="n"/>
      <c r="ONO90" s="207" t="n"/>
      <c r="ONP90" s="207" t="n"/>
      <c r="ONQ90" s="207" t="n"/>
      <c r="ONR90" s="207" t="n"/>
      <c r="ONS90" s="207" t="n"/>
      <c r="ONT90" s="207" t="n"/>
      <c r="ONU90" s="207" t="n"/>
      <c r="ONV90" s="207" t="n"/>
      <c r="ONW90" s="207" t="n"/>
      <c r="ONX90" s="207" t="n"/>
      <c r="ONY90" s="207" t="n"/>
      <c r="ONZ90" s="207" t="n"/>
      <c r="OOA90" s="207" t="n"/>
      <c r="OOB90" s="207" t="n"/>
      <c r="OOC90" s="207" t="n"/>
      <c r="OOD90" s="207" t="n"/>
      <c r="OOE90" s="207" t="n"/>
      <c r="OOF90" s="207" t="n"/>
      <c r="OOG90" s="207" t="n"/>
      <c r="OOH90" s="207" t="n"/>
      <c r="OOI90" s="207" t="n"/>
      <c r="OOJ90" s="207" t="n"/>
      <c r="OOK90" s="207" t="n"/>
      <c r="OOL90" s="207" t="n"/>
      <c r="OOM90" s="207" t="n"/>
      <c r="OON90" s="207" t="n"/>
      <c r="OOO90" s="207" t="n"/>
      <c r="OOP90" s="207" t="n"/>
      <c r="OOQ90" s="207" t="n"/>
      <c r="OOR90" s="207" t="n"/>
      <c r="OOS90" s="207" t="n"/>
      <c r="OOT90" s="207" t="n"/>
      <c r="OOU90" s="207" t="n"/>
      <c r="OOV90" s="207" t="n"/>
      <c r="OOW90" s="207" t="n"/>
      <c r="OOX90" s="207" t="n"/>
      <c r="OOY90" s="207" t="n"/>
      <c r="OOZ90" s="207" t="n"/>
      <c r="OPA90" s="207" t="n"/>
      <c r="OPB90" s="207" t="n"/>
      <c r="OPC90" s="207" t="n"/>
      <c r="OPD90" s="207" t="n"/>
      <c r="OPE90" s="207" t="n"/>
      <c r="OPF90" s="207" t="n"/>
      <c r="OPG90" s="207" t="n"/>
      <c r="OPH90" s="207" t="n"/>
      <c r="OPI90" s="207" t="n"/>
      <c r="OPJ90" s="207" t="n"/>
      <c r="OPK90" s="207" t="n"/>
      <c r="OPL90" s="207" t="n"/>
      <c r="OPM90" s="207" t="n"/>
      <c r="OPN90" s="207" t="n"/>
      <c r="OPO90" s="207" t="n"/>
      <c r="OPP90" s="207" t="n"/>
      <c r="OPQ90" s="207" t="n"/>
      <c r="OPR90" s="207" t="n"/>
      <c r="OPS90" s="207" t="n"/>
      <c r="OPT90" s="207" t="n"/>
      <c r="OPU90" s="207" t="n"/>
      <c r="OPV90" s="207" t="n"/>
      <c r="OPW90" s="207" t="n"/>
      <c r="OPX90" s="207" t="n"/>
      <c r="OPY90" s="207" t="n"/>
      <c r="OPZ90" s="207" t="n"/>
      <c r="OQA90" s="207" t="n"/>
      <c r="OQB90" s="207" t="n"/>
      <c r="OQC90" s="207" t="n"/>
      <c r="OQD90" s="207" t="n"/>
      <c r="OQE90" s="207" t="n"/>
      <c r="OQF90" s="207" t="n"/>
      <c r="OQG90" s="207" t="n"/>
      <c r="OQH90" s="207" t="n"/>
      <c r="OQI90" s="207" t="n"/>
      <c r="OQJ90" s="207" t="n"/>
      <c r="OQK90" s="207" t="n"/>
      <c r="OQL90" s="207" t="n"/>
      <c r="OQM90" s="207" t="n"/>
      <c r="OQN90" s="207" t="n"/>
      <c r="OQO90" s="207" t="n"/>
      <c r="OQP90" s="207" t="n"/>
      <c r="OQQ90" s="207" t="n"/>
      <c r="OQR90" s="207" t="n"/>
      <c r="OQS90" s="207" t="n"/>
      <c r="OQT90" s="207" t="n"/>
      <c r="OQU90" s="207" t="n"/>
      <c r="OQV90" s="207" t="n"/>
      <c r="OQW90" s="207" t="n"/>
      <c r="OQX90" s="207" t="n"/>
      <c r="OQY90" s="207" t="n"/>
      <c r="OQZ90" s="207" t="n"/>
      <c r="ORA90" s="207" t="n"/>
      <c r="ORB90" s="207" t="n"/>
      <c r="ORC90" s="207" t="n"/>
      <c r="ORD90" s="207" t="n"/>
      <c r="ORE90" s="207" t="n"/>
      <c r="ORF90" s="207" t="n"/>
      <c r="ORG90" s="207" t="n"/>
      <c r="ORH90" s="207" t="n"/>
      <c r="ORI90" s="207" t="n"/>
      <c r="ORJ90" s="207" t="n"/>
      <c r="ORK90" s="207" t="n"/>
      <c r="ORL90" s="207" t="n"/>
      <c r="ORM90" s="207" t="n"/>
      <c r="ORN90" s="207" t="n"/>
      <c r="ORO90" s="207" t="n"/>
      <c r="ORP90" s="207" t="n"/>
      <c r="ORQ90" s="207" t="n"/>
      <c r="ORR90" s="207" t="n"/>
      <c r="ORS90" s="207" t="n"/>
      <c r="ORT90" s="207" t="n"/>
      <c r="ORU90" s="207" t="n"/>
      <c r="ORV90" s="207" t="n"/>
      <c r="ORW90" s="207" t="n"/>
      <c r="ORX90" s="207" t="n"/>
      <c r="ORY90" s="207" t="n"/>
      <c r="ORZ90" s="207" t="n"/>
      <c r="OSA90" s="207" t="n"/>
      <c r="OSB90" s="207" t="n"/>
      <c r="OSC90" s="207" t="n"/>
      <c r="OSD90" s="207" t="n"/>
      <c r="OSE90" s="207" t="n"/>
      <c r="OSF90" s="207" t="n"/>
      <c r="OSG90" s="207" t="n"/>
      <c r="OSH90" s="207" t="n"/>
      <c r="OSI90" s="207" t="n"/>
      <c r="OSJ90" s="207" t="n"/>
      <c r="OSK90" s="207" t="n"/>
      <c r="OSL90" s="207" t="n"/>
      <c r="OSM90" s="207" t="n"/>
      <c r="OSN90" s="207" t="n"/>
      <c r="OSO90" s="207" t="n"/>
      <c r="OSP90" s="207" t="n"/>
      <c r="OSQ90" s="207" t="n"/>
      <c r="OSR90" s="207" t="n"/>
      <c r="OSS90" s="207" t="n"/>
      <c r="OST90" s="207" t="n"/>
      <c r="OSU90" s="207" t="n"/>
      <c r="OSV90" s="207" t="n"/>
      <c r="OSW90" s="207" t="n"/>
      <c r="OSX90" s="207" t="n"/>
      <c r="OSY90" s="207" t="n"/>
      <c r="OSZ90" s="207" t="n"/>
      <c r="OTA90" s="207" t="n"/>
      <c r="OTB90" s="207" t="n"/>
      <c r="OTC90" s="207" t="n"/>
      <c r="OTD90" s="207" t="n"/>
      <c r="OTE90" s="207" t="n"/>
      <c r="OTF90" s="207" t="n"/>
      <c r="OTG90" s="207" t="n"/>
      <c r="OTH90" s="207" t="n"/>
      <c r="OTI90" s="207" t="n"/>
      <c r="OTJ90" s="207" t="n"/>
      <c r="OTK90" s="207" t="n"/>
      <c r="OTL90" s="207" t="n"/>
      <c r="OTM90" s="207" t="n"/>
      <c r="OTN90" s="207" t="n"/>
      <c r="OTO90" s="207" t="n"/>
      <c r="OTP90" s="207" t="n"/>
      <c r="OTQ90" s="207" t="n"/>
      <c r="OTR90" s="207" t="n"/>
      <c r="OTS90" s="207" t="n"/>
      <c r="OTT90" s="207" t="n"/>
      <c r="OTU90" s="207" t="n"/>
      <c r="OTV90" s="207" t="n"/>
      <c r="OTW90" s="207" t="n"/>
      <c r="OTX90" s="207" t="n"/>
      <c r="OTY90" s="207" t="n"/>
      <c r="OTZ90" s="207" t="n"/>
      <c r="OUA90" s="207" t="n"/>
      <c r="OUB90" s="207" t="n"/>
      <c r="OUC90" s="207" t="n"/>
      <c r="OUD90" s="207" t="n"/>
      <c r="OUE90" s="207" t="n"/>
      <c r="OUF90" s="207" t="n"/>
      <c r="OUG90" s="207" t="n"/>
      <c r="OUH90" s="207" t="n"/>
      <c r="OUI90" s="207" t="n"/>
      <c r="OUJ90" s="207" t="n"/>
      <c r="OUK90" s="207" t="n"/>
      <c r="OUL90" s="207" t="n"/>
      <c r="OUM90" s="207" t="n"/>
      <c r="OUN90" s="207" t="n"/>
      <c r="OUO90" s="207" t="n"/>
      <c r="OUP90" s="207" t="n"/>
      <c r="OUQ90" s="207" t="n"/>
      <c r="OUR90" s="207" t="n"/>
      <c r="OUS90" s="207" t="n"/>
      <c r="OUT90" s="207" t="n"/>
      <c r="OUU90" s="207" t="n"/>
      <c r="OUV90" s="207" t="n"/>
      <c r="OUW90" s="207" t="n"/>
      <c r="OUX90" s="207" t="n"/>
      <c r="OUY90" s="207" t="n"/>
      <c r="OUZ90" s="207" t="n"/>
      <c r="OVA90" s="207" t="n"/>
      <c r="OVB90" s="207" t="n"/>
      <c r="OVC90" s="207" t="n"/>
      <c r="OVD90" s="207" t="n"/>
      <c r="OVE90" s="207" t="n"/>
      <c r="OVF90" s="207" t="n"/>
      <c r="OVG90" s="207" t="n"/>
      <c r="OVH90" s="207" t="n"/>
      <c r="OVI90" s="207" t="n"/>
      <c r="OVJ90" s="207" t="n"/>
      <c r="OVK90" s="207" t="n"/>
      <c r="OVL90" s="207" t="n"/>
      <c r="OVM90" s="207" t="n"/>
      <c r="OVN90" s="207" t="n"/>
      <c r="OVO90" s="207" t="n"/>
      <c r="OVP90" s="207" t="n"/>
      <c r="OVQ90" s="207" t="n"/>
      <c r="OVR90" s="207" t="n"/>
      <c r="OVS90" s="207" t="n"/>
      <c r="OVT90" s="207" t="n"/>
      <c r="OVU90" s="207" t="n"/>
      <c r="OVV90" s="207" t="n"/>
      <c r="OVW90" s="207" t="n"/>
      <c r="OVX90" s="207" t="n"/>
      <c r="OVY90" s="207" t="n"/>
      <c r="OVZ90" s="207" t="n"/>
      <c r="OWA90" s="207" t="n"/>
      <c r="OWB90" s="207" t="n"/>
      <c r="OWC90" s="207" t="n"/>
      <c r="OWD90" s="207" t="n"/>
      <c r="OWE90" s="207" t="n"/>
      <c r="OWF90" s="207" t="n"/>
      <c r="OWG90" s="207" t="n"/>
      <c r="OWH90" s="207" t="n"/>
      <c r="OWI90" s="207" t="n"/>
      <c r="OWJ90" s="207" t="n"/>
      <c r="OWK90" s="207" t="n"/>
      <c r="OWL90" s="207" t="n"/>
      <c r="OWM90" s="207" t="n"/>
      <c r="OWN90" s="207" t="n"/>
      <c r="OWO90" s="207" t="n"/>
      <c r="OWP90" s="207" t="n"/>
      <c r="OWQ90" s="207" t="n"/>
      <c r="OWR90" s="207" t="n"/>
      <c r="OWS90" s="207" t="n"/>
      <c r="OWT90" s="207" t="n"/>
      <c r="OWU90" s="207" t="n"/>
      <c r="OWV90" s="207" t="n"/>
      <c r="OWW90" s="207" t="n"/>
      <c r="OWX90" s="207" t="n"/>
      <c r="OWY90" s="207" t="n"/>
      <c r="OWZ90" s="207" t="n"/>
      <c r="OXA90" s="207" t="n"/>
      <c r="OXB90" s="207" t="n"/>
      <c r="OXC90" s="207" t="n"/>
      <c r="OXD90" s="207" t="n"/>
      <c r="OXE90" s="207" t="n"/>
      <c r="OXF90" s="207" t="n"/>
      <c r="OXG90" s="207" t="n"/>
      <c r="OXH90" s="207" t="n"/>
      <c r="OXI90" s="207" t="n"/>
      <c r="OXJ90" s="207" t="n"/>
      <c r="OXK90" s="207" t="n"/>
      <c r="OXL90" s="207" t="n"/>
      <c r="OXM90" s="207" t="n"/>
      <c r="OXN90" s="207" t="n"/>
      <c r="OXO90" s="207" t="n"/>
      <c r="OXP90" s="207" t="n"/>
      <c r="OXQ90" s="207" t="n"/>
      <c r="OXR90" s="207" t="n"/>
      <c r="OXS90" s="207" t="n"/>
      <c r="OXT90" s="207" t="n"/>
      <c r="OXU90" s="207" t="n"/>
      <c r="OXV90" s="207" t="n"/>
      <c r="OXW90" s="207" t="n"/>
      <c r="OXX90" s="207" t="n"/>
      <c r="OXY90" s="207" t="n"/>
      <c r="OXZ90" s="207" t="n"/>
      <c r="OYA90" s="207" t="n"/>
      <c r="OYB90" s="207" t="n"/>
      <c r="OYC90" s="207" t="n"/>
      <c r="OYD90" s="207" t="n"/>
      <c r="OYE90" s="207" t="n"/>
      <c r="OYF90" s="207" t="n"/>
      <c r="OYG90" s="207" t="n"/>
      <c r="OYH90" s="207" t="n"/>
      <c r="OYI90" s="207" t="n"/>
      <c r="OYJ90" s="207" t="n"/>
      <c r="OYK90" s="207" t="n"/>
      <c r="OYL90" s="207" t="n"/>
      <c r="OYM90" s="207" t="n"/>
      <c r="OYN90" s="207" t="n"/>
      <c r="OYO90" s="207" t="n"/>
      <c r="OYP90" s="207" t="n"/>
      <c r="OYQ90" s="207" t="n"/>
      <c r="OYR90" s="207" t="n"/>
      <c r="OYS90" s="207" t="n"/>
      <c r="OYT90" s="207" t="n"/>
      <c r="OYU90" s="207" t="n"/>
      <c r="OYV90" s="207" t="n"/>
      <c r="OYW90" s="207" t="n"/>
      <c r="OYX90" s="207" t="n"/>
      <c r="OYY90" s="207" t="n"/>
      <c r="OYZ90" s="207" t="n"/>
      <c r="OZA90" s="207" t="n"/>
      <c r="OZB90" s="207" t="n"/>
      <c r="OZC90" s="207" t="n"/>
      <c r="OZD90" s="207" t="n"/>
      <c r="OZE90" s="207" t="n"/>
      <c r="OZF90" s="207" t="n"/>
      <c r="OZG90" s="207" t="n"/>
      <c r="OZH90" s="207" t="n"/>
      <c r="OZI90" s="207" t="n"/>
      <c r="OZJ90" s="207" t="n"/>
      <c r="OZK90" s="207" t="n"/>
      <c r="OZL90" s="207" t="n"/>
      <c r="OZM90" s="207" t="n"/>
      <c r="OZN90" s="207" t="n"/>
      <c r="OZO90" s="207" t="n"/>
      <c r="OZP90" s="207" t="n"/>
      <c r="OZQ90" s="207" t="n"/>
      <c r="OZR90" s="207" t="n"/>
      <c r="OZS90" s="207" t="n"/>
      <c r="OZT90" s="207" t="n"/>
      <c r="OZU90" s="207" t="n"/>
      <c r="OZV90" s="207" t="n"/>
      <c r="OZW90" s="207" t="n"/>
      <c r="OZX90" s="207" t="n"/>
      <c r="OZY90" s="207" t="n"/>
      <c r="OZZ90" s="207" t="n"/>
      <c r="PAA90" s="207" t="n"/>
      <c r="PAB90" s="207" t="n"/>
      <c r="PAC90" s="207" t="n"/>
      <c r="PAD90" s="207" t="n"/>
      <c r="PAE90" s="207" t="n"/>
      <c r="PAF90" s="207" t="n"/>
      <c r="PAG90" s="207" t="n"/>
      <c r="PAH90" s="207" t="n"/>
      <c r="PAI90" s="207" t="n"/>
      <c r="PAJ90" s="207" t="n"/>
      <c r="PAK90" s="207" t="n"/>
      <c r="PAL90" s="207" t="n"/>
      <c r="PAM90" s="207" t="n"/>
      <c r="PAN90" s="207" t="n"/>
      <c r="PAO90" s="207" t="n"/>
      <c r="PAP90" s="207" t="n"/>
      <c r="PAQ90" s="207" t="n"/>
      <c r="PAR90" s="207" t="n"/>
      <c r="PAS90" s="207" t="n"/>
      <c r="PAT90" s="207" t="n"/>
      <c r="PAU90" s="207" t="n"/>
      <c r="PAV90" s="207" t="n"/>
      <c r="PAW90" s="207" t="n"/>
      <c r="PAX90" s="207" t="n"/>
      <c r="PAY90" s="207" t="n"/>
      <c r="PAZ90" s="207" t="n"/>
      <c r="PBA90" s="207" t="n"/>
      <c r="PBB90" s="207" t="n"/>
      <c r="PBC90" s="207" t="n"/>
      <c r="PBD90" s="207" t="n"/>
      <c r="PBE90" s="207" t="n"/>
      <c r="PBF90" s="207" t="n"/>
      <c r="PBG90" s="207" t="n"/>
      <c r="PBH90" s="207" t="n"/>
      <c r="PBI90" s="207" t="n"/>
      <c r="PBJ90" s="207" t="n"/>
      <c r="PBK90" s="207" t="n"/>
      <c r="PBL90" s="207" t="n"/>
      <c r="PBM90" s="207" t="n"/>
      <c r="PBN90" s="207" t="n"/>
      <c r="PBO90" s="207" t="n"/>
      <c r="PBP90" s="207" t="n"/>
      <c r="PBQ90" s="207" t="n"/>
      <c r="PBR90" s="207" t="n"/>
      <c r="PBS90" s="207" t="n"/>
      <c r="PBT90" s="207" t="n"/>
      <c r="PBU90" s="207" t="n"/>
      <c r="PBV90" s="207" t="n"/>
      <c r="PBW90" s="207" t="n"/>
      <c r="PBX90" s="207" t="n"/>
      <c r="PBY90" s="207" t="n"/>
      <c r="PBZ90" s="207" t="n"/>
      <c r="PCA90" s="207" t="n"/>
      <c r="PCB90" s="207" t="n"/>
      <c r="PCC90" s="207" t="n"/>
      <c r="PCD90" s="207" t="n"/>
      <c r="PCE90" s="207" t="n"/>
      <c r="PCF90" s="207" t="n"/>
      <c r="PCG90" s="207" t="n"/>
      <c r="PCH90" s="207" t="n"/>
      <c r="PCI90" s="207" t="n"/>
      <c r="PCJ90" s="207" t="n"/>
      <c r="PCK90" s="207" t="n"/>
      <c r="PCL90" s="207" t="n"/>
      <c r="PCM90" s="207" t="n"/>
      <c r="PCN90" s="207" t="n"/>
      <c r="PCO90" s="207" t="n"/>
      <c r="PCP90" s="207" t="n"/>
      <c r="PCQ90" s="207" t="n"/>
      <c r="PCR90" s="207" t="n"/>
      <c r="PCS90" s="207" t="n"/>
      <c r="PCT90" s="207" t="n"/>
      <c r="PCU90" s="207" t="n"/>
      <c r="PCV90" s="207" t="n"/>
      <c r="PCW90" s="207" t="n"/>
      <c r="PCX90" s="207" t="n"/>
      <c r="PCY90" s="207" t="n"/>
      <c r="PCZ90" s="207" t="n"/>
      <c r="PDA90" s="207" t="n"/>
      <c r="PDB90" s="207" t="n"/>
      <c r="PDC90" s="207" t="n"/>
      <c r="PDD90" s="207" t="n"/>
      <c r="PDE90" s="207" t="n"/>
      <c r="PDF90" s="207" t="n"/>
      <c r="PDG90" s="207" t="n"/>
      <c r="PDH90" s="207" t="n"/>
      <c r="PDI90" s="207" t="n"/>
      <c r="PDJ90" s="207" t="n"/>
      <c r="PDK90" s="207" t="n"/>
      <c r="PDL90" s="207" t="n"/>
      <c r="PDM90" s="207" t="n"/>
      <c r="PDN90" s="207" t="n"/>
      <c r="PDO90" s="207" t="n"/>
      <c r="PDP90" s="207" t="n"/>
      <c r="PDQ90" s="207" t="n"/>
      <c r="PDR90" s="207" t="n"/>
      <c r="PDS90" s="207" t="n"/>
      <c r="PDT90" s="207" t="n"/>
      <c r="PDU90" s="207" t="n"/>
      <c r="PDV90" s="207" t="n"/>
      <c r="PDW90" s="207" t="n"/>
      <c r="PDX90" s="207" t="n"/>
      <c r="PDY90" s="207" t="n"/>
      <c r="PDZ90" s="207" t="n"/>
      <c r="PEA90" s="207" t="n"/>
      <c r="PEB90" s="207" t="n"/>
      <c r="PEC90" s="207" t="n"/>
      <c r="PED90" s="207" t="n"/>
      <c r="PEE90" s="207" t="n"/>
      <c r="PEF90" s="207" t="n"/>
      <c r="PEG90" s="207" t="n"/>
      <c r="PEH90" s="207" t="n"/>
      <c r="PEI90" s="207" t="n"/>
      <c r="PEJ90" s="207" t="n"/>
      <c r="PEK90" s="207" t="n"/>
      <c r="PEL90" s="207" t="n"/>
      <c r="PEM90" s="207" t="n"/>
      <c r="PEN90" s="207" t="n"/>
      <c r="PEO90" s="207" t="n"/>
      <c r="PEP90" s="207" t="n"/>
      <c r="PEQ90" s="207" t="n"/>
      <c r="PER90" s="207" t="n"/>
      <c r="PES90" s="207" t="n"/>
      <c r="PET90" s="207" t="n"/>
      <c r="PEU90" s="207" t="n"/>
      <c r="PEV90" s="207" t="n"/>
      <c r="PEW90" s="207" t="n"/>
      <c r="PEX90" s="207" t="n"/>
      <c r="PEY90" s="207" t="n"/>
      <c r="PEZ90" s="207" t="n"/>
      <c r="PFA90" s="207" t="n"/>
      <c r="PFB90" s="207" t="n"/>
      <c r="PFC90" s="207" t="n"/>
      <c r="PFD90" s="207" t="n"/>
      <c r="PFE90" s="207" t="n"/>
      <c r="PFF90" s="207" t="n"/>
      <c r="PFG90" s="207" t="n"/>
      <c r="PFH90" s="207" t="n"/>
      <c r="PFI90" s="207" t="n"/>
      <c r="PFJ90" s="207" t="n"/>
      <c r="PFK90" s="207" t="n"/>
      <c r="PFL90" s="207" t="n"/>
      <c r="PFM90" s="207" t="n"/>
      <c r="PFN90" s="207" t="n"/>
      <c r="PFO90" s="207" t="n"/>
      <c r="PFP90" s="207" t="n"/>
      <c r="PFQ90" s="207" t="n"/>
      <c r="PFR90" s="207" t="n"/>
      <c r="PFS90" s="207" t="n"/>
      <c r="PFT90" s="207" t="n"/>
      <c r="PFU90" s="207" t="n"/>
      <c r="PFV90" s="207" t="n"/>
      <c r="PFW90" s="207" t="n"/>
      <c r="PFX90" s="207" t="n"/>
      <c r="PFY90" s="207" t="n"/>
      <c r="PFZ90" s="207" t="n"/>
      <c r="PGA90" s="207" t="n"/>
      <c r="PGB90" s="207" t="n"/>
      <c r="PGC90" s="207" t="n"/>
      <c r="PGD90" s="207" t="n"/>
      <c r="PGE90" s="207" t="n"/>
      <c r="PGF90" s="207" t="n"/>
      <c r="PGG90" s="207" t="n"/>
      <c r="PGH90" s="207" t="n"/>
      <c r="PGI90" s="207" t="n"/>
      <c r="PGJ90" s="207" t="n"/>
      <c r="PGK90" s="207" t="n"/>
      <c r="PGL90" s="207" t="n"/>
      <c r="PGM90" s="207" t="n"/>
      <c r="PGN90" s="207" t="n"/>
      <c r="PGO90" s="207" t="n"/>
      <c r="PGP90" s="207" t="n"/>
      <c r="PGQ90" s="207" t="n"/>
      <c r="PGR90" s="207" t="n"/>
      <c r="PGS90" s="207" t="n"/>
      <c r="PGT90" s="207" t="n"/>
      <c r="PGU90" s="207" t="n"/>
      <c r="PGV90" s="207" t="n"/>
      <c r="PGW90" s="207" t="n"/>
      <c r="PGX90" s="207" t="n"/>
      <c r="PGY90" s="207" t="n"/>
      <c r="PGZ90" s="207" t="n"/>
      <c r="PHA90" s="207" t="n"/>
      <c r="PHB90" s="207" t="n"/>
      <c r="PHC90" s="207" t="n"/>
      <c r="PHD90" s="207" t="n"/>
      <c r="PHE90" s="207" t="n"/>
      <c r="PHF90" s="207" t="n"/>
      <c r="PHG90" s="207" t="n"/>
      <c r="PHH90" s="207" t="n"/>
      <c r="PHI90" s="207" t="n"/>
      <c r="PHJ90" s="207" t="n"/>
      <c r="PHK90" s="207" t="n"/>
      <c r="PHL90" s="207" t="n"/>
      <c r="PHM90" s="207" t="n"/>
      <c r="PHN90" s="207" t="n"/>
      <c r="PHO90" s="207" t="n"/>
      <c r="PHP90" s="207" t="n"/>
      <c r="PHQ90" s="207" t="n"/>
      <c r="PHR90" s="207" t="n"/>
      <c r="PHS90" s="207" t="n"/>
      <c r="PHT90" s="207" t="n"/>
      <c r="PHU90" s="207" t="n"/>
      <c r="PHV90" s="207" t="n"/>
      <c r="PHW90" s="207" t="n"/>
      <c r="PHX90" s="207" t="n"/>
      <c r="PHY90" s="207" t="n"/>
      <c r="PHZ90" s="207" t="n"/>
      <c r="PIA90" s="207" t="n"/>
      <c r="PIB90" s="207" t="n"/>
      <c r="PIC90" s="207" t="n"/>
      <c r="PID90" s="207" t="n"/>
      <c r="PIE90" s="207" t="n"/>
      <c r="PIF90" s="207" t="n"/>
      <c r="PIG90" s="207" t="n"/>
      <c r="PIH90" s="207" t="n"/>
      <c r="PII90" s="207" t="n"/>
      <c r="PIJ90" s="207" t="n"/>
      <c r="PIK90" s="207" t="n"/>
      <c r="PIL90" s="207" t="n"/>
      <c r="PIM90" s="207" t="n"/>
      <c r="PIN90" s="207" t="n"/>
      <c r="PIO90" s="207" t="n"/>
      <c r="PIP90" s="207" t="n"/>
      <c r="PIQ90" s="207" t="n"/>
      <c r="PIR90" s="207" t="n"/>
      <c r="PIS90" s="207" t="n"/>
      <c r="PIT90" s="207" t="n"/>
      <c r="PIU90" s="207" t="n"/>
      <c r="PIV90" s="207" t="n"/>
      <c r="PIW90" s="207" t="n"/>
      <c r="PIX90" s="207" t="n"/>
      <c r="PIY90" s="207" t="n"/>
      <c r="PIZ90" s="207" t="n"/>
      <c r="PJA90" s="207" t="n"/>
      <c r="PJB90" s="207" t="n"/>
      <c r="PJC90" s="207" t="n"/>
      <c r="PJD90" s="207" t="n"/>
      <c r="PJE90" s="207" t="n"/>
      <c r="PJF90" s="207" t="n"/>
      <c r="PJG90" s="207" t="n"/>
      <c r="PJH90" s="207" t="n"/>
      <c r="PJI90" s="207" t="n"/>
      <c r="PJJ90" s="207" t="n"/>
      <c r="PJK90" s="207" t="n"/>
      <c r="PJL90" s="207" t="n"/>
      <c r="PJM90" s="207" t="n"/>
      <c r="PJN90" s="207" t="n"/>
      <c r="PJO90" s="207" t="n"/>
      <c r="PJP90" s="207" t="n"/>
      <c r="PJQ90" s="207" t="n"/>
      <c r="PJR90" s="207" t="n"/>
      <c r="PJS90" s="207" t="n"/>
      <c r="PJT90" s="207" t="n"/>
      <c r="PJU90" s="207" t="n"/>
      <c r="PJV90" s="207" t="n"/>
      <c r="PJW90" s="207" t="n"/>
      <c r="PJX90" s="207" t="n"/>
      <c r="PJY90" s="207" t="n"/>
      <c r="PJZ90" s="207" t="n"/>
      <c r="PKA90" s="207" t="n"/>
      <c r="PKB90" s="207" t="n"/>
      <c r="PKC90" s="207" t="n"/>
      <c r="PKD90" s="207" t="n"/>
      <c r="PKE90" s="207" t="n"/>
      <c r="PKF90" s="207" t="n"/>
      <c r="PKG90" s="207" t="n"/>
      <c r="PKH90" s="207" t="n"/>
      <c r="PKI90" s="207" t="n"/>
      <c r="PKJ90" s="207" t="n"/>
      <c r="PKK90" s="207" t="n"/>
      <c r="PKL90" s="207" t="n"/>
      <c r="PKM90" s="207" t="n"/>
      <c r="PKN90" s="207" t="n"/>
      <c r="PKO90" s="207" t="n"/>
      <c r="PKP90" s="207" t="n"/>
      <c r="PKQ90" s="207" t="n"/>
      <c r="PKR90" s="207" t="n"/>
      <c r="PKS90" s="207" t="n"/>
      <c r="PKT90" s="207" t="n"/>
      <c r="PKU90" s="207" t="n"/>
      <c r="PKV90" s="207" t="n"/>
      <c r="PKW90" s="207" t="n"/>
      <c r="PKX90" s="207" t="n"/>
      <c r="PKY90" s="207" t="n"/>
      <c r="PKZ90" s="207" t="n"/>
      <c r="PLA90" s="207" t="n"/>
      <c r="PLB90" s="207" t="n"/>
      <c r="PLC90" s="207" t="n"/>
      <c r="PLD90" s="207" t="n"/>
      <c r="PLE90" s="207" t="n"/>
      <c r="PLF90" s="207" t="n"/>
      <c r="PLG90" s="207" t="n"/>
      <c r="PLH90" s="207" t="n"/>
      <c r="PLI90" s="207" t="n"/>
      <c r="PLJ90" s="207" t="n"/>
      <c r="PLK90" s="207" t="n"/>
      <c r="PLL90" s="207" t="n"/>
      <c r="PLM90" s="207" t="n"/>
      <c r="PLN90" s="207" t="n"/>
      <c r="PLO90" s="207" t="n"/>
      <c r="PLP90" s="207" t="n"/>
      <c r="PLQ90" s="207" t="n"/>
      <c r="PLR90" s="207" t="n"/>
      <c r="PLS90" s="207" t="n"/>
      <c r="PLT90" s="207" t="n"/>
      <c r="PLU90" s="207" t="n"/>
      <c r="PLV90" s="207" t="n"/>
      <c r="PLW90" s="207" t="n"/>
      <c r="PLX90" s="207" t="n"/>
      <c r="PLY90" s="207" t="n"/>
      <c r="PLZ90" s="207" t="n"/>
      <c r="PMA90" s="207" t="n"/>
      <c r="PMB90" s="207" t="n"/>
      <c r="PMC90" s="207" t="n"/>
      <c r="PMD90" s="207" t="n"/>
      <c r="PME90" s="207" t="n"/>
      <c r="PMF90" s="207" t="n"/>
      <c r="PMG90" s="207" t="n"/>
      <c r="PMH90" s="207" t="n"/>
      <c r="PMI90" s="207" t="n"/>
      <c r="PMJ90" s="207" t="n"/>
      <c r="PMK90" s="207" t="n"/>
      <c r="PML90" s="207" t="n"/>
      <c r="PMM90" s="207" t="n"/>
      <c r="PMN90" s="207" t="n"/>
      <c r="PMO90" s="207" t="n"/>
      <c r="PMP90" s="207" t="n"/>
      <c r="PMQ90" s="207" t="n"/>
      <c r="PMR90" s="207" t="n"/>
      <c r="PMS90" s="207" t="n"/>
      <c r="PMT90" s="207" t="n"/>
      <c r="PMU90" s="207" t="n"/>
      <c r="PMV90" s="207" t="n"/>
      <c r="PMW90" s="207" t="n"/>
      <c r="PMX90" s="207" t="n"/>
      <c r="PMY90" s="207" t="n"/>
      <c r="PMZ90" s="207" t="n"/>
      <c r="PNA90" s="207" t="n"/>
      <c r="PNB90" s="207" t="n"/>
      <c r="PNC90" s="207" t="n"/>
      <c r="PND90" s="207" t="n"/>
      <c r="PNE90" s="207" t="n"/>
      <c r="PNF90" s="207" t="n"/>
      <c r="PNG90" s="207" t="n"/>
      <c r="PNH90" s="207" t="n"/>
      <c r="PNI90" s="207" t="n"/>
      <c r="PNJ90" s="207" t="n"/>
      <c r="PNK90" s="207" t="n"/>
      <c r="PNL90" s="207" t="n"/>
      <c r="PNM90" s="207" t="n"/>
      <c r="PNN90" s="207" t="n"/>
      <c r="PNO90" s="207" t="n"/>
      <c r="PNP90" s="207" t="n"/>
      <c r="PNQ90" s="207" t="n"/>
      <c r="PNR90" s="207" t="n"/>
      <c r="PNS90" s="207" t="n"/>
      <c r="PNT90" s="207" t="n"/>
      <c r="PNU90" s="207" t="n"/>
      <c r="PNV90" s="207" t="n"/>
      <c r="PNW90" s="207" t="n"/>
      <c r="PNX90" s="207" t="n"/>
      <c r="PNY90" s="207" t="n"/>
      <c r="PNZ90" s="207" t="n"/>
      <c r="POA90" s="207" t="n"/>
      <c r="POB90" s="207" t="n"/>
      <c r="POC90" s="207" t="n"/>
      <c r="POD90" s="207" t="n"/>
      <c r="POE90" s="207" t="n"/>
      <c r="POF90" s="207" t="n"/>
      <c r="POG90" s="207" t="n"/>
      <c r="POH90" s="207" t="n"/>
      <c r="POI90" s="207" t="n"/>
      <c r="POJ90" s="207" t="n"/>
      <c r="POK90" s="207" t="n"/>
      <c r="POL90" s="207" t="n"/>
      <c r="POM90" s="207" t="n"/>
      <c r="PON90" s="207" t="n"/>
      <c r="POO90" s="207" t="n"/>
      <c r="POP90" s="207" t="n"/>
      <c r="POQ90" s="207" t="n"/>
      <c r="POR90" s="207" t="n"/>
      <c r="POS90" s="207" t="n"/>
      <c r="POT90" s="207" t="n"/>
      <c r="POU90" s="207" t="n"/>
      <c r="POV90" s="207" t="n"/>
      <c r="POW90" s="207" t="n"/>
      <c r="POX90" s="207" t="n"/>
      <c r="POY90" s="207" t="n"/>
      <c r="POZ90" s="207" t="n"/>
      <c r="PPA90" s="207" t="n"/>
      <c r="PPB90" s="207" t="n"/>
      <c r="PPC90" s="207" t="n"/>
      <c r="PPD90" s="207" t="n"/>
      <c r="PPE90" s="207" t="n"/>
      <c r="PPF90" s="207" t="n"/>
      <c r="PPG90" s="207" t="n"/>
      <c r="PPH90" s="207" t="n"/>
      <c r="PPI90" s="207" t="n"/>
      <c r="PPJ90" s="207" t="n"/>
      <c r="PPK90" s="207" t="n"/>
      <c r="PPL90" s="207" t="n"/>
      <c r="PPM90" s="207" t="n"/>
      <c r="PPN90" s="207" t="n"/>
      <c r="PPO90" s="207" t="n"/>
      <c r="PPP90" s="207" t="n"/>
      <c r="PPQ90" s="207" t="n"/>
      <c r="PPR90" s="207" t="n"/>
      <c r="PPS90" s="207" t="n"/>
      <c r="PPT90" s="207" t="n"/>
      <c r="PPU90" s="207" t="n"/>
      <c r="PPV90" s="207" t="n"/>
      <c r="PPW90" s="207" t="n"/>
      <c r="PPX90" s="207" t="n"/>
      <c r="PPY90" s="207" t="n"/>
      <c r="PPZ90" s="207" t="n"/>
      <c r="PQA90" s="207" t="n"/>
      <c r="PQB90" s="207" t="n"/>
      <c r="PQC90" s="207" t="n"/>
      <c r="PQD90" s="207" t="n"/>
      <c r="PQE90" s="207" t="n"/>
      <c r="PQF90" s="207" t="n"/>
      <c r="PQG90" s="207" t="n"/>
      <c r="PQH90" s="207" t="n"/>
      <c r="PQI90" s="207" t="n"/>
      <c r="PQJ90" s="207" t="n"/>
      <c r="PQK90" s="207" t="n"/>
      <c r="PQL90" s="207" t="n"/>
      <c r="PQM90" s="207" t="n"/>
      <c r="PQN90" s="207" t="n"/>
      <c r="PQO90" s="207" t="n"/>
      <c r="PQP90" s="207" t="n"/>
      <c r="PQQ90" s="207" t="n"/>
      <c r="PQR90" s="207" t="n"/>
      <c r="PQS90" s="207" t="n"/>
      <c r="PQT90" s="207" t="n"/>
      <c r="PQU90" s="207" t="n"/>
      <c r="PQV90" s="207" t="n"/>
      <c r="PQW90" s="207" t="n"/>
      <c r="PQX90" s="207" t="n"/>
      <c r="PQY90" s="207" t="n"/>
      <c r="PQZ90" s="207" t="n"/>
      <c r="PRA90" s="207" t="n"/>
      <c r="PRB90" s="207" t="n"/>
      <c r="PRC90" s="207" t="n"/>
      <c r="PRD90" s="207" t="n"/>
      <c r="PRE90" s="207" t="n"/>
      <c r="PRF90" s="207" t="n"/>
      <c r="PRG90" s="207" t="n"/>
      <c r="PRH90" s="207" t="n"/>
      <c r="PRI90" s="207" t="n"/>
      <c r="PRJ90" s="207" t="n"/>
      <c r="PRK90" s="207" t="n"/>
      <c r="PRL90" s="207" t="n"/>
      <c r="PRM90" s="207" t="n"/>
      <c r="PRN90" s="207" t="n"/>
      <c r="PRO90" s="207" t="n"/>
      <c r="PRP90" s="207" t="n"/>
      <c r="PRQ90" s="207" t="n"/>
      <c r="PRR90" s="207" t="n"/>
      <c r="PRS90" s="207" t="n"/>
      <c r="PRT90" s="207" t="n"/>
      <c r="PRU90" s="207" t="n"/>
      <c r="PRV90" s="207" t="n"/>
      <c r="PRW90" s="207" t="n"/>
      <c r="PRX90" s="207" t="n"/>
      <c r="PRY90" s="207" t="n"/>
      <c r="PRZ90" s="207" t="n"/>
      <c r="PSA90" s="207" t="n"/>
      <c r="PSB90" s="207" t="n"/>
      <c r="PSC90" s="207" t="n"/>
      <c r="PSD90" s="207" t="n"/>
      <c r="PSE90" s="207" t="n"/>
      <c r="PSF90" s="207" t="n"/>
      <c r="PSG90" s="207" t="n"/>
      <c r="PSH90" s="207" t="n"/>
      <c r="PSI90" s="207" t="n"/>
      <c r="PSJ90" s="207" t="n"/>
      <c r="PSK90" s="207" t="n"/>
      <c r="PSL90" s="207" t="n"/>
      <c r="PSM90" s="207" t="n"/>
      <c r="PSN90" s="207" t="n"/>
      <c r="PSO90" s="207" t="n"/>
      <c r="PSP90" s="207" t="n"/>
      <c r="PSQ90" s="207" t="n"/>
      <c r="PSR90" s="207" t="n"/>
      <c r="PSS90" s="207" t="n"/>
      <c r="PST90" s="207" t="n"/>
      <c r="PSU90" s="207" t="n"/>
      <c r="PSV90" s="207" t="n"/>
      <c r="PSW90" s="207" t="n"/>
      <c r="PSX90" s="207" t="n"/>
      <c r="PSY90" s="207" t="n"/>
      <c r="PSZ90" s="207" t="n"/>
      <c r="PTA90" s="207" t="n"/>
      <c r="PTB90" s="207" t="n"/>
      <c r="PTC90" s="207" t="n"/>
      <c r="PTD90" s="207" t="n"/>
      <c r="PTE90" s="207" t="n"/>
      <c r="PTF90" s="207" t="n"/>
      <c r="PTG90" s="207" t="n"/>
      <c r="PTH90" s="207" t="n"/>
      <c r="PTI90" s="207" t="n"/>
      <c r="PTJ90" s="207" t="n"/>
      <c r="PTK90" s="207" t="n"/>
      <c r="PTL90" s="207" t="n"/>
      <c r="PTM90" s="207" t="n"/>
      <c r="PTN90" s="207" t="n"/>
      <c r="PTO90" s="207" t="n"/>
      <c r="PTP90" s="207" t="n"/>
      <c r="PTQ90" s="207" t="n"/>
      <c r="PTR90" s="207" t="n"/>
      <c r="PTS90" s="207" t="n"/>
      <c r="PTT90" s="207" t="n"/>
      <c r="PTU90" s="207" t="n"/>
      <c r="PTV90" s="207" t="n"/>
      <c r="PTW90" s="207" t="n"/>
      <c r="PTX90" s="207" t="n"/>
      <c r="PTY90" s="207" t="n"/>
      <c r="PTZ90" s="207" t="n"/>
      <c r="PUA90" s="207" t="n"/>
      <c r="PUB90" s="207" t="n"/>
      <c r="PUC90" s="207" t="n"/>
      <c r="PUD90" s="207" t="n"/>
      <c r="PUE90" s="207" t="n"/>
      <c r="PUF90" s="207" t="n"/>
      <c r="PUG90" s="207" t="n"/>
      <c r="PUH90" s="207" t="n"/>
      <c r="PUI90" s="207" t="n"/>
      <c r="PUJ90" s="207" t="n"/>
      <c r="PUK90" s="207" t="n"/>
      <c r="PUL90" s="207" t="n"/>
      <c r="PUM90" s="207" t="n"/>
      <c r="PUN90" s="207" t="n"/>
      <c r="PUO90" s="207" t="n"/>
      <c r="PUP90" s="207" t="n"/>
      <c r="PUQ90" s="207" t="n"/>
      <c r="PUR90" s="207" t="n"/>
      <c r="PUS90" s="207" t="n"/>
      <c r="PUT90" s="207" t="n"/>
      <c r="PUU90" s="207" t="n"/>
      <c r="PUV90" s="207" t="n"/>
      <c r="PUW90" s="207" t="n"/>
      <c r="PUX90" s="207" t="n"/>
      <c r="PUY90" s="207" t="n"/>
      <c r="PUZ90" s="207" t="n"/>
      <c r="PVA90" s="207" t="n"/>
      <c r="PVB90" s="207" t="n"/>
      <c r="PVC90" s="207" t="n"/>
      <c r="PVD90" s="207" t="n"/>
      <c r="PVE90" s="207" t="n"/>
      <c r="PVF90" s="207" t="n"/>
      <c r="PVG90" s="207" t="n"/>
      <c r="PVH90" s="207" t="n"/>
      <c r="PVI90" s="207" t="n"/>
      <c r="PVJ90" s="207" t="n"/>
      <c r="PVK90" s="207" t="n"/>
      <c r="PVL90" s="207" t="n"/>
      <c r="PVM90" s="207" t="n"/>
      <c r="PVN90" s="207" t="n"/>
      <c r="PVO90" s="207" t="n"/>
      <c r="PVP90" s="207" t="n"/>
      <c r="PVQ90" s="207" t="n"/>
      <c r="PVR90" s="207" t="n"/>
      <c r="PVS90" s="207" t="n"/>
      <c r="PVT90" s="207" t="n"/>
      <c r="PVU90" s="207" t="n"/>
      <c r="PVV90" s="207" t="n"/>
      <c r="PVW90" s="207" t="n"/>
      <c r="PVX90" s="207" t="n"/>
      <c r="PVY90" s="207" t="n"/>
      <c r="PVZ90" s="207" t="n"/>
      <c r="PWA90" s="207" t="n"/>
      <c r="PWB90" s="207" t="n"/>
      <c r="PWC90" s="207" t="n"/>
      <c r="PWD90" s="207" t="n"/>
      <c r="PWE90" s="207" t="n"/>
      <c r="PWF90" s="207" t="n"/>
      <c r="PWG90" s="207" t="n"/>
      <c r="PWH90" s="207" t="n"/>
      <c r="PWI90" s="207" t="n"/>
      <c r="PWJ90" s="207" t="n"/>
      <c r="PWK90" s="207" t="n"/>
      <c r="PWL90" s="207" t="n"/>
      <c r="PWM90" s="207" t="n"/>
      <c r="PWN90" s="207" t="n"/>
      <c r="PWO90" s="207" t="n"/>
      <c r="PWP90" s="207" t="n"/>
      <c r="PWQ90" s="207" t="n"/>
      <c r="PWR90" s="207" t="n"/>
      <c r="PWS90" s="207" t="n"/>
      <c r="PWT90" s="207" t="n"/>
      <c r="PWU90" s="207" t="n"/>
      <c r="PWV90" s="207" t="n"/>
      <c r="PWW90" s="207" t="n"/>
      <c r="PWX90" s="207" t="n"/>
      <c r="PWY90" s="207" t="n"/>
      <c r="PWZ90" s="207" t="n"/>
      <c r="PXA90" s="207" t="n"/>
      <c r="PXB90" s="207" t="n"/>
      <c r="PXC90" s="207" t="n"/>
      <c r="PXD90" s="207" t="n"/>
      <c r="PXE90" s="207" t="n"/>
      <c r="PXF90" s="207" t="n"/>
      <c r="PXG90" s="207" t="n"/>
      <c r="PXH90" s="207" t="n"/>
      <c r="PXI90" s="207" t="n"/>
      <c r="PXJ90" s="207" t="n"/>
      <c r="PXK90" s="207" t="n"/>
      <c r="PXL90" s="207" t="n"/>
      <c r="PXM90" s="207" t="n"/>
      <c r="PXN90" s="207" t="n"/>
      <c r="PXO90" s="207" t="n"/>
      <c r="PXP90" s="207" t="n"/>
      <c r="PXQ90" s="207" t="n"/>
      <c r="PXR90" s="207" t="n"/>
      <c r="PXS90" s="207" t="n"/>
      <c r="PXT90" s="207" t="n"/>
      <c r="PXU90" s="207" t="n"/>
      <c r="PXV90" s="207" t="n"/>
      <c r="PXW90" s="207" t="n"/>
      <c r="PXX90" s="207" t="n"/>
      <c r="PXY90" s="207" t="n"/>
      <c r="PXZ90" s="207" t="n"/>
      <c r="PYA90" s="207" t="n"/>
      <c r="PYB90" s="207" t="n"/>
      <c r="PYC90" s="207" t="n"/>
      <c r="PYD90" s="207" t="n"/>
      <c r="PYE90" s="207" t="n"/>
      <c r="PYF90" s="207" t="n"/>
      <c r="PYG90" s="207" t="n"/>
      <c r="PYH90" s="207" t="n"/>
      <c r="PYI90" s="207" t="n"/>
      <c r="PYJ90" s="207" t="n"/>
      <c r="PYK90" s="207" t="n"/>
      <c r="PYL90" s="207" t="n"/>
      <c r="PYM90" s="207" t="n"/>
      <c r="PYN90" s="207" t="n"/>
      <c r="PYO90" s="207" t="n"/>
      <c r="PYP90" s="207" t="n"/>
      <c r="PYQ90" s="207" t="n"/>
      <c r="PYR90" s="207" t="n"/>
      <c r="PYS90" s="207" t="n"/>
      <c r="PYT90" s="207" t="n"/>
      <c r="PYU90" s="207" t="n"/>
      <c r="PYV90" s="207" t="n"/>
      <c r="PYW90" s="207" t="n"/>
      <c r="PYX90" s="207" t="n"/>
      <c r="PYY90" s="207" t="n"/>
      <c r="PYZ90" s="207" t="n"/>
      <c r="PZA90" s="207" t="n"/>
      <c r="PZB90" s="207" t="n"/>
      <c r="PZC90" s="207" t="n"/>
      <c r="PZD90" s="207" t="n"/>
      <c r="PZE90" s="207" t="n"/>
      <c r="PZF90" s="207" t="n"/>
      <c r="PZG90" s="207" t="n"/>
      <c r="PZH90" s="207" t="n"/>
      <c r="PZI90" s="207" t="n"/>
      <c r="PZJ90" s="207" t="n"/>
      <c r="PZK90" s="207" t="n"/>
      <c r="PZL90" s="207" t="n"/>
      <c r="PZM90" s="207" t="n"/>
      <c r="PZN90" s="207" t="n"/>
      <c r="PZO90" s="207" t="n"/>
      <c r="PZP90" s="207" t="n"/>
      <c r="PZQ90" s="207" t="n"/>
      <c r="PZR90" s="207" t="n"/>
      <c r="PZS90" s="207" t="n"/>
      <c r="PZT90" s="207" t="n"/>
      <c r="PZU90" s="207" t="n"/>
      <c r="PZV90" s="207" t="n"/>
      <c r="PZW90" s="207" t="n"/>
      <c r="PZX90" s="207" t="n"/>
      <c r="PZY90" s="207" t="n"/>
      <c r="PZZ90" s="207" t="n"/>
      <c r="QAA90" s="207" t="n"/>
      <c r="QAB90" s="207" t="n"/>
      <c r="QAC90" s="207" t="n"/>
      <c r="QAD90" s="207" t="n"/>
      <c r="QAE90" s="207" t="n"/>
      <c r="QAF90" s="207" t="n"/>
      <c r="QAG90" s="207" t="n"/>
      <c r="QAH90" s="207" t="n"/>
      <c r="QAI90" s="207" t="n"/>
      <c r="QAJ90" s="207" t="n"/>
      <c r="QAK90" s="207" t="n"/>
      <c r="QAL90" s="207" t="n"/>
      <c r="QAM90" s="207" t="n"/>
      <c r="QAN90" s="207" t="n"/>
      <c r="QAO90" s="207" t="n"/>
      <c r="QAP90" s="207" t="n"/>
      <c r="QAQ90" s="207" t="n"/>
      <c r="QAR90" s="207" t="n"/>
      <c r="QAS90" s="207" t="n"/>
      <c r="QAT90" s="207" t="n"/>
      <c r="QAU90" s="207" t="n"/>
      <c r="QAV90" s="207" t="n"/>
      <c r="QAW90" s="207" t="n"/>
      <c r="QAX90" s="207" t="n"/>
      <c r="QAY90" s="207" t="n"/>
      <c r="QAZ90" s="207" t="n"/>
      <c r="QBA90" s="207" t="n"/>
      <c r="QBB90" s="207" t="n"/>
      <c r="QBC90" s="207" t="n"/>
      <c r="QBD90" s="207" t="n"/>
      <c r="QBE90" s="207" t="n"/>
      <c r="QBF90" s="207" t="n"/>
      <c r="QBG90" s="207" t="n"/>
      <c r="QBH90" s="207" t="n"/>
      <c r="QBI90" s="207" t="n"/>
      <c r="QBJ90" s="207" t="n"/>
      <c r="QBK90" s="207" t="n"/>
      <c r="QBL90" s="207" t="n"/>
      <c r="QBM90" s="207" t="n"/>
      <c r="QBN90" s="207" t="n"/>
      <c r="QBO90" s="207" t="n"/>
      <c r="QBP90" s="207" t="n"/>
      <c r="QBQ90" s="207" t="n"/>
      <c r="QBR90" s="207" t="n"/>
      <c r="QBS90" s="207" t="n"/>
      <c r="QBT90" s="207" t="n"/>
      <c r="QBU90" s="207" t="n"/>
      <c r="QBV90" s="207" t="n"/>
      <c r="QBW90" s="207" t="n"/>
      <c r="QBX90" s="207" t="n"/>
      <c r="QBY90" s="207" t="n"/>
      <c r="QBZ90" s="207" t="n"/>
      <c r="QCA90" s="207" t="n"/>
      <c r="QCB90" s="207" t="n"/>
      <c r="QCC90" s="207" t="n"/>
      <c r="QCD90" s="207" t="n"/>
      <c r="QCE90" s="207" t="n"/>
      <c r="QCF90" s="207" t="n"/>
      <c r="QCG90" s="207" t="n"/>
      <c r="QCH90" s="207" t="n"/>
      <c r="QCI90" s="207" t="n"/>
      <c r="QCJ90" s="207" t="n"/>
      <c r="QCK90" s="207" t="n"/>
      <c r="QCL90" s="207" t="n"/>
      <c r="QCM90" s="207" t="n"/>
      <c r="QCN90" s="207" t="n"/>
      <c r="QCO90" s="207" t="n"/>
      <c r="QCP90" s="207" t="n"/>
      <c r="QCQ90" s="207" t="n"/>
      <c r="QCR90" s="207" t="n"/>
      <c r="QCS90" s="207" t="n"/>
      <c r="QCT90" s="207" t="n"/>
      <c r="QCU90" s="207" t="n"/>
      <c r="QCV90" s="207" t="n"/>
      <c r="QCW90" s="207" t="n"/>
      <c r="QCX90" s="207" t="n"/>
      <c r="QCY90" s="207" t="n"/>
      <c r="QCZ90" s="207" t="n"/>
      <c r="QDA90" s="207" t="n"/>
      <c r="QDB90" s="207" t="n"/>
      <c r="QDC90" s="207" t="n"/>
      <c r="QDD90" s="207" t="n"/>
      <c r="QDE90" s="207" t="n"/>
      <c r="QDF90" s="207" t="n"/>
      <c r="QDG90" s="207" t="n"/>
      <c r="QDH90" s="207" t="n"/>
      <c r="QDI90" s="207" t="n"/>
      <c r="QDJ90" s="207" t="n"/>
      <c r="QDK90" s="207" t="n"/>
      <c r="QDL90" s="207" t="n"/>
      <c r="QDM90" s="207" t="n"/>
      <c r="QDN90" s="207" t="n"/>
      <c r="QDO90" s="207" t="n"/>
      <c r="QDP90" s="207" t="n"/>
      <c r="QDQ90" s="207" t="n"/>
      <c r="QDR90" s="207" t="n"/>
      <c r="QDS90" s="207" t="n"/>
      <c r="QDT90" s="207" t="n"/>
      <c r="QDU90" s="207" t="n"/>
      <c r="QDV90" s="207" t="n"/>
      <c r="QDW90" s="207" t="n"/>
      <c r="QDX90" s="207" t="n"/>
      <c r="QDY90" s="207" t="n"/>
      <c r="QDZ90" s="207" t="n"/>
      <c r="QEA90" s="207" t="n"/>
      <c r="QEB90" s="207" t="n"/>
      <c r="QEC90" s="207" t="n"/>
      <c r="QED90" s="207" t="n"/>
      <c r="QEE90" s="207" t="n"/>
      <c r="QEF90" s="207" t="n"/>
      <c r="QEG90" s="207" t="n"/>
      <c r="QEH90" s="207" t="n"/>
      <c r="QEI90" s="207" t="n"/>
      <c r="QEJ90" s="207" t="n"/>
      <c r="QEK90" s="207" t="n"/>
      <c r="QEL90" s="207" t="n"/>
      <c r="QEM90" s="207" t="n"/>
      <c r="QEN90" s="207" t="n"/>
      <c r="QEO90" s="207" t="n"/>
      <c r="QEP90" s="207" t="n"/>
      <c r="QEQ90" s="207" t="n"/>
      <c r="QER90" s="207" t="n"/>
      <c r="QES90" s="207" t="n"/>
      <c r="QET90" s="207" t="n"/>
      <c r="QEU90" s="207" t="n"/>
      <c r="QEV90" s="207" t="n"/>
      <c r="QEW90" s="207" t="n"/>
      <c r="QEX90" s="207" t="n"/>
      <c r="QEY90" s="207" t="n"/>
      <c r="QEZ90" s="207" t="n"/>
      <c r="QFA90" s="207" t="n"/>
      <c r="QFB90" s="207" t="n"/>
      <c r="QFC90" s="207" t="n"/>
      <c r="QFD90" s="207" t="n"/>
      <c r="QFE90" s="207" t="n"/>
      <c r="QFF90" s="207" t="n"/>
      <c r="QFG90" s="207" t="n"/>
      <c r="QFH90" s="207" t="n"/>
      <c r="QFI90" s="207" t="n"/>
      <c r="QFJ90" s="207" t="n"/>
      <c r="QFK90" s="207" t="n"/>
      <c r="QFL90" s="207" t="n"/>
      <c r="QFM90" s="207" t="n"/>
      <c r="QFN90" s="207" t="n"/>
      <c r="QFO90" s="207" t="n"/>
      <c r="QFP90" s="207" t="n"/>
      <c r="QFQ90" s="207" t="n"/>
      <c r="QFR90" s="207" t="n"/>
      <c r="QFS90" s="207" t="n"/>
      <c r="QFT90" s="207" t="n"/>
      <c r="QFU90" s="207" t="n"/>
      <c r="QFV90" s="207" t="n"/>
      <c r="QFW90" s="207" t="n"/>
      <c r="QFX90" s="207" t="n"/>
      <c r="QFY90" s="207" t="n"/>
      <c r="QFZ90" s="207" t="n"/>
      <c r="QGA90" s="207" t="n"/>
      <c r="QGB90" s="207" t="n"/>
      <c r="QGC90" s="207" t="n"/>
      <c r="QGD90" s="207" t="n"/>
      <c r="QGE90" s="207" t="n"/>
      <c r="QGF90" s="207" t="n"/>
      <c r="QGG90" s="207" t="n"/>
      <c r="QGH90" s="207" t="n"/>
      <c r="QGI90" s="207" t="n"/>
      <c r="QGJ90" s="207" t="n"/>
      <c r="QGK90" s="207" t="n"/>
      <c r="QGL90" s="207" t="n"/>
      <c r="QGM90" s="207" t="n"/>
      <c r="QGN90" s="207" t="n"/>
      <c r="QGO90" s="207" t="n"/>
      <c r="QGP90" s="207" t="n"/>
      <c r="QGQ90" s="207" t="n"/>
      <c r="QGR90" s="207" t="n"/>
      <c r="QGS90" s="207" t="n"/>
      <c r="QGT90" s="207" t="n"/>
      <c r="QGU90" s="207" t="n"/>
      <c r="QGV90" s="207" t="n"/>
      <c r="QGW90" s="207" t="n"/>
      <c r="QGX90" s="207" t="n"/>
      <c r="QGY90" s="207" t="n"/>
      <c r="QGZ90" s="207" t="n"/>
      <c r="QHA90" s="207" t="n"/>
      <c r="QHB90" s="207" t="n"/>
      <c r="QHC90" s="207" t="n"/>
      <c r="QHD90" s="207" t="n"/>
      <c r="QHE90" s="207" t="n"/>
      <c r="QHF90" s="207" t="n"/>
      <c r="QHG90" s="207" t="n"/>
      <c r="QHH90" s="207" t="n"/>
      <c r="QHI90" s="207" t="n"/>
      <c r="QHJ90" s="207" t="n"/>
      <c r="QHK90" s="207" t="n"/>
      <c r="QHL90" s="207" t="n"/>
      <c r="QHM90" s="207" t="n"/>
      <c r="QHN90" s="207" t="n"/>
      <c r="QHO90" s="207" t="n"/>
      <c r="QHP90" s="207" t="n"/>
      <c r="QHQ90" s="207" t="n"/>
      <c r="QHR90" s="207" t="n"/>
      <c r="QHS90" s="207" t="n"/>
      <c r="QHT90" s="207" t="n"/>
      <c r="QHU90" s="207" t="n"/>
      <c r="QHV90" s="207" t="n"/>
      <c r="QHW90" s="207" t="n"/>
      <c r="QHX90" s="207" t="n"/>
      <c r="QHY90" s="207" t="n"/>
      <c r="QHZ90" s="207" t="n"/>
      <c r="QIA90" s="207" t="n"/>
      <c r="QIB90" s="207" t="n"/>
      <c r="QIC90" s="207" t="n"/>
      <c r="QID90" s="207" t="n"/>
      <c r="QIE90" s="207" t="n"/>
      <c r="QIF90" s="207" t="n"/>
      <c r="QIG90" s="207" t="n"/>
      <c r="QIH90" s="207" t="n"/>
      <c r="QII90" s="207" t="n"/>
      <c r="QIJ90" s="207" t="n"/>
      <c r="QIK90" s="207" t="n"/>
      <c r="QIL90" s="207" t="n"/>
      <c r="QIM90" s="207" t="n"/>
      <c r="QIN90" s="207" t="n"/>
      <c r="QIO90" s="207" t="n"/>
      <c r="QIP90" s="207" t="n"/>
      <c r="QIQ90" s="207" t="n"/>
      <c r="QIR90" s="207" t="n"/>
      <c r="QIS90" s="207" t="n"/>
      <c r="QIT90" s="207" t="n"/>
      <c r="QIU90" s="207" t="n"/>
      <c r="QIV90" s="207" t="n"/>
      <c r="QIW90" s="207" t="n"/>
      <c r="QIX90" s="207" t="n"/>
      <c r="QIY90" s="207" t="n"/>
      <c r="QIZ90" s="207" t="n"/>
      <c r="QJA90" s="207" t="n"/>
      <c r="QJB90" s="207" t="n"/>
      <c r="QJC90" s="207" t="n"/>
      <c r="QJD90" s="207" t="n"/>
      <c r="QJE90" s="207" t="n"/>
      <c r="QJF90" s="207" t="n"/>
      <c r="QJG90" s="207" t="n"/>
      <c r="QJH90" s="207" t="n"/>
      <c r="QJI90" s="207" t="n"/>
      <c r="QJJ90" s="207" t="n"/>
      <c r="QJK90" s="207" t="n"/>
      <c r="QJL90" s="207" t="n"/>
      <c r="QJM90" s="207" t="n"/>
      <c r="QJN90" s="207" t="n"/>
      <c r="QJO90" s="207" t="n"/>
      <c r="QJP90" s="207" t="n"/>
      <c r="QJQ90" s="207" t="n"/>
      <c r="QJR90" s="207" t="n"/>
      <c r="QJS90" s="207" t="n"/>
      <c r="QJT90" s="207" t="n"/>
      <c r="QJU90" s="207" t="n"/>
      <c r="QJV90" s="207" t="n"/>
      <c r="QJW90" s="207" t="n"/>
      <c r="QJX90" s="207" t="n"/>
      <c r="QJY90" s="207" t="n"/>
      <c r="QJZ90" s="207" t="n"/>
      <c r="QKA90" s="207" t="n"/>
      <c r="QKB90" s="207" t="n"/>
      <c r="QKC90" s="207" t="n"/>
      <c r="QKD90" s="207" t="n"/>
      <c r="QKE90" s="207" t="n"/>
      <c r="QKF90" s="207" t="n"/>
      <c r="QKG90" s="207" t="n"/>
      <c r="QKH90" s="207" t="n"/>
      <c r="QKI90" s="207" t="n"/>
      <c r="QKJ90" s="207" t="n"/>
      <c r="QKK90" s="207" t="n"/>
      <c r="QKL90" s="207" t="n"/>
      <c r="QKM90" s="207" t="n"/>
      <c r="QKN90" s="207" t="n"/>
      <c r="QKO90" s="207" t="n"/>
      <c r="QKP90" s="207" t="n"/>
      <c r="QKQ90" s="207" t="n"/>
      <c r="QKR90" s="207" t="n"/>
      <c r="QKS90" s="207" t="n"/>
      <c r="QKT90" s="207" t="n"/>
      <c r="QKU90" s="207" t="n"/>
      <c r="QKV90" s="207" t="n"/>
      <c r="QKW90" s="207" t="n"/>
      <c r="QKX90" s="207" t="n"/>
      <c r="QKY90" s="207" t="n"/>
      <c r="QKZ90" s="207" t="n"/>
      <c r="QLA90" s="207" t="n"/>
      <c r="QLB90" s="207" t="n"/>
      <c r="QLC90" s="207" t="n"/>
      <c r="QLD90" s="207" t="n"/>
      <c r="QLE90" s="207" t="n"/>
      <c r="QLF90" s="207" t="n"/>
      <c r="QLG90" s="207" t="n"/>
      <c r="QLH90" s="207" t="n"/>
      <c r="QLI90" s="207" t="n"/>
      <c r="QLJ90" s="207" t="n"/>
      <c r="QLK90" s="207" t="n"/>
      <c r="QLL90" s="207" t="n"/>
      <c r="QLM90" s="207" t="n"/>
      <c r="QLN90" s="207" t="n"/>
      <c r="QLO90" s="207" t="n"/>
      <c r="QLP90" s="207" t="n"/>
      <c r="QLQ90" s="207" t="n"/>
      <c r="QLR90" s="207" t="n"/>
      <c r="QLS90" s="207" t="n"/>
      <c r="QLT90" s="207" t="n"/>
      <c r="QLU90" s="207" t="n"/>
      <c r="QLV90" s="207" t="n"/>
      <c r="QLW90" s="207" t="n"/>
      <c r="QLX90" s="207" t="n"/>
      <c r="QLY90" s="207" t="n"/>
      <c r="QLZ90" s="207" t="n"/>
      <c r="QMA90" s="207" t="n"/>
      <c r="QMB90" s="207" t="n"/>
      <c r="QMC90" s="207" t="n"/>
      <c r="QMD90" s="207" t="n"/>
      <c r="QME90" s="207" t="n"/>
      <c r="QMF90" s="207" t="n"/>
      <c r="QMG90" s="207" t="n"/>
      <c r="QMH90" s="207" t="n"/>
      <c r="QMI90" s="207" t="n"/>
      <c r="QMJ90" s="207" t="n"/>
      <c r="QMK90" s="207" t="n"/>
      <c r="QML90" s="207" t="n"/>
      <c r="QMM90" s="207" t="n"/>
      <c r="QMN90" s="207" t="n"/>
      <c r="QMO90" s="207" t="n"/>
      <c r="QMP90" s="207" t="n"/>
      <c r="QMQ90" s="207" t="n"/>
      <c r="QMR90" s="207" t="n"/>
      <c r="QMS90" s="207" t="n"/>
      <c r="QMT90" s="207" t="n"/>
      <c r="QMU90" s="207" t="n"/>
      <c r="QMV90" s="207" t="n"/>
      <c r="QMW90" s="207" t="n"/>
      <c r="QMX90" s="207" t="n"/>
      <c r="QMY90" s="207" t="n"/>
      <c r="QMZ90" s="207" t="n"/>
      <c r="QNA90" s="207" t="n"/>
      <c r="QNB90" s="207" t="n"/>
      <c r="QNC90" s="207" t="n"/>
      <c r="QND90" s="207" t="n"/>
      <c r="QNE90" s="207" t="n"/>
      <c r="QNF90" s="207" t="n"/>
      <c r="QNG90" s="207" t="n"/>
      <c r="QNH90" s="207" t="n"/>
      <c r="QNI90" s="207" t="n"/>
      <c r="QNJ90" s="207" t="n"/>
      <c r="QNK90" s="207" t="n"/>
      <c r="QNL90" s="207" t="n"/>
      <c r="QNM90" s="207" t="n"/>
      <c r="QNN90" s="207" t="n"/>
      <c r="QNO90" s="207" t="n"/>
      <c r="QNP90" s="207" t="n"/>
      <c r="QNQ90" s="207" t="n"/>
      <c r="QNR90" s="207" t="n"/>
      <c r="QNS90" s="207" t="n"/>
      <c r="QNT90" s="207" t="n"/>
      <c r="QNU90" s="207" t="n"/>
      <c r="QNV90" s="207" t="n"/>
      <c r="QNW90" s="207" t="n"/>
      <c r="QNX90" s="207" t="n"/>
      <c r="QNY90" s="207" t="n"/>
      <c r="QNZ90" s="207" t="n"/>
      <c r="QOA90" s="207" t="n"/>
      <c r="QOB90" s="207" t="n"/>
      <c r="QOC90" s="207" t="n"/>
      <c r="QOD90" s="207" t="n"/>
      <c r="QOE90" s="207" t="n"/>
      <c r="QOF90" s="207" t="n"/>
      <c r="QOG90" s="207" t="n"/>
      <c r="QOH90" s="207" t="n"/>
      <c r="QOI90" s="207" t="n"/>
      <c r="QOJ90" s="207" t="n"/>
      <c r="QOK90" s="207" t="n"/>
      <c r="QOL90" s="207" t="n"/>
      <c r="QOM90" s="207" t="n"/>
      <c r="QON90" s="207" t="n"/>
      <c r="QOO90" s="207" t="n"/>
      <c r="QOP90" s="207" t="n"/>
      <c r="QOQ90" s="207" t="n"/>
      <c r="QOR90" s="207" t="n"/>
      <c r="QOS90" s="207" t="n"/>
      <c r="QOT90" s="207" t="n"/>
      <c r="QOU90" s="207" t="n"/>
      <c r="QOV90" s="207" t="n"/>
      <c r="QOW90" s="207" t="n"/>
      <c r="QOX90" s="207" t="n"/>
      <c r="QOY90" s="207" t="n"/>
      <c r="QOZ90" s="207" t="n"/>
      <c r="QPA90" s="207" t="n"/>
      <c r="QPB90" s="207" t="n"/>
      <c r="QPC90" s="207" t="n"/>
      <c r="QPD90" s="207" t="n"/>
      <c r="QPE90" s="207" t="n"/>
      <c r="QPF90" s="207" t="n"/>
      <c r="QPG90" s="207" t="n"/>
      <c r="QPH90" s="207" t="n"/>
      <c r="QPI90" s="207" t="n"/>
      <c r="QPJ90" s="207" t="n"/>
      <c r="QPK90" s="207" t="n"/>
      <c r="QPL90" s="207" t="n"/>
      <c r="QPM90" s="207" t="n"/>
      <c r="QPN90" s="207" t="n"/>
      <c r="QPO90" s="207" t="n"/>
      <c r="QPP90" s="207" t="n"/>
      <c r="QPQ90" s="207" t="n"/>
      <c r="QPR90" s="207" t="n"/>
      <c r="QPS90" s="207" t="n"/>
      <c r="QPT90" s="207" t="n"/>
      <c r="QPU90" s="207" t="n"/>
      <c r="QPV90" s="207" t="n"/>
      <c r="QPW90" s="207" t="n"/>
      <c r="QPX90" s="207" t="n"/>
      <c r="QPY90" s="207" t="n"/>
      <c r="QPZ90" s="207" t="n"/>
      <c r="QQA90" s="207" t="n"/>
      <c r="QQB90" s="207" t="n"/>
      <c r="QQC90" s="207" t="n"/>
      <c r="QQD90" s="207" t="n"/>
      <c r="QQE90" s="207" t="n"/>
      <c r="QQF90" s="207" t="n"/>
      <c r="QQG90" s="207" t="n"/>
      <c r="QQH90" s="207" t="n"/>
      <c r="QQI90" s="207" t="n"/>
      <c r="QQJ90" s="207" t="n"/>
      <c r="QQK90" s="207" t="n"/>
      <c r="QQL90" s="207" t="n"/>
      <c r="QQM90" s="207" t="n"/>
      <c r="QQN90" s="207" t="n"/>
      <c r="QQO90" s="207" t="n"/>
      <c r="QQP90" s="207" t="n"/>
      <c r="QQQ90" s="207" t="n"/>
      <c r="QQR90" s="207" t="n"/>
      <c r="QQS90" s="207" t="n"/>
      <c r="QQT90" s="207" t="n"/>
      <c r="QQU90" s="207" t="n"/>
      <c r="QQV90" s="207" t="n"/>
      <c r="QQW90" s="207" t="n"/>
      <c r="QQX90" s="207" t="n"/>
      <c r="QQY90" s="207" t="n"/>
      <c r="QQZ90" s="207" t="n"/>
      <c r="QRA90" s="207" t="n"/>
      <c r="QRB90" s="207" t="n"/>
      <c r="QRC90" s="207" t="n"/>
      <c r="QRD90" s="207" t="n"/>
      <c r="QRE90" s="207" t="n"/>
      <c r="QRF90" s="207" t="n"/>
      <c r="QRG90" s="207" t="n"/>
      <c r="QRH90" s="207" t="n"/>
      <c r="QRI90" s="207" t="n"/>
      <c r="QRJ90" s="207" t="n"/>
      <c r="QRK90" s="207" t="n"/>
      <c r="QRL90" s="207" t="n"/>
      <c r="QRM90" s="207" t="n"/>
      <c r="QRN90" s="207" t="n"/>
      <c r="QRO90" s="207" t="n"/>
      <c r="QRP90" s="207" t="n"/>
      <c r="QRQ90" s="207" t="n"/>
      <c r="QRR90" s="207" t="n"/>
      <c r="QRS90" s="207" t="n"/>
      <c r="QRT90" s="207" t="n"/>
      <c r="QRU90" s="207" t="n"/>
      <c r="QRV90" s="207" t="n"/>
      <c r="QRW90" s="207" t="n"/>
      <c r="QRX90" s="207" t="n"/>
      <c r="QRY90" s="207" t="n"/>
      <c r="QRZ90" s="207" t="n"/>
      <c r="QSA90" s="207" t="n"/>
      <c r="QSB90" s="207" t="n"/>
      <c r="QSC90" s="207" t="n"/>
      <c r="QSD90" s="207" t="n"/>
      <c r="QSE90" s="207" t="n"/>
      <c r="QSF90" s="207" t="n"/>
      <c r="QSG90" s="207" t="n"/>
      <c r="QSH90" s="207" t="n"/>
      <c r="QSI90" s="207" t="n"/>
      <c r="QSJ90" s="207" t="n"/>
      <c r="QSK90" s="207" t="n"/>
      <c r="QSL90" s="207" t="n"/>
      <c r="QSM90" s="207" t="n"/>
      <c r="QSN90" s="207" t="n"/>
      <c r="QSO90" s="207" t="n"/>
      <c r="QSP90" s="207" t="n"/>
      <c r="QSQ90" s="207" t="n"/>
      <c r="QSR90" s="207" t="n"/>
      <c r="QSS90" s="207" t="n"/>
      <c r="QST90" s="207" t="n"/>
      <c r="QSU90" s="207" t="n"/>
      <c r="QSV90" s="207" t="n"/>
      <c r="QSW90" s="207" t="n"/>
      <c r="QSX90" s="207" t="n"/>
      <c r="QSY90" s="207" t="n"/>
      <c r="QSZ90" s="207" t="n"/>
      <c r="QTA90" s="207" t="n"/>
      <c r="QTB90" s="207" t="n"/>
      <c r="QTC90" s="207" t="n"/>
      <c r="QTD90" s="207" t="n"/>
      <c r="QTE90" s="207" t="n"/>
      <c r="QTF90" s="207" t="n"/>
      <c r="QTG90" s="207" t="n"/>
      <c r="QTH90" s="207" t="n"/>
      <c r="QTI90" s="207" t="n"/>
      <c r="QTJ90" s="207" t="n"/>
      <c r="QTK90" s="207" t="n"/>
      <c r="QTL90" s="207" t="n"/>
      <c r="QTM90" s="207" t="n"/>
      <c r="QTN90" s="207" t="n"/>
      <c r="QTO90" s="207" t="n"/>
      <c r="QTP90" s="207" t="n"/>
      <c r="QTQ90" s="207" t="n"/>
      <c r="QTR90" s="207" t="n"/>
      <c r="QTS90" s="207" t="n"/>
      <c r="QTT90" s="207" t="n"/>
      <c r="QTU90" s="207" t="n"/>
      <c r="QTV90" s="207" t="n"/>
      <c r="QTW90" s="207" t="n"/>
      <c r="QTX90" s="207" t="n"/>
      <c r="QTY90" s="207" t="n"/>
      <c r="QTZ90" s="207" t="n"/>
      <c r="QUA90" s="207" t="n"/>
      <c r="QUB90" s="207" t="n"/>
      <c r="QUC90" s="207" t="n"/>
      <c r="QUD90" s="207" t="n"/>
      <c r="QUE90" s="207" t="n"/>
      <c r="QUF90" s="207" t="n"/>
      <c r="QUG90" s="207" t="n"/>
      <c r="QUH90" s="207" t="n"/>
      <c r="QUI90" s="207" t="n"/>
      <c r="QUJ90" s="207" t="n"/>
      <c r="QUK90" s="207" t="n"/>
      <c r="QUL90" s="207" t="n"/>
      <c r="QUM90" s="207" t="n"/>
      <c r="QUN90" s="207" t="n"/>
      <c r="QUO90" s="207" t="n"/>
      <c r="QUP90" s="207" t="n"/>
      <c r="QUQ90" s="207" t="n"/>
      <c r="QUR90" s="207" t="n"/>
      <c r="QUS90" s="207" t="n"/>
      <c r="QUT90" s="207" t="n"/>
      <c r="QUU90" s="207" t="n"/>
      <c r="QUV90" s="207" t="n"/>
      <c r="QUW90" s="207" t="n"/>
      <c r="QUX90" s="207" t="n"/>
      <c r="QUY90" s="207" t="n"/>
      <c r="QUZ90" s="207" t="n"/>
      <c r="QVA90" s="207" t="n"/>
      <c r="QVB90" s="207" t="n"/>
      <c r="QVC90" s="207" t="n"/>
      <c r="QVD90" s="207" t="n"/>
      <c r="QVE90" s="207" t="n"/>
      <c r="QVF90" s="207" t="n"/>
      <c r="QVG90" s="207" t="n"/>
      <c r="QVH90" s="207" t="n"/>
      <c r="QVI90" s="207" t="n"/>
      <c r="QVJ90" s="207" t="n"/>
      <c r="QVK90" s="207" t="n"/>
      <c r="QVL90" s="207" t="n"/>
      <c r="QVM90" s="207" t="n"/>
      <c r="QVN90" s="207" t="n"/>
      <c r="QVO90" s="207" t="n"/>
      <c r="QVP90" s="207" t="n"/>
      <c r="QVQ90" s="207" t="n"/>
      <c r="QVR90" s="207" t="n"/>
      <c r="QVS90" s="207" t="n"/>
      <c r="QVT90" s="207" t="n"/>
      <c r="QVU90" s="207" t="n"/>
      <c r="QVV90" s="207" t="n"/>
      <c r="QVW90" s="207" t="n"/>
      <c r="QVX90" s="207" t="n"/>
      <c r="QVY90" s="207" t="n"/>
      <c r="QVZ90" s="207" t="n"/>
      <c r="QWA90" s="207" t="n"/>
      <c r="QWB90" s="207" t="n"/>
      <c r="QWC90" s="207" t="n"/>
      <c r="QWD90" s="207" t="n"/>
      <c r="QWE90" s="207" t="n"/>
      <c r="QWF90" s="207" t="n"/>
      <c r="QWG90" s="207" t="n"/>
      <c r="QWH90" s="207" t="n"/>
      <c r="QWI90" s="207" t="n"/>
      <c r="QWJ90" s="207" t="n"/>
      <c r="QWK90" s="207" t="n"/>
      <c r="QWL90" s="207" t="n"/>
      <c r="QWM90" s="207" t="n"/>
      <c r="QWN90" s="207" t="n"/>
      <c r="QWO90" s="207" t="n"/>
      <c r="QWP90" s="207" t="n"/>
      <c r="QWQ90" s="207" t="n"/>
      <c r="QWR90" s="207" t="n"/>
      <c r="QWS90" s="207" t="n"/>
      <c r="QWT90" s="207" t="n"/>
      <c r="QWU90" s="207" t="n"/>
      <c r="QWV90" s="207" t="n"/>
      <c r="QWW90" s="207" t="n"/>
      <c r="QWX90" s="207" t="n"/>
      <c r="QWY90" s="207" t="n"/>
      <c r="QWZ90" s="207" t="n"/>
      <c r="QXA90" s="207" t="n"/>
      <c r="QXB90" s="207" t="n"/>
      <c r="QXC90" s="207" t="n"/>
      <c r="QXD90" s="207" t="n"/>
      <c r="QXE90" s="207" t="n"/>
      <c r="QXF90" s="207" t="n"/>
      <c r="QXG90" s="207" t="n"/>
      <c r="QXH90" s="207" t="n"/>
      <c r="QXI90" s="207" t="n"/>
      <c r="QXJ90" s="207" t="n"/>
      <c r="QXK90" s="207" t="n"/>
      <c r="QXL90" s="207" t="n"/>
      <c r="QXM90" s="207" t="n"/>
      <c r="QXN90" s="207" t="n"/>
      <c r="QXO90" s="207" t="n"/>
      <c r="QXP90" s="207" t="n"/>
      <c r="QXQ90" s="207" t="n"/>
      <c r="QXR90" s="207" t="n"/>
      <c r="QXS90" s="207" t="n"/>
      <c r="QXT90" s="207" t="n"/>
      <c r="QXU90" s="207" t="n"/>
      <c r="QXV90" s="207" t="n"/>
      <c r="QXW90" s="207" t="n"/>
      <c r="QXX90" s="207" t="n"/>
      <c r="QXY90" s="207" t="n"/>
      <c r="QXZ90" s="207" t="n"/>
      <c r="QYA90" s="207" t="n"/>
      <c r="QYB90" s="207" t="n"/>
      <c r="QYC90" s="207" t="n"/>
      <c r="QYD90" s="207" t="n"/>
      <c r="QYE90" s="207" t="n"/>
      <c r="QYF90" s="207" t="n"/>
      <c r="QYG90" s="207" t="n"/>
      <c r="QYH90" s="207" t="n"/>
      <c r="QYI90" s="207" t="n"/>
      <c r="QYJ90" s="207" t="n"/>
      <c r="QYK90" s="207" t="n"/>
      <c r="QYL90" s="207" t="n"/>
      <c r="QYM90" s="207" t="n"/>
      <c r="QYN90" s="207" t="n"/>
      <c r="QYO90" s="207" t="n"/>
      <c r="QYP90" s="207" t="n"/>
      <c r="QYQ90" s="207" t="n"/>
      <c r="QYR90" s="207" t="n"/>
      <c r="QYS90" s="207" t="n"/>
      <c r="QYT90" s="207" t="n"/>
      <c r="QYU90" s="207" t="n"/>
      <c r="QYV90" s="207" t="n"/>
      <c r="QYW90" s="207" t="n"/>
      <c r="QYX90" s="207" t="n"/>
      <c r="QYY90" s="207" t="n"/>
      <c r="QYZ90" s="207" t="n"/>
      <c r="QZA90" s="207" t="n"/>
      <c r="QZB90" s="207" t="n"/>
      <c r="QZC90" s="207" t="n"/>
      <c r="QZD90" s="207" t="n"/>
      <c r="QZE90" s="207" t="n"/>
      <c r="QZF90" s="207" t="n"/>
      <c r="QZG90" s="207" t="n"/>
      <c r="QZH90" s="207" t="n"/>
      <c r="QZI90" s="207" t="n"/>
      <c r="QZJ90" s="207" t="n"/>
      <c r="QZK90" s="207" t="n"/>
      <c r="QZL90" s="207" t="n"/>
      <c r="QZM90" s="207" t="n"/>
      <c r="QZN90" s="207" t="n"/>
      <c r="QZO90" s="207" t="n"/>
      <c r="QZP90" s="207" t="n"/>
      <c r="QZQ90" s="207" t="n"/>
      <c r="QZR90" s="207" t="n"/>
      <c r="QZS90" s="207" t="n"/>
      <c r="QZT90" s="207" t="n"/>
      <c r="QZU90" s="207" t="n"/>
      <c r="QZV90" s="207" t="n"/>
      <c r="QZW90" s="207" t="n"/>
      <c r="QZX90" s="207" t="n"/>
      <c r="QZY90" s="207" t="n"/>
      <c r="QZZ90" s="207" t="n"/>
      <c r="RAA90" s="207" t="n"/>
      <c r="RAB90" s="207" t="n"/>
      <c r="RAC90" s="207" t="n"/>
      <c r="RAD90" s="207" t="n"/>
      <c r="RAE90" s="207" t="n"/>
      <c r="RAF90" s="207" t="n"/>
      <c r="RAG90" s="207" t="n"/>
      <c r="RAH90" s="207" t="n"/>
      <c r="RAI90" s="207" t="n"/>
      <c r="RAJ90" s="207" t="n"/>
      <c r="RAK90" s="207" t="n"/>
      <c r="RAL90" s="207" t="n"/>
      <c r="RAM90" s="207" t="n"/>
      <c r="RAN90" s="207" t="n"/>
      <c r="RAO90" s="207" t="n"/>
      <c r="RAP90" s="207" t="n"/>
      <c r="RAQ90" s="207" t="n"/>
      <c r="RAR90" s="207" t="n"/>
      <c r="RAS90" s="207" t="n"/>
      <c r="RAT90" s="207" t="n"/>
      <c r="RAU90" s="207" t="n"/>
      <c r="RAV90" s="207" t="n"/>
      <c r="RAW90" s="207" t="n"/>
      <c r="RAX90" s="207" t="n"/>
      <c r="RAY90" s="207" t="n"/>
      <c r="RAZ90" s="207" t="n"/>
      <c r="RBA90" s="207" t="n"/>
      <c r="RBB90" s="207" t="n"/>
      <c r="RBC90" s="207" t="n"/>
      <c r="RBD90" s="207" t="n"/>
      <c r="RBE90" s="207" t="n"/>
      <c r="RBF90" s="207" t="n"/>
      <c r="RBG90" s="207" t="n"/>
      <c r="RBH90" s="207" t="n"/>
      <c r="RBI90" s="207" t="n"/>
      <c r="RBJ90" s="207" t="n"/>
      <c r="RBK90" s="207" t="n"/>
      <c r="RBL90" s="207" t="n"/>
      <c r="RBM90" s="207" t="n"/>
      <c r="RBN90" s="207" t="n"/>
      <c r="RBO90" s="207" t="n"/>
      <c r="RBP90" s="207" t="n"/>
      <c r="RBQ90" s="207" t="n"/>
      <c r="RBR90" s="207" t="n"/>
      <c r="RBS90" s="207" t="n"/>
      <c r="RBT90" s="207" t="n"/>
      <c r="RBU90" s="207" t="n"/>
      <c r="RBV90" s="207" t="n"/>
      <c r="RBW90" s="207" t="n"/>
      <c r="RBX90" s="207" t="n"/>
      <c r="RBY90" s="207" t="n"/>
      <c r="RBZ90" s="207" t="n"/>
      <c r="RCA90" s="207" t="n"/>
      <c r="RCB90" s="207" t="n"/>
      <c r="RCC90" s="207" t="n"/>
      <c r="RCD90" s="207" t="n"/>
      <c r="RCE90" s="207" t="n"/>
      <c r="RCF90" s="207" t="n"/>
      <c r="RCG90" s="207" t="n"/>
      <c r="RCH90" s="207" t="n"/>
      <c r="RCI90" s="207" t="n"/>
      <c r="RCJ90" s="207" t="n"/>
      <c r="RCK90" s="207" t="n"/>
      <c r="RCL90" s="207" t="n"/>
      <c r="RCM90" s="207" t="n"/>
      <c r="RCN90" s="207" t="n"/>
      <c r="RCO90" s="207" t="n"/>
      <c r="RCP90" s="207" t="n"/>
      <c r="RCQ90" s="207" t="n"/>
      <c r="RCR90" s="207" t="n"/>
      <c r="RCS90" s="207" t="n"/>
      <c r="RCT90" s="207" t="n"/>
      <c r="RCU90" s="207" t="n"/>
      <c r="RCV90" s="207" t="n"/>
      <c r="RCW90" s="207" t="n"/>
      <c r="RCX90" s="207" t="n"/>
      <c r="RCY90" s="207" t="n"/>
      <c r="RCZ90" s="207" t="n"/>
      <c r="RDA90" s="207" t="n"/>
      <c r="RDB90" s="207" t="n"/>
      <c r="RDC90" s="207" t="n"/>
      <c r="RDD90" s="207" t="n"/>
      <c r="RDE90" s="207" t="n"/>
      <c r="RDF90" s="207" t="n"/>
      <c r="RDG90" s="207" t="n"/>
      <c r="RDH90" s="207" t="n"/>
      <c r="RDI90" s="207" t="n"/>
      <c r="RDJ90" s="207" t="n"/>
      <c r="RDK90" s="207" t="n"/>
      <c r="RDL90" s="207" t="n"/>
      <c r="RDM90" s="207" t="n"/>
      <c r="RDN90" s="207" t="n"/>
      <c r="RDO90" s="207" t="n"/>
      <c r="RDP90" s="207" t="n"/>
      <c r="RDQ90" s="207" t="n"/>
      <c r="RDR90" s="207" t="n"/>
      <c r="RDS90" s="207" t="n"/>
      <c r="RDT90" s="207" t="n"/>
      <c r="RDU90" s="207" t="n"/>
      <c r="RDV90" s="207" t="n"/>
      <c r="RDW90" s="207" t="n"/>
      <c r="RDX90" s="207" t="n"/>
      <c r="RDY90" s="207" t="n"/>
      <c r="RDZ90" s="207" t="n"/>
      <c r="REA90" s="207" t="n"/>
      <c r="REB90" s="207" t="n"/>
      <c r="REC90" s="207" t="n"/>
      <c r="RED90" s="207" t="n"/>
      <c r="REE90" s="207" t="n"/>
      <c r="REF90" s="207" t="n"/>
      <c r="REG90" s="207" t="n"/>
      <c r="REH90" s="207" t="n"/>
      <c r="REI90" s="207" t="n"/>
      <c r="REJ90" s="207" t="n"/>
      <c r="REK90" s="207" t="n"/>
      <c r="REL90" s="207" t="n"/>
      <c r="REM90" s="207" t="n"/>
      <c r="REN90" s="207" t="n"/>
      <c r="REO90" s="207" t="n"/>
      <c r="REP90" s="207" t="n"/>
      <c r="REQ90" s="207" t="n"/>
      <c r="RER90" s="207" t="n"/>
      <c r="RES90" s="207" t="n"/>
      <c r="RET90" s="207" t="n"/>
      <c r="REU90" s="207" t="n"/>
      <c r="REV90" s="207" t="n"/>
      <c r="REW90" s="207" t="n"/>
      <c r="REX90" s="207" t="n"/>
      <c r="REY90" s="207" t="n"/>
      <c r="REZ90" s="207" t="n"/>
      <c r="RFA90" s="207" t="n"/>
      <c r="RFB90" s="207" t="n"/>
      <c r="RFC90" s="207" t="n"/>
      <c r="RFD90" s="207" t="n"/>
      <c r="RFE90" s="207" t="n"/>
      <c r="RFF90" s="207" t="n"/>
      <c r="RFG90" s="207" t="n"/>
      <c r="RFH90" s="207" t="n"/>
      <c r="RFI90" s="207" t="n"/>
      <c r="RFJ90" s="207" t="n"/>
      <c r="RFK90" s="207" t="n"/>
      <c r="RFL90" s="207" t="n"/>
      <c r="RFM90" s="207" t="n"/>
      <c r="RFN90" s="207" t="n"/>
      <c r="RFO90" s="207" t="n"/>
      <c r="RFP90" s="207" t="n"/>
      <c r="RFQ90" s="207" t="n"/>
      <c r="RFR90" s="207" t="n"/>
      <c r="RFS90" s="207" t="n"/>
      <c r="RFT90" s="207" t="n"/>
      <c r="RFU90" s="207" t="n"/>
      <c r="RFV90" s="207" t="n"/>
      <c r="RFW90" s="207" t="n"/>
      <c r="RFX90" s="207" t="n"/>
      <c r="RFY90" s="207" t="n"/>
      <c r="RFZ90" s="207" t="n"/>
      <c r="RGA90" s="207" t="n"/>
      <c r="RGB90" s="207" t="n"/>
      <c r="RGC90" s="207" t="n"/>
      <c r="RGD90" s="207" t="n"/>
      <c r="RGE90" s="207" t="n"/>
      <c r="RGF90" s="207" t="n"/>
      <c r="RGG90" s="207" t="n"/>
      <c r="RGH90" s="207" t="n"/>
      <c r="RGI90" s="207" t="n"/>
      <c r="RGJ90" s="207" t="n"/>
      <c r="RGK90" s="207" t="n"/>
      <c r="RGL90" s="207" t="n"/>
      <c r="RGM90" s="207" t="n"/>
      <c r="RGN90" s="207" t="n"/>
      <c r="RGO90" s="207" t="n"/>
      <c r="RGP90" s="207" t="n"/>
      <c r="RGQ90" s="207" t="n"/>
      <c r="RGR90" s="207" t="n"/>
      <c r="RGS90" s="207" t="n"/>
      <c r="RGT90" s="207" t="n"/>
      <c r="RGU90" s="207" t="n"/>
      <c r="RGV90" s="207" t="n"/>
      <c r="RGW90" s="207" t="n"/>
      <c r="RGX90" s="207" t="n"/>
      <c r="RGY90" s="207" t="n"/>
      <c r="RGZ90" s="207" t="n"/>
      <c r="RHA90" s="207" t="n"/>
      <c r="RHB90" s="207" t="n"/>
      <c r="RHC90" s="207" t="n"/>
      <c r="RHD90" s="207" t="n"/>
      <c r="RHE90" s="207" t="n"/>
      <c r="RHF90" s="207" t="n"/>
      <c r="RHG90" s="207" t="n"/>
      <c r="RHH90" s="207" t="n"/>
      <c r="RHI90" s="207" t="n"/>
      <c r="RHJ90" s="207" t="n"/>
      <c r="RHK90" s="207" t="n"/>
      <c r="RHL90" s="207" t="n"/>
      <c r="RHM90" s="207" t="n"/>
      <c r="RHN90" s="207" t="n"/>
      <c r="RHO90" s="207" t="n"/>
      <c r="RHP90" s="207" t="n"/>
      <c r="RHQ90" s="207" t="n"/>
      <c r="RHR90" s="207" t="n"/>
      <c r="RHS90" s="207" t="n"/>
      <c r="RHT90" s="207" t="n"/>
      <c r="RHU90" s="207" t="n"/>
      <c r="RHV90" s="207" t="n"/>
      <c r="RHW90" s="207" t="n"/>
      <c r="RHX90" s="207" t="n"/>
      <c r="RHY90" s="207" t="n"/>
      <c r="RHZ90" s="207" t="n"/>
      <c r="RIA90" s="207" t="n"/>
      <c r="RIB90" s="207" t="n"/>
      <c r="RIC90" s="207" t="n"/>
      <c r="RID90" s="207" t="n"/>
      <c r="RIE90" s="207" t="n"/>
      <c r="RIF90" s="207" t="n"/>
      <c r="RIG90" s="207" t="n"/>
      <c r="RIH90" s="207" t="n"/>
      <c r="RII90" s="207" t="n"/>
      <c r="RIJ90" s="207" t="n"/>
      <c r="RIK90" s="207" t="n"/>
      <c r="RIL90" s="207" t="n"/>
      <c r="RIM90" s="207" t="n"/>
      <c r="RIN90" s="207" t="n"/>
      <c r="RIO90" s="207" t="n"/>
      <c r="RIP90" s="207" t="n"/>
      <c r="RIQ90" s="207" t="n"/>
      <c r="RIR90" s="207" t="n"/>
      <c r="RIS90" s="207" t="n"/>
      <c r="RIT90" s="207" t="n"/>
      <c r="RIU90" s="207" t="n"/>
      <c r="RIV90" s="207" t="n"/>
      <c r="RIW90" s="207" t="n"/>
      <c r="RIX90" s="207" t="n"/>
      <c r="RIY90" s="207" t="n"/>
      <c r="RIZ90" s="207" t="n"/>
      <c r="RJA90" s="207" t="n"/>
      <c r="RJB90" s="207" t="n"/>
      <c r="RJC90" s="207" t="n"/>
      <c r="RJD90" s="207" t="n"/>
      <c r="RJE90" s="207" t="n"/>
      <c r="RJF90" s="207" t="n"/>
      <c r="RJG90" s="207" t="n"/>
      <c r="RJH90" s="207" t="n"/>
      <c r="RJI90" s="207" t="n"/>
      <c r="RJJ90" s="207" t="n"/>
      <c r="RJK90" s="207" t="n"/>
      <c r="RJL90" s="207" t="n"/>
      <c r="RJM90" s="207" t="n"/>
      <c r="RJN90" s="207" t="n"/>
      <c r="RJO90" s="207" t="n"/>
      <c r="RJP90" s="207" t="n"/>
      <c r="RJQ90" s="207" t="n"/>
      <c r="RJR90" s="207" t="n"/>
      <c r="RJS90" s="207" t="n"/>
      <c r="RJT90" s="207" t="n"/>
      <c r="RJU90" s="207" t="n"/>
      <c r="RJV90" s="207" t="n"/>
      <c r="RJW90" s="207" t="n"/>
      <c r="RJX90" s="207" t="n"/>
      <c r="RJY90" s="207" t="n"/>
      <c r="RJZ90" s="207" t="n"/>
      <c r="RKA90" s="207" t="n"/>
      <c r="RKB90" s="207" t="n"/>
      <c r="RKC90" s="207" t="n"/>
      <c r="RKD90" s="207" t="n"/>
      <c r="RKE90" s="207" t="n"/>
      <c r="RKF90" s="207" t="n"/>
      <c r="RKG90" s="207" t="n"/>
      <c r="RKH90" s="207" t="n"/>
      <c r="RKI90" s="207" t="n"/>
      <c r="RKJ90" s="207" t="n"/>
      <c r="RKK90" s="207" t="n"/>
      <c r="RKL90" s="207" t="n"/>
      <c r="RKM90" s="207" t="n"/>
      <c r="RKN90" s="207" t="n"/>
      <c r="RKO90" s="207" t="n"/>
      <c r="RKP90" s="207" t="n"/>
      <c r="RKQ90" s="207" t="n"/>
      <c r="RKR90" s="207" t="n"/>
      <c r="RKS90" s="207" t="n"/>
      <c r="RKT90" s="207" t="n"/>
      <c r="RKU90" s="207" t="n"/>
      <c r="RKV90" s="207" t="n"/>
      <c r="RKW90" s="207" t="n"/>
      <c r="RKX90" s="207" t="n"/>
      <c r="RKY90" s="207" t="n"/>
      <c r="RKZ90" s="207" t="n"/>
      <c r="RLA90" s="207" t="n"/>
      <c r="RLB90" s="207" t="n"/>
      <c r="RLC90" s="207" t="n"/>
      <c r="RLD90" s="207" t="n"/>
      <c r="RLE90" s="207" t="n"/>
      <c r="RLF90" s="207" t="n"/>
      <c r="RLG90" s="207" t="n"/>
      <c r="RLH90" s="207" t="n"/>
      <c r="RLI90" s="207" t="n"/>
      <c r="RLJ90" s="207" t="n"/>
      <c r="RLK90" s="207" t="n"/>
      <c r="RLL90" s="207" t="n"/>
      <c r="RLM90" s="207" t="n"/>
      <c r="RLN90" s="207" t="n"/>
      <c r="RLO90" s="207" t="n"/>
      <c r="RLP90" s="207" t="n"/>
      <c r="RLQ90" s="207" t="n"/>
      <c r="RLR90" s="207" t="n"/>
      <c r="RLS90" s="207" t="n"/>
      <c r="RLT90" s="207" t="n"/>
      <c r="RLU90" s="207" t="n"/>
      <c r="RLV90" s="207" t="n"/>
      <c r="RLW90" s="207" t="n"/>
      <c r="RLX90" s="207" t="n"/>
      <c r="RLY90" s="207" t="n"/>
      <c r="RLZ90" s="207" t="n"/>
      <c r="RMA90" s="207" t="n"/>
      <c r="RMB90" s="207" t="n"/>
      <c r="RMC90" s="207" t="n"/>
      <c r="RMD90" s="207" t="n"/>
      <c r="RME90" s="207" t="n"/>
      <c r="RMF90" s="207" t="n"/>
      <c r="RMG90" s="207" t="n"/>
      <c r="RMH90" s="207" t="n"/>
      <c r="RMI90" s="207" t="n"/>
      <c r="RMJ90" s="207" t="n"/>
      <c r="RMK90" s="207" t="n"/>
      <c r="RML90" s="207" t="n"/>
      <c r="RMM90" s="207" t="n"/>
      <c r="RMN90" s="207" t="n"/>
      <c r="RMO90" s="207" t="n"/>
      <c r="RMP90" s="207" t="n"/>
      <c r="RMQ90" s="207" t="n"/>
      <c r="RMR90" s="207" t="n"/>
      <c r="RMS90" s="207" t="n"/>
      <c r="RMT90" s="207" t="n"/>
      <c r="RMU90" s="207" t="n"/>
      <c r="RMV90" s="207" t="n"/>
      <c r="RMW90" s="207" t="n"/>
      <c r="RMX90" s="207" t="n"/>
      <c r="RMY90" s="207" t="n"/>
      <c r="RMZ90" s="207" t="n"/>
      <c r="RNA90" s="207" t="n"/>
      <c r="RNB90" s="207" t="n"/>
      <c r="RNC90" s="207" t="n"/>
      <c r="RND90" s="207" t="n"/>
      <c r="RNE90" s="207" t="n"/>
      <c r="RNF90" s="207" t="n"/>
      <c r="RNG90" s="207" t="n"/>
      <c r="RNH90" s="207" t="n"/>
      <c r="RNI90" s="207" t="n"/>
      <c r="RNJ90" s="207" t="n"/>
      <c r="RNK90" s="207" t="n"/>
      <c r="RNL90" s="207" t="n"/>
      <c r="RNM90" s="207" t="n"/>
      <c r="RNN90" s="207" t="n"/>
      <c r="RNO90" s="207" t="n"/>
      <c r="RNP90" s="207" t="n"/>
      <c r="RNQ90" s="207" t="n"/>
      <c r="RNR90" s="207" t="n"/>
      <c r="RNS90" s="207" t="n"/>
      <c r="RNT90" s="207" t="n"/>
      <c r="RNU90" s="207" t="n"/>
      <c r="RNV90" s="207" t="n"/>
      <c r="RNW90" s="207" t="n"/>
      <c r="RNX90" s="207" t="n"/>
      <c r="RNY90" s="207" t="n"/>
      <c r="RNZ90" s="207" t="n"/>
      <c r="ROA90" s="207" t="n"/>
      <c r="ROB90" s="207" t="n"/>
      <c r="ROC90" s="207" t="n"/>
      <c r="ROD90" s="207" t="n"/>
      <c r="ROE90" s="207" t="n"/>
      <c r="ROF90" s="207" t="n"/>
      <c r="ROG90" s="207" t="n"/>
      <c r="ROH90" s="207" t="n"/>
      <c r="ROI90" s="207" t="n"/>
      <c r="ROJ90" s="207" t="n"/>
      <c r="ROK90" s="207" t="n"/>
      <c r="ROL90" s="207" t="n"/>
      <c r="ROM90" s="207" t="n"/>
      <c r="RON90" s="207" t="n"/>
      <c r="ROO90" s="207" t="n"/>
      <c r="ROP90" s="207" t="n"/>
      <c r="ROQ90" s="207" t="n"/>
      <c r="ROR90" s="207" t="n"/>
      <c r="ROS90" s="207" t="n"/>
      <c r="ROT90" s="207" t="n"/>
      <c r="ROU90" s="207" t="n"/>
      <c r="ROV90" s="207" t="n"/>
      <c r="ROW90" s="207" t="n"/>
      <c r="ROX90" s="207" t="n"/>
      <c r="ROY90" s="207" t="n"/>
      <c r="ROZ90" s="207" t="n"/>
      <c r="RPA90" s="207" t="n"/>
      <c r="RPB90" s="207" t="n"/>
      <c r="RPC90" s="207" t="n"/>
      <c r="RPD90" s="207" t="n"/>
      <c r="RPE90" s="207" t="n"/>
      <c r="RPF90" s="207" t="n"/>
      <c r="RPG90" s="207" t="n"/>
      <c r="RPH90" s="207" t="n"/>
      <c r="RPI90" s="207" t="n"/>
      <c r="RPJ90" s="207" t="n"/>
      <c r="RPK90" s="207" t="n"/>
      <c r="RPL90" s="207" t="n"/>
      <c r="RPM90" s="207" t="n"/>
      <c r="RPN90" s="207" t="n"/>
      <c r="RPO90" s="207" t="n"/>
      <c r="RPP90" s="207" t="n"/>
      <c r="RPQ90" s="207" t="n"/>
      <c r="RPR90" s="207" t="n"/>
      <c r="RPS90" s="207" t="n"/>
      <c r="RPT90" s="207" t="n"/>
      <c r="RPU90" s="207" t="n"/>
      <c r="RPV90" s="207" t="n"/>
      <c r="RPW90" s="207" t="n"/>
      <c r="RPX90" s="207" t="n"/>
      <c r="RPY90" s="207" t="n"/>
      <c r="RPZ90" s="207" t="n"/>
      <c r="RQA90" s="207" t="n"/>
      <c r="RQB90" s="207" t="n"/>
      <c r="RQC90" s="207" t="n"/>
      <c r="RQD90" s="207" t="n"/>
      <c r="RQE90" s="207" t="n"/>
      <c r="RQF90" s="207" t="n"/>
      <c r="RQG90" s="207" t="n"/>
      <c r="RQH90" s="207" t="n"/>
      <c r="RQI90" s="207" t="n"/>
      <c r="RQJ90" s="207" t="n"/>
      <c r="RQK90" s="207" t="n"/>
      <c r="RQL90" s="207" t="n"/>
      <c r="RQM90" s="207" t="n"/>
      <c r="RQN90" s="207" t="n"/>
      <c r="RQO90" s="207" t="n"/>
      <c r="RQP90" s="207" t="n"/>
      <c r="RQQ90" s="207" t="n"/>
      <c r="RQR90" s="207" t="n"/>
      <c r="RQS90" s="207" t="n"/>
      <c r="RQT90" s="207" t="n"/>
      <c r="RQU90" s="207" t="n"/>
      <c r="RQV90" s="207" t="n"/>
      <c r="RQW90" s="207" t="n"/>
      <c r="RQX90" s="207" t="n"/>
      <c r="RQY90" s="207" t="n"/>
      <c r="RQZ90" s="207" t="n"/>
      <c r="RRA90" s="207" t="n"/>
      <c r="RRB90" s="207" t="n"/>
      <c r="RRC90" s="207" t="n"/>
      <c r="RRD90" s="207" t="n"/>
      <c r="RRE90" s="207" t="n"/>
      <c r="RRF90" s="207" t="n"/>
      <c r="RRG90" s="207" t="n"/>
      <c r="RRH90" s="207" t="n"/>
      <c r="RRI90" s="207" t="n"/>
      <c r="RRJ90" s="207" t="n"/>
      <c r="RRK90" s="207" t="n"/>
      <c r="RRL90" s="207" t="n"/>
      <c r="RRM90" s="207" t="n"/>
      <c r="RRN90" s="207" t="n"/>
      <c r="RRO90" s="207" t="n"/>
      <c r="RRP90" s="207" t="n"/>
      <c r="RRQ90" s="207" t="n"/>
      <c r="RRR90" s="207" t="n"/>
      <c r="RRS90" s="207" t="n"/>
      <c r="RRT90" s="207" t="n"/>
      <c r="RRU90" s="207" t="n"/>
      <c r="RRV90" s="207" t="n"/>
      <c r="RRW90" s="207" t="n"/>
      <c r="RRX90" s="207" t="n"/>
      <c r="RRY90" s="207" t="n"/>
      <c r="RRZ90" s="207" t="n"/>
      <c r="RSA90" s="207" t="n"/>
      <c r="RSB90" s="207" t="n"/>
      <c r="RSC90" s="207" t="n"/>
      <c r="RSD90" s="207" t="n"/>
      <c r="RSE90" s="207" t="n"/>
      <c r="RSF90" s="207" t="n"/>
      <c r="RSG90" s="207" t="n"/>
      <c r="RSH90" s="207" t="n"/>
      <c r="RSI90" s="207" t="n"/>
      <c r="RSJ90" s="207" t="n"/>
      <c r="RSK90" s="207" t="n"/>
      <c r="RSL90" s="207" t="n"/>
      <c r="RSM90" s="207" t="n"/>
      <c r="RSN90" s="207" t="n"/>
      <c r="RSO90" s="207" t="n"/>
      <c r="RSP90" s="207" t="n"/>
      <c r="RSQ90" s="207" t="n"/>
      <c r="RSR90" s="207" t="n"/>
      <c r="RSS90" s="207" t="n"/>
      <c r="RST90" s="207" t="n"/>
      <c r="RSU90" s="207" t="n"/>
      <c r="RSV90" s="207" t="n"/>
      <c r="RSW90" s="207" t="n"/>
      <c r="RSX90" s="207" t="n"/>
      <c r="RSY90" s="207" t="n"/>
      <c r="RSZ90" s="207" t="n"/>
      <c r="RTA90" s="207" t="n"/>
      <c r="RTB90" s="207" t="n"/>
      <c r="RTC90" s="207" t="n"/>
      <c r="RTD90" s="207" t="n"/>
      <c r="RTE90" s="207" t="n"/>
      <c r="RTF90" s="207" t="n"/>
      <c r="RTG90" s="207" t="n"/>
      <c r="RTH90" s="207" t="n"/>
      <c r="RTI90" s="207" t="n"/>
      <c r="RTJ90" s="207" t="n"/>
      <c r="RTK90" s="207" t="n"/>
      <c r="RTL90" s="207" t="n"/>
      <c r="RTM90" s="207" t="n"/>
      <c r="RTN90" s="207" t="n"/>
      <c r="RTO90" s="207" t="n"/>
      <c r="RTP90" s="207" t="n"/>
      <c r="RTQ90" s="207" t="n"/>
      <c r="RTR90" s="207" t="n"/>
      <c r="RTS90" s="207" t="n"/>
      <c r="RTT90" s="207" t="n"/>
      <c r="RTU90" s="207" t="n"/>
      <c r="RTV90" s="207" t="n"/>
      <c r="RTW90" s="207" t="n"/>
      <c r="RTX90" s="207" t="n"/>
      <c r="RTY90" s="207" t="n"/>
      <c r="RTZ90" s="207" t="n"/>
      <c r="RUA90" s="207" t="n"/>
      <c r="RUB90" s="207" t="n"/>
      <c r="RUC90" s="207" t="n"/>
      <c r="RUD90" s="207" t="n"/>
      <c r="RUE90" s="207" t="n"/>
      <c r="RUF90" s="207" t="n"/>
      <c r="RUG90" s="207" t="n"/>
      <c r="RUH90" s="207" t="n"/>
      <c r="RUI90" s="207" t="n"/>
      <c r="RUJ90" s="207" t="n"/>
      <c r="RUK90" s="207" t="n"/>
      <c r="RUL90" s="207" t="n"/>
      <c r="RUM90" s="207" t="n"/>
      <c r="RUN90" s="207" t="n"/>
      <c r="RUO90" s="207" t="n"/>
      <c r="RUP90" s="207" t="n"/>
      <c r="RUQ90" s="207" t="n"/>
      <c r="RUR90" s="207" t="n"/>
      <c r="RUS90" s="207" t="n"/>
      <c r="RUT90" s="207" t="n"/>
      <c r="RUU90" s="207" t="n"/>
      <c r="RUV90" s="207" t="n"/>
      <c r="RUW90" s="207" t="n"/>
      <c r="RUX90" s="207" t="n"/>
      <c r="RUY90" s="207" t="n"/>
      <c r="RUZ90" s="207" t="n"/>
      <c r="RVA90" s="207" t="n"/>
      <c r="RVB90" s="207" t="n"/>
      <c r="RVC90" s="207" t="n"/>
      <c r="RVD90" s="207" t="n"/>
      <c r="RVE90" s="207" t="n"/>
      <c r="RVF90" s="207" t="n"/>
      <c r="RVG90" s="207" t="n"/>
      <c r="RVH90" s="207" t="n"/>
      <c r="RVI90" s="207" t="n"/>
      <c r="RVJ90" s="207" t="n"/>
      <c r="RVK90" s="207" t="n"/>
      <c r="RVL90" s="207" t="n"/>
      <c r="RVM90" s="207" t="n"/>
      <c r="RVN90" s="207" t="n"/>
      <c r="RVO90" s="207" t="n"/>
      <c r="RVP90" s="207" t="n"/>
      <c r="RVQ90" s="207" t="n"/>
      <c r="RVR90" s="207" t="n"/>
      <c r="RVS90" s="207" t="n"/>
      <c r="RVT90" s="207" t="n"/>
      <c r="RVU90" s="207" t="n"/>
      <c r="RVV90" s="207" t="n"/>
      <c r="RVW90" s="207" t="n"/>
      <c r="RVX90" s="207" t="n"/>
      <c r="RVY90" s="207" t="n"/>
      <c r="RVZ90" s="207" t="n"/>
      <c r="RWA90" s="207" t="n"/>
      <c r="RWB90" s="207" t="n"/>
      <c r="RWC90" s="207" t="n"/>
      <c r="RWD90" s="207" t="n"/>
      <c r="RWE90" s="207" t="n"/>
      <c r="RWF90" s="207" t="n"/>
      <c r="RWG90" s="207" t="n"/>
      <c r="RWH90" s="207" t="n"/>
      <c r="RWI90" s="207" t="n"/>
      <c r="RWJ90" s="207" t="n"/>
      <c r="RWK90" s="207" t="n"/>
      <c r="RWL90" s="207" t="n"/>
      <c r="RWM90" s="207" t="n"/>
      <c r="RWN90" s="207" t="n"/>
      <c r="RWO90" s="207" t="n"/>
      <c r="RWP90" s="207" t="n"/>
      <c r="RWQ90" s="207" t="n"/>
      <c r="RWR90" s="207" t="n"/>
      <c r="RWS90" s="207" t="n"/>
      <c r="RWT90" s="207" t="n"/>
      <c r="RWU90" s="207" t="n"/>
      <c r="RWV90" s="207" t="n"/>
      <c r="RWW90" s="207" t="n"/>
      <c r="RWX90" s="207" t="n"/>
      <c r="RWY90" s="207" t="n"/>
      <c r="RWZ90" s="207" t="n"/>
      <c r="RXA90" s="207" t="n"/>
      <c r="RXB90" s="207" t="n"/>
      <c r="RXC90" s="207" t="n"/>
      <c r="RXD90" s="207" t="n"/>
      <c r="RXE90" s="207" t="n"/>
      <c r="RXF90" s="207" t="n"/>
      <c r="RXG90" s="207" t="n"/>
      <c r="RXH90" s="207" t="n"/>
      <c r="RXI90" s="207" t="n"/>
      <c r="RXJ90" s="207" t="n"/>
      <c r="RXK90" s="207" t="n"/>
      <c r="RXL90" s="207" t="n"/>
      <c r="RXM90" s="207" t="n"/>
      <c r="RXN90" s="207" t="n"/>
      <c r="RXO90" s="207" t="n"/>
      <c r="RXP90" s="207" t="n"/>
      <c r="RXQ90" s="207" t="n"/>
      <c r="RXR90" s="207" t="n"/>
      <c r="RXS90" s="207" t="n"/>
      <c r="RXT90" s="207" t="n"/>
      <c r="RXU90" s="207" t="n"/>
      <c r="RXV90" s="207" t="n"/>
      <c r="RXW90" s="207" t="n"/>
      <c r="RXX90" s="207" t="n"/>
      <c r="RXY90" s="207" t="n"/>
      <c r="RXZ90" s="207" t="n"/>
      <c r="RYA90" s="207" t="n"/>
      <c r="RYB90" s="207" t="n"/>
      <c r="RYC90" s="207" t="n"/>
      <c r="RYD90" s="207" t="n"/>
      <c r="RYE90" s="207" t="n"/>
      <c r="RYF90" s="207" t="n"/>
      <c r="RYG90" s="207" t="n"/>
      <c r="RYH90" s="207" t="n"/>
      <c r="RYI90" s="207" t="n"/>
      <c r="RYJ90" s="207" t="n"/>
      <c r="RYK90" s="207" t="n"/>
      <c r="RYL90" s="207" t="n"/>
      <c r="RYM90" s="207" t="n"/>
      <c r="RYN90" s="207" t="n"/>
      <c r="RYO90" s="207" t="n"/>
      <c r="RYP90" s="207" t="n"/>
      <c r="RYQ90" s="207" t="n"/>
      <c r="RYR90" s="207" t="n"/>
      <c r="RYS90" s="207" t="n"/>
      <c r="RYT90" s="207" t="n"/>
      <c r="RYU90" s="207" t="n"/>
      <c r="RYV90" s="207" t="n"/>
      <c r="RYW90" s="207" t="n"/>
      <c r="RYX90" s="207" t="n"/>
      <c r="RYY90" s="207" t="n"/>
      <c r="RYZ90" s="207" t="n"/>
      <c r="RZA90" s="207" t="n"/>
      <c r="RZB90" s="207" t="n"/>
      <c r="RZC90" s="207" t="n"/>
      <c r="RZD90" s="207" t="n"/>
      <c r="RZE90" s="207" t="n"/>
      <c r="RZF90" s="207" t="n"/>
      <c r="RZG90" s="207" t="n"/>
      <c r="RZH90" s="207" t="n"/>
      <c r="RZI90" s="207" t="n"/>
      <c r="RZJ90" s="207" t="n"/>
      <c r="RZK90" s="207" t="n"/>
      <c r="RZL90" s="207" t="n"/>
      <c r="RZM90" s="207" t="n"/>
      <c r="RZN90" s="207" t="n"/>
      <c r="RZO90" s="207" t="n"/>
      <c r="RZP90" s="207" t="n"/>
      <c r="RZQ90" s="207" t="n"/>
      <c r="RZR90" s="207" t="n"/>
      <c r="RZS90" s="207" t="n"/>
      <c r="RZT90" s="207" t="n"/>
      <c r="RZU90" s="207" t="n"/>
      <c r="RZV90" s="207" t="n"/>
      <c r="RZW90" s="207" t="n"/>
      <c r="RZX90" s="207" t="n"/>
      <c r="RZY90" s="207" t="n"/>
      <c r="RZZ90" s="207" t="n"/>
      <c r="SAA90" s="207" t="n"/>
      <c r="SAB90" s="207" t="n"/>
      <c r="SAC90" s="207" t="n"/>
      <c r="SAD90" s="207" t="n"/>
      <c r="SAE90" s="207" t="n"/>
      <c r="SAF90" s="207" t="n"/>
      <c r="SAG90" s="207" t="n"/>
      <c r="SAH90" s="207" t="n"/>
      <c r="SAI90" s="207" t="n"/>
      <c r="SAJ90" s="207" t="n"/>
      <c r="SAK90" s="207" t="n"/>
      <c r="SAL90" s="207" t="n"/>
      <c r="SAM90" s="207" t="n"/>
      <c r="SAN90" s="207" t="n"/>
      <c r="SAO90" s="207" t="n"/>
      <c r="SAP90" s="207" t="n"/>
      <c r="SAQ90" s="207" t="n"/>
      <c r="SAR90" s="207" t="n"/>
      <c r="SAS90" s="207" t="n"/>
      <c r="SAT90" s="207" t="n"/>
      <c r="SAU90" s="207" t="n"/>
      <c r="SAV90" s="207" t="n"/>
      <c r="SAW90" s="207" t="n"/>
      <c r="SAX90" s="207" t="n"/>
      <c r="SAY90" s="207" t="n"/>
      <c r="SAZ90" s="207" t="n"/>
      <c r="SBA90" s="207" t="n"/>
      <c r="SBB90" s="207" t="n"/>
      <c r="SBC90" s="207" t="n"/>
      <c r="SBD90" s="207" t="n"/>
      <c r="SBE90" s="207" t="n"/>
      <c r="SBF90" s="207" t="n"/>
      <c r="SBG90" s="207" t="n"/>
      <c r="SBH90" s="207" t="n"/>
      <c r="SBI90" s="207" t="n"/>
      <c r="SBJ90" s="207" t="n"/>
      <c r="SBK90" s="207" t="n"/>
      <c r="SBL90" s="207" t="n"/>
      <c r="SBM90" s="207" t="n"/>
      <c r="SBN90" s="207" t="n"/>
      <c r="SBO90" s="207" t="n"/>
      <c r="SBP90" s="207" t="n"/>
      <c r="SBQ90" s="207" t="n"/>
      <c r="SBR90" s="207" t="n"/>
      <c r="SBS90" s="207" t="n"/>
      <c r="SBT90" s="207" t="n"/>
      <c r="SBU90" s="207" t="n"/>
      <c r="SBV90" s="207" t="n"/>
      <c r="SBW90" s="207" t="n"/>
      <c r="SBX90" s="207" t="n"/>
      <c r="SBY90" s="207" t="n"/>
      <c r="SBZ90" s="207" t="n"/>
      <c r="SCA90" s="207" t="n"/>
      <c r="SCB90" s="207" t="n"/>
      <c r="SCC90" s="207" t="n"/>
      <c r="SCD90" s="207" t="n"/>
      <c r="SCE90" s="207" t="n"/>
      <c r="SCF90" s="207" t="n"/>
      <c r="SCG90" s="207" t="n"/>
      <c r="SCH90" s="207" t="n"/>
      <c r="SCI90" s="207" t="n"/>
      <c r="SCJ90" s="207" t="n"/>
      <c r="SCK90" s="207" t="n"/>
      <c r="SCL90" s="207" t="n"/>
      <c r="SCM90" s="207" t="n"/>
      <c r="SCN90" s="207" t="n"/>
      <c r="SCO90" s="207" t="n"/>
      <c r="SCP90" s="207" t="n"/>
      <c r="SCQ90" s="207" t="n"/>
      <c r="SCR90" s="207" t="n"/>
      <c r="SCS90" s="207" t="n"/>
      <c r="SCT90" s="207" t="n"/>
      <c r="SCU90" s="207" t="n"/>
      <c r="SCV90" s="207" t="n"/>
      <c r="SCW90" s="207" t="n"/>
      <c r="SCX90" s="207" t="n"/>
      <c r="SCY90" s="207" t="n"/>
      <c r="SCZ90" s="207" t="n"/>
      <c r="SDA90" s="207" t="n"/>
      <c r="SDB90" s="207" t="n"/>
      <c r="SDC90" s="207" t="n"/>
      <c r="SDD90" s="207" t="n"/>
      <c r="SDE90" s="207" t="n"/>
      <c r="SDF90" s="207" t="n"/>
      <c r="SDG90" s="207" t="n"/>
      <c r="SDH90" s="207" t="n"/>
      <c r="SDI90" s="207" t="n"/>
      <c r="SDJ90" s="207" t="n"/>
      <c r="SDK90" s="207" t="n"/>
      <c r="SDL90" s="207" t="n"/>
      <c r="SDM90" s="207" t="n"/>
      <c r="SDN90" s="207" t="n"/>
      <c r="SDO90" s="207" t="n"/>
      <c r="SDP90" s="207" t="n"/>
      <c r="SDQ90" s="207" t="n"/>
      <c r="SDR90" s="207" t="n"/>
      <c r="SDS90" s="207" t="n"/>
      <c r="SDT90" s="207" t="n"/>
      <c r="SDU90" s="207" t="n"/>
      <c r="SDV90" s="207" t="n"/>
      <c r="SDW90" s="207" t="n"/>
      <c r="SDX90" s="207" t="n"/>
      <c r="SDY90" s="207" t="n"/>
      <c r="SDZ90" s="207" t="n"/>
      <c r="SEA90" s="207" t="n"/>
      <c r="SEB90" s="207" t="n"/>
      <c r="SEC90" s="207" t="n"/>
      <c r="SED90" s="207" t="n"/>
      <c r="SEE90" s="207" t="n"/>
      <c r="SEF90" s="207" t="n"/>
      <c r="SEG90" s="207" t="n"/>
      <c r="SEH90" s="207" t="n"/>
      <c r="SEI90" s="207" t="n"/>
      <c r="SEJ90" s="207" t="n"/>
      <c r="SEK90" s="207" t="n"/>
      <c r="SEL90" s="207" t="n"/>
      <c r="SEM90" s="207" t="n"/>
      <c r="SEN90" s="207" t="n"/>
      <c r="SEO90" s="207" t="n"/>
      <c r="SEP90" s="207" t="n"/>
      <c r="SEQ90" s="207" t="n"/>
      <c r="SER90" s="207" t="n"/>
      <c r="SES90" s="207" t="n"/>
      <c r="SET90" s="207" t="n"/>
      <c r="SEU90" s="207" t="n"/>
      <c r="SEV90" s="207" t="n"/>
      <c r="SEW90" s="207" t="n"/>
      <c r="SEX90" s="207" t="n"/>
      <c r="SEY90" s="207" t="n"/>
      <c r="SEZ90" s="207" t="n"/>
      <c r="SFA90" s="207" t="n"/>
      <c r="SFB90" s="207" t="n"/>
      <c r="SFC90" s="207" t="n"/>
      <c r="SFD90" s="207" t="n"/>
      <c r="SFE90" s="207" t="n"/>
      <c r="SFF90" s="207" t="n"/>
      <c r="SFG90" s="207" t="n"/>
      <c r="SFH90" s="207" t="n"/>
      <c r="SFI90" s="207" t="n"/>
      <c r="SFJ90" s="207" t="n"/>
      <c r="SFK90" s="207" t="n"/>
      <c r="SFL90" s="207" t="n"/>
      <c r="SFM90" s="207" t="n"/>
      <c r="SFN90" s="207" t="n"/>
      <c r="SFO90" s="207" t="n"/>
      <c r="SFP90" s="207" t="n"/>
      <c r="SFQ90" s="207" t="n"/>
      <c r="SFR90" s="207" t="n"/>
      <c r="SFS90" s="207" t="n"/>
      <c r="SFT90" s="207" t="n"/>
      <c r="SFU90" s="207" t="n"/>
      <c r="SFV90" s="207" t="n"/>
      <c r="SFW90" s="207" t="n"/>
      <c r="SFX90" s="207" t="n"/>
      <c r="SFY90" s="207" t="n"/>
      <c r="SFZ90" s="207" t="n"/>
      <c r="SGA90" s="207" t="n"/>
      <c r="SGB90" s="207" t="n"/>
      <c r="SGC90" s="207" t="n"/>
      <c r="SGD90" s="207" t="n"/>
      <c r="SGE90" s="207" t="n"/>
      <c r="SGF90" s="207" t="n"/>
      <c r="SGG90" s="207" t="n"/>
      <c r="SGH90" s="207" t="n"/>
      <c r="SGI90" s="207" t="n"/>
      <c r="SGJ90" s="207" t="n"/>
      <c r="SGK90" s="207" t="n"/>
      <c r="SGL90" s="207" t="n"/>
      <c r="SGM90" s="207" t="n"/>
      <c r="SGN90" s="207" t="n"/>
      <c r="SGO90" s="207" t="n"/>
      <c r="SGP90" s="207" t="n"/>
      <c r="SGQ90" s="207" t="n"/>
      <c r="SGR90" s="207" t="n"/>
      <c r="SGS90" s="207" t="n"/>
      <c r="SGT90" s="207" t="n"/>
      <c r="SGU90" s="207" t="n"/>
      <c r="SGV90" s="207" t="n"/>
      <c r="SGW90" s="207" t="n"/>
      <c r="SGX90" s="207" t="n"/>
      <c r="SGY90" s="207" t="n"/>
      <c r="SGZ90" s="207" t="n"/>
      <c r="SHA90" s="207" t="n"/>
      <c r="SHB90" s="207" t="n"/>
      <c r="SHC90" s="207" t="n"/>
      <c r="SHD90" s="207" t="n"/>
      <c r="SHE90" s="207" t="n"/>
      <c r="SHF90" s="207" t="n"/>
      <c r="SHG90" s="207" t="n"/>
      <c r="SHH90" s="207" t="n"/>
      <c r="SHI90" s="207" t="n"/>
      <c r="SHJ90" s="207" t="n"/>
      <c r="SHK90" s="207" t="n"/>
      <c r="SHL90" s="207" t="n"/>
      <c r="SHM90" s="207" t="n"/>
      <c r="SHN90" s="207" t="n"/>
      <c r="SHO90" s="207" t="n"/>
      <c r="SHP90" s="207" t="n"/>
      <c r="SHQ90" s="207" t="n"/>
      <c r="SHR90" s="207" t="n"/>
      <c r="SHS90" s="207" t="n"/>
      <c r="SHT90" s="207" t="n"/>
      <c r="SHU90" s="207" t="n"/>
      <c r="SHV90" s="207" t="n"/>
      <c r="SHW90" s="207" t="n"/>
      <c r="SHX90" s="207" t="n"/>
      <c r="SHY90" s="207" t="n"/>
      <c r="SHZ90" s="207" t="n"/>
      <c r="SIA90" s="207" t="n"/>
      <c r="SIB90" s="207" t="n"/>
      <c r="SIC90" s="207" t="n"/>
      <c r="SID90" s="207" t="n"/>
      <c r="SIE90" s="207" t="n"/>
      <c r="SIF90" s="207" t="n"/>
      <c r="SIG90" s="207" t="n"/>
      <c r="SIH90" s="207" t="n"/>
      <c r="SII90" s="207" t="n"/>
      <c r="SIJ90" s="207" t="n"/>
      <c r="SIK90" s="207" t="n"/>
      <c r="SIL90" s="207" t="n"/>
      <c r="SIM90" s="207" t="n"/>
      <c r="SIN90" s="207" t="n"/>
      <c r="SIO90" s="207" t="n"/>
      <c r="SIP90" s="207" t="n"/>
      <c r="SIQ90" s="207" t="n"/>
      <c r="SIR90" s="207" t="n"/>
      <c r="SIS90" s="207" t="n"/>
      <c r="SIT90" s="207" t="n"/>
      <c r="SIU90" s="207" t="n"/>
      <c r="SIV90" s="207" t="n"/>
      <c r="SIW90" s="207" t="n"/>
      <c r="SIX90" s="207" t="n"/>
      <c r="SIY90" s="207" t="n"/>
      <c r="SIZ90" s="207" t="n"/>
      <c r="SJA90" s="207" t="n"/>
      <c r="SJB90" s="207" t="n"/>
      <c r="SJC90" s="207" t="n"/>
      <c r="SJD90" s="207" t="n"/>
      <c r="SJE90" s="207" t="n"/>
      <c r="SJF90" s="207" t="n"/>
      <c r="SJG90" s="207" t="n"/>
      <c r="SJH90" s="207" t="n"/>
      <c r="SJI90" s="207" t="n"/>
      <c r="SJJ90" s="207" t="n"/>
      <c r="SJK90" s="207" t="n"/>
      <c r="SJL90" s="207" t="n"/>
      <c r="SJM90" s="207" t="n"/>
      <c r="SJN90" s="207" t="n"/>
      <c r="SJO90" s="207" t="n"/>
      <c r="SJP90" s="207" t="n"/>
      <c r="SJQ90" s="207" t="n"/>
      <c r="SJR90" s="207" t="n"/>
      <c r="SJS90" s="207" t="n"/>
      <c r="SJT90" s="207" t="n"/>
      <c r="SJU90" s="207" t="n"/>
      <c r="SJV90" s="207" t="n"/>
      <c r="SJW90" s="207" t="n"/>
      <c r="SJX90" s="207" t="n"/>
      <c r="SJY90" s="207" t="n"/>
      <c r="SJZ90" s="207" t="n"/>
      <c r="SKA90" s="207" t="n"/>
      <c r="SKB90" s="207" t="n"/>
      <c r="SKC90" s="207" t="n"/>
      <c r="SKD90" s="207" t="n"/>
      <c r="SKE90" s="207" t="n"/>
      <c r="SKF90" s="207" t="n"/>
      <c r="SKG90" s="207" t="n"/>
      <c r="SKH90" s="207" t="n"/>
      <c r="SKI90" s="207" t="n"/>
      <c r="SKJ90" s="207" t="n"/>
      <c r="SKK90" s="207" t="n"/>
      <c r="SKL90" s="207" t="n"/>
      <c r="SKM90" s="207" t="n"/>
      <c r="SKN90" s="207" t="n"/>
      <c r="SKO90" s="207" t="n"/>
      <c r="SKP90" s="207" t="n"/>
      <c r="SKQ90" s="207" t="n"/>
      <c r="SKR90" s="207" t="n"/>
      <c r="SKS90" s="207" t="n"/>
      <c r="SKT90" s="207" t="n"/>
      <c r="SKU90" s="207" t="n"/>
      <c r="SKV90" s="207" t="n"/>
      <c r="SKW90" s="207" t="n"/>
      <c r="SKX90" s="207" t="n"/>
      <c r="SKY90" s="207" t="n"/>
      <c r="SKZ90" s="207" t="n"/>
      <c r="SLA90" s="207" t="n"/>
      <c r="SLB90" s="207" t="n"/>
      <c r="SLC90" s="207" t="n"/>
      <c r="SLD90" s="207" t="n"/>
      <c r="SLE90" s="207" t="n"/>
      <c r="SLF90" s="207" t="n"/>
      <c r="SLG90" s="207" t="n"/>
      <c r="SLH90" s="207" t="n"/>
      <c r="SLI90" s="207" t="n"/>
      <c r="SLJ90" s="207" t="n"/>
      <c r="SLK90" s="207" t="n"/>
      <c r="SLL90" s="207" t="n"/>
      <c r="SLM90" s="207" t="n"/>
      <c r="SLN90" s="207" t="n"/>
      <c r="SLO90" s="207" t="n"/>
      <c r="SLP90" s="207" t="n"/>
      <c r="SLQ90" s="207" t="n"/>
      <c r="SLR90" s="207" t="n"/>
      <c r="SLS90" s="207" t="n"/>
      <c r="SLT90" s="207" t="n"/>
      <c r="SLU90" s="207" t="n"/>
      <c r="SLV90" s="207" t="n"/>
      <c r="SLW90" s="207" t="n"/>
      <c r="SLX90" s="207" t="n"/>
      <c r="SLY90" s="207" t="n"/>
      <c r="SLZ90" s="207" t="n"/>
      <c r="SMA90" s="207" t="n"/>
      <c r="SMB90" s="207" t="n"/>
      <c r="SMC90" s="207" t="n"/>
      <c r="SMD90" s="207" t="n"/>
      <c r="SME90" s="207" t="n"/>
      <c r="SMF90" s="207" t="n"/>
      <c r="SMG90" s="207" t="n"/>
      <c r="SMH90" s="207" t="n"/>
      <c r="SMI90" s="207" t="n"/>
      <c r="SMJ90" s="207" t="n"/>
      <c r="SMK90" s="207" t="n"/>
      <c r="SML90" s="207" t="n"/>
      <c r="SMM90" s="207" t="n"/>
      <c r="SMN90" s="207" t="n"/>
      <c r="SMO90" s="207" t="n"/>
      <c r="SMP90" s="207" t="n"/>
      <c r="SMQ90" s="207" t="n"/>
      <c r="SMR90" s="207" t="n"/>
      <c r="SMS90" s="207" t="n"/>
      <c r="SMT90" s="207" t="n"/>
      <c r="SMU90" s="207" t="n"/>
      <c r="SMV90" s="207" t="n"/>
      <c r="SMW90" s="207" t="n"/>
      <c r="SMX90" s="207" t="n"/>
      <c r="SMY90" s="207" t="n"/>
      <c r="SMZ90" s="207" t="n"/>
      <c r="SNA90" s="207" t="n"/>
      <c r="SNB90" s="207" t="n"/>
      <c r="SNC90" s="207" t="n"/>
      <c r="SND90" s="207" t="n"/>
      <c r="SNE90" s="207" t="n"/>
      <c r="SNF90" s="207" t="n"/>
      <c r="SNG90" s="207" t="n"/>
      <c r="SNH90" s="207" t="n"/>
      <c r="SNI90" s="207" t="n"/>
      <c r="SNJ90" s="207" t="n"/>
      <c r="SNK90" s="207" t="n"/>
      <c r="SNL90" s="207" t="n"/>
      <c r="SNM90" s="207" t="n"/>
      <c r="SNN90" s="207" t="n"/>
      <c r="SNO90" s="207" t="n"/>
      <c r="SNP90" s="207" t="n"/>
      <c r="SNQ90" s="207" t="n"/>
      <c r="SNR90" s="207" t="n"/>
      <c r="SNS90" s="207" t="n"/>
      <c r="SNT90" s="207" t="n"/>
      <c r="SNU90" s="207" t="n"/>
      <c r="SNV90" s="207" t="n"/>
      <c r="SNW90" s="207" t="n"/>
      <c r="SNX90" s="207" t="n"/>
      <c r="SNY90" s="207" t="n"/>
      <c r="SNZ90" s="207" t="n"/>
      <c r="SOA90" s="207" t="n"/>
      <c r="SOB90" s="207" t="n"/>
      <c r="SOC90" s="207" t="n"/>
      <c r="SOD90" s="207" t="n"/>
      <c r="SOE90" s="207" t="n"/>
      <c r="SOF90" s="207" t="n"/>
      <c r="SOG90" s="207" t="n"/>
      <c r="SOH90" s="207" t="n"/>
      <c r="SOI90" s="207" t="n"/>
      <c r="SOJ90" s="207" t="n"/>
      <c r="SOK90" s="207" t="n"/>
      <c r="SOL90" s="207" t="n"/>
      <c r="SOM90" s="207" t="n"/>
      <c r="SON90" s="207" t="n"/>
      <c r="SOO90" s="207" t="n"/>
      <c r="SOP90" s="207" t="n"/>
      <c r="SOQ90" s="207" t="n"/>
      <c r="SOR90" s="207" t="n"/>
      <c r="SOS90" s="207" t="n"/>
      <c r="SOT90" s="207" t="n"/>
      <c r="SOU90" s="207" t="n"/>
      <c r="SOV90" s="207" t="n"/>
      <c r="SOW90" s="207" t="n"/>
      <c r="SOX90" s="207" t="n"/>
      <c r="SOY90" s="207" t="n"/>
      <c r="SOZ90" s="207" t="n"/>
      <c r="SPA90" s="207" t="n"/>
      <c r="SPB90" s="207" t="n"/>
      <c r="SPC90" s="207" t="n"/>
      <c r="SPD90" s="207" t="n"/>
      <c r="SPE90" s="207" t="n"/>
      <c r="SPF90" s="207" t="n"/>
      <c r="SPG90" s="207" t="n"/>
      <c r="SPH90" s="207" t="n"/>
      <c r="SPI90" s="207" t="n"/>
      <c r="SPJ90" s="207" t="n"/>
      <c r="SPK90" s="207" t="n"/>
      <c r="SPL90" s="207" t="n"/>
      <c r="SPM90" s="207" t="n"/>
      <c r="SPN90" s="207" t="n"/>
      <c r="SPO90" s="207" t="n"/>
      <c r="SPP90" s="207" t="n"/>
      <c r="SPQ90" s="207" t="n"/>
      <c r="SPR90" s="207" t="n"/>
      <c r="SPS90" s="207" t="n"/>
      <c r="SPT90" s="207" t="n"/>
      <c r="SPU90" s="207" t="n"/>
      <c r="SPV90" s="207" t="n"/>
      <c r="SPW90" s="207" t="n"/>
      <c r="SPX90" s="207" t="n"/>
      <c r="SPY90" s="207" t="n"/>
      <c r="SPZ90" s="207" t="n"/>
      <c r="SQA90" s="207" t="n"/>
      <c r="SQB90" s="207" t="n"/>
      <c r="SQC90" s="207" t="n"/>
      <c r="SQD90" s="207" t="n"/>
      <c r="SQE90" s="207" t="n"/>
      <c r="SQF90" s="207" t="n"/>
      <c r="SQG90" s="207" t="n"/>
      <c r="SQH90" s="207" t="n"/>
      <c r="SQI90" s="207" t="n"/>
      <c r="SQJ90" s="207" t="n"/>
      <c r="SQK90" s="207" t="n"/>
      <c r="SQL90" s="207" t="n"/>
      <c r="SQM90" s="207" t="n"/>
      <c r="SQN90" s="207" t="n"/>
      <c r="SQO90" s="207" t="n"/>
      <c r="SQP90" s="207" t="n"/>
      <c r="SQQ90" s="207" t="n"/>
      <c r="SQR90" s="207" t="n"/>
      <c r="SQS90" s="207" t="n"/>
      <c r="SQT90" s="207" t="n"/>
      <c r="SQU90" s="207" t="n"/>
      <c r="SQV90" s="207" t="n"/>
      <c r="SQW90" s="207" t="n"/>
      <c r="SQX90" s="207" t="n"/>
      <c r="SQY90" s="207" t="n"/>
      <c r="SQZ90" s="207" t="n"/>
      <c r="SRA90" s="207" t="n"/>
      <c r="SRB90" s="207" t="n"/>
      <c r="SRC90" s="207" t="n"/>
      <c r="SRD90" s="207" t="n"/>
      <c r="SRE90" s="207" t="n"/>
      <c r="SRF90" s="207" t="n"/>
      <c r="SRG90" s="207" t="n"/>
      <c r="SRH90" s="207" t="n"/>
      <c r="SRI90" s="207" t="n"/>
      <c r="SRJ90" s="207" t="n"/>
      <c r="SRK90" s="207" t="n"/>
      <c r="SRL90" s="207" t="n"/>
      <c r="SRM90" s="207" t="n"/>
      <c r="SRN90" s="207" t="n"/>
      <c r="SRO90" s="207" t="n"/>
      <c r="SRP90" s="207" t="n"/>
      <c r="SRQ90" s="207" t="n"/>
      <c r="SRR90" s="207" t="n"/>
      <c r="SRS90" s="207" t="n"/>
      <c r="SRT90" s="207" t="n"/>
      <c r="SRU90" s="207" t="n"/>
      <c r="SRV90" s="207" t="n"/>
      <c r="SRW90" s="207" t="n"/>
      <c r="SRX90" s="207" t="n"/>
      <c r="SRY90" s="207" t="n"/>
      <c r="SRZ90" s="207" t="n"/>
      <c r="SSA90" s="207" t="n"/>
      <c r="SSB90" s="207" t="n"/>
      <c r="SSC90" s="207" t="n"/>
      <c r="SSD90" s="207" t="n"/>
      <c r="SSE90" s="207" t="n"/>
      <c r="SSF90" s="207" t="n"/>
      <c r="SSG90" s="207" t="n"/>
      <c r="SSH90" s="207" t="n"/>
      <c r="SSI90" s="207" t="n"/>
      <c r="SSJ90" s="207" t="n"/>
      <c r="SSK90" s="207" t="n"/>
      <c r="SSL90" s="207" t="n"/>
      <c r="SSM90" s="207" t="n"/>
      <c r="SSN90" s="207" t="n"/>
      <c r="SSO90" s="207" t="n"/>
      <c r="SSP90" s="207" t="n"/>
      <c r="SSQ90" s="207" t="n"/>
      <c r="SSR90" s="207" t="n"/>
      <c r="SSS90" s="207" t="n"/>
      <c r="SST90" s="207" t="n"/>
      <c r="SSU90" s="207" t="n"/>
      <c r="SSV90" s="207" t="n"/>
      <c r="SSW90" s="207" t="n"/>
      <c r="SSX90" s="207" t="n"/>
      <c r="SSY90" s="207" t="n"/>
      <c r="SSZ90" s="207" t="n"/>
      <c r="STA90" s="207" t="n"/>
      <c r="STB90" s="207" t="n"/>
      <c r="STC90" s="207" t="n"/>
      <c r="STD90" s="207" t="n"/>
      <c r="STE90" s="207" t="n"/>
      <c r="STF90" s="207" t="n"/>
      <c r="STG90" s="207" t="n"/>
      <c r="STH90" s="207" t="n"/>
      <c r="STI90" s="207" t="n"/>
      <c r="STJ90" s="207" t="n"/>
      <c r="STK90" s="207" t="n"/>
      <c r="STL90" s="207" t="n"/>
      <c r="STM90" s="207" t="n"/>
      <c r="STN90" s="207" t="n"/>
      <c r="STO90" s="207" t="n"/>
      <c r="STP90" s="207" t="n"/>
      <c r="STQ90" s="207" t="n"/>
      <c r="STR90" s="207" t="n"/>
      <c r="STS90" s="207" t="n"/>
      <c r="STT90" s="207" t="n"/>
      <c r="STU90" s="207" t="n"/>
      <c r="STV90" s="207" t="n"/>
      <c r="STW90" s="207" t="n"/>
      <c r="STX90" s="207" t="n"/>
      <c r="STY90" s="207" t="n"/>
      <c r="STZ90" s="207" t="n"/>
      <c r="SUA90" s="207" t="n"/>
      <c r="SUB90" s="207" t="n"/>
      <c r="SUC90" s="207" t="n"/>
      <c r="SUD90" s="207" t="n"/>
      <c r="SUE90" s="207" t="n"/>
      <c r="SUF90" s="207" t="n"/>
      <c r="SUG90" s="207" t="n"/>
      <c r="SUH90" s="207" t="n"/>
      <c r="SUI90" s="207" t="n"/>
      <c r="SUJ90" s="207" t="n"/>
      <c r="SUK90" s="207" t="n"/>
      <c r="SUL90" s="207" t="n"/>
      <c r="SUM90" s="207" t="n"/>
      <c r="SUN90" s="207" t="n"/>
      <c r="SUO90" s="207" t="n"/>
      <c r="SUP90" s="207" t="n"/>
      <c r="SUQ90" s="207" t="n"/>
      <c r="SUR90" s="207" t="n"/>
      <c r="SUS90" s="207" t="n"/>
      <c r="SUT90" s="207" t="n"/>
      <c r="SUU90" s="207" t="n"/>
      <c r="SUV90" s="207" t="n"/>
      <c r="SUW90" s="207" t="n"/>
      <c r="SUX90" s="207" t="n"/>
      <c r="SUY90" s="207" t="n"/>
      <c r="SUZ90" s="207" t="n"/>
      <c r="SVA90" s="207" t="n"/>
      <c r="SVB90" s="207" t="n"/>
      <c r="SVC90" s="207" t="n"/>
      <c r="SVD90" s="207" t="n"/>
      <c r="SVE90" s="207" t="n"/>
      <c r="SVF90" s="207" t="n"/>
      <c r="SVG90" s="207" t="n"/>
      <c r="SVH90" s="207" t="n"/>
      <c r="SVI90" s="207" t="n"/>
      <c r="SVJ90" s="207" t="n"/>
      <c r="SVK90" s="207" t="n"/>
      <c r="SVL90" s="207" t="n"/>
      <c r="SVM90" s="207" t="n"/>
      <c r="SVN90" s="207" t="n"/>
      <c r="SVO90" s="207" t="n"/>
      <c r="SVP90" s="207" t="n"/>
      <c r="SVQ90" s="207" t="n"/>
      <c r="SVR90" s="207" t="n"/>
      <c r="SVS90" s="207" t="n"/>
      <c r="SVT90" s="207" t="n"/>
      <c r="SVU90" s="207" t="n"/>
      <c r="SVV90" s="207" t="n"/>
      <c r="SVW90" s="207" t="n"/>
      <c r="SVX90" s="207" t="n"/>
      <c r="SVY90" s="207" t="n"/>
      <c r="SVZ90" s="207" t="n"/>
      <c r="SWA90" s="207" t="n"/>
      <c r="SWB90" s="207" t="n"/>
      <c r="SWC90" s="207" t="n"/>
      <c r="SWD90" s="207" t="n"/>
      <c r="SWE90" s="207" t="n"/>
      <c r="SWF90" s="207" t="n"/>
      <c r="SWG90" s="207" t="n"/>
      <c r="SWH90" s="207" t="n"/>
      <c r="SWI90" s="207" t="n"/>
      <c r="SWJ90" s="207" t="n"/>
      <c r="SWK90" s="207" t="n"/>
      <c r="SWL90" s="207" t="n"/>
      <c r="SWM90" s="207" t="n"/>
      <c r="SWN90" s="207" t="n"/>
      <c r="SWO90" s="207" t="n"/>
      <c r="SWP90" s="207" t="n"/>
      <c r="SWQ90" s="207" t="n"/>
      <c r="SWR90" s="207" t="n"/>
      <c r="SWS90" s="207" t="n"/>
      <c r="SWT90" s="207" t="n"/>
      <c r="SWU90" s="207" t="n"/>
      <c r="SWV90" s="207" t="n"/>
      <c r="SWW90" s="207" t="n"/>
      <c r="SWX90" s="207" t="n"/>
      <c r="SWY90" s="207" t="n"/>
      <c r="SWZ90" s="207" t="n"/>
      <c r="SXA90" s="207" t="n"/>
      <c r="SXB90" s="207" t="n"/>
      <c r="SXC90" s="207" t="n"/>
      <c r="SXD90" s="207" t="n"/>
      <c r="SXE90" s="207" t="n"/>
      <c r="SXF90" s="207" t="n"/>
      <c r="SXG90" s="207" t="n"/>
      <c r="SXH90" s="207" t="n"/>
      <c r="SXI90" s="207" t="n"/>
      <c r="SXJ90" s="207" t="n"/>
      <c r="SXK90" s="207" t="n"/>
      <c r="SXL90" s="207" t="n"/>
      <c r="SXM90" s="207" t="n"/>
      <c r="SXN90" s="207" t="n"/>
      <c r="SXO90" s="207" t="n"/>
      <c r="SXP90" s="207" t="n"/>
      <c r="SXQ90" s="207" t="n"/>
      <c r="SXR90" s="207" t="n"/>
      <c r="SXS90" s="207" t="n"/>
      <c r="SXT90" s="207" t="n"/>
      <c r="SXU90" s="207" t="n"/>
      <c r="SXV90" s="207" t="n"/>
      <c r="SXW90" s="207" t="n"/>
      <c r="SXX90" s="207" t="n"/>
      <c r="SXY90" s="207" t="n"/>
      <c r="SXZ90" s="207" t="n"/>
      <c r="SYA90" s="207" t="n"/>
      <c r="SYB90" s="207" t="n"/>
      <c r="SYC90" s="207" t="n"/>
      <c r="SYD90" s="207" t="n"/>
      <c r="SYE90" s="207" t="n"/>
      <c r="SYF90" s="207" t="n"/>
      <c r="SYG90" s="207" t="n"/>
      <c r="SYH90" s="207" t="n"/>
      <c r="SYI90" s="207" t="n"/>
      <c r="SYJ90" s="207" t="n"/>
      <c r="SYK90" s="207" t="n"/>
      <c r="SYL90" s="207" t="n"/>
      <c r="SYM90" s="207" t="n"/>
      <c r="SYN90" s="207" t="n"/>
      <c r="SYO90" s="207" t="n"/>
      <c r="SYP90" s="207" t="n"/>
      <c r="SYQ90" s="207" t="n"/>
      <c r="SYR90" s="207" t="n"/>
      <c r="SYS90" s="207" t="n"/>
      <c r="SYT90" s="207" t="n"/>
      <c r="SYU90" s="207" t="n"/>
      <c r="SYV90" s="207" t="n"/>
      <c r="SYW90" s="207" t="n"/>
      <c r="SYX90" s="207" t="n"/>
      <c r="SYY90" s="207" t="n"/>
      <c r="SYZ90" s="207" t="n"/>
      <c r="SZA90" s="207" t="n"/>
      <c r="SZB90" s="207" t="n"/>
      <c r="SZC90" s="207" t="n"/>
      <c r="SZD90" s="207" t="n"/>
      <c r="SZE90" s="207" t="n"/>
      <c r="SZF90" s="207" t="n"/>
      <c r="SZG90" s="207" t="n"/>
      <c r="SZH90" s="207" t="n"/>
      <c r="SZI90" s="207" t="n"/>
      <c r="SZJ90" s="207" t="n"/>
      <c r="SZK90" s="207" t="n"/>
      <c r="SZL90" s="207" t="n"/>
      <c r="SZM90" s="207" t="n"/>
      <c r="SZN90" s="207" t="n"/>
      <c r="SZO90" s="207" t="n"/>
      <c r="SZP90" s="207" t="n"/>
      <c r="SZQ90" s="207" t="n"/>
      <c r="SZR90" s="207" t="n"/>
      <c r="SZS90" s="207" t="n"/>
      <c r="SZT90" s="207" t="n"/>
      <c r="SZU90" s="207" t="n"/>
      <c r="SZV90" s="207" t="n"/>
      <c r="SZW90" s="207" t="n"/>
      <c r="SZX90" s="207" t="n"/>
      <c r="SZY90" s="207" t="n"/>
      <c r="SZZ90" s="207" t="n"/>
      <c r="TAA90" s="207" t="n"/>
      <c r="TAB90" s="207" t="n"/>
      <c r="TAC90" s="207" t="n"/>
      <c r="TAD90" s="207" t="n"/>
      <c r="TAE90" s="207" t="n"/>
      <c r="TAF90" s="207" t="n"/>
      <c r="TAG90" s="207" t="n"/>
      <c r="TAH90" s="207" t="n"/>
      <c r="TAI90" s="207" t="n"/>
      <c r="TAJ90" s="207" t="n"/>
      <c r="TAK90" s="207" t="n"/>
      <c r="TAL90" s="207" t="n"/>
      <c r="TAM90" s="207" t="n"/>
      <c r="TAN90" s="207" t="n"/>
      <c r="TAO90" s="207" t="n"/>
      <c r="TAP90" s="207" t="n"/>
      <c r="TAQ90" s="207" t="n"/>
      <c r="TAR90" s="207" t="n"/>
      <c r="TAS90" s="207" t="n"/>
      <c r="TAT90" s="207" t="n"/>
      <c r="TAU90" s="207" t="n"/>
      <c r="TAV90" s="207" t="n"/>
      <c r="TAW90" s="207" t="n"/>
      <c r="TAX90" s="207" t="n"/>
      <c r="TAY90" s="207" t="n"/>
      <c r="TAZ90" s="207" t="n"/>
      <c r="TBA90" s="207" t="n"/>
      <c r="TBB90" s="207" t="n"/>
      <c r="TBC90" s="207" t="n"/>
      <c r="TBD90" s="207" t="n"/>
      <c r="TBE90" s="207" t="n"/>
      <c r="TBF90" s="207" t="n"/>
      <c r="TBG90" s="207" t="n"/>
      <c r="TBH90" s="207" t="n"/>
      <c r="TBI90" s="207" t="n"/>
      <c r="TBJ90" s="207" t="n"/>
      <c r="TBK90" s="207" t="n"/>
      <c r="TBL90" s="207" t="n"/>
      <c r="TBM90" s="207" t="n"/>
      <c r="TBN90" s="207" t="n"/>
      <c r="TBO90" s="207" t="n"/>
      <c r="TBP90" s="207" t="n"/>
      <c r="TBQ90" s="207" t="n"/>
      <c r="TBR90" s="207" t="n"/>
      <c r="TBS90" s="207" t="n"/>
      <c r="TBT90" s="207" t="n"/>
      <c r="TBU90" s="207" t="n"/>
      <c r="TBV90" s="207" t="n"/>
      <c r="TBW90" s="207" t="n"/>
      <c r="TBX90" s="207" t="n"/>
      <c r="TBY90" s="207" t="n"/>
      <c r="TBZ90" s="207" t="n"/>
      <c r="TCA90" s="207" t="n"/>
      <c r="TCB90" s="207" t="n"/>
      <c r="TCC90" s="207" t="n"/>
      <c r="TCD90" s="207" t="n"/>
      <c r="TCE90" s="207" t="n"/>
      <c r="TCF90" s="207" t="n"/>
      <c r="TCG90" s="207" t="n"/>
      <c r="TCH90" s="207" t="n"/>
      <c r="TCI90" s="207" t="n"/>
      <c r="TCJ90" s="207" t="n"/>
      <c r="TCK90" s="207" t="n"/>
      <c r="TCL90" s="207" t="n"/>
      <c r="TCM90" s="207" t="n"/>
      <c r="TCN90" s="207" t="n"/>
      <c r="TCO90" s="207" t="n"/>
      <c r="TCP90" s="207" t="n"/>
      <c r="TCQ90" s="207" t="n"/>
      <c r="TCR90" s="207" t="n"/>
      <c r="TCS90" s="207" t="n"/>
      <c r="TCT90" s="207" t="n"/>
      <c r="TCU90" s="207" t="n"/>
      <c r="TCV90" s="207" t="n"/>
      <c r="TCW90" s="207" t="n"/>
      <c r="TCX90" s="207" t="n"/>
      <c r="TCY90" s="207" t="n"/>
      <c r="TCZ90" s="207" t="n"/>
      <c r="TDA90" s="207" t="n"/>
      <c r="TDB90" s="207" t="n"/>
      <c r="TDC90" s="207" t="n"/>
      <c r="TDD90" s="207" t="n"/>
      <c r="TDE90" s="207" t="n"/>
      <c r="TDF90" s="207" t="n"/>
      <c r="TDG90" s="207" t="n"/>
      <c r="TDH90" s="207" t="n"/>
      <c r="TDI90" s="207" t="n"/>
      <c r="TDJ90" s="207" t="n"/>
      <c r="TDK90" s="207" t="n"/>
      <c r="TDL90" s="207" t="n"/>
      <c r="TDM90" s="207" t="n"/>
      <c r="TDN90" s="207" t="n"/>
      <c r="TDO90" s="207" t="n"/>
      <c r="TDP90" s="207" t="n"/>
      <c r="TDQ90" s="207" t="n"/>
      <c r="TDR90" s="207" t="n"/>
      <c r="TDS90" s="207" t="n"/>
      <c r="TDT90" s="207" t="n"/>
      <c r="TDU90" s="207" t="n"/>
      <c r="TDV90" s="207" t="n"/>
      <c r="TDW90" s="207" t="n"/>
      <c r="TDX90" s="207" t="n"/>
      <c r="TDY90" s="207" t="n"/>
      <c r="TDZ90" s="207" t="n"/>
      <c r="TEA90" s="207" t="n"/>
      <c r="TEB90" s="207" t="n"/>
      <c r="TEC90" s="207" t="n"/>
      <c r="TED90" s="207" t="n"/>
      <c r="TEE90" s="207" t="n"/>
      <c r="TEF90" s="207" t="n"/>
      <c r="TEG90" s="207" t="n"/>
      <c r="TEH90" s="207" t="n"/>
      <c r="TEI90" s="207" t="n"/>
      <c r="TEJ90" s="207" t="n"/>
      <c r="TEK90" s="207" t="n"/>
      <c r="TEL90" s="207" t="n"/>
      <c r="TEM90" s="207" t="n"/>
      <c r="TEN90" s="207" t="n"/>
      <c r="TEO90" s="207" t="n"/>
      <c r="TEP90" s="207" t="n"/>
      <c r="TEQ90" s="207" t="n"/>
      <c r="TER90" s="207" t="n"/>
      <c r="TES90" s="207" t="n"/>
      <c r="TET90" s="207" t="n"/>
      <c r="TEU90" s="207" t="n"/>
      <c r="TEV90" s="207" t="n"/>
      <c r="TEW90" s="207" t="n"/>
      <c r="TEX90" s="207" t="n"/>
      <c r="TEY90" s="207" t="n"/>
      <c r="TEZ90" s="207" t="n"/>
      <c r="TFA90" s="207" t="n"/>
      <c r="TFB90" s="207" t="n"/>
      <c r="TFC90" s="207" t="n"/>
      <c r="TFD90" s="207" t="n"/>
      <c r="TFE90" s="207" t="n"/>
      <c r="TFF90" s="207" t="n"/>
      <c r="TFG90" s="207" t="n"/>
      <c r="TFH90" s="207" t="n"/>
      <c r="TFI90" s="207" t="n"/>
      <c r="TFJ90" s="207" t="n"/>
      <c r="TFK90" s="207" t="n"/>
      <c r="TFL90" s="207" t="n"/>
      <c r="TFM90" s="207" t="n"/>
      <c r="TFN90" s="207" t="n"/>
      <c r="TFO90" s="207" t="n"/>
      <c r="TFP90" s="207" t="n"/>
      <c r="TFQ90" s="207" t="n"/>
      <c r="TFR90" s="207" t="n"/>
      <c r="TFS90" s="207" t="n"/>
      <c r="TFT90" s="207" t="n"/>
      <c r="TFU90" s="207" t="n"/>
      <c r="TFV90" s="207" t="n"/>
      <c r="TFW90" s="207" t="n"/>
      <c r="TFX90" s="207" t="n"/>
      <c r="TFY90" s="207" t="n"/>
      <c r="TFZ90" s="207" t="n"/>
      <c r="TGA90" s="207" t="n"/>
      <c r="TGB90" s="207" t="n"/>
      <c r="TGC90" s="207" t="n"/>
      <c r="TGD90" s="207" t="n"/>
      <c r="TGE90" s="207" t="n"/>
      <c r="TGF90" s="207" t="n"/>
      <c r="TGG90" s="207" t="n"/>
      <c r="TGH90" s="207" t="n"/>
      <c r="TGI90" s="207" t="n"/>
      <c r="TGJ90" s="207" t="n"/>
      <c r="TGK90" s="207" t="n"/>
      <c r="TGL90" s="207" t="n"/>
      <c r="TGM90" s="207" t="n"/>
      <c r="TGN90" s="207" t="n"/>
      <c r="TGO90" s="207" t="n"/>
      <c r="TGP90" s="207" t="n"/>
      <c r="TGQ90" s="207" t="n"/>
      <c r="TGR90" s="207" t="n"/>
      <c r="TGS90" s="207" t="n"/>
      <c r="TGT90" s="207" t="n"/>
      <c r="TGU90" s="207" t="n"/>
      <c r="TGV90" s="207" t="n"/>
      <c r="TGW90" s="207" t="n"/>
      <c r="TGX90" s="207" t="n"/>
      <c r="TGY90" s="207" t="n"/>
      <c r="TGZ90" s="207" t="n"/>
      <c r="THA90" s="207" t="n"/>
      <c r="THB90" s="207" t="n"/>
      <c r="THC90" s="207" t="n"/>
      <c r="THD90" s="207" t="n"/>
      <c r="THE90" s="207" t="n"/>
      <c r="THF90" s="207" t="n"/>
      <c r="THG90" s="207" t="n"/>
      <c r="THH90" s="207" t="n"/>
      <c r="THI90" s="207" t="n"/>
      <c r="THJ90" s="207" t="n"/>
      <c r="THK90" s="207" t="n"/>
      <c r="THL90" s="207" t="n"/>
      <c r="THM90" s="207" t="n"/>
      <c r="THN90" s="207" t="n"/>
      <c r="THO90" s="207" t="n"/>
      <c r="THP90" s="207" t="n"/>
      <c r="THQ90" s="207" t="n"/>
      <c r="THR90" s="207" t="n"/>
      <c r="THS90" s="207" t="n"/>
      <c r="THT90" s="207" t="n"/>
      <c r="THU90" s="207" t="n"/>
      <c r="THV90" s="207" t="n"/>
      <c r="THW90" s="207" t="n"/>
      <c r="THX90" s="207" t="n"/>
      <c r="THY90" s="207" t="n"/>
      <c r="THZ90" s="207" t="n"/>
      <c r="TIA90" s="207" t="n"/>
      <c r="TIB90" s="207" t="n"/>
      <c r="TIC90" s="207" t="n"/>
      <c r="TID90" s="207" t="n"/>
      <c r="TIE90" s="207" t="n"/>
      <c r="TIF90" s="207" t="n"/>
      <c r="TIG90" s="207" t="n"/>
      <c r="TIH90" s="207" t="n"/>
      <c r="TII90" s="207" t="n"/>
      <c r="TIJ90" s="207" t="n"/>
      <c r="TIK90" s="207" t="n"/>
      <c r="TIL90" s="207" t="n"/>
      <c r="TIM90" s="207" t="n"/>
      <c r="TIN90" s="207" t="n"/>
      <c r="TIO90" s="207" t="n"/>
      <c r="TIP90" s="207" t="n"/>
      <c r="TIQ90" s="207" t="n"/>
      <c r="TIR90" s="207" t="n"/>
      <c r="TIS90" s="207" t="n"/>
      <c r="TIT90" s="207" t="n"/>
      <c r="TIU90" s="207" t="n"/>
      <c r="TIV90" s="207" t="n"/>
      <c r="TIW90" s="207" t="n"/>
      <c r="TIX90" s="207" t="n"/>
      <c r="TIY90" s="207" t="n"/>
      <c r="TIZ90" s="207" t="n"/>
      <c r="TJA90" s="207" t="n"/>
      <c r="TJB90" s="207" t="n"/>
      <c r="TJC90" s="207" t="n"/>
      <c r="TJD90" s="207" t="n"/>
      <c r="TJE90" s="207" t="n"/>
      <c r="TJF90" s="207" t="n"/>
      <c r="TJG90" s="207" t="n"/>
      <c r="TJH90" s="207" t="n"/>
      <c r="TJI90" s="207" t="n"/>
      <c r="TJJ90" s="207" t="n"/>
      <c r="TJK90" s="207" t="n"/>
      <c r="TJL90" s="207" t="n"/>
      <c r="TJM90" s="207" t="n"/>
      <c r="TJN90" s="207" t="n"/>
      <c r="TJO90" s="207" t="n"/>
      <c r="TJP90" s="207" t="n"/>
      <c r="TJQ90" s="207" t="n"/>
      <c r="TJR90" s="207" t="n"/>
      <c r="TJS90" s="207" t="n"/>
      <c r="TJT90" s="207" t="n"/>
      <c r="TJU90" s="207" t="n"/>
      <c r="TJV90" s="207" t="n"/>
      <c r="TJW90" s="207" t="n"/>
      <c r="TJX90" s="207" t="n"/>
      <c r="TJY90" s="207" t="n"/>
      <c r="TJZ90" s="207" t="n"/>
      <c r="TKA90" s="207" t="n"/>
      <c r="TKB90" s="207" t="n"/>
      <c r="TKC90" s="207" t="n"/>
      <c r="TKD90" s="207" t="n"/>
      <c r="TKE90" s="207" t="n"/>
      <c r="TKF90" s="207" t="n"/>
      <c r="TKG90" s="207" t="n"/>
      <c r="TKH90" s="207" t="n"/>
      <c r="TKI90" s="207" t="n"/>
      <c r="TKJ90" s="207" t="n"/>
      <c r="TKK90" s="207" t="n"/>
      <c r="TKL90" s="207" t="n"/>
      <c r="TKM90" s="207" t="n"/>
      <c r="TKN90" s="207" t="n"/>
      <c r="TKO90" s="207" t="n"/>
      <c r="TKP90" s="207" t="n"/>
      <c r="TKQ90" s="207" t="n"/>
      <c r="TKR90" s="207" t="n"/>
      <c r="TKS90" s="207" t="n"/>
      <c r="TKT90" s="207" t="n"/>
      <c r="TKU90" s="207" t="n"/>
      <c r="TKV90" s="207" t="n"/>
      <c r="TKW90" s="207" t="n"/>
      <c r="TKX90" s="207" t="n"/>
      <c r="TKY90" s="207" t="n"/>
      <c r="TKZ90" s="207" t="n"/>
      <c r="TLA90" s="207" t="n"/>
      <c r="TLB90" s="207" t="n"/>
      <c r="TLC90" s="207" t="n"/>
      <c r="TLD90" s="207" t="n"/>
      <c r="TLE90" s="207" t="n"/>
      <c r="TLF90" s="207" t="n"/>
      <c r="TLG90" s="207" t="n"/>
      <c r="TLH90" s="207" t="n"/>
      <c r="TLI90" s="207" t="n"/>
      <c r="TLJ90" s="207" t="n"/>
      <c r="TLK90" s="207" t="n"/>
      <c r="TLL90" s="207" t="n"/>
      <c r="TLM90" s="207" t="n"/>
      <c r="TLN90" s="207" t="n"/>
      <c r="TLO90" s="207" t="n"/>
      <c r="TLP90" s="207" t="n"/>
      <c r="TLQ90" s="207" t="n"/>
      <c r="TLR90" s="207" t="n"/>
      <c r="TLS90" s="207" t="n"/>
      <c r="TLT90" s="207" t="n"/>
      <c r="TLU90" s="207" t="n"/>
      <c r="TLV90" s="207" t="n"/>
      <c r="TLW90" s="207" t="n"/>
      <c r="TLX90" s="207" t="n"/>
      <c r="TLY90" s="207" t="n"/>
      <c r="TLZ90" s="207" t="n"/>
      <c r="TMA90" s="207" t="n"/>
      <c r="TMB90" s="207" t="n"/>
      <c r="TMC90" s="207" t="n"/>
      <c r="TMD90" s="207" t="n"/>
      <c r="TME90" s="207" t="n"/>
      <c r="TMF90" s="207" t="n"/>
      <c r="TMG90" s="207" t="n"/>
      <c r="TMH90" s="207" t="n"/>
      <c r="TMI90" s="207" t="n"/>
      <c r="TMJ90" s="207" t="n"/>
      <c r="TMK90" s="207" t="n"/>
      <c r="TML90" s="207" t="n"/>
      <c r="TMM90" s="207" t="n"/>
      <c r="TMN90" s="207" t="n"/>
      <c r="TMO90" s="207" t="n"/>
      <c r="TMP90" s="207" t="n"/>
      <c r="TMQ90" s="207" t="n"/>
      <c r="TMR90" s="207" t="n"/>
      <c r="TMS90" s="207" t="n"/>
      <c r="TMT90" s="207" t="n"/>
      <c r="TMU90" s="207" t="n"/>
      <c r="TMV90" s="207" t="n"/>
      <c r="TMW90" s="207" t="n"/>
      <c r="TMX90" s="207" t="n"/>
      <c r="TMY90" s="207" t="n"/>
      <c r="TMZ90" s="207" t="n"/>
      <c r="TNA90" s="207" t="n"/>
      <c r="TNB90" s="207" t="n"/>
      <c r="TNC90" s="207" t="n"/>
      <c r="TND90" s="207" t="n"/>
      <c r="TNE90" s="207" t="n"/>
      <c r="TNF90" s="207" t="n"/>
      <c r="TNG90" s="207" t="n"/>
      <c r="TNH90" s="207" t="n"/>
      <c r="TNI90" s="207" t="n"/>
      <c r="TNJ90" s="207" t="n"/>
      <c r="TNK90" s="207" t="n"/>
      <c r="TNL90" s="207" t="n"/>
      <c r="TNM90" s="207" t="n"/>
      <c r="TNN90" s="207" t="n"/>
      <c r="TNO90" s="207" t="n"/>
      <c r="TNP90" s="207" t="n"/>
      <c r="TNQ90" s="207" t="n"/>
      <c r="TNR90" s="207" t="n"/>
      <c r="TNS90" s="207" t="n"/>
      <c r="TNT90" s="207" t="n"/>
      <c r="TNU90" s="207" t="n"/>
      <c r="TNV90" s="207" t="n"/>
      <c r="TNW90" s="207" t="n"/>
      <c r="TNX90" s="207" t="n"/>
      <c r="TNY90" s="207" t="n"/>
      <c r="TNZ90" s="207" t="n"/>
      <c r="TOA90" s="207" t="n"/>
      <c r="TOB90" s="207" t="n"/>
      <c r="TOC90" s="207" t="n"/>
      <c r="TOD90" s="207" t="n"/>
      <c r="TOE90" s="207" t="n"/>
      <c r="TOF90" s="207" t="n"/>
      <c r="TOG90" s="207" t="n"/>
      <c r="TOH90" s="207" t="n"/>
      <c r="TOI90" s="207" t="n"/>
      <c r="TOJ90" s="207" t="n"/>
      <c r="TOK90" s="207" t="n"/>
      <c r="TOL90" s="207" t="n"/>
      <c r="TOM90" s="207" t="n"/>
      <c r="TON90" s="207" t="n"/>
      <c r="TOO90" s="207" t="n"/>
      <c r="TOP90" s="207" t="n"/>
      <c r="TOQ90" s="207" t="n"/>
      <c r="TOR90" s="207" t="n"/>
      <c r="TOS90" s="207" t="n"/>
      <c r="TOT90" s="207" t="n"/>
      <c r="TOU90" s="207" t="n"/>
      <c r="TOV90" s="207" t="n"/>
      <c r="TOW90" s="207" t="n"/>
      <c r="TOX90" s="207" t="n"/>
      <c r="TOY90" s="207" t="n"/>
      <c r="TOZ90" s="207" t="n"/>
      <c r="TPA90" s="207" t="n"/>
      <c r="TPB90" s="207" t="n"/>
      <c r="TPC90" s="207" t="n"/>
      <c r="TPD90" s="207" t="n"/>
      <c r="TPE90" s="207" t="n"/>
      <c r="TPF90" s="207" t="n"/>
      <c r="TPG90" s="207" t="n"/>
      <c r="TPH90" s="207" t="n"/>
      <c r="TPI90" s="207" t="n"/>
      <c r="TPJ90" s="207" t="n"/>
      <c r="TPK90" s="207" t="n"/>
      <c r="TPL90" s="207" t="n"/>
      <c r="TPM90" s="207" t="n"/>
      <c r="TPN90" s="207" t="n"/>
      <c r="TPO90" s="207" t="n"/>
      <c r="TPP90" s="207" t="n"/>
      <c r="TPQ90" s="207" t="n"/>
      <c r="TPR90" s="207" t="n"/>
      <c r="TPS90" s="207" t="n"/>
      <c r="TPT90" s="207" t="n"/>
      <c r="TPU90" s="207" t="n"/>
      <c r="TPV90" s="207" t="n"/>
      <c r="TPW90" s="207" t="n"/>
      <c r="TPX90" s="207" t="n"/>
      <c r="TPY90" s="207" t="n"/>
      <c r="TPZ90" s="207" t="n"/>
      <c r="TQA90" s="207" t="n"/>
      <c r="TQB90" s="207" t="n"/>
      <c r="TQC90" s="207" t="n"/>
      <c r="TQD90" s="207" t="n"/>
      <c r="TQE90" s="207" t="n"/>
      <c r="TQF90" s="207" t="n"/>
      <c r="TQG90" s="207" t="n"/>
      <c r="TQH90" s="207" t="n"/>
      <c r="TQI90" s="207" t="n"/>
      <c r="TQJ90" s="207" t="n"/>
      <c r="TQK90" s="207" t="n"/>
      <c r="TQL90" s="207" t="n"/>
      <c r="TQM90" s="207" t="n"/>
      <c r="TQN90" s="207" t="n"/>
      <c r="TQO90" s="207" t="n"/>
      <c r="TQP90" s="207" t="n"/>
      <c r="TQQ90" s="207" t="n"/>
      <c r="TQR90" s="207" t="n"/>
      <c r="TQS90" s="207" t="n"/>
      <c r="TQT90" s="207" t="n"/>
      <c r="TQU90" s="207" t="n"/>
      <c r="TQV90" s="207" t="n"/>
      <c r="TQW90" s="207" t="n"/>
      <c r="TQX90" s="207" t="n"/>
      <c r="TQY90" s="207" t="n"/>
      <c r="TQZ90" s="207" t="n"/>
      <c r="TRA90" s="207" t="n"/>
      <c r="TRB90" s="207" t="n"/>
      <c r="TRC90" s="207" t="n"/>
      <c r="TRD90" s="207" t="n"/>
      <c r="TRE90" s="207" t="n"/>
      <c r="TRF90" s="207" t="n"/>
      <c r="TRG90" s="207" t="n"/>
      <c r="TRH90" s="207" t="n"/>
      <c r="TRI90" s="207" t="n"/>
      <c r="TRJ90" s="207" t="n"/>
      <c r="TRK90" s="207" t="n"/>
      <c r="TRL90" s="207" t="n"/>
      <c r="TRM90" s="207" t="n"/>
      <c r="TRN90" s="207" t="n"/>
      <c r="TRO90" s="207" t="n"/>
      <c r="TRP90" s="207" t="n"/>
      <c r="TRQ90" s="207" t="n"/>
      <c r="TRR90" s="207" t="n"/>
      <c r="TRS90" s="207" t="n"/>
      <c r="TRT90" s="207" t="n"/>
      <c r="TRU90" s="207" t="n"/>
      <c r="TRV90" s="207" t="n"/>
      <c r="TRW90" s="207" t="n"/>
      <c r="TRX90" s="207" t="n"/>
      <c r="TRY90" s="207" t="n"/>
      <c r="TRZ90" s="207" t="n"/>
      <c r="TSA90" s="207" t="n"/>
      <c r="TSB90" s="207" t="n"/>
      <c r="TSC90" s="207" t="n"/>
      <c r="TSD90" s="207" t="n"/>
      <c r="TSE90" s="207" t="n"/>
      <c r="TSF90" s="207" t="n"/>
      <c r="TSG90" s="207" t="n"/>
      <c r="TSH90" s="207" t="n"/>
      <c r="TSI90" s="207" t="n"/>
      <c r="TSJ90" s="207" t="n"/>
      <c r="TSK90" s="207" t="n"/>
      <c r="TSL90" s="207" t="n"/>
      <c r="TSM90" s="207" t="n"/>
      <c r="TSN90" s="207" t="n"/>
      <c r="TSO90" s="207" t="n"/>
      <c r="TSP90" s="207" t="n"/>
      <c r="TSQ90" s="207" t="n"/>
      <c r="TSR90" s="207" t="n"/>
      <c r="TSS90" s="207" t="n"/>
      <c r="TST90" s="207" t="n"/>
      <c r="TSU90" s="207" t="n"/>
      <c r="TSV90" s="207" t="n"/>
      <c r="TSW90" s="207" t="n"/>
      <c r="TSX90" s="207" t="n"/>
      <c r="TSY90" s="207" t="n"/>
      <c r="TSZ90" s="207" t="n"/>
      <c r="TTA90" s="207" t="n"/>
      <c r="TTB90" s="207" t="n"/>
      <c r="TTC90" s="207" t="n"/>
      <c r="TTD90" s="207" t="n"/>
      <c r="TTE90" s="207" t="n"/>
      <c r="TTF90" s="207" t="n"/>
      <c r="TTG90" s="207" t="n"/>
      <c r="TTH90" s="207" t="n"/>
      <c r="TTI90" s="207" t="n"/>
      <c r="TTJ90" s="207" t="n"/>
      <c r="TTK90" s="207" t="n"/>
      <c r="TTL90" s="207" t="n"/>
      <c r="TTM90" s="207" t="n"/>
      <c r="TTN90" s="207" t="n"/>
      <c r="TTO90" s="207" t="n"/>
      <c r="TTP90" s="207" t="n"/>
      <c r="TTQ90" s="207" t="n"/>
      <c r="TTR90" s="207" t="n"/>
      <c r="TTS90" s="207" t="n"/>
      <c r="TTT90" s="207" t="n"/>
      <c r="TTU90" s="207" t="n"/>
      <c r="TTV90" s="207" t="n"/>
      <c r="TTW90" s="207" t="n"/>
      <c r="TTX90" s="207" t="n"/>
      <c r="TTY90" s="207" t="n"/>
      <c r="TTZ90" s="207" t="n"/>
      <c r="TUA90" s="207" t="n"/>
      <c r="TUB90" s="207" t="n"/>
      <c r="TUC90" s="207" t="n"/>
      <c r="TUD90" s="207" t="n"/>
      <c r="TUE90" s="207" t="n"/>
      <c r="TUF90" s="207" t="n"/>
      <c r="TUG90" s="207" t="n"/>
      <c r="TUH90" s="207" t="n"/>
      <c r="TUI90" s="207" t="n"/>
      <c r="TUJ90" s="207" t="n"/>
      <c r="TUK90" s="207" t="n"/>
      <c r="TUL90" s="207" t="n"/>
      <c r="TUM90" s="207" t="n"/>
      <c r="TUN90" s="207" t="n"/>
      <c r="TUO90" s="207" t="n"/>
      <c r="TUP90" s="207" t="n"/>
      <c r="TUQ90" s="207" t="n"/>
      <c r="TUR90" s="207" t="n"/>
      <c r="TUS90" s="207" t="n"/>
      <c r="TUT90" s="207" t="n"/>
      <c r="TUU90" s="207" t="n"/>
      <c r="TUV90" s="207" t="n"/>
      <c r="TUW90" s="207" t="n"/>
      <c r="TUX90" s="207" t="n"/>
      <c r="TUY90" s="207" t="n"/>
      <c r="TUZ90" s="207" t="n"/>
      <c r="TVA90" s="207" t="n"/>
      <c r="TVB90" s="207" t="n"/>
      <c r="TVC90" s="207" t="n"/>
      <c r="TVD90" s="207" t="n"/>
      <c r="TVE90" s="207" t="n"/>
      <c r="TVF90" s="207" t="n"/>
      <c r="TVG90" s="207" t="n"/>
      <c r="TVH90" s="207" t="n"/>
      <c r="TVI90" s="207" t="n"/>
      <c r="TVJ90" s="207" t="n"/>
      <c r="TVK90" s="207" t="n"/>
      <c r="TVL90" s="207" t="n"/>
      <c r="TVM90" s="207" t="n"/>
      <c r="TVN90" s="207" t="n"/>
      <c r="TVO90" s="207" t="n"/>
      <c r="TVP90" s="207" t="n"/>
      <c r="TVQ90" s="207" t="n"/>
      <c r="TVR90" s="207" t="n"/>
      <c r="TVS90" s="207" t="n"/>
      <c r="TVT90" s="207" t="n"/>
      <c r="TVU90" s="207" t="n"/>
      <c r="TVV90" s="207" t="n"/>
      <c r="TVW90" s="207" t="n"/>
      <c r="TVX90" s="207" t="n"/>
      <c r="TVY90" s="207" t="n"/>
      <c r="TVZ90" s="207" t="n"/>
      <c r="TWA90" s="207" t="n"/>
      <c r="TWB90" s="207" t="n"/>
      <c r="TWC90" s="207" t="n"/>
      <c r="TWD90" s="207" t="n"/>
      <c r="TWE90" s="207" t="n"/>
      <c r="TWF90" s="207" t="n"/>
      <c r="TWG90" s="207" t="n"/>
      <c r="TWH90" s="207" t="n"/>
      <c r="TWI90" s="207" t="n"/>
      <c r="TWJ90" s="207" t="n"/>
      <c r="TWK90" s="207" t="n"/>
      <c r="TWL90" s="207" t="n"/>
      <c r="TWM90" s="207" t="n"/>
      <c r="TWN90" s="207" t="n"/>
      <c r="TWO90" s="207" t="n"/>
      <c r="TWP90" s="207" t="n"/>
      <c r="TWQ90" s="207" t="n"/>
      <c r="TWR90" s="207" t="n"/>
      <c r="TWS90" s="207" t="n"/>
      <c r="TWT90" s="207" t="n"/>
      <c r="TWU90" s="207" t="n"/>
      <c r="TWV90" s="207" t="n"/>
      <c r="TWW90" s="207" t="n"/>
      <c r="TWX90" s="207" t="n"/>
      <c r="TWY90" s="207" t="n"/>
      <c r="TWZ90" s="207" t="n"/>
      <c r="TXA90" s="207" t="n"/>
      <c r="TXB90" s="207" t="n"/>
      <c r="TXC90" s="207" t="n"/>
      <c r="TXD90" s="207" t="n"/>
      <c r="TXE90" s="207" t="n"/>
      <c r="TXF90" s="207" t="n"/>
      <c r="TXG90" s="207" t="n"/>
      <c r="TXH90" s="207" t="n"/>
      <c r="TXI90" s="207" t="n"/>
      <c r="TXJ90" s="207" t="n"/>
      <c r="TXK90" s="207" t="n"/>
      <c r="TXL90" s="207" t="n"/>
      <c r="TXM90" s="207" t="n"/>
      <c r="TXN90" s="207" t="n"/>
      <c r="TXO90" s="207" t="n"/>
      <c r="TXP90" s="207" t="n"/>
      <c r="TXQ90" s="207" t="n"/>
      <c r="TXR90" s="207" t="n"/>
      <c r="TXS90" s="207" t="n"/>
      <c r="TXT90" s="207" t="n"/>
      <c r="TXU90" s="207" t="n"/>
      <c r="TXV90" s="207" t="n"/>
      <c r="TXW90" s="207" t="n"/>
      <c r="TXX90" s="207" t="n"/>
      <c r="TXY90" s="207" t="n"/>
      <c r="TXZ90" s="207" t="n"/>
      <c r="TYA90" s="207" t="n"/>
      <c r="TYB90" s="207" t="n"/>
      <c r="TYC90" s="207" t="n"/>
      <c r="TYD90" s="207" t="n"/>
      <c r="TYE90" s="207" t="n"/>
      <c r="TYF90" s="207" t="n"/>
      <c r="TYG90" s="207" t="n"/>
      <c r="TYH90" s="207" t="n"/>
      <c r="TYI90" s="207" t="n"/>
      <c r="TYJ90" s="207" t="n"/>
      <c r="TYK90" s="207" t="n"/>
      <c r="TYL90" s="207" t="n"/>
      <c r="TYM90" s="207" t="n"/>
      <c r="TYN90" s="207" t="n"/>
      <c r="TYO90" s="207" t="n"/>
      <c r="TYP90" s="207" t="n"/>
      <c r="TYQ90" s="207" t="n"/>
      <c r="TYR90" s="207" t="n"/>
      <c r="TYS90" s="207" t="n"/>
      <c r="TYT90" s="207" t="n"/>
      <c r="TYU90" s="207" t="n"/>
      <c r="TYV90" s="207" t="n"/>
      <c r="TYW90" s="207" t="n"/>
      <c r="TYX90" s="207" t="n"/>
      <c r="TYY90" s="207" t="n"/>
      <c r="TYZ90" s="207" t="n"/>
      <c r="TZA90" s="207" t="n"/>
      <c r="TZB90" s="207" t="n"/>
      <c r="TZC90" s="207" t="n"/>
      <c r="TZD90" s="207" t="n"/>
      <c r="TZE90" s="207" t="n"/>
      <c r="TZF90" s="207" t="n"/>
      <c r="TZG90" s="207" t="n"/>
      <c r="TZH90" s="207" t="n"/>
      <c r="TZI90" s="207" t="n"/>
      <c r="TZJ90" s="207" t="n"/>
      <c r="TZK90" s="207" t="n"/>
      <c r="TZL90" s="207" t="n"/>
      <c r="TZM90" s="207" t="n"/>
      <c r="TZN90" s="207" t="n"/>
      <c r="TZO90" s="207" t="n"/>
      <c r="TZP90" s="207" t="n"/>
      <c r="TZQ90" s="207" t="n"/>
      <c r="TZR90" s="207" t="n"/>
      <c r="TZS90" s="207" t="n"/>
      <c r="TZT90" s="207" t="n"/>
      <c r="TZU90" s="207" t="n"/>
      <c r="TZV90" s="207" t="n"/>
      <c r="TZW90" s="207" t="n"/>
      <c r="TZX90" s="207" t="n"/>
      <c r="TZY90" s="207" t="n"/>
      <c r="TZZ90" s="207" t="n"/>
      <c r="UAA90" s="207" t="n"/>
      <c r="UAB90" s="207" t="n"/>
      <c r="UAC90" s="207" t="n"/>
      <c r="UAD90" s="207" t="n"/>
      <c r="UAE90" s="207" t="n"/>
      <c r="UAF90" s="207" t="n"/>
      <c r="UAG90" s="207" t="n"/>
      <c r="UAH90" s="207" t="n"/>
      <c r="UAI90" s="207" t="n"/>
      <c r="UAJ90" s="207" t="n"/>
      <c r="UAK90" s="207" t="n"/>
      <c r="UAL90" s="207" t="n"/>
      <c r="UAM90" s="207" t="n"/>
      <c r="UAN90" s="207" t="n"/>
      <c r="UAO90" s="207" t="n"/>
      <c r="UAP90" s="207" t="n"/>
      <c r="UAQ90" s="207" t="n"/>
      <c r="UAR90" s="207" t="n"/>
      <c r="UAS90" s="207" t="n"/>
      <c r="UAT90" s="207" t="n"/>
      <c r="UAU90" s="207" t="n"/>
      <c r="UAV90" s="207" t="n"/>
      <c r="UAW90" s="207" t="n"/>
      <c r="UAX90" s="207" t="n"/>
      <c r="UAY90" s="207" t="n"/>
      <c r="UAZ90" s="207" t="n"/>
      <c r="UBA90" s="207" t="n"/>
      <c r="UBB90" s="207" t="n"/>
      <c r="UBC90" s="207" t="n"/>
      <c r="UBD90" s="207" t="n"/>
      <c r="UBE90" s="207" t="n"/>
      <c r="UBF90" s="207" t="n"/>
      <c r="UBG90" s="207" t="n"/>
      <c r="UBH90" s="207" t="n"/>
      <c r="UBI90" s="207" t="n"/>
      <c r="UBJ90" s="207" t="n"/>
      <c r="UBK90" s="207" t="n"/>
      <c r="UBL90" s="207" t="n"/>
      <c r="UBM90" s="207" t="n"/>
      <c r="UBN90" s="207" t="n"/>
      <c r="UBO90" s="207" t="n"/>
      <c r="UBP90" s="207" t="n"/>
      <c r="UBQ90" s="207" t="n"/>
      <c r="UBR90" s="207" t="n"/>
      <c r="UBS90" s="207" t="n"/>
      <c r="UBT90" s="207" t="n"/>
      <c r="UBU90" s="207" t="n"/>
      <c r="UBV90" s="207" t="n"/>
      <c r="UBW90" s="207" t="n"/>
      <c r="UBX90" s="207" t="n"/>
      <c r="UBY90" s="207" t="n"/>
      <c r="UBZ90" s="207" t="n"/>
      <c r="UCA90" s="207" t="n"/>
      <c r="UCB90" s="207" t="n"/>
      <c r="UCC90" s="207" t="n"/>
      <c r="UCD90" s="207" t="n"/>
      <c r="UCE90" s="207" t="n"/>
      <c r="UCF90" s="207" t="n"/>
      <c r="UCG90" s="207" t="n"/>
      <c r="UCH90" s="207" t="n"/>
      <c r="UCI90" s="207" t="n"/>
      <c r="UCJ90" s="207" t="n"/>
      <c r="UCK90" s="207" t="n"/>
      <c r="UCL90" s="207" t="n"/>
      <c r="UCM90" s="207" t="n"/>
      <c r="UCN90" s="207" t="n"/>
      <c r="UCO90" s="207" t="n"/>
      <c r="UCP90" s="207" t="n"/>
      <c r="UCQ90" s="207" t="n"/>
      <c r="UCR90" s="207" t="n"/>
      <c r="UCS90" s="207" t="n"/>
      <c r="UCT90" s="207" t="n"/>
      <c r="UCU90" s="207" t="n"/>
      <c r="UCV90" s="207" t="n"/>
      <c r="UCW90" s="207" t="n"/>
      <c r="UCX90" s="207" t="n"/>
      <c r="UCY90" s="207" t="n"/>
      <c r="UCZ90" s="207" t="n"/>
      <c r="UDA90" s="207" t="n"/>
      <c r="UDB90" s="207" t="n"/>
      <c r="UDC90" s="207" t="n"/>
      <c r="UDD90" s="207" t="n"/>
      <c r="UDE90" s="207" t="n"/>
      <c r="UDF90" s="207" t="n"/>
      <c r="UDG90" s="207" t="n"/>
      <c r="UDH90" s="207" t="n"/>
      <c r="UDI90" s="207" t="n"/>
      <c r="UDJ90" s="207" t="n"/>
      <c r="UDK90" s="207" t="n"/>
      <c r="UDL90" s="207" t="n"/>
      <c r="UDM90" s="207" t="n"/>
      <c r="UDN90" s="207" t="n"/>
      <c r="UDO90" s="207" t="n"/>
      <c r="UDP90" s="207" t="n"/>
      <c r="UDQ90" s="207" t="n"/>
      <c r="UDR90" s="207" t="n"/>
      <c r="UDS90" s="207" t="n"/>
      <c r="UDT90" s="207" t="n"/>
      <c r="UDU90" s="207" t="n"/>
      <c r="UDV90" s="207" t="n"/>
      <c r="UDW90" s="207" t="n"/>
      <c r="UDX90" s="207" t="n"/>
      <c r="UDY90" s="207" t="n"/>
      <c r="UDZ90" s="207" t="n"/>
      <c r="UEA90" s="207" t="n"/>
      <c r="UEB90" s="207" t="n"/>
      <c r="UEC90" s="207" t="n"/>
      <c r="UED90" s="207" t="n"/>
      <c r="UEE90" s="207" t="n"/>
      <c r="UEF90" s="207" t="n"/>
      <c r="UEG90" s="207" t="n"/>
      <c r="UEH90" s="207" t="n"/>
      <c r="UEI90" s="207" t="n"/>
      <c r="UEJ90" s="207" t="n"/>
      <c r="UEK90" s="207" t="n"/>
      <c r="UEL90" s="207" t="n"/>
      <c r="UEM90" s="207" t="n"/>
      <c r="UEN90" s="207" t="n"/>
      <c r="UEO90" s="207" t="n"/>
      <c r="UEP90" s="207" t="n"/>
      <c r="UEQ90" s="207" t="n"/>
      <c r="UER90" s="207" t="n"/>
      <c r="UES90" s="207" t="n"/>
      <c r="UET90" s="207" t="n"/>
      <c r="UEU90" s="207" t="n"/>
      <c r="UEV90" s="207" t="n"/>
      <c r="UEW90" s="207" t="n"/>
      <c r="UEX90" s="207" t="n"/>
      <c r="UEY90" s="207" t="n"/>
      <c r="UEZ90" s="207" t="n"/>
      <c r="UFA90" s="207" t="n"/>
      <c r="UFB90" s="207" t="n"/>
      <c r="UFC90" s="207" t="n"/>
      <c r="UFD90" s="207" t="n"/>
      <c r="UFE90" s="207" t="n"/>
      <c r="UFF90" s="207" t="n"/>
      <c r="UFG90" s="207" t="n"/>
      <c r="UFH90" s="207" t="n"/>
      <c r="UFI90" s="207" t="n"/>
      <c r="UFJ90" s="207" t="n"/>
      <c r="UFK90" s="207" t="n"/>
      <c r="UFL90" s="207" t="n"/>
      <c r="UFM90" s="207" t="n"/>
      <c r="UFN90" s="207" t="n"/>
      <c r="UFO90" s="207" t="n"/>
      <c r="UFP90" s="207" t="n"/>
      <c r="UFQ90" s="207" t="n"/>
      <c r="UFR90" s="207" t="n"/>
      <c r="UFS90" s="207" t="n"/>
      <c r="UFT90" s="207" t="n"/>
      <c r="UFU90" s="207" t="n"/>
      <c r="UFV90" s="207" t="n"/>
      <c r="UFW90" s="207" t="n"/>
      <c r="UFX90" s="207" t="n"/>
      <c r="UFY90" s="207" t="n"/>
      <c r="UFZ90" s="207" t="n"/>
      <c r="UGA90" s="207" t="n"/>
      <c r="UGB90" s="207" t="n"/>
      <c r="UGC90" s="207" t="n"/>
      <c r="UGD90" s="207" t="n"/>
      <c r="UGE90" s="207" t="n"/>
      <c r="UGF90" s="207" t="n"/>
      <c r="UGG90" s="207" t="n"/>
      <c r="UGH90" s="207" t="n"/>
      <c r="UGI90" s="207" t="n"/>
      <c r="UGJ90" s="207" t="n"/>
      <c r="UGK90" s="207" t="n"/>
      <c r="UGL90" s="207" t="n"/>
      <c r="UGM90" s="207" t="n"/>
      <c r="UGN90" s="207" t="n"/>
      <c r="UGO90" s="207" t="n"/>
      <c r="UGP90" s="207" t="n"/>
      <c r="UGQ90" s="207" t="n"/>
      <c r="UGR90" s="207" t="n"/>
      <c r="UGS90" s="207" t="n"/>
      <c r="UGT90" s="207" t="n"/>
      <c r="UGU90" s="207" t="n"/>
      <c r="UGV90" s="207" t="n"/>
      <c r="UGW90" s="207" t="n"/>
      <c r="UGX90" s="207" t="n"/>
      <c r="UGY90" s="207" t="n"/>
      <c r="UGZ90" s="207" t="n"/>
      <c r="UHA90" s="207" t="n"/>
      <c r="UHB90" s="207" t="n"/>
      <c r="UHC90" s="207" t="n"/>
      <c r="UHD90" s="207" t="n"/>
      <c r="UHE90" s="207" t="n"/>
      <c r="UHF90" s="207" t="n"/>
      <c r="UHG90" s="207" t="n"/>
      <c r="UHH90" s="207" t="n"/>
      <c r="UHI90" s="207" t="n"/>
      <c r="UHJ90" s="207" t="n"/>
      <c r="UHK90" s="207" t="n"/>
      <c r="UHL90" s="207" t="n"/>
      <c r="UHM90" s="207" t="n"/>
      <c r="UHN90" s="207" t="n"/>
      <c r="UHO90" s="207" t="n"/>
      <c r="UHP90" s="207" t="n"/>
      <c r="UHQ90" s="207" t="n"/>
      <c r="UHR90" s="207" t="n"/>
      <c r="UHS90" s="207" t="n"/>
      <c r="UHT90" s="207" t="n"/>
      <c r="UHU90" s="207" t="n"/>
      <c r="UHV90" s="207" t="n"/>
      <c r="UHW90" s="207" t="n"/>
      <c r="UHX90" s="207" t="n"/>
      <c r="UHY90" s="207" t="n"/>
      <c r="UHZ90" s="207" t="n"/>
      <c r="UIA90" s="207" t="n"/>
      <c r="UIB90" s="207" t="n"/>
      <c r="UIC90" s="207" t="n"/>
      <c r="UID90" s="207" t="n"/>
      <c r="UIE90" s="207" t="n"/>
      <c r="UIF90" s="207" t="n"/>
      <c r="UIG90" s="207" t="n"/>
      <c r="UIH90" s="207" t="n"/>
      <c r="UII90" s="207" t="n"/>
      <c r="UIJ90" s="207" t="n"/>
      <c r="UIK90" s="207" t="n"/>
      <c r="UIL90" s="207" t="n"/>
      <c r="UIM90" s="207" t="n"/>
      <c r="UIN90" s="207" t="n"/>
      <c r="UIO90" s="207" t="n"/>
      <c r="UIP90" s="207" t="n"/>
      <c r="UIQ90" s="207" t="n"/>
      <c r="UIR90" s="207" t="n"/>
      <c r="UIS90" s="207" t="n"/>
      <c r="UIT90" s="207" t="n"/>
      <c r="UIU90" s="207" t="n"/>
      <c r="UIV90" s="207" t="n"/>
      <c r="UIW90" s="207" t="n"/>
      <c r="UIX90" s="207" t="n"/>
      <c r="UIY90" s="207" t="n"/>
      <c r="UIZ90" s="207" t="n"/>
      <c r="UJA90" s="207" t="n"/>
      <c r="UJB90" s="207" t="n"/>
      <c r="UJC90" s="207" t="n"/>
      <c r="UJD90" s="207" t="n"/>
      <c r="UJE90" s="207" t="n"/>
      <c r="UJF90" s="207" t="n"/>
      <c r="UJG90" s="207" t="n"/>
      <c r="UJH90" s="207" t="n"/>
      <c r="UJI90" s="207" t="n"/>
      <c r="UJJ90" s="207" t="n"/>
      <c r="UJK90" s="207" t="n"/>
      <c r="UJL90" s="207" t="n"/>
      <c r="UJM90" s="207" t="n"/>
      <c r="UJN90" s="207" t="n"/>
      <c r="UJO90" s="207" t="n"/>
      <c r="UJP90" s="207" t="n"/>
      <c r="UJQ90" s="207" t="n"/>
      <c r="UJR90" s="207" t="n"/>
      <c r="UJS90" s="207" t="n"/>
      <c r="UJT90" s="207" t="n"/>
      <c r="UJU90" s="207" t="n"/>
      <c r="UJV90" s="207" t="n"/>
      <c r="UJW90" s="207" t="n"/>
      <c r="UJX90" s="207" t="n"/>
      <c r="UJY90" s="207" t="n"/>
      <c r="UJZ90" s="207" t="n"/>
      <c r="UKA90" s="207" t="n"/>
      <c r="UKB90" s="207" t="n"/>
      <c r="UKC90" s="207" t="n"/>
      <c r="UKD90" s="207" t="n"/>
      <c r="UKE90" s="207" t="n"/>
      <c r="UKF90" s="207" t="n"/>
      <c r="UKG90" s="207" t="n"/>
      <c r="UKH90" s="207" t="n"/>
      <c r="UKI90" s="207" t="n"/>
      <c r="UKJ90" s="207" t="n"/>
      <c r="UKK90" s="207" t="n"/>
      <c r="UKL90" s="207" t="n"/>
      <c r="UKM90" s="207" t="n"/>
      <c r="UKN90" s="207" t="n"/>
      <c r="UKO90" s="207" t="n"/>
      <c r="UKP90" s="207" t="n"/>
      <c r="UKQ90" s="207" t="n"/>
      <c r="UKR90" s="207" t="n"/>
      <c r="UKS90" s="207" t="n"/>
      <c r="UKT90" s="207" t="n"/>
      <c r="UKU90" s="207" t="n"/>
      <c r="UKV90" s="207" t="n"/>
      <c r="UKW90" s="207" t="n"/>
      <c r="UKX90" s="207" t="n"/>
      <c r="UKY90" s="207" t="n"/>
      <c r="UKZ90" s="207" t="n"/>
      <c r="ULA90" s="207" t="n"/>
      <c r="ULB90" s="207" t="n"/>
      <c r="ULC90" s="207" t="n"/>
      <c r="ULD90" s="207" t="n"/>
      <c r="ULE90" s="207" t="n"/>
      <c r="ULF90" s="207" t="n"/>
      <c r="ULG90" s="207" t="n"/>
      <c r="ULH90" s="207" t="n"/>
      <c r="ULI90" s="207" t="n"/>
      <c r="ULJ90" s="207" t="n"/>
      <c r="ULK90" s="207" t="n"/>
      <c r="ULL90" s="207" t="n"/>
      <c r="ULM90" s="207" t="n"/>
      <c r="ULN90" s="207" t="n"/>
      <c r="ULO90" s="207" t="n"/>
      <c r="ULP90" s="207" t="n"/>
      <c r="ULQ90" s="207" t="n"/>
      <c r="ULR90" s="207" t="n"/>
      <c r="ULS90" s="207" t="n"/>
      <c r="ULT90" s="207" t="n"/>
      <c r="ULU90" s="207" t="n"/>
      <c r="ULV90" s="207" t="n"/>
      <c r="ULW90" s="207" t="n"/>
      <c r="ULX90" s="207" t="n"/>
      <c r="ULY90" s="207" t="n"/>
      <c r="ULZ90" s="207" t="n"/>
      <c r="UMA90" s="207" t="n"/>
      <c r="UMB90" s="207" t="n"/>
      <c r="UMC90" s="207" t="n"/>
      <c r="UMD90" s="207" t="n"/>
      <c r="UME90" s="207" t="n"/>
      <c r="UMF90" s="207" t="n"/>
      <c r="UMG90" s="207" t="n"/>
      <c r="UMH90" s="207" t="n"/>
      <c r="UMI90" s="207" t="n"/>
      <c r="UMJ90" s="207" t="n"/>
      <c r="UMK90" s="207" t="n"/>
      <c r="UML90" s="207" t="n"/>
      <c r="UMM90" s="207" t="n"/>
      <c r="UMN90" s="207" t="n"/>
      <c r="UMO90" s="207" t="n"/>
      <c r="UMP90" s="207" t="n"/>
      <c r="UMQ90" s="207" t="n"/>
      <c r="UMR90" s="207" t="n"/>
      <c r="UMS90" s="207" t="n"/>
      <c r="UMT90" s="207" t="n"/>
      <c r="UMU90" s="207" t="n"/>
      <c r="UMV90" s="207" t="n"/>
      <c r="UMW90" s="207" t="n"/>
      <c r="UMX90" s="207" t="n"/>
      <c r="UMY90" s="207" t="n"/>
      <c r="UMZ90" s="207" t="n"/>
      <c r="UNA90" s="207" t="n"/>
      <c r="UNB90" s="207" t="n"/>
      <c r="UNC90" s="207" t="n"/>
      <c r="UND90" s="207" t="n"/>
      <c r="UNE90" s="207" t="n"/>
      <c r="UNF90" s="207" t="n"/>
      <c r="UNG90" s="207" t="n"/>
      <c r="UNH90" s="207" t="n"/>
      <c r="UNI90" s="207" t="n"/>
      <c r="UNJ90" s="207" t="n"/>
      <c r="UNK90" s="207" t="n"/>
      <c r="UNL90" s="207" t="n"/>
      <c r="UNM90" s="207" t="n"/>
      <c r="UNN90" s="207" t="n"/>
      <c r="UNO90" s="207" t="n"/>
      <c r="UNP90" s="207" t="n"/>
      <c r="UNQ90" s="207" t="n"/>
      <c r="UNR90" s="207" t="n"/>
      <c r="UNS90" s="207" t="n"/>
      <c r="UNT90" s="207" t="n"/>
      <c r="UNU90" s="207" t="n"/>
      <c r="UNV90" s="207" t="n"/>
      <c r="UNW90" s="207" t="n"/>
      <c r="UNX90" s="207" t="n"/>
      <c r="UNY90" s="207" t="n"/>
      <c r="UNZ90" s="207" t="n"/>
      <c r="UOA90" s="207" t="n"/>
      <c r="UOB90" s="207" t="n"/>
      <c r="UOC90" s="207" t="n"/>
      <c r="UOD90" s="207" t="n"/>
      <c r="UOE90" s="207" t="n"/>
      <c r="UOF90" s="207" t="n"/>
      <c r="UOG90" s="207" t="n"/>
      <c r="UOH90" s="207" t="n"/>
      <c r="UOI90" s="207" t="n"/>
      <c r="UOJ90" s="207" t="n"/>
      <c r="UOK90" s="207" t="n"/>
      <c r="UOL90" s="207" t="n"/>
      <c r="UOM90" s="207" t="n"/>
      <c r="UON90" s="207" t="n"/>
      <c r="UOO90" s="207" t="n"/>
      <c r="UOP90" s="207" t="n"/>
      <c r="UOQ90" s="207" t="n"/>
      <c r="UOR90" s="207" t="n"/>
      <c r="UOS90" s="207" t="n"/>
      <c r="UOT90" s="207" t="n"/>
      <c r="UOU90" s="207" t="n"/>
      <c r="UOV90" s="207" t="n"/>
      <c r="UOW90" s="207" t="n"/>
      <c r="UOX90" s="207" t="n"/>
      <c r="UOY90" s="207" t="n"/>
      <c r="UOZ90" s="207" t="n"/>
      <c r="UPA90" s="207" t="n"/>
      <c r="UPB90" s="207" t="n"/>
      <c r="UPC90" s="207" t="n"/>
      <c r="UPD90" s="207" t="n"/>
      <c r="UPE90" s="207" t="n"/>
      <c r="UPF90" s="207" t="n"/>
      <c r="UPG90" s="207" t="n"/>
      <c r="UPH90" s="207" t="n"/>
      <c r="UPI90" s="207" t="n"/>
      <c r="UPJ90" s="207" t="n"/>
      <c r="UPK90" s="207" t="n"/>
      <c r="UPL90" s="207" t="n"/>
      <c r="UPM90" s="207" t="n"/>
      <c r="UPN90" s="207" t="n"/>
      <c r="UPO90" s="207" t="n"/>
      <c r="UPP90" s="207" t="n"/>
      <c r="UPQ90" s="207" t="n"/>
      <c r="UPR90" s="207" t="n"/>
      <c r="UPS90" s="207" t="n"/>
      <c r="UPT90" s="207" t="n"/>
      <c r="UPU90" s="207" t="n"/>
      <c r="UPV90" s="207" t="n"/>
      <c r="UPW90" s="207" t="n"/>
      <c r="UPX90" s="207" t="n"/>
      <c r="UPY90" s="207" t="n"/>
      <c r="UPZ90" s="207" t="n"/>
      <c r="UQA90" s="207" t="n"/>
      <c r="UQB90" s="207" t="n"/>
      <c r="UQC90" s="207" t="n"/>
      <c r="UQD90" s="207" t="n"/>
      <c r="UQE90" s="207" t="n"/>
      <c r="UQF90" s="207" t="n"/>
      <c r="UQG90" s="207" t="n"/>
      <c r="UQH90" s="207" t="n"/>
      <c r="UQI90" s="207" t="n"/>
      <c r="UQJ90" s="207" t="n"/>
      <c r="UQK90" s="207" t="n"/>
      <c r="UQL90" s="207" t="n"/>
      <c r="UQM90" s="207" t="n"/>
      <c r="UQN90" s="207" t="n"/>
      <c r="UQO90" s="207" t="n"/>
      <c r="UQP90" s="207" t="n"/>
      <c r="UQQ90" s="207" t="n"/>
      <c r="UQR90" s="207" t="n"/>
      <c r="UQS90" s="207" t="n"/>
      <c r="UQT90" s="207" t="n"/>
      <c r="UQU90" s="207" t="n"/>
      <c r="UQV90" s="207" t="n"/>
      <c r="UQW90" s="207" t="n"/>
      <c r="UQX90" s="207" t="n"/>
      <c r="UQY90" s="207" t="n"/>
      <c r="UQZ90" s="207" t="n"/>
      <c r="URA90" s="207" t="n"/>
      <c r="URB90" s="207" t="n"/>
      <c r="URC90" s="207" t="n"/>
      <c r="URD90" s="207" t="n"/>
      <c r="URE90" s="207" t="n"/>
      <c r="URF90" s="207" t="n"/>
      <c r="URG90" s="207" t="n"/>
      <c r="URH90" s="207" t="n"/>
      <c r="URI90" s="207" t="n"/>
      <c r="URJ90" s="207" t="n"/>
      <c r="URK90" s="207" t="n"/>
      <c r="URL90" s="207" t="n"/>
      <c r="URM90" s="207" t="n"/>
      <c r="URN90" s="207" t="n"/>
      <c r="URO90" s="207" t="n"/>
      <c r="URP90" s="207" t="n"/>
      <c r="URQ90" s="207" t="n"/>
      <c r="URR90" s="207" t="n"/>
      <c r="URS90" s="207" t="n"/>
      <c r="URT90" s="207" t="n"/>
      <c r="URU90" s="207" t="n"/>
      <c r="URV90" s="207" t="n"/>
      <c r="URW90" s="207" t="n"/>
      <c r="URX90" s="207" t="n"/>
      <c r="URY90" s="207" t="n"/>
      <c r="URZ90" s="207" t="n"/>
      <c r="USA90" s="207" t="n"/>
      <c r="USB90" s="207" t="n"/>
      <c r="USC90" s="207" t="n"/>
      <c r="USD90" s="207" t="n"/>
      <c r="USE90" s="207" t="n"/>
      <c r="USF90" s="207" t="n"/>
      <c r="USG90" s="207" t="n"/>
      <c r="USH90" s="207" t="n"/>
      <c r="USI90" s="207" t="n"/>
      <c r="USJ90" s="207" t="n"/>
      <c r="USK90" s="207" t="n"/>
      <c r="USL90" s="207" t="n"/>
      <c r="USM90" s="207" t="n"/>
      <c r="USN90" s="207" t="n"/>
      <c r="USO90" s="207" t="n"/>
      <c r="USP90" s="207" t="n"/>
      <c r="USQ90" s="207" t="n"/>
      <c r="USR90" s="207" t="n"/>
      <c r="USS90" s="207" t="n"/>
      <c r="UST90" s="207" t="n"/>
      <c r="USU90" s="207" t="n"/>
      <c r="USV90" s="207" t="n"/>
      <c r="USW90" s="207" t="n"/>
      <c r="USX90" s="207" t="n"/>
      <c r="USY90" s="207" t="n"/>
      <c r="USZ90" s="207" t="n"/>
      <c r="UTA90" s="207" t="n"/>
      <c r="UTB90" s="207" t="n"/>
      <c r="UTC90" s="207" t="n"/>
      <c r="UTD90" s="207" t="n"/>
      <c r="UTE90" s="207" t="n"/>
      <c r="UTF90" s="207" t="n"/>
      <c r="UTG90" s="207" t="n"/>
      <c r="UTH90" s="207" t="n"/>
      <c r="UTI90" s="207" t="n"/>
      <c r="UTJ90" s="207" t="n"/>
      <c r="UTK90" s="207" t="n"/>
      <c r="UTL90" s="207" t="n"/>
      <c r="UTM90" s="207" t="n"/>
      <c r="UTN90" s="207" t="n"/>
      <c r="UTO90" s="207" t="n"/>
      <c r="UTP90" s="207" t="n"/>
      <c r="UTQ90" s="207" t="n"/>
      <c r="UTR90" s="207" t="n"/>
      <c r="UTS90" s="207" t="n"/>
      <c r="UTT90" s="207" t="n"/>
      <c r="UTU90" s="207" t="n"/>
      <c r="UTV90" s="207" t="n"/>
      <c r="UTW90" s="207" t="n"/>
      <c r="UTX90" s="207" t="n"/>
      <c r="UTY90" s="207" t="n"/>
      <c r="UTZ90" s="207" t="n"/>
      <c r="UUA90" s="207" t="n"/>
      <c r="UUB90" s="207" t="n"/>
      <c r="UUC90" s="207" t="n"/>
      <c r="UUD90" s="207" t="n"/>
      <c r="UUE90" s="207" t="n"/>
      <c r="UUF90" s="207" t="n"/>
      <c r="UUG90" s="207" t="n"/>
      <c r="UUH90" s="207" t="n"/>
      <c r="UUI90" s="207" t="n"/>
      <c r="UUJ90" s="207" t="n"/>
      <c r="UUK90" s="207" t="n"/>
      <c r="UUL90" s="207" t="n"/>
      <c r="UUM90" s="207" t="n"/>
      <c r="UUN90" s="207" t="n"/>
      <c r="UUO90" s="207" t="n"/>
      <c r="UUP90" s="207" t="n"/>
      <c r="UUQ90" s="207" t="n"/>
      <c r="UUR90" s="207" t="n"/>
      <c r="UUS90" s="207" t="n"/>
      <c r="UUT90" s="207" t="n"/>
      <c r="UUU90" s="207" t="n"/>
      <c r="UUV90" s="207" t="n"/>
      <c r="UUW90" s="207" t="n"/>
      <c r="UUX90" s="207" t="n"/>
      <c r="UUY90" s="207" t="n"/>
      <c r="UUZ90" s="207" t="n"/>
      <c r="UVA90" s="207" t="n"/>
      <c r="UVB90" s="207" t="n"/>
      <c r="UVC90" s="207" t="n"/>
      <c r="UVD90" s="207" t="n"/>
      <c r="UVE90" s="207" t="n"/>
      <c r="UVF90" s="207" t="n"/>
      <c r="UVG90" s="207" t="n"/>
      <c r="UVH90" s="207" t="n"/>
      <c r="UVI90" s="207" t="n"/>
      <c r="UVJ90" s="207" t="n"/>
      <c r="UVK90" s="207" t="n"/>
      <c r="UVL90" s="207" t="n"/>
      <c r="UVM90" s="207" t="n"/>
      <c r="UVN90" s="207" t="n"/>
      <c r="UVO90" s="207" t="n"/>
      <c r="UVP90" s="207" t="n"/>
      <c r="UVQ90" s="207" t="n"/>
      <c r="UVR90" s="207" t="n"/>
      <c r="UVS90" s="207" t="n"/>
      <c r="UVT90" s="207" t="n"/>
      <c r="UVU90" s="207" t="n"/>
      <c r="UVV90" s="207" t="n"/>
      <c r="UVW90" s="207" t="n"/>
      <c r="UVX90" s="207" t="n"/>
      <c r="UVY90" s="207" t="n"/>
      <c r="UVZ90" s="207" t="n"/>
      <c r="UWA90" s="207" t="n"/>
      <c r="UWB90" s="207" t="n"/>
      <c r="UWC90" s="207" t="n"/>
      <c r="UWD90" s="207" t="n"/>
      <c r="UWE90" s="207" t="n"/>
      <c r="UWF90" s="207" t="n"/>
      <c r="UWG90" s="207" t="n"/>
      <c r="UWH90" s="207" t="n"/>
      <c r="UWI90" s="207" t="n"/>
      <c r="UWJ90" s="207" t="n"/>
      <c r="UWK90" s="207" t="n"/>
      <c r="UWL90" s="207" t="n"/>
      <c r="UWM90" s="207" t="n"/>
      <c r="UWN90" s="207" t="n"/>
      <c r="UWO90" s="207" t="n"/>
      <c r="UWP90" s="207" t="n"/>
      <c r="UWQ90" s="207" t="n"/>
      <c r="UWR90" s="207" t="n"/>
      <c r="UWS90" s="207" t="n"/>
      <c r="UWT90" s="207" t="n"/>
      <c r="UWU90" s="207" t="n"/>
      <c r="UWV90" s="207" t="n"/>
      <c r="UWW90" s="207" t="n"/>
      <c r="UWX90" s="207" t="n"/>
      <c r="UWY90" s="207" t="n"/>
      <c r="UWZ90" s="207" t="n"/>
      <c r="UXA90" s="207" t="n"/>
      <c r="UXB90" s="207" t="n"/>
      <c r="UXC90" s="207" t="n"/>
      <c r="UXD90" s="207" t="n"/>
      <c r="UXE90" s="207" t="n"/>
      <c r="UXF90" s="207" t="n"/>
      <c r="UXG90" s="207" t="n"/>
      <c r="UXH90" s="207" t="n"/>
      <c r="UXI90" s="207" t="n"/>
      <c r="UXJ90" s="207" t="n"/>
      <c r="UXK90" s="207" t="n"/>
      <c r="UXL90" s="207" t="n"/>
      <c r="UXM90" s="207" t="n"/>
      <c r="UXN90" s="207" t="n"/>
      <c r="UXO90" s="207" t="n"/>
      <c r="UXP90" s="207" t="n"/>
      <c r="UXQ90" s="207" t="n"/>
      <c r="UXR90" s="207" t="n"/>
      <c r="UXS90" s="207" t="n"/>
      <c r="UXT90" s="207" t="n"/>
      <c r="UXU90" s="207" t="n"/>
      <c r="UXV90" s="207" t="n"/>
      <c r="UXW90" s="207" t="n"/>
      <c r="UXX90" s="207" t="n"/>
      <c r="UXY90" s="207" t="n"/>
      <c r="UXZ90" s="207" t="n"/>
      <c r="UYA90" s="207" t="n"/>
      <c r="UYB90" s="207" t="n"/>
      <c r="UYC90" s="207" t="n"/>
      <c r="UYD90" s="207" t="n"/>
      <c r="UYE90" s="207" t="n"/>
      <c r="UYF90" s="207" t="n"/>
      <c r="UYG90" s="207" t="n"/>
      <c r="UYH90" s="207" t="n"/>
      <c r="UYI90" s="207" t="n"/>
      <c r="UYJ90" s="207" t="n"/>
      <c r="UYK90" s="207" t="n"/>
      <c r="UYL90" s="207" t="n"/>
      <c r="UYM90" s="207" t="n"/>
      <c r="UYN90" s="207" t="n"/>
      <c r="UYO90" s="207" t="n"/>
      <c r="UYP90" s="207" t="n"/>
      <c r="UYQ90" s="207" t="n"/>
      <c r="UYR90" s="207" t="n"/>
      <c r="UYS90" s="207" t="n"/>
      <c r="UYT90" s="207" t="n"/>
      <c r="UYU90" s="207" t="n"/>
      <c r="UYV90" s="207" t="n"/>
      <c r="UYW90" s="207" t="n"/>
      <c r="UYX90" s="207" t="n"/>
      <c r="UYY90" s="207" t="n"/>
      <c r="UYZ90" s="207" t="n"/>
      <c r="UZA90" s="207" t="n"/>
      <c r="UZB90" s="207" t="n"/>
      <c r="UZC90" s="207" t="n"/>
      <c r="UZD90" s="207" t="n"/>
      <c r="UZE90" s="207" t="n"/>
      <c r="UZF90" s="207" t="n"/>
      <c r="UZG90" s="207" t="n"/>
      <c r="UZH90" s="207" t="n"/>
      <c r="UZI90" s="207" t="n"/>
      <c r="UZJ90" s="207" t="n"/>
      <c r="UZK90" s="207" t="n"/>
      <c r="UZL90" s="207" t="n"/>
      <c r="UZM90" s="207" t="n"/>
      <c r="UZN90" s="207" t="n"/>
      <c r="UZO90" s="207" t="n"/>
      <c r="UZP90" s="207" t="n"/>
      <c r="UZQ90" s="207" t="n"/>
      <c r="UZR90" s="207" t="n"/>
      <c r="UZS90" s="207" t="n"/>
      <c r="UZT90" s="207" t="n"/>
      <c r="UZU90" s="207" t="n"/>
      <c r="UZV90" s="207" t="n"/>
      <c r="UZW90" s="207" t="n"/>
      <c r="UZX90" s="207" t="n"/>
      <c r="UZY90" s="207" t="n"/>
      <c r="UZZ90" s="207" t="n"/>
      <c r="VAA90" s="207" t="n"/>
      <c r="VAB90" s="207" t="n"/>
      <c r="VAC90" s="207" t="n"/>
      <c r="VAD90" s="207" t="n"/>
      <c r="VAE90" s="207" t="n"/>
      <c r="VAF90" s="207" t="n"/>
      <c r="VAG90" s="207" t="n"/>
      <c r="VAH90" s="207" t="n"/>
      <c r="VAI90" s="207" t="n"/>
      <c r="VAJ90" s="207" t="n"/>
      <c r="VAK90" s="207" t="n"/>
      <c r="VAL90" s="207" t="n"/>
      <c r="VAM90" s="207" t="n"/>
      <c r="VAN90" s="207" t="n"/>
      <c r="VAO90" s="207" t="n"/>
      <c r="VAP90" s="207" t="n"/>
      <c r="VAQ90" s="207" t="n"/>
      <c r="VAR90" s="207" t="n"/>
      <c r="VAS90" s="207" t="n"/>
      <c r="VAT90" s="207" t="n"/>
      <c r="VAU90" s="207" t="n"/>
      <c r="VAV90" s="207" t="n"/>
      <c r="VAW90" s="207" t="n"/>
      <c r="VAX90" s="207" t="n"/>
      <c r="VAY90" s="207" t="n"/>
      <c r="VAZ90" s="207" t="n"/>
      <c r="VBA90" s="207" t="n"/>
      <c r="VBB90" s="207" t="n"/>
      <c r="VBC90" s="207" t="n"/>
      <c r="VBD90" s="207" t="n"/>
      <c r="VBE90" s="207" t="n"/>
      <c r="VBF90" s="207" t="n"/>
      <c r="VBG90" s="207" t="n"/>
      <c r="VBH90" s="207" t="n"/>
      <c r="VBI90" s="207" t="n"/>
      <c r="VBJ90" s="207" t="n"/>
      <c r="VBK90" s="207" t="n"/>
      <c r="VBL90" s="207" t="n"/>
      <c r="VBM90" s="207" t="n"/>
      <c r="VBN90" s="207" t="n"/>
      <c r="VBO90" s="207" t="n"/>
      <c r="VBP90" s="207" t="n"/>
      <c r="VBQ90" s="207" t="n"/>
      <c r="VBR90" s="207" t="n"/>
      <c r="VBS90" s="207" t="n"/>
      <c r="VBT90" s="207" t="n"/>
      <c r="VBU90" s="207" t="n"/>
      <c r="VBV90" s="207" t="n"/>
      <c r="VBW90" s="207" t="n"/>
      <c r="VBX90" s="207" t="n"/>
      <c r="VBY90" s="207" t="n"/>
      <c r="VBZ90" s="207" t="n"/>
      <c r="VCA90" s="207" t="n"/>
      <c r="VCB90" s="207" t="n"/>
      <c r="VCC90" s="207" t="n"/>
      <c r="VCD90" s="207" t="n"/>
      <c r="VCE90" s="207" t="n"/>
      <c r="VCF90" s="207" t="n"/>
      <c r="VCG90" s="207" t="n"/>
      <c r="VCH90" s="207" t="n"/>
      <c r="VCI90" s="207" t="n"/>
      <c r="VCJ90" s="207" t="n"/>
      <c r="VCK90" s="207" t="n"/>
      <c r="VCL90" s="207" t="n"/>
      <c r="VCM90" s="207" t="n"/>
      <c r="VCN90" s="207" t="n"/>
      <c r="VCO90" s="207" t="n"/>
      <c r="VCP90" s="207" t="n"/>
      <c r="VCQ90" s="207" t="n"/>
      <c r="VCR90" s="207" t="n"/>
      <c r="VCS90" s="207" t="n"/>
      <c r="VCT90" s="207" t="n"/>
      <c r="VCU90" s="207" t="n"/>
      <c r="VCV90" s="207" t="n"/>
      <c r="VCW90" s="207" t="n"/>
      <c r="VCX90" s="207" t="n"/>
      <c r="VCY90" s="207" t="n"/>
      <c r="VCZ90" s="207" t="n"/>
      <c r="VDA90" s="207" t="n"/>
      <c r="VDB90" s="207" t="n"/>
      <c r="VDC90" s="207" t="n"/>
      <c r="VDD90" s="207" t="n"/>
      <c r="VDE90" s="207" t="n"/>
      <c r="VDF90" s="207" t="n"/>
      <c r="VDG90" s="207" t="n"/>
      <c r="VDH90" s="207" t="n"/>
      <c r="VDI90" s="207" t="n"/>
      <c r="VDJ90" s="207" t="n"/>
      <c r="VDK90" s="207" t="n"/>
      <c r="VDL90" s="207" t="n"/>
      <c r="VDM90" s="207" t="n"/>
      <c r="VDN90" s="207" t="n"/>
      <c r="VDO90" s="207" t="n"/>
      <c r="VDP90" s="207" t="n"/>
      <c r="VDQ90" s="207" t="n"/>
      <c r="VDR90" s="207" t="n"/>
      <c r="VDS90" s="207" t="n"/>
      <c r="VDT90" s="207" t="n"/>
      <c r="VDU90" s="207" t="n"/>
      <c r="VDV90" s="207" t="n"/>
      <c r="VDW90" s="207" t="n"/>
      <c r="VDX90" s="207" t="n"/>
      <c r="VDY90" s="207" t="n"/>
      <c r="VDZ90" s="207" t="n"/>
      <c r="VEA90" s="207" t="n"/>
      <c r="VEB90" s="207" t="n"/>
      <c r="VEC90" s="207" t="n"/>
      <c r="VED90" s="207" t="n"/>
      <c r="VEE90" s="207" t="n"/>
      <c r="VEF90" s="207" t="n"/>
      <c r="VEG90" s="207" t="n"/>
      <c r="VEH90" s="207" t="n"/>
      <c r="VEI90" s="207" t="n"/>
      <c r="VEJ90" s="207" t="n"/>
      <c r="VEK90" s="207" t="n"/>
      <c r="VEL90" s="207" t="n"/>
      <c r="VEM90" s="207" t="n"/>
      <c r="VEN90" s="207" t="n"/>
      <c r="VEO90" s="207" t="n"/>
      <c r="VEP90" s="207" t="n"/>
      <c r="VEQ90" s="207" t="n"/>
      <c r="VER90" s="207" t="n"/>
      <c r="VES90" s="207" t="n"/>
      <c r="VET90" s="207" t="n"/>
      <c r="VEU90" s="207" t="n"/>
      <c r="VEV90" s="207" t="n"/>
      <c r="VEW90" s="207" t="n"/>
      <c r="VEX90" s="207" t="n"/>
      <c r="VEY90" s="207" t="n"/>
      <c r="VEZ90" s="207" t="n"/>
      <c r="VFA90" s="207" t="n"/>
      <c r="VFB90" s="207" t="n"/>
      <c r="VFC90" s="207" t="n"/>
      <c r="VFD90" s="207" t="n"/>
      <c r="VFE90" s="207" t="n"/>
      <c r="VFF90" s="207" t="n"/>
      <c r="VFG90" s="207" t="n"/>
      <c r="VFH90" s="207" t="n"/>
      <c r="VFI90" s="207" t="n"/>
      <c r="VFJ90" s="207" t="n"/>
      <c r="VFK90" s="207" t="n"/>
      <c r="VFL90" s="207" t="n"/>
      <c r="VFM90" s="207" t="n"/>
      <c r="VFN90" s="207" t="n"/>
      <c r="VFO90" s="207" t="n"/>
      <c r="VFP90" s="207" t="n"/>
      <c r="VFQ90" s="207" t="n"/>
      <c r="VFR90" s="207" t="n"/>
      <c r="VFS90" s="207" t="n"/>
      <c r="VFT90" s="207" t="n"/>
      <c r="VFU90" s="207" t="n"/>
      <c r="VFV90" s="207" t="n"/>
      <c r="VFW90" s="207" t="n"/>
      <c r="VFX90" s="207" t="n"/>
      <c r="VFY90" s="207" t="n"/>
      <c r="VFZ90" s="207" t="n"/>
      <c r="VGA90" s="207" t="n"/>
      <c r="VGB90" s="207" t="n"/>
      <c r="VGC90" s="207" t="n"/>
      <c r="VGD90" s="207" t="n"/>
      <c r="VGE90" s="207" t="n"/>
      <c r="VGF90" s="207" t="n"/>
      <c r="VGG90" s="207" t="n"/>
      <c r="VGH90" s="207" t="n"/>
      <c r="VGI90" s="207" t="n"/>
      <c r="VGJ90" s="207" t="n"/>
      <c r="VGK90" s="207" t="n"/>
      <c r="VGL90" s="207" t="n"/>
      <c r="VGM90" s="207" t="n"/>
      <c r="VGN90" s="207" t="n"/>
      <c r="VGO90" s="207" t="n"/>
      <c r="VGP90" s="207" t="n"/>
      <c r="VGQ90" s="207" t="n"/>
      <c r="VGR90" s="207" t="n"/>
      <c r="VGS90" s="207" t="n"/>
      <c r="VGT90" s="207" t="n"/>
      <c r="VGU90" s="207" t="n"/>
      <c r="VGV90" s="207" t="n"/>
      <c r="VGW90" s="207" t="n"/>
      <c r="VGX90" s="207" t="n"/>
      <c r="VGY90" s="207" t="n"/>
      <c r="VGZ90" s="207" t="n"/>
      <c r="VHA90" s="207" t="n"/>
      <c r="VHB90" s="207" t="n"/>
      <c r="VHC90" s="207" t="n"/>
      <c r="VHD90" s="207" t="n"/>
      <c r="VHE90" s="207" t="n"/>
      <c r="VHF90" s="207" t="n"/>
      <c r="VHG90" s="207" t="n"/>
      <c r="VHH90" s="207" t="n"/>
      <c r="VHI90" s="207" t="n"/>
      <c r="VHJ90" s="207" t="n"/>
      <c r="VHK90" s="207" t="n"/>
      <c r="VHL90" s="207" t="n"/>
      <c r="VHM90" s="207" t="n"/>
      <c r="VHN90" s="207" t="n"/>
      <c r="VHO90" s="207" t="n"/>
      <c r="VHP90" s="207" t="n"/>
      <c r="VHQ90" s="207" t="n"/>
      <c r="VHR90" s="207" t="n"/>
      <c r="VHS90" s="207" t="n"/>
      <c r="VHT90" s="207" t="n"/>
      <c r="VHU90" s="207" t="n"/>
      <c r="VHV90" s="207" t="n"/>
      <c r="VHW90" s="207" t="n"/>
      <c r="VHX90" s="207" t="n"/>
      <c r="VHY90" s="207" t="n"/>
      <c r="VHZ90" s="207" t="n"/>
      <c r="VIA90" s="207" t="n"/>
      <c r="VIB90" s="207" t="n"/>
      <c r="VIC90" s="207" t="n"/>
      <c r="VID90" s="207" t="n"/>
      <c r="VIE90" s="207" t="n"/>
      <c r="VIF90" s="207" t="n"/>
      <c r="VIG90" s="207" t="n"/>
      <c r="VIH90" s="207" t="n"/>
      <c r="VII90" s="207" t="n"/>
      <c r="VIJ90" s="207" t="n"/>
      <c r="VIK90" s="207" t="n"/>
      <c r="VIL90" s="207" t="n"/>
      <c r="VIM90" s="207" t="n"/>
      <c r="VIN90" s="207" t="n"/>
      <c r="VIO90" s="207" t="n"/>
      <c r="VIP90" s="207" t="n"/>
      <c r="VIQ90" s="207" t="n"/>
      <c r="VIR90" s="207" t="n"/>
      <c r="VIS90" s="207" t="n"/>
      <c r="VIT90" s="207" t="n"/>
      <c r="VIU90" s="207" t="n"/>
      <c r="VIV90" s="207" t="n"/>
      <c r="VIW90" s="207" t="n"/>
      <c r="VIX90" s="207" t="n"/>
      <c r="VIY90" s="207" t="n"/>
      <c r="VIZ90" s="207" t="n"/>
      <c r="VJA90" s="207" t="n"/>
      <c r="VJB90" s="207" t="n"/>
      <c r="VJC90" s="207" t="n"/>
      <c r="VJD90" s="207" t="n"/>
      <c r="VJE90" s="207" t="n"/>
      <c r="VJF90" s="207" t="n"/>
      <c r="VJG90" s="207" t="n"/>
      <c r="VJH90" s="207" t="n"/>
      <c r="VJI90" s="207" t="n"/>
      <c r="VJJ90" s="207" t="n"/>
      <c r="VJK90" s="207" t="n"/>
      <c r="VJL90" s="207" t="n"/>
      <c r="VJM90" s="207" t="n"/>
      <c r="VJN90" s="207" t="n"/>
      <c r="VJO90" s="207" t="n"/>
      <c r="VJP90" s="207" t="n"/>
      <c r="VJQ90" s="207" t="n"/>
      <c r="VJR90" s="207" t="n"/>
      <c r="VJS90" s="207" t="n"/>
      <c r="VJT90" s="207" t="n"/>
      <c r="VJU90" s="207" t="n"/>
      <c r="VJV90" s="207" t="n"/>
      <c r="VJW90" s="207" t="n"/>
      <c r="VJX90" s="207" t="n"/>
      <c r="VJY90" s="207" t="n"/>
      <c r="VJZ90" s="207" t="n"/>
      <c r="VKA90" s="207" t="n"/>
      <c r="VKB90" s="207" t="n"/>
      <c r="VKC90" s="207" t="n"/>
      <c r="VKD90" s="207" t="n"/>
      <c r="VKE90" s="207" t="n"/>
      <c r="VKF90" s="207" t="n"/>
      <c r="VKG90" s="207" t="n"/>
      <c r="VKH90" s="207" t="n"/>
      <c r="VKI90" s="207" t="n"/>
      <c r="VKJ90" s="207" t="n"/>
      <c r="VKK90" s="207" t="n"/>
      <c r="VKL90" s="207" t="n"/>
      <c r="VKM90" s="207" t="n"/>
      <c r="VKN90" s="207" t="n"/>
      <c r="VKO90" s="207" t="n"/>
      <c r="VKP90" s="207" t="n"/>
      <c r="VKQ90" s="207" t="n"/>
      <c r="VKR90" s="207" t="n"/>
      <c r="VKS90" s="207" t="n"/>
      <c r="VKT90" s="207" t="n"/>
      <c r="VKU90" s="207" t="n"/>
      <c r="VKV90" s="207" t="n"/>
      <c r="VKW90" s="207" t="n"/>
      <c r="VKX90" s="207" t="n"/>
      <c r="VKY90" s="207" t="n"/>
      <c r="VKZ90" s="207" t="n"/>
      <c r="VLA90" s="207" t="n"/>
      <c r="VLB90" s="207" t="n"/>
      <c r="VLC90" s="207" t="n"/>
      <c r="VLD90" s="207" t="n"/>
      <c r="VLE90" s="207" t="n"/>
      <c r="VLF90" s="207" t="n"/>
      <c r="VLG90" s="207" t="n"/>
      <c r="VLH90" s="207" t="n"/>
      <c r="VLI90" s="207" t="n"/>
      <c r="VLJ90" s="207" t="n"/>
      <c r="VLK90" s="207" t="n"/>
      <c r="VLL90" s="207" t="n"/>
      <c r="VLM90" s="207" t="n"/>
      <c r="VLN90" s="207" t="n"/>
      <c r="VLO90" s="207" t="n"/>
      <c r="VLP90" s="207" t="n"/>
      <c r="VLQ90" s="207" t="n"/>
      <c r="VLR90" s="207" t="n"/>
      <c r="VLS90" s="207" t="n"/>
      <c r="VLT90" s="207" t="n"/>
      <c r="VLU90" s="207" t="n"/>
      <c r="VLV90" s="207" t="n"/>
      <c r="VLW90" s="207" t="n"/>
      <c r="VLX90" s="207" t="n"/>
      <c r="VLY90" s="207" t="n"/>
      <c r="VLZ90" s="207" t="n"/>
      <c r="VMA90" s="207" t="n"/>
      <c r="VMB90" s="207" t="n"/>
      <c r="VMC90" s="207" t="n"/>
      <c r="VMD90" s="207" t="n"/>
      <c r="VME90" s="207" t="n"/>
      <c r="VMF90" s="207" t="n"/>
      <c r="VMG90" s="207" t="n"/>
      <c r="VMH90" s="207" t="n"/>
      <c r="VMI90" s="207" t="n"/>
      <c r="VMJ90" s="207" t="n"/>
      <c r="VMK90" s="207" t="n"/>
      <c r="VML90" s="207" t="n"/>
      <c r="VMM90" s="207" t="n"/>
      <c r="VMN90" s="207" t="n"/>
      <c r="VMO90" s="207" t="n"/>
      <c r="VMP90" s="207" t="n"/>
      <c r="VMQ90" s="207" t="n"/>
      <c r="VMR90" s="207" t="n"/>
      <c r="VMS90" s="207" t="n"/>
      <c r="VMT90" s="207" t="n"/>
      <c r="VMU90" s="207" t="n"/>
      <c r="VMV90" s="207" t="n"/>
      <c r="VMW90" s="207" t="n"/>
      <c r="VMX90" s="207" t="n"/>
      <c r="VMY90" s="207" t="n"/>
      <c r="VMZ90" s="207" t="n"/>
      <c r="VNA90" s="207" t="n"/>
      <c r="VNB90" s="207" t="n"/>
      <c r="VNC90" s="207" t="n"/>
      <c r="VND90" s="207" t="n"/>
      <c r="VNE90" s="207" t="n"/>
      <c r="VNF90" s="207" t="n"/>
      <c r="VNG90" s="207" t="n"/>
      <c r="VNH90" s="207" t="n"/>
      <c r="VNI90" s="207" t="n"/>
      <c r="VNJ90" s="207" t="n"/>
      <c r="VNK90" s="207" t="n"/>
      <c r="VNL90" s="207" t="n"/>
      <c r="VNM90" s="207" t="n"/>
      <c r="VNN90" s="207" t="n"/>
      <c r="VNO90" s="207" t="n"/>
      <c r="VNP90" s="207" t="n"/>
      <c r="VNQ90" s="207" t="n"/>
      <c r="VNR90" s="207" t="n"/>
      <c r="VNS90" s="207" t="n"/>
      <c r="VNT90" s="207" t="n"/>
      <c r="VNU90" s="207" t="n"/>
      <c r="VNV90" s="207" t="n"/>
      <c r="VNW90" s="207" t="n"/>
      <c r="VNX90" s="207" t="n"/>
      <c r="VNY90" s="207" t="n"/>
      <c r="VNZ90" s="207" t="n"/>
      <c r="VOA90" s="207" t="n"/>
      <c r="VOB90" s="207" t="n"/>
      <c r="VOC90" s="207" t="n"/>
      <c r="VOD90" s="207" t="n"/>
      <c r="VOE90" s="207" t="n"/>
      <c r="VOF90" s="207" t="n"/>
      <c r="VOG90" s="207" t="n"/>
      <c r="VOH90" s="207" t="n"/>
      <c r="VOI90" s="207" t="n"/>
      <c r="VOJ90" s="207" t="n"/>
      <c r="VOK90" s="207" t="n"/>
      <c r="VOL90" s="207" t="n"/>
      <c r="VOM90" s="207" t="n"/>
      <c r="VON90" s="207" t="n"/>
      <c r="VOO90" s="207" t="n"/>
      <c r="VOP90" s="207" t="n"/>
      <c r="VOQ90" s="207" t="n"/>
      <c r="VOR90" s="207" t="n"/>
      <c r="VOS90" s="207" t="n"/>
      <c r="VOT90" s="207" t="n"/>
      <c r="VOU90" s="207" t="n"/>
      <c r="VOV90" s="207" t="n"/>
      <c r="VOW90" s="207" t="n"/>
      <c r="VOX90" s="207" t="n"/>
      <c r="VOY90" s="207" t="n"/>
      <c r="VOZ90" s="207" t="n"/>
      <c r="VPA90" s="207" t="n"/>
      <c r="VPB90" s="207" t="n"/>
      <c r="VPC90" s="207" t="n"/>
      <c r="VPD90" s="207" t="n"/>
      <c r="VPE90" s="207" t="n"/>
      <c r="VPF90" s="207" t="n"/>
      <c r="VPG90" s="207" t="n"/>
      <c r="VPH90" s="207" t="n"/>
      <c r="VPI90" s="207" t="n"/>
      <c r="VPJ90" s="207" t="n"/>
      <c r="VPK90" s="207" t="n"/>
      <c r="VPL90" s="207" t="n"/>
      <c r="VPM90" s="207" t="n"/>
      <c r="VPN90" s="207" t="n"/>
      <c r="VPO90" s="207" t="n"/>
      <c r="VPP90" s="207" t="n"/>
      <c r="VPQ90" s="207" t="n"/>
      <c r="VPR90" s="207" t="n"/>
      <c r="VPS90" s="207" t="n"/>
      <c r="VPT90" s="207" t="n"/>
      <c r="VPU90" s="207" t="n"/>
      <c r="VPV90" s="207" t="n"/>
      <c r="VPW90" s="207" t="n"/>
      <c r="VPX90" s="207" t="n"/>
      <c r="VPY90" s="207" t="n"/>
      <c r="VPZ90" s="207" t="n"/>
      <c r="VQA90" s="207" t="n"/>
      <c r="VQB90" s="207" t="n"/>
      <c r="VQC90" s="207" t="n"/>
      <c r="VQD90" s="207" t="n"/>
      <c r="VQE90" s="207" t="n"/>
      <c r="VQF90" s="207" t="n"/>
      <c r="VQG90" s="207" t="n"/>
      <c r="VQH90" s="207" t="n"/>
      <c r="VQI90" s="207" t="n"/>
      <c r="VQJ90" s="207" t="n"/>
      <c r="VQK90" s="207" t="n"/>
      <c r="VQL90" s="207" t="n"/>
      <c r="VQM90" s="207" t="n"/>
      <c r="VQN90" s="207" t="n"/>
      <c r="VQO90" s="207" t="n"/>
      <c r="VQP90" s="207" t="n"/>
      <c r="VQQ90" s="207" t="n"/>
      <c r="VQR90" s="207" t="n"/>
      <c r="VQS90" s="207" t="n"/>
      <c r="VQT90" s="207" t="n"/>
      <c r="VQU90" s="207" t="n"/>
      <c r="VQV90" s="207" t="n"/>
      <c r="VQW90" s="207" t="n"/>
      <c r="VQX90" s="207" t="n"/>
      <c r="VQY90" s="207" t="n"/>
      <c r="VQZ90" s="207" t="n"/>
      <c r="VRA90" s="207" t="n"/>
      <c r="VRB90" s="207" t="n"/>
      <c r="VRC90" s="207" t="n"/>
      <c r="VRD90" s="207" t="n"/>
      <c r="VRE90" s="207" t="n"/>
      <c r="VRF90" s="207" t="n"/>
      <c r="VRG90" s="207" t="n"/>
      <c r="VRH90" s="207" t="n"/>
      <c r="VRI90" s="207" t="n"/>
      <c r="VRJ90" s="207" t="n"/>
      <c r="VRK90" s="207" t="n"/>
      <c r="VRL90" s="207" t="n"/>
      <c r="VRM90" s="207" t="n"/>
      <c r="VRN90" s="207" t="n"/>
      <c r="VRO90" s="207" t="n"/>
      <c r="VRP90" s="207" t="n"/>
      <c r="VRQ90" s="207" t="n"/>
      <c r="VRR90" s="207" t="n"/>
      <c r="VRS90" s="207" t="n"/>
      <c r="VRT90" s="207" t="n"/>
      <c r="VRU90" s="207" t="n"/>
      <c r="VRV90" s="207" t="n"/>
      <c r="VRW90" s="207" t="n"/>
      <c r="VRX90" s="207" t="n"/>
      <c r="VRY90" s="207" t="n"/>
      <c r="VRZ90" s="207" t="n"/>
      <c r="VSA90" s="207" t="n"/>
      <c r="VSB90" s="207" t="n"/>
      <c r="VSC90" s="207" t="n"/>
      <c r="VSD90" s="207" t="n"/>
      <c r="VSE90" s="207" t="n"/>
      <c r="VSF90" s="207" t="n"/>
      <c r="VSG90" s="207" t="n"/>
      <c r="VSH90" s="207" t="n"/>
      <c r="VSI90" s="207" t="n"/>
      <c r="VSJ90" s="207" t="n"/>
      <c r="VSK90" s="207" t="n"/>
      <c r="VSL90" s="207" t="n"/>
      <c r="VSM90" s="207" t="n"/>
      <c r="VSN90" s="207" t="n"/>
      <c r="VSO90" s="207" t="n"/>
      <c r="VSP90" s="207" t="n"/>
      <c r="VSQ90" s="207" t="n"/>
      <c r="VSR90" s="207" t="n"/>
      <c r="VSS90" s="207" t="n"/>
      <c r="VST90" s="207" t="n"/>
      <c r="VSU90" s="207" t="n"/>
      <c r="VSV90" s="207" t="n"/>
      <c r="VSW90" s="207" t="n"/>
      <c r="VSX90" s="207" t="n"/>
      <c r="VSY90" s="207" t="n"/>
      <c r="VSZ90" s="207" t="n"/>
      <c r="VTA90" s="207" t="n"/>
      <c r="VTB90" s="207" t="n"/>
      <c r="VTC90" s="207" t="n"/>
      <c r="VTD90" s="207" t="n"/>
      <c r="VTE90" s="207" t="n"/>
      <c r="VTF90" s="207" t="n"/>
      <c r="VTG90" s="207" t="n"/>
      <c r="VTH90" s="207" t="n"/>
      <c r="VTI90" s="207" t="n"/>
      <c r="VTJ90" s="207" t="n"/>
      <c r="VTK90" s="207" t="n"/>
      <c r="VTL90" s="207" t="n"/>
      <c r="VTM90" s="207" t="n"/>
      <c r="VTN90" s="207" t="n"/>
      <c r="VTO90" s="207" t="n"/>
      <c r="VTP90" s="207" t="n"/>
      <c r="VTQ90" s="207" t="n"/>
      <c r="VTR90" s="207" t="n"/>
      <c r="VTS90" s="207" t="n"/>
      <c r="VTT90" s="207" t="n"/>
      <c r="VTU90" s="207" t="n"/>
      <c r="VTV90" s="207" t="n"/>
      <c r="VTW90" s="207" t="n"/>
      <c r="VTX90" s="207" t="n"/>
      <c r="VTY90" s="207" t="n"/>
      <c r="VTZ90" s="207" t="n"/>
      <c r="VUA90" s="207" t="n"/>
      <c r="VUB90" s="207" t="n"/>
      <c r="VUC90" s="207" t="n"/>
      <c r="VUD90" s="207" t="n"/>
      <c r="VUE90" s="207" t="n"/>
      <c r="VUF90" s="207" t="n"/>
      <c r="VUG90" s="207" t="n"/>
      <c r="VUH90" s="207" t="n"/>
      <c r="VUI90" s="207" t="n"/>
      <c r="VUJ90" s="207" t="n"/>
      <c r="VUK90" s="207" t="n"/>
      <c r="VUL90" s="207" t="n"/>
      <c r="VUM90" s="207" t="n"/>
      <c r="VUN90" s="207" t="n"/>
      <c r="VUO90" s="207" t="n"/>
      <c r="VUP90" s="207" t="n"/>
      <c r="VUQ90" s="207" t="n"/>
      <c r="VUR90" s="207" t="n"/>
      <c r="VUS90" s="207" t="n"/>
      <c r="VUT90" s="207" t="n"/>
      <c r="VUU90" s="207" t="n"/>
      <c r="VUV90" s="207" t="n"/>
      <c r="VUW90" s="207" t="n"/>
      <c r="VUX90" s="207" t="n"/>
      <c r="VUY90" s="207" t="n"/>
      <c r="VUZ90" s="207" t="n"/>
      <c r="VVA90" s="207" t="n"/>
      <c r="VVB90" s="207" t="n"/>
      <c r="VVC90" s="207" t="n"/>
      <c r="VVD90" s="207" t="n"/>
      <c r="VVE90" s="207" t="n"/>
      <c r="VVF90" s="207" t="n"/>
      <c r="VVG90" s="207" t="n"/>
      <c r="VVH90" s="207" t="n"/>
      <c r="VVI90" s="207" t="n"/>
      <c r="VVJ90" s="207" t="n"/>
      <c r="VVK90" s="207" t="n"/>
      <c r="VVL90" s="207" t="n"/>
      <c r="VVM90" s="207" t="n"/>
      <c r="VVN90" s="207" t="n"/>
      <c r="VVO90" s="207" t="n"/>
      <c r="VVP90" s="207" t="n"/>
      <c r="VVQ90" s="207" t="n"/>
      <c r="VVR90" s="207" t="n"/>
      <c r="VVS90" s="207" t="n"/>
      <c r="VVT90" s="207" t="n"/>
      <c r="VVU90" s="207" t="n"/>
      <c r="VVV90" s="207" t="n"/>
      <c r="VVW90" s="207" t="n"/>
      <c r="VVX90" s="207" t="n"/>
      <c r="VVY90" s="207" t="n"/>
      <c r="VVZ90" s="207" t="n"/>
      <c r="VWA90" s="207" t="n"/>
      <c r="VWB90" s="207" t="n"/>
      <c r="VWC90" s="207" t="n"/>
      <c r="VWD90" s="207" t="n"/>
      <c r="VWE90" s="207" t="n"/>
      <c r="VWF90" s="207" t="n"/>
      <c r="VWG90" s="207" t="n"/>
      <c r="VWH90" s="207" t="n"/>
      <c r="VWI90" s="207" t="n"/>
      <c r="VWJ90" s="207" t="n"/>
      <c r="VWK90" s="207" t="n"/>
      <c r="VWL90" s="207" t="n"/>
      <c r="VWM90" s="207" t="n"/>
      <c r="VWN90" s="207" t="n"/>
      <c r="VWO90" s="207" t="n"/>
      <c r="VWP90" s="207" t="n"/>
      <c r="VWQ90" s="207" t="n"/>
      <c r="VWR90" s="207" t="n"/>
      <c r="VWS90" s="207" t="n"/>
      <c r="VWT90" s="207" t="n"/>
      <c r="VWU90" s="207" t="n"/>
      <c r="VWV90" s="207" t="n"/>
      <c r="VWW90" s="207" t="n"/>
      <c r="VWX90" s="207" t="n"/>
      <c r="VWY90" s="207" t="n"/>
      <c r="VWZ90" s="207" t="n"/>
      <c r="VXA90" s="207" t="n"/>
      <c r="VXB90" s="207" t="n"/>
      <c r="VXC90" s="207" t="n"/>
      <c r="VXD90" s="207" t="n"/>
      <c r="VXE90" s="207" t="n"/>
      <c r="VXF90" s="207" t="n"/>
      <c r="VXG90" s="207" t="n"/>
      <c r="VXH90" s="207" t="n"/>
      <c r="VXI90" s="207" t="n"/>
      <c r="VXJ90" s="207" t="n"/>
      <c r="VXK90" s="207" t="n"/>
      <c r="VXL90" s="207" t="n"/>
      <c r="VXM90" s="207" t="n"/>
      <c r="VXN90" s="207" t="n"/>
      <c r="VXO90" s="207" t="n"/>
      <c r="VXP90" s="207" t="n"/>
      <c r="VXQ90" s="207" t="n"/>
      <c r="VXR90" s="207" t="n"/>
      <c r="VXS90" s="207" t="n"/>
      <c r="VXT90" s="207" t="n"/>
      <c r="VXU90" s="207" t="n"/>
      <c r="VXV90" s="207" t="n"/>
      <c r="VXW90" s="207" t="n"/>
      <c r="VXX90" s="207" t="n"/>
      <c r="VXY90" s="207" t="n"/>
      <c r="VXZ90" s="207" t="n"/>
      <c r="VYA90" s="207" t="n"/>
      <c r="VYB90" s="207" t="n"/>
      <c r="VYC90" s="207" t="n"/>
      <c r="VYD90" s="207" t="n"/>
      <c r="VYE90" s="207" t="n"/>
      <c r="VYF90" s="207" t="n"/>
      <c r="VYG90" s="207" t="n"/>
      <c r="VYH90" s="207" t="n"/>
      <c r="VYI90" s="207" t="n"/>
      <c r="VYJ90" s="207" t="n"/>
      <c r="VYK90" s="207" t="n"/>
      <c r="VYL90" s="207" t="n"/>
      <c r="VYM90" s="207" t="n"/>
      <c r="VYN90" s="207" t="n"/>
      <c r="VYO90" s="207" t="n"/>
      <c r="VYP90" s="207" t="n"/>
      <c r="VYQ90" s="207" t="n"/>
      <c r="VYR90" s="207" t="n"/>
      <c r="VYS90" s="207" t="n"/>
      <c r="VYT90" s="207" t="n"/>
      <c r="VYU90" s="207" t="n"/>
      <c r="VYV90" s="207" t="n"/>
      <c r="VYW90" s="207" t="n"/>
      <c r="VYX90" s="207" t="n"/>
      <c r="VYY90" s="207" t="n"/>
      <c r="VYZ90" s="207" t="n"/>
      <c r="VZA90" s="207" t="n"/>
      <c r="VZB90" s="207" t="n"/>
      <c r="VZC90" s="207" t="n"/>
      <c r="VZD90" s="207" t="n"/>
      <c r="VZE90" s="207" t="n"/>
      <c r="VZF90" s="207" t="n"/>
      <c r="VZG90" s="207" t="n"/>
      <c r="VZH90" s="207" t="n"/>
      <c r="VZI90" s="207" t="n"/>
      <c r="VZJ90" s="207" t="n"/>
      <c r="VZK90" s="207" t="n"/>
      <c r="VZL90" s="207" t="n"/>
      <c r="VZM90" s="207" t="n"/>
      <c r="VZN90" s="207" t="n"/>
      <c r="VZO90" s="207" t="n"/>
      <c r="VZP90" s="207" t="n"/>
      <c r="VZQ90" s="207" t="n"/>
      <c r="VZR90" s="207" t="n"/>
      <c r="VZS90" s="207" t="n"/>
      <c r="VZT90" s="207" t="n"/>
      <c r="VZU90" s="207" t="n"/>
      <c r="VZV90" s="207" t="n"/>
      <c r="VZW90" s="207" t="n"/>
      <c r="VZX90" s="207" t="n"/>
      <c r="VZY90" s="207" t="n"/>
      <c r="VZZ90" s="207" t="n"/>
      <c r="WAA90" s="207" t="n"/>
      <c r="WAB90" s="207" t="n"/>
      <c r="WAC90" s="207" t="n"/>
      <c r="WAD90" s="207" t="n"/>
      <c r="WAE90" s="207" t="n"/>
      <c r="WAF90" s="207" t="n"/>
      <c r="WAG90" s="207" t="n"/>
      <c r="WAH90" s="207" t="n"/>
      <c r="WAI90" s="207" t="n"/>
      <c r="WAJ90" s="207" t="n"/>
      <c r="WAK90" s="207" t="n"/>
      <c r="WAL90" s="207" t="n"/>
      <c r="WAM90" s="207" t="n"/>
      <c r="WAN90" s="207" t="n"/>
      <c r="WAO90" s="207" t="n"/>
      <c r="WAP90" s="207" t="n"/>
      <c r="WAQ90" s="207" t="n"/>
      <c r="WAR90" s="207" t="n"/>
      <c r="WAS90" s="207" t="n"/>
      <c r="WAT90" s="207" t="n"/>
      <c r="WAU90" s="207" t="n"/>
      <c r="WAV90" s="207" t="n"/>
      <c r="WAW90" s="207" t="n"/>
      <c r="WAX90" s="207" t="n"/>
      <c r="WAY90" s="207" t="n"/>
      <c r="WAZ90" s="207" t="n"/>
      <c r="WBA90" s="207" t="n"/>
      <c r="WBB90" s="207" t="n"/>
      <c r="WBC90" s="207" t="n"/>
      <c r="WBD90" s="207" t="n"/>
      <c r="WBE90" s="207" t="n"/>
      <c r="WBF90" s="207" t="n"/>
      <c r="WBG90" s="207" t="n"/>
      <c r="WBH90" s="207" t="n"/>
      <c r="WBI90" s="207" t="n"/>
      <c r="WBJ90" s="207" t="n"/>
      <c r="WBK90" s="207" t="n"/>
      <c r="WBL90" s="207" t="n"/>
      <c r="WBM90" s="207" t="n"/>
      <c r="WBN90" s="207" t="n"/>
      <c r="WBO90" s="207" t="n"/>
      <c r="WBP90" s="207" t="n"/>
      <c r="WBQ90" s="207" t="n"/>
      <c r="WBR90" s="207" t="n"/>
      <c r="WBS90" s="207" t="n"/>
      <c r="WBT90" s="207" t="n"/>
      <c r="WBU90" s="207" t="n"/>
      <c r="WBV90" s="207" t="n"/>
      <c r="WBW90" s="207" t="n"/>
      <c r="WBX90" s="207" t="n"/>
      <c r="WBY90" s="207" t="n"/>
      <c r="WBZ90" s="207" t="n"/>
      <c r="WCA90" s="207" t="n"/>
      <c r="WCB90" s="207" t="n"/>
      <c r="WCC90" s="207" t="n"/>
      <c r="WCD90" s="207" t="n"/>
      <c r="WCE90" s="207" t="n"/>
      <c r="WCF90" s="207" t="n"/>
      <c r="WCG90" s="207" t="n"/>
      <c r="WCH90" s="207" t="n"/>
      <c r="WCI90" s="207" t="n"/>
      <c r="WCJ90" s="207" t="n"/>
      <c r="WCK90" s="207" t="n"/>
      <c r="WCL90" s="207" t="n"/>
      <c r="WCM90" s="207" t="n"/>
      <c r="WCN90" s="207" t="n"/>
      <c r="WCO90" s="207" t="n"/>
      <c r="WCP90" s="207" t="n"/>
      <c r="WCQ90" s="207" t="n"/>
      <c r="WCR90" s="207" t="n"/>
      <c r="WCS90" s="207" t="n"/>
      <c r="WCT90" s="207" t="n"/>
      <c r="WCU90" s="207" t="n"/>
      <c r="WCV90" s="207" t="n"/>
      <c r="WCW90" s="207" t="n"/>
      <c r="WCX90" s="207" t="n"/>
      <c r="WCY90" s="207" t="n"/>
      <c r="WCZ90" s="207" t="n"/>
      <c r="WDA90" s="207" t="n"/>
      <c r="WDB90" s="207" t="n"/>
      <c r="WDC90" s="207" t="n"/>
      <c r="WDD90" s="207" t="n"/>
      <c r="WDE90" s="207" t="n"/>
      <c r="WDF90" s="207" t="n"/>
      <c r="WDG90" s="207" t="n"/>
      <c r="WDH90" s="207" t="n"/>
      <c r="WDI90" s="207" t="n"/>
      <c r="WDJ90" s="207" t="n"/>
      <c r="WDK90" s="207" t="n"/>
      <c r="WDL90" s="207" t="n"/>
      <c r="WDM90" s="207" t="n"/>
      <c r="WDN90" s="207" t="n"/>
      <c r="WDO90" s="207" t="n"/>
      <c r="WDP90" s="207" t="n"/>
      <c r="WDQ90" s="207" t="n"/>
      <c r="WDR90" s="207" t="n"/>
      <c r="WDS90" s="207" t="n"/>
      <c r="WDT90" s="207" t="n"/>
      <c r="WDU90" s="207" t="n"/>
      <c r="WDV90" s="207" t="n"/>
      <c r="WDW90" s="207" t="n"/>
      <c r="WDX90" s="207" t="n"/>
      <c r="WDY90" s="207" t="n"/>
      <c r="WDZ90" s="207" t="n"/>
      <c r="WEA90" s="207" t="n"/>
      <c r="WEB90" s="207" t="n"/>
      <c r="WEC90" s="207" t="n"/>
      <c r="WED90" s="207" t="n"/>
      <c r="WEE90" s="207" t="n"/>
      <c r="WEF90" s="207" t="n"/>
      <c r="WEG90" s="207" t="n"/>
      <c r="WEH90" s="207" t="n"/>
      <c r="WEI90" s="207" t="n"/>
      <c r="WEJ90" s="207" t="n"/>
      <c r="WEK90" s="207" t="n"/>
      <c r="WEL90" s="207" t="n"/>
      <c r="WEM90" s="207" t="n"/>
      <c r="WEN90" s="207" t="n"/>
      <c r="WEO90" s="207" t="n"/>
      <c r="WEP90" s="207" t="n"/>
      <c r="WEQ90" s="207" t="n"/>
      <c r="WER90" s="207" t="n"/>
      <c r="WES90" s="207" t="n"/>
      <c r="WET90" s="207" t="n"/>
      <c r="WEU90" s="207" t="n"/>
      <c r="WEV90" s="207" t="n"/>
      <c r="WEW90" s="207" t="n"/>
      <c r="WEX90" s="207" t="n"/>
      <c r="WEY90" s="207" t="n"/>
      <c r="WEZ90" s="207" t="n"/>
      <c r="WFA90" s="207" t="n"/>
      <c r="WFB90" s="207" t="n"/>
      <c r="WFC90" s="207" t="n"/>
      <c r="WFD90" s="207" t="n"/>
      <c r="WFE90" s="207" t="n"/>
      <c r="WFF90" s="207" t="n"/>
      <c r="WFG90" s="207" t="n"/>
      <c r="WFH90" s="207" t="n"/>
      <c r="WFI90" s="207" t="n"/>
      <c r="WFJ90" s="207" t="n"/>
      <c r="WFK90" s="207" t="n"/>
      <c r="WFL90" s="207" t="n"/>
      <c r="WFM90" s="207" t="n"/>
      <c r="WFN90" s="207" t="n"/>
      <c r="WFO90" s="207" t="n"/>
      <c r="WFP90" s="207" t="n"/>
      <c r="WFQ90" s="207" t="n"/>
      <c r="WFR90" s="207" t="n"/>
      <c r="WFS90" s="207" t="n"/>
      <c r="WFT90" s="207" t="n"/>
      <c r="WFU90" s="207" t="n"/>
      <c r="WFV90" s="207" t="n"/>
      <c r="WFW90" s="207" t="n"/>
      <c r="WFX90" s="207" t="n"/>
      <c r="WFY90" s="207" t="n"/>
      <c r="WFZ90" s="207" t="n"/>
      <c r="WGA90" s="207" t="n"/>
      <c r="WGB90" s="207" t="n"/>
      <c r="WGC90" s="207" t="n"/>
      <c r="WGD90" s="207" t="n"/>
      <c r="WGE90" s="207" t="n"/>
      <c r="WGF90" s="207" t="n"/>
      <c r="WGG90" s="207" t="n"/>
      <c r="WGH90" s="207" t="n"/>
      <c r="WGI90" s="207" t="n"/>
      <c r="WGJ90" s="207" t="n"/>
      <c r="WGK90" s="207" t="n"/>
      <c r="WGL90" s="207" t="n"/>
      <c r="WGM90" s="207" t="n"/>
      <c r="WGN90" s="207" t="n"/>
      <c r="WGO90" s="207" t="n"/>
      <c r="WGP90" s="207" t="n"/>
      <c r="WGQ90" s="207" t="n"/>
      <c r="WGR90" s="207" t="n"/>
      <c r="WGS90" s="207" t="n"/>
      <c r="WGT90" s="207" t="n"/>
      <c r="WGU90" s="207" t="n"/>
      <c r="WGV90" s="207" t="n"/>
      <c r="WGW90" s="207" t="n"/>
      <c r="WGX90" s="207" t="n"/>
      <c r="WGY90" s="207" t="n"/>
      <c r="WGZ90" s="207" t="n"/>
      <c r="WHA90" s="207" t="n"/>
      <c r="WHB90" s="207" t="n"/>
      <c r="WHC90" s="207" t="n"/>
      <c r="WHD90" s="207" t="n"/>
      <c r="WHE90" s="207" t="n"/>
      <c r="WHF90" s="207" t="n"/>
      <c r="WHG90" s="207" t="n"/>
      <c r="WHH90" s="207" t="n"/>
      <c r="WHI90" s="207" t="n"/>
      <c r="WHJ90" s="207" t="n"/>
      <c r="WHK90" s="207" t="n"/>
      <c r="WHL90" s="207" t="n"/>
      <c r="WHM90" s="207" t="n"/>
      <c r="WHN90" s="207" t="n"/>
      <c r="WHO90" s="207" t="n"/>
      <c r="WHP90" s="207" t="n"/>
      <c r="WHQ90" s="207" t="n"/>
      <c r="WHR90" s="207" t="n"/>
      <c r="WHS90" s="207" t="n"/>
      <c r="WHT90" s="207" t="n"/>
      <c r="WHU90" s="207" t="n"/>
      <c r="WHV90" s="207" t="n"/>
      <c r="WHW90" s="207" t="n"/>
      <c r="WHX90" s="207" t="n"/>
      <c r="WHY90" s="207" t="n"/>
      <c r="WHZ90" s="207" t="n"/>
      <c r="WIA90" s="207" t="n"/>
      <c r="WIB90" s="207" t="n"/>
      <c r="WIC90" s="207" t="n"/>
      <c r="WID90" s="207" t="n"/>
      <c r="WIE90" s="207" t="n"/>
      <c r="WIF90" s="207" t="n"/>
      <c r="WIG90" s="207" t="n"/>
      <c r="WIH90" s="207" t="n"/>
      <c r="WII90" s="207" t="n"/>
      <c r="WIJ90" s="207" t="n"/>
      <c r="WIK90" s="207" t="n"/>
      <c r="WIL90" s="207" t="n"/>
      <c r="WIM90" s="207" t="n"/>
      <c r="WIN90" s="207" t="n"/>
      <c r="WIO90" s="207" t="n"/>
      <c r="WIP90" s="207" t="n"/>
      <c r="WIQ90" s="207" t="n"/>
      <c r="WIR90" s="207" t="n"/>
      <c r="WIS90" s="207" t="n"/>
      <c r="WIT90" s="207" t="n"/>
      <c r="WIU90" s="207" t="n"/>
      <c r="WIV90" s="207" t="n"/>
      <c r="WIW90" s="207" t="n"/>
      <c r="WIX90" s="207" t="n"/>
      <c r="WIY90" s="207" t="n"/>
      <c r="WIZ90" s="207" t="n"/>
      <c r="WJA90" s="207" t="n"/>
      <c r="WJB90" s="207" t="n"/>
      <c r="WJC90" s="207" t="n"/>
      <c r="WJD90" s="207" t="n"/>
      <c r="WJE90" s="207" t="n"/>
      <c r="WJF90" s="207" t="n"/>
      <c r="WJG90" s="207" t="n"/>
      <c r="WJH90" s="207" t="n"/>
      <c r="WJI90" s="207" t="n"/>
      <c r="WJJ90" s="207" t="n"/>
      <c r="WJK90" s="207" t="n"/>
      <c r="WJL90" s="207" t="n"/>
      <c r="WJM90" s="207" t="n"/>
      <c r="WJN90" s="207" t="n"/>
      <c r="WJO90" s="207" t="n"/>
      <c r="WJP90" s="207" t="n"/>
      <c r="WJQ90" s="207" t="n"/>
      <c r="WJR90" s="207" t="n"/>
      <c r="WJS90" s="207" t="n"/>
      <c r="WJT90" s="207" t="n"/>
      <c r="WJU90" s="207" t="n"/>
      <c r="WJV90" s="207" t="n"/>
      <c r="WJW90" s="207" t="n"/>
      <c r="WJX90" s="207" t="n"/>
      <c r="WJY90" s="207" t="n"/>
      <c r="WJZ90" s="207" t="n"/>
      <c r="WKA90" s="207" t="n"/>
      <c r="WKB90" s="207" t="n"/>
      <c r="WKC90" s="207" t="n"/>
      <c r="WKD90" s="207" t="n"/>
      <c r="WKE90" s="207" t="n"/>
      <c r="WKF90" s="207" t="n"/>
      <c r="WKG90" s="207" t="n"/>
      <c r="WKH90" s="207" t="n"/>
      <c r="WKI90" s="207" t="n"/>
      <c r="WKJ90" s="207" t="n"/>
      <c r="WKK90" s="207" t="n"/>
      <c r="WKL90" s="207" t="n"/>
      <c r="WKM90" s="207" t="n"/>
      <c r="WKN90" s="207" t="n"/>
      <c r="WKO90" s="207" t="n"/>
      <c r="WKP90" s="207" t="n"/>
      <c r="WKQ90" s="207" t="n"/>
      <c r="WKR90" s="207" t="n"/>
      <c r="WKS90" s="207" t="n"/>
      <c r="WKT90" s="207" t="n"/>
      <c r="WKU90" s="207" t="n"/>
      <c r="WKV90" s="207" t="n"/>
      <c r="WKW90" s="207" t="n"/>
      <c r="WKX90" s="207" t="n"/>
      <c r="WKY90" s="207" t="n"/>
      <c r="WKZ90" s="207" t="n"/>
      <c r="WLA90" s="207" t="n"/>
      <c r="WLB90" s="207" t="n"/>
      <c r="WLC90" s="207" t="n"/>
      <c r="WLD90" s="207" t="n"/>
      <c r="WLE90" s="207" t="n"/>
      <c r="WLF90" s="207" t="n"/>
      <c r="WLG90" s="207" t="n"/>
      <c r="WLH90" s="207" t="n"/>
      <c r="WLI90" s="207" t="n"/>
      <c r="WLJ90" s="207" t="n"/>
      <c r="WLK90" s="207" t="n"/>
      <c r="WLL90" s="207" t="n"/>
      <c r="WLM90" s="207" t="n"/>
      <c r="WLN90" s="207" t="n"/>
      <c r="WLO90" s="207" t="n"/>
      <c r="WLP90" s="207" t="n"/>
      <c r="WLQ90" s="207" t="n"/>
      <c r="WLR90" s="207" t="n"/>
      <c r="WLS90" s="207" t="n"/>
      <c r="WLT90" s="207" t="n"/>
      <c r="WLU90" s="207" t="n"/>
      <c r="WLV90" s="207" t="n"/>
      <c r="WLW90" s="207" t="n"/>
      <c r="WLX90" s="207" t="n"/>
      <c r="WLY90" s="207" t="n"/>
      <c r="WLZ90" s="207" t="n"/>
      <c r="WMA90" s="207" t="n"/>
      <c r="WMB90" s="207" t="n"/>
      <c r="WMC90" s="207" t="n"/>
      <c r="WMD90" s="207" t="n"/>
      <c r="WME90" s="207" t="n"/>
      <c r="WMF90" s="207" t="n"/>
      <c r="WMG90" s="207" t="n"/>
      <c r="WMH90" s="207" t="n"/>
      <c r="WMI90" s="207" t="n"/>
      <c r="WMJ90" s="207" t="n"/>
      <c r="WMK90" s="207" t="n"/>
      <c r="WML90" s="207" t="n"/>
      <c r="WMM90" s="207" t="n"/>
      <c r="WMN90" s="207" t="n"/>
      <c r="WMO90" s="207" t="n"/>
      <c r="WMP90" s="207" t="n"/>
      <c r="WMQ90" s="207" t="n"/>
      <c r="WMR90" s="207" t="n"/>
      <c r="WMS90" s="207" t="n"/>
      <c r="WMT90" s="207" t="n"/>
      <c r="WMU90" s="207" t="n"/>
      <c r="WMV90" s="207" t="n"/>
      <c r="WMW90" s="207" t="n"/>
      <c r="WMX90" s="207" t="n"/>
      <c r="WMY90" s="207" t="n"/>
      <c r="WMZ90" s="207" t="n"/>
      <c r="WNA90" s="207" t="n"/>
      <c r="WNB90" s="207" t="n"/>
      <c r="WNC90" s="207" t="n"/>
      <c r="WND90" s="207" t="n"/>
      <c r="WNE90" s="207" t="n"/>
      <c r="WNF90" s="207" t="n"/>
      <c r="WNG90" s="207" t="n"/>
      <c r="WNH90" s="207" t="n"/>
      <c r="WNI90" s="207" t="n"/>
      <c r="WNJ90" s="207" t="n"/>
      <c r="WNK90" s="207" t="n"/>
      <c r="WNL90" s="207" t="n"/>
      <c r="WNM90" s="207" t="n"/>
      <c r="WNN90" s="207" t="n"/>
      <c r="WNO90" s="207" t="n"/>
      <c r="WNP90" s="207" t="n"/>
      <c r="WNQ90" s="207" t="n"/>
      <c r="WNR90" s="207" t="n"/>
      <c r="WNS90" s="207" t="n"/>
      <c r="WNT90" s="207" t="n"/>
      <c r="WNU90" s="207" t="n"/>
      <c r="WNV90" s="207" t="n"/>
      <c r="WNW90" s="207" t="n"/>
      <c r="WNX90" s="207" t="n"/>
      <c r="WNY90" s="207" t="n"/>
      <c r="WNZ90" s="207" t="n"/>
      <c r="WOA90" s="207" t="n"/>
      <c r="WOB90" s="207" t="n"/>
      <c r="WOC90" s="207" t="n"/>
      <c r="WOD90" s="207" t="n"/>
      <c r="WOE90" s="207" t="n"/>
      <c r="WOF90" s="207" t="n"/>
      <c r="WOG90" s="207" t="n"/>
      <c r="WOH90" s="207" t="n"/>
      <c r="WOI90" s="207" t="n"/>
      <c r="WOJ90" s="207" t="n"/>
      <c r="WOK90" s="207" t="n"/>
      <c r="WOL90" s="207" t="n"/>
      <c r="WOM90" s="207" t="n"/>
      <c r="WON90" s="207" t="n"/>
      <c r="WOO90" s="207" t="n"/>
      <c r="WOP90" s="207" t="n"/>
      <c r="WOQ90" s="207" t="n"/>
      <c r="WOR90" s="207" t="n"/>
      <c r="WOS90" s="207" t="n"/>
      <c r="WOT90" s="207" t="n"/>
      <c r="WOU90" s="207" t="n"/>
      <c r="WOV90" s="207" t="n"/>
      <c r="WOW90" s="207" t="n"/>
      <c r="WOX90" s="207" t="n"/>
      <c r="WOY90" s="207" t="n"/>
      <c r="WOZ90" s="207" t="n"/>
      <c r="WPA90" s="207" t="n"/>
      <c r="WPB90" s="207" t="n"/>
      <c r="WPC90" s="207" t="n"/>
      <c r="WPD90" s="207" t="n"/>
      <c r="WPE90" s="207" t="n"/>
      <c r="WPF90" s="207" t="n"/>
      <c r="WPG90" s="207" t="n"/>
      <c r="WPH90" s="207" t="n"/>
      <c r="WPI90" s="207" t="n"/>
      <c r="WPJ90" s="207" t="n"/>
      <c r="WPK90" s="207" t="n"/>
      <c r="WPL90" s="207" t="n"/>
      <c r="WPM90" s="207" t="n"/>
      <c r="WPN90" s="207" t="n"/>
      <c r="WPO90" s="207" t="n"/>
      <c r="WPP90" s="207" t="n"/>
      <c r="WPQ90" s="207" t="n"/>
      <c r="WPR90" s="207" t="n"/>
      <c r="WPS90" s="207" t="n"/>
      <c r="WPT90" s="207" t="n"/>
      <c r="WPU90" s="207" t="n"/>
      <c r="WPV90" s="207" t="n"/>
      <c r="WPW90" s="207" t="n"/>
      <c r="WPX90" s="207" t="n"/>
      <c r="WPY90" s="207" t="n"/>
      <c r="WPZ90" s="207" t="n"/>
      <c r="WQA90" s="207" t="n"/>
      <c r="WQB90" s="207" t="n"/>
      <c r="WQC90" s="207" t="n"/>
      <c r="WQD90" s="207" t="n"/>
      <c r="WQE90" s="207" t="n"/>
      <c r="WQF90" s="207" t="n"/>
      <c r="WQG90" s="207" t="n"/>
      <c r="WQH90" s="207" t="n"/>
      <c r="WQI90" s="207" t="n"/>
      <c r="WQJ90" s="207" t="n"/>
      <c r="WQK90" s="207" t="n"/>
      <c r="WQL90" s="207" t="n"/>
      <c r="WQM90" s="207" t="n"/>
      <c r="WQN90" s="207" t="n"/>
      <c r="WQO90" s="207" t="n"/>
      <c r="WQP90" s="207" t="n"/>
      <c r="WQQ90" s="207" t="n"/>
      <c r="WQR90" s="207" t="n"/>
      <c r="WQS90" s="207" t="n"/>
      <c r="WQT90" s="207" t="n"/>
      <c r="WQU90" s="207" t="n"/>
      <c r="WQV90" s="207" t="n"/>
      <c r="WQW90" s="207" t="n"/>
      <c r="WQX90" s="207" t="n"/>
      <c r="WQY90" s="207" t="n"/>
      <c r="WQZ90" s="207" t="n"/>
      <c r="WRA90" s="207" t="n"/>
      <c r="WRB90" s="207" t="n"/>
      <c r="WRC90" s="207" t="n"/>
      <c r="WRD90" s="207" t="n"/>
      <c r="WRE90" s="207" t="n"/>
      <c r="WRF90" s="207" t="n"/>
      <c r="WRG90" s="207" t="n"/>
      <c r="WRH90" s="207" t="n"/>
      <c r="WRI90" s="207" t="n"/>
      <c r="WRJ90" s="207" t="n"/>
      <c r="WRK90" s="207" t="n"/>
      <c r="WRL90" s="207" t="n"/>
      <c r="WRM90" s="207" t="n"/>
      <c r="WRN90" s="207" t="n"/>
      <c r="WRO90" s="207" t="n"/>
      <c r="WRP90" s="207" t="n"/>
      <c r="WRQ90" s="207" t="n"/>
      <c r="WRR90" s="207" t="n"/>
      <c r="WRS90" s="207" t="n"/>
      <c r="WRT90" s="207" t="n"/>
      <c r="WRU90" s="207" t="n"/>
      <c r="WRV90" s="207" t="n"/>
      <c r="WRW90" s="207" t="n"/>
      <c r="WRX90" s="207" t="n"/>
      <c r="WRY90" s="207" t="n"/>
      <c r="WRZ90" s="207" t="n"/>
      <c r="WSA90" s="207" t="n"/>
      <c r="WSB90" s="207" t="n"/>
      <c r="WSC90" s="207" t="n"/>
      <c r="WSD90" s="207" t="n"/>
      <c r="WSE90" s="207" t="n"/>
      <c r="WSF90" s="207" t="n"/>
      <c r="WSG90" s="207" t="n"/>
      <c r="WSH90" s="207" t="n"/>
      <c r="WSI90" s="207" t="n"/>
      <c r="WSJ90" s="207" t="n"/>
      <c r="WSK90" s="207" t="n"/>
      <c r="WSL90" s="207" t="n"/>
      <c r="WSM90" s="207" t="n"/>
      <c r="WSN90" s="207" t="n"/>
      <c r="WSO90" s="207" t="n"/>
      <c r="WSP90" s="207" t="n"/>
      <c r="WSQ90" s="207" t="n"/>
      <c r="WSR90" s="207" t="n"/>
      <c r="WSS90" s="207" t="n"/>
      <c r="WST90" s="207" t="n"/>
      <c r="WSU90" s="207" t="n"/>
      <c r="WSV90" s="207" t="n"/>
      <c r="WSW90" s="207" t="n"/>
      <c r="WSX90" s="207" t="n"/>
      <c r="WSY90" s="207" t="n"/>
      <c r="WSZ90" s="207" t="n"/>
      <c r="WTA90" s="207" t="n"/>
      <c r="WTB90" s="207" t="n"/>
      <c r="WTC90" s="207" t="n"/>
      <c r="WTD90" s="207" t="n"/>
      <c r="WTE90" s="207" t="n"/>
      <c r="WTF90" s="207" t="n"/>
      <c r="WTG90" s="207" t="n"/>
      <c r="WTH90" s="207" t="n"/>
      <c r="WTI90" s="207" t="n"/>
      <c r="WTJ90" s="207" t="n"/>
      <c r="WTK90" s="207" t="n"/>
      <c r="WTL90" s="207" t="n"/>
      <c r="WTM90" s="207" t="n"/>
      <c r="WTN90" s="207" t="n"/>
      <c r="WTO90" s="207" t="n"/>
      <c r="WTP90" s="207" t="n"/>
      <c r="WTQ90" s="207" t="n"/>
      <c r="WTR90" s="207" t="n"/>
      <c r="WTS90" s="207" t="n"/>
      <c r="WTT90" s="207" t="n"/>
      <c r="WTU90" s="207" t="n"/>
      <c r="WTV90" s="207" t="n"/>
      <c r="WTW90" s="207" t="n"/>
      <c r="WTX90" s="207" t="n"/>
      <c r="WTY90" s="207" t="n"/>
      <c r="WTZ90" s="207" t="n"/>
      <c r="WUA90" s="207" t="n"/>
      <c r="WUB90" s="207" t="n"/>
      <c r="WUC90" s="207" t="n"/>
      <c r="WUD90" s="207" t="n"/>
      <c r="WUE90" s="207" t="n"/>
      <c r="WUF90" s="207" t="n"/>
      <c r="WUG90" s="207" t="n"/>
      <c r="WUH90" s="207" t="n"/>
      <c r="WUI90" s="207" t="n"/>
      <c r="WUJ90" s="207" t="n"/>
      <c r="WUK90" s="207" t="n"/>
      <c r="WUL90" s="207" t="n"/>
      <c r="WUM90" s="207" t="n"/>
      <c r="WUN90" s="207" t="n"/>
      <c r="WUO90" s="207" t="n"/>
      <c r="WUP90" s="207" t="n"/>
      <c r="WUQ90" s="207" t="n"/>
      <c r="WUR90" s="207" t="n"/>
      <c r="WUS90" s="207" t="n"/>
      <c r="WUT90" s="207" t="n"/>
      <c r="WUU90" s="207" t="n"/>
      <c r="WUV90" s="207" t="n"/>
      <c r="WUW90" s="207" t="n"/>
      <c r="WUX90" s="207" t="n"/>
      <c r="WUY90" s="207" t="n"/>
      <c r="WUZ90" s="207" t="n"/>
      <c r="WVA90" s="207" t="n"/>
      <c r="WVB90" s="207" t="n"/>
      <c r="WVC90" s="207" t="n"/>
      <c r="WVD90" s="207" t="n"/>
      <c r="WVE90" s="207" t="n"/>
      <c r="WVF90" s="207" t="n"/>
      <c r="WVG90" s="207" t="n"/>
      <c r="WVH90" s="207" t="n"/>
      <c r="WVI90" s="207" t="n"/>
      <c r="WVJ90" s="207" t="n"/>
      <c r="WVK90" s="207" t="n"/>
      <c r="WVL90" s="207" t="n"/>
      <c r="WVM90" s="207" t="n"/>
      <c r="WVN90" s="207" t="n"/>
      <c r="WVO90" s="207" t="n"/>
      <c r="WVP90" s="207" t="n"/>
      <c r="WVQ90" s="207" t="n"/>
      <c r="WVR90" s="207" t="n"/>
      <c r="WVS90" s="207" t="n"/>
      <c r="WVT90" s="207" t="n"/>
      <c r="WVU90" s="207" t="n"/>
      <c r="WVV90" s="207" t="n"/>
      <c r="WVW90" s="207" t="n"/>
      <c r="WVX90" s="207" t="n"/>
      <c r="WVY90" s="207" t="n"/>
      <c r="WVZ90" s="207" t="n"/>
      <c r="WWA90" s="207" t="n"/>
      <c r="WWB90" s="207" t="n"/>
      <c r="WWC90" s="207" t="n"/>
      <c r="WWD90" s="207" t="n"/>
      <c r="WWE90" s="207" t="n"/>
      <c r="WWF90" s="207" t="n"/>
      <c r="WWG90" s="207" t="n"/>
      <c r="WWH90" s="207" t="n"/>
      <c r="WWI90" s="207" t="n"/>
      <c r="WWJ90" s="207" t="n"/>
      <c r="WWK90" s="207" t="n"/>
      <c r="WWL90" s="207" t="n"/>
      <c r="WWM90" s="207" t="n"/>
      <c r="WWN90" s="207" t="n"/>
      <c r="WWO90" s="207" t="n"/>
      <c r="WWP90" s="207" t="n"/>
      <c r="WWQ90" s="207" t="n"/>
      <c r="WWR90" s="207" t="n"/>
      <c r="WWS90" s="207" t="n"/>
      <c r="WWT90" s="207" t="n"/>
      <c r="WWU90" s="207" t="n"/>
      <c r="WWV90" s="207" t="n"/>
      <c r="WWW90" s="207" t="n"/>
      <c r="WWX90" s="207" t="n"/>
      <c r="WWY90" s="207" t="n"/>
      <c r="WWZ90" s="207" t="n"/>
      <c r="WXA90" s="207" t="n"/>
      <c r="WXB90" s="207" t="n"/>
      <c r="WXC90" s="207" t="n"/>
      <c r="WXD90" s="207" t="n"/>
      <c r="WXE90" s="207" t="n"/>
      <c r="WXF90" s="207" t="n"/>
      <c r="WXG90" s="207" t="n"/>
      <c r="WXH90" s="207" t="n"/>
      <c r="WXI90" s="207" t="n"/>
      <c r="WXJ90" s="207" t="n"/>
      <c r="WXK90" s="207" t="n"/>
      <c r="WXL90" s="207" t="n"/>
      <c r="WXM90" s="207" t="n"/>
      <c r="WXN90" s="207" t="n"/>
      <c r="WXO90" s="207" t="n"/>
      <c r="WXP90" s="207" t="n"/>
      <c r="WXQ90" s="207" t="n"/>
      <c r="WXR90" s="207" t="n"/>
      <c r="WXS90" s="207" t="n"/>
      <c r="WXT90" s="207" t="n"/>
      <c r="WXU90" s="207" t="n"/>
      <c r="WXV90" s="207" t="n"/>
      <c r="WXW90" s="207" t="n"/>
      <c r="WXX90" s="207" t="n"/>
      <c r="WXY90" s="207" t="n"/>
      <c r="WXZ90" s="207" t="n"/>
      <c r="WYA90" s="207" t="n"/>
      <c r="WYB90" s="207" t="n"/>
      <c r="WYC90" s="207" t="n"/>
      <c r="WYD90" s="207" t="n"/>
      <c r="WYE90" s="207" t="n"/>
      <c r="WYF90" s="207" t="n"/>
      <c r="WYG90" s="207" t="n"/>
      <c r="WYH90" s="207" t="n"/>
      <c r="WYI90" s="207" t="n"/>
      <c r="WYJ90" s="207" t="n"/>
      <c r="WYK90" s="207" t="n"/>
      <c r="WYL90" s="207" t="n"/>
      <c r="WYM90" s="207" t="n"/>
      <c r="WYN90" s="207" t="n"/>
      <c r="WYO90" s="207" t="n"/>
      <c r="WYP90" s="207" t="n"/>
      <c r="WYQ90" s="207" t="n"/>
      <c r="WYR90" s="207" t="n"/>
      <c r="WYS90" s="207" t="n"/>
      <c r="WYT90" s="207" t="n"/>
      <c r="WYU90" s="207" t="n"/>
      <c r="WYV90" s="207" t="n"/>
      <c r="WYW90" s="207" t="n"/>
      <c r="WYX90" s="207" t="n"/>
      <c r="WYY90" s="207" t="n"/>
      <c r="WYZ90" s="207" t="n"/>
      <c r="WZA90" s="207" t="n"/>
      <c r="WZB90" s="207" t="n"/>
      <c r="WZC90" s="207" t="n"/>
      <c r="WZD90" s="207" t="n"/>
      <c r="WZE90" s="207" t="n"/>
      <c r="WZF90" s="207" t="n"/>
      <c r="WZG90" s="207" t="n"/>
      <c r="WZH90" s="207" t="n"/>
      <c r="WZI90" s="207" t="n"/>
      <c r="WZJ90" s="207" t="n"/>
      <c r="WZK90" s="207" t="n"/>
      <c r="WZL90" s="207" t="n"/>
      <c r="WZM90" s="207" t="n"/>
      <c r="WZN90" s="207" t="n"/>
      <c r="WZO90" s="207" t="n"/>
      <c r="WZP90" s="207" t="n"/>
      <c r="WZQ90" s="207" t="n"/>
      <c r="WZR90" s="207" t="n"/>
      <c r="WZS90" s="207" t="n"/>
      <c r="WZT90" s="207" t="n"/>
      <c r="WZU90" s="207" t="n"/>
      <c r="WZV90" s="207" t="n"/>
      <c r="WZW90" s="207" t="n"/>
      <c r="WZX90" s="207" t="n"/>
      <c r="WZY90" s="207" t="n"/>
      <c r="WZZ90" s="207" t="n"/>
      <c r="XAA90" s="207" t="n"/>
      <c r="XAB90" s="207" t="n"/>
      <c r="XAC90" s="207" t="n"/>
      <c r="XAD90" s="207" t="n"/>
      <c r="XAE90" s="207" t="n"/>
      <c r="XAF90" s="207" t="n"/>
      <c r="XAG90" s="207" t="n"/>
      <c r="XAH90" s="207" t="n"/>
      <c r="XAI90" s="207" t="n"/>
      <c r="XAJ90" s="207" t="n"/>
      <c r="XAK90" s="207" t="n"/>
      <c r="XAL90" s="207" t="n"/>
      <c r="XAM90" s="207" t="n"/>
      <c r="XAN90" s="207" t="n"/>
      <c r="XAO90" s="207" t="n"/>
      <c r="XAP90" s="207" t="n"/>
      <c r="XAQ90" s="207" t="n"/>
      <c r="XAR90" s="207" t="n"/>
      <c r="XAS90" s="207" t="n"/>
      <c r="XAT90" s="207" t="n"/>
      <c r="XAU90" s="207" t="n"/>
      <c r="XAV90" s="207" t="n"/>
      <c r="XAW90" s="207" t="n"/>
      <c r="XAX90" s="207" t="n"/>
      <c r="XAY90" s="207" t="n"/>
      <c r="XAZ90" s="207" t="n"/>
      <c r="XBA90" s="207" t="n"/>
      <c r="XBB90" s="207" t="n"/>
      <c r="XBC90" s="207" t="n"/>
      <c r="XBD90" s="207" t="n"/>
      <c r="XBE90" s="207" t="n"/>
      <c r="XBF90" s="207" t="n"/>
      <c r="XBG90" s="207" t="n"/>
      <c r="XBH90" s="207" t="n"/>
      <c r="XBI90" s="207" t="n"/>
      <c r="XBJ90" s="207" t="n"/>
      <c r="XBK90" s="207" t="n"/>
      <c r="XBL90" s="207" t="n"/>
      <c r="XBM90" s="207" t="n"/>
      <c r="XBN90" s="207" t="n"/>
      <c r="XBO90" s="207" t="n"/>
      <c r="XBP90" s="207" t="n"/>
      <c r="XBQ90" s="207" t="n"/>
      <c r="XBR90" s="207" t="n"/>
      <c r="XBS90" s="207" t="n"/>
      <c r="XBT90" s="207" t="n"/>
      <c r="XBU90" s="207" t="n"/>
      <c r="XBV90" s="207" t="n"/>
      <c r="XBW90" s="207" t="n"/>
      <c r="XBX90" s="207" t="n"/>
      <c r="XBY90" s="207" t="n"/>
      <c r="XBZ90" s="207" t="n"/>
      <c r="XCA90" s="207" t="n"/>
      <c r="XCB90" s="207" t="n"/>
      <c r="XCC90" s="207" t="n"/>
      <c r="XCD90" s="207" t="n"/>
      <c r="XCE90" s="207" t="n"/>
      <c r="XCF90" s="207" t="n"/>
      <c r="XCG90" s="207" t="n"/>
      <c r="XCH90" s="207" t="n"/>
      <c r="XCI90" s="207" t="n"/>
      <c r="XCJ90" s="207" t="n"/>
      <c r="XCK90" s="207" t="n"/>
      <c r="XCL90" s="207" t="n"/>
      <c r="XCM90" s="207" t="n"/>
      <c r="XCN90" s="207" t="n"/>
      <c r="XCO90" s="207" t="n"/>
      <c r="XCP90" s="207" t="n"/>
      <c r="XCQ90" s="207" t="n"/>
      <c r="XCR90" s="207" t="n"/>
      <c r="XCS90" s="207" t="n"/>
      <c r="XCT90" s="207" t="n"/>
      <c r="XCU90" s="207" t="n"/>
      <c r="XCV90" s="207" t="n"/>
      <c r="XCW90" s="207" t="n"/>
      <c r="XCX90" s="207" t="n"/>
      <c r="XCY90" s="207" t="n"/>
      <c r="XCZ90" s="207" t="n"/>
      <c r="XDA90" s="207" t="n"/>
      <c r="XDB90" s="207" t="n"/>
      <c r="XDC90" s="207" t="n"/>
      <c r="XDD90" s="207" t="n"/>
      <c r="XDE90" s="207" t="n"/>
      <c r="XDF90" s="207" t="n"/>
      <c r="XDG90" s="207" t="n"/>
      <c r="XDH90" s="207" t="n"/>
      <c r="XDI90" s="207" t="n"/>
      <c r="XDJ90" s="207" t="n"/>
      <c r="XDK90" s="207" t="n"/>
      <c r="XDL90" s="207" t="n"/>
      <c r="XDM90" s="207" t="n"/>
      <c r="XDN90" s="207" t="n"/>
      <c r="XDO90" s="207" t="n"/>
      <c r="XDP90" s="207" t="n"/>
      <c r="XDQ90" s="207" t="n"/>
      <c r="XDR90" s="207" t="n"/>
      <c r="XDS90" s="207" t="n"/>
      <c r="XDT90" s="207" t="n"/>
      <c r="XDU90" s="207" t="n"/>
      <c r="XDV90" s="207" t="n"/>
      <c r="XDW90" s="207" t="n"/>
      <c r="XDX90" s="207" t="n"/>
      <c r="XDY90" s="207" t="n"/>
      <c r="XDZ90" s="207" t="n"/>
      <c r="XEA90" s="207" t="n"/>
      <c r="XEB90" s="207" t="n"/>
      <c r="XEC90" s="207" t="n"/>
      <c r="XED90" s="207" t="n"/>
      <c r="XEE90" s="207" t="n"/>
      <c r="XEF90" s="207" t="n"/>
      <c r="XEG90" s="207" t="n"/>
      <c r="XEH90" s="207" t="n"/>
      <c r="XEI90" s="207" t="n"/>
      <c r="XEJ90" s="207" t="n"/>
      <c r="XEK90" s="207" t="n"/>
      <c r="XEL90" s="207" t="n"/>
      <c r="XEM90" s="207" t="n"/>
      <c r="XEN90" s="207" t="n"/>
      <c r="XEO90" s="207" t="n"/>
      <c r="XEP90" s="207" t="n"/>
      <c r="XEQ90" s="207" t="n"/>
      <c r="XER90" s="207" t="n"/>
      <c r="XES90" s="207" t="n"/>
      <c r="XET90" s="207" t="n"/>
      <c r="XEU90" s="207" t="n"/>
    </row>
    <row r="91" ht="204" customFormat="1" customHeight="1" s="48">
      <c r="A91" s="34">
        <f>A90+1</f>
        <v/>
      </c>
      <c r="B91" s="63" t="inlineStr">
        <is>
          <t>income_main_comp</t>
        </is>
      </c>
      <c r="C91" s="47" t="inlineStr">
        <is>
          <t>income_main_comp</t>
        </is>
      </c>
      <c r="D91" s="428" t="inlineStr">
        <is>
          <t>Has your household's income from {income_main} changed in the last 3 months compared to the same period of last year?
[OPERATOR: SINGLE RESPONSE.]
1)A lot more [increased by more than 50%]
2)Slightly more
3)Same
4)Slightly less
5)A lot less [less than half as much]
6)DON'T KNOW
7)REFUSED</t>
        </is>
      </c>
      <c r="E91" s="52">
        <f>LEN(D91)</f>
        <v/>
      </c>
      <c r="F91" s="428" t="inlineStr">
        <is>
          <t>Le revenu de votre ménage provenant de {income_main}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91" s="52">
        <f>LEN(F91)</f>
        <v/>
      </c>
      <c r="H91" s="57" t="inlineStr">
        <is>
          <t>"Je, mapato ya famille yako kutoka kwa {income_main} yamebadilika katika miezi 3 iliyopita ikilinganishwa na kipindi kama hicho mwaka uliopita?
[OPERATOR: JIBU MOJA.]
1)Mengi zaidi [imeongezeka kwa zaidi ya 50%]
2)Zaidi kidogo
3)Sawa
4)Kidogo kidogo
5)Chini sana [chini ya nusu zaidi]
6)SIJUE
7)KUKATALA</t>
        </is>
      </c>
      <c r="I91" s="52" t="n"/>
      <c r="J91" s="114" t="inlineStr">
        <is>
          <t xml:space="preserve">Makuta a mu nzubu muebe adi afumina ku {income_main} mmashintuluke mu ngondo isatu mipite eyi patudi tufuanyikija ne tshikondo tshimue tshimue tshia tshidimu tshishale anyi?
[ENQUETEUR/TRICE:Bipwebo imwe.]
1)Mubandile bikole [divulangana dia kupita pa 50%]
2)Mubandile kakese
3)Muomumue
4)Mupuekele kakese
5)Mupuekele bikole [muinshi mua tshitupa]
6)TSHIENA MUMANYE
7)MUBENE
</t>
        </is>
      </c>
      <c r="K91" s="45">
        <f>LEN(J91)</f>
        <v/>
      </c>
      <c r="L91" s="56" t="inlineStr">
        <is>
          <t>Single Choice</t>
        </is>
      </c>
      <c r="M91" s="52" t="inlineStr">
        <is>
          <t>NA</t>
        </is>
      </c>
      <c r="N91" s="52" t="inlineStr">
        <is>
          <t>NA</t>
        </is>
      </c>
      <c r="O91" s="52" t="inlineStr">
        <is>
          <t>Form Type - Buttons</t>
        </is>
      </c>
      <c r="P91" s="82" t="inlineStr">
        <is>
          <t>NA</t>
        </is>
      </c>
      <c r="Q91" s="59" t="inlineStr">
        <is>
          <t>1-7= income_sec</t>
        </is>
      </c>
      <c r="R91" s="59" t="n"/>
      <c r="S91" s="59" t="inlineStr">
        <is>
          <t>if income_main_comp = 1-7, go to income_sec</t>
        </is>
      </c>
      <c r="T91" s="208" t="inlineStr"/>
      <c r="U91" s="10" t="n"/>
      <c r="V91" s="170">
        <f>1</f>
        <v/>
      </c>
      <c r="W91" s="43" t="n"/>
      <c r="Y91" s="109" t="inlineStr">
        <is>
          <t>yes</t>
        </is>
      </c>
      <c r="Z91" s="564" t="n"/>
      <c r="AC91" s="168" t="n">
        <v>22.1262149810791</v>
      </c>
      <c r="AD91" s="168">
        <f>IF(AC91="","",AC91*V91)</f>
        <v/>
      </c>
      <c r="AE91" s="43" t="inlineStr">
        <is>
          <t>22.1262149810791</t>
        </is>
      </c>
    </row>
    <row r="92" ht="408" customFormat="1" customHeight="1" s="48">
      <c r="A92" s="34">
        <f>A91+1</f>
        <v/>
      </c>
      <c r="B92" s="63" t="inlineStr">
        <is>
          <t>income_sec</t>
        </is>
      </c>
      <c r="C92" s="47" t="inlineStr">
        <is>
          <t>income_sec</t>
        </is>
      </c>
      <c r="D92" s="428" t="inlineStr">
        <is>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is>
      </c>
      <c r="E92" s="52">
        <f>LEN(D92)</f>
        <v/>
      </c>
      <c r="F92" s="114" t="inlineStr">
        <is>
          <t>Quelle était la deuxième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deuxième source principale de revenus
20)NE SAIT PAS
21)REFUSÉ</t>
        </is>
      </c>
      <c r="G92" s="52">
        <f>LEN(F92)</f>
        <v/>
      </c>
      <c r="H92" s="114" t="inlineStr">
        <is>
          <t>Ni chanzo gani cha pili cha mapato kwa kaya yako katika kipindi cha miezi 3 iliyopita?
[OPERATOR: JIBU MOJA. SIJUE NA CHAGUO ZILIZOKUKATALA ZINAPASWA KUEPUKWA KADRI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pili muhimu zaidi cha mapato
20)SIJUE
21)KUKATALA</t>
        </is>
      </c>
      <c r="I92" s="52" t="n"/>
      <c r="J92" s="114" t="inlineStr">
        <is>
          <t>Ntshinyi tshivua tshintu tshibidi tshinene tshivua tshipetesha dîku dienu makuta mu ngondo isatu mimane kupita?
[ENQUETEUR/TRICE: DIANDAMUNA DIMUE. BIDI BIFUANA KUEPEKA BIA KUENZA MUSHINDU WA KUENZA BIDI BIKUATA.
1)Dienza ne disumbisha dia bintu bia kudia
2)Dienza ne disumbisha dia bimuma anyi bimuma 
3)Dienza ne disumbisha dia bintu bia kudia bia makuta
4)Dienza ne disumbisha dia bintu bia nyama anyi bia nyama
5)Dienza ne disumbisha dia bintu bia buitshi anyi bia nyuki
6)Dienza ne disumbisha dia mishipa anyi bintu bia mu mayi
7)Disangisha ne dipana dia bintu bia muitu anyi bia muitu
8)Busumbishi bua madimi KUTUA bafidi [ba pa tshibidilu anyi ba patupu]
9)Difutu dia dituku dionso mu budimi ne bikuabu mudimu wa tshitupa tshîpi mu tshitupa tshia madimi
10) Mudimu wa patupu mu tshitupa tshia madimi
11) Mudimu udi kauyi wa madimi udi wenza mudimu nkayende anyi wa budikadidi / munganga / ENQUETEUR/TRICE wa nzubu / muena mikenji / kusangisha ne restoran
12) Difutu dia dituku dionso dia pambelu pa madimi ne midimu mikuabu ya tshitupa tshîpi idi kayiyi ya madimi
13) Mudimu mujalame mu tshitupa tshia madimi tshitupa tshidi katshiyi tshia madimi - tshia madimi
14) Mudimu wa mbulamatadi 
15) Makuta adi kaayi a mudimu / Luse
16) Makuta adi kaayi a mudimu / Difila dia makuta a nsombelu/pansio/diambuluisha diambuluisha dia bantu
17)Makuta adi kaayi a mudimu / Makuta a bena tshimuangi
18)Makuta adi kaayi a mudimu / Makuta a ku nzubu mikuabu
19)Kakuena mushindu muibidi wa kupeta makuta
20)TSHIENA MUMANYE
21)MUBENE</t>
        </is>
      </c>
      <c r="K92" s="45">
        <f>LEN(J92)</f>
        <v/>
      </c>
      <c r="L92" s="56" t="inlineStr">
        <is>
          <t>Single Choice</t>
        </is>
      </c>
      <c r="M92" s="52" t="inlineStr">
        <is>
          <t>NA</t>
        </is>
      </c>
      <c r="N92" s="52" t="inlineStr">
        <is>
          <t>NA</t>
        </is>
      </c>
      <c r="O92" s="52" t="inlineStr">
        <is>
          <t>Form Type - Buttons
exclude selected "income_main"
IsDemographic - income_sec</t>
        </is>
      </c>
      <c r="P92" s="82" t="inlineStr">
        <is>
          <t>NA</t>
        </is>
      </c>
      <c r="Q92" s="44" t="inlineStr">
        <is>
          <t>1-3 = income_sec_crop_check
4 = income_sec_ls_check
5 = income_sec_amount
6 = income_sec_fish_check
7-18 = income_sec_amount
19-21 = shock</t>
        </is>
      </c>
      <c r="R92" s="44" t="n"/>
      <c r="S92" s="204" t="inlineStr">
        <is>
          <t>if options #1-3 selected, go to income_sec_crop_check
if options #4 selected, go to income_sec_ls_check
if options #6 selected, go to income_sec_fish_check 
if options #5, 7-18 selected, go to [income_sec_comp OR optional question]
if options #19-21 selected, go to shock</t>
        </is>
      </c>
      <c r="T92" s="205" t="inlineStr"/>
      <c r="U92" s="10" t="n"/>
      <c r="V92" s="170">
        <f>1</f>
        <v/>
      </c>
      <c r="W92" s="43" t="n"/>
      <c r="Y92" s="109" t="inlineStr">
        <is>
          <t>yes</t>
        </is>
      </c>
      <c r="Z92" s="564" t="n"/>
      <c r="AC92" s="168" t="n">
        <v>18.71065330505371</v>
      </c>
      <c r="AD92" s="168">
        <f>IF(AC92="","",AC92*V92)</f>
        <v/>
      </c>
      <c r="AE92" s="43" t="inlineStr">
        <is>
          <t>18.71065330505371</t>
        </is>
      </c>
    </row>
    <row r="93" ht="182.15" customFormat="1" customHeight="1" s="88">
      <c r="A93" s="34">
        <f>A92+1</f>
        <v/>
      </c>
      <c r="B93" s="89" t="inlineStr">
        <is>
          <t>income_sec_crop_check</t>
        </is>
      </c>
      <c r="C93" s="90" t="inlineStr">
        <is>
          <t>income_sec_crop_check</t>
        </is>
      </c>
      <c r="D93" s="51" t="inlineStr">
        <is>
          <t>Are the crops sold also produced by you or anyone in your household?
[OPERATOR: SINGLE RESPONSE.]
1)YES
2)NO
3)DON'T KNOW
4)REFUSED</t>
        </is>
      </c>
      <c r="E93" s="45">
        <f>LEN(D93)</f>
        <v/>
      </c>
      <c r="F93" s="422" t="inlineStr">
        <is>
          <t>Les cultures vendues sont-elles également produites par vous ou quelqu'un de votre ménage?
[OPÉRATEUR/OPÉRATRICE: RÉPONSE UNIQUE.]
1)OUI
2)NON
3)NE SAIT PAS
4)REFUSÉ</t>
        </is>
      </c>
      <c r="G93" s="52">
        <f>LEN(F93)</f>
        <v/>
      </c>
      <c r="H93" s="57" t="inlineStr">
        <is>
          <t>Je, mazao yanayouzwa pia yamezalishwa na wewe au mtu yeyote katika famille yako?
[OPERATOR: JIBU MOJA.]
1)NDIYO
2)HAPANA
3)SIJUE
4)KUKATALA</t>
        </is>
      </c>
      <c r="I93" s="45" t="n"/>
      <c r="J93" s="71" t="inlineStr">
        <is>
          <t xml:space="preserve">Bidime bidibu bapana bidi kabidi bifumina kudi wewe anyi kudi muntu kampanda wa mu nzubu muebe anyi?
[ENQUETEUR/TRICE:Bipwebo imwe.]
1) EYOWA
2) TO
3) TSHIENA MUMANYE
4)MUBENE
</t>
        </is>
      </c>
      <c r="K93" s="45">
        <f>LEN(J93)</f>
        <v/>
      </c>
      <c r="L93" s="47" t="inlineStr">
        <is>
          <t>Single Choice</t>
        </is>
      </c>
      <c r="M93" s="45" t="inlineStr">
        <is>
          <t>NA</t>
        </is>
      </c>
      <c r="N93" s="45" t="inlineStr">
        <is>
          <t>NA</t>
        </is>
      </c>
      <c r="O93" s="45" t="inlineStr">
        <is>
          <t>Form Type - Buttons</t>
        </is>
      </c>
      <c r="P93" s="82" t="inlineStr">
        <is>
          <t>NA</t>
        </is>
      </c>
      <c r="Q93" s="44" t="inlineStr">
        <is>
          <t>1-4 = income_sec_amount</t>
        </is>
      </c>
      <c r="R93" s="44" t="n"/>
      <c r="S93" s="204" t="inlineStr">
        <is>
          <t>if income_sec_crop_check = 1-4, go to [income_sec_comp OR optional question]</t>
        </is>
      </c>
      <c r="T93" s="205" t="inlineStr"/>
      <c r="U93" s="19" t="n"/>
      <c r="V93" s="209">
        <f>1</f>
        <v/>
      </c>
      <c r="W93" s="193" t="n"/>
      <c r="Y93" s="210" t="inlineStr">
        <is>
          <t>yes</t>
        </is>
      </c>
      <c r="Z93" s="563" t="n"/>
      <c r="AC93" s="211" t="n">
        <v>8</v>
      </c>
      <c r="AD93" s="211">
        <f>IF(AC93="","",AC93*V93)</f>
        <v/>
      </c>
      <c r="AE93" s="193" t="inlineStr">
        <is>
          <t>8</t>
        </is>
      </c>
    </row>
    <row r="94" ht="182.15" customFormat="1" customHeight="1" s="88">
      <c r="A94" s="34">
        <f>A93+1</f>
        <v/>
      </c>
      <c r="B94" s="89" t="inlineStr">
        <is>
          <t>income_sec_ls_check</t>
        </is>
      </c>
      <c r="C94" s="90" t="inlineStr">
        <is>
          <t>income_sec_ls_check</t>
        </is>
      </c>
      <c r="D94" s="51" t="inlineStr">
        <is>
          <t>Are the livestock or livestock products sold also produced by you or anyone in your household?
[OPERATOR: SINGLE RESPONSE.]
1)YES
2)NO
3)DON'T KNOW
4)REFUSED</t>
        </is>
      </c>
      <c r="E94" s="45">
        <f>LEN(D94)</f>
        <v/>
      </c>
      <c r="F94" s="422" t="inlineStr">
        <is>
          <t>Le bétail ou les produits du bétail vendus sont-ils également produits par vous ou quelqu'un de votre ménage?
[OPÉRATEUR/OPÉRATRICE: RÉPONSE UNIQUE.]
1)OUI
2)NON
3)NE SAIT PAS
4)REFUSÉ</t>
        </is>
      </c>
      <c r="G94" s="52">
        <f>LEN(F94)</f>
        <v/>
      </c>
      <c r="H94" s="57" t="inlineStr">
        <is>
          <t>Je, mifugo au bidhaa za mifugo zinazouzwa pia zimezalishwa na wewe au mtu yeyote katika famille yako?
[OPERATOR: JIBU MOJA.]
1)NDIYO
2)HAPANA
3)SIJUE
4)KUKATALA</t>
        </is>
      </c>
      <c r="I94" s="45" t="n"/>
      <c r="J94" s="71" t="inlineStr">
        <is>
          <t xml:space="preserve">Bimuna anyi bintu bia mu bimuna bidibu bapana bidi kabidi bipatula kudi wewe anyi kudi muntu kampanda wa mu nzubu muebe anyi?
[ENQUETEUR/TRICE:Bipwebo imwe.]
1) EYOWA
2) TO
3) TSHIENA MUMANYE
4)MUBENE
</t>
        </is>
      </c>
      <c r="K94" s="45">
        <f>LEN(J94)</f>
        <v/>
      </c>
      <c r="L94" s="47" t="inlineStr">
        <is>
          <t>Single Choice</t>
        </is>
      </c>
      <c r="M94" s="45" t="inlineStr">
        <is>
          <t>NA</t>
        </is>
      </c>
      <c r="N94" s="45" t="inlineStr">
        <is>
          <t>NA</t>
        </is>
      </c>
      <c r="O94" s="45" t="inlineStr">
        <is>
          <t>Form Type - Buttons</t>
        </is>
      </c>
      <c r="P94" s="82" t="inlineStr">
        <is>
          <t>NA</t>
        </is>
      </c>
      <c r="Q94" s="44" t="inlineStr">
        <is>
          <t>1-4 = income_sec_amount</t>
        </is>
      </c>
      <c r="R94" s="44" t="n"/>
      <c r="S94" s="204" t="inlineStr">
        <is>
          <t>if income_sec_ls_check = 1-4, go to [income_sec_comp OR optional question]</t>
        </is>
      </c>
      <c r="T94" s="205" t="inlineStr"/>
      <c r="U94" s="19" t="n"/>
      <c r="V94" s="209">
        <f>1</f>
        <v/>
      </c>
      <c r="W94" s="193" t="n"/>
      <c r="Y94" s="210" t="inlineStr">
        <is>
          <t>yes</t>
        </is>
      </c>
      <c r="Z94" s="563" t="n"/>
      <c r="AC94" s="211" t="n">
        <v>8</v>
      </c>
      <c r="AD94" s="211">
        <f>IF(AC94="","",AC94*V94)</f>
        <v/>
      </c>
      <c r="AE94" s="193" t="inlineStr">
        <is>
          <t>8</t>
        </is>
      </c>
    </row>
    <row r="95" ht="182.15" customFormat="1" customHeight="1" s="48">
      <c r="A95" s="34">
        <f>A94+1</f>
        <v/>
      </c>
      <c r="B95" s="89" t="inlineStr">
        <is>
          <t>income_sec_fish_check</t>
        </is>
      </c>
      <c r="C95" s="90" t="inlineStr">
        <is>
          <t>income_sec_fish_check</t>
        </is>
      </c>
      <c r="D95" s="51" t="inlineStr">
        <is>
          <t>Are the fish or aquatic products sold also captured/harvested by you or anyone in your household?
[OPERATOR: SINGLE RESPONSE.]
1)YES
2)NO
3)DON'T KNOW
4)REFUSED</t>
        </is>
      </c>
      <c r="E95" s="45">
        <f>LEN(D95)</f>
        <v/>
      </c>
      <c r="F95" s="422" t="inlineStr">
        <is>
          <t>Le poisson ou les produits aquatiques vendus sont-ils également capturés/récoltés par vous ou un membre de votre ménage?
[OPÉRATEUR/OPÉRATRICE: RÉPONSE UNIQUE.]
1)OUI
2)NON
3)NE SAIT PAS
4)REFUSÉ</t>
        </is>
      </c>
      <c r="G95" s="52">
        <f>LEN(F95)</f>
        <v/>
      </c>
      <c r="H95" s="57" t="inlineStr">
        <is>
          <t>Je, samaki au bidhaa za majini zinazouzwa pia zimevuliwa/kuvunwa na wewe au mtu yeyote katika famille yako?
[OPERATOR: JIBU MOJA.]
1)NDIYO
2)HAPANA
3)SIJUE
4)KUKATALA</t>
        </is>
      </c>
      <c r="I95" s="45" t="n"/>
      <c r="J95" s="71" t="inlineStr">
        <is>
          <t xml:space="preserve">Mushipa anyi bintu bia mu mayi bidibu bapana bidi kabidi bikuata/bikosa kudi wewe anyi kudi muntu wa mu nzubu muebe anyi?
[ENQUETEUR/TRICE:Bipwebo imwe.]
1) EYOWA
2) TO
3) TSHIENA MUMANYE
4)MUBENE
</t>
        </is>
      </c>
      <c r="K95" s="45">
        <f>LEN(J95)</f>
        <v/>
      </c>
      <c r="L95" s="47" t="inlineStr">
        <is>
          <t>Single Choice</t>
        </is>
      </c>
      <c r="M95" s="45" t="inlineStr">
        <is>
          <t>NA</t>
        </is>
      </c>
      <c r="N95" s="45" t="inlineStr">
        <is>
          <t>NA</t>
        </is>
      </c>
      <c r="O95" s="45" t="inlineStr">
        <is>
          <t>Form Type - Buttons</t>
        </is>
      </c>
      <c r="P95" s="82" t="inlineStr">
        <is>
          <t>NA</t>
        </is>
      </c>
      <c r="Q95" s="44" t="inlineStr">
        <is>
          <t>1-4 = income_sec_amount</t>
        </is>
      </c>
      <c r="R95" s="44" t="n"/>
      <c r="S95" s="204" t="inlineStr">
        <is>
          <t>if income_sec_fish_check = 1-4, go to [income_sec_comp OR optional question]</t>
        </is>
      </c>
      <c r="T95" s="205" t="inlineStr"/>
      <c r="U95" s="19" t="n"/>
      <c r="V95" s="170">
        <f>1</f>
        <v/>
      </c>
      <c r="W95" s="43" t="n"/>
      <c r="Y95" s="109" t="inlineStr">
        <is>
          <t>yes</t>
        </is>
      </c>
      <c r="Z95" s="564" t="n"/>
      <c r="AC95" s="168" t="n">
        <v>8</v>
      </c>
      <c r="AD95" s="168">
        <f>IF(AC95="","",AC95*V95)</f>
        <v/>
      </c>
      <c r="AE95" s="43" t="inlineStr">
        <is>
          <t>8</t>
        </is>
      </c>
    </row>
    <row r="96" ht="136" customFormat="1" customHeight="1" s="48">
      <c r="A96" s="34">
        <f>A95+1</f>
        <v/>
      </c>
      <c r="B96" s="62" t="inlineStr">
        <is>
          <t>income_sec_amount</t>
        </is>
      </c>
      <c r="C96" s="131" t="inlineStr">
        <is>
          <t>income_sec_amount</t>
        </is>
      </c>
      <c r="D96" s="132" t="inlineStr">
        <is>
          <t>How much was earned [in CDF] from your second main income source, {income_sec}, in the past 3 months ?
[OPERATOR: MAKE SURE THE INFORMATION IS RECORDED IN THE CORRECT CURRENCY. ENTER 8888888 FOR DON'T KNOW AND 9999999 FOR REFUSED.]</t>
        </is>
      </c>
      <c r="E96" s="16">
        <f>LEN(D96)</f>
        <v/>
      </c>
      <c r="F96" s="60" t="inlineStr">
        <is>
          <t>Quelle somme [en CDF] a rapporté votre deuxième principale source de revenu, {income_sec}, au cours des trois derniers mois?
[OPÉRATEUR/OPÉRATRICE: VÉRIFIER QUE LA RÉPONSE EST ENREGISTRÉE DANS LA BONNE DEVISE. SAISIR 88888888 POUR «NE SAIT PAS» ET 99999999 POUR «REFUSÉ».]</t>
        </is>
      </c>
      <c r="G96" s="16">
        <f>LEN(F96)</f>
        <v/>
      </c>
      <c r="H96" s="60" t="inlineStr">
        <is>
          <t>Je, ni kiasi gani kilipatikana [katika CDF] kutoka kwa chanzo chako kikuu cha pili cha mapato, {income_sec}, katika kipindi cha miezi 3 iliyopita ?
[OPERATOR: HAKIKISHA HABARI IMEREKODIWA KWA SARAFU SAHIHI. INGIA 88888888 KWA SIJUE NA 99999999 KWA KUKUKATALA.]</t>
        </is>
      </c>
      <c r="I96" s="16" t="n"/>
      <c r="J96" s="60" t="inlineStr">
        <is>
          <t xml:space="preserve">Bungi kayi [mu CDF] buvua tshintu tshieba tshibidi tshinene tshia makuta, {income_sec}, tshipeteshe mu ngondo isatu mimane kupita?
[ENQUETEUR/TRICE: KUJIKIJA NE: DIANDAMUNA DIDI DIFUNDA MU LUPETU LUA KUENZA. BUELA 88888888 BUA "TSHIENA MUMANYE" NE 99999999 BUA "MUBENE".]
</t>
        </is>
      </c>
      <c r="K96" s="45">
        <f>LEN(J96)</f>
        <v/>
      </c>
      <c r="L96" s="16" t="inlineStr">
        <is>
          <t>Range</t>
        </is>
      </c>
      <c r="M96" s="16" t="inlineStr">
        <is>
          <t>NA</t>
        </is>
      </c>
      <c r="N96" s="16" t="inlineStr">
        <is>
          <t>NA</t>
        </is>
      </c>
      <c r="O96" s="16" t="inlineStr">
        <is>
          <t>Form Type - TextBox</t>
        </is>
      </c>
      <c r="P96" s="25" t="inlineStr">
        <is>
          <t>NA</t>
        </is>
      </c>
      <c r="Q96" s="29" t="inlineStr">
        <is>
          <t>0 - 2000000 = income_sec_comp or optional question
2000000 - 10000000 = income_sec_amount_conf
8888888-8888888 = income_sec_comp or optional question
9999999-9999999 = income_sec_comp or optional question</t>
        </is>
      </c>
      <c r="R96" s="419" t="inlineStr">
        <is>
          <t>Minimum updated to 3,000
FAO: Minimum should be fixed with this version</t>
        </is>
      </c>
      <c r="S96" s="420" t="inlineStr">
        <is>
          <t>If the income amount is over the threshold set in "Additional information", the respondent will be asked to confirm with income_sec_amount_conf. Otherwise, go to income_sec_comp.</t>
        </is>
      </c>
      <c r="T96" s="420" t="inlineStr"/>
      <c r="U96" s="572" t="inlineStr">
        <is>
          <t>We recommend using this pair of questions together.</t>
        </is>
      </c>
      <c r="V96" s="167">
        <f>1</f>
        <v/>
      </c>
      <c r="W96" s="43" t="n"/>
      <c r="Y96" s="50" t="inlineStr">
        <is>
          <t>no</t>
        </is>
      </c>
      <c r="Z96" s="564" t="n"/>
      <c r="AC96" s="169" t="n">
        <v>23.20038032531738</v>
      </c>
      <c r="AD96" s="169">
        <f>IF(AC96="","",AC96*V96)</f>
        <v/>
      </c>
      <c r="AE96" s="43" t="inlineStr"/>
    </row>
    <row r="97" ht="157.5" customFormat="1" customHeight="1" s="48">
      <c r="A97" s="34">
        <f>A96+1</f>
        <v/>
      </c>
      <c r="B97" s="62" t="inlineStr">
        <is>
          <t>income_sec_amount_conf</t>
        </is>
      </c>
      <c r="C97" s="406" t="inlineStr">
        <is>
          <t>income_sec_amount_conf</t>
        </is>
      </c>
      <c r="D97" s="132" t="inlineStr">
        <is>
          <t>Can you confirm the amount of income you just stated is correct?
[OPERATOR: IF THE AMOUNT EARNED FROM THIS INCOME SOURCE OVER THE PAST 3 MONTH IS INDEED OVER 2000000, CLICK ON CONTINUE. OTHERWISE, GO BACK AND CHANGE THE AMOUNT ENTERED.]
1)CONTINUE</t>
        </is>
      </c>
      <c r="E97" s="16">
        <f>LEN(D97)</f>
        <v/>
      </c>
      <c r="F97" s="206"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97" s="16">
        <f>LEN(F97)</f>
        <v/>
      </c>
      <c r="H97" s="278" t="inlineStr">
        <is>
          <t>Unaweza kuthibitisha kiasi cha mapato ulichosema ni sahihi?
[OPERATOR: IWAPO KIASI KILICHOCHUKUA KUTOKA KWA CHANZO HIKI CHA MAPATO KATIKA MIEZI 3 ILIYOPITA NI ZAIDI YA 2000000,  ENDELESHA. VINGINEVYO, RUDI NYUMA NA KUBADILI KIASI ILICHOINGIWA.]
1)ENDELEA</t>
        </is>
      </c>
      <c r="I97" s="133" t="n"/>
      <c r="J97" s="206" t="inlineStr">
        <is>
          <t xml:space="preserve">Udiku mua kujadika ne: bungi bua makuta audi mupatule mbulelela anyi?
[ENQUETEUR/TRICE : BIkala BUTU BUA MU MUTU EWU WA KUPETA MU NGONDO ISATU BIPISHI BIPISHILA 2000000, TUMA CONTINUE. BISHI TO, PINDUKA NE SHINTULULA MUSHINDU UDI MUBUEJE.]
1)TUNDUKA
</t>
        </is>
      </c>
      <c r="K97" s="45">
        <f>LEN(J97)</f>
        <v/>
      </c>
      <c r="L97" s="423" t="inlineStr">
        <is>
          <t>Single Choice</t>
        </is>
      </c>
      <c r="M97" s="133" t="inlineStr">
        <is>
          <t>NA</t>
        </is>
      </c>
      <c r="N97" s="133" t="inlineStr">
        <is>
          <t>NA</t>
        </is>
      </c>
      <c r="O97" s="133" t="inlineStr">
        <is>
          <t>Form Type - Buttons</t>
        </is>
      </c>
      <c r="P97" s="25" t="inlineStr">
        <is>
          <t>NA</t>
        </is>
      </c>
      <c r="Q97" s="31" t="inlineStr">
        <is>
          <t>1 = income_sec_gender</t>
        </is>
      </c>
      <c r="R97" s="31" t="n"/>
      <c r="S97" s="31" t="inlineStr">
        <is>
          <t>if income_sec_amount_conf = 1, go to income_sec_comp</t>
        </is>
      </c>
      <c r="T97" s="31" t="inlineStr"/>
      <c r="U97" s="591" t="n"/>
      <c r="V97" s="167">
        <f>1</f>
        <v/>
      </c>
      <c r="W97" s="43" t="n"/>
      <c r="Y97" s="50" t="inlineStr">
        <is>
          <t>no</t>
        </is>
      </c>
      <c r="Z97" s="564" t="n"/>
      <c r="AC97" s="169" t="n">
        <v>1.927738904953003</v>
      </c>
      <c r="AD97" s="169">
        <f>IF(AC97="","",AC97*V97)</f>
        <v/>
      </c>
      <c r="AE97" s="43" t="inlineStr"/>
    </row>
    <row r="98" ht="170.15" customFormat="1" customHeight="1" s="48">
      <c r="A98" s="34">
        <f>A97+1</f>
        <v/>
      </c>
      <c r="B98" s="424" t="inlineStr">
        <is>
          <t>income_sec_gender</t>
        </is>
      </c>
      <c r="C98" s="425" t="inlineStr">
        <is>
          <t>income_sec_gender</t>
        </is>
      </c>
      <c r="D98" s="426" t="inlineStr">
        <is>
          <t>What is the gender of the household member[s] generating income from this source? 
[OPERATOR: SINGLE RESPONSE.]
1)Male
2)Female
3)Joint [both male &amp; female]
4)DON'T KNOW
5)REFUSED</t>
        </is>
      </c>
      <c r="E98" s="133">
        <f>LEN(D98)</f>
        <v/>
      </c>
      <c r="F98" s="206" t="inlineStr">
        <is>
          <t>Quel est le sexe du ou des membres du ménage qui génèrent des revenus de cette source? 
[OPÉRATEUR/OPÉRATRICE: RÉPONSE UNIQUE].
1)Homme
2)Femme
3)Mixte [homme et femme]
4)NE SAIT PAS
5)REFUSÉ</t>
        </is>
      </c>
      <c r="G98" s="16">
        <f>LEN(F98)</f>
        <v/>
      </c>
      <c r="H98" s="60" t="inlineStr">
        <is>
          <t>Ni jinsia gani ya wanakaya wanaozalisha mapato kutoka kwa chanzo hiki?
[OPERATOR: JIBU MOJA.]
1)Mwanaume
2)Mwanamke
3)Viungo [wote wa kiume na wa kike]
4)SIJUE
5)KUKATALA</t>
        </is>
      </c>
      <c r="I98" s="133" t="n"/>
      <c r="J98" s="206" t="inlineStr">
        <is>
          <t xml:space="preserve">Muntu wa mu nzubu udi upeta makuta ku tshintu etshi mmushindu kayi?
[ENQUETEUR/TRICE:Bipwebo imwe].
1)Mulume
2)Mukaji
3)Musambakane [mulume ne mukaji]
4)KI MUMANYE
5)MUBENE
</t>
        </is>
      </c>
      <c r="K98" s="45">
        <f>LEN(J98)</f>
        <v/>
      </c>
      <c r="L98" s="131" t="inlineStr">
        <is>
          <t>Single Choice</t>
        </is>
      </c>
      <c r="M98" s="133" t="inlineStr">
        <is>
          <t>NA</t>
        </is>
      </c>
      <c r="N98" s="133" t="inlineStr">
        <is>
          <t>NA</t>
        </is>
      </c>
      <c r="O98" s="133" t="inlineStr">
        <is>
          <t>Form Type - Buttons</t>
        </is>
      </c>
      <c r="P98" s="25" t="inlineStr">
        <is>
          <t>NA</t>
        </is>
      </c>
      <c r="Q98" s="31" t="inlineStr">
        <is>
          <t>1-5 = income_sec_comp</t>
        </is>
      </c>
      <c r="R98" s="31" t="n"/>
      <c r="S98" s="205" t="inlineStr">
        <is>
          <t>if income_sec_gender = 1-5, go to income_sec_comp or optional question</t>
        </is>
      </c>
      <c r="T98" s="205" t="inlineStr"/>
      <c r="U98" s="19" t="n"/>
      <c r="V98" s="167">
        <f>1</f>
        <v/>
      </c>
      <c r="W98" s="43" t="n"/>
      <c r="Y98" s="50" t="inlineStr">
        <is>
          <t>no</t>
        </is>
      </c>
      <c r="Z98" s="564" t="n"/>
      <c r="AC98" s="169" t="n">
        <v>4.787401676177979</v>
      </c>
      <c r="AD98" s="169">
        <f>IF(AC98="","",AC98*V98)</f>
        <v/>
      </c>
      <c r="AE98" s="43" t="inlineStr"/>
    </row>
    <row r="99" ht="260.25" customFormat="1" customHeight="1" s="48">
      <c r="A99" s="34">
        <f>A98+1</f>
        <v/>
      </c>
      <c r="B99" s="63" t="inlineStr">
        <is>
          <t>income_sec_comp</t>
        </is>
      </c>
      <c r="C99" s="47" t="inlineStr">
        <is>
          <t>income_sec_comp</t>
        </is>
      </c>
      <c r="D99" s="428" t="inlineStr">
        <is>
          <t>Has your household's income from {income_sec} changed in the last 3 months compared to the same period of last year? 
[OPERATOR: SINGLE RESPONSE.]
1)A lot more [increased by more than 50%]
2)Slightly more
3)Same
4)Slightly less
5)A lot less [less than half as much]
6)DON'T KNOW
7)REFUSED</t>
        </is>
      </c>
      <c r="E99" s="52">
        <f>LEN(D99)</f>
        <v/>
      </c>
      <c r="F99" s="428" t="inlineStr">
        <is>
          <t>Le revenu de votre ménage provenant de {income_sec}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99" s="52">
        <f>LEN(F99)</f>
        <v/>
      </c>
      <c r="H99" s="57" t="inlineStr">
        <is>
          <t>Je, mapato ya famille yako kutoka kwa {income_sec} yamebadilika katika miezi 3 iliyopita ikilinganishwa na kipindi kama hicho mwaka uliopita?
[OPERATOR: JIBU MOJA.]
1)Mengi zaidi [imeongezeka kwa zaidi ya 50%]
2)Zaidi kidogo
3)Sawa
4)Kidogo kidogo
5)Chini sana [chini ya nusu zaidi]
6)SIJUE
7)KUKATALA</t>
        </is>
      </c>
      <c r="I99" s="52" t="n"/>
      <c r="J99" s="114" t="inlineStr">
        <is>
          <t xml:space="preserve">Makuta a mu nzubu muebe adi afumina ku {income_sec} mmashintuluke mu ngondo isatu mipite eyi patudi tufuanyikija ne tshikondo tshimue tshimue tshia tshidimu tshishale anyi?
[ENQUETEUR/TRICE:Bipwebo imwe.]
1)Mubandile bikole [divulangana dia kupita pa 50%]
2)Mubandile kakese
3)Muomumue
4)Mupuekele kakese
5)Mupuekele bikole [muinshi mua tshitupa]
6)TSHIENA MUMANYE
7)MUBENE
</t>
        </is>
      </c>
      <c r="K99" s="45">
        <f>LEN(J99)</f>
        <v/>
      </c>
      <c r="L99" s="56" t="inlineStr">
        <is>
          <t>Single Choice</t>
        </is>
      </c>
      <c r="M99" s="52" t="inlineStr">
        <is>
          <t>NA</t>
        </is>
      </c>
      <c r="N99" s="52" t="inlineStr">
        <is>
          <t>NA</t>
        </is>
      </c>
      <c r="O99" s="52" t="inlineStr">
        <is>
          <t>Form Type - Buttons</t>
        </is>
      </c>
      <c r="P99" s="82" t="inlineStr">
        <is>
          <t>NA</t>
        </is>
      </c>
      <c r="Q99" s="59" t="inlineStr">
        <is>
          <t>1-7= income_third</t>
        </is>
      </c>
      <c r="R99" s="59" t="n"/>
      <c r="S99" s="59" t="inlineStr">
        <is>
          <t>if income_sec_comp = 1-7, go to income_third</t>
        </is>
      </c>
      <c r="T99" s="208" t="inlineStr"/>
      <c r="U99" s="10" t="n"/>
      <c r="V99" s="170">
        <f>1</f>
        <v/>
      </c>
      <c r="W99" s="43" t="n"/>
      <c r="Y99" s="109" t="inlineStr">
        <is>
          <t>yes</t>
        </is>
      </c>
      <c r="Z99" s="564" t="n"/>
      <c r="AC99" s="168" t="n">
        <v>17.26140213012695</v>
      </c>
      <c r="AD99" s="168">
        <f>IF(AC99="","",AC99*V99)</f>
        <v/>
      </c>
      <c r="AE99" s="43" t="inlineStr">
        <is>
          <t>17.26140213012695</t>
        </is>
      </c>
    </row>
    <row r="100" ht="409.6" customFormat="1" customHeight="1" s="48">
      <c r="A100" s="34">
        <f>A99+1</f>
        <v/>
      </c>
      <c r="B100" s="63" t="inlineStr">
        <is>
          <t>income_third</t>
        </is>
      </c>
      <c r="C100" s="47" t="inlineStr">
        <is>
          <t>income_third</t>
        </is>
      </c>
      <c r="D100" s="428" t="inlineStr">
        <is>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100" s="52">
        <f>LEN(D100)</f>
        <v/>
      </c>
      <c r="F100" s="114" t="inlineStr">
        <is>
          <t>Quelle était la troisième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troisième source principale de revenus
20)NE SAIT PAS
21)REFUSÉ</t>
        </is>
      </c>
      <c r="G100" s="52">
        <f>LEN(F100)</f>
        <v/>
      </c>
      <c r="H100" s="114" t="inlineStr">
        <is>
          <t>Ni nini kilikuwa chanzo cha tatu cha mapato kwa kaya yako katika kipindi cha miezi 3 iliyopita?
[OPERATOR: JIBU MOJA. SIJUE NA CHAGUO ZILIZOKUKATALA SI KWA MARA KWA MARA/SIZOEPUKWA KADIRI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tatu muhimu zaidi cha mapato
20)SIJUE
21)KUKATALA</t>
        </is>
      </c>
      <c r="I100" s="52" t="n"/>
      <c r="J100" s="114" t="inlineStr">
        <is>
          <t xml:space="preserve">Ntshinyi tshivua tshintu tshisatu tshinene tshia kupeta makuta mu nzubu muebe mu ngondo isatu mipite eyi?
[ENQUETEUR/TRICE: DIANDAMUNA DIMUE. BIDI BIFUANA KUEPEKA BIA KUENZA MUSHINDU WA KUENZA BIDI BIKUATA.
1)Dienza ne disumbisha dia bintu bia kudia
2)Dienza ne disumbisha dia bimuma anyi bimuma 
3)Dienza ne disumbisha dia bintu bia kudia bia makuta
4)Dienza ne disumbisha dia bintu bia nyama anyi bia nyama
5)Dienza ne disumbisha dia bintu bia buitshi anyi bia nyuki
6)Dienza ne disumbisha dia mishipa anyi bintu bia mu mayi
7)Disangisha ne dipana dia bintu bia muitu anyi bia muitu
8)Busumbishi bua madimi KUTUA bafidi [ba pa tshibidilu anyi ba patupu]
9)Difutu dia dituku dionso mu budimi ne bikuabu mudimu wa tshitupa tshîpi mu tshitupa tshia madimi
10) Mudimu wa patupu mu tshitupa tshia madimi 
11) Mudimu udi kauyi wa madimi udi wenza mudimu nkayende anyi wa budikadidi / munganga / ENQUETEUR/TRICE wa nzubu / muena mikenji / kusangisha ne restoran
12) Difutu dia dituku dionso dia pambelu pa madimi ne midimu mikuabu ya tshitupa tshîpi idi kayiyi ya madimi
13) Mudimu mujalame mu tshitupa tshia madimi tshitupa tshidi katshiyi tshia madimi - tshia madimi
14) Mudimu wa mbulamatadi 
15) Makuta adi kaayi a mudimu / Luse
16) Makuta adi kaayi a mudimu / Difila dia makuta a nsombelu/pansio/diambuluisha diambuluisha dia bantu
17)Makuta adi kaayi a mudimu/Makuta a bena tshimuangi
18)Makuta adi kaayi a mudimu/Makuta makuabu a nzubu
19)Kakuena mushindu muisatu wa kupeta makuta
20)TSHIENA MUMANYE
21)MUBENE
</t>
        </is>
      </c>
      <c r="K100" s="45">
        <f>LEN(J100)</f>
        <v/>
      </c>
      <c r="L100" s="56" t="inlineStr">
        <is>
          <t>Single Choice</t>
        </is>
      </c>
      <c r="M100" s="52" t="inlineStr">
        <is>
          <t>NA</t>
        </is>
      </c>
      <c r="N100" s="52" t="inlineStr">
        <is>
          <t>NA</t>
        </is>
      </c>
      <c r="O100" s="52" t="inlineStr">
        <is>
          <t>Form Type - Buttons
exclude selected "income_main"
exclude selected "income_sec"
IsDemographic - income_third</t>
        </is>
      </c>
      <c r="P100" s="82" t="inlineStr">
        <is>
          <t>NA</t>
        </is>
      </c>
      <c r="Q100" s="44" t="inlineStr">
        <is>
          <t>1-3 = income_third_crop_check
4 = income_third_ls_check
5 = income_third_amount
6 = income_third_fish_check
7-18 = income_third_amount
19-21 = shock</t>
        </is>
      </c>
      <c r="R100" s="44" t="n"/>
      <c r="S100" s="204"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T100" s="205" t="inlineStr"/>
      <c r="U100" s="10" t="n"/>
      <c r="V100" s="170">
        <f>1</f>
        <v/>
      </c>
      <c r="W100" s="43" t="n"/>
      <c r="Y100" s="109" t="inlineStr">
        <is>
          <t>yes</t>
        </is>
      </c>
      <c r="Z100" s="564" t="n"/>
      <c r="AC100" s="168" t="n">
        <v>14.47539234161377</v>
      </c>
      <c r="AD100" s="168">
        <f>IF(AC100="","",AC100*V100)</f>
        <v/>
      </c>
      <c r="AE100" s="43" t="inlineStr">
        <is>
          <t>14.47539234161377</t>
        </is>
      </c>
    </row>
    <row r="101" ht="182.15" customFormat="1" customHeight="1" s="88">
      <c r="A101" s="34">
        <f>A100+1</f>
        <v/>
      </c>
      <c r="B101" s="89" t="inlineStr">
        <is>
          <t>income_third_crop_check</t>
        </is>
      </c>
      <c r="C101" s="90" t="inlineStr">
        <is>
          <t>income_third_crop_check</t>
        </is>
      </c>
      <c r="D101" s="51" t="inlineStr">
        <is>
          <t>Are the crops sold also produced by you or anyone in your household?
[OPERATOR: SINGLE RESPONSE.]
1)YES
2)NO
3)DON'T KNOW
4)REFUSED</t>
        </is>
      </c>
      <c r="E101" s="45">
        <f>LEN(D101)</f>
        <v/>
      </c>
      <c r="F101" s="422" t="inlineStr">
        <is>
          <t>Les cultures vendues sont-elles également produites par vous ou quelqu'un de votre ménage?
[OPÉRATEUR/OPÉRATRICE: RÉPONSE UNIQUE.]
1)OUI
2)NON
3)NE SAIT PAS
4)REFUSÉ</t>
        </is>
      </c>
      <c r="G101" s="52">
        <f>LEN(F101)</f>
        <v/>
      </c>
      <c r="H101" s="57" t="inlineStr">
        <is>
          <t>Je, mazao yanayouzwa pia yamezalishwa na wewe au mtu yeyote katika famille yako?
[OPERATOR: JIBU MOJA.]
1)NDIYO
2)HAPANA
3)SIJUE
4)KUKATALA</t>
        </is>
      </c>
      <c r="I101" s="45" t="n"/>
      <c r="J101" s="71" t="inlineStr">
        <is>
          <t xml:space="preserve">Bidime bidibu bapana bidi kabidi bifumina kudi wewe anyi kudi muntu kampanda wa mu nzubu muebe anyi?
[ENQUETEUR/TRICE:Bipwebo imwe.]
1) EYOWA
2) TO
3) TSHIENA MUMANYE
4)MUBENE
</t>
        </is>
      </c>
      <c r="K101" s="45">
        <f>LEN(J101)</f>
        <v/>
      </c>
      <c r="L101" s="47" t="inlineStr">
        <is>
          <t>Single Choice</t>
        </is>
      </c>
      <c r="M101" s="45" t="inlineStr">
        <is>
          <t>NA</t>
        </is>
      </c>
      <c r="N101" s="45" t="inlineStr">
        <is>
          <t>NA</t>
        </is>
      </c>
      <c r="O101" s="45" t="inlineStr">
        <is>
          <t>Form Type - Buttons</t>
        </is>
      </c>
      <c r="P101" s="82" t="inlineStr">
        <is>
          <t>NA</t>
        </is>
      </c>
      <c r="Q101" s="44" t="inlineStr">
        <is>
          <t>1-4 = income_third_amount</t>
        </is>
      </c>
      <c r="R101" s="44" t="n"/>
      <c r="S101" s="204" t="inlineStr">
        <is>
          <t>if income_third_crop_check = 1-4, go to [income_third_comp OR optional question]</t>
        </is>
      </c>
      <c r="T101" s="205" t="inlineStr"/>
      <c r="U101" s="19" t="n"/>
      <c r="V101" s="209">
        <f>1</f>
        <v/>
      </c>
      <c r="W101" s="193" t="n"/>
      <c r="Y101" s="210" t="inlineStr">
        <is>
          <t>yes</t>
        </is>
      </c>
      <c r="Z101" s="563" t="n"/>
      <c r="AC101" s="211" t="n">
        <v>8</v>
      </c>
      <c r="AD101" s="211">
        <f>IF(AC101="","",AC101*V101)</f>
        <v/>
      </c>
      <c r="AE101" s="193" t="inlineStr">
        <is>
          <t>8</t>
        </is>
      </c>
    </row>
    <row r="102" ht="182.15" customFormat="1" customHeight="1" s="88">
      <c r="A102" s="34">
        <f>A101+1</f>
        <v/>
      </c>
      <c r="B102" s="89" t="inlineStr">
        <is>
          <t>income_third_ls_check</t>
        </is>
      </c>
      <c r="C102" s="90" t="inlineStr">
        <is>
          <t>income_third_ls_check</t>
        </is>
      </c>
      <c r="D102" s="51" t="inlineStr">
        <is>
          <t>Are the livestock or livestock products sold also produced by you or anyone in your household?
[OPERATOR: SINGLE RESPONSE.]
1)YES
2)NO
3)DON'T KNOW
4)REFUSED</t>
        </is>
      </c>
      <c r="E102" s="45">
        <f>LEN(D102)</f>
        <v/>
      </c>
      <c r="F102" s="422" t="inlineStr">
        <is>
          <t>Le bétail ou les produits du bétail vendus sont-ils également produits par vous ou quelqu'un de votre ménage?
[OPÉRATEUR/OPÉRATRICE: RÉPONSE UNIQUE.]
1)OUI
2)NON
3)NE SAIT PAS
4)REFUSÉ</t>
        </is>
      </c>
      <c r="G102" s="52">
        <f>LEN(F102)</f>
        <v/>
      </c>
      <c r="H102" s="57" t="inlineStr">
        <is>
          <t>Je, mifugo au bidhaa za mifugo zinazouzwa pia zimezalishwa na wewe au mtu yeyote katika famille yako?
[OPERATOR: JIBU MOJA.]
1)NDIYO
2)HAPANA
3)SIJUE
4)KUKATALA</t>
        </is>
      </c>
      <c r="I102" s="45" t="n"/>
      <c r="J102" s="71" t="inlineStr">
        <is>
          <t xml:space="preserve">Bimuna anyi bintu bia mu bimuna bidibu bapana bidi kabidi bipatula kudi wewe anyi kudi muntu kampanda wa mu nzubu muebe anyi?
[ENQUETEUR/TRICE:Bipwebo imwe.]
1) EYOWA
2) TO
3) TSHIENA MUMANYE
4)MUBENE
</t>
        </is>
      </c>
      <c r="K102" s="45">
        <f>LEN(J102)</f>
        <v/>
      </c>
      <c r="L102" s="47" t="inlineStr">
        <is>
          <t>Single Choice</t>
        </is>
      </c>
      <c r="M102" s="45" t="inlineStr">
        <is>
          <t>NA</t>
        </is>
      </c>
      <c r="N102" s="45" t="inlineStr">
        <is>
          <t>NA</t>
        </is>
      </c>
      <c r="O102" s="45" t="inlineStr">
        <is>
          <t>Form Type - Buttons</t>
        </is>
      </c>
      <c r="P102" s="82" t="inlineStr">
        <is>
          <t>NA</t>
        </is>
      </c>
      <c r="Q102" s="44" t="inlineStr">
        <is>
          <t>1-4 = income_third_amount</t>
        </is>
      </c>
      <c r="R102" s="44" t="n"/>
      <c r="S102" s="204" t="inlineStr">
        <is>
          <t>if income_third_ls_check = 1-4, go to [income_third_comp OR optional question]</t>
        </is>
      </c>
      <c r="T102" s="205" t="inlineStr"/>
      <c r="U102" s="19" t="n"/>
      <c r="V102" s="209">
        <f>1</f>
        <v/>
      </c>
      <c r="W102" s="193" t="n"/>
      <c r="Y102" s="210" t="inlineStr">
        <is>
          <t>yes</t>
        </is>
      </c>
      <c r="Z102" s="563" t="n"/>
      <c r="AC102" s="211" t="n">
        <v>8</v>
      </c>
      <c r="AD102" s="211">
        <f>IF(AC102="","",AC102*V102)</f>
        <v/>
      </c>
      <c r="AE102" s="193" t="inlineStr">
        <is>
          <t>8</t>
        </is>
      </c>
    </row>
    <row r="103" ht="182.15" customFormat="1" customHeight="1" s="48">
      <c r="A103" s="34">
        <f>A102+1</f>
        <v/>
      </c>
      <c r="B103" s="89" t="inlineStr">
        <is>
          <t>income_third_fish_check</t>
        </is>
      </c>
      <c r="C103" s="90" t="inlineStr">
        <is>
          <t>income_third_fish_check</t>
        </is>
      </c>
      <c r="D103" s="51" t="inlineStr">
        <is>
          <t>Are the fish or aquatic products sold also captured/harvested by you or anyone in your household?
[OPERATOR: SINGLE RESPONSE.]
1)YES
2)NO
3)DON'T KNOW
4)REFUSED</t>
        </is>
      </c>
      <c r="E103" s="45">
        <f>LEN(D103)</f>
        <v/>
      </c>
      <c r="F103" s="422" t="inlineStr">
        <is>
          <t>Le poisson ou les produits aquatiques vendus sont-ils également capturés/récoltés par vous ou un membre de votre ménage?
[OPÉRATEUR/OPÉRATRICE: RÉPONSE UNIQUE.]
1)OUI
2)NON
3)NE SAIT PAS
4)REFUSÉ</t>
        </is>
      </c>
      <c r="G103" s="52">
        <f>LEN(F103)</f>
        <v/>
      </c>
      <c r="H103" s="57" t="inlineStr">
        <is>
          <t>Je, samaki au bidhaa za majini zinazouzwa pia zimevuliwa/kuvunwa na wewe au mtu yeyote katika famille yako?
[OPERATOR: JIBU MOJA.]
1)NDIYO
2)HAPANA
3)SIJUE
4)KUKATALA</t>
        </is>
      </c>
      <c r="I103" s="45" t="n"/>
      <c r="J103" s="71" t="inlineStr">
        <is>
          <t xml:space="preserve">Mushipa anyi bintu bia mu mayi bidibu bapana bidi kabidi bikuata/bikosa kudi wewe anyi kudi muntu wa mu nzubu muebe anyi?
[ENQUETEUR/TRICE:Bipwebo imwe.]
1) EYOWA
2) TO
3) TSHIENA MUMANYE
4)MUBENE
</t>
        </is>
      </c>
      <c r="K103" s="45">
        <f>LEN(J103)</f>
        <v/>
      </c>
      <c r="L103" s="47" t="inlineStr">
        <is>
          <t>Single Choice</t>
        </is>
      </c>
      <c r="M103" s="45" t="inlineStr">
        <is>
          <t>NA</t>
        </is>
      </c>
      <c r="N103" s="45" t="inlineStr">
        <is>
          <t>NA</t>
        </is>
      </c>
      <c r="O103" s="45" t="inlineStr">
        <is>
          <t>Form Type - Buttons</t>
        </is>
      </c>
      <c r="P103" s="82" t="inlineStr">
        <is>
          <t>NA</t>
        </is>
      </c>
      <c r="Q103" s="44" t="inlineStr">
        <is>
          <t>1-4 = income_third_amount</t>
        </is>
      </c>
      <c r="R103" s="44" t="n"/>
      <c r="S103" s="204" t="inlineStr">
        <is>
          <t>if income_third_fish_check = 1-4, go to [income_third_comp OR optional question]</t>
        </is>
      </c>
      <c r="T103" s="205" t="inlineStr"/>
      <c r="U103" s="19" t="n"/>
      <c r="V103" s="170">
        <f>1</f>
        <v/>
      </c>
      <c r="W103" s="43" t="n"/>
      <c r="Y103" s="109" t="inlineStr">
        <is>
          <t>yes</t>
        </is>
      </c>
      <c r="Z103" s="564" t="n"/>
      <c r="AC103" s="168" t="n">
        <v>8</v>
      </c>
      <c r="AD103" s="168">
        <f>IF(AC103="","",AC103*V103)</f>
        <v/>
      </c>
      <c r="AE103" s="43" t="inlineStr">
        <is>
          <t>8</t>
        </is>
      </c>
    </row>
    <row r="104" ht="136" customFormat="1" customHeight="1" s="48">
      <c r="A104" s="34">
        <f>A103+1</f>
        <v/>
      </c>
      <c r="B104" s="62" t="inlineStr">
        <is>
          <t>income_third_amount</t>
        </is>
      </c>
      <c r="C104" s="131" t="inlineStr">
        <is>
          <t>income_third_amount</t>
        </is>
      </c>
      <c r="D104" s="132" t="inlineStr">
        <is>
          <t>How much was earned [in CDF] from your third main source of income, {income_third}, in the past 3 months ?
[OPERATOR: MAKE SURE THE INFORMATION IS RECORDED IN THE CORRECT CURRENCY. ENTER 8888888 FOR DON'T KNOW AND 9999999 FOR REFUSED.]</t>
        </is>
      </c>
      <c r="E104" s="16">
        <f>LEN(D104)</f>
        <v/>
      </c>
      <c r="F104" s="60" t="inlineStr">
        <is>
          <t>Quelle somme [en CDF] a rapporté votre troisième principale source de revenu, {income_third}, au cours des trois derniers mois?
[OPÉRATEUR/OPÉRATRICE: VÉRIFIER QUE LA RÉPONSE EST ENREGISTRÉE DANS LA BONNE DEVISE. SAISIR 88888888 POUR «NE SAIT PAS» ET 99999999 POUR «REFUSÉ».]</t>
        </is>
      </c>
      <c r="G104" s="16">
        <f>LEN(F104)</f>
        <v/>
      </c>
      <c r="H104" s="60" t="inlineStr">
        <is>
          <t>Ni kiasi gani kilipatikana [katika CDF] kutoka kwa chanzo chako kikuu cha tatu cha mapato, {income_third}, katika kipindi cha miezi 3 iliyopita ?
[OPERATOR: HAKIKISHA HABARI IMEREKODIWA KWA SARAFU SAHIHI. INGIA 88888888 KWA SIJUE NA 99999999 KWA KUKUKATALA.]</t>
        </is>
      </c>
      <c r="I104" s="16" t="n"/>
      <c r="J104" s="60" t="inlineStr">
        <is>
          <t xml:space="preserve">Bungi kayi [mu CDF] buvua tshintu tshiebe tshisatu tshia makuta, {income_third}, tshilue natshi mu ngondo isatu mimane kupita?
[ENQUETEUR/TRICE: KUJIKIJA NE: DIANDAMUNA DIDI DIFUNDA MU LUPETU LUA KUENZA. BUELA 88888888 BUA "TSHIENA MUMANYE" NE 99999999 BUA "MUBENE".]
</t>
        </is>
      </c>
      <c r="K104" s="45">
        <f>LEN(J104)</f>
        <v/>
      </c>
      <c r="L104" s="134" t="inlineStr">
        <is>
          <t>Range</t>
        </is>
      </c>
      <c r="M104" s="16" t="inlineStr">
        <is>
          <t>NA</t>
        </is>
      </c>
      <c r="N104" s="16" t="inlineStr">
        <is>
          <t>NA</t>
        </is>
      </c>
      <c r="O104" s="16" t="inlineStr">
        <is>
          <t>Form Type - TextBox</t>
        </is>
      </c>
      <c r="P104" s="25" t="inlineStr">
        <is>
          <t>NA</t>
        </is>
      </c>
      <c r="Q104" s="214" t="inlineStr">
        <is>
          <t>0 - 2000000 = income_third_comp or optional question
2000000 - 10000000 = income_third_amount_conf
8888888-8888888 = income_third_comp or optional question
9999999-9999999 = income_third_comp or optional question</t>
        </is>
      </c>
      <c r="R104" s="419" t="inlineStr">
        <is>
          <t>Minimum updated to 3,000
FAO: Minimum should be fixed with this version</t>
        </is>
      </c>
      <c r="S104" s="420" t="inlineStr">
        <is>
          <t>If the income amount is over the threshold set in "Additional information", the respondent will be asked to confirm with income_third_amount_conf. Otherwise, go to income_third_comp or optional question.</t>
        </is>
      </c>
      <c r="T104" s="420" t="inlineStr"/>
      <c r="U104" s="572" t="inlineStr">
        <is>
          <t>We recommend using this pair of questions together.</t>
        </is>
      </c>
      <c r="V104" s="167">
        <f>1</f>
        <v/>
      </c>
      <c r="W104" s="43" t="n"/>
      <c r="Y104" s="50" t="inlineStr">
        <is>
          <t>no</t>
        </is>
      </c>
      <c r="Z104" s="564" t="n"/>
      <c r="AC104" s="169" t="n">
        <v>24.40109825134277</v>
      </c>
      <c r="AD104" s="169">
        <f>IF(AC104="","",AC104*V104)</f>
        <v/>
      </c>
      <c r="AE104" s="43" t="inlineStr"/>
    </row>
    <row r="105" ht="204.75" customFormat="1" customHeight="1" s="48">
      <c r="A105" s="34">
        <f>A104+1</f>
        <v/>
      </c>
      <c r="B105" s="62" t="inlineStr">
        <is>
          <t>income_third_amount_conf</t>
        </is>
      </c>
      <c r="C105" s="406" t="inlineStr">
        <is>
          <t>income_third_amount_conf</t>
        </is>
      </c>
      <c r="D105" s="132" t="inlineStr">
        <is>
          <t>Can you confirm the amount of income you just stated is correct?
[OPERATOR: IF THE AMOUNT EARNED FROM THIS INCOME SOURCE OVER THE PAST 3 MONTH IS INDEED OVER 2000000, CLICK ON CONTINUE. OTHERWISE, GO BACK AND CHANGE THE AMOUNT ENTERED.]
1)CONTINUE</t>
        </is>
      </c>
      <c r="E105" s="16">
        <f>LEN(D105)</f>
        <v/>
      </c>
      <c r="F105" s="206"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105" s="16">
        <f>LEN(F105)</f>
        <v/>
      </c>
      <c r="H105" s="60" t="inlineStr">
        <is>
          <t>Unaweza kuthibitisha kiasi cha mapato ulichosema ni sahihi?
[OPERATOR: IWAPO KIASI KILICHOCHUKUA KUTOKA KWA CHANZO HIKI CHA MAPATO KATIKA MIEZI 3 ILIYOPITA NI ZAIDI YA 2000000, BENDELEASHA. VINGINEVYO, RUDI NYUMA NA KUBADILI KIASI ILICHOINGIWA.]
1)ENDELEA</t>
        </is>
      </c>
      <c r="I105" s="133" t="n"/>
      <c r="J105" s="206" t="inlineStr">
        <is>
          <t xml:space="preserve">Udiku mua kujadika ne: bungi bua makuta audi mupatule mbulelela anyi?
[OPERATEUR: BIkala BUTU BUA MU MUTU EWU WA KUPETA MU NGONDO ISATU BIPISHI BIPISHILA 2000000, TUMA CONTINUE. BISHI TO, PINDUKA NE SHINTULULA MUSHINDU UDI MUBUEJE.]
1)TUNDUKA
</t>
        </is>
      </c>
      <c r="K105" s="45">
        <f>LEN(J105)</f>
        <v/>
      </c>
      <c r="L105" s="423" t="inlineStr">
        <is>
          <t>Single Choice</t>
        </is>
      </c>
      <c r="M105" s="133" t="inlineStr">
        <is>
          <t>NA</t>
        </is>
      </c>
      <c r="N105" s="133" t="inlineStr">
        <is>
          <t>NA</t>
        </is>
      </c>
      <c r="O105" s="133" t="inlineStr">
        <is>
          <t>Form Type - Buttons</t>
        </is>
      </c>
      <c r="P105" s="25" t="inlineStr">
        <is>
          <t>NA</t>
        </is>
      </c>
      <c r="Q105" s="31" t="inlineStr">
        <is>
          <t>1 = income_third_comp</t>
        </is>
      </c>
      <c r="R105" s="31" t="n"/>
      <c r="S105" s="31" t="inlineStr">
        <is>
          <t>if income_third_amount_conf = 1, go to income_third_comp or optional question</t>
        </is>
      </c>
      <c r="T105" s="31" t="inlineStr"/>
      <c r="U105" s="591" t="n"/>
      <c r="V105" s="167">
        <f>1</f>
        <v/>
      </c>
      <c r="W105" s="43" t="n"/>
      <c r="Y105" s="50" t="inlineStr">
        <is>
          <t>no</t>
        </is>
      </c>
      <c r="Z105" s="564" t="n"/>
      <c r="AC105" s="169" t="n">
        <v>2.47</v>
      </c>
      <c r="AD105" s="169">
        <f>IF(AC105="","",AC105*V105)</f>
        <v/>
      </c>
      <c r="AE105" s="43" t="inlineStr"/>
    </row>
    <row r="106" ht="166.5" customFormat="1" customHeight="1" s="48">
      <c r="A106" s="34">
        <f>A105+1</f>
        <v/>
      </c>
      <c r="B106" s="63" t="inlineStr">
        <is>
          <t>income_third_comp</t>
        </is>
      </c>
      <c r="C106" s="47" t="inlineStr">
        <is>
          <t>income_third_comp</t>
        </is>
      </c>
      <c r="D106" s="429" t="inlineStr">
        <is>
          <t>Has your household's income from {income_third} changed in the last 3 months compared to the same period of last year?
[OPERATOR: SINGLE RESPONSE.]
1)A lot more [increased by more than 50%]
2)Slightly more
3)Same
4)Slightly less
5)A lot less [less than half as much]
6)DON'T KNOW
7)REFUSED</t>
        </is>
      </c>
      <c r="E106" s="52">
        <f>LEN(D106)</f>
        <v/>
      </c>
      <c r="F106" s="428" t="inlineStr">
        <is>
          <t>Le revenu de votre ménage provenant de {income_third}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106" s="52">
        <f>LEN(F106)</f>
        <v/>
      </c>
      <c r="H106" s="57" t="inlineStr">
        <is>
          <t>Je, mapato ya famille yako kutoka kwa {income_third} yamebadilika katika miezi 3 iliyopita ikilinganishwa na kipindi kama hicho mwaka uliopita?
[OPERATOR: JIBU MOJA.]
1)Mengi zaidi [imeongezeka kwa zaidi ya 50%]
2)Zaidi kidogo
3)Sawa
4)Kidogo kidogo
5)Chini sana [chini ya nusu zaidi]
6)SIJUE
7)KUKATALA</t>
        </is>
      </c>
      <c r="I106" s="52" t="n"/>
      <c r="J106" s="114" t="inlineStr">
        <is>
          <t xml:space="preserve">Makuta a mu nzubu muebe adi afumina ku {income_third} mmashintuluke mu ngondo isatu mipite eyi patudi tufuanyikija ne tshikondo tshimue tshimue tshia tshidimu tshishale anyi?
[ENQUETEUR/TRICE:Bipwebo imwe.]
1)Mubandile bikole [divulangana dia kupita pa 50%]
2)Mubandile kakese
3)Muomumue
4)Mupuekele kakese
5)Mupuekele bikole [muinshi mua tshitupa]
6)TSHIENA MUMANYE
7)MUBENE
</t>
        </is>
      </c>
      <c r="K106" s="45">
        <f>LEN(J106)</f>
        <v/>
      </c>
      <c r="L106" s="56" t="inlineStr">
        <is>
          <t>Single Choice</t>
        </is>
      </c>
      <c r="M106" s="52" t="inlineStr">
        <is>
          <t>NA</t>
        </is>
      </c>
      <c r="N106" s="52" t="inlineStr">
        <is>
          <t>NA</t>
        </is>
      </c>
      <c r="O106" s="52" t="inlineStr">
        <is>
          <t>Form Type - Buttons</t>
        </is>
      </c>
      <c r="P106" s="82" t="inlineStr">
        <is>
          <t>NA</t>
        </is>
      </c>
      <c r="Q106" s="59" t="inlineStr">
        <is>
          <t>1-7= shock</t>
        </is>
      </c>
      <c r="R106" s="59" t="n"/>
      <c r="S106" s="59" t="inlineStr">
        <is>
          <t>if income_third_comp = 1-7, go to shock</t>
        </is>
      </c>
      <c r="T106" s="208" t="inlineStr"/>
      <c r="U106" s="10" t="n"/>
      <c r="V106" s="170">
        <f>1</f>
        <v/>
      </c>
      <c r="W106" s="43" t="n"/>
      <c r="Y106" s="109" t="inlineStr">
        <is>
          <t>yes</t>
        </is>
      </c>
      <c r="Z106" s="564" t="n"/>
      <c r="AC106" s="168" t="n">
        <v>15.87650299072266</v>
      </c>
      <c r="AD106" s="168">
        <f>IF(AC106="","",AC106*V106)</f>
        <v/>
      </c>
      <c r="AE106" s="43" t="inlineStr">
        <is>
          <t>15.87650299072266</t>
        </is>
      </c>
    </row>
    <row r="107" ht="409.5" customFormat="1" customHeight="1" s="526">
      <c r="A107" s="531">
        <f>A106+1</f>
        <v/>
      </c>
      <c r="B107" s="545" t="inlineStr">
        <is>
          <t>shock</t>
        </is>
      </c>
      <c r="C107" s="513"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107" s="546"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107" s="534">
        <f>LEN(D107)</f>
        <v/>
      </c>
      <c r="F107" s="546" t="inlineStr">
        <is>
          <t>Au cours des trois derniers mois, est-ce que votre ménage ou votre communauté ont été confrontés à une catastrophe ou une crise particulières qui a atteint votre capacité à dégager un revenu et/ou à produire des aliments pour votre propre consommation? Si oui, lesquelles?
[OPÉRATEUR/OPÉRATRICE: SÉLECTIONNER LES CHOCS PERTINENTS SUBIS PAR LE MÉNAGE. PLUSIEURS RÉPONSES POSSIBLES. SE RÉFÉRER AUX CHOCS ÉCONOMIQUES, AUX CHOCS TOUCHANT LES RÉCOLTES ET LE BÉTAIL, AUX CHOCS INTRA-MÉNAGE, AUX RISQUES NATURELS ET AUX RISQUES D'ORIGINE HUMAINE]
1)Aucun choc
2)Maladie/ accident ou décès d'un ou plusieurs membres du ménage [maladie du soutien de famille / dépenses médicales anormalement élevées / frais funéraires / décès du soutien de famille]
3)Perte d'emploi ou d'opportunités de travail [non due à la maladie ou à un accident]
4)Autre choc interne au ménage
5)Prix des denrées alimentaires anormalement élevés
6)Prix des carburants ou des transports anormalement élevés
7)Restrictions de mouvements de population [par exemple/ en raison d'une épidémie ou de dommages causés aux infrastructures].
8)Autre choc économique 
9)Invasion d'organismes nuisibles
10)Maladie des plantes
11)Maladie animale [touchant de nombreux animaux] ou mort d'animaux
12)Accès difficile aux pâturages
13)Autre choc touchant les cultures et le bétail
14)Températures froides / grêle
15)Inondations / érosion des berges
16)Ouragan / cyclone / tornade
17)Sécheresse / stress dû à la chaleur
18)Tremblement de terre
19)Glissement de terrain
20)Incendie dû à une catastrophe naturelle
21)Autre risque naturel
22)Violence et insécurité / conflit
23)Vol d'actifs de production [terres/ bétail/ outils/ etc.]
24)Incendie dû à une catastrophe d'origine humaine
25)Autre risque d'origine humaine
26)NE SAIT PAS
27)REFUSÉ</t>
        </is>
      </c>
      <c r="G107" s="534">
        <f>LEN(F107)</f>
        <v/>
      </c>
      <c r="H107" s="547" t="inlineStr">
        <is>
          <t>Kaya yako au jumuiya imekabiliwa na maafa au mgogoro wowote unaoathiri uwezo wa kaya yako kuongeza kipato na/au kuzalisha chakula kwa ajili ya matumizi binafsi katika muda wa miezi 3 iliyopita, na kama ni hivyo, ni ipi?
[OPERATOR: CHAGUA MISHTUKO HUSIKA ILIYOPATWA NA KAYA. MAJIBU MENGI YANAWEZEKANA. REJEA MATUKIO YA KIUCHUMI, MISHTUKO YA MAZAO NA MIFUGO, MSHTUKO WA NDANI YA KAYA, MADHARA YA ASILI NA MADHARA YANAYOTOLEWA NA BINADAMU.]
1)Hakuna mshtuko
2)Ugonjwa au ajali au kifo cha wanakaya [ugonjwa wa mtunza riziki / matumizi makubwa ya matibabu / gharama za mazishi / kifo cha mlezi]
3)Kupoteza ajira au nafasi za kazi [si kwa sababu ya ugonjwa/ajali]
4)Mshtuko mwingine wa ndani ya kaya
5)Bei ya juu ya vyakula isiyo ya kawaida
6)Bei ya juu isiyo ya kawaida ya mafuta au bei za usafiri
7)Vizuizi vya harakati za idadi ya watu [k.m. kutokana na janga au uharibifu wa miundombinu]
8)Mshtuko mwingine wa kiuchumi
9)Mlipuko wa wadudu
10)Ugonjwa wa mimea
11)Ugonjwa wa wanyama [unaoathiri wanyama wengi] au kifo
12)Ukosefu wa kupata malisho ya kimwili
13)Mshtuko mwingine wa mazao na mifugo
14)Baridi au mvua ya mawe
15)Mmomonyoko wa mafuriko/kingo za mto
16)Kimbunga / kimbunga / kimbunga
17)Mkazo wa ukame / joto
18)Tetemeko la ardhi
19)Maporomoko ya ardhi
20)Moto kutoka kwa maafa ya asili
21)Hatari yingine  ya asili
22)Vurugu na ukosefu wa usalama / migogoro
23)Wizi wa mali za uzalishaji [ardhi / mifugo / zana / nk]
24)Moto kutokana na maafa yanayosababishwa na binadamu
25)Hatari yingine  inayosababishwa na binadamu
26)SIJUE
27)KUKATALA</t>
        </is>
      </c>
      <c r="I107" s="534" t="n"/>
      <c r="J107" s="535" t="inlineStr">
        <is>
          <t>Mu ngondu isatu mipita, nzubu wenu anyi musoko wenu uvuaku mupete tshipupu anyi lutatu kampanda luvua lunyanga bukokeshi buebe bua kupeta makuta ne/anyi kuenza biakudia bia kudia anyi? Shi eyowa, nganyi?
[ENQUETEUR/TRICE: SULANGANA BIDIMU BIDI BIKUMBANE BIDI MU MUSOKO. MANDAMUNA MANYI ADI MUA KUENZA. TANGILA BIDI BIFUMINA KU BUALU BUA BUALU, BITSHINTU BIA KUENZA BIDIMU NE BIMUNA, BITSHINTU BIA MU MUSHINDU WA MU NZUBU, BILU BIDI BIFUMINA KU BUFUKI NE BILU BIDI BIFUMINA KU BANTU]
1) Kakuena tshinyangu
2) Disama/ njiwu anyi lufu lua muntu umue anyi ba bungi ba mu nzubu [disama dia muena mudimu / makuta a bungi a luondapu / makuta a madilu / lufu lua muena mudimu]
3) Dijimija dia mudimu anyi mpunga ya mudimu [ki mbua disama anyi njiwu to]
4) Bintu bikwabo bya munda mu njibo
5) Mishinga mivule ya bya kudya
6) Mishinga mikatampe ya mafuta nansha ya bintu bya kuendesha
7) Dikandika dia dienda dia bantu [kudi tshilejilu/ bua tshipupu anyi dinyanguka dia bintu bia mudimu].
8)Dikenga dikuabu dia malu a mpetu 
9)Dibuela dia bintu bidi ne njiwu
10)Disama dia mitshi
11)Disama dia nyama [didi dikuata nyama ya bungi] anyi lufu lua nyama
12)Dipanga dia kupeta madimi
13)Dikenga dikuabu didi dinyanga madimi ne bimuna
14)Mashika/makubakuba
15)Mvula ya bungi/dibutuka dia ku muelelu
16)Tshipepele tshikole/tshipepele tshikole / tshipepele tshikole
17) Tshipupu tshia luya
18) Tshikumina
19) Dikuluka dia buloba
20) Kapia kafumina ku tshipupu tshia bufuki
21) Njiwu mikuabu ya ku bufuki
22) Tshikisu ne dipanga dia bukubi / mvita
23) Buivi bua bintu bia mudimu [buloba/bimuna/biamu bia mudimu/bikuabu .]
24)Kapia kafumina kudi muntu tshipupu tshienza
25)Njiwu mikuabu mienza kudi bantu
26)TSHIENA MUMANYE PAS
27)MUBENE</t>
        </is>
      </c>
      <c r="K107" s="515">
        <f>LEN(J107)</f>
        <v/>
      </c>
      <c r="L107" s="548" t="inlineStr">
        <is>
          <t>Select All That Apply</t>
        </is>
      </c>
      <c r="M107" s="534" t="inlineStr">
        <is>
          <t>NA</t>
        </is>
      </c>
      <c r="N107" s="534" t="inlineStr">
        <is>
          <t>NA</t>
        </is>
      </c>
      <c r="O107" s="534" t="inlineStr">
        <is>
          <t>Form Type - Checklist 
1,26,27 = IsNone</t>
        </is>
      </c>
      <c r="P107" s="520"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Q107" s="551" t="inlineStr">
        <is>
          <t>1= confl_wellbeing
2-25 = hh_explanation
26-27 = confl_wellbeing</t>
        </is>
      </c>
      <c r="R107" s="549" t="n"/>
      <c r="S107" s="549" t="inlineStr">
        <is>
          <t>if shock = 1-27, go to [crp_intro or optional question]</t>
        </is>
      </c>
      <c r="T107" s="550" t="inlineStr"/>
      <c r="U107" s="523" t="n"/>
      <c r="V107" s="524">
        <f>1</f>
        <v/>
      </c>
      <c r="W107" s="525" t="n"/>
      <c r="Y107" s="543" t="inlineStr">
        <is>
          <t>yes</t>
        </is>
      </c>
      <c r="Z107" s="528" t="n"/>
      <c r="AC107" s="529" t="n">
        <v>37.85363006591797</v>
      </c>
      <c r="AD107" s="529">
        <f>IF(AC107="","",AC107*V107)</f>
        <v/>
      </c>
      <c r="AE107" s="525" t="inlineStr">
        <is>
          <t>37.85363006591797</t>
        </is>
      </c>
    </row>
    <row r="108" ht="136" customFormat="1" customHeight="1" s="48" thickBot="1">
      <c r="A108" s="34">
        <f>A107+1</f>
        <v/>
      </c>
      <c r="B108" s="427" t="inlineStr">
        <is>
          <t>hh_explanation</t>
        </is>
      </c>
      <c r="C108" s="430" t="inlineStr">
        <is>
          <t>hh_explanation</t>
        </is>
      </c>
      <c r="D108" s="191" t="inlineStr">
        <is>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is>
      </c>
      <c r="E108" s="410">
        <f>LEN(D108)</f>
        <v/>
      </c>
      <c r="F108" s="191" t="inlineStr">
        <is>
          <t>Si votre ménage a récemment été concerné par un choc majeur mentionné dans cette évaluation [par exemple, un tremblement de terre], quelles en sont, selon vous et dans vos propres mots, les conséquences [déjà ressenties ou attendues] pour votre ménage?
[OPÉRATEUR/OPÉRATRICE: SAISIR EN QUELQUES MOTS LA PRINCIPALE CONSÉQUENCE DES RÉCENTS CHOCS. SAISIR 88 POUR «NE SAIT PAS» ET 99 POUR «REFUSÉ»].</t>
        </is>
      </c>
      <c r="G108" s="410">
        <f>LEN(F108)</f>
        <v/>
      </c>
      <c r="H108" s="191" t="inlineStr">
        <is>
          <t>Kama kaya iliathiriwa na mshtuko mkubwa wa hivi majuzi kama ilivyoonyeshwa katika tathmini hii [kwa mfano, tetemeko la ardhi], ni matokeo gani [tayari yamezingatiwa au yanayotarajiwa] kwa kaya yako, kwa maneno yako mwenyewe?_x000D_
_x000D_
[OPERATOR: REKODI KWA MANENO MACHACHE MATOKEO MAKUU YA MISHTUKO YA HIVI KARIBUNI. INGIA 88 KWA SIJUE NA 99 KWA KUKUKATALA.]</t>
        </is>
      </c>
      <c r="I108" s="410" t="n"/>
      <c r="J108" s="417" t="inlineStr">
        <is>
          <t xml:space="preserve">Shi njibo yebe mitabijibwe na kintu kikatampe kya kulonga mu tshikebelu etshi [tshilejilu, tshikumina], udi wela meji ne mu meyi eba nkayebe ntshinyi tshidi tshikebesha [tshidibu bumvue anyi batekemene] bua njibo yebe?
[ENQUETEUR/TRICE: KUANGA MU MÊYI MAKESE BUALU BUNENE BUA BITUPA BIDI BIENZEKE. BUELA 88 BUA "TSHIENA MUMANYE" NE 99 BUA "MUBENE"].
</t>
        </is>
      </c>
      <c r="K108" s="45">
        <f>LEN(J108)</f>
        <v/>
      </c>
      <c r="L108" s="431" t="inlineStr">
        <is>
          <t>Open Ended</t>
        </is>
      </c>
      <c r="M108" s="202" t="inlineStr">
        <is>
          <t>NA</t>
        </is>
      </c>
      <c r="N108" s="202" t="inlineStr">
        <is>
          <t>NA</t>
        </is>
      </c>
      <c r="O108" s="202" t="inlineStr">
        <is>
          <t>Form Type - TextBox</t>
        </is>
      </c>
      <c r="P108" s="37" t="inlineStr">
        <is>
          <t>NA</t>
        </is>
      </c>
      <c r="Q108" s="213" t="inlineStr">
        <is>
          <t>Any Response = confl_wellbeing</t>
        </is>
      </c>
      <c r="R108" s="213" t="n"/>
      <c r="S108" s="213" t="inlineStr">
        <is>
          <t>For any response to hh_explanation, go to covid.</t>
        </is>
      </c>
      <c r="T108" s="215" t="inlineStr"/>
      <c r="U108" s="13" t="n"/>
      <c r="V108" s="167">
        <f>1</f>
        <v/>
      </c>
      <c r="W108" s="43" t="n"/>
      <c r="Y108" s="50" t="inlineStr">
        <is>
          <t>no</t>
        </is>
      </c>
      <c r="Z108" s="564" t="n"/>
      <c r="AC108" s="169" t="n"/>
      <c r="AD108" s="169">
        <f>IF(AC108="","",AC108*V108)</f>
        <v/>
      </c>
      <c r="AE108" s="43" t="inlineStr"/>
    </row>
    <row r="109" ht="16" customFormat="1" customHeight="1" s="108" thickBot="1">
      <c r="A109" s="592" t="inlineStr">
        <is>
          <t>CONFLICT</t>
        </is>
      </c>
      <c r="B109" s="586" t="n"/>
      <c r="C109" s="586" t="n"/>
      <c r="D109" s="586" t="n"/>
      <c r="E109" s="586" t="n"/>
      <c r="F109" s="586" t="n"/>
      <c r="G109" s="586" t="n"/>
      <c r="H109" s="586" t="n"/>
      <c r="I109" s="586" t="n"/>
      <c r="J109" s="586" t="n"/>
      <c r="K109" s="586" t="n"/>
      <c r="L109" s="586" t="n"/>
      <c r="M109" s="586" t="n"/>
      <c r="N109" s="586" t="n"/>
      <c r="O109" s="586" t="n"/>
      <c r="P109" s="586" t="n"/>
      <c r="Q109" s="586" t="n"/>
      <c r="R109" s="586" t="n"/>
      <c r="S109" s="586" t="n"/>
      <c r="T109" s="586" t="n"/>
      <c r="U109" s="587" t="n"/>
      <c r="V109" s="170" t="n"/>
      <c r="W109" s="110" t="n"/>
      <c r="Y109" s="109" t="n"/>
      <c r="Z109" s="111" t="n"/>
      <c r="AC109" s="168" t="n"/>
      <c r="AD109" s="168">
        <f>IF(AC109="","",AC109*V109)</f>
        <v/>
      </c>
      <c r="AE109" s="110">
        <f>IF(Y109="yes",AD109,"")</f>
        <v/>
      </c>
    </row>
    <row r="110" ht="387.5" customFormat="1" customHeight="1" s="48">
      <c r="A110" s="432">
        <f>A108+1</f>
        <v/>
      </c>
      <c r="B110" s="62" t="inlineStr">
        <is>
          <t>confl_wellbeing</t>
        </is>
      </c>
      <c r="C110" s="433" t="inlineStr">
        <is>
          <t>confl_wellbeing
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D110" s="434" t="inlineStr">
        <is>
          <t>What are the main problems affecting your household's wellbeing?
[OPERATOR: UP TO THREE RESPONSES ALLOWED.]
1)There are no issues or concerns
2)Unemployment / lack of livelihoods options
3)Health care [lack of or inadequate]
4)Transportation [lack of or inadequate]
5)Education [lack of or inadequate]
6)Access to food/water [lack of or inadequate]
7)Insecurity and the safety of household members
8)Security of land or property [lack of or inadequate]
9)Natural disasters [droughts/ floods/ fires or erosion]
10)Informal payments / corruption
11)Financial crisis [economic downturn/ poor currency exchange]
12)Accessing or receiving assistance
13)Other [specify]
14)DON'T KNOW
15)REFUSED</t>
        </is>
      </c>
      <c r="E110" s="435">
        <f>LEN(D110)</f>
        <v/>
      </c>
      <c r="F110" s="60" t="inlineStr">
        <is>
          <t>Quels sont les principaux problèmes qui affectent le bien-être de votre ménage ?
[OPÉRATEUR/OPÉRATRICE: JUSQU'À TROIS RÉPONSES AUTORISÉES]
1)Aucun problème / préoccupation
2)Chômage / manque d'options de moyens d'existence
3)Services de santé [insuffisants ou inadaptés]
4)Transports [insuffisants ou inadaptés]
5)Éducation [insuffisante ou inadaptée]
6)Accès à la nourriture et à l'eau [insuffisant ou inadapté]
7)Insécurité et la sécurité des membres du ménage
8)Sécurité des terres ou des biens [insuffisante ou inadaptée]
9)Catastrophes naturelles [sécheresses/ inondations/ incendies ou érosion]
10)Paiements informels / corruption
11)Crise financière [récession économique/ mauvaise conversion monétaire]
12)Accès à l'aide ou réception de l'aide
13)Autre [préciser]
14)NE SAIT PAS
15)REFUSÉ</t>
        </is>
      </c>
      <c r="G110" s="436">
        <f>LEN(F110)</f>
        <v/>
      </c>
      <c r="H110" s="437" t="inlineStr">
        <is>
          <t>Je, ni masuala gani kuu yanayoathiri ustawi wa jamii?
[OPERATOR: HADI MAJIBU MATATU YANARUHUSIWA]
1)Hakuna matatizo/wasiwasi
2)Ajira/ riziki [kutosha au kutotosheleza]
3)Huduma za afya [kutosha au kutotosheleza]
4)Usafiri [kutosha au kutotosheleza]
5)Elimu [kutosha au kutotosheleza]
6)Upatikanaji wa chakula na maji [kutosha au kutosha. isiyofaa]
7) Usalama wa wanafamilia [haifai au haifai]
8) Usalama wa ardhi au mali [haifai au haifai]
9) Ukosefu wa haki
10) Ufisadi
11) Ukosefu wa utawala
12) Kupata msaada au kupokea msaada
13)Nyingine [taja]
14)SIJUE
15)KUKATALA</t>
        </is>
      </c>
      <c r="I110" s="133" t="n"/>
      <c r="J110" s="206" t="inlineStr">
        <is>
          <t xml:space="preserve">Mmalu kayi manene adi anyanga nsombelu muimpe wa mu nzubu muebe?
[ENQUETEUR/TRICE: TO KU MANDAMUNA ISatu ADI ANYIKISHA]
1)Kakuena ntatu/malu adi atatshisha
2)Dipanga dia mudimu/dipanga dia mishindu ya kusomba
3)Midimu ya malu a bukola bua mubidi [kayi mikumbane anyi kayiyi mikumbane]
4)Njila ya diendesha [mikeyi mikumbane anyi kayiyi mikumbane]
5)Dilongesha [kadiyi mikumbane anyi kayiyi mikumbane]
6)Dipeta dia biakudia ne mâyi [kayiyi mikumbane anyi kayiyi mikumbane]
 7) Dipanga dia bukubi ne bukubi bua bena mu nzubu
8) Bukubi bua maloba anyi bintu [kayiyi mikumbane anyi kayiyi mikumbane]
9)Bipupu bia ku bufuki [bipupu/mvula ya bungi/midilu anyi dinyanguka dia buloba]
10)Difuta dia makuta didi kadiyi dimanyike/dinyanguka
11)Dinyanguka dia malu a mfranga [dinyanguka dia malu a mpetu/dishintuluka dia makuta dibi]
12)Dipeta anyi dipeta dia diambuluisha
13)Bikuabu [leja]
14)TSHIENA MUMANYE
15)MUBENE
</t>
        </is>
      </c>
      <c r="K110" s="133">
        <f>LEN(J110)</f>
        <v/>
      </c>
      <c r="L110" s="134" t="inlineStr">
        <is>
          <t>Open Ended-Select All That Apply</t>
        </is>
      </c>
      <c r="M110" s="16" t="inlineStr">
        <is>
          <t>NA</t>
        </is>
      </c>
      <c r="N110" s="16" t="inlineStr">
        <is>
          <t>NA</t>
        </is>
      </c>
      <c r="O110" s="16" t="inlineStr">
        <is>
          <t>Form Type - Checklist
1,14,15 = IsNone
Min = 1
Max = 3</t>
        </is>
      </c>
      <c r="P110" s="433" t="inlineStr">
        <is>
          <t>1)confl_wb_none
2)confl_wb_livelihood
3)confl_wb_health
4)confl_wb_transport
5)confl_wb_edu
6)confl_wb_food_water
7)confl_wb_safety
8)confl_wb_land_sec
9)confl_wb_nat_disaster
10)confl_wb_corrupt
11)confl_wb_fin_crisis
12)confl_wb_assistance
13)confl_wb_other
14)confl_wb_dk
15)confl_wb_ref</t>
        </is>
      </c>
      <c r="Q110" s="247" t="inlineStr">
        <is>
          <t>1-15 = confl_internal_relations</t>
        </is>
      </c>
      <c r="R110" s="132" t="n"/>
      <c r="S110" s="247" t="inlineStr">
        <is>
          <t>For any response, go to confl_internal_relations.</t>
        </is>
      </c>
      <c r="T110" s="29" t="inlineStr"/>
      <c r="U110" s="10" t="n"/>
      <c r="V110" s="167" t="n"/>
      <c r="W110" s="43" t="n"/>
      <c r="Y110" s="50" t="inlineStr">
        <is>
          <t>no</t>
        </is>
      </c>
      <c r="Z110" s="564" t="n"/>
      <c r="AC110" s="169" t="n"/>
      <c r="AD110" s="169" t="n"/>
      <c r="AE110" s="43" t="inlineStr"/>
      <c r="AM110" s="216" t="n"/>
    </row>
    <row r="111" ht="217" customFormat="1" customHeight="1" s="48">
      <c r="A111" s="432">
        <f>A110+1</f>
        <v/>
      </c>
      <c r="B111" s="62" t="inlineStr">
        <is>
          <t>confl_internal_relations</t>
        </is>
      </c>
      <c r="C111" s="406" t="inlineStr">
        <is>
          <t>confl_internal_relations</t>
        </is>
      </c>
      <c r="D111" s="438" t="inlineStr">
        <is>
          <t>Could you describe the relations between members of your community?
[OPERATOR: SINGLE RESPONSE.]
1)Excellent
2)Good
3)Neither good nor bad
4)Somewhat bad
5)Very bad
6)DON'T KNOW
7)REFUSED</t>
        </is>
      </c>
      <c r="E111" s="52">
        <f>LEN(D111)</f>
        <v/>
      </c>
      <c r="F111" s="60" t="inlineStr">
        <is>
          <t xml:space="preserve">
Pouvez-vous décrire les relations entre les membres de votre communauté ?
[OPÉRATEUR : RÉPONSE UNIQUE.]
1)Excellentes
2)Bonnes
3)Ni bonnes ni mauvaises
4)Plutôt mauvaises
5)Très mauvaises
6)JE NE SAIS PAS
7)REFUS</t>
        </is>
      </c>
      <c r="G111" s="16">
        <f>LEN(F111)</f>
        <v/>
      </c>
      <c r="H111" s="206" t="inlineStr">
        <is>
          <t xml:space="preserve">
Je, unaweza kuelezea uhusiano kati ya wanajamii wako?
[OPERATOR: JIBU MOJA.]
1) Bora
2) Nzuri
3) Sio nzuri au mbaya
4) Badala yake mbaya
5) mbaya sana
6)SIJUE
7)KUKATALA
</t>
        </is>
      </c>
      <c r="I111" s="133" t="n"/>
      <c r="J111" s="206" t="inlineStr">
        <is>
          <t xml:space="preserve">
Udiku mua kumvuija malanda adi pankatshi pa bena mu tshisumbu tshienu anyi?
[ENQUETEUR/TRICE: BIPWEBO IMWE.]
1) Biyampe
2) Bimpa
3) Kabiyi bimpa nansha bibi
4) Bibi menemene
5) Bibi be
6) TSHIENA MUMANYE
7) MUBENE
</t>
        </is>
      </c>
      <c r="K111" s="133" t="n"/>
      <c r="L111" s="134" t="inlineStr">
        <is>
          <t>Single Choice</t>
        </is>
      </c>
      <c r="M111" s="16" t="inlineStr">
        <is>
          <t>NA</t>
        </is>
      </c>
      <c r="N111" s="16" t="inlineStr">
        <is>
          <t>NA</t>
        </is>
      </c>
      <c r="O111" s="16" t="inlineStr">
        <is>
          <t>Form Type - Buttons</t>
        </is>
      </c>
      <c r="P111" s="433" t="inlineStr">
        <is>
          <t>NA</t>
        </is>
      </c>
      <c r="Q111" s="132" t="inlineStr">
        <is>
          <t>1-7 = confl_external_relations</t>
        </is>
      </c>
      <c r="R111" s="132" t="n"/>
      <c r="S111" s="132" t="inlineStr">
        <is>
          <t>For any response, go to confl_external_relations.</t>
        </is>
      </c>
      <c r="T111" s="29" t="inlineStr"/>
      <c r="U111" s="10" t="n"/>
      <c r="V111" s="167" t="n"/>
      <c r="W111" s="43" t="n"/>
      <c r="Y111" s="50" t="inlineStr"/>
      <c r="Z111" s="564" t="n"/>
      <c r="AC111" s="169" t="n"/>
      <c r="AD111" s="169" t="n"/>
      <c r="AE111" s="43" t="inlineStr"/>
      <c r="AM111" s="216" t="n"/>
    </row>
    <row r="112" ht="204" customFormat="1" customHeight="1" s="48">
      <c r="A112" s="432">
        <f>A111+1</f>
        <v/>
      </c>
      <c r="B112" s="62" t="inlineStr">
        <is>
          <t>confl_external_relations</t>
        </is>
      </c>
      <c r="C112" s="406" t="inlineStr">
        <is>
          <t>confl_external_relations</t>
        </is>
      </c>
      <c r="D112" s="439" t="inlineStr">
        <is>
          <t>Could you describe the relations between your community and nearby or neigbhouring communities?
[OPERATOR: SINGLE RESPONSE.]
1)Excellent
2)Good
3)Neither good nor bad
4)Somewhat bad
5)Very bad
6)DON'T KNOW
7)REFUSED</t>
        </is>
      </c>
      <c r="E112" s="52">
        <f>LEN(D112)</f>
        <v/>
      </c>
      <c r="F112" s="60" t="inlineStr">
        <is>
          <t>Pouvez-vous décrire les relations entre votre communauté et les communautés voisines ou proches ?
[OPÉRATEUR : RÉPONSE UNIQUE.]
1)Excellentes
2)Bonnes
3)Ni bonnes ni mauvaises
4)Plutôt mauvaises
5)Très mauvaises
6)NE SAIT PAS
7)REFUSÉ</t>
        </is>
      </c>
      <c r="G112" s="133">
        <f>LEN(F112)</f>
        <v/>
      </c>
      <c r="H112" s="206" t="inlineStr">
        <is>
          <t xml:space="preserve">Je, unaweza kuelezea uhusiano kati ya jamii yako na jamii za jirani au zinazokaribiana?
[MPIGA KAZI: JIBU MOJA TU.]
1)  Nzuri sana
2) Nzuri
3) Wala nzuri wala mbaya
4)  Mbaya kidogo
5) Mbaya sana
6) Sijue
7) KUKATALA
</t>
        </is>
      </c>
      <c r="I112" s="133" t="n"/>
      <c r="J112" s="206" t="inlineStr">
        <is>
          <t xml:space="preserve">Udiku mua kumvuija malanda adi pankatshi pa bena musoko wenu ne bena mutumba anyi pabuipi anyi?
[ENQUETEUR/TRICE:BIPWEBO IMWE.]
1) Biyampe
2) Bimpa
3) Ki bimpa nansha bibi
4) Bibi
5) Bibi be
6)TSHIENA MUMANYE
7)MUBENE
</t>
        </is>
      </c>
      <c r="K112" s="133" t="n"/>
      <c r="L112" s="134" t="inlineStr">
        <is>
          <t>Single Choice</t>
        </is>
      </c>
      <c r="M112" s="16" t="inlineStr">
        <is>
          <t>NA</t>
        </is>
      </c>
      <c r="N112" s="16" t="inlineStr">
        <is>
          <t>NA</t>
        </is>
      </c>
      <c r="O112" s="16" t="inlineStr">
        <is>
          <t>Form Type - Buttons</t>
        </is>
      </c>
      <c r="P112" s="440" t="inlineStr">
        <is>
          <t>NA</t>
        </is>
      </c>
      <c r="Q112" s="213" t="inlineStr">
        <is>
          <t>1-7 = confl_yn</t>
        </is>
      </c>
      <c r="R112" s="213" t="n"/>
      <c r="S112" s="132" t="inlineStr">
        <is>
          <t>For any response, go to confl_yn.</t>
        </is>
      </c>
      <c r="T112" s="29" t="inlineStr"/>
      <c r="U112" s="10" t="n"/>
      <c r="V112" s="167" t="n"/>
      <c r="W112" s="43" t="n"/>
      <c r="Y112" s="50" t="inlineStr"/>
      <c r="Z112" s="564" t="n"/>
      <c r="AC112" s="169" t="n"/>
      <c r="AD112" s="169" t="n"/>
      <c r="AE112" s="43" t="inlineStr"/>
      <c r="AM112" s="216" t="n"/>
    </row>
    <row r="113" ht="162.75" customFormat="1" customHeight="1" s="48">
      <c r="A113" s="432">
        <f>A112+1</f>
        <v/>
      </c>
      <c r="B113" s="62" t="inlineStr">
        <is>
          <t>confl_yn</t>
        </is>
      </c>
      <c r="C113" s="131" t="inlineStr">
        <is>
          <t>confl_yn</t>
        </is>
      </c>
      <c r="D113" s="441" t="inlineStr">
        <is>
          <t>Have you or anyone within your household been exposed to any form of insecurity or conflict during the past 12 months?
[OPERATOR: SINGLE RESPONSE.]
1)YES
2)NO
3)DON'T KNOW
4)REFUSED</t>
        </is>
      </c>
      <c r="E113" s="52">
        <f>LEN(D113)</f>
        <v/>
      </c>
      <c r="F113" s="114" t="inlineStr">
        <is>
          <t>Est-ce que vous ou un membre de votre ménage avez été exposé à une quelconque forme d'insécurité ou de conflit au cours des 12 derniers mois?
[OPÉRATEUR/OPÉRATRICE: UNE SEULE RÉPONSE].
1)OUI
2)NON
3)NE SAIT PAS
4)REFUSÉ</t>
        </is>
      </c>
      <c r="G113" s="16">
        <f>LEN(F113)</f>
        <v/>
      </c>
      <c r="H113" s="442" t="inlineStr">
        <is>
          <t>Je, wewe au mtu yeyote katika kaya yako alikumbana na aina yoyote ya ukosefu wa usalama au migogoro katika kipindi cha miezi 12 iliyopita?
[OPERATOR: JIBU MOJA TU]
1)NDIYO
2)HAPANA
3)SIJUE
4)KUKATALA</t>
        </is>
      </c>
      <c r="I113" s="16" t="n"/>
      <c r="J113" s="60" t="inlineStr">
        <is>
          <t xml:space="preserve">Wewe anyi muntu mukuabu wa mu nzubu muebe uvuaku mupete lutatu kampanda anyi mvita mu ngondo 12 mipite eyi anyi?
[ENQUETEUR/TRICE: DIANDAMUNA DIMUE ANYI].
1) EYOWA
2) TO
3) TSHIENA MUMANYE
4)MUBENE
</t>
        </is>
      </c>
      <c r="K113" s="16">
        <f>LEN(J113)</f>
        <v/>
      </c>
      <c r="L113" s="134" t="inlineStr">
        <is>
          <t>Single Choice</t>
        </is>
      </c>
      <c r="M113" s="16" t="inlineStr">
        <is>
          <t>NA</t>
        </is>
      </c>
      <c r="N113" s="16" t="inlineStr">
        <is>
          <t>NA</t>
        </is>
      </c>
      <c r="O113" s="16" t="inlineStr">
        <is>
          <t>Form Type - Buttons</t>
        </is>
      </c>
      <c r="P113" s="440" t="inlineStr">
        <is>
          <t>NA</t>
        </is>
      </c>
      <c r="Q113" s="208" t="inlineStr">
        <is>
          <t>1 = confl_pimary_insec
2-4 = crp_intro</t>
        </is>
      </c>
      <c r="R113" s="208" t="n"/>
      <c r="S113" s="60" t="inlineStr">
        <is>
          <t>if confl_yn = 1, go to confl_prim_insec.
Otherwise, go to crp_intro</t>
        </is>
      </c>
      <c r="T113" s="208" t="inlineStr"/>
      <c r="U113" s="10" t="n"/>
      <c r="V113" s="167" t="n"/>
      <c r="W113" s="43" t="n"/>
      <c r="Y113" s="50" t="inlineStr">
        <is>
          <t>yes</t>
        </is>
      </c>
      <c r="Z113" s="564" t="n"/>
      <c r="AC113" s="169" t="n"/>
      <c r="AD113" s="169" t="n"/>
      <c r="AE113" s="43" t="inlineStr"/>
      <c r="AM113" s="216" t="n"/>
    </row>
    <row r="114" ht="223.5" customFormat="1" customHeight="1" s="48">
      <c r="A114" s="443">
        <f>A113+1</f>
        <v/>
      </c>
      <c r="B114" s="62" t="inlineStr">
        <is>
          <t>confl_pimary_insec</t>
        </is>
      </c>
      <c r="C114" s="131" t="inlineStr">
        <is>
          <t>confl_prim_insec</t>
        </is>
      </c>
      <c r="D114" s="444" t="inlineStr">
        <is>
          <t>What has been the primary type of insecurity affecting your household?
[OPERATOR: SINGLE RESPONSE.]
1)Disputes or conflicts over land/ water/ pasture or fishing grounds
2)Criminality/ armed group violence or banditry
3)Conflict between community groups
4)Armed conflict
5)Disputes or conflicts over assistance being provided
6)Other [specify]
7)DON'T KNOW
8)REFUSED</t>
        </is>
      </c>
      <c r="E114" s="16">
        <f>LEN(D114)</f>
        <v/>
      </c>
      <c r="F114" s="60" t="inlineStr">
        <is>
          <t>Quel a été le principal type d'insécurité affectant votre ménage?
[OPÉRATEUR/OPÉRATRICE: UNE SEULE RÉPONSE].
1)Disputes ou conflits concernant la terre/ l'eau/ les pâturages ou les zones de pêche
2)Criminalité/ violence de groupes armés ou banditisme
3)Conflit entre groupes communautaires
4)Conflit armé
5)Différends ou conflits concernant l'assistance fournie
6)Autre [préciser]
7)NE SAIT PAS
8)REFUS</t>
        </is>
      </c>
      <c r="G114" s="16">
        <f>LEN(F114)</f>
        <v/>
      </c>
      <c r="H114" s="442" t="inlineStr">
        <is>
          <t>Ni aina gani kuu ya ukosefu wa usalama iliyoathiri kaya yako?
[OPERATOR: JIBU MOJA TU].
1)Migogoro au migogoro kuhusu ardhi/maji au malisho
2)Uhalifu/unyanyasaji wa magenge au ujambazi
3)Migogoro kati ya makundi ya jamii
4)Migogoro ya kutumia silaha
5)Mizozo au migogoro kuhusu usaidizi unaotolewa
6)Nyingine [taja]
7)SIJUE
8)KUKATALA</t>
        </is>
      </c>
      <c r="I114" s="16" t="n"/>
      <c r="J114" s="60" t="inlineStr">
        <is>
          <t xml:space="preserve">Mmushindu kayi munene wa dipanga dia bukubi uvua mukengeshe bena mu nzubu muebe?
[ENQUETEUR/TRICE: DIANDAMUNA DIMUE ANYI].
1)Makokangana anyi mvita pa bidi bitangila buloba/ mayi/ madimi anyi miaba ya kuloba
2)Buenzavi/ tshikisu tshia bisumbu bia basalayi anyi buenzavi
3)Mvitangana pankatshi pa bisumbu bia bena mutumba
4)Mvita ya bingoma
5)Malu mabi anyi mvita bua diambuluisha didibu bafila
6)Malu makuabu [aleja]
7)TSHIENA MUMANYE
8)MUBENE
</t>
        </is>
      </c>
      <c r="K114" s="16">
        <f>LEN(J114)</f>
        <v/>
      </c>
      <c r="L114" s="134" t="inlineStr">
        <is>
          <t>Open Ended-Single Choice</t>
        </is>
      </c>
      <c r="M114" s="16" t="inlineStr">
        <is>
          <t>NA</t>
        </is>
      </c>
      <c r="N114" s="16" t="inlineStr">
        <is>
          <t>NA</t>
        </is>
      </c>
      <c r="O114" s="16" t="inlineStr">
        <is>
          <t>Form Type - RadioList</t>
        </is>
      </c>
      <c r="P114" s="440" t="inlineStr">
        <is>
          <t>NA</t>
        </is>
      </c>
      <c r="Q114" s="208" t="inlineStr">
        <is>
          <t>1-8 = confl_agri_imp</t>
        </is>
      </c>
      <c r="R114" s="208" t="n"/>
      <c r="S114" s="60" t="inlineStr">
        <is>
          <t>if confl_prim_insec = 1-8, go to confl_agri_imp.</t>
        </is>
      </c>
      <c r="T114" s="29" t="inlineStr"/>
      <c r="U114" s="19" t="n"/>
      <c r="V114" s="167" t="n"/>
      <c r="W114" s="43" t="n"/>
      <c r="Y114" s="50" t="inlineStr">
        <is>
          <t>no</t>
        </is>
      </c>
      <c r="Z114" s="564" t="n"/>
      <c r="AC114" s="169" t="n"/>
      <c r="AD114" s="169" t="n"/>
      <c r="AE114" s="43" t="inlineStr"/>
      <c r="AI114" s="88" t="n"/>
      <c r="AM114" s="201" t="n"/>
    </row>
    <row r="115" ht="335.25" customFormat="1" customHeight="1" s="48">
      <c r="A115" s="432">
        <f>A114+1</f>
        <v/>
      </c>
      <c r="B115" s="62" t="inlineStr">
        <is>
          <t>confl_agri_imp</t>
        </is>
      </c>
      <c r="C115" s="131" t="inlineStr">
        <is>
          <t>confl_agri_imp
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D115" s="445" t="inlineStr">
        <is>
          <t>How has broader insecurity or conflict affected your household's farming, livestock or fishing activities? 
[OPERATOR: SELECT UP TO THREE IMPACTS.]
1)No effect on my household's agricultural activities
2)Unsafe to access fields or fishing areas [risk of violence / injury / theft]
3)Could not access [or poor quality] inputs [seeds/ fertiliser]
4)Damage or destruction of productive assets [tools/ machinery]
5)Reduced access to agricultral water / damage to irrigation infrastructure
6)Damage or destruction of crops
7)Theft/occupation of agricultural land
8)Reduced livestock mobility due to insecurity
9)Killing or injury of livestock
10)Theft of livestock
11)Land contaminated by landmines and/or explosive remnants of war
12)Demands for agricultural produce [livestock/ fish/ crops] as payment to influential groups 
13)Other [specify]
14)DON'T KNOW
15)REFUSED</t>
        </is>
      </c>
      <c r="E115" s="52">
        <f>LEN(D115)</f>
        <v/>
      </c>
      <c r="F115" s="114" t="inlineStr">
        <is>
          <t>Comment l'insécurité ou le conflit généralisé a-t-il affecté les activités agricoles, d'élevage ou de pêche de votre ménage? 
[OPÉRATEUR/OPÉRATRICE: SÉLECTIONNER JUSQU'À TROIS IMPACTS]
1)Aucune conséquence sur les activités agricoles de mon ménage
2)Accès dangereux aux champs ou zones de pêche
3)Impossibilité d'accéder aux intrants [semences/ engrais] ou mauvaise qualité de ceux-ci
4)Dommages ou destruction des biens de production [outils/ machines]
5)Accès réduit à l'eau agricole / dommages aux infrastructures d'irrigation
6)Dommages ou destruction des cultures
7)Vol/occupation de terres agricoles
8)Mobilité réduite du bétail en raison de l'insécurité
9)Meurtre ou blessure du bétail
10)Vol de bétail
11)Terres contaminées par des mines terrestres et/ou des restes explosifs de guerre
12)Exigences de produits agricoles [bétail/ récoltes/ poisson] comme paiement aux groupes influents
13)Autre [préciser]
14)NE SAIT PAS
15)REFUSÉ</t>
        </is>
      </c>
      <c r="G115" s="16">
        <f>LEN(F115)</f>
        <v/>
      </c>
      <c r="H115" s="442" t="inlineStr">
        <is>
          <t>Je, ukosefu wa usalama na/au migogoro imeathiri vipi shughuli za kaya yako za kilimo, mifugo au uvuvi?
[OPERATOR: CHAGUA HADI ATHARI TATU]
1)Hakuna madhara kwa shughuli za kilimo za kaya yangu
2)Kutokuwa na uwezo wa kufikia au kupunguza ufikiaji wa mashamba/maeneo ya uvuvi
3)Kutoweza kupata pembejeo [mbegu/mbolea] au ubora wake
4)Uharibifu au uharibifu wa mali ya uzalishaji [zana/mashine]
5)Uharibifu wa miundombinu ya majimaji na/au kupunguza upatikanaji wa maji
6) Uharibifu au uharibifu wa mazao
7) Wizi/ukaaji wa ardhi ya kilimo
8) Kupunguza uhamaji wa mifugo kwa sababu ya ukosefu wa usalama
9) Kufa au kuumia mifugo
10)Wizi wa mifugo
11)Ardhi iliyochafuliwa na mabomu na/au. mabaki ya vita
12)Unyang'anyi [k.m. malipo yanayodaiwa na vikundi vyenye silaha]
13)Nyingine [taja]
14)SIJUE
15)KUKATALA</t>
        </is>
      </c>
      <c r="I115" s="16" t="n"/>
      <c r="J115" s="60" t="inlineStr">
        <is>
          <t>Mmunyi mudi dipanga dia bukubi anyi mvita mitangalake minyange mudimu wa madimi, wa bimuna anyi wa diloba wa mu nzubu muenu?
[ENQUETEUR/ENQUETRICE: SUANGANA BIDIMU BISATU]
1) Kakuena bualu budi mua kuenzeka pa midimu ya madimi ya mu nzubu muanyi to
2) Dibuela dia njiwu mu madimi anyi miaba ya kuloba mishipa
3) Dipanga dia mushindu wa kupeta bintu bia mudimu [ntete/ manyoka] anyi bubi buabi
4) Dinyanguka anyi dibutula dia bintu bia mudimu [biamu bia mudimu/ mashinyi]
5) Dikepesha dia mushindu wa kupeta mayi a madimi / dinyanga dia bintu bia mudimu wa madimi
6) Dinyanguka anyi dibutuka dia madimi
7)Buivi/dikuata dia maloba a madimi
8) Dikepesha dia dienda dia bimuna bua dipanga dia bukubi
9) Dishipa anyi ditapa dia bimuna
10) Buivi bua bimuna
11) Buloba budi bunyanguka kudi bingoma bia pa buloba ne/anyi bintu bidi bipatuka mu mvita
12)Malu adibu balomba bua bintu bia madimi [bimuna/ madimi/ mishipa] bu difutu kudi bisumbu bia bantu badi ne bukokeshi
13)Bikuabu [leja]
14)KENA MUMANYE
15)MUBENE</t>
        </is>
      </c>
      <c r="K115" s="16">
        <f>LEN(J115)</f>
        <v/>
      </c>
      <c r="L115" s="134" t="inlineStr">
        <is>
          <t>Open Ended-Select All That Apply</t>
        </is>
      </c>
      <c r="M115" s="16" t="inlineStr">
        <is>
          <t>NA</t>
        </is>
      </c>
      <c r="N115" s="16" t="inlineStr">
        <is>
          <t>NA</t>
        </is>
      </c>
      <c r="O115" s="16" t="inlineStr">
        <is>
          <t>Form Type - Checklist
1,14,15 = IsNone
Min = 1
Max = 3</t>
        </is>
      </c>
      <c r="P115" s="131" t="inlineStr">
        <is>
          <t>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Q115" s="208" t="inlineStr">
        <is>
          <t>1-15 = confl_foodsec_imp</t>
        </is>
      </c>
      <c r="R115" s="208" t="n"/>
      <c r="S115" s="60" t="inlineStr">
        <is>
          <t>if confl_agri_imp = 1-15, go to confl_foodsec_imp.</t>
        </is>
      </c>
      <c r="T115" s="208" t="inlineStr"/>
      <c r="U115" s="19" t="n"/>
      <c r="V115" s="167" t="n"/>
      <c r="W115" s="43" t="n"/>
      <c r="Y115" s="50" t="inlineStr">
        <is>
          <t>yes</t>
        </is>
      </c>
      <c r="Z115" s="564" t="n"/>
      <c r="AC115" s="169" t="n"/>
      <c r="AD115" s="169" t="n"/>
      <c r="AE115" s="43" t="inlineStr"/>
      <c r="AM115" s="201" t="n"/>
    </row>
    <row r="116" ht="279.5" customFormat="1" customHeight="1" s="48" thickBot="1">
      <c r="A116" s="432">
        <f>A115+1</f>
        <v/>
      </c>
      <c r="B116" s="62" t="inlineStr">
        <is>
          <t>confl_foodsec_imp</t>
        </is>
      </c>
      <c r="C116" s="131" t="inlineStr">
        <is>
          <t>confl_foodsec_imp
1)confl_fs_none
2)confl_fs_high_cost
3)confl_fs_lack_food_mkt
4)confl_fs_access_mkt
5)confl_fs_reduced_income
6)confl_fs_access_assistance
7)confl_fs_theft_damage
8)confl_fs_illicit_pay
9)confl_fs_other
10)confl_fs_dk
11)confl_fs_ref</t>
        </is>
      </c>
      <c r="D116" s="446" t="inlineStr">
        <is>
          <t>How has insecurity  affected your household's access to food?
[OPERATOR: SELECT UP TO THREE IMPACTS.]
1)No effect on my access to food
2)High food costs
3)Lack of food in the markets
4)Unsafe to access markets [risk of violence / injury / theft]
5)Reduced income to buy food
6)Difficult to access assistance [food/ cash or vouchers]
7)Theft/damage to household food stores
8)Demands for informal payments or taxes
9)Other [specify]
10)DON'T KNOW
11)REFUSED</t>
        </is>
      </c>
      <c r="E116" s="16">
        <f>LEN(D116)</f>
        <v/>
      </c>
      <c r="F116" s="60" t="inlineStr">
        <is>
          <t>Comment l'insécurité a-t-elle impacté l'accès de votre ménage à la nourriture?
[OPÉRATEUR/OPÉRATRICE: SÉLECTIONNER JUSQU'À TROIS IMPACTS].
1)Aucun effet sur mon accès à la nourriture
2)Coût élevé de la nourriture
3)Manque de nourriture sur les marchés
4)Accès dangereux aux marchés [risque de violence / blessure / vol]
5)Revenu réduit pour acheter de la nourriture
6)Difficultés d'accès à l'aide [nourriture/ argent ou bons d'achat].
7)Vol/dommages aux réserves alimentaires des ménages
8)Demandes de paiements informels ou de taxes
9)Autre [préciser]
10)NE SAIT PAS
11)REFUSÉ</t>
        </is>
      </c>
      <c r="G116" s="16">
        <f>LEN(F116)</f>
        <v/>
      </c>
      <c r="H116" s="442" t="inlineStr">
        <is>
          <t>Je/ ukosefu wa usalama umeathiri vipi upatikanaji wa chakula wa kaya yako?
[OPERATOR: CHAGUA HADI ATHARI TATU].
1)Hakuna athari kwa upatikanaji wangu wa chakula
2)Gharama kubwa ya chakula
3)Ukosefu wa chakula sokoni
4)Upatikanaji mgumu/hatari kwenye soko
5)Kupunguza mapato ya kununua chakula
6)Ugumu wa kupata msaada [chakula/pesa au vocha]
7)Wizi/uharibifu wa akiba ya chakula cha kaya
8)Mahitaji ya malipo haramu au kodi
9)Nyingine [taja]
10)SIJUE
11)KUKATALA</t>
        </is>
      </c>
      <c r="I116" s="16" t="n"/>
      <c r="J116" s="60" t="inlineStr">
        <is>
          <t xml:space="preserve">Mmunyi mudi dipanga dia bukubi dinyange mushindu udi bena mu nzubu muebe mua kupeta biakudia?
[ENQUETEUR/TRICE: SULANGANA TO KU BIDIMU BISATU].
1) Kakuena tshidi mua kunyanga mushindu undi mua kupeta biakudia
2) Mushinga mukole wa biakudia
3) Dipanga dia biakudia mu misoko
4) Dipanga dia mushindu wa kufika mu misoko [njiwu ya tshikisu/ditapa/buivi]
5) Dikepesha dia makuta bua kusumba biakudia
6) Malu makole a kupeta diambuluisha [biakudia/ makuta anyi mikanda].
7)Buivi/dinyanga dia bintu bia kudia bia mu nzubu
8)Dilomba dia makuta anyi bitadi bia patupu
9)Bikuabu [leja]
10)TSHIENA MUMANYE
11)MUBENE
</t>
        </is>
      </c>
      <c r="K116" s="16">
        <f>LEN(J116)</f>
        <v/>
      </c>
      <c r="L116" s="134" t="inlineStr">
        <is>
          <t>Open Ended-Select All That Apply</t>
        </is>
      </c>
      <c r="M116" s="16" t="inlineStr">
        <is>
          <t>NA</t>
        </is>
      </c>
      <c r="N116" s="16" t="inlineStr">
        <is>
          <t>NA</t>
        </is>
      </c>
      <c r="O116" s="16" t="inlineStr">
        <is>
          <t>Form Type - Checklist
1,10,11 = IsNone
Min = 1
Max = 3</t>
        </is>
      </c>
      <c r="P116" s="131" t="inlineStr">
        <is>
          <t>1)confl_fs_none
2)confl_fs_high_cost
3)confl_fs_lack_food_mkt
4)confl_fs_access_mkt
5)confl_fs_reduced_income
6)confl_fs_access_assistance
7)confl_fs_theft_damage
8)confl_fs_illicit_pay
9)confl_fs_other
10)confl_fs_dk
11)confl_fs_ref</t>
        </is>
      </c>
      <c r="Q116" s="208" t="inlineStr">
        <is>
          <t>1-11 = crp_intro</t>
        </is>
      </c>
      <c r="R116" s="208" t="n"/>
      <c r="S116" s="15" t="inlineStr">
        <is>
          <t>if confl_foodsec_imp = 1-11, go to crp_intro.</t>
        </is>
      </c>
      <c r="T116" s="29" t="inlineStr"/>
      <c r="U116" s="19" t="n"/>
      <c r="V116" s="167" t="n"/>
      <c r="W116" s="43" t="n"/>
      <c r="Y116" s="50" t="inlineStr">
        <is>
          <t>no</t>
        </is>
      </c>
      <c r="Z116" s="564" t="n"/>
      <c r="AC116" s="169" t="n"/>
      <c r="AD116" s="169" t="n"/>
      <c r="AE116" s="43" t="inlineStr"/>
    </row>
    <row r="117" ht="17.15" customFormat="1" customHeight="1" s="108" thickBot="1">
      <c r="A117" s="578" t="inlineStr">
        <is>
          <t>D. CROP PRODUCTION</t>
        </is>
      </c>
      <c r="B117" s="593" t="n"/>
      <c r="C117" s="593" t="n"/>
      <c r="D117" s="593" t="n"/>
      <c r="E117" s="593" t="n"/>
      <c r="F117" s="593" t="n"/>
      <c r="G117" s="593" t="n"/>
      <c r="H117" s="593" t="n"/>
      <c r="I117" s="593" t="n"/>
      <c r="J117" s="593" t="n"/>
      <c r="K117" s="593" t="n"/>
      <c r="L117" s="593" t="n"/>
      <c r="M117" s="593" t="n"/>
      <c r="N117" s="593" t="n"/>
      <c r="O117" s="593" t="n"/>
      <c r="P117" s="593" t="n"/>
      <c r="Q117" s="593" t="n"/>
      <c r="R117" s="593" t="n"/>
      <c r="S117" s="593" t="n"/>
      <c r="T117" s="593" t="n"/>
      <c r="U117" s="594" t="n"/>
      <c r="V117" s="170" t="n"/>
      <c r="W117" s="110" t="n"/>
      <c r="Y117" s="109" t="n"/>
      <c r="Z117" s="111" t="n"/>
      <c r="AC117" s="168" t="n"/>
      <c r="AD117" s="168">
        <f>IF(AC117="","",AC117*V117)</f>
        <v/>
      </c>
      <c r="AE117" s="110">
        <f>IF(Y117="yes",AD117,"")</f>
        <v/>
      </c>
    </row>
    <row r="118" ht="153" customFormat="1" customHeight="1" s="48">
      <c r="A118" s="34">
        <f>A116+1</f>
        <v/>
      </c>
      <c r="B118" s="456" t="inlineStr">
        <is>
          <t>crp_intro</t>
        </is>
      </c>
      <c r="C118" s="47" t="inlineStr">
        <is>
          <t>crp_intro</t>
        </is>
      </c>
      <c r="D118" s="457" t="inlineStr">
        <is>
          <t>We will now ask you some questions about crop production which apply to you and anyone in your household that is involved in crop production or sales. All questions refer to the crops grown during Rainy season.
1)CONTINUE</t>
        </is>
      </c>
      <c r="E118" s="45">
        <f>LEN(D118)</f>
        <v/>
      </c>
      <c r="F118" s="458" t="inlineStr">
        <is>
          <t>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des pluies. 
1)CONTINUER</t>
        </is>
      </c>
      <c r="G118" s="45">
        <f>LEN(F118)</f>
        <v/>
      </c>
      <c r="H118" s="46" t="inlineStr">
        <is>
          <t>Sasa tutakuuliza baadhi ya maswali kuhusu uzalishaji wa mazao ambayo yanakuhusu wewe na mtu yeyote katika kaya yako anayehusika na uzalishaji au mauzo ya mazao. Maswali yote yanahusu mazao yanayolimwa wakati wa Mvua.
1)ENDELEA</t>
        </is>
      </c>
      <c r="I118" s="45" t="n"/>
      <c r="J118" s="71" t="inlineStr">
        <is>
          <t xml:space="preserve">Mpindieu netukuebeje nkonko idi itangila dienza dia madimi. Nkonko eyi idi itangila wewe ne muntu yonso wa mu nzubu muebe udi wenza mudimu wa didima anyi disumbisha dia bintu. Nkonko yonso idi itangila madimi adibu bakuna mu tshikondo tshia mvula.
1)TUNDUKA
</t>
        </is>
      </c>
      <c r="K118" s="45">
        <f>LEN(J118)</f>
        <v/>
      </c>
      <c r="L118" s="54" t="inlineStr">
        <is>
          <t>Single Choice</t>
        </is>
      </c>
      <c r="M118" s="45" t="inlineStr">
        <is>
          <t>NA</t>
        </is>
      </c>
      <c r="N118" s="45"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O118" s="52" t="inlineStr">
        <is>
          <t>Form Type - Buttons</t>
        </is>
      </c>
      <c r="P118" s="82" t="inlineStr">
        <is>
          <t>NA</t>
        </is>
      </c>
      <c r="Q118" s="58" t="inlineStr">
        <is>
          <t>1 = crp_landsize_num</t>
        </is>
      </c>
      <c r="R118" s="58" t="n"/>
      <c r="S118" s="204"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T118" s="205" t="inlineStr"/>
      <c r="U118" s="217" t="n"/>
      <c r="V118" s="167">
        <f>#REF!</f>
        <v/>
      </c>
      <c r="W118" s="43" t="n"/>
      <c r="Y118" s="109" t="inlineStr">
        <is>
          <t>yes</t>
        </is>
      </c>
      <c r="Z118" s="564" t="n"/>
      <c r="AC118" s="168" t="n">
        <v>7.304072856903076</v>
      </c>
      <c r="AD118" s="168">
        <f>IF(AC118="","",AC118*V118)</f>
        <v/>
      </c>
      <c r="AE118" s="43" t="e">
        <v>#REF!</v>
      </c>
    </row>
    <row r="119" ht="143.25" customFormat="1" customHeight="1" s="220">
      <c r="A119" s="14">
        <f>A118+1</f>
        <v/>
      </c>
      <c r="B119" s="447" t="inlineStr">
        <is>
          <t>crp_landsize_num</t>
        </is>
      </c>
      <c r="C119" s="52" t="inlineStr">
        <is>
          <t>crp_landsize_num</t>
        </is>
      </c>
      <c r="D119" s="448" t="inlineStr">
        <is>
          <t>What is the total size of the land you can cultivate?
[OPERATOR: RECORD THE TOTAL LAND SIZE PROVIDED BY THE RESPONDENT. WRITE 8888888 FOR DON'T KNOW AND 9999999 FOR REFUSED. MEASUREMENT UNIT WILL BE SPECIFIED IN THE FOLLOWING QUESTION.]</t>
        </is>
      </c>
      <c r="E119" s="52">
        <f>LEN(D119)</f>
        <v/>
      </c>
      <c r="F119" s="206" t="inlineStr">
        <is>
          <t>Quelle superficie totale pouvez-vous cultiver?
[OPÉRATEUR/OPÉRATRICE: SAISIR LA TAILLE TOTALE DU TERRAIN SIGNALÉE PAR LE RÉPONDANT. ENTRER 8888888 POUR «NE SAIT PAS» ET 9999999 POUR «REFUSÉ» . L'UNITÉ DE MESURE SERA PRÉCISÉE À LA QUESTION SUIVANTE].</t>
        </is>
      </c>
      <c r="G119" s="52">
        <f>LEN(F119)</f>
        <v/>
      </c>
      <c r="H119" s="71" t="inlineStr">
        <is>
          <t>Shamba unaloweza kulima lina ukubwa gani?
[OPERETERA: REKODI JUMLA YA UKUBWA WA ARDHI ULIOTOLEWA NA MHOJIWA. ANDIKA 8888888 KWA SIJUE NA 9999999 KWA KUKUKATALA. KITENGO CHA KIPIMO KITABASIWA KATIKA SWALI LIFUATALO.]</t>
        </is>
      </c>
      <c r="I119" s="52" t="n"/>
      <c r="J119" s="114" t="inlineStr">
        <is>
          <t xml:space="preserve">Buloba bungi munyi buudi mua kudima?
[ENQUETEUR/TRICE: BUELA BUNENE BUONSO BUA BULOBA BUDI BULOMBOLA KUDI MUENA LUMU. BUELA 8888888 BUA "TSHIENA MUMANYE" NE 9999999 BUA "MUBENE". BUALU BUA KUPIMA NEBULEJIBUE MU LUKONKO LUDI LULONDA ELU].
</t>
        </is>
      </c>
      <c r="K119" s="45">
        <f>LEN(J119)</f>
        <v/>
      </c>
      <c r="L119" s="53" t="inlineStr">
        <is>
          <t>Range</t>
        </is>
      </c>
      <c r="M119" s="52" t="inlineStr">
        <is>
          <t>NA</t>
        </is>
      </c>
      <c r="N119" s="52" t="inlineStr">
        <is>
          <t>NA</t>
        </is>
      </c>
      <c r="O119" s="52" t="inlineStr">
        <is>
          <t>Form Type - TextBox</t>
        </is>
      </c>
      <c r="P119" s="82" t="inlineStr">
        <is>
          <t>NA</t>
        </is>
      </c>
      <c r="Q119" s="59" t="inlineStr">
        <is>
          <t>0-1000000 = crp_landsize_unit
8888888-8888888 = crp_main
9999999-9999999 = crp_main</t>
        </is>
      </c>
      <c r="R119" s="58" t="n"/>
      <c r="S119" s="204" t="inlineStr">
        <is>
          <t>For any response, go to crp_landsize_unit. Range is between 0 and 1000000. For "Don't know" and "Refused", go to crp_main.</t>
        </is>
      </c>
      <c r="T119" s="218" t="inlineStr"/>
      <c r="U119" s="219" t="n"/>
      <c r="V119" s="167">
        <f>#REF!</f>
        <v/>
      </c>
      <c r="W119" s="43" t="n"/>
      <c r="Y119" s="109" t="inlineStr">
        <is>
          <t>yes</t>
        </is>
      </c>
      <c r="Z119" s="564" t="n"/>
      <c r="AC119" s="168" t="n">
        <v>23.93990516662598</v>
      </c>
      <c r="AD119" s="168">
        <f>IF(AC119="","",AC119*V119)</f>
        <v/>
      </c>
      <c r="AE119" s="43" t="e">
        <v>#REF!</v>
      </c>
    </row>
    <row r="120" ht="187" customFormat="1" customHeight="1" s="220">
      <c r="A120" s="14">
        <f>A119+1</f>
        <v/>
      </c>
      <c r="B120" s="447" t="inlineStr">
        <is>
          <t>crp_landsize_unit</t>
        </is>
      </c>
      <c r="C120" s="52" t="inlineStr">
        <is>
          <t>crp_landsize_unit</t>
        </is>
      </c>
      <c r="D120" s="448" t="inlineStr">
        <is>
          <t>Unit of measurement for land size: 
[OPERATOR: DO NOT READ. SINGLE RESPONSE.]
1)Acres
2)Hectares
3)Square meters
4)Square feet
5)$local measurement unit$</t>
        </is>
      </c>
      <c r="E120" s="52">
        <f>LEN(D120)</f>
        <v/>
      </c>
      <c r="F120" s="61" t="inlineStr">
        <is>
          <t>Unité de mesure des terrains cultivés:
 [OPÉRATEUR/OPÉRATRICE: RÉPONSE UNIQUE.]
1)Acres
2)Hectares
3)Mètres carrés
4)Pieds carrés
5)CDF</t>
        </is>
      </c>
      <c r="G120" s="52">
        <f>LEN(F120)</f>
        <v/>
      </c>
      <c r="H120" s="114" t="inlineStr">
        <is>
          <t>Kipimo cha ukubwa wa ardhi:
[OPERATOR: USISOME. JIBU MOJA.]
1)Ekari
2)Hekta
3)Mita za mraba
4)Miguu ya mraba
5)CDF</t>
        </is>
      </c>
      <c r="I120" s="52" t="n"/>
      <c r="J120" s="114" t="inlineStr">
        <is>
          <t>Tshipiminu tshia buloba budibu badima:
[ENQUETEUR/TRICE: BIPWEBO IMWE]
1)Acres
2)Hectares
3)Mètres carrés
4)Pieds carrés
5)CDF</t>
        </is>
      </c>
      <c r="K120" s="45">
        <f>LEN(J120)</f>
        <v/>
      </c>
      <c r="L120" s="53" t="inlineStr">
        <is>
          <t>Single Choice</t>
        </is>
      </c>
      <c r="M120" s="52" t="inlineStr">
        <is>
          <t>NA</t>
        </is>
      </c>
      <c r="N120" s="52" t="inlineStr">
        <is>
          <t>NA</t>
        </is>
      </c>
      <c r="O120" s="52" t="inlineStr">
        <is>
          <t>Form Type - Buttons</t>
        </is>
      </c>
      <c r="P120" s="82" t="inlineStr">
        <is>
          <t>NA</t>
        </is>
      </c>
      <c r="Q120" s="59" t="inlineStr">
        <is>
          <t>1-5 = crp_main</t>
        </is>
      </c>
      <c r="R120" s="449" t="inlineStr">
        <is>
          <t>Based on our understanding, no additional measurement units should be added. Kindly confirm. 
FAO: should be fixed with this version</t>
        </is>
      </c>
      <c r="S120" s="204" t="inlineStr">
        <is>
          <t>if crp_landsize_unit = 1-5, go to crp_main</t>
        </is>
      </c>
      <c r="T120" s="205" t="inlineStr"/>
      <c r="U120" s="450" t="n"/>
      <c r="V120" s="167">
        <f>#REF!</f>
        <v/>
      </c>
      <c r="W120" s="43" t="n"/>
      <c r="Y120" s="109" t="inlineStr">
        <is>
          <t>yes</t>
        </is>
      </c>
      <c r="Z120" s="564" t="n"/>
      <c r="AC120" s="168" t="n">
        <v>2.249462604522705</v>
      </c>
      <c r="AD120" s="168">
        <f>IF(AC120="","",AC120*V120)</f>
        <v/>
      </c>
      <c r="AE120" s="43" t="e">
        <v>#REF!</v>
      </c>
    </row>
    <row r="121" ht="409.6" customFormat="1" customHeight="1" s="48">
      <c r="A121" s="14">
        <f>A120+1</f>
        <v/>
      </c>
      <c r="B121" s="89" t="inlineStr">
        <is>
          <t>crp_main</t>
        </is>
      </c>
      <c r="C121" s="47" t="inlineStr">
        <is>
          <t>crp_main</t>
        </is>
      </c>
      <c r="D121" s="457" t="inlineStr">
        <is>
          <t>What is the main crop that your household grows for food or income generation in Rainy season, if any?
[OPERATOR: SINGLE RESPONSE. "NO CROP PRODUCTION" APPEARS AT THE END OF THE LIST OF OPTIONS.]
1)Rice
2)Millet
3)Sorghum
4)Maize
5)Cassava
6)Potatoe
7)Beans
8)Soybeans
9)Plantains
10)Papaya
11)Groundnut/peanut
12)Coffee
13)Wheat
14)Barley
15)Other Cereal
16)Sweet Potatoes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37)Tomatoes
38)Cucumber
39)Pumpkin
40)Eggplant/aubergine
41)Zucchini
42)Okra
43)Bell pepper
44)Onions
45)Haricot
46)Green peas
47)Fava beans green
48)Other non leafy vegs
49)Orange
50)Lemon
51)Grapefruit
52)Mandarins/clementines
53)Other citrus fruit
54)Sweet Banana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80)Tea
81)Sugarcane
82)Sunflower
83)Other food cash crop
84)Cotton
85)Rubber
86)Jute
87)Fodder
88)Tobacco
89)Qat
90)Other non-food cash crop
91)No crop production
92)DON'T KNOW
93)REFUSED</t>
        </is>
      </c>
      <c r="E121" s="45">
        <f>LEN(D121)</f>
        <v/>
      </c>
      <c r="F121" s="206" t="inlineStr">
        <is>
          <t>Quelle a été la principale culture pratiquée par votre ménage pour se nourrir et générer des revenus pendant la Saison des pluies, si applicable?
[OPÉRATEUR/OPÉRATRICE: RÉPONSE UNIQUE. «AUCUNE PRODUCTION VÉGÉTALE» EST PARMI LES DERNIÈRES OPTIONS, À LA FIN DE LA LISTE.] 
1)Mil
2)Sorgho
3)Maïs
4)Manioc
5)Pommes de terre
6)Haricots
7)Soja
8)Banane plantain
9)Papaye
10)Arachide / cacahuète
11)Café
12)Riz
13)Blé
14)Orge
15)Autres céréales
16)Patates douces
17)Ignames
18)Carottes
19)Chou caraïbe
20)Autres tubercules
21)Lentilles
22)Pois
23)Pois chiches
24)Fève
25)Fève large
26)Autres légumineuses
27)Choux
28)Laitue
29)Epinards-Amaranthe
30)Feuilles de manioc
31)Feuilles de pomme de terre
32)Moringa
33)Oseille Hibiscus / Rosselle
34)Herbes aromatiques [thym/ persil/ menthe/ rocca/ autres]
35)Choux-fleur
36)Autres légumes à feuilles
37)Tomates
38)Concombre
39)Citrouille
40)Aubergines/aubergines
41)Courgettes
42)Okra
43)Poivrons
44)Oignons
45)Haricot 
46)Petit pois
47)Pois fève
48)Autres légumes non feuillus
49)Orange
50)Citron
51)Pamplemousse
52)Tangerine/clémentine
53)Autres agrumes
54)Banane douce
55)Mangue
56)Goyave
57)Ananas
58)Avocat
59)Pastèques
60)Dattes
61)Figues
62)Raisins
63)Olives
64)Pomme
65)Abricot
66)Cerises
67)Pêche/nectarine
68)Fraises
69)Melon
70)Autres fruits
71)Noix de coco
72)Noix de cajou
73)Noix de kola
74)Sésame
75)Noix de bambara
76)Amande
77)Noix
78)Autres fruits à coque
79)Cacao
80)Thé
81)Canne à sucre
82)Tournesol
83)Autres cultures vivrières de rente
84)Coton
85)Caoutchouc
86)Jute
87)Fourrage
88)Tabac
89)Qat
90)Autre culture de rente non alimentaire
91)Pas de production agricole
92)NE SAIT PAS
93)REFUSE</t>
        </is>
      </c>
      <c r="G121" s="45">
        <f>LEN(F121)</f>
        <v/>
      </c>
      <c r="H121" s="459" t="inlineStr">
        <is>
          <t>Je, ni zao gani kuu lililokuzwa na kaya yako kwa ajili ya chakula na mapato katika Msimu huu, kama inatumika?
[OPERATOR: JIBU MOJA. “HAKUNA UZALISHAJI WA MBOGA” NI MIONGONI MWA CHAGUO LA MWISHO, MWISHO WA ORODHA.] 
1) Mil
2)Mtama
3) Mahindi
4) Muhogo
5) Viazi
6) Maharage
7) Soya
8) Plantain
9) Papai
10) Karanga / karanga
11) Kahawa
12)Mchele
13)Ngano
14) Shayiri
15)Nafaka zingine
16)Viazi vitamu
17) Magimbi
18)Karoti
19)Kabichi ya Caribbean
20)Mizizi mingine
21) Dengu
22) Mbaazi
23) Njegere
24) Maharage
25) Maharage mapana
26) Mikunde mingine
27) Kabichi
28) lettuce
29) Mchicha-Amaranth
30) Majani ya muhogo
31) Majani ya viazi
32) Mzunze
33) Sorrel Hibiscus / Rosselle
34) Mimea yenye harufu nzuri [thyme/ parsley/ mint/ rocca/ wengine]
35) Cauliflower
36)Mboga nyingine za majani
37)Nyanya
38)Tango
39)Maboga
40)Biringanya/biringani
41) Zucchini
42)Bamia
43)Pilipili
44) Vitunguu
45) Maharage
46) Mbaazi
47) Maharage ya pea
48)Mboga nyingine zisizo za majani
49) Chungwa
50)Ndimu
51) Zabibu
52)Tangerine/clementine
53)Matunda mengine ya machungwa
54)Ndizi tamu
55)Embe
56) Guava
57)Nanasi
58)Wakili
59)Matikiti maji
60)Tarehe
61)Mtini
62) Zabibu
63)Mizeituni
64) Apple
65)Parachichi
66) Cherry
67)Peach/nectarine
68)Stroberi
69) Tikitikiti
70)Matunda mengine
71)Nazi
72)Korosho
73) Kola karanga
74)Ufuta
75)Bambara nuts
76) Almond
77)Karanga
78)Karanga zingine
79)Kakao
80) Chai
81)Sukari
82)Alizeti
83)Mazao mengine ya chakula cha biashara
84)Pamba
85)Mpira
86) Juti
87) Lishe
88)Tumbaku
89)Kati
90)Mazao mengine yasiyo ya chakula
91) Hakuna uzalishaji wa kilimo
92)SIJUI
93)KUKATALA</t>
        </is>
      </c>
      <c r="I121" s="45" t="n"/>
      <c r="J121" s="398" t="inlineStr">
        <is>
          <t>Kuna munu muka siku ya ku tatisha ku fumba kukola ku ntole ya bikele nene mubu ku koka, sie kimbaluka?
[MUPANGILAYI/MUPANGILAYI YA KUDI: BIPWEBO IMWE. « KUNA KUKOLA KIYANDA YA VIKOLA » KULI MU MIKULU YA BITUNA, MU NTAWI YA KUNYANGA.]
1)Mil
2)Sorgho
3) Matala
4) Tshomba
5) Bilunga
6)Ngunda
7)Nsoya
8) Bibota
9)Ntshinkwenda
10) Tumbela
11)Kafe
12)Losa
13)Bukula
14)Djioji
15)Bikunyibua bikuabu
16)Bilunga
17)Ignames
18)Karote
19)Tshisuku tshia mu Caraïbes
20) Tubercules mikuabu
21)Lentille
22) Nkunde
23) Ngunda mikese
24) Nkunde mukuabu
25)Mutshi mualabale
26)Bikunyibua bikuabu
27) Bisuku
28)Laitu
29) )Epinards-Amaranthe
30) Mabeji a Tshomba
31) Mabeji a bimuma
32) Moringa
33)Oseille Hibiscus / Rosselle
34) Bikunyibua bia mupuya muimpe [thyme/ persil/ menthe/ rocca/ bikuabu]
35) Chou-fleur
36)Mishipa mikuabu ya mabeji
37)Tomate
38)Konkombre
39)Tshimuma
40)Aubergines
41)Zucchini
42)Okra
43)Mamuma
44) Matungulu
45)Nkunda
46)Nkunde
47) Nkunde na Mikese
48)Mishipa mikuabu idi kayiyi ne mabeji
49)Orange
50)Citron
51)Tshimuma tshia tumuma tua mvinyo
52)Tangerine/clementine
53)Mamuma makuabu a agrume
54)Nkondo ya nsongo
55)Mango
56)Guava
57)Tshikata
58)Avocat
59)Pasteque
60)Dattes
61)Mfigi
62)Tumuma tua mvinyo
63)Maolive
64) Pomma
65)Abriko
66)Cerisé
67))Pêche/nectarine
68)Mamuma a fraise
69)Melon
70)Mamuma makuabu
71)Nkoko
72)Mamuma a nkunde
73) Noix de kola
74)Sesame
75)Bambara nuts
76) Amande
77)Mamuma
78)Makunji makuabu
79) Kakao
80)Tyayi
81)Mutshi wa nsukadi
82)Tournesol
83)Bikunyibua bikuabu bia kudia bia makuta
84)Tshilamba
85)Caoutchouc
86)Jute
87) Biakudia bia nyama
88)Makaya
89)Qat
90)Bikunyibua bikuabu bia makuta bidi kabiyi bia kudia
91)KUNA KUKOLA KIYANDA YA VIKOLA
92) TSHIENA MUMANYE
93)MUBENE</t>
        </is>
      </c>
      <c r="K121" s="45">
        <f>LEN(J121)</f>
        <v/>
      </c>
      <c r="L121" s="54" t="inlineStr">
        <is>
          <t>Single Choice</t>
        </is>
      </c>
      <c r="M121" s="45" t="inlineStr">
        <is>
          <t>NA</t>
        </is>
      </c>
      <c r="N121" s="45" t="inlineStr">
        <is>
          <t>NA</t>
        </is>
      </c>
      <c r="O121" s="47" t="inlineStr">
        <is>
          <t>Form Type - Dropdown
IsDemographic - crp_main</t>
        </is>
      </c>
      <c r="P121" s="82" t="inlineStr">
        <is>
          <t>1)1.3
2)1.4
3)1.5
4)2.1
5)2.2
6)3.1
7)3.4
8)7.2
9)7.3
10)8.2
11)9.2
12)1.1
13)1.2
14)1.6
15)1.99
16)2.3
17)2.4
18)2.5
19)2.6
20)2.99
21)3.2
22)3.3
23)3.5
24)3.6
25)3.7
26)3.99
27)4.1
28)4.2
29)4.3
30)4.4
31)4.5
32)4.6
33)4.7
34)4.9
35)4.101
36)4.99
37)5.1
38)5.2
39)5.3
40)5.4
41)5.5
42)5.6
43)5.7
44)5.8
45)5.9
46)5.101
47)5.11
48)5.99
49)6.1
50)6.2
51)6.3
52)6.4
53)6.99
54)7.1
55)7.4
56)7.5
57)7.6
58)7.7
59)7.8
60)7.9
61)7.101
62)7.11
63)7.12
64)7.13
65)7.14
66)7.15
67)7.16
68)7.17
69)7.18
70)7.99
71)8.1
72)8.3
73)8.4
74)8.5
75)8.6
76)8.7
77)8.8
78)8.99
79)9.1
80)9.3
81)9.4
82)9.5
83)9.99
84)10.1
85)10.2
86)10.3
87)10.4
88)10.5
89)10.6
90)10.99
91)777
92)888
93)999</t>
        </is>
      </c>
      <c r="Q121" s="58" t="inlineStr">
        <is>
          <t>1-90 = crp_irrig_source
91 = crp_main_check
92-93 = crp_salesmain</t>
        </is>
      </c>
      <c r="R121" s="114" t="n"/>
      <c r="S121" s="221" t="inlineStr">
        <is>
          <t>if crp_main = any type of crop, go to crp_irrig_source;
if crp_main = "No crop production", go to crp_main_check
if crp_main = "Don't know" or "Refused", go to crp_salesmain</t>
        </is>
      </c>
      <c r="T121" s="222" t="inlineStr"/>
      <c r="U121" s="19" t="n"/>
      <c r="V121" s="167">
        <f>#REF!</f>
        <v/>
      </c>
      <c r="W121" s="43" t="n"/>
      <c r="Y121" s="109" t="inlineStr">
        <is>
          <t>yes</t>
        </is>
      </c>
      <c r="Z121" s="564" t="n"/>
      <c r="AC121" s="168" t="n">
        <v>23.44011688232422</v>
      </c>
      <c r="AD121" s="168">
        <f>IF(AC121="","",AC121*V121)</f>
        <v/>
      </c>
      <c r="AE121" s="43" t="e">
        <v>#REF!</v>
      </c>
    </row>
    <row r="122" ht="152.25" customFormat="1" customHeight="1" s="48">
      <c r="A122" s="14">
        <f>A121+1</f>
        <v/>
      </c>
      <c r="B122" s="89" t="inlineStr">
        <is>
          <t>crp_main_check</t>
        </is>
      </c>
      <c r="C122" s="47" t="inlineStr">
        <is>
          <t>crp_main_check</t>
        </is>
      </c>
      <c r="D122" s="457" t="inlineStr">
        <is>
          <t>Why did you not produce any crops in Rainy season?
[OPERATOR: SINGLE RESPONSE.]
1)Don’t usually produce during this season 
2)Wasn't able to produce [e.g. due to difficulties]</t>
        </is>
      </c>
      <c r="E122" s="45">
        <f>LEN(D122)</f>
        <v/>
      </c>
      <c r="F122" s="458" t="inlineStr">
        <is>
          <t>Pourquoi n'avez-vous pas produit de cultures pendant la Saison des pluies ?
[OPÉRATEUR/OPÉRATRICE: RÉPONSE UNIQUE.]
1)Ne produit habituellement pas pendant cette saison 
2)N'a pas été en mesure de produire [en raison de difficultés/ par ex.]</t>
        </is>
      </c>
      <c r="G122" s="45">
        <f>LEN(F122)</f>
        <v/>
      </c>
      <c r="H122" s="57" t="inlineStr">
        <is>
          <t>Kwa nini hamkuzaa mazao yoyote wakati wa Mvula?
[OPERATOR: JIBU MOJA.]
1)Usizae kwa kawaida msimu huu
2)Haikuweza kuzalisha [k.m. kutokana na matatizo]</t>
        </is>
      </c>
      <c r="I122" s="45" t="n"/>
      <c r="J122" s="71" t="inlineStr">
        <is>
          <t>Bua tshinyi kanuvua bakume bintu mu tshikondo tshia mvula?
[ENQUETEUR/TRICE:BIPWEBO IMWE.]
1)Katu utamba kupatula mu tshikondo etshi to 
2)Katu mua kupatula [bua ntatu. e.g.]</t>
        </is>
      </c>
      <c r="K122" s="45">
        <f>LEN(J122)</f>
        <v/>
      </c>
      <c r="L122" s="54" t="inlineStr">
        <is>
          <t>Single Choice</t>
        </is>
      </c>
      <c r="M122" s="45" t="inlineStr">
        <is>
          <t>NA</t>
        </is>
      </c>
      <c r="N122" s="45" t="inlineStr">
        <is>
          <t>NA</t>
        </is>
      </c>
      <c r="O122" s="47" t="inlineStr">
        <is>
          <t>Form Type - Buttons</t>
        </is>
      </c>
      <c r="P122" s="82" t="inlineStr">
        <is>
          <t>NA</t>
        </is>
      </c>
      <c r="Q122" s="58" t="inlineStr">
        <is>
          <t>1 = crp_salesmain
2 = crp_proddif</t>
        </is>
      </c>
      <c r="R122" s="114" t="n"/>
      <c r="S122" s="223" t="inlineStr">
        <is>
          <t>if crp_main_check = 1, go to crp_salesmain
if crp_main_check = 2, go to crp_proddif</t>
        </is>
      </c>
      <c r="T122" s="222" t="inlineStr"/>
      <c r="U122" s="19" t="n"/>
      <c r="V122" s="167">
        <f>#REF!</f>
        <v/>
      </c>
      <c r="W122" s="43" t="n"/>
      <c r="Y122" s="109" t="inlineStr">
        <is>
          <t>yes</t>
        </is>
      </c>
      <c r="Z122" s="564" t="n"/>
      <c r="AC122" s="168" t="n">
        <v>7.765957355499268</v>
      </c>
      <c r="AD122" s="168">
        <f>IF(AC122="","",AC122*V122)</f>
        <v/>
      </c>
      <c r="AE122" s="43" t="e">
        <v>#REF!</v>
      </c>
    </row>
    <row r="123" ht="221.15" customFormat="1" customHeight="1" s="48">
      <c r="A123" s="14">
        <f>A122+1</f>
        <v/>
      </c>
      <c r="B123" s="447" t="inlineStr">
        <is>
          <t>crp_irrig_source</t>
        </is>
      </c>
      <c r="C123" s="52" t="inlineStr">
        <is>
          <t>crp_irrig_source</t>
        </is>
      </c>
      <c r="D123" s="448"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23" s="52">
        <f>LEN(D123)</f>
        <v/>
      </c>
      <c r="F123" s="60" t="inlineStr">
        <is>
          <t>Quelle est normalement votre principale source d'eau pour la production de {crp_main}? 
[OPÉRATEUR/OPÉRATRICE: RÉPONSE UNIQUE.]
1)Pluie
2)Eaux souterraines
3)Eaux de surface naturelles [rivière / lac / ruisseau / étang / etc.]
4)Point d'eau artificiel [canal / barrage /etc.] 
5)Système public d'approvisionnement en eau [par ex. eau du robinet]
6)Autre [préciser]
7)NE SAIT PAS
8)REFUSÉ</t>
        </is>
      </c>
      <c r="G123" s="52">
        <f>LEN(F123)</f>
        <v/>
      </c>
      <c r="H123" s="114" t="inlineStr">
        <is>
          <t>Kwa kawaida unapata wapi maji kwa ajili ya uzalishaji wa {crp_main}?
[OPERATOR: JIBU MOJA.]
1)Kunyeshewa na mvula
2)Maji ya ardhini
3)Maji ya asili ya uso [mto / ziwa / mkondo / bwawa / nk]
4)Sehemu ya maji iliyojengwa [mfereji / bwawa / nk]
5)Mfumo wa usambazaji wa maji kwa umma [k.m. maji ya bomba]
6)Yingine [taja]
7)SIJUE
8)KUKATALA</t>
        </is>
      </c>
      <c r="I123" s="52" t="n"/>
      <c r="J123" s="114" t="inlineStr">
        <is>
          <t xml:space="preserve">Ntshinyi tshiudi upeta mayi a bungi bua dienza dia {crp_main}?
[ENQUETEUR/TRICE:BIPWEBO IMWE.]
1)Mvula
2)Mâyi a muinshi mua buloba
3)Mâyi a pa mutu pa buloba [musulu/dijiba/musulu/dijiba/ne bikuabu.]
4)Muaba wa mayi [kanal/dijiba/etc.] 
5)Njila wa mayi a bantu bonso [e.g. mayi a mu pompi]
6)Makuabu [leja]
7)KI MUMANYE
8)MUBENE
</t>
        </is>
      </c>
      <c r="K123" s="45">
        <f>LEN(J123)</f>
        <v/>
      </c>
      <c r="L123" s="53" t="inlineStr">
        <is>
          <t>Open Ended-Single Choice</t>
        </is>
      </c>
      <c r="M123" s="52" t="inlineStr">
        <is>
          <t>NA</t>
        </is>
      </c>
      <c r="N123" s="52" t="inlineStr">
        <is>
          <t>NA</t>
        </is>
      </c>
      <c r="O123" s="52" t="inlineStr">
        <is>
          <t>Form Type - RadioList</t>
        </is>
      </c>
      <c r="P123" s="82" t="inlineStr">
        <is>
          <t>NA</t>
        </is>
      </c>
      <c r="Q123" s="59" t="inlineStr">
        <is>
          <t>1 = crp_area_change
2-6 = crp_irrig_system
7,8 = crp_area_change</t>
        </is>
      </c>
      <c r="R123" s="114" t="n"/>
      <c r="S123" s="223" t="inlineStr">
        <is>
          <t>if crp_irrig_source = 1-8, go to [crp_area_change or optional question]</t>
        </is>
      </c>
      <c r="T123" s="222" t="inlineStr"/>
      <c r="U123" s="10" t="n"/>
      <c r="V123" s="167">
        <f>#REF!</f>
        <v/>
      </c>
      <c r="W123" s="43" t="n"/>
      <c r="Y123" s="109" t="inlineStr">
        <is>
          <t>yes</t>
        </is>
      </c>
      <c r="Z123" s="564" t="n"/>
      <c r="AC123" s="168" t="n">
        <v>16.48175621032715</v>
      </c>
      <c r="AD123" s="168">
        <f>IF(AC123="","",AC123*V123)</f>
        <v/>
      </c>
      <c r="AE123" s="43" t="e">
        <v>#REF!</v>
      </c>
    </row>
    <row r="124" ht="204" customFormat="1" customHeight="1" s="48">
      <c r="A124" s="14">
        <f>A123+1</f>
        <v/>
      </c>
      <c r="B124" s="412" t="inlineStr">
        <is>
          <t>crp_irrig_system</t>
        </is>
      </c>
      <c r="C124" s="16" t="inlineStr">
        <is>
          <t>crp_irrig_system</t>
        </is>
      </c>
      <c r="D124" s="61" t="inlineStr">
        <is>
          <t>Do you [your community] use a pump for your own [the communal] irrigation system?
[OPERATOR: SINGLE RESPONSE.]
1)No - everything works on gravity
2)Yes - there is a communal diesel/gas pump
3)Yes - there is a communal manual pump
4)Yes - there is a manual pump in my field
5)Yes - there is a diesel pump in my field
6)DON'T KNOW
7)REFUSED</t>
        </is>
      </c>
      <c r="E124" s="16">
        <f>LEN(D124)</f>
        <v/>
      </c>
      <c r="F124" s="206" t="inlineStr">
        <is>
          <t>Utilisez-vous [ou votre communauté] une pompe pour votre propre système d'irrigation?
[OPÉRATEUR/OPÉRATRICE: RÉPONSE UNIQUE.]
1)Non - tout fonctionne par gravité
2)Oui - une pompe commune diesel/gaz
3)Oui - une pompe manuelle commune
4) Oui - une pompe manuelle située dans mon champ
5)Oui - une pompe diesel située dans mon champ
6)NE SAIT PAS
7)REFUSÉ</t>
        </is>
      </c>
      <c r="G124" s="16">
        <f>LEN(F124)</f>
        <v/>
      </c>
      <c r="H124" s="460" t="inlineStr">
        <is>
          <t>Je, ninyi [jamii yako] mnatumia pampu kwa [matumizi] yenu wenyewe mfumo wenu wa umwagiliaji?
[MWENDESHAJI: JIBU MOJA.]
1)Hapana - kila kitu kinatumia mvuto
2)Yes - kuna pampu ya mafuta ya dizeli/gesi ya pamoja
3)Ndiyo - kuna pampu ya mikono ya pamoja
4)Ndiyo - kuna pampu ya mikono shambani kwangu
5)Ndiyo - kuna pampu ya dizeli shambani kwangu
6)SIJUE
7)NILIKUKATALA</t>
        </is>
      </c>
      <c r="I124" s="133" t="n"/>
      <c r="J124" s="206" t="inlineStr">
        <is>
          <t>Wewe [anyi bena mu tshimenga tshienu] nudi nuenza mudimu ne pompe bua tshiamu tshienu tshia kuela mâyi anyi?
[ENQUETEUR/TRICE:Bipwebo imwe.]
1)TO - bionso bidi bienza mudimu ku bukole budi bukokela bintu panshi
2)Eyowa - pompe wa diesel/gaz wa pa tshibidilu
3)Eyowa - pompe wa ku bianza
4) Eyowa - pompe wa ku bianza udi mu budimi buanyi
5)Eyowa - pompe wa diesel udi mu budimi buanyi
6)TSHIENA MUMANYE
7) MUBENGA</t>
        </is>
      </c>
      <c r="K124" s="45">
        <f>LEN(J124)</f>
        <v/>
      </c>
      <c r="L124" s="131" t="inlineStr">
        <is>
          <t>Single Choice</t>
        </is>
      </c>
      <c r="M124" s="133" t="inlineStr">
        <is>
          <t>NA</t>
        </is>
      </c>
      <c r="N124" s="133" t="inlineStr">
        <is>
          <t>NA</t>
        </is>
      </c>
      <c r="O124" s="133" t="inlineStr">
        <is>
          <t>Form Type - Buttons</t>
        </is>
      </c>
      <c r="P124" s="25" t="inlineStr">
        <is>
          <t>NA</t>
        </is>
      </c>
      <c r="Q124" s="208" t="inlineStr">
        <is>
          <t>1-7 = crp_irrig_pay</t>
        </is>
      </c>
      <c r="R124" s="60" t="n"/>
      <c r="S124" s="224" t="inlineStr">
        <is>
          <t>if crp_irrig_system = 1-7, go to [crp_area_change or optional question]</t>
        </is>
      </c>
      <c r="T124" s="218" t="inlineStr"/>
      <c r="U124" s="10" t="n"/>
      <c r="V124" s="167" t="n"/>
      <c r="W124" s="43" t="n"/>
      <c r="Y124" s="50" t="inlineStr">
        <is>
          <t>no</t>
        </is>
      </c>
      <c r="Z124" s="564" t="n"/>
      <c r="AC124" s="169" t="n"/>
      <c r="AD124" s="169" t="n"/>
      <c r="AE124" s="43" t="inlineStr"/>
    </row>
    <row r="125" ht="188.25" customFormat="1" customHeight="1" s="48">
      <c r="A125" s="14">
        <f>A124+1</f>
        <v/>
      </c>
      <c r="B125" s="412" t="inlineStr">
        <is>
          <t>crp_irrig_pay</t>
        </is>
      </c>
      <c r="C125" s="16" t="inlineStr">
        <is>
          <t>crp_irrig_pay</t>
        </is>
      </c>
      <c r="D125" s="61" t="inlineStr">
        <is>
          <t>Do you have to pay for water rights [e.g. water rights, communal infrastructure maintenance, gas for communal pump, etc.]? 
[OPERATOR: SINGLE RESPONSE.]
1)YES
2)NO
3)DON'T KNOW
4)REFUSED</t>
        </is>
      </c>
      <c r="E125" s="16">
        <f>LEN(D125)</f>
        <v/>
      </c>
      <c r="F125" s="206" t="inlineStr">
        <is>
          <t>Devez-vous payer pour avoir accès à l'eau [par exemple, droits à l'eau, entretien des infrastructures communes, gaz pour la pompe commune, etc.]? 
[OPÉRATEUR/OPÉRATRICE: RÉPONSE UNIQUE.]
1)OUI
2)NON
3)NE SAIT PAS
4)REFUSÉ</t>
        </is>
      </c>
      <c r="G125" s="16">
        <f>LEN(F125)</f>
        <v/>
      </c>
      <c r="H125" s="206" t="inlineStr">
        <is>
          <t>Je, unalazimika kulipa kwa haki za maji [kwa mfano: haki za maji, matengenezo ya miundombinu ya pamoja, gesi kwa pampu ya pamoja, n.k.]? 
[OPERATOR: JIBU MOJA.]
1)NDIYO
2)HAPANA
3)SIJUE
4)KUKATALA</t>
        </is>
      </c>
      <c r="I125" s="133" t="n"/>
      <c r="J125" s="206" t="inlineStr">
        <is>
          <t>Udiku ne tshia kufuta bua kupeta mayi [tshilejilu: bukenji bua mayi, dilongolola dia bintu bia mudimu bia bantu bonso, gaz wa pompe wa bantu bonso, ne bikuabu] anyi?
[ENQUETEUR/TRICE:Bipwebo imwe.]
1) EYOWA
2) TO
3) TSHIENA MUMANYE
4)MUBENE</t>
        </is>
      </c>
      <c r="K125" s="45">
        <f>LEN(J125)</f>
        <v/>
      </c>
      <c r="L125" s="131" t="inlineStr">
        <is>
          <t>Single Choice</t>
        </is>
      </c>
      <c r="M125" s="133" t="inlineStr">
        <is>
          <t>NA</t>
        </is>
      </c>
      <c r="N125" s="133" t="inlineStr">
        <is>
          <t>NA</t>
        </is>
      </c>
      <c r="O125" s="133" t="inlineStr">
        <is>
          <t>Form Type - Buttons</t>
        </is>
      </c>
      <c r="P125" s="25" t="inlineStr">
        <is>
          <t>NA</t>
        </is>
      </c>
      <c r="Q125" s="208" t="inlineStr">
        <is>
          <t>1-4 = crp_seed_supply</t>
        </is>
      </c>
      <c r="R125" s="60" t="n"/>
      <c r="S125" s="224" t="inlineStr">
        <is>
          <t>if crp_irrig_pay = 1-4, go to [crp_area_change or optional question]</t>
        </is>
      </c>
      <c r="T125" s="218" t="inlineStr"/>
      <c r="U125" s="10" t="n"/>
      <c r="V125" s="167" t="n"/>
      <c r="W125" s="43" t="n"/>
      <c r="Y125" s="50" t="inlineStr">
        <is>
          <t>no</t>
        </is>
      </c>
      <c r="Z125" s="564" t="n"/>
      <c r="AC125" s="169" t="n"/>
      <c r="AD125" s="169" t="n"/>
      <c r="AE125" s="43" t="inlineStr"/>
    </row>
    <row r="126" ht="255" customFormat="1" customHeight="1" s="48">
      <c r="A126" s="14">
        <f>A125+1</f>
        <v/>
      </c>
      <c r="B126" s="412" t="inlineStr">
        <is>
          <t>crp_seed_supply</t>
        </is>
      </c>
      <c r="C126" s="16" t="inlineStr">
        <is>
          <t>crp_seed_supply
1) crp_seed_ownprod
2) crp_seed_market
3) crp_seed_company
4) crp_seed_ngo
5) crp_seed_organized_community
6) crp_seed_gov
7) crp_seed_relatives_friends
8) crp_seed_other
9) crp_seed_dk
10) crp_seed_ref</t>
        </is>
      </c>
      <c r="D126" s="61"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26" s="16">
        <f>LEN(D126)</f>
        <v/>
      </c>
      <c r="F126" s="60" t="inlineStr">
        <is>
          <t>Où vous procurez-vous habituellement vos semences?
[OPÉRATEUR/OPÉRATRICE: PLUSIEURS RÉPONSES POSSIBLES.]
1)Propre production
2)Marché local ou magasin / négociant d'intrants agricoles
3)Entreprises privées de semences
4)ONG
5)Banques de semences communautaires / réseaux de cultivateurs / associations de cultivateurs / etc.
6)Gouvernement [par ex./ ministère de l'Agriculture]
7)Famille ou amis 
8)Autre
9)NE SAIT PAS
10)REFUSÉ</t>
        </is>
      </c>
      <c r="G126" s="16">
        <f>LEN(F126)</f>
        <v/>
      </c>
      <c r="H126" s="60" t="inlineStr">
        <is>
          <t>Kwa kawaida unanunua mbegu zako kutoka kwa nani?
[OPERATOR: MAJIBU MENGI YANAWEZEKANA.]
1)Uzalishaji mwenyewe
2)Soko la ndani au duka la pembejeo za kilimo/mfanyabiashara
3)Kampuni binafsi ya mbegu
4)NGOs
5)Benki za jamii za mbegu/mitandao ya wakulima/chama cha wakulima/n.k.
6)Serikali [k.m. MOA]
7)Jamaa au marafiki
8)Yingine 
9)SIJUE
10)KUKATALA</t>
        </is>
      </c>
      <c r="I126" s="133" t="n"/>
      <c r="J126" s="206" t="inlineStr">
        <is>
          <t>Utu upeta ntete yebe penyi?
[ENQUETEUR/TRICE: MANDAMUNA MANYI ADI MUA KUENZA.]
1)Dienza dia bintu bia kudima
2)Mu tshisalu tshia muaba udibu basombele anyi mu tshisalu tshia bintu bia madimi
3)Bibambalu bia ntete bia pa nkaya
4)Ma ONG
5)Bibambalu bia ntete bia mu tshisumbu/bisumbu bia badimi/bisumbu bia badimi/ne bikuabu.
6)Mbulamatadi [e.g./ Ministère of Agriculture Agriculture]
7)Bena mu dîku anyi balunda 
8)Bikuabu
9)TSHIENA MUMANYE
10)MUBENE</t>
        </is>
      </c>
      <c r="K126" s="45">
        <f>LEN(J126)</f>
        <v/>
      </c>
      <c r="L126" s="131" t="inlineStr">
        <is>
          <t>Select All That Apply</t>
        </is>
      </c>
      <c r="M126" s="133" t="inlineStr">
        <is>
          <t>NA</t>
        </is>
      </c>
      <c r="N126" s="133" t="inlineStr">
        <is>
          <t>NA</t>
        </is>
      </c>
      <c r="O126" s="133" t="inlineStr">
        <is>
          <t>Form Type - Checklist
9,10 = IsNone</t>
        </is>
      </c>
      <c r="P126" s="25" t="inlineStr">
        <is>
          <t>1)crp_seed_ownprod
2)crp_seed_market
3)crp_seed_company
4)crp_seed_ngo
5)crp_seed_organized_community
6)crp_seed_gov
7)crp_seed_relatives_friends
8)crp_seed_other
9)crp_seed_dk
10)crp_seed_ref</t>
        </is>
      </c>
      <c r="Q126" s="461" t="inlineStr">
        <is>
          <t>1-10 = crp_area_change</t>
        </is>
      </c>
      <c r="R126" s="60" t="n"/>
      <c r="S126" s="225" t="inlineStr">
        <is>
          <t>if crp_seed_supply = 1-10, go to crp_area_change</t>
        </is>
      </c>
      <c r="T126" s="218" t="inlineStr"/>
      <c r="U126" s="10" t="n"/>
      <c r="V126" s="167">
        <f>#REF!</f>
        <v/>
      </c>
      <c r="W126" s="43" t="n"/>
      <c r="Y126" s="50" t="inlineStr">
        <is>
          <t>no</t>
        </is>
      </c>
      <c r="Z126" s="564" t="n"/>
      <c r="AC126" s="169" t="n">
        <v>18.51111030578613</v>
      </c>
      <c r="AD126" s="169">
        <f>IF(AC126="","",AC126*V126)</f>
        <v/>
      </c>
      <c r="AE126" s="43" t="inlineStr"/>
    </row>
    <row r="127" ht="204" customFormat="1" customHeight="1" s="48">
      <c r="A127" s="14">
        <f>A126+1</f>
        <v/>
      </c>
      <c r="B127" s="63" t="inlineStr">
        <is>
          <t>crp_area_change</t>
        </is>
      </c>
      <c r="C127" s="403" t="inlineStr">
        <is>
          <t>crp_area_change</t>
        </is>
      </c>
      <c r="D127" s="448" t="inlineStr">
        <is>
          <t>How did the area planted for {crp_main} from Rainy season compare to last year?
[OPERATOR: SINGLE RESPONSE.]
1)A lot more [increased by more than 50%]
2)Slightly more
3)Same
4)Slightly less
5)A lot less [less than half as much]
6)DON'T KNOW
7)REFUSED</t>
        </is>
      </c>
      <c r="E127" s="52">
        <f>LEN(D127)</f>
        <v/>
      </c>
      <c r="F127" s="60" t="inlineStr">
        <is>
          <t>Comment estimez-vous la superficie plantée de {crp_main} pour la Saison des pluies par rapport à l'année dernière?
[OPÉRATEUR/OPÉRATRICE: RÉPONSE UNIQUE.]
1)Très supérieure [augmentation de plus de 50%]
2)Légèrement supérieure
3)Identique
4)Légèrement inférieure
5)Très inférieure [moins de la moitié]
6)NE SAIT PAS
7)REFUSÉ</t>
        </is>
      </c>
      <c r="G127" s="52">
        <f>LEN(F127)</f>
        <v/>
      </c>
      <c r="H127" s="462" t="inlineStr">
        <is>
          <t>Je, unakadiriaje eneo lililopandwa la {crp_main} kwa Msimu wa sasa ikilinganishwa na mwaka jana?
[OPERATOR: JIBU MOJA.]
1)Juu sana [ongezeko la zaidi ya 50%]
2)Juu kidogo
3)Sawa
4)Chini kidogo
5)Chini sana [chini ya nusu]
6)SIJUE
7)KUKATALA</t>
        </is>
      </c>
      <c r="I127" s="52" t="n"/>
      <c r="J127" s="114" t="inlineStr">
        <is>
          <t>Mmunyi muudi wela meji bua bunene bua madimi a {crp_main} bua tshikondo tshia mvula pa kumona tshidimu tshishale?
[ENQUETEUR/TRICE:Bipwebo imwe.]
1)Mubandile bikole [divulangana dia kupita pa 50%]
2)Mubandile kakese
3)Muomumue
4)Mupuekele kakese
5)Mupuekele bikole [muinshi mua tshitupa]
6)TSHIENA MUMANYE
7)MUBENE</t>
        </is>
      </c>
      <c r="K127" s="45">
        <f>LEN(J127)</f>
        <v/>
      </c>
      <c r="L127" s="56" t="inlineStr">
        <is>
          <t>Single Choice</t>
        </is>
      </c>
      <c r="M127" s="52" t="inlineStr">
        <is>
          <t>NA</t>
        </is>
      </c>
      <c r="N127" s="52" t="inlineStr">
        <is>
          <t>NA</t>
        </is>
      </c>
      <c r="O127" s="52" t="inlineStr">
        <is>
          <t>Form Type - Buttons</t>
        </is>
      </c>
      <c r="P127" s="82" t="inlineStr">
        <is>
          <t>NA</t>
        </is>
      </c>
      <c r="Q127" s="59" t="inlineStr">
        <is>
          <t>1-7 = crp_harv_change</t>
        </is>
      </c>
      <c r="R127" s="114" t="n"/>
      <c r="S127" s="226" t="inlineStr">
        <is>
          <t>if crp_area_change = 1-7, go to crp_harv_change</t>
        </is>
      </c>
      <c r="T127" s="208" t="inlineStr"/>
      <c r="U127" s="10" t="n"/>
      <c r="V127" s="167">
        <f>#REF!</f>
        <v/>
      </c>
      <c r="W127" s="43" t="n"/>
      <c r="Y127" s="109" t="inlineStr">
        <is>
          <t>yes</t>
        </is>
      </c>
      <c r="Z127" s="564" t="n"/>
      <c r="AC127" s="168" t="n">
        <v>20.30868148803711</v>
      </c>
      <c r="AD127" s="168">
        <f>IF(AC127="","",AC127*V127)</f>
        <v/>
      </c>
      <c r="AE127" s="43" t="e">
        <v>#REF!</v>
      </c>
    </row>
    <row r="128" ht="246.75" customFormat="1" customHeight="1" s="48">
      <c r="A128" s="14">
        <f>A127+1</f>
        <v/>
      </c>
      <c r="B128" s="447" t="inlineStr">
        <is>
          <t>crp_harv_change</t>
        </is>
      </c>
      <c r="C128" s="52" t="inlineStr">
        <is>
          <t>crp_harv_change</t>
        </is>
      </c>
      <c r="D128" s="428" t="inlineStr">
        <is>
          <t>How does the $expected or nothing$ harvest of {crp_main} in the Rainy season compare to last year? 
[OPERATOR: SINGLE RESPONSE.]
1)A lot more [increased by more than 50%]
2)Slightly more
3)Same
4)Slightly less
5)A lot less [less than half as much]
6)DON'T KNOW
7)REFUSED</t>
        </is>
      </c>
      <c r="E128" s="52" t="n">
        <v>259</v>
      </c>
      <c r="F128" s="114" t="inlineStr">
        <is>
          <t>Comment estimez-vous la récolte attendue de {crp_main} pour la Saison des pluies par rapport à l'année dernière?
[OPÉRATEUR/OPÉRATRICE: RÉPONSE UNIQUE.]
1)Très supérieure [augmentation de plus de 50%]
2)Légèrement supérieure
3)Identique
4)Légèrement inférieure
5)Très inférieure [moins de la moitié]
6)NE SAIT PAS
7)REFUSÉ</t>
        </is>
      </c>
      <c r="G128" s="52">
        <f>LEN(F128)</f>
        <v/>
      </c>
      <c r="H128" s="462" t="inlineStr">
        <is>
          <t>Je, unakadiria vipi mavuno ya {crp_main} kwa Msimu wa sasa ikilinganishwa na mwaka jana?
[OPERATOR: JIBU MOJA.]
1)Juu zaidi [zaidi ya 50% ongezeko]
2)Juu kidogo
3)Sawa
4)Chini kidogo
5)Chini sana [chini ya nusu]
6)SIJUE
7)KUKATALA</t>
        </is>
      </c>
      <c r="I128" s="52" t="n"/>
      <c r="J128" s="114" t="inlineStr">
        <is>
          <t>Mmunyi muudi wela meji bua dinowa dia {crp_main} mu tshikondo tshia mvula patudi tufuanyikija ne tshidimu tshishale?
[ENQUETEUR/TRICE:Bipwebo imwe.]
1)Mubandile bikole [divulangana dia kupita pa 50%]
2)Mubandile kakese
3)Muomumue
4)Mupuekele kakese
5)Mupuekele bikole [muinshi mua tshitupa]
6)TSHIENA MUMANYE
7)MUBENE</t>
        </is>
      </c>
      <c r="K128" s="45">
        <f>LEN(J128)</f>
        <v/>
      </c>
      <c r="L128" s="56" t="inlineStr">
        <is>
          <t>Single Choice</t>
        </is>
      </c>
      <c r="M128" s="52" t="inlineStr">
        <is>
          <t>NA</t>
        </is>
      </c>
      <c r="N128" s="52" t="inlineStr">
        <is>
          <t>NA</t>
        </is>
      </c>
      <c r="O128" s="52" t="inlineStr">
        <is>
          <t>Form Type - Buttons</t>
        </is>
      </c>
      <c r="P128" s="82" t="inlineStr">
        <is>
          <t>NA</t>
        </is>
      </c>
      <c r="Q128" s="51" t="inlineStr">
        <is>
          <t>1-7 = crp_harv_vol</t>
        </is>
      </c>
      <c r="R128" s="57" t="n"/>
      <c r="S128" s="227" t="inlineStr">
        <is>
          <t>if crp_harv_change = 1-7, go to [crp_proddif or crp_harv_vol]</t>
        </is>
      </c>
      <c r="T128" s="228" t="inlineStr"/>
      <c r="U128" s="38" t="n"/>
      <c r="V128" s="167">
        <f>#REF!</f>
        <v/>
      </c>
      <c r="W128" s="43" t="n"/>
      <c r="Y128" s="109" t="inlineStr">
        <is>
          <t>yes</t>
        </is>
      </c>
      <c r="Z128" s="564" t="n"/>
      <c r="AC128" s="168" t="n">
        <v>15.44861221313477</v>
      </c>
      <c r="AD128" s="168">
        <f>IF(AC128="","",AC128*V128)</f>
        <v/>
      </c>
      <c r="AE128" s="43" t="e">
        <v>#REF!</v>
      </c>
    </row>
    <row r="129" ht="184.5" customFormat="1" customHeight="1" s="48">
      <c r="A129" s="14">
        <f>A128+1</f>
        <v/>
      </c>
      <c r="B129" s="451" t="inlineStr">
        <is>
          <t>crp_harv_vol</t>
        </is>
      </c>
      <c r="C129" s="452" t="inlineStr">
        <is>
          <t>crp_harv_vol</t>
        </is>
      </c>
      <c r="D129" s="15" t="inlineStr">
        <is>
          <t>How much [threshed] {crp_main} did you harvest this Rainy season?
[OPERATOR: RECORD THE RESPONSE GIVEN. UNIT OF MEASUREMENT TO BE SPECIFIED IN NEXT QUESTION. ENTER 8888888 FOR DON'T KNOW &amp; 9999999 FOR REFUSED, TO BE USED RARELY - PROBE!]</t>
        </is>
      </c>
      <c r="E129" s="16" t="n">
        <v>238</v>
      </c>
      <c r="F129" s="15" t="inlineStr">
        <is>
          <t>Quelle quantité [battue] de {crp_main} avez-vous récoltée cette Saison des pluies?
[OPÉRATEUR/OPÉRATRICE:  SAISIR LA RÉPONSE DONNÉE. L'UNITÉ DE MESURE DOIT ÊTRE SPÉCIFIÉE À LA QUESTION SUIVANTE. SAISIR 8888888 POUR «NE SAIT PAS» ET 9999999 POUR «REFUSÉ», À UTILISER LE MOINS POSSIBLE - DEMANDER DES PRÉCISIONS!]</t>
        </is>
      </c>
      <c r="G129" s="16">
        <f>LEN(F129)</f>
        <v/>
      </c>
      <c r="H129" s="60" t="inlineStr">
        <is>
          <t>Je, umekusanya [beat] kiasi gani cha {crp_main} Msimu huu wa sasa?
[OPERATOR: WEKA MAJIBU ULIYOPEWA. KITENGO CHA KIPIMO LAZIMA KIBAINISHWE KATIKA SWALI LIFUATALO. INGIA 8888888 KWA “SIJUE” NA 9999999 KWA “KUKATALA”, TUMIA KADRI IWEZEKANAVYO - OMBA UFAFANUZI!]</t>
        </is>
      </c>
      <c r="I129" s="16" t="n"/>
      <c r="J129" s="453" t="inlineStr">
        <is>
          <t xml:space="preserve">Bungi bungi kayi bua {crp_main} buudi munowe mu tshikondo tshia mvula etshi?
[ENQUETEUR/TRICE: BUELA DIANDAMUNA DIDI MUFIKE. BUALU BUA KUPIMA BUDI BUA KULEJA MU LUKONKO LUDI LULONDA. BUELA 8888888 BUA "TSHIENA MUMANYE" NE 9999999 BUA "MUBENE", ENZA MUSHINDU MUKESE - LOMBA BUA KUMVUIJA!]
</t>
        </is>
      </c>
      <c r="K129" s="45">
        <f>LEN(J129)</f>
        <v/>
      </c>
      <c r="L129" s="454" t="inlineStr">
        <is>
          <t>Range</t>
        </is>
      </c>
      <c r="M129" s="16" t="inlineStr">
        <is>
          <t>NA</t>
        </is>
      </c>
      <c r="N129" s="16" t="inlineStr">
        <is>
          <t>NA</t>
        </is>
      </c>
      <c r="O129" s="16" t="inlineStr">
        <is>
          <t>Form Type - TextBox</t>
        </is>
      </c>
      <c r="P129" s="25" t="inlineStr">
        <is>
          <t>NA</t>
        </is>
      </c>
      <c r="Q129" s="29" t="inlineStr">
        <is>
          <t>1-1000000 = crp_harv_unit
8888888-8888888 =  crp_proddif
9999999-9999999 =  crp_proddif</t>
        </is>
      </c>
      <c r="R129" s="455" t="inlineStr">
        <is>
          <t>GeoPoll: Updated "$season$" to "saison en cours" for all relevant questions. 
FAO: should be fixed with this version</t>
        </is>
      </c>
      <c r="S129" s="229" t="inlineStr">
        <is>
          <t>For any response, go to crp_harv_unit. For "Don't know" or "Refused", go to crp_proddif</t>
        </is>
      </c>
      <c r="T129" s="230" t="inlineStr"/>
      <c r="U129" s="580" t="inlineStr">
        <is>
          <t xml:space="preserve">Keep this block of questions together, if used.
</t>
        </is>
      </c>
      <c r="V129" s="167">
        <f>#REF!</f>
        <v/>
      </c>
      <c r="W129" s="43" t="n"/>
      <c r="Y129" s="50" t="inlineStr">
        <is>
          <t>no</t>
        </is>
      </c>
      <c r="Z129" s="564" t="n"/>
      <c r="AC129" s="169" t="n">
        <v>30.34391593933105</v>
      </c>
      <c r="AD129" s="169">
        <f>IF(AC129="","",AC129*V129)</f>
        <v/>
      </c>
      <c r="AE129" s="43" t="inlineStr"/>
    </row>
    <row r="130" ht="221.15" customFormat="1" customHeight="1" s="48">
      <c r="A130" s="14">
        <f>A129+1</f>
        <v/>
      </c>
      <c r="B130" s="451" t="inlineStr">
        <is>
          <t>crp_harv_unit</t>
        </is>
      </c>
      <c r="C130" s="452" t="inlineStr">
        <is>
          <t>crp_harv_unit</t>
        </is>
      </c>
      <c r="D130" s="463" t="inlineStr">
        <is>
          <t>Unit of measurement for harvested {crp_main} :
[OPERATOR: SINGLE SELECTION]
1)Kilograms [kgs]
2)Tonnes
3)Ounces
4)Pounds
5)Bags
6)Boxes
7)Bundles
8)Packets
9)Other [specify]</t>
        </is>
      </c>
      <c r="E130" s="16" t="n">
        <v>175</v>
      </c>
      <c r="F130" s="463" t="inlineStr">
        <is>
          <t>Unité de mesure pour la/le {crp_main} récolté[e]:
[OPÉRATEUR/OPÉRATRICE: RÉPONSE UNIQUE.]
1)Kilogrammes [kg]
2)Tonnes
3)Onces
4)Livres
5)Sacs
6)Boîtes
7)Fagots
8)Paquets
9)Autre [préciser]</t>
        </is>
      </c>
      <c r="G130" s="16">
        <f>LEN(F130)</f>
        <v/>
      </c>
      <c r="H130" s="442" t="inlineStr">
        <is>
          <t>Kipimo cha kipimo cha {crp_main} kilichovunwa:
[OPERATOR: JIBU MOJA.]
1)Kilo [kgs]
2)Tani
3)Onzi
4)Pauni
5)Mifuko
6)Masanduku
7)Vifungu
8)Pakiti
9)Yingine [taja]</t>
        </is>
      </c>
      <c r="I130" s="16" t="n"/>
      <c r="J130" s="60" t="inlineStr">
        <is>
          <t xml:space="preserve">Tshipiminu tshia {crp_main} tshipeta:
[ENQUETEUR/TRICE:BIPWEBO IMWE.]
1)Kilogrammes [kg]
2)Tonnes
3)Onces
4)Livres
5)Sacs
6)Boîtes
7)Fagots
8)Paquets
9)Mukwabu  [préciser]
</t>
        </is>
      </c>
      <c r="K130" s="45">
        <f>LEN(J130)</f>
        <v/>
      </c>
      <c r="L130" s="454" t="inlineStr">
        <is>
          <t>Open Ended-Single Choice</t>
        </is>
      </c>
      <c r="M130" s="16" t="inlineStr">
        <is>
          <t>NA</t>
        </is>
      </c>
      <c r="N130" s="16" t="inlineStr">
        <is>
          <t>NA</t>
        </is>
      </c>
      <c r="O130" s="16" t="inlineStr">
        <is>
          <t>Form Type - RadioList
IsDemographic - crp_harv_unit</t>
        </is>
      </c>
      <c r="P130" s="25" t="inlineStr">
        <is>
          <t>NA</t>
        </is>
      </c>
      <c r="Q130" s="29" t="inlineStr">
        <is>
          <t>1-4 = crp_harv_lastyr
5-9 = crp_harv_unit_kg</t>
        </is>
      </c>
      <c r="R130" s="132" t="n"/>
      <c r="S130" s="229" t="inlineStr">
        <is>
          <t>If crp_harv_unit = 1-4, go to crp_harv_lastyr
If crp_harv_unit = 5-9, go to crp_harv_unit_kg</t>
        </is>
      </c>
      <c r="T130" s="230" t="inlineStr"/>
      <c r="U130" s="590" t="n"/>
      <c r="V130" s="167">
        <f>#REF!</f>
        <v/>
      </c>
      <c r="W130" s="43" t="n"/>
      <c r="Y130" s="50" t="inlineStr">
        <is>
          <t>no</t>
        </is>
      </c>
      <c r="Z130" s="564" t="n"/>
      <c r="AC130" s="169" t="n">
        <v>5.47089958190918</v>
      </c>
      <c r="AD130" s="169">
        <f>IF(AC130="","",AC130*V130)</f>
        <v/>
      </c>
      <c r="AE130" s="43" t="inlineStr"/>
    </row>
    <row r="131" ht="102.75" customFormat="1" customHeight="1" s="48">
      <c r="A131" s="14">
        <f>A130+1</f>
        <v/>
      </c>
      <c r="B131" s="451" t="inlineStr">
        <is>
          <t>crp_harv_unit_kg</t>
        </is>
      </c>
      <c r="C131" s="452" t="inlineStr">
        <is>
          <t>crp_harv_unit_kg</t>
        </is>
      </c>
      <c r="D131" s="463" t="inlineStr">
        <is>
          <t>How many kilograms [kgs] in each unit?
[OPERATOR: RECORD THE AMOUNT GIVEN. ENTER 88888 FOR DON'T KNOW &amp; 99999 FOR REFUSED]</t>
        </is>
      </c>
      <c r="E131" s="16" t="n">
        <v>123</v>
      </c>
      <c r="F131" s="463" t="inlineStr">
        <is>
          <t>Combien de kilogrammes [kg] chaque unité contient-elle?
[OPÉRATEUR/OPÉRATRICE:  SAISIR LA QUANTITÉ ANNONCÉE. SAISIR 88888 POUR «NE SAIT PAS» ET 99999 POUR «REFUSÉ».]</t>
        </is>
      </c>
      <c r="G131" s="16">
        <f>LEN(F131)</f>
        <v/>
      </c>
      <c r="H131" s="15" t="inlineStr">
        <is>
          <t>Ni kilo [kgs] ngapi katika kila uniti?_x000D_
_x000D_
[OPERATOR: REKODI KIASI ULICHOPEWA. INGIA 88888 KWA SIJUE &amp; 99999 KWA KUKATALA]</t>
        </is>
      </c>
      <c r="I131" s="16" t="n"/>
      <c r="J131" s="60" t="inlineStr">
        <is>
          <t>Tshintu tshionso tshidi ne kilo bungi munyi?
[ENQUETEUR/TRICE: BUELA BULE BUA KUMANYISHA. BUELA 88888 BUA "TSHIENA MUMANYE" NE 99999 BUA "MUBENE".]</t>
        </is>
      </c>
      <c r="K131" s="45">
        <f>LEN(J131)</f>
        <v/>
      </c>
      <c r="L131" s="454" t="inlineStr">
        <is>
          <t>Range</t>
        </is>
      </c>
      <c r="M131" s="16" t="inlineStr">
        <is>
          <t>NA</t>
        </is>
      </c>
      <c r="N131" s="16" t="inlineStr">
        <is>
          <t>NA</t>
        </is>
      </c>
      <c r="O131" s="16" t="inlineStr">
        <is>
          <t>Form Type - TextBox</t>
        </is>
      </c>
      <c r="P131" s="25" t="inlineStr">
        <is>
          <t>NA</t>
        </is>
      </c>
      <c r="Q131" s="29" t="inlineStr">
        <is>
          <t>1-10000 = crp_harv_lastyr
88888-88888 =  crp_harv_lastyr
99999-99999 =  crp_harv_lastyr</t>
        </is>
      </c>
      <c r="R131" s="132" t="n"/>
      <c r="S131" s="229" t="inlineStr">
        <is>
          <t>For any response, go to crp_harv_lastyr</t>
        </is>
      </c>
      <c r="T131" s="230" t="inlineStr"/>
      <c r="U131" s="590" t="n"/>
      <c r="V131" s="167">
        <f>#REF!</f>
        <v/>
      </c>
      <c r="W131" s="43" t="n"/>
      <c r="Y131" s="50" t="inlineStr">
        <is>
          <t>no</t>
        </is>
      </c>
      <c r="Z131" s="564" t="n"/>
      <c r="AC131" s="169" t="n">
        <v>7.905472755432129</v>
      </c>
      <c r="AD131" s="169">
        <f>IF(AC131="","",AC131*V131)</f>
        <v/>
      </c>
      <c r="AE131" s="43" t="inlineStr"/>
    </row>
    <row r="132" ht="124.5" customFormat="1" customHeight="1" s="48">
      <c r="A132" s="14">
        <f>A131+1</f>
        <v/>
      </c>
      <c r="B132" s="451" t="inlineStr">
        <is>
          <t>crp_harv_lastyr</t>
        </is>
      </c>
      <c r="C132" s="452" t="inlineStr">
        <is>
          <t>crp_harv_lastyr</t>
        </is>
      </c>
      <c r="D132" s="426" t="inlineStr">
        <is>
          <t>How many {crp_harv_unit} of [threshed] {crp_main} did you harvest last year during the same season?
[OPERATOR: RECORD THE RESPONSE GIVEN. ENTER 8888888 FOR DON'T KNOW &amp; 9999999 FOR REFUSED, TO BE USED RARELY - PROBE!]</t>
        </is>
      </c>
      <c r="E132" s="16" t="n">
        <v>218</v>
      </c>
      <c r="F132" s="426" t="inlineStr">
        <is>
          <t>Combien de {crp_harv_unit} de {crp_main} [battu] avez-vous récolté l'année dernière au cours de la même saison?
[OPÉRATEUR/OPÉRATRICE: SAISIR LA RÉPONSE DONNÉE. ENTRER 8888888 POUR «NE SAIT PAS» ET 9999999 POUR «REFUSÉ», À UTILISER LE MOINS POSSIBLE - DEMANDER DES PRÉCISIONS!]</t>
        </is>
      </c>
      <c r="G132" s="16">
        <f>LEN(F132)</f>
        <v/>
      </c>
      <c r="H132" s="132" t="inlineStr">
        <is>
          <t>Ni {crp_harv_unit} ngapi ya {crp_main} ulivuna mwaka jana katika msimu huo ?
[OPERATOR: REKODI MAJIBU ULIYOPEWA. INGIA 8888888 KWA SIJUE &amp; 9999999 KWA KUKATALA, ILI KUTUMIWA MARA KWA MARA - PROBE!]</t>
        </is>
      </c>
      <c r="I132" s="16" t="n"/>
      <c r="J132" s="60" t="inlineStr">
        <is>
          <t>Bungi bungi munyi bua {crp_harv_unit} ya {crp_main} [beaten] iuvua munowe tshidimu tshishale mu tshikondo tshimue atshi?
[ENQUETEUR/TRICE: BUELA DIANDAMUNA DIDIBU BAFILE. BUELA 8888888 BUA "TSHIENA MUMANYE" NE 9999999 BUA "MUBENE", ENZA MUSHINDU MUKESE – LOMBA BUA KUMVUIJA!]</t>
        </is>
      </c>
      <c r="K132" s="45">
        <f>LEN(J132)</f>
        <v/>
      </c>
      <c r="L132" s="454" t="inlineStr">
        <is>
          <t>Range</t>
        </is>
      </c>
      <c r="M132" s="16" t="inlineStr">
        <is>
          <t>NA</t>
        </is>
      </c>
      <c r="N132" s="16" t="inlineStr">
        <is>
          <t>NA</t>
        </is>
      </c>
      <c r="O132" s="16" t="inlineStr">
        <is>
          <t>Form Type - TextBox</t>
        </is>
      </c>
      <c r="P132" s="25" t="inlineStr">
        <is>
          <t>NA</t>
        </is>
      </c>
      <c r="Q132" s="29" t="inlineStr">
        <is>
          <t>1-1000000 = crp_proddif
8888888-8888888 = crp_proddif
9999999-9999999 = crp_proddif</t>
        </is>
      </c>
      <c r="R132" s="132" t="n"/>
      <c r="S132" s="229" t="inlineStr">
        <is>
          <t>For any response, go to crp_proddif</t>
        </is>
      </c>
      <c r="T132" s="230" t="inlineStr"/>
      <c r="U132" s="591" t="n"/>
      <c r="V132" s="167">
        <f>#REF!</f>
        <v/>
      </c>
      <c r="W132" s="43" t="n"/>
      <c r="Y132" s="50" t="inlineStr">
        <is>
          <t>no</t>
        </is>
      </c>
      <c r="Z132" s="564" t="n"/>
      <c r="AC132" s="169" t="n">
        <v>16.43597793579102</v>
      </c>
      <c r="AD132" s="169">
        <f>IF(AC132="","",AC132*V132)</f>
        <v/>
      </c>
      <c r="AE132" s="43" t="inlineStr"/>
    </row>
    <row r="133" ht="153" customFormat="1" customHeight="1" s="48">
      <c r="A133" s="14">
        <f>A132+1</f>
        <v/>
      </c>
      <c r="B133" s="447" t="inlineStr">
        <is>
          <t>crp_proddif</t>
        </is>
      </c>
      <c r="C133" s="47" t="inlineStr">
        <is>
          <t>crp_proddif</t>
        </is>
      </c>
      <c r="D133" s="57" t="inlineStr">
        <is>
          <t>Has your household faced any significant difficulty in terms of crop production in Rainy season?
[OPERATOR: SINGLE RESPONSE.]
1)YES
2)NO
3)DON'T KNOW
4)REFUSED</t>
        </is>
      </c>
      <c r="E133" s="52" t="n">
        <v>161</v>
      </c>
      <c r="F133" s="114" t="inlineStr">
        <is>
          <t>Votre ménage a-t-il rencontré d'importantes difficultés en matière de production végétale au cours de Saison des pluies ?
[OPÉRATEUR/OPÉRATRICE: RÉPONSE UNIQUE.]
1)OUI
2)NON
3)NE SAIT PAS
4)REFUSÉ</t>
        </is>
      </c>
      <c r="G133" s="52">
        <f>LEN(F133)</f>
        <v/>
      </c>
      <c r="H133" s="114" t="inlineStr">
        <is>
          <t>Kaya yako imekabiliwa na ugumu wowote katika suala la uzalishaji wa mazao katika msimu wa mvula?
[OPERATOR: JIBU MOJA.]
1)NDIYO
2)HAPANA
3)SIJUE
4)KUKATALA</t>
        </is>
      </c>
      <c r="I133" s="52" t="n"/>
      <c r="J133" s="114" t="inlineStr">
        <is>
          <t xml:space="preserve">Nzubu wenu uvuaku mupete ntatu mikole mu dienza dia madimi mu tshikondo tshia mvula anyi?
[ENQUETEUR/TRICE:Bipwebo imwe.]
1) EYOWA 
2)TO
3) TSHIENA MUMANYE
4)MUBENE
</t>
        </is>
      </c>
      <c r="K133" s="45">
        <f>LEN(J133)</f>
        <v/>
      </c>
      <c r="L133" s="56" t="inlineStr">
        <is>
          <t>Single Choice</t>
        </is>
      </c>
      <c r="M133" s="52" t="inlineStr">
        <is>
          <t>NA</t>
        </is>
      </c>
      <c r="N133" s="52" t="inlineStr">
        <is>
          <t>NA</t>
        </is>
      </c>
      <c r="O133" s="52" t="inlineStr">
        <is>
          <t>Form Type - Buttons</t>
        </is>
      </c>
      <c r="P133" s="82" t="inlineStr">
        <is>
          <t>NA</t>
        </is>
      </c>
      <c r="Q133" s="51" t="inlineStr">
        <is>
          <t>1 = crp_proddif_2
2-4 = crp_storage</t>
        </is>
      </c>
      <c r="R133" s="57" t="n"/>
      <c r="S133" s="231" t="inlineStr">
        <is>
          <t>if crp_proddif = 1, go to crp_proddif_2 ; 
if crp_proddif = 2-4, go to [crp_salesmain or optional question]</t>
        </is>
      </c>
      <c r="T133" s="29" t="inlineStr"/>
      <c r="U133" s="10" t="n"/>
      <c r="V133" s="167">
        <f>#REF!</f>
        <v/>
      </c>
      <c r="W133" s="43" t="n"/>
      <c r="Y133" s="109" t="inlineStr">
        <is>
          <t>yes</t>
        </is>
      </c>
      <c r="Z133" s="564" t="n"/>
      <c r="AC133" s="168" t="n">
        <v>11.37532997131348</v>
      </c>
      <c r="AD133" s="168">
        <f>IF(AC133="","",AC133*V133)</f>
        <v/>
      </c>
      <c r="AE133" s="43" t="e">
        <v>#REF!</v>
      </c>
    </row>
    <row r="134" ht="409.5" customFormat="1" customHeight="1" s="48">
      <c r="A134" s="14">
        <f>A133+1</f>
        <v/>
      </c>
      <c r="B134" s="401" t="inlineStr">
        <is>
          <t>crp_proddif_2</t>
        </is>
      </c>
      <c r="C134" s="53"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34" s="107" t="inlineStr">
        <is>
          <t>Which difficulty has your household faced with crop production in Rainy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34" s="130" t="n">
        <v>778</v>
      </c>
      <c r="F134" s="114" t="inlineStr">
        <is>
          <t>Quelles difficultés votre ménage a-t-il rencontrées dans la production végétale au cours de Saison des pluies?
[OPÉRATEUR/OPÉRATRICE: PLUSIEURS RÉPONSES POSSIBLES. SÉLECTIONNER LA/LES OPTIONS CORRESPONDANT LE MIEUX AUX INFORMATIONS DONNÉES PAR LE RÉPONDANT.]
1)Maladie des plantes
2)Invasion d'organismes nuisibles [dont oiseaux]
3)Pâturage incontrôlé d'animaux
4)Accès à la parcelle
5)Accès aux engrais [non disponibles sur les marchés ou prix trop élevés]
6)Accès à des semences de qualité
7)Accès à des semences en quantité suffisante [non disponibles sur les marchés ou prix trop élevés]
8)Accès aux pesticides
9)Accès à la main-d'œuvre
10)Accès aux machines/ outils ou animaux pour labourer
11)Accès au carburant ou à l'électricité pour alimenter les équipements agricoles
12)Érosion des sols
13)Eau d'irrigation ou pluie insuffisante
14)Eau d'irrigation ou pluie trop abondante
15)Accès au crédit
16)Autre
17)NE SAIT PAS
18)REFUSÉ</t>
        </is>
      </c>
      <c r="G134" s="130">
        <f>LEN(F134)</f>
        <v/>
      </c>
      <c r="H134" s="114" t="inlineStr">
        <is>
          <t>Kaya yako imekumbana na ugumu gani wa uzalishaji wa mazao katika msimu wa mvula?
[OPERATOR: MAJIBU MENGI YANAWEZEKANA. CHAGUA CHAGUO LINALOFAA VYEMA NA MAELEZO ILIYOTOLEWA NA WAHOJIWA.]
1)Ugonjwa wa mimea
2)Mlipuko wa wadudu [pamoja na ndege]
3)Malisho ya mifugo yasiyodhibitiwa
4)Upatikanaji wa njama
5)Upatikanaji wa mbolea [haipatikani sokoni au bei ya juu sana]
6)Upatikanaji wa mbegu bora
7)Upatikanaji wa mbegu za kutosha [hazipatikani sokoni au bei ya juu sana]
8)Upatikanaji wa viuatilifu
9)Upatikanaji wa nguvu kazi
10)Upatikanaji wa mashine/ zana au wanyama wa kulimia
11)Upatikanaji wa mafuta au umeme wa kusambaza vifaa vya kilimo
12)Mmomonyoko wa udongo
13)Kutokuwepo kwa umwagiliaji/maji ya mvua ya kutosha
14)Umwagiliaji/maji kupita kiasi
15)Upatikanaji wa mkopo
16)Yingine
17)SIJUE
18)KUKATALA</t>
        </is>
      </c>
      <c r="I134" s="464" t="n"/>
      <c r="J134" s="188" t="inlineStr">
        <is>
          <t>Ntatu kayi ivua bena mu nzubu muebe bapeta mu dienza dia madimi mu tshikondo tshia mvula?
[ENQUETEUR/TRICE: MANDAMUNA MANYI ADI MUA KUENZA. SULANGANA BIDI BIKUMBANA BIMPAKANE NE LUMU LUA MUENA LUMUE.]
1)Disama dia mitshi
2)Dibuela dia bintu bidi ne njiwu [kusangisha ne nyunyi]
3)Didia dia nyama didi kadiyi dilombodibua
4)Dibuela mu lupangu
5)Dipeta dia manyoka [kaayi mu tshisalu anyi mushinga mukole]
6)Dipeta dia ntete mimpe
7)Dipeta dia ntete mu bungi bukumbane [kabuena mu tshisalu anyi mishinga mipite bungi]
8)Dipeta dia manga a dishipa nawu nyama
9)Dipeta dia mudimu 
10)Dipeta dia mashinyi/ bintu bia mudimu anyi nyama ya kudima 
11)Dipeta dia mafuta anyi dia nzembu bua kufila bukole ku biamu bia mudimu bia madimi 
12)Dinyanguka dia buloba 
13)Mâyi a madimi anyi mvula adi kaayi makumbane 
14)Mâyi a madimi a bungi anyi mvula 
15)Dipeta dia makuta a mfranga
16)Bikuabu
17)TSHIENA MUMANYE
18)MUBENE</t>
        </is>
      </c>
      <c r="K134" s="45">
        <f>LEN(J134)</f>
        <v/>
      </c>
      <c r="L134" s="47" t="inlineStr">
        <is>
          <t>Select All That Apply</t>
        </is>
      </c>
      <c r="M134" s="130" t="inlineStr">
        <is>
          <t>NA</t>
        </is>
      </c>
      <c r="N134" s="130" t="inlineStr">
        <is>
          <t>NA</t>
        </is>
      </c>
      <c r="O134" s="130" t="inlineStr">
        <is>
          <t>Form Type - Checklist
17,18 = IsNone</t>
        </is>
      </c>
      <c r="P134" s="82"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Q134" s="106" t="inlineStr">
        <is>
          <t>1-18 = crp_plot</t>
        </is>
      </c>
      <c r="R134" s="57" t="n"/>
      <c r="S134" s="232" t="inlineStr">
        <is>
          <t>if crp_proddif_2 = 1-18, go to [crp_salesmain OR optional question]</t>
        </is>
      </c>
      <c r="T134" s="29" t="inlineStr"/>
      <c r="U134" s="10" t="n"/>
      <c r="V134" s="167">
        <f>#REF!</f>
        <v/>
      </c>
      <c r="W134" s="43" t="n"/>
      <c r="Y134" s="109" t="inlineStr">
        <is>
          <t>yes</t>
        </is>
      </c>
      <c r="Z134" s="564" t="n"/>
      <c r="AC134" s="168" t="n">
        <v>25.84499931335449</v>
      </c>
      <c r="AD134" s="168">
        <f>IF(AC134="","",AC134*V134)</f>
        <v/>
      </c>
      <c r="AE134" s="43" t="e">
        <v>#REF!</v>
      </c>
    </row>
    <row r="135" ht="372" customFormat="1" customHeight="1" s="48">
      <c r="A135" s="14">
        <f>A134+1</f>
        <v/>
      </c>
      <c r="B135" s="63" t="inlineStr">
        <is>
          <t>crp_plot</t>
        </is>
      </c>
      <c r="C135" s="411" t="inlineStr">
        <is>
          <t>crp_plot_
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D135" s="64" t="inlineStr">
        <is>
          <t>Why are you unable to access your land?
[OPERATOR: MULTIPLE RESPONSES POSSIBLE.]
1)Cannot afford to buy or rent it
2)Not safe - my plot has been taken by armed groups 
3)Not safe - there are explosive ordnance/ IEDs/ or landmines on the land
4)Not safe - the access route to my land is insecure due to poor infrastructure
5)Land is too far from where I'm settled
6)Displaced people have taken all the land in the area
7)Government authorities make it difficult to access land
8)Local/customary authorities make it difficult to access land
9)Host communities make it difficult  to access land
10)Flooded or severely degraded
11)There is no land left to cultivate
12)Other [specify]
13)DON'T KNOW
14)REFUSED</t>
        </is>
      </c>
      <c r="E135" s="52" t="n">
        <v>707</v>
      </c>
      <c r="F135" s="114" t="inlineStr">
        <is>
          <t>Pourquoi ne pouvez-vous pas accéder à vos terres?
[OPÉRATEUR/OPÉRATRICE: PLUSIEURS RÉPONSES POSSIBLES].
1)Je n'ai pas les moyens d'en acheter ou d'en louer
2)Insécurité - ma parcelle a été prise par des groupes armés 
3)Insécurité - il y a des engins explosifs/ des engins explosifs improvisés ou des mines terrestres sur le terrain
4)Insécurité - la route d'accès à mon terrain n'est pas sûre en raison de mauvaises infrastructures
5)Le terrain est trop éloigné de l'endroit où je suis vis
6)Des personnes déplacées ont pris toutes les terres de la zone.
7)Les autorités gouvernementales rendent l'accès à la terre difficile
8)Les autorités locales/coutumières rendent l'accès à la terre difficile
9)Les communautés d'accueil rendent l'accès à la terre difficile
10)Terres Inondées ou gravement dégradées
11)Il n'y a plus de terres à cultiver
12)Autre [préciser]
13)NE SAIT PAS
14)REFUSÉ</t>
        </is>
      </c>
      <c r="G135" s="52">
        <f>LEN(F135)</f>
        <v/>
      </c>
      <c r="H135" s="462" t="inlineStr">
        <is>
          <t>Kwa nini huwezi kupata ardhi yako?
[OPERATOR: MAJIBU KADHAA YANAWEZEKANA].
1)Sina uwezo wa kununua au kukodisha moja
2)Utovu wa usalama - kiwanja changu kimechukuliwa na vikundi vya watu wenye silaha
3)Ukosefu wa usalama - kuna vifaa vya vilipuzi / vilipuzi vilivyoboreshwa kwenye ardhi
4)Ukosefu wa usalama - barabara ya kuingia kwenye ardhi yangu sio salama kwa sababu ya miundombinu duni
5)Ardhi ni mbali sana na ninapoishi
6)Watu waliohamishwa wamechukua ardhi yote katika eneo hilo.
7)Mamlaka za serikali hufanya upatikanaji wa ardhi kuwa mgumu
8)Mamlaka za mitaa/mila hufanya upatikanaji wa ardhi kuwa mgumu
9)Jumuiya wenyeji hufanya upatikanaji wa ardhi kuwa mgumu
10)Ardhi iliyofurika au iliyoharibiwa sana
11)Hakuna ardhi zaidi ya kulima
12)Nyingine [taja]
13)USIJUE
14)KUKATALA</t>
        </is>
      </c>
      <c r="I135" s="52" t="n"/>
      <c r="J135" s="114" t="inlineStr">
        <is>
          <t>Bua tshinyi kanuena mua kubuela mu buloba buenu?
[ENQUETEUR/TRICE: MANDAMUNA MANYI ADI MUA KUENZA].
1)Tshiena mua kusumba anyi kufutshila to
2)Dipanga dia bukubi - lupangu luanyi nduangatshila kudi bisumbu bia baluma ba mvita 
3)Dipanga dia bukubi - kudi bintu bia mvita/ bintu bia mvita bia tshianana anyi bingoma bia pa buloba
4)Dipanga dia bukubi - njila wa kubuela mu buloba buanyi udi ki mmu bukubi bua bintu bibi
5)Buloba budi kule menemene ne muaba undi vis
6)Bantu badibu bumbushe mbakuate maloba onso adi mu tshitupa etshi.
7)Bamfumu ba mbulamatadi badi benza bua dipeta dia maloba dikale dikole
8)Bamfumu ba muaba udibu basombele/ba bilele badi benza bua dipeta dia maloba dikole
9)Bena musoko badi babakidila badi benza bua dipeta dia maloba dikale dikole
10)Maloba adi ne mâyi anyi manyanguke bikole
11)Kakuena maloba makuabu a kudima
12)Makuabu [aleja]
13)TSHIENA MUMANYE
14)MUBENE</t>
        </is>
      </c>
      <c r="K135" s="45">
        <f>LEN(J135)</f>
        <v/>
      </c>
      <c r="L135" s="53" t="inlineStr">
        <is>
          <t>Open Ended-Select All That Apply</t>
        </is>
      </c>
      <c r="M135" s="52" t="inlineStr">
        <is>
          <t>NA</t>
        </is>
      </c>
      <c r="N135" s="130" t="inlineStr">
        <is>
          <t>Send if "crp_proddif_2" "Contains" "Access to plot" if not satisfied go to "crp_storage"</t>
        </is>
      </c>
      <c r="O135" s="130" t="inlineStr">
        <is>
          <t>Form Type - Checklist
13,14 = IsNone</t>
        </is>
      </c>
      <c r="P135" s="411" t="inlineStr">
        <is>
          <t>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Q135" s="106" t="inlineStr">
        <is>
          <t>1-14 = crp_storage</t>
        </is>
      </c>
      <c r="R135" s="57" t="n"/>
      <c r="S135" s="233" t="inlineStr">
        <is>
          <t>Asked only to respondents that indicated "access to plot" as a production difficulty in crp_proddif_2. Otherwise, go to crp_salesmain.
If crp_plot = 1-12, go to crp_salesmain or optional question.</t>
        </is>
      </c>
      <c r="T135" s="29" t="inlineStr"/>
      <c r="U135" s="10" t="n"/>
      <c r="V135" s="167" t="n"/>
      <c r="W135" s="43" t="n"/>
      <c r="Y135" s="109" t="inlineStr">
        <is>
          <t>no</t>
        </is>
      </c>
      <c r="Z135" s="564" t="n"/>
      <c r="AC135" s="168" t="n"/>
      <c r="AD135" s="168" t="n"/>
      <c r="AE135" s="43" t="inlineStr"/>
      <c r="AJ135" s="234" t="n"/>
      <c r="AK135" s="201" t="n"/>
    </row>
    <row r="136" ht="310" customFormat="1" customHeight="1" s="48">
      <c r="A136" s="14">
        <f>A135+1</f>
        <v/>
      </c>
      <c r="B136" s="62" t="inlineStr">
        <is>
          <t>crp_storage</t>
        </is>
      </c>
      <c r="C136" s="406" t="inlineStr">
        <is>
          <t>crp_storage</t>
        </is>
      </c>
      <c r="D136" s="132" t="inlineStr">
        <is>
          <t>Last year, what proportion of your {crp_main} stock did you lose [to pests, rotting, mould, theft, conflict, etc.] after the harvest?
[OPERATOR: SINGLE RESPONSE.]
1)None
2)A little
3)An important part of it - but less than half
4)Most of it [half or more]
5)Almost everything 
6)Everything
7)DON'T KNOW
8)REFUSED</t>
        </is>
      </c>
      <c r="E136" s="16">
        <f>LEN(D136)</f>
        <v/>
      </c>
      <c r="F136" s="132" t="inlineStr">
        <is>
          <t>L'année dernière, quelle part du stock de votre {crp_main} avez-vous perdue [en raison des parasites, de la pourriture, de la moisissure, des vols, des conflits, etc.] après la récolte?
[OPÉRATEUR/OPÉRATRICE: RÉPONSE UNIQUE.]
1)Aucune
2)Une petite part
3)Une part importante - mais moins de la moitié
4)Une grande part [la moitié ou plus]
5)La presque totalité 
6)La totalité
7)NE SAIT PAS
8)REFUSÉ</t>
        </is>
      </c>
      <c r="G136" s="16">
        <f>LEN(F136)</f>
        <v/>
      </c>
      <c r="H136" s="132" t="inlineStr">
        <is>
          <t>Mwaka jana, ni sehemu gani ya hisa yako ya {crp_main} ulipoteza [na wadudu, wanaooza, ukungu, buizi, mgorogoro n.k.] baada ya mavuno?
[OPERATOR: JIBU MOJA.]
1)Hakuna
2)Kidogo
3)Sehemu yake muhimu lakini chini ya nusu
4)Nyingi zake [nusu au zaidi]
5)Karibu kila kitu
6)Kila kitu
7)SIJUE
8)KUKATALA</t>
        </is>
      </c>
      <c r="I136" s="16" t="n"/>
      <c r="J136" s="60" t="inlineStr">
        <is>
          <t xml:space="preserve">Tshidimu tshishale, bungi kayi bua bintu biebe bia {crp_main} biuvua mujimije [bua bipupu, dibola, bikunyibua, buivi, mvita, ne bikuabu] kunyima kua dinowa?
[ENQUETEUR/TRICE:Bipwebo imwe.]
1) Kakuyi
2) Tshitupa tshikese
3) Tshitupa tshinene - kadi tshikese ku tshitupa
4) Tshitupa tshinene [tshitupa anyi kupita apu]
5) Pabuipi ne bionso 
6) Bionso
7) TSHIENA MUMANYE
8)MUBENE
</t>
        </is>
      </c>
      <c r="K136" s="45">
        <f>LEN(J136)</f>
        <v/>
      </c>
      <c r="L136" s="407" t="inlineStr">
        <is>
          <t>Single Choice</t>
        </is>
      </c>
      <c r="M136" s="16" t="inlineStr">
        <is>
          <t>NA</t>
        </is>
      </c>
      <c r="N136" s="407" t="inlineStr">
        <is>
          <t>Send if "crp_main" "NotEqual" "No crop production" if not satisfied go to "crp_salesmain"</t>
        </is>
      </c>
      <c r="O136" s="16" t="inlineStr">
        <is>
          <t>Form Type - Buttons</t>
        </is>
      </c>
      <c r="P136" s="25" t="inlineStr">
        <is>
          <t>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Q136" s="29" t="inlineStr">
        <is>
          <t>1 = crp_salesmain
2-6 = crp_storage_reason
7-8 = crp_salesmain</t>
        </is>
      </c>
      <c r="R136" s="132" t="n"/>
      <c r="S136" s="235" t="inlineStr">
        <is>
          <t>if the respondent has listed any crop as a main crop, they will be administered this question. If not, they will be sent to the crop marketing module, since the rest of the questions reference the main crop specifically in the question text. 
if crp_storage =  1,7-8, go to crp_salesmain or optional question
if crp_storage = 2-6, go to crp_storage_reason</t>
        </is>
      </c>
      <c r="T136" s="29" t="inlineStr"/>
      <c r="U136" s="10" t="n"/>
      <c r="V136" s="167">
        <f>'[1]Additional information'!$D$17</f>
        <v/>
      </c>
      <c r="W136" s="43" t="n"/>
      <c r="Y136" s="50" t="inlineStr">
        <is>
          <t>no</t>
        </is>
      </c>
      <c r="Z136" s="564" t="n"/>
      <c r="AC136" s="169" t="n">
        <v>12.18603706359863</v>
      </c>
      <c r="AD136" s="169">
        <f>IF(AC136="","",AC136*V136)</f>
        <v/>
      </c>
      <c r="AE136" s="43" t="inlineStr"/>
    </row>
    <row r="137" ht="261" customFormat="1" customHeight="1" s="48" thickBot="1">
      <c r="A137" s="14">
        <f>A136+1</f>
        <v/>
      </c>
      <c r="B137" s="62" t="inlineStr">
        <is>
          <t>crp_storage_reason</t>
        </is>
      </c>
      <c r="C137" s="406" t="inlineStr">
        <is>
          <t>crp_storage_reasons
1)crp_storage_pests
2)crp_storage_rot
3)crp_storage_mould
4)crp_storage_theft
5)crp_storage_natdisaster
6)crp_storage_animals
7)crp_storage_intdestruction
8)crp_storage_other
9)crp_storage_dk
10)crp_storage_ref</t>
        </is>
      </c>
      <c r="D137" s="132" t="inlineStr">
        <is>
          <t>What was the reason for your stock loss after the harvest?
[OPERATOR: MULTIPLE RESPONSES POSSIBLE.]
1)Pests
2)Rotting
3)Mould
4)Theft
5)Destruction by disaster [e.g. flood]
6)Destruction by animals
7)Intentional destruction of storage [e.g. burned]
8)Other [specify]
9)DON'T KNOW
10)REFUSED</t>
        </is>
      </c>
      <c r="E137" s="52" t="n">
        <v>292</v>
      </c>
      <c r="F137" s="132" t="inlineStr">
        <is>
          <t>Pour quelles raisons avez vous perdu du stock après la récolte?
[OPÉRATEUR/OPÉRATRICE: PLUSIEURS RÉPONSES POSSIBLES].
1)Ravageurs
2)Pourriture
3)Moisissure
4)Vol
5)Destruction par une catastrophe [par ex/ une inondation].
6)Destruction par des animaux
7)Destruction intentionnelle de l'entrepôt [par ex/ incendie].
8)Autre [préciser]
9)NE SAIT PAS
10)REFUSÉ</t>
        </is>
      </c>
      <c r="G137" s="52">
        <f>LEN(F137)</f>
        <v/>
      </c>
      <c r="H137" s="462" t="inlineStr">
        <is>
          <t>Kwa nini ulipoteza hisa baada ya kuvuna?
[OPERATOR: MAJIBU KADHAA YANAWEZEKANA].
1)Wadudu
2)Uozo
3)Ukungu
4)Wizi
5)Kuangamizwa kwa maafa [k.m./mafuriko]
6)Kuangamizwa na wanyama
7)Kuharibu ghala kimakusudi [k.m./moto]
8)Nyingine [taja]
9)SIJUE HAJUI
10)KUKATALA</t>
        </is>
      </c>
      <c r="I137" s="52" t="n"/>
      <c r="J137" s="114" t="inlineStr">
        <is>
          <t xml:space="preserve">Bua tshinyi uvua mujimije bintu kunyima kua dinowa?
[ENQUETEUR/TRICE: MANDAMUNA MANYI ADI MUA KUENZA].
1) Bishi
2) Dibola
3) Bipupu
4) Buivi
5) Dibutuka dia tshipupu [tshilejilu/mvula].
6) Dibutula dia nyama
7) Dibutula dia nzubu wa dilamina bintu ku budisuile [tshilejilu/ kapia].
8) Bikuabu [leja]
9) TSHIENA MUMANYE
10)MUBENE
</t>
        </is>
      </c>
      <c r="K137" s="45">
        <f>LEN(J137)</f>
        <v/>
      </c>
      <c r="L137" s="407" t="inlineStr">
        <is>
          <t>Open Ended-Select All That Apply</t>
        </is>
      </c>
      <c r="M137" s="16" t="inlineStr">
        <is>
          <t>NA</t>
        </is>
      </c>
      <c r="N137" s="465" t="inlineStr">
        <is>
          <t>NA</t>
        </is>
      </c>
      <c r="O137" s="16" t="inlineStr">
        <is>
          <t>Form Type - Checklist
9,10 = IsNone</t>
        </is>
      </c>
      <c r="P137" s="407" t="inlineStr">
        <is>
          <t>1)crp_storage_pests
2)crp_storage_rot
3)crp_storage_mould
4)crp_storage_theft
5)crp_storage_natdisaster
6)crp_storage_animals
7)crp_storage_intdestruction
8)crp_storage_other
9)crp_storage_dk
10)crp_storage_ref</t>
        </is>
      </c>
      <c r="Q137" s="132" t="inlineStr">
        <is>
          <t>1-10 = crp_salesmain</t>
        </is>
      </c>
      <c r="R137" s="132" t="n"/>
      <c r="S137" s="132" t="inlineStr">
        <is>
          <t>For any response, go to crp_salesmain or optional question</t>
        </is>
      </c>
      <c r="T137" s="31" t="inlineStr"/>
      <c r="U137" s="10" t="n"/>
      <c r="V137" s="167" t="n"/>
      <c r="W137" s="43" t="n"/>
      <c r="Y137" s="50" t="inlineStr">
        <is>
          <t>no</t>
        </is>
      </c>
      <c r="Z137" s="564" t="n"/>
      <c r="AC137" s="169" t="n"/>
      <c r="AD137" s="169" t="n"/>
      <c r="AE137" s="43" t="inlineStr"/>
      <c r="AK137" s="201" t="n"/>
    </row>
    <row r="138" ht="17.15" customFormat="1" customHeight="1" s="108" thickBot="1">
      <c r="A138" s="569" t="inlineStr">
        <is>
          <t>D. CROP MARKETING</t>
        </is>
      </c>
      <c r="B138" s="586" t="n"/>
      <c r="C138" s="586" t="n"/>
      <c r="D138" s="586" t="n"/>
      <c r="E138" s="586" t="n"/>
      <c r="F138" s="586" t="n"/>
      <c r="G138" s="586" t="n"/>
      <c r="H138" s="586" t="n"/>
      <c r="I138" s="586" t="n"/>
      <c r="J138" s="586" t="n"/>
      <c r="K138" s="586" t="n"/>
      <c r="L138" s="586" t="n"/>
      <c r="M138" s="586" t="n"/>
      <c r="N138" s="586" t="n"/>
      <c r="O138" s="586" t="n"/>
      <c r="P138" s="586" t="n"/>
      <c r="Q138" s="586" t="n"/>
      <c r="R138" s="586" t="n"/>
      <c r="S138" s="586" t="n"/>
      <c r="T138" s="586" t="n"/>
      <c r="U138" s="587" t="n"/>
      <c r="V138" s="170" t="n"/>
      <c r="W138" s="110" t="n"/>
      <c r="Y138" s="109" t="n"/>
      <c r="Z138" s="111" t="n"/>
      <c r="AC138" s="168" t="n"/>
      <c r="AD138" s="168">
        <f>IF(AC138="","",AC138*V138)</f>
        <v/>
      </c>
      <c r="AE138" s="110">
        <f>IF(Y138="yes",AD138,"")</f>
        <v/>
      </c>
    </row>
    <row r="139" ht="367" customFormat="1" customHeight="1" s="48">
      <c r="A139" s="14">
        <f>A137+1</f>
        <v/>
      </c>
      <c r="B139" s="63" t="inlineStr">
        <is>
          <t>crp_salesmain</t>
        </is>
      </c>
      <c r="C139" s="403" t="inlineStr">
        <is>
          <t>crp_salesmain</t>
        </is>
      </c>
      <c r="D139" s="466" t="inlineStr">
        <is>
          <t>What was the main crop that you sold over the last 3 months?
[OPERATOR: SINGLE RESPONSE.]
1)Rice
2)Millet
3)Sorghum
4)Maize
5)Cassava
6)Potatoe
7)Beans
8)Soybeans
9)Plantains
10)Papaya
11)Groundnut/peanut
12)Coffee
13)Wheat
14)Barley
15)Other Cereal
16)Sweet Potatoes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37)Tomatoes
38)Cucumber
39)Pumpkin
40)Eggplant/aubergine
41)Zucchini
42)Okra
43)Bell pepper
44)Onions
45)Haricot
46)Green peas
47)Fava beans green
48)Other non leafy vegs
49)Orange
50)Lemon
51)Grapefruit
52)Mandarins/clementines
53)Other citrus fruit
54)Sweet Banana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80)Tea
81)Sugarcane
82)Sunflower
83)Other food cash crop
84)Cotton
85)Rubber
86)Jute
87)Fodder
88)Tobacco
89)Qat
90)Other non-food cash crop
92)DON'T KNOW
93)REFUSED</t>
        </is>
      </c>
      <c r="E139" s="45" t="n">
        <v>1461</v>
      </c>
      <c r="F139" s="64" t="inlineStr">
        <is>
          <t>Quelle a été la principale récolte que vous avez vendue au cours des 3 derniers mois?
[OPERATEUR /OPÉRATRICE:  FIGURE DANS LES DERNIÈRES OPTIONS DE RÉPONSE. SÉLECTIONNER TOUTES LES CULTURES LISTÉES PAR LE RÉPONDANT.]
1)Mil
2)Sorgho
3)Maïs
4)Manioc
5)Pommes de terre
6)Haricots
7)Soja
8)Banane plantain
9)Papaye
10)Arachide / cacahuète
11)Café
12)Riz
13)Blé
14)Orge
15)Autres céréales
16)Patates douces
17)Ignames
18)Carottes
19)Chou caraïbe
20)Autres tubercules
21)Lentilles
22)Pois
23)Pois chiches
24)Fève
25)Fève large
26)Autres légumineuses
27)Choux
28)Laitue
29)Epinards-Amaranthe
30)Feuilles de manioc
31)Feuilles de pomme de terre
32)Moringa
33)Oseille Hibiscus / Rosselle
34)Herbes aromatiques [thym/ persil/ menthe/ rocca/ autres]
35)Choux-fleur
36)Autres légumes à feuilles
37)Tomates
38)Concombre
39)Citrouille
40)Aubergines/aubergines
41)Courgettes
42)Okra
43)Poivrons
44)Oignons
45)Haricot 
46)Petit pois
47)Pois fève
48)Autres légumes non feuillus
49)Orange
50)Citron
51)Pamplemousse
52)Tangerine/clémentine
53)Autres agrumes
54)Banane douce
55)Mangue
56)Goyave
57)Ananas
58)Avocat
59)Pastèques
60)Dattes
61)Figues
62)Raisins
63)Olives
64)Pomme
65)Abricot
66)Cerises
67)Pêche/nectarine
68)Fraises
69)Melon
70)Autres fruits
71)Noix de coco
72)Noix de cajou
73)Noix de kola
74)Sésame
75)Noix de bambara
76)Amande
77)Noix
78)Autres fruits à coque
79)Cacao
80)Thé
81)Canne à sucre
82)Tournesol
83)Autres cultures vivrières de rente
84)Coton
85)Caoutchouc
86)Jute
87)Fourrage
88)Tabac
89)Qat
90)Autre culture de rente non alimentaire
91)NE SAIT PAS
92)REFUSÉ</t>
        </is>
      </c>
      <c r="G139" s="45">
        <f>LEN(F139)</f>
        <v/>
      </c>
      <c r="H139" s="71" t="inlineStr">
        <is>
          <t xml:space="preserve">Je, ni zao gani kuu ulilouza katika miezi 3 iliyopita?
[OPERATOR: CHAGUA MAZAO MAKUU YANAYOONESHWA NA MHOJIWA]  
1) Mil
2)Mtama
3) Mahindi
4) Muhogo
5) Viazi
6) Maharage
7) Soya
8) Plantain
9) Papai
10) Karanga / karanga
11) Kahawa
12)Mchele
13)Ngano
14) Shayiri
15)Nafaka zingine
16)Viazi vitamu
17) Magimbi
18)Karoti
19)Kabichi ya Caribbean
20)Mizizi mingine
21) Dengu
22) Mbaazi
23) Njegere
24) Maharage
25) Maharage mapana
26) Mikunde mingine
27) Kabichi
28) lettuce
29) Mchicha-Amaranth
30) Majani ya muhogo
31) Majani ya viazi
32) Mzunze
33) Sorrel Hibiscus / Rosselle
34) Mimea yenye harufu nzuri [thyme/ parsley/ mint/ rocca/ wengine]
35) Cauliflower
36)Mboga nyingine za majani
37)Nyanya
38)Tango
39)Maboga
40)Biringanya/biringani
41) Zucchini
42)Bamia
43)Pilipili
44) Vitunguu
45) Maharage
46) Mbaazi
47) Maharage ya pea
48)Mboga nyingine zisizo za majani
49) Chungwa
50)Ndimu
51) Zabibu
52)Tangerine/clementine
53)Matunda mengine ya machungwa
54)Ndizi tamu
55)Embe
56) Guava
57)Nanasi
58)Wakili
59)Matikiti maji
60)Tarehe
61)Mtini
62) Zabibu
63)Mizeituni
64) Apple
65)Parachichi
66) Cherry
67)Peach/nectarine
68)Stroberi
69) Tikitikiti
70)Matunda mengine
71)Nazi
72)Korosho
73) Kola karanga
74)Ufuta
75)Bambara nuts
76) Almond
77)Karanga
78)Karanga zingine
79)Kakao
80) Chai
81)Sukari
82)Alizeti
83)Mazao mengine ya chakula cha biashara
84)Pamba
85)Mpira
86) Juti
87) Lishe
88)Tumbaku
89)Kati
90)Mazao mengine yasiyo ya chakula
91)SIJUI
92)KUKATALA
</t>
        </is>
      </c>
      <c r="I139" s="45" t="n"/>
      <c r="J139" s="71" t="inlineStr">
        <is>
          <t>Ntshinyi tshivua tshintu tshinene tshivua bena mu nzubu muebe bakuna bua kupeta biakudia ne makuta mu tshikondo tshia mvula, bikalabi bikumbane?
[ENQUETEUR/TRICE: DIANDAMUNA DIMUE. "KAKUENA BIDIMU BIDI BIFUMINA KU MITSHI" KUDI MUNKATSHI WA BIDIMU BIA NDEKELU, KU NDEKELU WA MULONGO.]
1)Mil
2)Sorgho
3) Matala
4) Tshomba
5) Bilunga
6)Ngunda
7)Nsoya
8) Bibota
9)Ntshinkwenda
10) Tumbela
11)Kafe
12)Losa
13)Bukula
14)Djioji
15)Bikunyibua bikuabu
16)Bilunga
17)Ignames
18)Karote
19)Tshisuku tshia mu Caraïbes
20) Tubercules mikuabu
21)Lentille
22) Nkunde
23) Ngunda mikese
24) Nkunde mukuabu
25)Mutshi mualabale
26)Bikunyibua bikuabu
27) Bisuku
28)Laitu
29) )Epinards-Amaranthe
30) Mabeji a Tshomba
31) Mabeji a bimuma
32) Moringa
33)Oseille Hibiscus / Rosselle
34) Bikunyibua bia mupuya muimpe [thyme/ persil/ menthe/ rocca/ bikuabu]
35) Chou-fleur
36)Mishipa mikuabu ya mabeji
37)Tomate
38)Konkombre
39)Tshimuma
40)Aubergines
41)Zucchini
42)Okra
43)Mamuma
44) Matungulu
45)Nkunda
46)Nkunde
47) Nkunde na Mikese
48)Mishipa mikuabu idi kayiyi ne mabeji
49)Orange
50)Citron
51)Tshimuma tshia tumuma tua mvinyo
52)Tangerine/clementine
53)Mamuma makuabu a agrume
54)Nkondo ya nsongo
55)Mango
56)Guava
57)Tshikata
58)Avocat
59)Pasteque
60)Dattes
61)Mfigi
62)Tumuma tua mvinyo
63)Maolive
64) Pomma
65)Abriko
66)Cerisé
67))Pêche/nectarine
68)Mamuma a fraise
69)Melon
70)Mamuma makuabu
71)Nkoko
72)Mamuma a nkunde
73) Noix de kola
74)Sesame
75)Bambara nuts
76) Amande
77)Mamuma
78)Makunji makuabu
79) Kakao
80)Tyayi
81)Mutshi wa nsukadi
82)Tournesol
83)Bikunyibua bikuabu bia kudia bia makuta
84)Tshilamba
85)Caoutchouc
86)Jute
87) Biakudia bia nyama
88)Makaya
89)Qat
90)Bikunyibua bikuabu bia makuta bidi kabiyi bia kudia
91)TSHIENA MUMANYE
92)MUBENE</t>
        </is>
      </c>
      <c r="K139" s="45">
        <f>LEN(J139)</f>
        <v/>
      </c>
      <c r="L139" s="54" t="inlineStr">
        <is>
          <t>Single Choice</t>
        </is>
      </c>
      <c r="M139" s="52" t="inlineStr">
        <is>
          <t>NA</t>
        </is>
      </c>
      <c r="N139" s="47" t="inlineStr">
        <is>
          <t>Send if "income_main" "Equals" "Production and sale of staple crops" Or "income_main" "Equals" "Production and sale of vegetables or fruit" Or "income_main" "Equals" "Production and sale of cashcrops" Or "income_sec" "Equals" "Production and sale of staple crops" Or "income_sec" "Equals" "Production and sale of vegetables or fruit" Or "income_sec" "Equals" "Production and sale of cashcrops"  Or "income_third" "Equals" "Production and sale of staple crops" Or "income_third" "Equals" "Production and sale of vegetables or fruit" Or "income_third" "Equals" "Production and sale of cashcrops" if not satisfied go to "ls_intro"</t>
        </is>
      </c>
      <c r="O139" s="45" t="inlineStr">
        <is>
          <t>Form Type - Buttons
IsDemographic - crp_salesmain</t>
        </is>
      </c>
      <c r="P139" s="82" t="inlineStr">
        <is>
          <t>1)1.3
2)1.4
3)1.5
4)2.1
5)2.2
6)3.1
7)3.4
8)7.2
9)7.3
10)8.2
11)9.2
12)1.1
13)1.2
14)1.6
15)1.99
16)2.3
17)2.4
18)2.5
19)2.6
20)2.99
21)3.2
22)3.3
23)3.5
24)3.6
25)3.7
26)3.99
27)4.1
28)4.2
29)4.3
30)4.4
31)4.5
32)4.6
33)4.7
34)4.9
35)4.101
36)4.99
37)5.1
38)5.2
39)5.3
40)5.4
41)5.5
42)5.6
43)5.7
44)5.8
45)5.9
46)5.101
47)5.11
48)5.99
49)6.1
50)6.2
51)6.3
52)6.4
53)6.99
54)7.1
55)7.4
56)7.5
57)7.6
58)7.7
59)7.8
60)7.9
61)7.101
62)7.11
63)7.12
64)7.13
65)7.14
66)7.15
67)7.16
68)7.17
69)7.18
70)7.99
71)8.1
72)8.3
73)8.4
74)8.5
75)8.6
76)8.7
77)8.8
78)8.99
79)9.1
80)9.3
81)9.4
82)9.5
83)9.99
84)10.1
85)10.2
86)10.3
87)10.4
88)10.5
89)10.6
90)10.99
91)888
92)999</t>
        </is>
      </c>
      <c r="Q139" s="51" t="inlineStr">
        <is>
          <t>1-90 = crp_salesdif
91-92 = ls_intro</t>
        </is>
      </c>
      <c r="R139" s="467" t="inlineStr">
        <is>
          <t>GeoPoll: Removed reference to "no crop sold in the last 3 months" within the operator instructions. 
FAO: Ok</t>
        </is>
      </c>
      <c r="S139" s="51"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T139" s="29" t="inlineStr"/>
      <c r="U139" s="10" t="n"/>
      <c r="V139" s="167">
        <f>#REF!</f>
        <v/>
      </c>
      <c r="W139" s="43" t="n"/>
      <c r="Y139" s="109" t="inlineStr">
        <is>
          <t>yes</t>
        </is>
      </c>
      <c r="Z139" s="564" t="n"/>
      <c r="AC139" s="168" t="n">
        <v>17.61201477050781</v>
      </c>
      <c r="AD139" s="168">
        <f>IF(AC139="","",AC139*V139)</f>
        <v/>
      </c>
      <c r="AE139" s="43" t="e">
        <v>#REF!</v>
      </c>
    </row>
    <row r="140" ht="222" customFormat="1" customHeight="1" s="48">
      <c r="A140" s="14">
        <f>A139+1</f>
        <v/>
      </c>
      <c r="B140" s="468" t="inlineStr">
        <is>
          <t>crp_salesdif</t>
        </is>
      </c>
      <c r="C140" s="47" t="inlineStr">
        <is>
          <t>crp_salesdif</t>
        </is>
      </c>
      <c r="D140" s="57" t="inlineStr">
        <is>
          <t>Has your household faced any significant difficulty in the last 3 months selling your {crp_salesmain}?
[OPERATOR: SINGLE RESPONSE.]
1)YES
2)NO
3)DON'T KNOW
4)REFUSED</t>
        </is>
      </c>
      <c r="E140" s="45" t="n">
        <v>167</v>
      </c>
      <c r="F140" s="114" t="inlineStr">
        <is>
          <t>Au cours des trois derniers mois, votre ménage a-t-il rencontré d'importantes difficultés pour vendre ses récoltes de {crp_salesmain}?
[OPÉRATEUR/OPÉRATRICE: RÉPONSE UNIQUE.]
1)OUI
2)NON
3)NE SAIT PAS
4)REFUSÉ</t>
        </is>
      </c>
      <c r="G140" s="45">
        <f>LEN(F140)</f>
        <v/>
      </c>
      <c r="H140" s="114" t="inlineStr">
        <is>
          <t>Kaya yako imekumbana na matatizo makubwa katika miezi 3 iliyopita ya kuuza {crp_salesmain} yako?
[OPERATOR: JIBU MOJA.]
1)NDIYO
2)HAPANA
3)SIJUE
4)KUKATALA</t>
        </is>
      </c>
      <c r="I140" s="45" t="n"/>
      <c r="J140" s="71" t="inlineStr">
        <is>
          <t xml:space="preserve">Mu ngondo isatu mipita, nzubu wenu mmupeta ntatu mikole mu disumbisha dia bintu biabu bia {crp_salesmain} anyi?
[ENQUETEUR/TRICE:BIPWEBO IMWE.]
1)EYOWA
2)TO
3)TSHIENA MUMANYE
4)MUBENE
</t>
        </is>
      </c>
      <c r="K140" s="45">
        <f>LEN(J140)</f>
        <v/>
      </c>
      <c r="L140" s="54" t="inlineStr">
        <is>
          <t>Single Choice</t>
        </is>
      </c>
      <c r="M140" s="45" t="inlineStr">
        <is>
          <t>NA</t>
        </is>
      </c>
      <c r="N140" s="47" t="inlineStr">
        <is>
          <t>NA</t>
        </is>
      </c>
      <c r="O140" s="45" t="inlineStr">
        <is>
          <t>Form Type - Buttons</t>
        </is>
      </c>
      <c r="P140" s="82" t="inlineStr">
        <is>
          <t>NA</t>
        </is>
      </c>
      <c r="Q140" s="44" t="inlineStr">
        <is>
          <t>1 = crp_salesdif_2
2-4 = crp_salesprice</t>
        </is>
      </c>
      <c r="R140" s="44" t="n"/>
      <c r="S140" s="44" t="inlineStr">
        <is>
          <t>if crp_salesdif = 1, go to crp_salesdif_2 ; 
if crp_salesdif = 2-4, go to crp_salesprice</t>
        </is>
      </c>
      <c r="T140" s="31" t="inlineStr"/>
      <c r="U140" s="19" t="n"/>
      <c r="V140" s="167">
        <f>#REF!</f>
        <v/>
      </c>
      <c r="W140" s="43" t="n"/>
      <c r="Y140" s="109" t="inlineStr">
        <is>
          <t>yes</t>
        </is>
      </c>
      <c r="Z140" s="564" t="n"/>
      <c r="AC140" s="168" t="n">
        <v>10.45715618133545</v>
      </c>
      <c r="AD140" s="168">
        <f>IF(AC140="","",AC140*V140)</f>
        <v/>
      </c>
      <c r="AE140" s="43" t="e">
        <v>#REF!</v>
      </c>
    </row>
    <row r="141" ht="323.15" customFormat="1" customHeight="1" s="48">
      <c r="A141" s="14">
        <f>A140+1</f>
        <v/>
      </c>
      <c r="B141" s="63" t="inlineStr">
        <is>
          <t>crp_salesdif_2</t>
        </is>
      </c>
      <c r="C141" s="47" t="inlineStr">
        <is>
          <t>crp_saledif_
1) crp_saledif_marketing_cost
2) crp_saledif_damage_losses
3) crp_saledif_low_demand
4) crp_saledif_pay_delay
5) crp_saledif_low_price
6) crp_saledif_processing
7) crp_saledif_competition
8) crp_saledif_other
9) crp_saledif_dk
10) crp_saledif_ref</t>
        </is>
      </c>
      <c r="D141" s="469" t="inlineStr">
        <is>
          <t>Which difficulties has your household faced in the last 3 months selling your {crp_salesmain}?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41" s="45" t="n">
        <v>638</v>
      </c>
      <c r="F141" s="114" t="inlineStr">
        <is>
          <t>Quelles difficultés votre ménage a-t-il rencontrées au cours des trois derniers mois pour vendre ses cultures principales, {crp_salesmain}?
[OPÉRATEUR/OPÉRATRICE: PLUSIEURS RÉPONSES POSSIBLES. SÉLECTIONNER LA OU LES OPTIONS QUI CORRESPONDENT LE MIEUX AUX INFORMATIONS PROPOSÉES PAR LE RÉPONDANT.]
1)Coûts de transport ou autres coûts de commercialisation élevés
2)Autres difficultés d'accès au marché [par ex/ insécurité/ mauvaises infrastructures/ etc.]
3)Baisse de la demande des commerçants ou clients habituels
4)Retards de paiement de la part des négociants/acheteurs
5)Faible prix de vente [par exemple/ par rapport aux prix des intrants / inflation] 
6)Difficulté de transformation de la production [manque d'intrants / d'équipements de transformation / etc.]
7)Marchés saturés
8)Autre
9)NE SAIT PAS
10)REFUSÉ</t>
        </is>
      </c>
      <c r="G141" s="45">
        <f>LEN(F141)</f>
        <v/>
      </c>
      <c r="H141" s="114" t="inlineStr">
        <is>
          <t>Je, kaya yako imekumbana na matatizo gani katika kipindi cha miezi mitatu iliyopita katika kuuza mazao yake makuu, {crp_salesmain}?
[OPERATOR: MAJIBU KADHAA YANAWEZEKANA. CHAGUA CHAGUO LINALOANDIKIANA VIZURI NA MAELEZO ILIYOPENDEKEZWA NA MHOJIWA.]
1)Gharama kubwa za usafirishaji au gharama zingine za uuzaji
2)Matatizo mengine ya upatikanaji wa soko [k.m. ukosefu wa usalama/miundombinu duni/nk.]
3)Kupungua kwa mahitaji kutoka kwa wafanyabiashara au wateja wa kawaida
4)Kuchelewa kwa malipo kutoka kwa wafanyabiashara/wanunuzi
5)Bei ya chini ya kuuza [km. kuhusiana na bei ya pembejeo/ mfumuko wa bei]
6)Ugumu wa kubadilisha uzalishaji [ukosefu wa pembejeo / vifaa vya usindikaji / nk]
7)Masoko yaliyojaa
8)Nyingine
9)SIJUI
10)KUKATALA</t>
        </is>
      </c>
      <c r="I141" s="45" t="n"/>
      <c r="J141" s="71" t="inlineStr">
        <is>
          <t xml:space="preserve">Ntatu kayi idi nzubu wenu mupete mu ngondu isatu mipita eyi mu dipana dia bintu biabu binene, {crp_salesmain}?
[ENQUETEUR/ENQUETRICE: MANDAMUNA MANYI ADI MUA KUENZA. SUANGANI BIDI BIUMVUANA BIMPAKANE NE LUMU LUA MUENA LUMUE.]
1) Mushinga mukole wa diendesha anyi mushinga mukuabu wa disumbisha
2)Malu makuabu adi atatshisha bantu bua kufika ku tshisalu [tshilejilu/ dipanga dia bukubi/ nzubu mibi ya mudimu/ ne bikuabu]
3) Dikepesha dia dijinga dia bangenda mushinga anyi basumbishi ba pa tshibidilu
4) Dipanga dia makuta kudi bangenda mushinga/basumbishi
5) Mushinga mukesa wa dipana [tshilejilu]
6) Lutatu lua kushintulula mudimu [dipanga dia bintu bia kubueja / biamu bia mudimu / ne bikuabu.]
7) Misoko miule tente
8) Bikuabu
9)KENA MUMANYE
10)MUBENE
</t>
        </is>
      </c>
      <c r="K141" s="45">
        <f>LEN(J141)</f>
        <v/>
      </c>
      <c r="L141" s="47" t="inlineStr">
        <is>
          <t>Select All That Apply</t>
        </is>
      </c>
      <c r="M141" s="52" t="inlineStr">
        <is>
          <t>NA</t>
        </is>
      </c>
      <c r="N141" s="394" t="inlineStr">
        <is>
          <t>NA</t>
        </is>
      </c>
      <c r="O141" s="52" t="inlineStr">
        <is>
          <t>Form Type - Checklist
9,10 = IsNone</t>
        </is>
      </c>
      <c r="P141" s="82" t="inlineStr">
        <is>
          <t>1)crp_saledif_marketing_cost
2)crp_saledif_damage_losses
3)crp_saledif_low_demand
4)crp_saledif_pay_delay
5)crp_saledif_low_price
6)crp_saledif_processing
7)crp_saledif_competition
8)crp_saledif_other
9)crp_saledif_dk
10)crp_saledif_ref</t>
        </is>
      </c>
      <c r="Q141" s="51" t="inlineStr">
        <is>
          <t>1-10 = crp_salesprice</t>
        </is>
      </c>
      <c r="R141" s="51" t="n"/>
      <c r="S141" s="51" t="inlineStr">
        <is>
          <t>if crp_salesdif_2 = 1-10, go to crp_salesprice</t>
        </is>
      </c>
      <c r="T141" s="29" t="inlineStr"/>
      <c r="U141" s="10" t="n"/>
      <c r="V141" s="167">
        <f>#REF!</f>
        <v/>
      </c>
      <c r="W141" s="43" t="n"/>
      <c r="Y141" s="109" t="inlineStr">
        <is>
          <t>yes</t>
        </is>
      </c>
      <c r="Z141" s="564" t="n"/>
      <c r="AC141" s="168" t="n">
        <v>20.76996231079102</v>
      </c>
      <c r="AD141" s="168">
        <f>IF(AC141="","",AC141*V141)</f>
        <v/>
      </c>
      <c r="AE141" s="43" t="e">
        <v>#REF!</v>
      </c>
    </row>
    <row r="142" ht="261" customFormat="1" customHeight="1" s="48" thickBot="1">
      <c r="A142" s="14">
        <f>A141+1</f>
        <v/>
      </c>
      <c r="B142" s="63" t="inlineStr">
        <is>
          <t>crp_salesprice</t>
        </is>
      </c>
      <c r="C142" s="47" t="inlineStr">
        <is>
          <t>crp_salesprice</t>
        </is>
      </c>
      <c r="D142" s="57" t="inlineStr">
        <is>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is>
      </c>
      <c r="E142" s="52" t="n">
        <v>336</v>
      </c>
      <c r="F142" s="114" t="inlineStr">
        <is>
          <t>Comment évaluez-vous le prix actuel de {crp_salesmain} de votre ménage par rapport au prix moyen de la même période de l'année dernière? 
[OPÉRATEUR/OPÉRATRICE: RÉPONSE UNIQUE. INSISTER SUR LA PRINCIPALE PRODUCTION MENTIONNÉE]
1)Très supérieur [augmentation de plus de 50%]
2)Légèrement supérieur
3)Identique
4)Légèrement inférieur
5)Très inférieur [moins de la moitié]
6)NE SAIT PAS
7)REFUSÉ</t>
        </is>
      </c>
      <c r="G142" s="52">
        <f>LEN(F142)</f>
        <v/>
      </c>
      <c r="H142" s="114" t="inlineStr">
        <is>
          <t>Bei ya sasa ya {crp_salesmain} ya famille yako ikilinganishwa na bei ya wastani kwa kipindi kama hicho mwaka uliopita, vipi? 
[OPERATOR: JIBU MOJA. sisitiza BIDHAA KUU ILIYOTAJWA.]
1)Mengi zaidi [imeongezeka kwa zaidi ya 50%]
2)Zaidi kidogo
3)Sawa
4)Kidogo kidogo
5)Chini sana [chini ya nusu zaidi]
6)SIJUE
7)KUKATALA</t>
        </is>
      </c>
      <c r="I142" s="52" t="n"/>
      <c r="J142" s="114" t="inlineStr">
        <is>
          <t xml:space="preserve">Mmunyi muudi mua kufila mushinga wa {crp_salesmain} wa mu nzubu muebe pa kumona mushinga wa tshidimu tshishale?
[ENQUETEUR/TRICE: DIANDAMUNA DIMUE. KUSHINDIKA BIDIMU BINENE BIDIBU BATELA]
1)Mubandile bikole [divulangana dia kupita pa 50%]
2)Mubandile kakese
3)Muomumue
4)Mupuekele kakese
5)Mupuekele bikole [muinshi mua tshitupa]
6)TSHIENA MUMANYE
7)MUBENE
</t>
        </is>
      </c>
      <c r="K142" s="45">
        <f>LEN(J142)</f>
        <v/>
      </c>
      <c r="L142" s="56" t="inlineStr">
        <is>
          <t>Single Choice</t>
        </is>
      </c>
      <c r="M142" s="52" t="inlineStr">
        <is>
          <t>NA</t>
        </is>
      </c>
      <c r="N142" s="52" t="inlineStr">
        <is>
          <t>NA</t>
        </is>
      </c>
      <c r="O142" s="52" t="inlineStr">
        <is>
          <t>Form Type - Buttons</t>
        </is>
      </c>
      <c r="P142" s="82" t="inlineStr">
        <is>
          <t>NA</t>
        </is>
      </c>
      <c r="Q142" s="59" t="inlineStr">
        <is>
          <t>1-7 = ls_intro</t>
        </is>
      </c>
      <c r="R142" s="58" t="n"/>
      <c r="S142" s="204" t="inlineStr">
        <is>
          <t>if crp_salesprice = 1-7, go to ls_intro</t>
        </is>
      </c>
      <c r="T142" s="205" t="inlineStr"/>
      <c r="U142" s="10" t="n"/>
      <c r="V142" s="167">
        <f>#REF!</f>
        <v/>
      </c>
      <c r="W142" s="43" t="n"/>
      <c r="Y142" s="109" t="inlineStr">
        <is>
          <t>yes</t>
        </is>
      </c>
      <c r="Z142" s="564" t="n"/>
      <c r="AC142" s="168" t="n">
        <v>23.56972122192383</v>
      </c>
      <c r="AD142" s="168">
        <f>IF(AC142="","",AC142*V142)</f>
        <v/>
      </c>
      <c r="AE142" s="43" t="e">
        <v>#REF!</v>
      </c>
    </row>
    <row r="143" ht="17.15" customFormat="1" customHeight="1" s="108" thickBot="1">
      <c r="A143" s="569" t="inlineStr">
        <is>
          <t>E. LIVESTOCK PRODUCTION</t>
        </is>
      </c>
      <c r="B143" s="586" t="n"/>
      <c r="C143" s="586" t="n"/>
      <c r="D143" s="586" t="n"/>
      <c r="E143" s="586" t="n"/>
      <c r="F143" s="586" t="n"/>
      <c r="G143" s="586" t="n"/>
      <c r="H143" s="586" t="n"/>
      <c r="I143" s="586" t="n"/>
      <c r="J143" s="586" t="n"/>
      <c r="K143" s="586" t="n"/>
      <c r="L143" s="586" t="n"/>
      <c r="M143" s="586" t="n"/>
      <c r="N143" s="586" t="n"/>
      <c r="O143" s="586" t="n"/>
      <c r="P143" s="586" t="n"/>
      <c r="Q143" s="586" t="n"/>
      <c r="R143" s="586" t="n"/>
      <c r="S143" s="586" t="n"/>
      <c r="T143" s="586" t="n"/>
      <c r="U143" s="587" t="n"/>
      <c r="V143" s="170" t="n"/>
      <c r="W143" s="110" t="n"/>
      <c r="Y143" s="109" t="n"/>
      <c r="Z143" s="111" t="n"/>
      <c r="AC143" s="168" t="n"/>
      <c r="AD143" s="168">
        <f>IF(AC143="","",AC143*V143)</f>
        <v/>
      </c>
      <c r="AE143" s="110">
        <f>IF(Y143="yes",AD143,"")</f>
        <v/>
      </c>
    </row>
    <row r="144" ht="173.25" customFormat="1" customHeight="1" s="48">
      <c r="A144" s="34">
        <f>A142+1</f>
        <v/>
      </c>
      <c r="B144" s="470" t="inlineStr">
        <is>
          <t>ls_intro</t>
        </is>
      </c>
      <c r="C144" s="240" t="inlineStr">
        <is>
          <t>ls_intro</t>
        </is>
      </c>
      <c r="D144" s="471" t="inlineStr">
        <is>
          <t>We will now ask you some questions about livestock production which apply to you and anyone in your household that is involved in livestock production or sales. 
1)CONTINUE</t>
        </is>
      </c>
      <c r="E144" s="45" t="n">
        <v>173</v>
      </c>
      <c r="F144" s="472" t="inlineStr">
        <is>
          <t>Nous allons maintenant vous poser quelques questions sur la production animale. Ces questions s'appliquent à vous et à toute personne de votre ménage impliquée dans la production ou la vente de bétail. 
1)CONTINUER</t>
        </is>
      </c>
      <c r="G144" s="45">
        <f>LEN(F144)</f>
        <v/>
      </c>
      <c r="H144" s="475" t="inlineStr">
        <is>
          <t>Sasa tutakuuliza baadhi ya maswali kuhusu uzalishaji wa mifugo ambayo yanakuhusu wewe na mtu yeyote katika kaya yako anayejihusisha na uzalishaji au mauzo ya mifugo.
1)ENDELEA</t>
        </is>
      </c>
      <c r="I144" s="45" t="n"/>
      <c r="J144" s="71" t="inlineStr">
        <is>
          <t xml:space="preserve">Mpindieu netukuebeje nkonko idi itangila difuka dia nyama. Nkonko eyi idi itangila wewe ne muntu yonso wa mu nzubu muebe udi wenza mudimu wa dienza anyi disumbisha dia bimuna.
1)TUNDUKA
</t>
        </is>
      </c>
      <c r="K144" s="45">
        <f>LEN(J144)</f>
        <v/>
      </c>
      <c r="L144" s="45" t="inlineStr">
        <is>
          <t>Single Choice</t>
        </is>
      </c>
      <c r="M144" s="45" t="inlineStr">
        <is>
          <t>NA</t>
        </is>
      </c>
      <c r="N144" s="45"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O144" s="45" t="inlineStr">
        <is>
          <t>Form Type - Buttons</t>
        </is>
      </c>
      <c r="P144" s="82" t="inlineStr">
        <is>
          <t>NA</t>
        </is>
      </c>
      <c r="Q144" s="44" t="inlineStr">
        <is>
          <t>1 = ls_main</t>
        </is>
      </c>
      <c r="R144" s="44" t="n"/>
      <c r="S144" s="204"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T144" s="205" t="inlineStr"/>
      <c r="U144" s="9" t="n"/>
      <c r="V144" s="170">
        <f>#REF!</f>
        <v/>
      </c>
      <c r="W144" s="43" t="n"/>
      <c r="Y144" s="109" t="inlineStr">
        <is>
          <t>yes</t>
        </is>
      </c>
      <c r="Z144" s="564" t="n"/>
      <c r="AC144" s="168" t="n">
        <v>4.50195837020874</v>
      </c>
      <c r="AD144" s="168">
        <f>IF(AC144="","",AC144*V144)</f>
        <v/>
      </c>
      <c r="AE144" s="43" t="e">
        <v>#REF!</v>
      </c>
    </row>
    <row r="145" ht="323.15" customFormat="1" customHeight="1" s="48">
      <c r="A145" s="34">
        <f>A144+1</f>
        <v/>
      </c>
      <c r="B145" s="89" t="inlineStr">
        <is>
          <t>ls_main</t>
        </is>
      </c>
      <c r="C145" s="47" t="inlineStr">
        <is>
          <t>ls_main</t>
        </is>
      </c>
      <c r="D145" s="473" t="inlineStr">
        <is>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45" s="45">
        <f>LEN(D145)</f>
        <v/>
      </c>
      <c r="F145" s="463" t="inlineStr">
        <is>
          <t>Quel animal votre ménage a-t-il principalement élevé pour se nourrir ou générer des revenus au cours des 12 derniers mois?
[OPÉRATEUR/OPÉRATRICE: RÉPONSE UNIQUE. NE RETENIR QUE L'ANIMAL PRINCIPAL.]
[CONSEIL: N'OUBLIEZ PAS DE POSER DES QUESTIONS SUR LA TRANSHUMANCE - LE DÉPLACEMENT DU BÉTAIL D'UN PÂTURAGE À UN AUTRE.]
1)Bovins [vache / bœuf / veau / yak / buffle]
2)Chèvres
3)Moutons
4)Porcins [cochon / sanglier / porc / etc.]
5)Équidés [âne / cheval / etc]
6)Petits mammifères domestiques [lapin / vison / cochon d'Inde / etc.]
7)Volaille [poulet / pintade / canard / caille / dinde / etc.]
8)Camélidés
9)Autre
10)NE SAIT PAS
11)REFUSÉ</t>
        </is>
      </c>
      <c r="G145" s="45">
        <f>LEN(F145)</f>
        <v/>
      </c>
      <c r="H145" s="65" t="inlineStr">
        <is>
          <t>Ipi kilikuwa kiumbe hai kikuu kinachofugwa na famille yako kwa chakula au kipato katika miezi 12 iliyopita?
[OPERATOR: JIBU MOJA. ULIZA KUHUSU MNYAMA MUHIMU ZAIDI PEKEE.] [DOKEZO: USISAHAU KUFANYA UCHUNGUZI KUHUSU MABADILIKO - KUHAMISHA MIFUGO KUTOKA SHAMBA MOJA LA MALISHO HADI LINGINE.]
1)Ngombe [ng'ombe / nyama ya ngombe / nyama ya ngombe / yak / nyati]
2)Mbuzi
3)Kondoo
4)Ngulube [nguruwe / nguruwe / nguruwe / nk]
5)Farasi [punda / farasi / nk]
6)Mamalia wadogo wanaofugwa [sungura / minki / nguruwe wa Guinea / nk]
7)Kuku [kuku / Ndenge ya guine / bata / kware / Uturuki / nk]
8)Ngamia
9)Yingine
10)SIJUE
11)KUKATALA</t>
        </is>
      </c>
      <c r="I145" s="45" t="n"/>
      <c r="J145" s="398" t="inlineStr">
        <is>
          <t>Nyama kayi uvua bena mu nzubu wenu balame nangananga bua kudia anyi bua kupeta makuta mu ngondo 12 mipite eyi?
[ENQUETEUR/TRICE: DIANDAMUNA DIMUE. KULAMANA ANYI NYAMA MUNENE.][MUBELU: KUPUPUE BUA KUELA NKONKO PA TRANSHUMANCE – DISHINTULUKA DIA BIMUE KUFUMA MU MUDIMU MUMUE KUYA MUKUABU.]
1)Ngombe [ngombe / nyama wa ngombe / muana wa ngombe / yak / ngombe]
2)Mbuji
3)Mikoko
4)Ngulube [ngulube / ngulube wa muitu / ngulube / ne bikuabu]
5) Equidae [mpunda / kabalu / ne bikuabu]
 6) Nyama mikese ya mu nzubu [ngulube / ngulube / ngulube / ne bikuabu]
7) Nyunyi [nkuku / nyunyi wa guinea / nkutshi / nkutshi / nkutshi / ne bikuabu.]
8)Camelidae
9)Bakuabu
10)TSHIENA MUMANYE
11)MUBENE</t>
        </is>
      </c>
      <c r="K145" s="45">
        <f>LEN(J145)</f>
        <v/>
      </c>
      <c r="L145" s="45" t="inlineStr">
        <is>
          <t>Single Choice</t>
        </is>
      </c>
      <c r="M145" s="45" t="inlineStr">
        <is>
          <t>NA</t>
        </is>
      </c>
      <c r="N145" s="45" t="inlineStr">
        <is>
          <t>NA</t>
        </is>
      </c>
      <c r="O145" s="47" t="inlineStr">
        <is>
          <t>Form Type - Buttons
IsDemographic - ls_main</t>
        </is>
      </c>
      <c r="P145" s="82" t="inlineStr">
        <is>
          <t>NA</t>
        </is>
      </c>
      <c r="Q145" s="44" t="inlineStr">
        <is>
          <t>1-9 = ls_num_lastyr
10-11 = ls_proddif</t>
        </is>
      </c>
      <c r="R145" s="44" t="n"/>
      <c r="S145" s="204" t="inlineStr">
        <is>
          <t>if ls_main = 1-9, go to ls_num_lastyr ; 
If ls_main = 10-11, go to ls_proddif</t>
        </is>
      </c>
      <c r="T145" s="205" t="inlineStr"/>
      <c r="U145" s="19" t="n"/>
      <c r="V145" s="170">
        <f>#REF!</f>
        <v/>
      </c>
      <c r="W145" s="43" t="n"/>
      <c r="Y145" s="109" t="inlineStr">
        <is>
          <t>yes</t>
        </is>
      </c>
      <c r="Z145" s="564" t="n"/>
      <c r="AC145" s="168" t="n">
        <v>17.40248489379883</v>
      </c>
      <c r="AD145" s="168">
        <f>IF(AC145="","",AC145*V145)</f>
        <v/>
      </c>
      <c r="AE145" s="43" t="e">
        <v>#REF!</v>
      </c>
    </row>
    <row r="146" ht="104.25" customFormat="1" customHeight="1" s="48">
      <c r="A146" s="14">
        <f>A145+1</f>
        <v/>
      </c>
      <c r="B146" s="63" t="inlineStr">
        <is>
          <t>ls_num_lastyr</t>
        </is>
      </c>
      <c r="C146" s="47" t="inlineStr">
        <is>
          <t>ls_num_lastyr</t>
        </is>
      </c>
      <c r="D146" s="474" t="inlineStr">
        <is>
          <t>How many {ls_main} did you have at the same time last year?
[OPERATOR: RECORD THE NUMBER OF ANIMALS. ENTER 88888 FOR DON'T KNOW AND 99999 FOR REFUSED.]</t>
        </is>
      </c>
      <c r="E146" s="52">
        <f>LEN(D146)</f>
        <v/>
      </c>
      <c r="F146" s="463" t="inlineStr">
        <is>
          <t>Combien de {ls_main} possédiez-vous à la même periode il y a un an?
[OPÉRATEUR/OPÉRATRICE: SAISIR LE NOMBRE D'ANIMAUX. ENTREZ 88888 POUR «NE SAIT PAS» ET 99999 POUR «REFUSÉ».]</t>
        </is>
      </c>
      <c r="G146" s="52">
        <f>LEN(F146)</f>
        <v/>
      </c>
      <c r="H146" s="65" t="inlineStr">
        <is>
          <t>Je, ulikuwa na {ls_main} ngapi kwa wakati mmoja mwaka jana?
[OPERATOR: REKODI IDADI YA WANYAMA. INGIA 88888 KWA SIJUE NA 99999 KWA KUKUKATALA.]</t>
        </is>
      </c>
      <c r="I146" s="52" t="n"/>
      <c r="J146" s="114" t="inlineStr">
        <is>
          <t>Uvua ne {ls_main} bungi kayi musangu umue tshidimu tshishale?
[ENQUETEUR/TRICE: BUELA BUALU BUA NYAMA. BUELA 88888 BUA "TSHIENA MUMANYE" NE 99999 BUA "MUBENE."]</t>
        </is>
      </c>
      <c r="K146" s="45">
        <f>LEN(J146)</f>
        <v/>
      </c>
      <c r="L146" s="56" t="inlineStr">
        <is>
          <t>Range</t>
        </is>
      </c>
      <c r="M146" s="52" t="inlineStr">
        <is>
          <t>NA</t>
        </is>
      </c>
      <c r="N146" s="52" t="inlineStr">
        <is>
          <t>NA</t>
        </is>
      </c>
      <c r="O146" s="52" t="inlineStr">
        <is>
          <t>Form Type - TextBox</t>
        </is>
      </c>
      <c r="P146" s="82" t="inlineStr">
        <is>
          <t>NA</t>
        </is>
      </c>
      <c r="Q146" s="51" t="inlineStr">
        <is>
          <t>0-10000 = ls_num_now
88888-88888 = ls_num_now
99999-99999 = ls_num_now</t>
        </is>
      </c>
      <c r="R146" s="51" t="n"/>
      <c r="S146" s="51" t="inlineStr">
        <is>
          <t>answers can range from 0-10000; any response goes to ls_num_now</t>
        </is>
      </c>
      <c r="T146" s="31" t="inlineStr"/>
      <c r="U146" s="10" t="n"/>
      <c r="V146" s="170">
        <f>#REF!</f>
        <v/>
      </c>
      <c r="W146" s="43" t="n"/>
      <c r="Y146" s="109" t="inlineStr">
        <is>
          <t>yes</t>
        </is>
      </c>
      <c r="Z146" s="564" t="n"/>
      <c r="AC146" s="168" t="n">
        <v>16.33288192749023</v>
      </c>
      <c r="AD146" s="168">
        <f>IF(AC146="","",AC146*V146)</f>
        <v/>
      </c>
      <c r="AE146" s="43" t="e">
        <v>#REF!</v>
      </c>
    </row>
    <row r="147" ht="91.5" customFormat="1" customHeight="1" s="48">
      <c r="A147" s="14">
        <f>A146+1</f>
        <v/>
      </c>
      <c r="B147" s="63" t="inlineStr">
        <is>
          <t>ls_num_now</t>
        </is>
      </c>
      <c r="C147" s="47" t="inlineStr">
        <is>
          <t>ls_num_now</t>
        </is>
      </c>
      <c r="D147" s="448" t="inlineStr">
        <is>
          <t>How many {ls_main} do you have now?
[OPERATOR: RECORD THE NUMBER OF ANIMALS. ENTER 88888 FOR DON'T KNOW AND 99999 FOR REFUSED.]</t>
        </is>
      </c>
      <c r="E147" s="52">
        <f>LEN(D147)</f>
        <v/>
      </c>
      <c r="F147" s="463" t="inlineStr">
        <is>
          <t>Combien de {ls_main} avez-vous maintenant ?
[OPÉRATEUR/OPÉRATRICE: SAISIR LE NOMBRE D'ANIMAUX. ENTREZ 88888 POUR «NE SAIT PAS» ET 99999 POUR «REFUSÉ».]</t>
        </is>
      </c>
      <c r="G147" s="52">
        <f>LEN(F147)</f>
        <v/>
      </c>
      <c r="H147" s="65" t="inlineStr">
        <is>
          <t>Una {ls_main} ngapi sasa?
[OPERATOR: REKODI IDADI YA WANYAMA. INGIA 88888 KWA SIJUE NA 99999 KWA KUKUKATALA.]</t>
        </is>
      </c>
      <c r="I147" s="52" t="n"/>
      <c r="J147" s="114" t="inlineStr">
        <is>
          <t>Udi na {ls_main} bungi munyi mpindieu?
[ENQUETEUR/TRICE: BUELA BUALU BUA NYAMA. BUELA 88888 BUA "TSHIENA MUMANYE" NE 99999 BUA "MUBENE."]</t>
        </is>
      </c>
      <c r="K147" s="45">
        <f>LEN(J147)</f>
        <v/>
      </c>
      <c r="L147" s="56" t="inlineStr">
        <is>
          <t>Range</t>
        </is>
      </c>
      <c r="M147" s="52" t="inlineStr">
        <is>
          <t>NA</t>
        </is>
      </c>
      <c r="N147" s="52" t="inlineStr">
        <is>
          <t>NA</t>
        </is>
      </c>
      <c r="O147" s="52" t="inlineStr">
        <is>
          <t>Form Type - TextBox</t>
        </is>
      </c>
      <c r="P147" s="82" t="inlineStr">
        <is>
          <t>NA</t>
        </is>
      </c>
      <c r="Q147" s="51" t="inlineStr">
        <is>
          <t>0-10000 = ls_num_change
88888-88888 = ls_num_change
99999-99999 = ls_num_change</t>
        </is>
      </c>
      <c r="R147" s="51" t="n"/>
      <c r="S147" s="51" t="inlineStr">
        <is>
          <t>answers can range from 0-10000; any response goes to ls_num_change</t>
        </is>
      </c>
      <c r="T147" s="31" t="inlineStr"/>
      <c r="U147" s="10" t="n"/>
      <c r="V147" s="170">
        <f>#REF!</f>
        <v/>
      </c>
      <c r="W147" s="43" t="n"/>
      <c r="Y147" s="109" t="inlineStr">
        <is>
          <t>yes</t>
        </is>
      </c>
      <c r="Z147" s="564" t="n"/>
      <c r="AC147" s="168" t="n">
        <v>7.41445255279541</v>
      </c>
      <c r="AD147" s="168">
        <f>IF(AC147="","",AC147*V147)</f>
        <v/>
      </c>
      <c r="AE147" s="43" t="e">
        <v>#REF!</v>
      </c>
    </row>
    <row r="148" ht="400.4" customFormat="1" customHeight="1" s="48">
      <c r="A148" s="14">
        <f>A147+1</f>
        <v/>
      </c>
      <c r="B148" s="63" t="inlineStr">
        <is>
          <t>ls_num_change</t>
        </is>
      </c>
      <c r="C148" s="47"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48" s="476"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or killed
11)Killed or gave away more animals than usual for household consumption or celebrations [marriage / funerals / etc]
12)Other
13)DON’T KNOW
14)REFUSED</t>
        </is>
      </c>
      <c r="E148" s="52">
        <f>LEN(D148)</f>
        <v/>
      </c>
      <c r="F148" s="114" t="inlineStr">
        <is>
          <t>Pourquoi le nombre d’animaux que vous possédez a-t-il varié?
[OPÉRATEUR/OPÉRATRICE: PLUSIEURS RÉPONSES POSSIBLES.] 
1)Pas de changement significatif du nombre de têtes de bétail
2)Diminution des ventes
3)Davantage de naissances
4)Davantage d'animaux achetés ou troqués cette année
5)Animaux reçus gratuitement [réapprovisionnement / cadeau]
6)Mort d'animaux due à la malnutrition/ à la sécheresse/ au manque de nourriture 
7)Mort d'animaux due à d'autres facteurs [par ex. maladies/ parasites/ blessures]
8)Davantage de ventes en raison de bons prix
9)Davantage de ventes en raison de ventes de détresse [incapacité à nourrir l'animal / besoin urgent d'argent pour les besoins de base du ménage même si les ventes ne sont pas durables]
10)Animaux échappés/ perdus/ volés ou tués
11)Davantage d'animaux abattus ou donnés pour la consommation du ménage ou pour des cérémonies [mariage / funérailles / etc.]
12)Autre
13)NE SAIT PAS
14)REFUSÉ</t>
        </is>
      </c>
      <c r="G148" s="52">
        <f>LEN(F148)</f>
        <v/>
      </c>
      <c r="H148" s="114" t="inlineStr">
        <is>
          <t>Kwa nini idadi ya mifugo ilibadilika?
[OPERATOR: MAJIBU MENGI YANAWEZEKANA.]
1)Hakuna mabadiliko makubwa katika idadi ya mifugo
2)Hakuuza kama wengi
3)Wengi zaidi walizaliwa
4)Alinunua au kubadilishana wanyama zaidi mwaka huu
5)Wanyama waliopokea bila malipo [kuhifadhi tena / zawadi]
6)Kifo cha wanyama kutokana na utapiamlo/ukame/ukosefu wa chakula
7)Kifo cha mnyama kutokana na mambo mengine [k.m. magonjwa / vimelea / majeraha]
8)Imeuzwa zaidi ya kawaida kwa sababu ya bei nzuri
9)Iliuzwa zaidi ya kawaida kwa sababu ya mauzo ya dhiki [hakuweza kulisha mifugo / kuhitaji pesa kwa dharura kwa mahitaji ya msingi ya kaya hata kama mauzo hayakuwa endelevu]
10)Mnyama alitoroka au alipotea au kuibiwa au kuwa
11)Aliua au alitoa wanyama wengi kuliko kawaida kwa matumizi ya nyumbani au sherehe [ndoa / mazishi / nk]
12)yingine
13)SIJUE
14)KUKATALA</t>
        </is>
      </c>
      <c r="I148" s="45" t="n"/>
      <c r="J148" s="71" t="inlineStr">
        <is>
          <t xml:space="preserve">Bua tshinyi bungi bua nyama iudi nabu budi bushilangane?
[ENQUETEUR/ENQUETRICE: MANDAMUNA MANYI ADI MUA KUENZA.]
1) Kakuena dishintuluka dinene mu bungi bua bimuna to
2) Dipueka dia bintu
3) Diledibua dia bungi
4) Nyama ya bungi misumba anyi mishintuluke tshidimu etshi
5) Nyama ya mu nzubu mipeta tshianana [dipingaja dia bintu/dipa]
6)Lufu lua nyama bua dipanga dia biakudia/ tshiyole tshia nzala/ dipanga dia biakudia
7)Lufu lua nyama bua malu makuabu [e.g. masama/ bipupu/ mputa]
8) Dipana dia bungi bua mishinga mimpe
9)Dipana dia bungi bua dipana dia dikenga [dipanga dia mushindu wa kudisha nyama ya mu nzubu/dijinga dia lukasa dia makuta bua majinga a mu nzubu nansha mudi dipana kadiyi dikumbane]
10)Nyama minyema/ mijimine/ miiba anyi mishipa
11)Nyama ya bungi mishipa anyi mifila bua kudia mu nzubu anyi bua mifikilu [mabaka/madilu/ne bikuabu.]
12) Bikuabu
13)KENA MUMANYE
14)MUBENE
</t>
        </is>
      </c>
      <c r="K148" s="45">
        <f>LEN(J148)</f>
        <v/>
      </c>
      <c r="L148" s="47" t="inlineStr">
        <is>
          <t>Select All That Apply</t>
        </is>
      </c>
      <c r="M148" s="52" t="inlineStr">
        <is>
          <t>NA</t>
        </is>
      </c>
      <c r="N148" s="52" t="inlineStr">
        <is>
          <t>NA</t>
        </is>
      </c>
      <c r="O148" s="52" t="inlineStr">
        <is>
          <t>Form Type - Checklist
1,13,14 = IsNone</t>
        </is>
      </c>
      <c r="P148" s="82"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Q148" s="51" t="inlineStr">
        <is>
          <t>1-14 = ls_gone</t>
        </is>
      </c>
      <c r="R148" s="44" t="n"/>
      <c r="S148" s="65" t="inlineStr">
        <is>
          <t>If ls_num_change 1-14 = [ls_proddif OR ls_gone OR optional question]</t>
        </is>
      </c>
      <c r="T148" s="205" t="inlineStr"/>
      <c r="U148" s="10" t="n"/>
      <c r="V148" s="170">
        <f>'[1]Additional information'!$D$18</f>
        <v/>
      </c>
      <c r="W148" s="43" t="n"/>
      <c r="Y148" s="109" t="inlineStr">
        <is>
          <t>yes</t>
        </is>
      </c>
      <c r="Z148" s="564" t="n"/>
      <c r="AC148" s="168" t="n">
        <v>17.79113578796387</v>
      </c>
      <c r="AD148" s="168">
        <f>IF(AC148="","",AC148*V148)</f>
        <v/>
      </c>
      <c r="AE148" s="43" t="inlineStr">
        <is>
          <t>16.18993356704712</t>
        </is>
      </c>
      <c r="AH148" s="197" t="n"/>
      <c r="AI148" s="197" t="n"/>
      <c r="AK148" s="197" t="n"/>
      <c r="AM148" s="197" t="n"/>
    </row>
    <row r="149" ht="186" customFormat="1" customHeight="1" s="48">
      <c r="A149" s="14">
        <f>A148+1</f>
        <v/>
      </c>
      <c r="B149" s="62" t="inlineStr">
        <is>
          <t>ls_gone</t>
        </is>
      </c>
      <c r="C149" s="131" t="inlineStr">
        <is>
          <t>ls_gone_
1)ls_gone_lost
2)ls_gone_escape
3)ls_gone_stolen
4)ls_gone_killed
5)ls_gone_dk
6)ls_gone_ref</t>
        </is>
      </c>
      <c r="D149" s="132" t="inlineStr">
        <is>
          <t>Can you specify whether your animals escaped, were lost, stolen or killed? 
[OPERATOR: MULTIPLE RESPONSES POSSIBLE.]
1)Lost during migration
2)Escaped
3)Stolen
4)Killed
5)DON'T KNOW
6)REFUSED</t>
        </is>
      </c>
      <c r="E149" s="16" t="n">
        <v>194</v>
      </c>
      <c r="F149" s="463" t="inlineStr">
        <is>
          <t>Pouvez-vous préciser si vos animaux se sont échappés, ont été perdus, volés ou tués ? 
[OPÉRATEUR/OPÉRATRICE: PLUSIEURS RÉPONSES POSSIBLES].
1)Perdus pendant la migration
2)Échappés
3)Volés
4)Tués
5)NE SAIT PAS
6)REFUSÉ</t>
        </is>
      </c>
      <c r="G149" s="16">
        <f>LEN(F149)</f>
        <v/>
      </c>
      <c r="H149" s="437" t="inlineStr">
        <is>
          <t>Je, unaweza kubainisha ikiwa wanyama wako wametoroka, wamepotea, wameibiwa au wameuawa?
[OPERATOR: MAJIBU KADHAA YANAWEZEKANA].
1)Imepotea wakati wa kuhama
2)Ilitoroka
3)Imeibiwa
4)Kuuawa
5)SIJUE
6)KUKATALA</t>
        </is>
      </c>
      <c r="I149" s="133" t="n"/>
      <c r="J149" s="206" t="inlineStr">
        <is>
          <t xml:space="preserve">Udiku mua kuleja ni nyama yebe mminyeme, mijimine, miiba anyi mishipa anyi?
[ENQUETEUR/TRICE: MANDAMUNA MANYI ADI MUA KUENZA].
1)Mujimine mu tshikondo tshia dishiya
2)Munyeme
3)Muibe
4)Mushipe
5)KAYI MUMANYE
6)MUBENE
</t>
        </is>
      </c>
      <c r="K149" s="45">
        <f>LEN(J149)</f>
        <v/>
      </c>
      <c r="L149" s="47" t="inlineStr">
        <is>
          <t>Select All That Apply</t>
        </is>
      </c>
      <c r="M149" s="16" t="inlineStr">
        <is>
          <t>NA</t>
        </is>
      </c>
      <c r="N149" s="16" t="inlineStr">
        <is>
          <t>Send if "ls_num_change" "Contains" "Animal escaped or was lost or stolen or killed" if not satisfied go to "ls_feed"</t>
        </is>
      </c>
      <c r="O149" s="16" t="inlineStr">
        <is>
          <t>Form Type - Checklist
5,6 = IsNone</t>
        </is>
      </c>
      <c r="P149" s="26" t="inlineStr">
        <is>
          <t>1)ls_gone_lost
2)ls_gone_escape
3)ls_gone_stolen
4)ls_gone_killed
5)ls_gone_dk
6)ls_gone_ref</t>
        </is>
      </c>
      <c r="Q149" s="29" t="inlineStr">
        <is>
          <t>1-6 = ls_feed</t>
        </is>
      </c>
      <c r="R149" s="29" t="n"/>
      <c r="S149" s="236" t="inlineStr">
        <is>
          <t>For any response, go to ls_proddif or optional question</t>
        </is>
      </c>
      <c r="T149" s="31" t="inlineStr"/>
      <c r="U149" s="10" t="n"/>
      <c r="V149" s="167">
        <f>'[1]Additional information'!$D$18</f>
        <v/>
      </c>
      <c r="W149" s="43" t="n"/>
      <c r="Y149" s="50" t="inlineStr">
        <is>
          <t>no</t>
        </is>
      </c>
      <c r="Z149" s="564" t="n"/>
      <c r="AC149" s="169" t="n"/>
      <c r="AD149" s="169">
        <f>IF(AC149="","",AC149*V149)</f>
        <v/>
      </c>
      <c r="AE149" s="43" t="inlineStr"/>
      <c r="AH149" s="197" t="n"/>
      <c r="AI149" s="197" t="n"/>
      <c r="AM149" s="199" t="n"/>
    </row>
    <row r="150" ht="238.4" customFormat="1" customHeight="1" s="48">
      <c r="A150" s="14">
        <f>A149+1</f>
        <v/>
      </c>
      <c r="B150" s="62" t="inlineStr">
        <is>
          <t>ls_feed</t>
        </is>
      </c>
      <c r="C150" s="131" t="inlineStr">
        <is>
          <t>ls_feed
1) ls_feed_open_pasture
2) ls_feed_common_pasture
3) ls_feed_self_produced
4) ls_feed_purchased
5) ls_feed_free_dist
6) ls_feed_other
7) ls_feed_dk
8) ls_feed_ref</t>
        </is>
      </c>
      <c r="D150" s="132" t="inlineStr">
        <is>
          <t>Where do you usually access feed for your {ls_main}?  
[OPERATOR: MULTIPLE RESPONSES POSSIBLE.] 
1)Open pasture
2)Community-managed pasture land
3)Owned or rented field or self-produced fodder
4)Purchase feed or fodder at the market
5)Free distribution [UN/ government/ NGOs/ neighbors/ friends/ family/ etc.]
6)Other
7)DON'T KNOW
8)REFUSED</t>
        </is>
      </c>
      <c r="E150" s="16" t="n">
        <v>342</v>
      </c>
      <c r="F150" s="15" t="inlineStr">
        <is>
          <t>Où vous procurez-vous habituellement l'alimentation pour votre {ls_main}?
[OPÉRATEUR/OPÉRATRICE: PLUSIEURS RÉPONSES POSSIBLES.] 
1)Pâturages ouverts
2)Pâturages gérés par la communauté
3)Champ possédé ou loué/ ou fourrage auto-produit
4)Achat d'aliments/fourrage sur les marchés
5)Distributions gratuites [ONU/ Gouvernement/ ONG/ voisins/ amis/ famille/ etc.]
6)Autre
7)NE SAIT PAS
8)REFUSÉ</t>
        </is>
      </c>
      <c r="G150" s="16">
        <f>LEN(F150)</f>
        <v/>
      </c>
      <c r="H150" s="15" t="inlineStr">
        <is>
          <t>Je/ kwa jumla ni wapi una lishiya {ls_main} yako?
[OPERATOR: MAJIBU MENGI YANAWEZEKANA.]
1)Malisho ya wazi
2)Ardhi ya malisho inayosimamiwa na jamii
3)Shamba linalomilikiwa au kukodishwa au malisho ya mifugo yenyewe
4)Nunua chakula au malisho sokoni
5)Usambazaji wa bure [ONU/Serekali/ONG/Voisins/Rafiki/Djama/etc]
6)Yingine
7)SIJUE
8)KUKATALA</t>
        </is>
      </c>
      <c r="I150" s="133" t="n"/>
      <c r="J150" s="206" t="inlineStr">
        <is>
          <t xml:space="preserve">Utu upeta penyi bukole bua {ls_main} webe?
[ENQUETEUR/TRICE: MANDAMUNA MANYI ADI MUA KUENZA.]
1)Madimi a nyama miunzulula
2)Madimi adibu balombola kudi bena mutumba
3)Madimi adibu nawu anyi adibu bafutshila/ anyi biakudia bia nyama 
4)Disumba dia biakudia/biakudia bia nyama ku misoko
5)Diabanya dia tshianana [ONU/ Mbulamatadi/ ONG/ bena mutumba/ balunda/ bena mu dîku/ ne bikuabu]
6)Bikuabu
7)TSHIENA MUMANYE
8)MUBENE
</t>
        </is>
      </c>
      <c r="K150" s="45">
        <f>LEN(J150)</f>
        <v/>
      </c>
      <c r="L150" s="131" t="inlineStr">
        <is>
          <t>Select All That Apply</t>
        </is>
      </c>
      <c r="M150" s="16" t="inlineStr">
        <is>
          <t>NA</t>
        </is>
      </c>
      <c r="N150" s="16" t="inlineStr">
        <is>
          <t>NA</t>
        </is>
      </c>
      <c r="O150" s="16" t="inlineStr">
        <is>
          <t>Form Type - Checklist
7,8 = IsNone</t>
        </is>
      </c>
      <c r="P150" s="25" t="inlineStr">
        <is>
          <t>1)ls_feed_open_pasture
2)ls_feed_common_pasture
3)ls_feed_self_produced
4)ls_feed_purchased
5)ls_feed_free_dist
6)ls_feed_other
7)ls_feed_dk
8)ls_feed_ref</t>
        </is>
      </c>
      <c r="Q150" s="29" t="inlineStr">
        <is>
          <t>1-8 = ls_feed_freedist</t>
        </is>
      </c>
      <c r="R150" s="29" t="n"/>
      <c r="S150" s="236" t="inlineStr">
        <is>
          <t>For any response, go to ls_proddif or ls_feed_freedist or optional question</t>
        </is>
      </c>
      <c r="T150" s="218" t="inlineStr"/>
      <c r="U150" s="10" t="n"/>
      <c r="V150" s="167">
        <f>'[1]Additional information'!$D$18</f>
        <v/>
      </c>
      <c r="W150" s="43" t="n"/>
      <c r="Y150" s="50" t="inlineStr">
        <is>
          <t>no</t>
        </is>
      </c>
      <c r="Z150" s="564" t="n"/>
      <c r="AC150" s="169" t="n">
        <v>18.08681678771973</v>
      </c>
      <c r="AD150" s="169">
        <f>IF(AC150="","",AC150*V150)</f>
        <v/>
      </c>
      <c r="AE150" s="43" t="inlineStr"/>
      <c r="AH150" s="197" t="n"/>
      <c r="AK150" s="237" t="n"/>
      <c r="AM150" s="238" t="n"/>
    </row>
    <row r="151" ht="168.75" customFormat="1" customHeight="1" s="48">
      <c r="A151" s="14">
        <f>A150+1</f>
        <v/>
      </c>
      <c r="B151" s="62" t="inlineStr">
        <is>
          <t>ls_feed_freedist</t>
        </is>
      </c>
      <c r="C151" s="131" t="inlineStr">
        <is>
          <t>ls_feed_freedist
1)ls_feed_freedist_un_ngo
2)ls_feed_freedist_gov
3)ls_feed_freedist_comm
4)ls_feed_freedist_dk
5)ls_feed_freedist_ref</t>
        </is>
      </c>
      <c r="D151" s="132" t="inlineStr">
        <is>
          <t>Who typically provides the free distribution?
[OPERATOR: MULTIPLE RESPONSES POSSIBLE.]
1)UN agencies or NGOs
2)Government
3)Neighbors/ family/ or friends
4)DON'T KNOW
5)REFUSED</t>
        </is>
      </c>
      <c r="E151" s="16" t="n">
        <v>178</v>
      </c>
      <c r="F151" s="463" t="inlineStr">
        <is>
          <t>Qui fournit la distribution gratuite habituellement?
[OPÉRATEUR/OPÉRATRICE: PLUSIEURS RÉPONSES POSSIBLES].
1)Agences de l'ONU ou ONG
2)Gouvernement
3)Voisins/ famille ou amis
4)NE SAIT PAS
5)REFUSÉ</t>
        </is>
      </c>
      <c r="G151" s="16">
        <f>LEN(F151)</f>
        <v/>
      </c>
      <c r="H151" s="442" t="inlineStr">
        <is>
          <t>Nani kwa kawaida hutoa usambazaji wa bure?
[OPERATOR: MAJIBU KADHAA YANAWEZEKANA]
1)Mashirika ya Umoja wa Mataifa au NGOs
2)Serikali
3)Majirani/familia au marafiki
4)SIJUE
5)KUKATALA</t>
        </is>
      </c>
      <c r="I151" s="16" t="n"/>
      <c r="J151" s="60" t="inlineStr">
        <is>
          <t xml:space="preserve">Nnganyi utu pa tshibidilu ufila diabanya dia tshianana?
[ENQUETEUR/TRICE: MANDAMUNA MANYI ADI MUA KUENZA].
1)Bibambalu bia ONU anyi ONG
2)Mbulamatadi
3)Bena mutumba/ bena mu dîku anyi balunda
4)TSHIENA MUMANYE
5)MUBENE
</t>
        </is>
      </c>
      <c r="K151" s="45">
        <f>LEN(J151)</f>
        <v/>
      </c>
      <c r="L151" s="134" t="inlineStr">
        <is>
          <t>Select All That Apply</t>
        </is>
      </c>
      <c r="M151" s="16" t="inlineStr">
        <is>
          <t>NA</t>
        </is>
      </c>
      <c r="N151" s="16" t="inlineStr">
        <is>
          <t>Send if "ls_feed" "Contains" "Free distribution [UN/ government/ NGOs/ neighbors/ friends/ family/ etc.]" if not satisfied go to "ls_proddif"</t>
        </is>
      </c>
      <c r="O151" s="16" t="inlineStr">
        <is>
          <t>Form Type - Checklist
4,5 = IsNone</t>
        </is>
      </c>
      <c r="P151" s="26" t="inlineStr">
        <is>
          <t>1)ls_feed_freedist_un_ngo
2)ls_feed_freedist_gov
3)ls_feed_freedist_comm
4)ls_feed_freedist_dk
5)ls_feed_freedist_ref</t>
        </is>
      </c>
      <c r="Q151" s="29" t="inlineStr">
        <is>
          <t>1-5 = ls_proddif</t>
        </is>
      </c>
      <c r="R151" s="29" t="n"/>
      <c r="S151" s="236" t="inlineStr">
        <is>
          <t>Asked only to respondents that reported "Free distribution" in the previous question. 
For any response, go to ls_proddif</t>
        </is>
      </c>
      <c r="T151" s="31" t="inlineStr"/>
      <c r="U151" s="10" t="n"/>
      <c r="V151" s="167">
        <f>'[1]Additional information'!$D$18</f>
        <v/>
      </c>
      <c r="W151" s="43" t="n"/>
      <c r="Y151" s="50" t="inlineStr">
        <is>
          <t>no</t>
        </is>
      </c>
      <c r="Z151" s="564" t="n"/>
      <c r="AC151" s="169" t="n"/>
      <c r="AD151" s="169">
        <f>IF(AC151="","",AC151*V151)</f>
        <v/>
      </c>
      <c r="AE151" s="43" t="inlineStr"/>
      <c r="AM151" s="199" t="n"/>
    </row>
    <row r="152" ht="153" customFormat="1" customHeight="1" s="48">
      <c r="A152" s="14">
        <f>A151+1</f>
        <v/>
      </c>
      <c r="B152" s="63" t="inlineStr">
        <is>
          <t>ls_proddif</t>
        </is>
      </c>
      <c r="C152" s="47" t="inlineStr">
        <is>
          <t>ls_proddif</t>
        </is>
      </c>
      <c r="D152" s="57" t="inlineStr">
        <is>
          <t>Has your household faced any significant difficulty with livestock production over the last 3 months?
[OPERATOR: SINGLE RESPONSE.]
1)YES 
2)NO
3)DON'T KNOW
4)REFUSED</t>
        </is>
      </c>
      <c r="E152" s="52" t="n">
        <v>167</v>
      </c>
      <c r="F152" s="114" t="inlineStr">
        <is>
          <t>Votre ménage a-t-il rencontré d'importantes difficultés en matière d'élevage au cours des trois derniers mois?
[OPÉRATEUR/OPÉRATRICE: RÉPONSE UNIQUE.]
1)OUI
2)NON
3)NE SAIT PAS
4)REFUSÉ</t>
        </is>
      </c>
      <c r="G152" s="52">
        <f>LEN(F152)</f>
        <v/>
      </c>
      <c r="H152" s="114" t="inlineStr">
        <is>
          <t>Kaya yako imekabiliwa na ugumu wowote wa uzalishaji wa mifugo katika kipindi cha miezi 3 iliyopita?
[OPERATOR: JIBU MOJA.]
1)NDIYO
2)HAPANA
3)SIJUE
4)KUKATALA</t>
        </is>
      </c>
      <c r="I152" s="52" t="n"/>
      <c r="J152" s="114" t="inlineStr">
        <is>
          <t xml:space="preserve">Nzubu wenu mmupeta ntatu mikole mu dilama dia bimuna mu ngondu isatu mipita anyi?
[ENQUETEUR/TRICE:Bipwebo imwe.]
1) EYOWA
2) TO
3) TSHIENA MUMANYE
4)MUBENE
</t>
        </is>
      </c>
      <c r="K152" s="45">
        <f>LEN(J152)</f>
        <v/>
      </c>
      <c r="L152" s="56" t="inlineStr">
        <is>
          <t>Single Choice</t>
        </is>
      </c>
      <c r="M152" s="52" t="inlineStr">
        <is>
          <t>NA</t>
        </is>
      </c>
      <c r="N152" s="52" t="inlineStr">
        <is>
          <t>NA</t>
        </is>
      </c>
      <c r="O152" s="52" t="inlineStr">
        <is>
          <t>Form Type - Buttons</t>
        </is>
      </c>
      <c r="P152" s="82" t="inlineStr">
        <is>
          <t>NA</t>
        </is>
      </c>
      <c r="Q152" s="51" t="inlineStr">
        <is>
          <t>1=ls_proddif_2
2-4= ls_salesmain</t>
        </is>
      </c>
      <c r="R152" s="51" t="n"/>
      <c r="S152" s="51" t="inlineStr">
        <is>
          <t>if ls_proddif = 1, go to ls_proddif_2 ; 
if ls_proddif = 2-4, go to [ls_salesmain OR optional question]</t>
        </is>
      </c>
      <c r="T152" s="31" t="inlineStr"/>
      <c r="U152" s="10" t="n"/>
      <c r="V152" s="170">
        <f>#REF!</f>
        <v/>
      </c>
      <c r="W152" s="43" t="n"/>
      <c r="Y152" s="109" t="inlineStr">
        <is>
          <t>yes</t>
        </is>
      </c>
      <c r="Z152" s="564" t="n"/>
      <c r="AC152" s="168" t="n">
        <v>10.37455940246582</v>
      </c>
      <c r="AD152" s="168">
        <f>IF(AC152="","",AC152*V152)</f>
        <v/>
      </c>
      <c r="AE152" s="43" t="e">
        <v>#REF!</v>
      </c>
    </row>
    <row r="153" ht="372" customFormat="1" customHeight="1" s="48" thickBot="1">
      <c r="A153" s="14">
        <f>A152+1</f>
        <v/>
      </c>
      <c r="B153" s="401" t="inlineStr">
        <is>
          <t>ls_proddif_2</t>
        </is>
      </c>
      <c r="C153" s="53"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53" s="57"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is>
      </c>
      <c r="E153" s="52" t="n">
        <v>662</v>
      </c>
      <c r="F153" s="114" t="inlineStr">
        <is>
          <t>Quelles difficultés votre ménage a-t-il rencontrées en matière d'élevage au cours des trois derniers mois ?
[OPÉRATEUR/OPÉRATRICE: PLUSIEURS RÉPONSES POSSIBLES. SÉLECTIONNER LA OU LES OPTIONS QUI CORRESPONDENT LE MIEUX AUX INFORMATIONS PROPOSÉES PAR LES RÉPONDANTS.]
1)Difficulté à acheter des aliments pour animaux [prix ou accès au marché]
2)Accès aux pâturages
3)Accès à l'eau
4)Accès aux services vétérinaires [vaccins / traitements / pulvérisations / conseils / etc.]
5)Accès aux intrants vétérinaires [médicaments pour animaux / outils pour la santé animale / etc.]
6)Maladies ou blessures du bétail
7)Vol de bétail
8)Accès aux marchés de bétail pour acheter de jeunes animaux
9)Accès au crédit
10)Accès à la main-d'œuvre
11)Autre
12)NE SAIT PAS
13)REFUS</t>
        </is>
      </c>
      <c r="G153" s="52">
        <f>LEN(F153)</f>
        <v/>
      </c>
      <c r="H153" s="57" t="inlineStr">
        <is>
          <t>Kaya yako imekumbana na matatizo gani ya uzalishaji wa mifugo katika kipindi cha miezi 3 iliyopita?
[OPERATOR: MAJIBU MENGI YANAWEZEKANA. CHAGUA CHAGUO LINALOFAA VYEMA NA MAELEZO ILIYOTOLEWA NA WAHOJIWA.]
1)Ugumu wa kununua malisho [k.m. bei au upatikanaji wa soko]
2)Upatikanaji wa malisho
3)Upatikanaji wa maji
4)Upatikanaji wa huduma za mifugo [chanjo / matibabu / dawa / ushauri nk]
5)Upatikanaji wa pembejeo za mifugo [dawa kwa wanyama / zana za afya ya wanyama / nk]
6)Magonjwa ya mifugo au kuumia
7)Wizi wa mifugo
8)Upatikanaji wa soko la mifugo kununua mifugo midogo
9)Upatikanaji wa mkopo
10)Upatikanaji wa nguvu kazi
11)yingine 
12)SIJUE
13)KUKATALA</t>
        </is>
      </c>
      <c r="I153" s="45" t="n"/>
      <c r="J153" s="71" t="inlineStr">
        <is>
          <t xml:space="preserve">Ntatu kayi idi bena mu nzubu wenu bapeta ne bimuna mu ngondu isatu mipita eyi?
[ENQUETEUR/TRICE: MANDAMUNA MANYI ADI MUA KUENZA. SUANGANI BIDI BIUMVUANA BIMPAKANE NE MANYI ADI BANTU BADI BANDAMUNA.]
1)Lutatu lua kusumba biakudia bia nyama [mushinga anyi mushindu wa kufika ku tshisalu]
2)Dipeta dia madimi
3)Dipeta dia mayi
4)Dipeta dia midimu ya baminganga ba nyama [dikuba/diondapa/diela/mibelu/bikuabu]
5) Dipeta dia bintu bia munganga wa nyama [manga a nyama / bintu bia mudimu bia nyama / ne bikuabu.]
6)Masama anyi mputa ya bimuna
7)Buivi bua bimuna
8)Dibuela mu misoko ya bimuna bua kusumba bana ba nyama
9)Dipeta dia mfranga
10)Dipeta dia mudimu
11)Bikuabu
12)TSHIENA MUMANYE
13)MUBENE
</t>
        </is>
      </c>
      <c r="K153" s="45">
        <f>LEN(J153)</f>
        <v/>
      </c>
      <c r="L153" s="47" t="inlineStr">
        <is>
          <t>Select All That Apply</t>
        </is>
      </c>
      <c r="M153" s="52" t="inlineStr">
        <is>
          <t>NA</t>
        </is>
      </c>
      <c r="N153" s="52" t="inlineStr">
        <is>
          <t>NA</t>
        </is>
      </c>
      <c r="O153" s="52" t="inlineStr">
        <is>
          <t>Form Type - Checklist
12,13 = IsNone</t>
        </is>
      </c>
      <c r="P153" s="82"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Q153" s="57" t="inlineStr">
        <is>
          <t>1-13 = ls_salesmain</t>
        </is>
      </c>
      <c r="R153" s="239" t="n"/>
      <c r="S153" s="57" t="inlineStr">
        <is>
          <t>if ls_proddif_2 = 1-13, go to ls_salesmain OR optional question</t>
        </is>
      </c>
      <c r="T153" s="29" t="inlineStr"/>
      <c r="U153" s="10" t="n"/>
      <c r="V153" s="170">
        <f>#REF!</f>
        <v/>
      </c>
      <c r="W153" s="43" t="n"/>
      <c r="Y153" s="109" t="inlineStr">
        <is>
          <t>yes</t>
        </is>
      </c>
      <c r="Z153" s="564" t="n"/>
      <c r="AC153" s="168" t="n">
        <v>19.61676216125488</v>
      </c>
      <c r="AD153" s="168">
        <f>IF(AC153="","",AC153*V153)</f>
        <v/>
      </c>
      <c r="AE153" s="43" t="e">
        <v>#REF!</v>
      </c>
    </row>
    <row r="154" ht="17.15" customFormat="1" customHeight="1" s="108" thickBot="1">
      <c r="A154" s="569" t="inlineStr">
        <is>
          <t>E. LIVESTOCK MARKETING</t>
        </is>
      </c>
      <c r="B154" s="586" t="n"/>
      <c r="C154" s="586" t="n"/>
      <c r="D154" s="586" t="n"/>
      <c r="E154" s="586" t="n"/>
      <c r="F154" s="586" t="n"/>
      <c r="G154" s="586" t="n"/>
      <c r="H154" s="586" t="n"/>
      <c r="I154" s="586" t="n"/>
      <c r="J154" s="586" t="n"/>
      <c r="K154" s="586" t="n"/>
      <c r="L154" s="586" t="n"/>
      <c r="M154" s="586" t="n"/>
      <c r="N154" s="586" t="n"/>
      <c r="O154" s="586" t="n"/>
      <c r="P154" s="586" t="n"/>
      <c r="Q154" s="586" t="n"/>
      <c r="R154" s="586" t="n"/>
      <c r="S154" s="586" t="n"/>
      <c r="T154" s="586" t="n"/>
      <c r="U154" s="587" t="n"/>
      <c r="V154" s="170" t="n"/>
      <c r="W154" s="110" t="n"/>
      <c r="Y154" s="109" t="n"/>
      <c r="Z154" s="111" t="n"/>
      <c r="AC154" s="168" t="n"/>
      <c r="AD154" s="168">
        <f>IF(AC154="","",AC154*V154)</f>
        <v/>
      </c>
      <c r="AE154" s="110">
        <f>IF(Y154="yes",AD154,"")</f>
        <v/>
      </c>
    </row>
    <row r="155" ht="323.15" customFormat="1" customHeight="1" s="48">
      <c r="A155" s="34">
        <f>A153+1</f>
        <v/>
      </c>
      <c r="B155" s="89" t="inlineStr">
        <is>
          <t>ls_salesmain</t>
        </is>
      </c>
      <c r="C155" s="47" t="inlineStr">
        <is>
          <t>ls_salesmain</t>
        </is>
      </c>
      <c r="D155" s="477"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55" s="45" t="n">
        <v>503</v>
      </c>
      <c r="F155" s="114" t="inlineStr">
        <is>
          <t>Quel était le principal animal ou produit animal vendu par votre ménage au cours des trois derniers mois?
[OPÉRATEUR/OPÉRATRICE: RÉPONSE UNIQUE. INSISTER SUR LE PRODUIT PRINCIPAL.]
1)Bovins [vache / bœuf / veau / yak / buffle]
2)Chèvres
3)Moutons
4)Porcins [cochon / sanglier / porc / etc.]
5)Équidés [âne / cheval / etc.]
6)Petits mammifères domestiques [lapins / visons / cochons d'Inde / etc.]
7)Volailles [poulets / pintades / canards / cailles / dindes / etc.]
8)Camélidés
9)Œufs
10)Lait ou produits laitiers
11)Peau/ cuir ou laine
12)NE SAIT PAS
13)REFUSÉ</t>
        </is>
      </c>
      <c r="G155" s="45">
        <f>LEN(F155)</f>
        <v/>
      </c>
      <c r="H155" s="114" t="inlineStr">
        <is>
          <t>Ni mifugo gani kuu au bidhaa ya mifugo iliyouzishwa na kaya yako katika kipindi cha miezi 3 iliyopita?
[OPERATOR: JIBU MOJA. sisitiza BIDHAA KUU.]
1)Ngombe [ngombe / nyama ya ng'ombe / nyama ya ngombe / yak / nyati]
2)Mbuzi
3)Kondoo
4)Ngulube [nguruwe / nguruwe / nguruwe / nk]
5)Farasi [punda / farasi / nk]
6)Mamalia wadogo wanaofugwa [sungura / minki / nguruwe wa Guinea / nk]
7)Kuku [kuku / Ndege ya guine / bata / kware / Uturuki / nk]
8)Ngamia
9)Mayai
10)Maziwa au bidhaa za maziwa
11)Ngozi au ngozi au pamba
12)SIJUE
13)KUKATALA</t>
        </is>
      </c>
      <c r="I155" s="45" t="n"/>
      <c r="J155" s="71" t="inlineStr">
        <is>
          <t xml:space="preserve">
Nnyama kayi anyi bintu bia nyama bivuabu bapane kudi bena mu nzubu muebe mu ngondo isatu mimane kupita?
[ENQUETEUR/TRICE: DIANDAMUNA DIMUE. KUSHINDIKA BUA BUALU BUNENE.]
1) Ngombe [ngombe / ngombe / muana wa ngombe / yak / ngombe]
2)Mbuji
3)Mikoko
4) Ngulube [ngulube / ngulube wa muitu / ngulube / ne bikuabu]
5) Tubalu [mpunda / kabalu / ne bikuabu]
6)Banyama bakese ba mu nzubu [tululu / mink / ngulube wa guinée / ne bikuabu.]
7) Nyunyi [nkuku / nyunyi wa guinée / ntambue / nkutshi / nkutshi / ne bikuabu.]
8) Kamela
9) Mayi
10)Mabele anyi bintu bia mabele
11)Tshikoba/ tshiseba anyi miosa ya mikoko
12)KENA MUMANYE
13)MUBENE
</t>
        </is>
      </c>
      <c r="K155" s="45">
        <f>LEN(J155)</f>
        <v/>
      </c>
      <c r="L155" s="54" t="inlineStr">
        <is>
          <t>Single Choice</t>
        </is>
      </c>
      <c r="M155" s="45" t="inlineStr">
        <is>
          <t>NA</t>
        </is>
      </c>
      <c r="N155" s="45" t="inlineStr">
        <is>
          <t>Send if "income_main" "Equals" "Production and sale of livestock or livestock products" Or "income_sec" "Equals" "Production and sale of livestock or livestock products" Or "income_third" "Equals" "Production and sale of livestock or livestock products" if not satisfied go to "fish_intro"</t>
        </is>
      </c>
      <c r="O155" s="47" t="inlineStr">
        <is>
          <t>Form Type - Buttons
IsDemographic - ls_salesmain</t>
        </is>
      </c>
      <c r="P155" s="82" t="inlineStr">
        <is>
          <t>NA</t>
        </is>
      </c>
      <c r="Q155" s="44" t="inlineStr">
        <is>
          <t>1-11 = ls_salesdif
12-13 = fish_intro</t>
        </is>
      </c>
      <c r="R155" s="44" t="n"/>
      <c r="S155" s="44" t="inlineStr">
        <is>
          <t>If either income_main or income_sec or income_third = "Production and sale of livestock or livestock products", then this section will be asked to respondents.
Otherwise, skip to fish_main.
if ls_salesmain = 1-11, go to ls_salesdif ; 
if ls_salesmain = 12-13, go to fish_intro</t>
        </is>
      </c>
      <c r="T155" s="31" t="inlineStr"/>
      <c r="U155" s="9" t="n"/>
      <c r="V155" s="170">
        <f>#REF!</f>
        <v/>
      </c>
      <c r="W155" s="43" t="n"/>
      <c r="Y155" s="109" t="inlineStr">
        <is>
          <t>yes</t>
        </is>
      </c>
      <c r="Z155" s="564" t="n"/>
      <c r="AC155" s="168" t="n">
        <v>12.99236297607422</v>
      </c>
      <c r="AD155" s="168">
        <f>IF(AC155="","",AC155*V155)</f>
        <v/>
      </c>
      <c r="AE155" s="43" t="e">
        <v>#REF!</v>
      </c>
    </row>
    <row r="156" ht="153" customFormat="1" customHeight="1" s="48">
      <c r="A156" s="14">
        <f>A155+1</f>
        <v/>
      </c>
      <c r="B156" s="447" t="inlineStr">
        <is>
          <t>ls_salesdif</t>
        </is>
      </c>
      <c r="C156" s="47" t="inlineStr">
        <is>
          <t>ls_salesdif</t>
        </is>
      </c>
      <c r="D156" s="57" t="inlineStr">
        <is>
          <t>Has your household faced any significant difficulty in the last 3 months selling your {ls_salesmain}?
[OPERATOR: SINGLE RESPONSE.]
1)YES
2)NO
3)DON'T KNOW
4)REFUSED</t>
        </is>
      </c>
      <c r="E156" s="52" t="n">
        <v>166</v>
      </c>
      <c r="F156" s="114" t="inlineStr">
        <is>
          <t>Votre ménage a-t-il rencontré d'importantes difficultés pour vendre ses {ls_salesmain} au cours des trois derniers mois ?
[OPÉRATEUR/OPÉRATRICE: RÉPONSE UNIQUE.]
1)OUI
2)NON
3)NE SAIT PAS
4)REFUSÉ</t>
        </is>
      </c>
      <c r="G156" s="52">
        <f>LEN(F156)</f>
        <v/>
      </c>
      <c r="H156" s="114" t="inlineStr">
        <is>
          <t>Kaya yako imekumbana na matatizo makubwa katika miezi 3 iliyopita kuuza {ls_salesmain} yako?
[OPERATOR: JIBU MOJA.]
1)NDIYO
2)HAPANA
3)SIJUE
4)KUKATALA</t>
        </is>
      </c>
      <c r="I156" s="52" t="n"/>
      <c r="J156" s="114" t="inlineStr">
        <is>
          <t xml:space="preserve">Nzubu wenu mmupeta ntatu mikole mu disumbisha dia {ls_salesmain} mu ngondo isatu mimane kupita anyi?
[OPERATOR: SINGLE RESPONSE.]
1)EYOWA
2)TO
3) NDI MUMANYE
4)MUBENE
</t>
        </is>
      </c>
      <c r="K156" s="45">
        <f>LEN(J156)</f>
        <v/>
      </c>
      <c r="L156" s="56" t="inlineStr">
        <is>
          <t>Single Choice</t>
        </is>
      </c>
      <c r="M156" s="52" t="inlineStr">
        <is>
          <t>NA</t>
        </is>
      </c>
      <c r="N156" s="52" t="inlineStr">
        <is>
          <t>NA</t>
        </is>
      </c>
      <c r="O156" s="52" t="inlineStr">
        <is>
          <t>Form Type - Buttons</t>
        </is>
      </c>
      <c r="P156" s="82" t="inlineStr">
        <is>
          <t>NA</t>
        </is>
      </c>
      <c r="Q156" s="51" t="inlineStr">
        <is>
          <t>1 = ls_salesdif_2
2-4 = ls_salesprice</t>
        </is>
      </c>
      <c r="R156" s="51" t="n"/>
      <c r="S156" s="51" t="inlineStr">
        <is>
          <t>if ls_salesdif = 1, go to ls_salesdif_2 ; 
if ls_salesdif = 2-4, go to ls_salesprice</t>
        </is>
      </c>
      <c r="T156" s="29" t="inlineStr"/>
      <c r="U156" s="10" t="n"/>
      <c r="V156" s="170">
        <f>#REF!</f>
        <v/>
      </c>
      <c r="W156" s="43" t="n"/>
      <c r="Y156" s="109" t="inlineStr">
        <is>
          <t>yes</t>
        </is>
      </c>
      <c r="Z156" s="564" t="n"/>
      <c r="AC156" s="168" t="n">
        <v>8.629570960998535</v>
      </c>
      <c r="AD156" s="168">
        <f>IF(AC156="","",AC156*V156)</f>
        <v/>
      </c>
      <c r="AE156" s="43" t="e">
        <v>#REF!</v>
      </c>
    </row>
    <row r="157" ht="297" customFormat="1" customHeight="1" s="48">
      <c r="A157" s="14">
        <f>A156+1</f>
        <v/>
      </c>
      <c r="B157" s="63" t="inlineStr">
        <is>
          <t>ls_salesdif_2</t>
        </is>
      </c>
      <c r="C157" s="47"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57" s="107" t="inlineStr">
        <is>
          <t>Which difficulties has your household faced in the last 3 months selling your {ls_salesmain}?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57" s="52" t="n">
        <v>761</v>
      </c>
      <c r="F157" s="114" t="inlineStr">
        <is>
          <t>Quelles difficultés votre ménage a-t-il rencontrées au cours des trois derniers mois pour vendre {ls_salesmain}?
[OPÉRATEUR/OPÉRATRICE: PLUSIEURS RÉPONSES POSSIBLES. SÉLECTIONNER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 ou clients habituels
4)Retards de paiement de la part des négociants/acheteurs
5)Faibles prix de vente [par exemple/ par rapport aux prix des intrants / inflation]
6)Fermeture des abattoirs ou difficultés d'accès aux abattoirs
7)Difficultés de transformation du produit autres que la fermeture des abattoirs [manque d'accès aux intrants de transformation / aux équipements / etc.]
8)Marchés saturés
9)Autre
10)NE SAIT PAS
11)REFUSÉ</t>
        </is>
      </c>
      <c r="G157" s="52">
        <f>LEN(F157)</f>
        <v/>
      </c>
      <c r="H157" s="114" t="inlineStr">
        <is>
          <t xml:space="preserve">Je/ kaya yako imekumbana na matatizo gani katika kipindi cha miezi mitatu iliyopita katika kuuza {ls_salesmain}?
[OPERATOR: MAJIBU KADHAA YANAWEZEKANA. CHAGUA CHAGUO LINALOENDANA BORA NA MAELEZO ILIYOTOLEWA NA WAHOJIWA.]
1) Gharama kubwa za usafirishaji au gharama zingine za uuzaji
2) Matatizo mengine ya upatikanaji wa soko [k.m. ukosefu wa usalama/miundombinu duni]
3) Kupungua kwa mahitaji kutoka kwa wafanyabiashara au wateja wa kawaida
4)Kuchelewa kwa malipo kutoka kwa wafanyabiashara/wanunuzi
5)Bei za chini za mauzo [km. kuhusiana na bei ya pembejeo/ mfumuko wa bei]
6) Kufungwa kwa machinjio au matatizo ya upatikanaji wa vichinjio
7) Ugumu katika usindikaji wa bidhaa isipokuwa kufungwa kwa machinjio [ukosefu wa upatikanaji wa pembejeo / vifaa vya usindikaji / n.k.]
8) Masoko yaliyojaa
9) Nyingine
10)SIJUE
11)KUKATALA
</t>
        </is>
      </c>
      <c r="I157" s="45" t="n"/>
      <c r="J157" s="71" t="inlineStr">
        <is>
          <t xml:space="preserve">
Ntatu kayi idi bena mu diku diebe bapeta mu ngondo isatu mimane kupita mu dipana dia {ls_salesmain}?
[ENQUETEUR/ENQUETRICE: MANDAMUNA MANYI ADI MUA KUENZA. SULANGANA BIDI BIFUMINANA BIMPAKANE NE MANYI ADI BANTU BA KULONDESHA BAFILA.]
1) Mushinga mukole wa diendesha anyi mushinga mukuabu wa disumbisha
2)Malu makuabu adi atatshisha bantu bua kufika mu tshisalu [tshilejilu - dipanga dia bukubi/ nzubu mibi]
3) Dikepesha dia dijinga dia bangenda mushinga anyi basumbishi ba pa tshibidilu
4) Dipanga dia makuta kudi bangenda mushinga/basumbishi
5) Mishinga ya dipana mipuekele [tshilejilu
6) Dikanga dia nzubu ya dishipa nyama anyi ntatu ya kufika ku nzubu ya dishipa nyama
7) Malu makole adi atangila dienza dia bintu pa kumbusha dikanga dia nzubu ya dishipa nyama [dipanga dia mushindu wa kupeta bintu bia mudimu / biamu bia mudimu / ne bikuabu.]
8) Misoko miule tente
9) Bikuabu
10) TSHIENA MUMANYE
11)MUBENE
</t>
        </is>
      </c>
      <c r="K157" s="45">
        <f>LEN(J157)</f>
        <v/>
      </c>
      <c r="L157" s="47" t="inlineStr">
        <is>
          <t>Select All That Apply</t>
        </is>
      </c>
      <c r="M157" s="52" t="inlineStr">
        <is>
          <t>NA</t>
        </is>
      </c>
      <c r="N157" s="52" t="inlineStr">
        <is>
          <t>NA</t>
        </is>
      </c>
      <c r="O157" s="52" t="inlineStr">
        <is>
          <t>Form Type - Checklist
10,11 = IsNone</t>
        </is>
      </c>
      <c r="P157" s="82"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Q157" s="51" t="inlineStr">
        <is>
          <t>1-11 = ls_salesprice</t>
        </is>
      </c>
      <c r="R157" s="51" t="n"/>
      <c r="S157" s="51" t="inlineStr">
        <is>
          <t>if ls_salesdif_2 = 1-11, go to ls_salesprice</t>
        </is>
      </c>
      <c r="T157" s="29" t="inlineStr"/>
      <c r="U157" s="10" t="n"/>
      <c r="V157" s="170">
        <f>#REF!</f>
        <v/>
      </c>
      <c r="W157" s="43" t="n"/>
      <c r="Y157" s="109" t="inlineStr">
        <is>
          <t>yes</t>
        </is>
      </c>
      <c r="Z157" s="564" t="n"/>
      <c r="AC157" s="168" t="n">
        <v>18.25617218017578</v>
      </c>
      <c r="AD157" s="168">
        <f>IF(AC157="","",AC157*V157)</f>
        <v/>
      </c>
      <c r="AE157" s="43" t="e">
        <v>#REF!</v>
      </c>
    </row>
    <row r="158" ht="269.25" customFormat="1" customHeight="1" s="48" thickBot="1">
      <c r="A158" s="14">
        <f>A157+1</f>
        <v/>
      </c>
      <c r="B158" s="63" t="inlineStr">
        <is>
          <t>ls_salesprice</t>
        </is>
      </c>
      <c r="C158" s="47" t="inlineStr">
        <is>
          <t>ls_salesprice</t>
        </is>
      </c>
      <c r="D158" s="57" t="inlineStr">
        <is>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is>
      </c>
      <c r="E158" s="52" t="n">
        <v>334</v>
      </c>
      <c r="F158" s="114" t="inlineStr">
        <is>
          <t>Comment évaluez-vous le prix actuel de {ls_salesmain} par rapport au prix moyen de la même période de l'année dernière?
[OPÉRATEUR/OPÉRATRICE: RÉPONSE UNIQUE. INSISTER SUR LE PRINCIPAL PRODUIT MENTIONNÉ AUPARAVANT.]
1)Très supérieur [augmentation de plus de 50%]
2)Légèrement supérieur
3)Identique
4)Légèrement inférieur
5)Très inférieur [moins de la moitié]
6)NE SAIT PAS
7)REFUSÉ</t>
        </is>
      </c>
      <c r="G158" s="52">
        <f>LEN(F158)</f>
        <v/>
      </c>
      <c r="H158" s="114" t="inlineStr">
        <is>
          <t>Bei ya sasa ya famille yako {ls_salesmain} ikilinganishwa na bei ya wastani kwa kipindi kama hicho mwaka uliopita, vipi?
[OPERATOR: JIBU MOJA. SISITIZA BIDHAA KUU ILIYOTAJWA.]
1)Mengi zaidi [imeongezeka kwa zaidi ya 50%]
2)Zaidi kidogo
3)Sawa
4)Kidogo kidogo
5)Chini sana [chini ya nusu zaidi]
6)SIJUE
7)KUKATALA</t>
        </is>
      </c>
      <c r="I158" s="52" t="n"/>
      <c r="J158" s="114" t="inlineStr">
        <is>
          <t xml:space="preserve">Mmunyi muudi mua kumona mushinga wa mpindieu wa {ls_salesmain} pa kumufuanyikija ne mushinga wa munkatshi mua tshidimu tshishale?
[ENQUETEUR/TRICE: DIANDAMUNA DIMUE. KUSHINDIKA BUA KUENZA BUALU BUNENE BUDIBU BATELE KUMPALA.]
1)Mutambe buimpe [divula dia kupita pa 50%]
2) Muulu kakese
3)Muomumue
4)Muinshi kakese
5) Muinshi menemene [muinshi mua tshitupa]
6)KENA MUMANYE
7) MUBENE
</t>
        </is>
      </c>
      <c r="K158" s="45">
        <f>LEN(J158)</f>
        <v/>
      </c>
      <c r="L158" s="56" t="inlineStr">
        <is>
          <t>Single Choice</t>
        </is>
      </c>
      <c r="M158" s="52" t="inlineStr">
        <is>
          <t>NA</t>
        </is>
      </c>
      <c r="N158" s="52" t="inlineStr">
        <is>
          <t>NA</t>
        </is>
      </c>
      <c r="O158" s="52" t="inlineStr">
        <is>
          <t>Form Type - Buttons</t>
        </is>
      </c>
      <c r="P158" s="82" t="inlineStr">
        <is>
          <t>NA</t>
        </is>
      </c>
      <c r="Q158" s="59" t="inlineStr">
        <is>
          <t>1-7 = fish_intro</t>
        </is>
      </c>
      <c r="R158" s="59" t="n"/>
      <c r="S158" s="59" t="inlineStr">
        <is>
          <t>For options #1-7, go to fish_intro</t>
        </is>
      </c>
      <c r="T158" s="208" t="inlineStr"/>
      <c r="U158" s="10" t="n"/>
      <c r="V158" s="170">
        <f>#REF!</f>
        <v/>
      </c>
      <c r="W158" s="43" t="n"/>
      <c r="Y158" s="109" t="inlineStr">
        <is>
          <t>yes</t>
        </is>
      </c>
      <c r="Z158" s="564" t="n"/>
      <c r="AC158" s="168" t="n">
        <v>15.45627975463867</v>
      </c>
      <c r="AD158" s="168">
        <f>IF(AC158="","",AC158*V158)</f>
        <v/>
      </c>
      <c r="AE158" s="43" t="e">
        <v>#REF!</v>
      </c>
    </row>
    <row r="159" ht="17.15" customFormat="1" customHeight="1" s="108" thickBot="1">
      <c r="A159" s="569" t="inlineStr">
        <is>
          <t>F. FISHERIES PRODUCTION</t>
        </is>
      </c>
      <c r="B159" s="586" t="n"/>
      <c r="C159" s="586" t="n"/>
      <c r="D159" s="586" t="n"/>
      <c r="E159" s="586" t="n"/>
      <c r="F159" s="586" t="n"/>
      <c r="G159" s="586" t="n"/>
      <c r="H159" s="586" t="n"/>
      <c r="I159" s="586" t="n"/>
      <c r="J159" s="586" t="n"/>
      <c r="K159" s="586" t="n"/>
      <c r="L159" s="586" t="n"/>
      <c r="M159" s="586" t="n"/>
      <c r="N159" s="586" t="n"/>
      <c r="O159" s="586" t="n"/>
      <c r="P159" s="586" t="n"/>
      <c r="Q159" s="586" t="n"/>
      <c r="R159" s="586" t="n"/>
      <c r="S159" s="586" t="n"/>
      <c r="T159" s="586" t="n"/>
      <c r="U159" s="587" t="n"/>
      <c r="V159" s="170" t="n"/>
      <c r="W159" s="110" t="n"/>
      <c r="Y159" s="109" t="n"/>
      <c r="Z159" s="111" t="n"/>
      <c r="AC159" s="168" t="n"/>
      <c r="AD159" s="168">
        <f>IF(AC159="","",AC159*V159)</f>
        <v/>
      </c>
      <c r="AE159" s="110">
        <f>IF(Y159="yes",AD159,"")</f>
        <v/>
      </c>
    </row>
    <row r="160" ht="120" customFormat="1" customHeight="1" s="48">
      <c r="A160" s="34">
        <f>A158+1</f>
        <v/>
      </c>
      <c r="B160" s="89" t="inlineStr">
        <is>
          <t>fish_intro</t>
        </is>
      </c>
      <c r="C160" s="47" t="inlineStr">
        <is>
          <t>fish_intro</t>
        </is>
      </c>
      <c r="D160" s="471" t="inlineStr">
        <is>
          <t>We will now ask you some questions about fishing and aquaculture production which apply to you and anyone in your household that is involved in the capture, culture, or harvest of fish and aquatic products.
1)CONTINUE</t>
        </is>
      </c>
      <c r="E160" s="45">
        <f>LEN(D160)</f>
        <v/>
      </c>
      <c r="F160" s="46" t="inlineStr">
        <is>
          <t>Nous allons maintenant vous poser quelques questions sur la pêche et la production aquacole. Ces questions s'appliquent à vous et à toute personne de votre foyer impliquée dans la capture, l'élevage ou la récolte de poissons et de produits aquatiques.
1)CONTINUER</t>
        </is>
      </c>
      <c r="G160" s="45">
        <f>LEN(F160)</f>
        <v/>
      </c>
      <c r="H160" s="46" t="inlineStr">
        <is>
          <t>Sasa tutakuuliza maswali kuhusu uvuvi na uzalishaji wa samaki na bidhaa za majini ambayo yanawahusu wewe na mtu yeyote katika kaya yako anayehusika na uvuvi, kilimo cha samaki, au uvunaji wa bidhaa za majini.
1)ENDELEA</t>
        </is>
      </c>
      <c r="I160" s="45" t="n"/>
      <c r="J160" s="71" t="inlineStr">
        <is>
          <t xml:space="preserve">Mpindieu netukuebeje nkonko idi itangila diloba dia mishipa ne dienza dia bintu bia mu mayi. Nkonko eyi idi itangila wewe ne muntu yonso wa mu nzubu muebe udi wenza mudimu wa dikuata, dikolesha anyi dinowa dia mishipa ne bintu bia mu mayi.
1)TUNDUKA
</t>
        </is>
      </c>
      <c r="K160" s="45">
        <f>LEN(J160)</f>
        <v/>
      </c>
      <c r="L160" s="45" t="inlineStr">
        <is>
          <t>Single Choice</t>
        </is>
      </c>
      <c r="M160" s="45" t="inlineStr">
        <is>
          <t>NA</t>
        </is>
      </c>
      <c r="N160" s="45" t="inlineStr">
        <is>
          <t>Send if "income_main_fish_check" "Equals" "YES" Or "income_sec_fish_check" "Equals" "YES" Or "income_third_fish_check" "Equals" "YES" Or "hh_fish" "Equals" "YES" if not satisfied go to "fies_intro"</t>
        </is>
      </c>
      <c r="O160" s="52" t="inlineStr">
        <is>
          <t>Form Type - Buttons</t>
        </is>
      </c>
      <c r="P160" s="82" t="inlineStr">
        <is>
          <t>NA</t>
        </is>
      </c>
      <c r="Q160" s="44" t="inlineStr">
        <is>
          <t>1 = fish_main</t>
        </is>
      </c>
      <c r="R160" s="44" t="n"/>
      <c r="S160" s="204" t="inlineStr">
        <is>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is>
      </c>
      <c r="T160" s="205" t="inlineStr"/>
      <c r="U160" s="9" t="n"/>
      <c r="V160" s="170">
        <f>#REF!</f>
        <v/>
      </c>
      <c r="W160" s="43" t="n"/>
      <c r="Y160" s="109" t="inlineStr">
        <is>
          <t>yes</t>
        </is>
      </c>
      <c r="Z160" s="564" t="n"/>
      <c r="AC160" s="168" t="n">
        <v>2.480132341384888</v>
      </c>
      <c r="AD160" s="168">
        <f>IF(AC160="","",AC160*V160)</f>
        <v/>
      </c>
      <c r="AE160" s="43" t="e">
        <v>#REF!</v>
      </c>
    </row>
    <row r="161" ht="225.75" customFormat="1" customHeight="1" s="48">
      <c r="A161" s="34">
        <f>A160+1</f>
        <v/>
      </c>
      <c r="B161" s="89" t="inlineStr">
        <is>
          <t>fish_main</t>
        </is>
      </c>
      <c r="C161" s="478" t="inlineStr">
        <is>
          <t>fish_main_
1) fish_main_coastal
2) fish_main_offshore_sea
3) fish_main_freshwater
4) fish_main_aquaculture
5) fish_main_dk
6) fish_main_ref</t>
        </is>
      </c>
      <c r="D161" s="107"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61" s="45">
        <f>LEN(D161)</f>
        <v/>
      </c>
      <c r="F161" s="71" t="inlineStr">
        <is>
          <t>Quel type de pêche votre ménage pratique-t-il généralement ?
[OPÉRATEUR/OPÉRATRICE: RÉPONSE MULTIPLE.]
1)Pêche côtière/ dans les deltas ou les lagunes
2)Pêche en haute mer
3)Pêche en eau douce [lacs/ réservoirs/ étangs/ rivières ou zones humides]
4)Aquaculture
5)NE SAIT PAS
6)REFUSÉ</t>
        </is>
      </c>
      <c r="G161" s="45">
        <f>LEN(F161)</f>
        <v/>
      </c>
      <c r="H161" s="71" t="inlineStr">
        <is>
          <t>Ni aina gani ya shughuli za uvuvi ambazo kaya yako hufanya kwa ujumla?_x000D_
_x000D_
[OPERATOR: MAJIBU MENGI YANAWEZEKANA.]_x000D_
_x000D_
1)Karibu na uvuvi wa pwani / delta / rasi_x000D_
2)Uvuvi wa baharini_x000D_
3)Uvuvi wa maji safi [katika maziwa / hifadhi / madimbwi / mito / au ardhi oevu]_x000D_
4)Ufugaji wa samaki_x000D_
5)SIJUE_x000D_
6)KUKATALA</t>
        </is>
      </c>
      <c r="I161" s="45" t="n"/>
      <c r="J161" s="71" t="inlineStr">
        <is>
          <t xml:space="preserve">Mmushindu kayi wa diloba utu bena mu nzubu muenu benza?
[ENQUETEUR/TRICE: MULTIPLE ANSWER.]
1)Kuloba ku muelelu wa mâyi/ku delta anyi mu tshina tshia mâyi
2)Kuloba mu mbuu muinshi mua mbuu
3)Kuloba mu mayi malenga [majiba/mashiba/maziba/misulu anyi maloba]
4)Diloba dia mu mayi
5)TSHIENA MUMANYE
6) MUBENE
</t>
        </is>
      </c>
      <c r="K161" s="45">
        <f>LEN(J161)</f>
        <v/>
      </c>
      <c r="L161" s="47" t="inlineStr">
        <is>
          <t>Select All That Apply</t>
        </is>
      </c>
      <c r="M161" s="45" t="inlineStr">
        <is>
          <t>NA</t>
        </is>
      </c>
      <c r="N161" s="45" t="inlineStr">
        <is>
          <t>NA</t>
        </is>
      </c>
      <c r="O161" s="45" t="inlineStr">
        <is>
          <t>Form Type - Checklist
5,6 = IsNone</t>
        </is>
      </c>
      <c r="P161" s="82" t="inlineStr">
        <is>
          <t>1)fish_main_coastal
2)fish_main_offshore_sea
3)fish_main_freshwater
4)fish_main_aquaculture
5)fish_main_dk
6)fish_main_ref</t>
        </is>
      </c>
      <c r="Q161" s="44" t="inlineStr">
        <is>
          <t>1-6 = fish_change</t>
        </is>
      </c>
      <c r="R161" s="44" t="n"/>
      <c r="S161" s="44" t="inlineStr">
        <is>
          <t>if fish_main = 1-6, go to fish_change</t>
        </is>
      </c>
      <c r="T161" s="31" t="inlineStr"/>
      <c r="U161" s="19" t="n"/>
      <c r="V161" s="170">
        <f>#REF!</f>
        <v/>
      </c>
      <c r="W161" s="43" t="n"/>
      <c r="Y161" s="109" t="inlineStr">
        <is>
          <t>yes</t>
        </is>
      </c>
      <c r="Z161" s="564" t="n"/>
      <c r="AC161" s="168" t="n">
        <v>12.71689510345459</v>
      </c>
      <c r="AD161" s="168">
        <f>IF(AC161="","",AC161*V161)</f>
        <v/>
      </c>
      <c r="AE161" s="43" t="e">
        <v>#REF!</v>
      </c>
    </row>
    <row r="162" ht="204" customHeight="1">
      <c r="A162" s="34">
        <f>A161+1</f>
        <v/>
      </c>
      <c r="B162" s="479" t="inlineStr">
        <is>
          <t>fish_change</t>
        </is>
      </c>
      <c r="C162" s="480" t="inlineStr">
        <is>
          <t>fish_change</t>
        </is>
      </c>
      <c r="D162" s="107" t="inlineStr">
        <is>
          <t>How does your fish catch [farmed] in the last 3 months [last harvest] compare to the same period [harvest] last year?
[OPERATOR: SINGLE RESPONSE.]
1)A lot more [increased by more than 50%]
2)Slightly more
3)Same
4)Slightly less
5)A lot less [less than half as much]
6)DON'T KNOW
7)REFUSED</t>
        </is>
      </c>
      <c r="E162" s="45">
        <f>LEN(D162)</f>
        <v/>
      </c>
      <c r="F162" s="71" t="inlineStr">
        <is>
          <t>Comment évaluez-vous votre prise de poisson [d'élevage] au cours des 3 derniers mois [dernière récolte] par rapport à la même période [récolte] l'année dernière?
[OPÉRATEUR/OPÉRATRICE: RÉPONSE UNIQUE]
1)Très supérieure [augmentation de plus de 50%]
2)Légèrement supérieure
3)Identique
4)Légèrement inférieure
5)Très inférieure [moins de la moitié]
6)NE SAIT PAS
7)REFUSÉ</t>
        </is>
      </c>
      <c r="G162" s="45">
        <f>LEN(F162)</f>
        <v/>
      </c>
      <c r="H162" s="71" t="inlineStr">
        <is>
          <t>Uvunaji wa samaki wako [waliolimwa] katika miezi 3 iliyopita [uvunaji wa mwisho] ikilinganishwa na kipindi kama hicho [uvunaji] mwaka uliopita, vipi?
[OPERATOR: JIBU MOJA.]
1)Mengi zaidi [imeongezeka kwa zaidi ya 50%]
2)Zaidi kidogo
3)Sawa
4)Kidogo kidogo
5)Chini sana [chini ya nusu zaidi]
6)SIJUE
7)KUKATALA</t>
        </is>
      </c>
      <c r="I162" s="45" t="n"/>
      <c r="J162" s="71" t="inlineStr">
        <is>
          <t xml:space="preserve">Mmunyi muudi mua kumona bungi bua mishipa iudi mukuate mu ngondo isatu mimane kupita [dinowa dia ndekelu] pa kumona tshikondo tshimue atshi [tshia dinowa] tshidimu tshishale?
[ENQUETEUR/TRICE:Bipwebo imwe]
1)Mubandile bikole [divulangana dia kupita pa 50%]
2)Mubandile kakese
3)Muomumue
4)Mupuekele kakese
5)Mupuekele bikole [muinshi mua tshitupa]
6)TSHIENA MUMANYE
7)MUBENE
</t>
        </is>
      </c>
      <c r="K162" s="45">
        <f>LEN(J162)</f>
        <v/>
      </c>
      <c r="L162" s="480" t="inlineStr">
        <is>
          <t>Single Choice</t>
        </is>
      </c>
      <c r="M162" s="480" t="inlineStr">
        <is>
          <t>NA</t>
        </is>
      </c>
      <c r="N162" s="480" t="inlineStr">
        <is>
          <t>NA</t>
        </is>
      </c>
      <c r="O162" s="480" t="inlineStr">
        <is>
          <t>Form Type - Buttons</t>
        </is>
      </c>
      <c r="P162" s="82" t="inlineStr">
        <is>
          <t>NA</t>
        </is>
      </c>
      <c r="Q162" s="241" t="inlineStr">
        <is>
          <t>1-7 = fish_proddif</t>
        </is>
      </c>
      <c r="R162" s="241" t="n"/>
      <c r="S162" s="241" t="inlineStr">
        <is>
          <t>if fish_change = 1-7, go to fish_proddif</t>
        </is>
      </c>
      <c r="T162" s="242" t="inlineStr"/>
      <c r="U162" s="10" t="n"/>
      <c r="V162" s="170">
        <f>#REF!</f>
        <v/>
      </c>
      <c r="W162" s="43" t="n"/>
      <c r="Y162" s="109" t="inlineStr">
        <is>
          <t>yes</t>
        </is>
      </c>
      <c r="AC162" s="168" t="n">
        <v>10.51750373840332</v>
      </c>
      <c r="AD162" s="168">
        <f>IF(AC162="","",AC162*V162)</f>
        <v/>
      </c>
      <c r="AE162" s="43" t="e">
        <v>#REF!</v>
      </c>
    </row>
    <row r="163" ht="153" customFormat="1" customHeight="1" s="48">
      <c r="A163" s="34">
        <f>A162+1</f>
        <v/>
      </c>
      <c r="B163" s="89" t="inlineStr">
        <is>
          <t>fish_proddif</t>
        </is>
      </c>
      <c r="C163" s="47" t="inlineStr">
        <is>
          <t>fish_proddif</t>
        </is>
      </c>
      <c r="D163" s="107" t="inlineStr">
        <is>
          <t>Has your household faced any significant difficulty with fish catch / harvest / farming in the last 3 months?
[OPERATOR: SINGLE RESPONSE.]
1)YES
2)NO
3)DON'T KNOW
4)REFUSED</t>
        </is>
      </c>
      <c r="E163" s="45">
        <f>LEN(D163)</f>
        <v/>
      </c>
      <c r="F163" s="71" t="inlineStr">
        <is>
          <t>Votre ménage a-t-il rencontré d’importantes difficultés avec la pêche / la récolte / l'élevage au cours des 3 derniers mois?
[OPÉRATEUR/OPÉRATRICE: RÉPONSE UNIQUE.]
1)OUI
2)NON
3)NE SAIT PAS
4)REFUSÉ</t>
        </is>
      </c>
      <c r="G163" s="45">
        <f>LEN(F163)</f>
        <v/>
      </c>
      <c r="H163" s="71" t="inlineStr">
        <is>
          <t>Je, familia yako imekumbana na changamoto kubwa yoyote katika uvunaji wa samaki/uvunaji/kilimo cha samaki katika miezi 3 iliyopita?
[OPERATOR: JIBU MOJA.]
1)NDIYO
2)HAPANA
3)SIJUE
4)KUKATALA</t>
        </is>
      </c>
      <c r="I163" s="45" t="n"/>
      <c r="J163" s="71" t="inlineStr">
        <is>
          <t xml:space="preserve">Bena mu nzubu wenu mbapete ntatu mikole ya diloba/dinowa/dilama dia bimuna mu ngondu isatu mipita anyi?
[ENQUETEUR/TRICE:Bipwebo imwe.]
1) EYOWA
2) TO
3) TSHIENA MUMANYE
4)MUBENE
</t>
        </is>
      </c>
      <c r="K163" s="45">
        <f>LEN(J163)</f>
        <v/>
      </c>
      <c r="L163" s="54" t="inlineStr">
        <is>
          <t>Single Choice</t>
        </is>
      </c>
      <c r="M163" s="45" t="inlineStr">
        <is>
          <t>NA</t>
        </is>
      </c>
      <c r="N163" s="45" t="inlineStr">
        <is>
          <t>NA</t>
        </is>
      </c>
      <c r="O163" s="45" t="inlineStr">
        <is>
          <t>Form Type - Buttons</t>
        </is>
      </c>
      <c r="P163" s="82" t="inlineStr">
        <is>
          <t>NA</t>
        </is>
      </c>
      <c r="Q163" s="44" t="inlineStr">
        <is>
          <t>1=fish_proddif_2
2-4= fish_salesmain</t>
        </is>
      </c>
      <c r="R163" s="44" t="n"/>
      <c r="S163" s="51" t="inlineStr">
        <is>
          <t>if fish_proddif = 1, go to fish_proddif_2 ; 
if fish_proddif = 2-4, go to fish_salesmain OR optional question</t>
        </is>
      </c>
      <c r="T163" s="31" t="inlineStr"/>
      <c r="U163" s="10" t="n"/>
      <c r="V163" s="170">
        <f>#REF!</f>
        <v/>
      </c>
      <c r="W163" s="43" t="n"/>
      <c r="Y163" s="109" t="inlineStr">
        <is>
          <t>yes</t>
        </is>
      </c>
      <c r="Z163" s="564" t="n"/>
      <c r="AC163" s="168" t="n">
        <v>6.48249626159668</v>
      </c>
      <c r="AD163" s="168">
        <f>IF(AC163="","",AC163*V163)</f>
        <v/>
      </c>
      <c r="AE163" s="43" t="e">
        <v>#REF!</v>
      </c>
    </row>
    <row r="164" ht="356.15" customFormat="1" customHeight="1" s="48">
      <c r="A164" s="14">
        <f>A163+1</f>
        <v/>
      </c>
      <c r="B164" s="89" t="inlineStr">
        <is>
          <t>fish_proddif_2</t>
        </is>
      </c>
      <c r="C164" s="47"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64" s="107" t="inlineStr">
        <is>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64" s="52">
        <f>LEN(D164)</f>
        <v/>
      </c>
      <c r="F164" s="114" t="inlineStr">
        <is>
          <t>Quelles difficultés votre ménage a-t-il rencontrées dans la capture/récolte/élevage de poisson au cours des trois derniers mois?
[OPÉRATEUR/OPÉRATRICE: PLUSIEURS RÉPONSES POSSIBLES. SÉLECTIONNER LA OU LES OPTIONS QUI CORRESPONDENT LE MIEUX AUX INFORMATIONS PROPOSÉES PAR LES RÉPONDANTS].
1)Le poisson est plus difficile à trouver que les années précédentes à la même saison [pêche]
2)Parasites et maladies des poissons [aquaculture]
3)Accès aux zones de pêche ou d'aquaculture [par exemple/ en raison des conditions météorologiques ou sécuritaires].
4)Accès au carburant [trop cher ou non disponible]
5)Accès à d'autres intrants de pêche ou de culture [trop chers ou non disponibles]
6)Accès à la main-d'œuvre ou aux équipages [trop chers ou non disponibles]
7)Dommages ou destruction des infrastructures [étangs/ cages/ ports/ sites de débarquement]
8)Dommages ou destruction des bateaux ou du matériel de pêche
9)Autre
10)NE SAIT PAS
11)REFUSÉ</t>
        </is>
      </c>
      <c r="G164" s="52">
        <f>LEN(F164)</f>
        <v/>
      </c>
      <c r="H164" s="114" t="inlineStr">
        <is>
          <t>Vipi, changamoto zipi familia yako imekumbana nazo katika uvunaji wa samaki/uvunaji/ kilimo cha samaki katika miezi 3 iliyopita?
[OPERATOR: MAJIBU MENGI YANAWEZEKANA. CHAGUA CHAGUO LINALOFAA VYEMA NA MAELEZO ILIYOTOLEWA NA WAHOJIWA.]
1)Samaki ni ngumu zaidi kupata kuliko miaka ya nyuma katika msimu huo huo [uvuvi]
2)Wadudu na magonjwa ya samaki [aquaculture]
3)Upatikanaji wa eneo la uvuvi au ufugaji samaki [k.m. kwa sababu ya hali ya hewa au usalama]
4)Upatikanaji wa mafuta [bei ya juu au haipatikani]
5)Upatikanaji wa pembejeo yingine  za uvuvi au utamaduni [bei ya juu au haipatikani]
6)Upatikanaji wa vibarua au wafanyakazi [bei ya juu au haipatikani]
7)Uharibifu au uharibifu wa miundombinu [mabwawa / ngome / bandari / tovuti za kutua]
8)Uharibifu au uharibifu wa boti au gia
9)Yingine
10)SIJUE
11)KUKATALA</t>
        </is>
      </c>
      <c r="I164" s="45" t="n"/>
      <c r="J164" s="71" t="inlineStr">
        <is>
          <t xml:space="preserve">Ntatu kayi idi bena mu nzubu muebe bapeta mu dikuata/dinowa/dikolesha dia mishipa mu ngondu isatu mipita eyi?
[ENQUETEUR/TRICE: MANDAMUNA MANYI ADI MUA KUENZA. SUANGANI MUSHINDU WA KUENZA BIMPAKANE NE LUMU LUA BANTU BADI BANDAMUNA].
1) Mishipa idi mikole bua kuyipeta kupita mu bidimu bishale mu tshikondo tshimue [diloba]
 2) Bishi ne masama a mishipa [dilama dia mu mayi] 
3) Difika mu miaba ya diloba anyi ya mu mayi [tshilejilu/bua malu a mu tshikondo anyi bua bukubi].
4) Dipeta bua kupeta mafuta [mushinga mukole anyi kawenaku]
5) Dipeta dia bintu bikuabu bia kuloba nabi anyi bia madimi [bia mushinga mukole anyi kabiyiku]
6) Dipeta dia mudimu anyi bena mudimu [ba mushinga mukole anyi kabayiku]
7)Dinyanguka anyi dibutula dia bintu bia mudimu [maziba/mashinyi/mashinyi/miaba ya kupueka]
8)Dinyanguka anyi dibutula dia mazuwa anyi bintu bia kuloba nabi mishipa
9)Bikuabu
10)TSHIENA MUMANYE
11)MUBENE
</t>
        </is>
      </c>
      <c r="K164" s="45">
        <f>LEN(J164)</f>
        <v/>
      </c>
      <c r="L164" s="47" t="inlineStr">
        <is>
          <t>Select All That Apply</t>
        </is>
      </c>
      <c r="M164" s="52" t="inlineStr">
        <is>
          <t>NA</t>
        </is>
      </c>
      <c r="N164" s="52" t="inlineStr">
        <is>
          <t>NA</t>
        </is>
      </c>
      <c r="O164" s="52" t="inlineStr">
        <is>
          <t>Form Type - Checklist
10,11 = IsNone</t>
        </is>
      </c>
      <c r="P164" s="82" t="inlineStr">
        <is>
          <t>1)fish_proddif_find_fish
2)fish_proddif_pests
3)fish_proddif_access_area
4)fish_proddif_fuel
5)fish_proddif_input_access
6)fish_proddif_labour
7)fish_proddif_infrastructure
8)fish_proddif_damage_equip
9)fish_proddif_other
10)fish_proddif_dk
11)fish_proddif_ref</t>
        </is>
      </c>
      <c r="Q164" s="51" t="inlineStr">
        <is>
          <t>1-11 = fish_inputdif</t>
        </is>
      </c>
      <c r="R164" s="243" t="n"/>
      <c r="S164" s="51" t="inlineStr">
        <is>
          <t>If fish_proddif_2 = 1-11, go to fish_salesmain OR optional question</t>
        </is>
      </c>
      <c r="T164" s="29" t="inlineStr"/>
      <c r="U164" s="10" t="n"/>
      <c r="V164" s="170">
        <f>#REF!</f>
        <v/>
      </c>
      <c r="W164" s="43" t="n"/>
      <c r="Y164" s="109" t="inlineStr">
        <is>
          <t>yes</t>
        </is>
      </c>
      <c r="Z164" s="564" t="n"/>
      <c r="AC164" s="168" t="n">
        <v>23.64215660095215</v>
      </c>
      <c r="AD164" s="168">
        <f>IF(AC164="","",AC164*V164)</f>
        <v/>
      </c>
      <c r="AE164" s="43" t="e">
        <v>#REF!</v>
      </c>
    </row>
    <row r="165" ht="255" customFormat="1" customHeight="1" s="48" thickBot="1">
      <c r="A165" s="14">
        <f>A164+1</f>
        <v/>
      </c>
      <c r="B165" s="62" t="inlineStr">
        <is>
          <t>fish_inputdif</t>
        </is>
      </c>
      <c r="C165" s="407" t="inlineStr">
        <is>
          <t>fish_inputdif_
1) fish_inputdif_bait_feed
2)fish_inputdif_fingerling
3) fish_inputdif_gear
4) fish_inputdif_ice
5) fish_inputdif_fuel
6) fish_inputdif_repairs
7) fish_inputdif_labour
8) fish_inputdif_other 
9)fish_inputdif_dk
10) fish_inputdif_ref</t>
        </is>
      </c>
      <c r="D165" s="244"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65" s="16">
        <f>LEN(D165)</f>
        <v/>
      </c>
      <c r="F165" s="60" t="inlineStr">
        <is>
          <t>Quel matériel de pêche [pour la culture] votre ménage a-t-il eu des difficultés à se procurer au cours des trois derniers mois?
[OPÉRATEUR/OPÉRATRICE: PLUSIEURS RÉPONSES POSSIBLES.]
1)Aliments ou appâts
2)Alevins
3)Matériel de pêche [par exemple/ cannes à pêche/ hameçons/ filets]
4)Glace
5)Carburant
6)Réparation de l'équipement [y compris bateaux] ou pièces de rechange
7)Main d'oeuvre
8)Autre [préciser]
9)NE SAIT PAS
10)REFUSÉ</t>
        </is>
      </c>
      <c r="G165" s="16">
        <f>LEN(F165)</f>
        <v/>
      </c>
      <c r="H165" s="60" t="inlineStr">
        <is>
          <t>Ni nyenzo gani ya pembejeo ya uvuvi [utamaduni] kaya yako imekuwa na shida kuyipata katika kipindi cha miezi 3 iliyopita?
[OPERATOR: MAJIBU MENGI YANAWEZEKANA.]
1)Chakula au chambo
2)Vidole
3)Zana za uvuvi [k.m. viboko / ndoano / nyavu]
4)Barafu
5)Mafuta
6)Matengenezo ya vifaa [ikiwa ni pamoja na boti] au vipuri
7)Kazi
8)yingine  [taja]
9)SIJUE
10)KUKATALA</t>
        </is>
      </c>
      <c r="I165" s="16" t="n"/>
      <c r="J165" s="60" t="inlineStr">
        <is>
          <t xml:space="preserve">Ntshiamu kayi tshia kuloba [tshia kudima] tshidi nzubu wenu mupete lutatu lua kupeta mu ngondo isatu mipite eyi?
[ENQUETEUR/TRICE: MANDAMUNA MANYI ADI MUA KUENZA.]
1) Biakudia anyi tshintu tshia kuloba natshi
2) Kuosha
3) Biamu bia kuloba nabi mishipa [e.g./ mionji ya kuloba nayi/ ndobo/ mishipa]
4) Neje
5) Mafuta
6) Dilongolola dia bintu [kusangisha ne mazuwa] anyi bintu bia pa mutu
7) Mudimu
8) Bikuabu [leja]
9)TSHIENA MUMANYE
10) MUBENGA
</t>
        </is>
      </c>
      <c r="K165" s="45">
        <f>LEN(J165)</f>
        <v/>
      </c>
      <c r="L165" s="407" t="inlineStr">
        <is>
          <t>Open Ended-Select All That Apply</t>
        </is>
      </c>
      <c r="M165" s="16" t="inlineStr">
        <is>
          <t>NA</t>
        </is>
      </c>
      <c r="N165" s="16" t="inlineStr">
        <is>
          <t>Send if "fish_proddif_2" "Contains" "Access to other fishing or culture inputs [prices higher or not available]" if not satisfied go to "fish_salesmain"</t>
        </is>
      </c>
      <c r="O165" s="16" t="inlineStr">
        <is>
          <t>Form Type - Checklist
9,10= IsNone</t>
        </is>
      </c>
      <c r="P165" s="25" t="inlineStr">
        <is>
          <t>1)fish_inputdif_bait_feed
2)fish_inputdif_fingerling
3)fish_inputdif_gear
4)fish_inputdif_ice
5)fish_inputdif_fuel
6)fish_inputdif_repairs
7)fish_inputdif_labour
8)fish_inputdif_other 
9)fish_inputdif_dk
10) fish_inputdif_ref</t>
        </is>
      </c>
      <c r="Q165" s="29" t="inlineStr">
        <is>
          <t>1-10 = fish_salesmain</t>
        </is>
      </c>
      <c r="R165" s="29" t="n"/>
      <c r="S165" s="29" t="inlineStr">
        <is>
          <t>Asked only to respondents that answered fish_proddif_2 = 4.
if fish_inputdif = 1-10, go to fish_salesmain</t>
        </is>
      </c>
      <c r="T165" s="29" t="inlineStr"/>
      <c r="U165" s="245" t="n"/>
      <c r="V165" s="167">
        <f>#REF!</f>
        <v/>
      </c>
      <c r="W165" s="43" t="n"/>
      <c r="Y165" s="50" t="inlineStr">
        <is>
          <t>no</t>
        </is>
      </c>
      <c r="Z165" s="564" t="n"/>
      <c r="AC165" s="169" t="n">
        <v>19.20000076293945</v>
      </c>
      <c r="AD165" s="169">
        <f>IF(AC165="","",AC165*V165)</f>
        <v/>
      </c>
      <c r="AE165" s="43" t="inlineStr"/>
    </row>
    <row r="166" ht="17.15" customFormat="1" customHeight="1" s="108" thickBot="1">
      <c r="A166" s="569" t="inlineStr">
        <is>
          <t>F. FISHERIES MARKETING</t>
        </is>
      </c>
      <c r="B166" s="586" t="n"/>
      <c r="C166" s="586" t="n"/>
      <c r="D166" s="586" t="n"/>
      <c r="E166" s="586" t="n"/>
      <c r="F166" s="586" t="n"/>
      <c r="G166" s="586" t="n"/>
      <c r="H166" s="586" t="n"/>
      <c r="I166" s="586" t="n"/>
      <c r="J166" s="586" t="n"/>
      <c r="K166" s="586" t="n"/>
      <c r="L166" s="586" t="n"/>
      <c r="M166" s="586" t="n"/>
      <c r="N166" s="586" t="n"/>
      <c r="O166" s="586" t="n"/>
      <c r="P166" s="586" t="n"/>
      <c r="Q166" s="586" t="n"/>
      <c r="R166" s="586" t="n"/>
      <c r="S166" s="586" t="n"/>
      <c r="T166" s="586" t="n"/>
      <c r="U166" s="587" t="n"/>
      <c r="V166" s="170" t="n"/>
      <c r="W166" s="110" t="n"/>
      <c r="Y166" s="109" t="n"/>
      <c r="Z166" s="111" t="n"/>
      <c r="AC166" s="168" t="n"/>
      <c r="AD166" s="168">
        <f>IF(AC166="","",AC166*V166)</f>
        <v/>
      </c>
      <c r="AE166" s="110">
        <f>IF(Y166="yes",AD166,"")</f>
        <v/>
      </c>
    </row>
    <row r="167" ht="204" customFormat="1" customHeight="1" s="48">
      <c r="A167" s="34">
        <f>A165+1</f>
        <v/>
      </c>
      <c r="B167" s="89" t="inlineStr">
        <is>
          <t>fish_salesmain</t>
        </is>
      </c>
      <c r="C167" s="47" t="inlineStr">
        <is>
          <t>fish_salesmain</t>
        </is>
      </c>
      <c r="D167" s="422" t="inlineStr">
        <is>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is>
      </c>
      <c r="E167" s="45">
        <f>LEN(D167)</f>
        <v/>
      </c>
      <c r="F167" s="114" t="inlineStr">
        <is>
          <t>Quel était le principal produit piscicole ou aquatique vendu par votre ménage au cours des 3 derniers mois?
[OPÉRATEUR/OPÉRATRICE: RÉPONSE UNIQUE.]
1)Produit frais [toutes sortes/ y compris invertébrés]
2)Produit conservé [y compris poisson séché/ fumé/ fermenté/ salé]
3)Produit congelé
4)Produit en conserve
5)Autre [préciser]
6)NE SAIT PAS
7)REFUSÉ</t>
        </is>
      </c>
      <c r="G167" s="45">
        <f>LEN(F167)</f>
        <v/>
      </c>
      <c r="H167" s="114" t="inlineStr">
        <is>
          <t>Samaki au bidhaa za majini kuu zilizouzwa na familia yako katika miezi 3 iliyopita ni zipi?
[OPERATOR: JIBU MOJA.]
1)Bidhaa safi [aina yoyote/pamoja na visahani]
2)Bidhaa iliyohifadhiwa [pamoja na kavu/ iliyokaangwa/iliyosagwa/iliyotiwa chumvi]
3)Bidhaa iliyohifadhiwa kwa baridi
4)Bidhaa iliyowekwa kwenye chupa au makopo
5)yingine  [taja]
6)SIJUE
7)KUKATALA</t>
        </is>
      </c>
      <c r="I167" s="45" t="n"/>
      <c r="J167" s="71" t="inlineStr">
        <is>
          <t xml:space="preserve">Ntshinyi tshivua mushipa anyi bintu bia mu mayi bivuabu bapane kudi bena mu nzubu muebe mu ngondo isatu mimane kupita?
[ENQUETEUR/TRICE:Bipwebo imwe.]
1)Tshintu tshipiatshipia [mishindu yonso/kusangisha ne nyama idi kayiyi ne mikolo]
2)Tshintu tshilama [kusangisha ne mushipa muume/mufuimisha/muela mukele]
3)Bintu bikuate mu mashika
4)Bintu bia mu tshibombi
5)Bikuabu [leja]
6)TSHIENA MUMANYE
7)NDIBENE
</t>
        </is>
      </c>
      <c r="K167" s="45">
        <f>LEN(J167)</f>
        <v/>
      </c>
      <c r="L167" s="54" t="inlineStr">
        <is>
          <t>Open Ended-Single Choice</t>
        </is>
      </c>
      <c r="M167" s="45" t="inlineStr">
        <is>
          <t>NA</t>
        </is>
      </c>
      <c r="N167" s="45" t="inlineStr">
        <is>
          <t>Send if "income_main" "Equals" "Production and sale of fish or aquatic products" Or "income_sec" "Equals" "Production and sale of fish or aquatic products" Or "income_third" "Equals" "Production and sale of fish or aquatic products" if not satisfied go to "fies_intro"</t>
        </is>
      </c>
      <c r="O167" s="45" t="inlineStr">
        <is>
          <t>Form Type - RadioList
IsDemographic - fish_salesmain</t>
        </is>
      </c>
      <c r="P167" s="82" t="inlineStr">
        <is>
          <t>NA</t>
        </is>
      </c>
      <c r="Q167" s="58" t="inlineStr">
        <is>
          <t>1-5 = fish_salesdif
6-7 = fies_intro</t>
        </is>
      </c>
      <c r="R167" s="58" t="n"/>
      <c r="S167" s="246" t="inlineStr">
        <is>
          <t>If either income_main or income_sec or income_third = "Production and sale of fish or aquatic products", then this section will be asked to respondents.
Otherwise, skip to fies.
if fish_salesmain = 1-5, go to fish_salesdif
if fish_salesmain = 6-7, go to fies</t>
        </is>
      </c>
      <c r="T167" s="247" t="inlineStr"/>
      <c r="U167" s="9" t="n"/>
      <c r="V167" s="170">
        <f>#REF!</f>
        <v/>
      </c>
      <c r="W167" s="43" t="n"/>
      <c r="Y167" s="109" t="inlineStr">
        <is>
          <t>yes</t>
        </is>
      </c>
      <c r="Z167" s="564" t="n"/>
      <c r="AC167" s="168" t="n">
        <v>9.275494575500488</v>
      </c>
      <c r="AD167" s="168">
        <f>IF(AC167="","",AC167*V167)</f>
        <v/>
      </c>
      <c r="AE167" s="43" t="e">
        <v>#REF!</v>
      </c>
    </row>
    <row r="168" ht="153" customFormat="1" customHeight="1" s="48">
      <c r="A168" s="14">
        <f>A167+1</f>
        <v/>
      </c>
      <c r="B168" s="447" t="inlineStr">
        <is>
          <t>fish_salesdif</t>
        </is>
      </c>
      <c r="C168" s="52" t="inlineStr">
        <is>
          <t>fish_salesdif</t>
        </is>
      </c>
      <c r="D168" s="107" t="inlineStr">
        <is>
          <t>Has your household faced any significant difficulty marketing / selling your {fish_salesmain} in the last 3 months?
[OPERATOR: SINGLE RESPONSE]
1)YES
2)NO
3)DON'T KNOW
4)REFUSED</t>
        </is>
      </c>
      <c r="E168" s="52">
        <f>LEN(D168)</f>
        <v/>
      </c>
      <c r="F168" s="114" t="inlineStr">
        <is>
          <t>Votre ménage a-t-il rencontré d'importantes difficultés pour commercialiser / vendre ses {fish_salesmain} au cours des trois derniers mois?
[OPÉRATEUR/OPÉRATRICE: RÉPONSE UNIQUE.]
1)OUI
2)NON
3)NE SAIT PAS
4)REFUSÉ</t>
        </is>
      </c>
      <c r="G168" s="52">
        <f>LEN(F168)</f>
        <v/>
      </c>
      <c r="H168" s="114" t="inlineStr">
        <is>
          <t>Kaya yako imekabiliwa na ugumu wowote wa uuzaji / kuuza {fish_salesmain} yako katika miezi 3 iliyopita?
[OPERATOR: JIBU MOJA]
1)NDIYO
2)HAPANA
3)SIJUE
4)KUKATALA</t>
        </is>
      </c>
      <c r="I168" s="52" t="n"/>
      <c r="J168" s="114" t="inlineStr">
        <is>
          <t xml:space="preserve">Nzubu wenu mmupeta ntatu mikole mu disumbisha/disumbisha dia {fish_salesmain} yende mu ngondo isatu mimane kupita anyi?
[ENQUETEUR/TRICE:Bipwebo imwe.]
1) EYOWA
2) TO
3) TSHIENA MUMANYE
4)MUBENE
</t>
        </is>
      </c>
      <c r="K168" s="45">
        <f>LEN(J168)</f>
        <v/>
      </c>
      <c r="L168" s="56" t="inlineStr">
        <is>
          <t>Single Choice</t>
        </is>
      </c>
      <c r="M168" s="52" t="inlineStr">
        <is>
          <t>NA</t>
        </is>
      </c>
      <c r="N168" s="52" t="inlineStr">
        <is>
          <t>NA</t>
        </is>
      </c>
      <c r="O168" s="52" t="inlineStr">
        <is>
          <t>Form Type - Buttons</t>
        </is>
      </c>
      <c r="P168" s="82" t="inlineStr">
        <is>
          <t>NA</t>
        </is>
      </c>
      <c r="Q168" s="51" t="inlineStr">
        <is>
          <t>1 = fish_salesdif_2
2-4 = fish_salesprice</t>
        </is>
      </c>
      <c r="R168" s="106" t="n"/>
      <c r="S168" s="248" t="inlineStr">
        <is>
          <t>if fish_salesdif = 1, go to fish_salesdif_2 ;
if fish_salesdif = 2-4, go to fish_salesprice</t>
        </is>
      </c>
      <c r="T168" s="249" t="inlineStr"/>
      <c r="U168" s="10" t="n"/>
      <c r="V168" s="170">
        <f>#REF!</f>
        <v/>
      </c>
      <c r="W168" s="43" t="n"/>
      <c r="Y168" s="109" t="inlineStr">
        <is>
          <t>yes</t>
        </is>
      </c>
      <c r="Z168" s="564" t="n"/>
      <c r="AC168" s="168" t="n">
        <v>6.415841579437256</v>
      </c>
      <c r="AD168" s="168">
        <f>IF(AC168="","",AC168*V168)</f>
        <v/>
      </c>
      <c r="AE168" s="43" t="e">
        <v>#REF!</v>
      </c>
    </row>
    <row r="169" ht="323.15" customFormat="1" customHeight="1" s="48">
      <c r="A169" s="14">
        <f>A168+1</f>
        <v/>
      </c>
      <c r="B169" s="63" t="inlineStr">
        <is>
          <t>fish_salesdif_2</t>
        </is>
      </c>
      <c r="C169" s="47" t="inlineStr">
        <is>
          <t>fish_saledif_
1) fish_saledif_marketing_cost
2) fish_saledif_damage_losses
3) fish_saledif_low_demand
4) fish_saledif_pay_delay
5) fish_saledif_low_prices
6) fish_saledif_processing
7) fish_saledif_competition
8) fish_saledif_other
9) fish_saledif_dk
10) fish_saledif_ref</t>
        </is>
      </c>
      <c r="D169" s="107" t="inlineStr">
        <is>
          <t>Which difficulties has your household faced in the last 3 months selling your {fish_salesmain}?
[OPERATOR: MULTIPLE RESPONSES POSSIBLE. SELECT OPTION(S) THAT BEST FIT THE INFORMATION PROVIDED BY THE RESPONDENTS.]
1)High transportation or other marketing costs
2)Other difficulties accessing the market [e.g. insecurity/ poor infrastructure]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69" s="52" t="n">
        <v>640</v>
      </c>
      <c r="F169" s="114" t="inlineStr">
        <is>
          <t>Quelles difficultés votre ménage a-t-il rencontrées au cours des trois derniers mois pour vendre ses {fish_salesmain}?
[OPÉRATEUR/OPÉRATRICE: PLUSIEURS RÉPONSES POSSIBLES. SÉLECTIONNEZ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commerçants/clients habituels
4)Retards de paiement de la part des négociants/acheteurs
5)Faibles prix de vente [par exemple/ par rapport aux prix des intrants / inflation]
6)Difficultés de transformation du produit [manque d'accès aux intrants de transformation / équipements / etc.]
7)Marchés saturés
8)Autre
9)NE SAIT PAS
10)REFUSÉ</t>
        </is>
      </c>
      <c r="G169" s="52">
        <f>LEN(F169)</f>
        <v/>
      </c>
      <c r="H169" s="114" t="inlineStr">
        <is>
          <t>Je, kaya yako imekumbana na matatizo gani katika kipindi cha miezi mitatu iliyopita katika kuuza {fish_salesmain} yake?
[OPERATOR: MAJIBU KADHAA YANAWEZEKANA. CHAGUA CHAGUO LINALOENDANA BORA NA MAELEZO ILIYOTOLEWA NA WAHOJIWA.]
1) Gharama kubwa za usafirishaji au gharama zingine za uuzaji
2) Matatizo mengine ya upatikanaji wa soko [k.m. ukosefu wa usalama/miundombinu duni]
3) Kupungua kwa mahitaji kutoka kwa wafanyabiashara/wateja wa kawaida
4)Kuchelewa kwa malipo kutoka kwa wafanyabiashara/wanunuzi
5)Bei za chini za mauzo [km. kuhusiana na bei ya pembejeo/ mfumuko wa bei]
6) Ugumu katika usindikaji wa bidhaa [ukosefu wa ufikiaji wa pembejeo / vifaa vya usindikaji / nk]
7) Masoko yaliyojaa
8) Nyingine
9)SIJUI
10)KUKATALA</t>
        </is>
      </c>
      <c r="I169" s="45" t="n"/>
      <c r="J169" s="71" t="inlineStr">
        <is>
          <t xml:space="preserve">Ntatu kayi idi nzubu wenu mupeta mu ngondu isatu mipita mu dipana dia {fish_salesmain}?
[ENQUETEUR/TRICE: MANDAMUNA MANYI ADI MUA KUENZA. SULANGANA BIDI BIFUMINANA BIMPAKANE NE MANYI ADI BANTU BA KULONDESHA BAFILA.]
1) Makuta a bungi a diendesha anyi a disumbisha dia bintu
2) Malu makuabu a dipeta dia bintu bia kusumbisha [e.g. dipanga dia bukubi/bibambalu bibi]
3)Dikepela dia dijinga dia bangenda mushinga/basumbishi ba pa tshibidilu
4)Dipanga dia difuta dia bangenda mushinga/basumbishi
5)Mishinga ya dipana idi mipuekele [tshilejilu/pa kumona mishinga ya bintu bia mudimu/dibandila dia bintu]
6)Malu makole a dienza dia bintu [dipanga dia mushindu wa kuenza mudimu bintu bia kubueja / bintu bia mudimu / ne bikuabu.]
7)Misoko miule tente
8)Mikuabu
9)KAYI MUMANYE
10)MUBENE
</t>
        </is>
      </c>
      <c r="K169" s="45">
        <f>LEN(J169)</f>
        <v/>
      </c>
      <c r="L169" s="47" t="inlineStr">
        <is>
          <t>Select All That Apply</t>
        </is>
      </c>
      <c r="M169" s="52" t="inlineStr">
        <is>
          <t>NA</t>
        </is>
      </c>
      <c r="N169" s="52" t="inlineStr">
        <is>
          <t>NA</t>
        </is>
      </c>
      <c r="O169" s="52" t="inlineStr">
        <is>
          <t>Form Type - Checklist
9,10 = IsNone</t>
        </is>
      </c>
      <c r="P169" s="82" t="inlineStr">
        <is>
          <t>1)fish_saledif_marketing_cost
2)fish_saledif_damage_losses
3)fish_saledif_low_demand
4)fish_saledif_pay_delay
5)fish_saledif_low_prices
6)fish_saledif_processing
7)fish_saledif_competition
8)fish_saledif_other
9)fish_saledif_dk
10)fish_saledif_ref</t>
        </is>
      </c>
      <c r="Q169" s="51" t="inlineStr">
        <is>
          <t>1-10 = fish_salesprice</t>
        </is>
      </c>
      <c r="R169" s="106" t="n"/>
      <c r="S169" s="106" t="inlineStr">
        <is>
          <t>if fish_salesdif = 1-10, go to fish_salesprice</t>
        </is>
      </c>
      <c r="T169" s="250" t="inlineStr"/>
      <c r="U169" s="10" t="n"/>
      <c r="V169" s="170">
        <f>#REF!</f>
        <v/>
      </c>
      <c r="W169" s="43" t="n"/>
      <c r="Y169" s="109" t="inlineStr">
        <is>
          <t>yes</t>
        </is>
      </c>
      <c r="Z169" s="564" t="n"/>
      <c r="AC169" s="168" t="n">
        <v>20.53435134887695</v>
      </c>
      <c r="AD169" s="168">
        <f>IF(AC169="","",AC169*V169)</f>
        <v/>
      </c>
      <c r="AE169" s="43" t="e">
        <v>#REF!</v>
      </c>
    </row>
    <row r="170" ht="260.25" customFormat="1" customHeight="1" s="48" thickBot="1">
      <c r="A170" s="481">
        <f>A169+1</f>
        <v/>
      </c>
      <c r="B170" s="401" t="inlineStr">
        <is>
          <t>fish_salesprice</t>
        </is>
      </c>
      <c r="C170" s="53" t="inlineStr">
        <is>
          <t>fish_salesprice</t>
        </is>
      </c>
      <c r="D170" s="107" t="inlineStr">
        <is>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is>
      </c>
      <c r="E170" s="130" t="n">
        <v>350</v>
      </c>
      <c r="F170" s="157" t="inlineStr">
        <is>
          <t>Comment évaluez-vous le prix actuel de {fish_salesmain} vendus par votre ménage par rapport au prix moyen sur la même période/récolte de l'année dernière? 
[OPÉRATEUR/OPÉRATRICE: RÉPONSE UNIQUE. INSISTER SUR LE PRINCIPAL PRODUIT MENTIONNÉ AUPARAVANT.]
1)Très supérieur [augmentation de plus de 50%]
2)Légèrement supérieur
3)Identique
4)Inférieur
5)Très inférieur [moins de la moitié]
6)NE SAIT PAS
7)REFUSÉ</t>
        </is>
      </c>
      <c r="G170" s="130">
        <f>LEN(F170)</f>
        <v/>
      </c>
      <c r="H170" s="157" t="inlineStr">
        <is>
          <t>Bei ya sasa ya samaki inayouzwa na familia yako {fish_salesmain} ikilinganishwa na bei ya wastani kwa kipindi kama hicho/uvunaji mwaka uliopita, vipi? 
[OPERATOR: JIBU MOJA. SISITIZA BIDHAA KUU ILIYOTAJWA.]
1)Mengi zaidi [imeongezeka kwa zaidi ya 50%]
2)Zaidi kidogo
3)Sawa
4)Kidogo kidogo
5)Chini sana [chini ya nusu zaidi]
6)SIJUE
7)KUKATALA</t>
        </is>
      </c>
      <c r="I170" s="130" t="n"/>
      <c r="J170" s="157" t="inlineStr">
        <is>
          <t xml:space="preserve">Mmunyi muudi mua kumona mushinga wa mpindieu wa {fish_salesmain} uvuabu bapanyishe kudi bena mu nzubu muebe pa kumufuanyikija ne mushinga wa munkatshi mua tshikondo tshimue/tshia tshidimu tshishale?
[ENQUETEUR/TRICE: DIANDAMUNA DIMUE. KUSHINDIKA BUA KUENZA BUALU BUNENE BUDIBU BATELE KUMPALA.]
1)Mubandile bikole [divulangana dia kupita pa 50%]
2)Mubandile kakese
3)Muomumue
4)Mupuekele
5)Mupuekele bikole [muinshi mua tshitupa]
6)TSHIENA MUMANYE
7)MUBENE
</t>
        </is>
      </c>
      <c r="K170" s="45">
        <f>LEN(J170)</f>
        <v/>
      </c>
      <c r="L170" s="482" t="inlineStr">
        <is>
          <t>Single Choice</t>
        </is>
      </c>
      <c r="M170" s="130" t="inlineStr">
        <is>
          <t>NA</t>
        </is>
      </c>
      <c r="N170" s="130" t="inlineStr">
        <is>
          <t>NA</t>
        </is>
      </c>
      <c r="O170" s="130" t="inlineStr">
        <is>
          <t>Form Type - Buttons</t>
        </is>
      </c>
      <c r="P170" s="82" t="inlineStr">
        <is>
          <t>NA</t>
        </is>
      </c>
      <c r="Q170" s="106" t="inlineStr">
        <is>
          <t>1-7 = fies_intro</t>
        </is>
      </c>
      <c r="R170" s="106" t="n"/>
      <c r="S170" s="106" t="inlineStr">
        <is>
          <t>if fish_salesprice = 1-7, go to fies_intro</t>
        </is>
      </c>
      <c r="T170" s="250" t="inlineStr"/>
      <c r="U170" s="10" t="n"/>
      <c r="V170" s="170">
        <f>#REF!</f>
        <v/>
      </c>
      <c r="W170" s="43" t="n"/>
      <c r="Y170" s="109" t="inlineStr">
        <is>
          <t>yes</t>
        </is>
      </c>
      <c r="Z170" s="564" t="n"/>
      <c r="AC170" s="168" t="n">
        <v>8.306930541992188</v>
      </c>
      <c r="AD170" s="168">
        <f>IF(AC170="","",AC170*V170)</f>
        <v/>
      </c>
      <c r="AE170" s="43" t="e">
        <v>#REF!</v>
      </c>
    </row>
    <row r="171" ht="17.15" customFormat="1" customHeight="1" s="108" thickBot="1">
      <c r="A171" s="569" t="inlineStr">
        <is>
          <t>G. FOOD SECURITY AND CONSUMPTION</t>
        </is>
      </c>
      <c r="B171" s="586" t="n"/>
      <c r="C171" s="586" t="n"/>
      <c r="D171" s="586" t="n"/>
      <c r="E171" s="586" t="n"/>
      <c r="F171" s="586" t="n"/>
      <c r="G171" s="586" t="n"/>
      <c r="H171" s="586" t="n"/>
      <c r="I171" s="586" t="n"/>
      <c r="J171" s="586" t="n"/>
      <c r="K171" s="586" t="n"/>
      <c r="L171" s="586" t="n"/>
      <c r="M171" s="586" t="n"/>
      <c r="N171" s="586" t="n"/>
      <c r="O171" s="586" t="n"/>
      <c r="P171" s="586" t="n"/>
      <c r="Q171" s="586" t="n"/>
      <c r="R171" s="586" t="n"/>
      <c r="S171" s="586" t="n"/>
      <c r="T171" s="586" t="n"/>
      <c r="U171" s="587" t="n"/>
      <c r="V171" s="170" t="n"/>
      <c r="W171" s="110" t="n"/>
      <c r="Y171" s="109" t="n"/>
      <c r="Z171" s="111" t="n"/>
      <c r="AC171" s="168" t="n"/>
      <c r="AD171" s="168">
        <f>IF(AC171="","",AC171*V171)</f>
        <v/>
      </c>
      <c r="AE171" s="110">
        <f>IF(Y171="yes",AD171,"")</f>
        <v/>
      </c>
    </row>
    <row r="172" ht="153" customFormat="1" customHeight="1" s="48">
      <c r="A172" s="34">
        <f>A170+1</f>
        <v/>
      </c>
      <c r="B172" s="89" t="inlineStr">
        <is>
          <t>fies_intro</t>
        </is>
      </c>
      <c r="C172" s="90" t="inlineStr">
        <is>
          <t>fies_intro</t>
        </is>
      </c>
      <c r="D172" s="46"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72" s="45">
        <f>LEN(D172)</f>
        <v/>
      </c>
      <c r="F172" s="46" t="inlineStr">
        <is>
          <t>Je vais maintenant vous poser quelques questions sur votre consommation de nourriture, l'utilisation de la nourriture et les mécanismes d'adaptation. Attention: il faut vous référer à la bonne période pour chaque série de questions. La première série de questions concerne les expériences auxquelles vous ou les membres de votre foyer avez été confrontés au cours des 30 derniers jours. 
[OPÉRATEUR/OPÉRATRICE: RÉPONSE UNIQUE]
1) CONTINUER</t>
        </is>
      </c>
      <c r="G172" s="45">
        <f>LEN(F172)</f>
        <v/>
      </c>
      <c r="H172" s="46" t="inlineStr">
        <is>
          <t>Sasa minapenda kukuuliza baadhi ya maswali kuhusu matumizi ya chakula, matumizi ya chakula na mbinu za kukabiliana na hali hiyo. Hakikisha unarejelea muda sahihi kwa kila seti ya maswali. Seti ya kwanza ya maswali inarejelea uzoefu unaokukabili au lolote kati yako. wanakaya katika siku 30 iliyopita_x000D_
_x000D_
[OPERATOR: JIBU MOJA]_x000D_
_x000D_
1)INAYOFUATA</t>
        </is>
      </c>
      <c r="I172" s="45" t="n"/>
      <c r="J172" s="71" t="inlineStr">
        <is>
          <t xml:space="preserve">Mpindieu ndi nkuela nkonko pa bidi bitangila biakudia biudi udia, mushindu uudi wenza mudimu ne biakudia ne mishindu ya kutantamena ntatu. Umanye ne: udi ne bua kutangila tshikondo tshimpe tshia nkonko yonso. Nkonko ya kumpala idi itangila malu audi mupete wewe anyi bena mu dîku dienu mu matuku 30 adi mapite aa.
[ENQUETEUR/TRICE:Bipwebo imwe]
1) TUNGAJA
</t>
        </is>
      </c>
      <c r="K172" s="45">
        <f>LEN(J172)</f>
        <v/>
      </c>
      <c r="L172" s="54" t="inlineStr">
        <is>
          <t>Single Choice</t>
        </is>
      </c>
      <c r="M172" s="45" t="inlineStr">
        <is>
          <t>NA</t>
        </is>
      </c>
      <c r="N172" s="45" t="inlineStr">
        <is>
          <t>NA</t>
        </is>
      </c>
      <c r="O172" s="45" t="inlineStr">
        <is>
          <t>Form Type - Buttons</t>
        </is>
      </c>
      <c r="P172" s="82" t="inlineStr">
        <is>
          <t>NA</t>
        </is>
      </c>
      <c r="Q172" s="44" t="inlineStr">
        <is>
          <t>1 = fies_worried</t>
        </is>
      </c>
      <c r="R172" s="44" t="n"/>
      <c r="S172" s="44" t="inlineStr">
        <is>
          <t>if fies = 1, go to fies_worried</t>
        </is>
      </c>
      <c r="T172" s="31" t="inlineStr"/>
      <c r="U172" s="10" t="n"/>
      <c r="V172" s="170" t="n">
        <v>1</v>
      </c>
      <c r="W172" s="43" t="n"/>
      <c r="Y172" s="109" t="inlineStr">
        <is>
          <t>yes</t>
        </is>
      </c>
      <c r="Z172" s="564" t="n"/>
      <c r="AC172" s="168" t="n">
        <v>8.088166236877441</v>
      </c>
      <c r="AD172" s="168">
        <f>IF(AC172="","",AC172*V172)</f>
        <v/>
      </c>
      <c r="AE172" s="43" t="inlineStr">
        <is>
          <t>8.088166236877441</t>
        </is>
      </c>
    </row>
    <row r="173" ht="170.15" customFormat="1" customHeight="1" s="48">
      <c r="A173" s="14">
        <f>A172+1</f>
        <v/>
      </c>
      <c r="B173" s="63" t="inlineStr">
        <is>
          <t>fies_worried</t>
        </is>
      </c>
      <c r="C173" s="47" t="inlineStr">
        <is>
          <t>fies_worried</t>
        </is>
      </c>
      <c r="D173" s="428" t="inlineStr">
        <is>
          <t>During the last 30 days, was there a time when you or others in your household were worried about not having enough food to eat because of lack of money or other resources?
[OPERATOR: SINGLE RESPONSE]
1)YES
2)NO
3)DON'T KNOW
4)REFUSED</t>
        </is>
      </c>
      <c r="E173" s="52">
        <f>LEN(D173)</f>
        <v/>
      </c>
      <c r="F173" s="157" t="inlineStr">
        <is>
          <t>Au cours de ces 30 derniers jours, vous ou un membre de votre ménage avez-vous été inquiet[e]s de ne pas avoir suffisamment de nourriture par manque d’argent ou d’autres ressources?
[OPÉRATEUR/OPÉRATRICE: RÉPONSE UNIQUE.]
1)OUI
2)NON
3)NE SAIT PAS
4)REFUSÉ</t>
        </is>
      </c>
      <c r="G173" s="52">
        <f>LEN(F173)</f>
        <v/>
      </c>
      <c r="H173" s="157" t="inlineStr">
        <is>
          <t>Katika siku 30 iliyopita, kuna wakati wewe au wengine katika kaya yako walikuwa na wasiwasi wa kukosa chakula cha kutosha kwa sababu ya ukosefu wa pesa au rasilimali yingine ?_x000D_
_x000D_
[OPERATOR: JIBU MOJA]_x000D_
_x000D_
1)NDIYO_x000D_
2)HAPANA_x000D_
3)SIJUE_x000D_
4)KUKATALA</t>
        </is>
      </c>
      <c r="I173" s="52" t="n"/>
      <c r="J173" s="114" t="inlineStr">
        <is>
          <t xml:space="preserve">Mu matuku 30 adi mapita, wewe anyi muntu mukuabu wa mu nzubu muebe uvuaku muditatshisha bua dipanga dia biakudia bikumbane bua dipanga dia makuta anyi bintu bikuabu anyi?
[ENQUETEUR/TRICE:Bipwebo imwe.]
1) EYOWA
2) TO
3) TSHIENA MUMANYE
4)MUBENE
</t>
        </is>
      </c>
      <c r="K173" s="45">
        <f>LEN(J173)</f>
        <v/>
      </c>
      <c r="L173" s="56" t="inlineStr">
        <is>
          <t>Single Choice</t>
        </is>
      </c>
      <c r="M173" s="52" t="inlineStr">
        <is>
          <t>NA</t>
        </is>
      </c>
      <c r="N173" s="52" t="inlineStr">
        <is>
          <t>NA</t>
        </is>
      </c>
      <c r="O173" s="52" t="inlineStr">
        <is>
          <t>Form Type - Buttons</t>
        </is>
      </c>
      <c r="P173" s="82" t="inlineStr">
        <is>
          <t>NA</t>
        </is>
      </c>
      <c r="Q173" s="51" t="inlineStr">
        <is>
          <t>1-4 = fies_healthy</t>
        </is>
      </c>
      <c r="R173" s="51" t="n"/>
      <c r="S173" s="251" t="inlineStr">
        <is>
          <t>if fies_worried = 1-4, go to fies_healthy</t>
        </is>
      </c>
      <c r="T173" s="214" t="inlineStr"/>
      <c r="U173" s="10" t="n"/>
      <c r="V173" s="170" t="n">
        <v>1</v>
      </c>
      <c r="W173" s="43" t="n"/>
      <c r="Y173" s="109" t="inlineStr">
        <is>
          <t>yes</t>
        </is>
      </c>
      <c r="Z173" s="564" t="n"/>
      <c r="AC173" s="168" t="n">
        <v>20.22456741333008</v>
      </c>
      <c r="AD173" s="168">
        <f>IF(AC173="","",AC173*V173)</f>
        <v/>
      </c>
      <c r="AE173" s="43" t="inlineStr">
        <is>
          <t>20.22456741333008</t>
        </is>
      </c>
    </row>
    <row r="174" ht="170.15" customFormat="1" customHeight="1" s="48">
      <c r="A174" s="14">
        <f>A173+1</f>
        <v/>
      </c>
      <c r="B174" s="63" t="inlineStr">
        <is>
          <t>fies_healthy</t>
        </is>
      </c>
      <c r="C174" s="47" t="inlineStr">
        <is>
          <t>fies_healthy</t>
        </is>
      </c>
      <c r="D174" s="428" t="inlineStr">
        <is>
          <t>During the last 30 days, was there a time when you or others in your household were unable to eat healthy and nutritious food because of lack of money or other resources?
[OPERATOR: SINGLE RESPONSE]
1)YES
2)NO
3)DON'T KNOW
4)REFUSED</t>
        </is>
      </c>
      <c r="E174" s="52">
        <f>LEN(D174)</f>
        <v/>
      </c>
      <c r="F174" s="157" t="inlineStr">
        <is>
          <t>Au cours des 30 derniers jours, vous ou un autre membre de votre ménage n'avez-vous pas pu manger une nourriture saine det nutritive par manque d’argent ou d’autres ressources?
[OPÉRATEUR/OPÉRATRICE: RÉPONSE UNIQUE.]
1)OUI
2)NON
3)NE SAIT PAS
4)REFUSÉ</t>
        </is>
      </c>
      <c r="G174" s="52">
        <f>LEN(F174)</f>
        <v/>
      </c>
      <c r="H174" s="157" t="inlineStr">
        <is>
          <t>Katika siku 30 iliyopita, kuna wakati wewe au wengine katika kaya yako hawakuweza kula chakula bora na chenye lishe kwa sababu ya ukosefu wa pesa au rasilimali yingine ?_x000D_
_x000D_
[OPERATOR: JIBU MOJA]_x000D_
_x000D_
1)NDIYO_x000D_
2)HAPANA_x000D_
3)SIJUE_x000D_
4)KUKATALA</t>
        </is>
      </c>
      <c r="I174" s="52" t="n"/>
      <c r="J174" s="114" t="inlineStr">
        <is>
          <t xml:space="preserve">Mu matuku 30 adi mapita, wewe anyi muntu mukuabu wa mu nzubu muebe uvuaku mupangile bua kudia biakudia bidi ne makanda a mubidi bua dipanga dia makuta anyi bintu bikuabu anyi?
[ENQUETEUR/TRICE:Bipwebo imwe.]
1) EYOWA
2) TO
3) TSHIENA MUMANYE
4)MUBENE
</t>
        </is>
      </c>
      <c r="K174" s="45">
        <f>LEN(J174)</f>
        <v/>
      </c>
      <c r="L174" s="56" t="inlineStr">
        <is>
          <t>Single Choice</t>
        </is>
      </c>
      <c r="M174" s="52" t="inlineStr">
        <is>
          <t>NA</t>
        </is>
      </c>
      <c r="N174" s="52" t="inlineStr">
        <is>
          <t>NA</t>
        </is>
      </c>
      <c r="O174" s="52" t="inlineStr">
        <is>
          <t>Form Type - Buttons</t>
        </is>
      </c>
      <c r="P174" s="82" t="inlineStr">
        <is>
          <t>NA</t>
        </is>
      </c>
      <c r="Q174" s="51" t="inlineStr">
        <is>
          <t>1-4 = fies_fewfoods</t>
        </is>
      </c>
      <c r="R174" s="51" t="n"/>
      <c r="S174" s="251" t="inlineStr">
        <is>
          <t>if fies_healthy = 1-4, go to fies_fewfoods</t>
        </is>
      </c>
      <c r="T174" s="214" t="inlineStr"/>
      <c r="U174" s="10" t="n"/>
      <c r="V174" s="170" t="n">
        <v>1</v>
      </c>
      <c r="W174" s="43" t="n"/>
      <c r="Y174" s="109" t="inlineStr">
        <is>
          <t>yes</t>
        </is>
      </c>
      <c r="Z174" s="564" t="n"/>
      <c r="AC174" s="168" t="n">
        <v>14.02606105804443</v>
      </c>
      <c r="AD174" s="168">
        <f>IF(AC174="","",AC174*V174)</f>
        <v/>
      </c>
      <c r="AE174" s="43" t="inlineStr">
        <is>
          <t>14.02606105804443</t>
        </is>
      </c>
    </row>
    <row r="175" ht="153" customFormat="1" customHeight="1" s="48">
      <c r="A175" s="14">
        <f>A174+1</f>
        <v/>
      </c>
      <c r="B175" s="63" t="inlineStr">
        <is>
          <t>fies_fewfoods</t>
        </is>
      </c>
      <c r="C175" s="47" t="inlineStr">
        <is>
          <t>fies_fewfoods</t>
        </is>
      </c>
      <c r="D175" s="428" t="inlineStr">
        <is>
          <t>During the last 30 days, was there a time when you or others in your household ate only a few kinds of foods because of lack of money or other resources?
[OPERATOR: SINGLE RESPONSE]
1)YES
2)NO
3)DON'T KNOW
4)REFUSED</t>
        </is>
      </c>
      <c r="E175" s="52">
        <f>LEN(D175)</f>
        <v/>
      </c>
      <c r="F175" s="157" t="inlineStr">
        <is>
          <t>Au cours des 30 derniers jours, vous ou un autre membre de votre ménage avez-vous mangé une nourriture peu variée par manque d’argent ou d’autres ressources?
[OPÉRATEUR/OPÉRATRICE: RÉPONSE UNIQUE.]
1)OUI
2)NON
3)NE SAIT PAS
4)REFUSÉ</t>
        </is>
      </c>
      <c r="G175" s="52">
        <f>LEN(F175)</f>
        <v/>
      </c>
      <c r="H175" s="157" t="inlineStr">
        <is>
          <t>Katika siku 30 iliyopita, kuna wakati wewe au wengine katika kaya yako walikula aina chache tu za vyakula kwa sababu ya ukosefu wa pesa au rasilimali yingine ?_x000D_
_x000D_
[OPERATOR: JIBU MOJA]_x000D_
_x000D_
1)NDIYO_x000D_
2)HAPANA_x000D_
3)SIJUE_x000D_
4)KUKATALA</t>
        </is>
      </c>
      <c r="I175" s="52" t="n"/>
      <c r="J175" s="114" t="inlineStr">
        <is>
          <t xml:space="preserve">Mu matuku 30 adi mapita, wewe anyi muntu mukuabu wa mu nzubu muebe uvua mudie biakudia bikese bua dipanga dia makuta anyi bintu bikuabu anyi?
[ENQUETEUR/TRICE:Bipwebo imwe.]
1) EYOWA
2) TO
3) TSHIENA MUMANYE
4)MUBENE
</t>
        </is>
      </c>
      <c r="K175" s="45">
        <f>LEN(J175)</f>
        <v/>
      </c>
      <c r="L175" s="56" t="inlineStr">
        <is>
          <t>Single Choice</t>
        </is>
      </c>
      <c r="M175" s="52" t="inlineStr">
        <is>
          <t>NA</t>
        </is>
      </c>
      <c r="N175" s="52" t="inlineStr">
        <is>
          <t>NA</t>
        </is>
      </c>
      <c r="O175" s="52" t="inlineStr">
        <is>
          <t>Form Type - Buttons</t>
        </is>
      </c>
      <c r="P175" s="82" t="inlineStr">
        <is>
          <t>NA</t>
        </is>
      </c>
      <c r="Q175" s="51" t="inlineStr">
        <is>
          <t>1-4 = fies_skipped</t>
        </is>
      </c>
      <c r="R175" s="51" t="n"/>
      <c r="S175" s="251" t="inlineStr">
        <is>
          <t>if fies_fewfoods = 1-4, go to fies_skipped</t>
        </is>
      </c>
      <c r="T175" s="214" t="inlineStr"/>
      <c r="U175" s="10" t="n"/>
      <c r="V175" s="170" t="n">
        <v>1</v>
      </c>
      <c r="W175" s="43" t="n"/>
      <c r="Y175" s="109" t="inlineStr">
        <is>
          <t>yes</t>
        </is>
      </c>
      <c r="Z175" s="564" t="n"/>
      <c r="AC175" s="168" t="n">
        <v>11.55850505828857</v>
      </c>
      <c r="AD175" s="168">
        <f>IF(AC175="","",AC175*V175)</f>
        <v/>
      </c>
      <c r="AE175" s="43" t="inlineStr">
        <is>
          <t>11.55850505828857</t>
        </is>
      </c>
    </row>
    <row r="176" ht="153" customFormat="1" customHeight="1" s="48">
      <c r="A176" s="14">
        <f>A175+1</f>
        <v/>
      </c>
      <c r="B176" s="63" t="inlineStr">
        <is>
          <t>fies_skipped</t>
        </is>
      </c>
      <c r="C176" s="47" t="inlineStr">
        <is>
          <t>fies_skipped</t>
        </is>
      </c>
      <c r="D176" s="428" t="inlineStr">
        <is>
          <t>During the last 30 days, was there a time when you or others in your household had to skip a meal because of lack of money or other resources to get food?
[OPERATOR: SINGLE RESPONSE]
1)YES
2)NO
3)DON'T KNOW
4)REFUSED</t>
        </is>
      </c>
      <c r="E176" s="52">
        <f>LEN(D176)</f>
        <v/>
      </c>
      <c r="F176" s="157" t="inlineStr">
        <is>
          <t>Au cours des 30 derniers jours, vous ou un autre membre de votre ménage avez-vous dû sauter un repas par manque d’argent ou d’autres ressources?
[OPÉRATEUR/OPÉRATRICE: RÉPONSE UNIQUE.]
1)OUI
2)NON
3)NE SAIT PAS
4)REFUSÉ</t>
        </is>
      </c>
      <c r="G176" s="52">
        <f>LEN(F176)</f>
        <v/>
      </c>
      <c r="H176" s="157" t="inlineStr">
        <is>
          <t>Katika siku 30 iliyopita, kuna wakati wewe au wengine katika kaya yako walilazimika kuruka mlo kwa sababu ya ukosefu wa pesa au rasilimali yingine  ili kupata chakula?_x000D_
_x000D_
[OPERATOR: JIBU MOJA]_x000D_
_x000D_
1)NDIYO_x000D_
2)HAPANA_x000D_
3)SIJUE_x000D_
4)KUKATALA</t>
        </is>
      </c>
      <c r="I176" s="52" t="n"/>
      <c r="J176" s="114" t="inlineStr">
        <is>
          <t xml:space="preserve">Mu matuku 30 adi mapita, wewe anyi muntu mukuabu wa mu nzubu muebe uvuaku mupangile bua kudia bua dipanga dia makuta anyi bintu bikuabu anyi?
[ENQUETEUR/TRICE:Bipwebo imwe.]
1) EYOWA
2) TO
3) TSHIENA MUMANYE
4)MUBENE
</t>
        </is>
      </c>
      <c r="K176" s="45">
        <f>LEN(J176)</f>
        <v/>
      </c>
      <c r="L176" s="56" t="inlineStr">
        <is>
          <t>Single Choice</t>
        </is>
      </c>
      <c r="M176" s="52" t="inlineStr">
        <is>
          <t>NA</t>
        </is>
      </c>
      <c r="N176" s="52" t="inlineStr">
        <is>
          <t>NA</t>
        </is>
      </c>
      <c r="O176" s="52" t="inlineStr">
        <is>
          <t>Form Type - Buttons</t>
        </is>
      </c>
      <c r="P176" s="82" t="inlineStr">
        <is>
          <t>NA</t>
        </is>
      </c>
      <c r="Q176" s="51" t="inlineStr">
        <is>
          <t>1-4 = fies_ateless</t>
        </is>
      </c>
      <c r="R176" s="51" t="n"/>
      <c r="S176" s="51" t="inlineStr">
        <is>
          <t>if fies_skipped = 1-4, go to fies_ateless</t>
        </is>
      </c>
      <c r="T176" s="29" t="inlineStr"/>
      <c r="U176" s="10" t="n"/>
      <c r="V176" s="170" t="n">
        <v>1</v>
      </c>
      <c r="W176" s="43" t="n"/>
      <c r="Y176" s="109" t="inlineStr">
        <is>
          <t>yes</t>
        </is>
      </c>
      <c r="Z176" s="564" t="n"/>
      <c r="AC176" s="168" t="n">
        <v>11.37925720214844</v>
      </c>
      <c r="AD176" s="168">
        <f>IF(AC176="","",AC176*V176)</f>
        <v/>
      </c>
      <c r="AE176" s="43" t="inlineStr">
        <is>
          <t>11.37925720214844</t>
        </is>
      </c>
    </row>
    <row r="177" ht="170.15" customFormat="1" customHeight="1" s="48">
      <c r="A177" s="14">
        <f>A176+1</f>
        <v/>
      </c>
      <c r="B177" s="63" t="inlineStr">
        <is>
          <t>fies_ateless</t>
        </is>
      </c>
      <c r="C177" s="47" t="inlineStr">
        <is>
          <t>fies_ateless</t>
        </is>
      </c>
      <c r="D177" s="428" t="inlineStr">
        <is>
          <t>During the last 30 days, was there a time when you or others in your household ate less than you thought you should because of lack of money or other resources?
[OPERATOR: SINGLE RESPONSE]
1)YES
2)NO
3)DON'T KNOW
4)REFUSED</t>
        </is>
      </c>
      <c r="E177" s="52">
        <f>LEN(D177)</f>
        <v/>
      </c>
      <c r="F177" s="157" t="inlineStr">
        <is>
          <t>Au cours des 30 derniers jours, y-a-t-il eu des moments lors desquels vous ou un autre membre de votre ménage avez mangé moins que ce que vous pensiez vous auriez dû manger par manque d'argent ou d'autres ressources?
[OPÉRATEUR/OPÉRATRICE: RÉPONSE UNIQUE.]
1)OUI
2)NON
3)NE SAIT PAS
4)REFUSÉ</t>
        </is>
      </c>
      <c r="G177" s="52">
        <f>LEN(F177)</f>
        <v/>
      </c>
      <c r="H177" s="157" t="inlineStr">
        <is>
          <t>Katika siku 30 iliyopita, kuna wakati wewe au watu wengine wa kaya yako walikula kidogo kuliko ulivyofikiria kwa sababu ya ukosefu wa pesa au rasilimali yingine ?_x000D_
_x000D_
[OPERATOR: JIBU MOJA]_x000D_
_x000D_
1)NDIYO_x000D_
2)HAPANA_x000D_
3)SIJUE_x000D_
4)KUKATALA</t>
        </is>
      </c>
      <c r="I177" s="52" t="n"/>
      <c r="J177" s="114" t="inlineStr">
        <is>
          <t xml:space="preserve">Mu mafuku 30 apita, kudiku bikondo biuvua wewe anyi muntu mukuabu wa mu nzubu muebe mudie bikese kupita muuvua wela meji ne: uvua ne bua kudia bua dipanga dia makuta anyi bintu bikuabu anyi?
[ENQUETEUR/TRICE:Bipwebo imwe.]
1) EYOWA
2) TO
3) TSHIENA MUMANYE
4)MUBENE
</t>
        </is>
      </c>
      <c r="K177" s="45">
        <f>LEN(J177)</f>
        <v/>
      </c>
      <c r="L177" s="56" t="inlineStr">
        <is>
          <t>Single Choice</t>
        </is>
      </c>
      <c r="M177" s="52" t="inlineStr">
        <is>
          <t>NA</t>
        </is>
      </c>
      <c r="N177" s="52" t="inlineStr">
        <is>
          <t>NA</t>
        </is>
      </c>
      <c r="O177" s="52" t="inlineStr">
        <is>
          <t>Form Type - Buttons</t>
        </is>
      </c>
      <c r="P177" s="82" t="inlineStr">
        <is>
          <t>NA</t>
        </is>
      </c>
      <c r="Q177" s="51" t="inlineStr">
        <is>
          <t>1-4 = fies_ranout</t>
        </is>
      </c>
      <c r="R177" s="51" t="n"/>
      <c r="S177" s="51" t="inlineStr">
        <is>
          <t>if fies_ateless = 1-4, go to fies_ranout</t>
        </is>
      </c>
      <c r="T177" s="29" t="inlineStr"/>
      <c r="U177" s="10" t="n"/>
      <c r="V177" s="170" t="n">
        <v>1</v>
      </c>
      <c r="W177" s="43" t="n"/>
      <c r="Y177" s="109" t="inlineStr">
        <is>
          <t>yes</t>
        </is>
      </c>
      <c r="Z177" s="564" t="n"/>
      <c r="AC177" s="168" t="n">
        <v>10.44321727752686</v>
      </c>
      <c r="AD177" s="168">
        <f>IF(AC177="","",AC177*V177)</f>
        <v/>
      </c>
      <c r="AE177" s="43" t="inlineStr">
        <is>
          <t>10.44321727752686</t>
        </is>
      </c>
    </row>
    <row r="178" ht="170.15" customFormat="1" customHeight="1" s="48">
      <c r="A178" s="14">
        <f>A177+1</f>
        <v/>
      </c>
      <c r="B178" s="63" t="inlineStr">
        <is>
          <t>fies_ranout</t>
        </is>
      </c>
      <c r="C178" s="403" t="inlineStr">
        <is>
          <t>fies_ranout</t>
        </is>
      </c>
      <c r="D178" s="422" t="inlineStr">
        <is>
          <t>In the past 30 days, was there ever no food to eat of any kind in your house because of lack of resources to get food?
[OPERATOR: SINGLE RESPONSE]
1)YES
2)NO
3)DON'T KNOW
4)REFUSED</t>
        </is>
      </c>
      <c r="E178" s="52">
        <f>LEN(D178)</f>
        <v/>
      </c>
      <c r="F178" s="422" t="inlineStr">
        <is>
          <t>Au cours des 30 derniers jours, n'y avait-il aucun aliment à manger, de quelque nature que ce soit, dans votre foyer, en raison du manque de ressources pour se procurer de la nourriture?
[OPÉRATEUR/OPÉRATRICE: RÉPONSE UNIQUE.]
1)OUI
2)NON
3)NE SAIT PAS
4)REFUSÉ</t>
        </is>
      </c>
      <c r="G178" s="52">
        <f>LEN(F178)</f>
        <v/>
      </c>
      <c r="H178" s="107" t="inlineStr">
        <is>
          <t>Katika siku 30 iliyopita, je, hapakuwa na chakula cha aina yoyote katika nyumba yako kwa sababu ya ukosefu wa rasilimali za kupata chakula?_x000D_
_x000D_
[OPERATOR: JIBU MOJA]_x000D_
_x000D_
1)NDIYO_x000D_
2)HAPANA_x000D_
3)SIJUE_x000D_
4)KUKATALA</t>
        </is>
      </c>
      <c r="I178" s="52" t="n"/>
      <c r="J178" s="114" t="inlineStr">
        <is>
          <t xml:space="preserve">Mu mafuku 30 apita, kakuvuaku tshiakudia tshia mushindu kayi wonso mu nzubu wenu bua dipanga dia bintu bia kupeta tshiakudia anyi?
[ENQUETEUR/TRICE:Bipwebo imwe.]
1) EYOWA
2) TO
3) TSHIENA MUMANYE
4)MUBENE
</t>
        </is>
      </c>
      <c r="K178" s="45">
        <f>LEN(J178)</f>
        <v/>
      </c>
      <c r="L178" s="56" t="inlineStr">
        <is>
          <t>Single Choice</t>
        </is>
      </c>
      <c r="M178" s="52" t="inlineStr">
        <is>
          <t>NA</t>
        </is>
      </c>
      <c r="N178" s="52" t="inlineStr">
        <is>
          <t>NA</t>
        </is>
      </c>
      <c r="O178" s="52" t="inlineStr">
        <is>
          <t>Form Type - Buttons</t>
        </is>
      </c>
      <c r="P178" s="82" t="inlineStr">
        <is>
          <t>NA</t>
        </is>
      </c>
      <c r="Q178" s="51" t="inlineStr">
        <is>
          <t>1=fies_ranout_hhs
2-4 = fies_hungry</t>
        </is>
      </c>
      <c r="R178" s="51" t="n"/>
      <c r="S178" s="251" t="inlineStr">
        <is>
          <t>if fies_ranout = 1, go to fies_ranout_hhs. Otherwise, go to fies_hungry</t>
        </is>
      </c>
      <c r="T178" s="214" t="inlineStr"/>
      <c r="U178" s="10" t="n"/>
      <c r="V178" s="170" t="n">
        <v>1</v>
      </c>
      <c r="W178" s="43" t="n"/>
      <c r="Y178" s="109" t="inlineStr">
        <is>
          <t>yes</t>
        </is>
      </c>
      <c r="Z178" s="564" t="n"/>
      <c r="AC178" s="168" t="n">
        <v>10.73201084136963</v>
      </c>
      <c r="AD178" s="168">
        <f>IF(AC178="","",AC178*V178)</f>
        <v/>
      </c>
      <c r="AE178" s="43" t="inlineStr">
        <is>
          <t>10.73201084136963</t>
        </is>
      </c>
    </row>
    <row r="179" ht="153" customFormat="1" customHeight="1" s="103">
      <c r="A179" s="14">
        <f>A178+1</f>
        <v/>
      </c>
      <c r="B179" s="63" t="inlineStr">
        <is>
          <t>fies_ranout_hhs</t>
        </is>
      </c>
      <c r="C179" s="403" t="inlineStr">
        <is>
          <t>fies_ranout_hhs</t>
        </is>
      </c>
      <c r="D179" s="483" t="inlineStr">
        <is>
          <t>How often did this happen?
[OPERATOR: SINGLE RESPONSE]
1)Rarely [1-2 times in the past 30 days]
2)Sometimes [3-10 times in the past 30 days]
3)Often [more than 10 times in the last 30 days]
4)DON'T KNOW
5)REFUSED</t>
        </is>
      </c>
      <c r="E179" s="52">
        <f>LEN(D179)</f>
        <v/>
      </c>
      <c r="F179" s="114"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79" s="52">
        <f>LEN(F179)</f>
        <v/>
      </c>
      <c r="H179" s="114" t="inlineStr">
        <is>
          <t>Hii ilitokea mala ngapi?_x000D_
_x000D_
[OPERATOR: JIBU MOJA]_x000D_
_x000D_
1)Mala chache [mala 1-2 katika siku 30 iliyopita]_x000D_
2)Wakati mwingine [mala 3-10 katika siku 30 iliyopita]_x000D_
3)Mala yingi [zaidi ya mala 10 katika siku 30 iliyopita]_x000D_
4)SIJUE_x000D_
5)KUKATALA</t>
        </is>
      </c>
      <c r="I179" s="52" t="n"/>
      <c r="J179" s="114" t="inlineStr">
        <is>
          <t xml:space="preserve">Bualu ebu mbuenzeke misangu bungi munyi?
[ENQUETEUR/TRICE:Bipwebo imwe]
1) Misangu mikese [1 anyi 2 mu matuku 30 a ndekelu]
2) Misangu mikuabu [pankatshi pa misangu 3 ne 10 mu matuku 30 a ndekelu]
3) Misangu ya bungi [misangu mipite pa 10 mu matuku 30 a ndekelu]
4) KI MUMANYE TO
5)MUBENE
</t>
        </is>
      </c>
      <c r="K179" s="45">
        <f>LEN(J179)</f>
        <v/>
      </c>
      <c r="L179" s="56" t="inlineStr">
        <is>
          <t>Single Choice</t>
        </is>
      </c>
      <c r="M179" s="52" t="inlineStr">
        <is>
          <t>NA</t>
        </is>
      </c>
      <c r="N179" s="52" t="inlineStr">
        <is>
          <t>NA</t>
        </is>
      </c>
      <c r="O179" s="52" t="inlineStr">
        <is>
          <t>Form Type - Buttons</t>
        </is>
      </c>
      <c r="P179" s="82" t="inlineStr">
        <is>
          <t>NA</t>
        </is>
      </c>
      <c r="Q179" s="51" t="inlineStr">
        <is>
          <t>1-5 = fies_hungry</t>
        </is>
      </c>
      <c r="R179" s="51" t="n"/>
      <c r="S179" s="51" t="inlineStr">
        <is>
          <t>if fies_ranout_hhs = 1-5, go to fies_hungry</t>
        </is>
      </c>
      <c r="T179" s="29" t="inlineStr"/>
      <c r="U179" s="10" t="n"/>
      <c r="V179" s="170" t="n">
        <v>1</v>
      </c>
      <c r="W179" s="43" t="n"/>
      <c r="Y179" s="109" t="inlineStr">
        <is>
          <t>yes</t>
        </is>
      </c>
      <c r="Z179" s="564" t="n"/>
      <c r="AC179" s="168" t="n">
        <v>11.58613967895508</v>
      </c>
      <c r="AD179" s="168">
        <f>IF(AC179="","",AC179*V179)</f>
        <v/>
      </c>
      <c r="AE179" s="43" t="inlineStr">
        <is>
          <t>11.58613967895508</t>
        </is>
      </c>
    </row>
    <row r="180" ht="153" customFormat="1" customHeight="1" s="48">
      <c r="A180" s="14">
        <f>A179+1</f>
        <v/>
      </c>
      <c r="B180" s="63" t="inlineStr">
        <is>
          <t>fies_hungry</t>
        </is>
      </c>
      <c r="C180" s="47" t="inlineStr">
        <is>
          <t>fies_hungry</t>
        </is>
      </c>
      <c r="D180" s="422" t="inlineStr">
        <is>
          <t>In the past 30 days, did you or any household member ever go to sleep at night hungry because there was not enough food?
[OPERATOR: SINGLE RESPONSE]
1)YES
2)NO
3)DON'T KNOW
4)REFUSED</t>
        </is>
      </c>
      <c r="E180" s="52">
        <f>LEN(D180)</f>
        <v/>
      </c>
      <c r="F180" s="422" t="inlineStr">
        <is>
          <t>Au cours des 30 derniers jours, etiez-vous ou un membre de votre ménage obligé de dormir affamé le soir parce qu'il n'y avait pas assez de nourriture ?
[OPÉRATEUR/OPÉRATRICE: RÉPONSE UNIQUE.]
1)OUI
2)NON
3)NE SAIT PAS
4)REFUSÉ</t>
        </is>
      </c>
      <c r="G180" s="52">
        <f>LEN(F180)</f>
        <v/>
      </c>
      <c r="H180" s="107" t="inlineStr">
        <is>
          <t>Katika siku 30 iliyopita, wewe au mwanakaya yeyote aliwahi kulala na njaa usiku kwa sababu hakukuwa na chakula cha kutosha?_x000D_
_x000D_
[OPERATOR: JIBU MOJA]_x000D_
_x000D_
1)NDIYO_x000D_
2)HAPANA_x000D_
3)SIJUE_x000D_
4)KUKATALA</t>
        </is>
      </c>
      <c r="I180" s="52" t="n"/>
      <c r="J180" s="114" t="inlineStr">
        <is>
          <t xml:space="preserve">Mu matuku 30 adi mapite, wewe anyi muntu mukuabu wa mu nzubu muebe uvuaku muenzejibue bua kulala ne nzala butuku bualu kakuvua biakudia bikumbane anyi?
[ENQUETEUR/TRICE:Bipwebo imwe.]
1) EYOWA
2) TO
3) TSHIENA MUMANYE
4)MUBENE
</t>
        </is>
      </c>
      <c r="K180" s="45">
        <f>LEN(J180)</f>
        <v/>
      </c>
      <c r="L180" s="56" t="inlineStr">
        <is>
          <t>Single Choice</t>
        </is>
      </c>
      <c r="M180" s="52" t="inlineStr">
        <is>
          <t>NA</t>
        </is>
      </c>
      <c r="N180" s="52" t="inlineStr">
        <is>
          <t>NA</t>
        </is>
      </c>
      <c r="O180" s="52" t="inlineStr">
        <is>
          <t>Form Type - Buttons</t>
        </is>
      </c>
      <c r="P180" s="82" t="inlineStr">
        <is>
          <t>NA</t>
        </is>
      </c>
      <c r="Q180" s="51" t="inlineStr">
        <is>
          <t>1=fies_hungry_hhs
2-4 = fies_whlday</t>
        </is>
      </c>
      <c r="R180" s="51" t="n"/>
      <c r="S180" s="251" t="inlineStr">
        <is>
          <t>if fies_hungry = 1, go to fies_hungry_hhs. Otherwise, go to fies_whlday</t>
        </is>
      </c>
      <c r="T180" s="214" t="inlineStr"/>
      <c r="U180" s="10" t="n"/>
      <c r="V180" s="170" t="n">
        <v>1</v>
      </c>
      <c r="W180" s="43" t="n"/>
      <c r="Y180" s="109" t="inlineStr">
        <is>
          <t>yes</t>
        </is>
      </c>
      <c r="Z180" s="564" t="n"/>
      <c r="AC180" s="168" t="n">
        <v>9.75520133972168</v>
      </c>
      <c r="AD180" s="168">
        <f>IF(AC180="","",AC180*V180)</f>
        <v/>
      </c>
      <c r="AE180" s="43" t="inlineStr">
        <is>
          <t>9.75520133972168</t>
        </is>
      </c>
    </row>
    <row r="181" ht="153" customFormat="1" customHeight="1" s="48">
      <c r="A181" s="14">
        <f>A180+1</f>
        <v/>
      </c>
      <c r="B181" s="63" t="inlineStr">
        <is>
          <t>fies_hungry_hhs</t>
        </is>
      </c>
      <c r="C181" s="403" t="inlineStr">
        <is>
          <t>fies_hungry_hhs</t>
        </is>
      </c>
      <c r="D181" s="483" t="inlineStr">
        <is>
          <t>How often did this happen?
[OPERATOR: SINGLE RESPONSE]
1)Rarely [1-2 times in the past 30 days]
2)Sometimes [3-10 times in the past 30 days]
3)Often [more than 10 times in the last 30 days]
4)DON'T KNOW
5)REFUSED</t>
        </is>
      </c>
      <c r="E181" s="52">
        <f>LEN(D181)</f>
        <v/>
      </c>
      <c r="F181" s="114"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81" s="52">
        <f>LEN(F181)</f>
        <v/>
      </c>
      <c r="H181" s="114" t="inlineStr">
        <is>
          <t>Hii ilitokea mala ngapi?
[OPERATOR: JIBU MOJA]
1)Mala chache [mala 1-2 katika siku 30 iliyopita]
2)Wakati mwingine [mala 3-10 katika siku 30 iliyopita]
3)Mala nyingi [zaidi ya mala 10 katika siku 30 iliyopita]
4)SIJUE
5)KUKATALA</t>
        </is>
      </c>
      <c r="I181" s="52" t="n"/>
      <c r="J181" s="114" t="inlineStr">
        <is>
          <t>Bualu ebu mbuenzeke misangu bungi munyi?
[ENQUETEUR/TRICE:Bipwebo imwe]
1) Misangu mikese [1 anyi 2 mu matuku 30 a ndekelu]
2) Misangu mikuabu [pankatshi pa misangu 3 ne 10 mu matuku 30 a ndekelu]
3) Misangu ya bungi [misangu mipite pa 10 mu matuku 30 a ndekelu]
4) KI MUMANYE TO
5)MUBENE</t>
        </is>
      </c>
      <c r="K181" s="45">
        <f>LEN(J181)</f>
        <v/>
      </c>
      <c r="L181" s="56" t="inlineStr">
        <is>
          <t>Single Choice</t>
        </is>
      </c>
      <c r="M181" s="52" t="inlineStr">
        <is>
          <t>NA</t>
        </is>
      </c>
      <c r="N181" s="52" t="inlineStr">
        <is>
          <t>NA</t>
        </is>
      </c>
      <c r="O181" s="52" t="inlineStr">
        <is>
          <t>Form Type - Buttons</t>
        </is>
      </c>
      <c r="P181" s="82" t="inlineStr">
        <is>
          <t>NA</t>
        </is>
      </c>
      <c r="Q181" s="51" t="inlineStr">
        <is>
          <t>1-5 = fies_whlday</t>
        </is>
      </c>
      <c r="R181" s="51" t="n"/>
      <c r="S181" s="51" t="inlineStr">
        <is>
          <t>if fies_hungry_hhs = 1-5, go to fies_whlday</t>
        </is>
      </c>
      <c r="T181" s="29" t="inlineStr"/>
      <c r="U181" s="10" t="n"/>
      <c r="V181" s="170" t="n">
        <v>1</v>
      </c>
      <c r="W181" s="43" t="n"/>
      <c r="Y181" s="109" t="inlineStr">
        <is>
          <t>yes</t>
        </is>
      </c>
      <c r="Z181" s="564" t="n"/>
      <c r="AC181" s="168" t="n">
        <v>7.94479513168335</v>
      </c>
      <c r="AD181" s="168">
        <f>IF(AC181="","",AC181*V181)</f>
        <v/>
      </c>
      <c r="AE181" s="43" t="inlineStr">
        <is>
          <t>7.94479513168335</t>
        </is>
      </c>
    </row>
    <row r="182" ht="170.15" customFormat="1" customHeight="1" s="48">
      <c r="A182" s="14">
        <f>A181+1</f>
        <v/>
      </c>
      <c r="B182" s="63" t="inlineStr">
        <is>
          <t>fies_whlday</t>
        </is>
      </c>
      <c r="C182" s="47" t="inlineStr">
        <is>
          <t>fies_whlday</t>
        </is>
      </c>
      <c r="D182" s="422" t="inlineStr">
        <is>
          <t>In the past 30 days, did you or any household member ever go a whole day and night without eating anything at all because there was not enough food?
[OPERATOR: SINGLE RESPONSE]
1)YES
2)NO
3)DON'T KNOW
4)REFUSED</t>
        </is>
      </c>
      <c r="E182" s="52">
        <f>LEN(D182)</f>
        <v/>
      </c>
      <c r="F182" s="422" t="inlineStr">
        <is>
          <t>Au cours des 30 derniers jours, avez-vous ou un membre de votre ménage passé un jour et une nuit entière sans rien manger parce qu'il n'y avait pas assez de nourriture?
[OPÉRATEUR/OPÉRATRICE: RÉPONSE UNIQUE.]
1)OUI
2)NON
3)NE SAIT PAS
4)REFUSÉ</t>
        </is>
      </c>
      <c r="G182" s="52">
        <f>LEN(F182)</f>
        <v/>
      </c>
      <c r="H182" s="484" t="inlineStr">
        <is>
          <t>Katika siku 30 iliyopita, wewe au mwanakaya yeyote aliwahi kupita mchana na usiku bila kula chochote kwa sababu hakuna chakula cha kutosha?_x000D_
_x000D_
[OPERATOR: JIBU MOJA]_x000D_
_x000D_
1)NDIYO_x000D_
2)HAPANA_x000D_
3)SIJUE_x000D_
4)KUKATALA</t>
        </is>
      </c>
      <c r="I182" s="52" t="n"/>
      <c r="J182" s="114" t="inlineStr">
        <is>
          <t xml:space="preserve">Mu matuku 30 adi mapite, wewe anyi muntu mukuabu wa mu nzubu muebe uvuaku mupitshile munya ne butuku kayi mudie tshintu bualu kakuvua biakudia bikumbane anyi?
[ENQUETEUR/TRICE:Bipwebo imwe.]
1) EYOWA
2) TO
3) TSHIENA MUMANYE
4)MUBENE
</t>
        </is>
      </c>
      <c r="K182" s="45">
        <f>LEN(J182)</f>
        <v/>
      </c>
      <c r="L182" s="56" t="inlineStr">
        <is>
          <t>Single Choice</t>
        </is>
      </c>
      <c r="M182" s="52" t="inlineStr">
        <is>
          <t>NA</t>
        </is>
      </c>
      <c r="N182" s="52" t="inlineStr">
        <is>
          <t>NA</t>
        </is>
      </c>
      <c r="O182" s="52" t="inlineStr">
        <is>
          <t>Form Type - Buttons</t>
        </is>
      </c>
      <c r="P182" s="82" t="inlineStr">
        <is>
          <t>NA</t>
        </is>
      </c>
      <c r="Q182" s="51" t="inlineStr">
        <is>
          <t>1=fies_whlday_hhs
2-4 = lcsi_intro</t>
        </is>
      </c>
      <c r="R182" s="51" t="n"/>
      <c r="S182" s="251" t="inlineStr">
        <is>
          <t>if fies_whlday = 1, go to fies_whlday_hhs. Otherwise, go to lcsi_intro OR hdds</t>
        </is>
      </c>
      <c r="T182" s="214" t="inlineStr"/>
      <c r="U182" s="10" t="n"/>
      <c r="V182" s="170" t="n">
        <v>1</v>
      </c>
      <c r="W182" s="43" t="n"/>
      <c r="Y182" s="109" t="inlineStr">
        <is>
          <t>yes</t>
        </is>
      </c>
      <c r="Z182" s="564" t="n"/>
      <c r="AC182" s="168" t="n">
        <v>7.931224822998047</v>
      </c>
      <c r="AD182" s="168">
        <f>IF(AC182="","",AC182*V182)</f>
        <v/>
      </c>
      <c r="AE182" s="43" t="inlineStr">
        <is>
          <t>7.931224822998047</t>
        </is>
      </c>
    </row>
    <row r="183" ht="153" customFormat="1" customHeight="1" s="48">
      <c r="A183" s="14">
        <f>A182+1</f>
        <v/>
      </c>
      <c r="B183" s="63" t="inlineStr">
        <is>
          <t>fies_whlday_hhs</t>
        </is>
      </c>
      <c r="C183" s="403" t="inlineStr">
        <is>
          <t>fies_whlday_hhs</t>
        </is>
      </c>
      <c r="D183" s="483" t="inlineStr">
        <is>
          <t>How often did this happen?
[OPERATOR: SINGLE RESPONSE]
1)Rarely [1-2 times in the past 30 days]
2)Sometimes [3-10 times in the past 30 days]
3)Often [more than 10 times in the last 30 days]
4)DON'T KNOW
5)REFUSED</t>
        </is>
      </c>
      <c r="E183" s="52">
        <f>LEN(D183)</f>
        <v/>
      </c>
      <c r="F183" s="114"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83" s="52">
        <f>LEN(F183)</f>
        <v/>
      </c>
      <c r="H183" s="114" t="inlineStr">
        <is>
          <t>Hii ilitokea mala ngapi?_x000D_
_x000D_
[OPERATOR: JIBU MOJA]_x000D_
_x000D_
1)Mala chache [mara 1-2 katika siku 30 iliyopita]_x000D_
2)Wakati wingine [mala 3-10 katika siku 30 iliyopita]_x000D_
3)Mala mingi [zaidi ya mala 10 katika siku 30 iliyopita]_x000D_
4)SIJUE_x000D_
5)KUKATALA</t>
        </is>
      </c>
      <c r="I183" s="52" t="n"/>
      <c r="J183" s="114" t="inlineStr">
        <is>
          <t xml:space="preserve">Bualu ebu mbuenzeke misangu bungi munyi?
[ENQUETEUR/TRICE:Bipwebo imwe]
1) Misangu mikese [1 anyi 2 mu matuku 30 a ndekelu]
2) Misangu mikuabu [pankatshi pa misangu 3 ne 10 mu matuku 30 a ndekelu]
3) Misangu ya bungi [misangu mipite pa 10 mu matuku 30 a ndekelu]
4) KI MUMANYE TO
5)MUBENE
</t>
        </is>
      </c>
      <c r="K183" s="45">
        <f>LEN(J183)</f>
        <v/>
      </c>
      <c r="L183" s="56" t="inlineStr">
        <is>
          <t>Single Choice</t>
        </is>
      </c>
      <c r="M183" s="52" t="inlineStr">
        <is>
          <t>NA</t>
        </is>
      </c>
      <c r="N183" s="52" t="inlineStr">
        <is>
          <t>NA</t>
        </is>
      </c>
      <c r="O183" s="52" t="inlineStr">
        <is>
          <t>Form Type - Buttons</t>
        </is>
      </c>
      <c r="P183" s="82" t="inlineStr">
        <is>
          <t>NA</t>
        </is>
      </c>
      <c r="Q183" s="51" t="inlineStr">
        <is>
          <t>1-5 = lcsi_intro</t>
        </is>
      </c>
      <c r="R183" s="51" t="n"/>
      <c r="S183" s="251" t="inlineStr">
        <is>
          <t>if fies_whlday_hhs = 1-5, go to lcsi_intro OR hdds</t>
        </is>
      </c>
      <c r="T183" s="214" t="inlineStr"/>
      <c r="U183" s="10" t="n"/>
      <c r="V183" s="170" t="n">
        <v>1</v>
      </c>
      <c r="W183" s="43" t="n"/>
      <c r="Y183" s="109" t="inlineStr">
        <is>
          <t>yes</t>
        </is>
      </c>
      <c r="Z183" s="564" t="n"/>
      <c r="AC183" s="168" t="n">
        <v>5.339005947113037</v>
      </c>
      <c r="AD183" s="168">
        <f>IF(AC183="","",AC183*V183)</f>
        <v/>
      </c>
      <c r="AE183" s="43" t="inlineStr">
        <is>
          <t>5.339005947113037</t>
        </is>
      </c>
    </row>
    <row r="184" ht="153" customFormat="1" customHeight="1" s="48">
      <c r="A184" s="14">
        <f>A183+1</f>
        <v/>
      </c>
      <c r="B184" s="62" t="inlineStr">
        <is>
          <t>lcsi_intro</t>
        </is>
      </c>
      <c r="C184" s="131" t="inlineStr">
        <is>
          <t>lcsi_intro</t>
        </is>
      </c>
      <c r="D184" s="61" t="inlineStr">
        <is>
          <t>Now I would like to ask you another set of questions on coping strategies, referring to the past 30 days.
[OPERATOR: SINGLE RESPONSE]
1)NEXT</t>
        </is>
      </c>
      <c r="E184" s="16">
        <f>LEN(D184)</f>
        <v/>
      </c>
      <c r="F184" s="60" t="inlineStr">
        <is>
          <t>Je voudrais maintenant vous poser une autre série de questions sur les stratégies d'adaptation que vous avez mises en place au cours des 30 derniers jours.
[OPÉRATEUR/OPÉRATRICE: RÉPONSE UNIQUE]
1)CONTINUER</t>
        </is>
      </c>
      <c r="G184" s="16">
        <f>LEN(F184)</f>
        <v/>
      </c>
      <c r="H184" s="206" t="inlineStr">
        <is>
          <t>Sasa minapenda kukuuliza maswali mengine kuhusu mikakati ya kukabiliana na hali hiyo, nikirejea siku 30 iliyopita_x000D_
_x000D_
[OPERATOR: JIBU MOJA]_x000D_
_x000D_
1)INAYOFUATA</t>
        </is>
      </c>
      <c r="I184" s="16" t="n"/>
      <c r="J184" s="60" t="inlineStr">
        <is>
          <t xml:space="preserve">Mpindieu ndi musue kukuebeja nkonko mikuabu idi itangila mishindu ya kutantamena ntatu inudi benze mu matuku 30 adi mapite aa.
[ENQUETEUR/TRICE:Bipwebo imwe]
1)TUNDUKA
</t>
        </is>
      </c>
      <c r="K184" s="45">
        <f>LEN(J184)</f>
        <v/>
      </c>
      <c r="L184" s="134" t="inlineStr">
        <is>
          <t>Single Choice</t>
        </is>
      </c>
      <c r="M184" s="16" t="inlineStr">
        <is>
          <t>NA</t>
        </is>
      </c>
      <c r="N184" s="16" t="inlineStr">
        <is>
          <t>NA</t>
        </is>
      </c>
      <c r="O184" s="16" t="inlineStr">
        <is>
          <t>Form Type - Buttons</t>
        </is>
      </c>
      <c r="P184" s="25" t="inlineStr">
        <is>
          <t>NA</t>
        </is>
      </c>
      <c r="Q184" s="29" t="inlineStr">
        <is>
          <t>1 = cs_stress_hh_assets</t>
        </is>
      </c>
      <c r="R184" s="250" t="n"/>
      <c r="S184" s="252" t="inlineStr"/>
      <c r="T184" s="253" t="inlineStr"/>
      <c r="U184" s="10" t="n"/>
      <c r="V184" s="167" t="n">
        <v>1</v>
      </c>
      <c r="W184" s="43" t="n"/>
      <c r="Y184" s="50" t="inlineStr">
        <is>
          <t>no</t>
        </is>
      </c>
      <c r="Z184" s="564" t="n"/>
      <c r="AC184" s="169" t="n">
        <v>3.816555500030518</v>
      </c>
      <c r="AD184" s="169">
        <f>IF(AC184="","",AC184*V184)</f>
        <v/>
      </c>
      <c r="AE184" s="43" t="inlineStr"/>
    </row>
    <row r="185" ht="221.15" customFormat="1" customHeight="1" s="48">
      <c r="A185" s="14">
        <f>A184+1</f>
        <v/>
      </c>
      <c r="B185" s="485" t="inlineStr">
        <is>
          <t>cs_stress_hh_assets</t>
        </is>
      </c>
      <c r="C185" s="131" t="inlineStr">
        <is>
          <t>cs_stress_hh_assets</t>
        </is>
      </c>
      <c r="D185" s="132"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85" s="16">
        <f>LEN(D185)</f>
        <v/>
      </c>
      <c r="F185" s="132" t="inlineStr">
        <is>
          <t>Au cours des 30 derniers jours, est-ce que quelqu'un dans votre foyer a dû vendre des actifs/biens ménager [radio, meubles, télévision, bijoux, etc.]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5" s="16">
        <f>LEN(F185)</f>
        <v/>
      </c>
      <c r="H185" s="132" t="inlineStr">
        <is>
          <t>Katika siku 30 iliyopita, kuna mtu yeyote katika kaya yako alilazimika kuuza mali/bidhaa za kaya [redio, samani, televisheni, vito, n.k.] kwa sababu ya ukosefu wa chakula au fesa?_x000D_
_x000D_
[OPERATOR: JIBU MOJA]_x000D_
_x000D_
1)Ndiyo_x000D_
2)Hapana - kwa sababu haikuwa lazima_x000D_
3)Hapana - kwa sababu tayari umeuza mali hizo au ulifanya shughuli hii ndani ya miezi 12 iliyopita na huwezi kuendelea kuifanya._x000D_
4)Haitumikie
5)SIJUE_x000D_
6)KUKATALA</t>
        </is>
      </c>
      <c r="I185" s="16" t="n"/>
      <c r="J185" s="60" t="inlineStr">
        <is>
          <t xml:space="preserve">Mu mafuku 30 apita, muntu nansha umo wa mu njibo yenu uvua mupanyishe bintu bia njibo [tshisanji, bintu bia mu nzubu, televizion, mabwe a mushinga mukole, ne bikuabu]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85" s="45">
        <f>LEN(J185)</f>
        <v/>
      </c>
      <c r="L185" s="134" t="inlineStr">
        <is>
          <t>Single Choice</t>
        </is>
      </c>
      <c r="M185" s="16" t="inlineStr">
        <is>
          <t>NA</t>
        </is>
      </c>
      <c r="N185" s="16" t="inlineStr">
        <is>
          <t>NA</t>
        </is>
      </c>
      <c r="O185" s="16" t="inlineStr">
        <is>
          <t>Form Type - Buttons</t>
        </is>
      </c>
      <c r="P185" s="25" t="inlineStr">
        <is>
          <t>NA</t>
        </is>
      </c>
      <c r="Q185" s="29" t="inlineStr">
        <is>
          <t>1-6 = cs_stress_spent_savings</t>
        </is>
      </c>
      <c r="R185" s="250" t="n"/>
      <c r="S185" s="250" t="inlineStr"/>
      <c r="T185" s="250" t="inlineStr"/>
      <c r="U185" s="10" t="n"/>
      <c r="V185" s="167" t="n">
        <v>1</v>
      </c>
      <c r="W185" s="43" t="n"/>
      <c r="Y185" s="50" t="inlineStr">
        <is>
          <t>no</t>
        </is>
      </c>
      <c r="Z185" s="564" t="n"/>
      <c r="AC185" s="169" t="n">
        <v>16.82703018188477</v>
      </c>
      <c r="AD185" s="169">
        <f>IF(AC185="","",AC185*V185)</f>
        <v/>
      </c>
      <c r="AE185" s="43" t="inlineStr"/>
    </row>
    <row r="186" ht="204" customFormat="1" customHeight="1" s="48">
      <c r="A186" s="14">
        <f>A185+1</f>
        <v/>
      </c>
      <c r="B186" s="485" t="inlineStr">
        <is>
          <t>cs_stress_spent_savings</t>
        </is>
      </c>
      <c r="C186" s="131" t="inlineStr">
        <is>
          <t>cs_stress_spent_savings</t>
        </is>
      </c>
      <c r="D186" s="132"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86" s="16">
        <f>LEN(D186)</f>
        <v/>
      </c>
      <c r="F186" s="132" t="inlineStr">
        <is>
          <t>Au cours des 30 derniers jours, est-ce que quelqu'un dans votre ménage a dû dépenser les économies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6" s="16">
        <f>LEN(F186)</f>
        <v/>
      </c>
      <c r="H186" s="132" t="inlineStr">
        <is>
          <t>Katika siku 30 iliyopita, kuna mtu yeyote katika kaya yako alilazimika kutumia akiba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6" s="16" t="n"/>
      <c r="J186" s="418" t="inlineStr">
        <is>
          <t xml:space="preserve">Mu mafuku 30 adi mapite, kudiku muntu kampanda mu nzubu muenu uvua ne bua kutula makuta avuaye mulame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86" s="45">
        <f>LEN(J186)</f>
        <v/>
      </c>
      <c r="L186" s="134" t="inlineStr">
        <is>
          <t>Single Choice</t>
        </is>
      </c>
      <c r="M186" s="16" t="inlineStr">
        <is>
          <t>NA</t>
        </is>
      </c>
      <c r="N186" s="16" t="inlineStr">
        <is>
          <t>NA</t>
        </is>
      </c>
      <c r="O186" s="16" t="inlineStr">
        <is>
          <t>Form Type - Buttons</t>
        </is>
      </c>
      <c r="P186" s="25" t="inlineStr">
        <is>
          <t>NA</t>
        </is>
      </c>
      <c r="Q186" s="29" t="inlineStr">
        <is>
          <t>1-6 = cs_stress_sold_more_animals</t>
        </is>
      </c>
      <c r="R186" s="250" t="n"/>
      <c r="S186" s="250" t="inlineStr"/>
      <c r="T186" s="250" t="inlineStr"/>
      <c r="U186" s="10" t="n"/>
      <c r="V186" s="167" t="n">
        <v>1</v>
      </c>
      <c r="W186" s="43" t="n"/>
      <c r="Y186" s="50" t="inlineStr">
        <is>
          <t>no</t>
        </is>
      </c>
      <c r="Z186" s="564" t="n"/>
      <c r="AC186" s="169" t="n">
        <v>12.21140480041504</v>
      </c>
      <c r="AD186" s="169">
        <f>IF(AC186="","",AC186*V186)</f>
        <v/>
      </c>
      <c r="AE186" s="43" t="inlineStr"/>
    </row>
    <row r="187" ht="221.15" customFormat="1" customHeight="1" s="48">
      <c r="A187" s="14">
        <f>A186+1</f>
        <v/>
      </c>
      <c r="B187" s="485" t="inlineStr">
        <is>
          <t>cs_stress_sold_more_animals</t>
        </is>
      </c>
      <c r="C187" s="131" t="inlineStr">
        <is>
          <t>cs_stress_sold_more_animals</t>
        </is>
      </c>
      <c r="D187" s="132" t="inlineStr">
        <is>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is>
      </c>
      <c r="E187" s="16">
        <f>LEN(D187)</f>
        <v/>
      </c>
      <c r="F187" s="132" t="inlineStr">
        <is>
          <t>Au cours des 30 derniers jours, est-ce que quelqu'un dans votre ménage a dû vendre plus d'animaux [non reproducteurs] que d'habitude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7" s="16">
        <f>LEN(F187)</f>
        <v/>
      </c>
      <c r="H187" s="132" t="inlineStr">
        <is>
          <t>Katika siku 30 iliyopita, kuna mtu yeyote katika kaya yako alilazimika kuuza wanyama wengi zaidi [wasiozaa] kuliko kawaida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7" s="16" t="n"/>
      <c r="J187" s="60" t="inlineStr">
        <is>
          <t>Mu mafuku 30 apita, kudi muntu mu njibo yenu uvua mupane nyama ya bungi [idi kayiyi ilela] kupita pa tshibidilu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87" s="45">
        <f>LEN(J187)</f>
        <v/>
      </c>
      <c r="L187" s="134" t="inlineStr">
        <is>
          <t>Single Choice</t>
        </is>
      </c>
      <c r="M187" s="16" t="inlineStr">
        <is>
          <t>NA</t>
        </is>
      </c>
      <c r="N187" s="16" t="inlineStr">
        <is>
          <t>NA</t>
        </is>
      </c>
      <c r="O187" s="16" t="inlineStr">
        <is>
          <t>Form Type - Buttons</t>
        </is>
      </c>
      <c r="P187" s="25" t="inlineStr">
        <is>
          <t>NA</t>
        </is>
      </c>
      <c r="Q187" s="29" t="inlineStr">
        <is>
          <t>1-6 = cs_stress_eat_elsewhere</t>
        </is>
      </c>
      <c r="R187" s="250" t="n"/>
      <c r="S187" s="250" t="inlineStr"/>
      <c r="T187" s="250" t="inlineStr"/>
      <c r="U187" s="10" t="n"/>
      <c r="V187" s="167" t="n">
        <v>1</v>
      </c>
      <c r="W187" s="43" t="n"/>
      <c r="Y187" s="50" t="inlineStr">
        <is>
          <t>no</t>
        </is>
      </c>
      <c r="Z187" s="564" t="n"/>
      <c r="AC187" s="169" t="n">
        <v>10.39294910430908</v>
      </c>
      <c r="AD187" s="169">
        <f>IF(AC187="","",AC187*V187)</f>
        <v/>
      </c>
      <c r="AE187" s="43" t="inlineStr"/>
    </row>
    <row r="188" ht="221.15" customFormat="1" customHeight="1" s="48">
      <c r="A188" s="14">
        <f>A187+1</f>
        <v/>
      </c>
      <c r="B188" s="485" t="inlineStr">
        <is>
          <t>cs_stress_eat_elsewhere</t>
        </is>
      </c>
      <c r="C188" s="131" t="inlineStr">
        <is>
          <t>cs_stress_eat_elsewhere</t>
        </is>
      </c>
      <c r="D188" s="132" t="inlineStr">
        <is>
          <t>Over the past 30 days, did anyone in your household have to send household members to eat elsewhere because of lack of food or money?
[OPERATOR: SINGLE RESPONSE]
1)Yes
2)No - because it wasn’t necessary
3)No - because you already sold those assets or did this activity within the last 12 months and you cannot continue to do it
4)Not applicable
5)DON'T KNOW 
6)REFUSED</t>
        </is>
      </c>
      <c r="E188" s="16">
        <f>LEN(D188)</f>
        <v/>
      </c>
      <c r="F188" s="132" t="inlineStr">
        <is>
          <t>Au cours des 30 derniers jours, est-ce que quelqu'un dans votre ménage a dû envoyer certains membres du ménage manger ailleurs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8" s="16">
        <f>LEN(F188)</f>
        <v/>
      </c>
      <c r="H188" s="460" t="inlineStr">
        <is>
          <t>Katika kipindi cha siku 30 zilizopita, je, yeyote katika familia yako alilazimika kutuma wanakaya kwenda kula mahali pengine kwa sababu ya ukosefu wa chakula au pesa?
[MWENDESHAJI: JIBU MOJA]
1)Ndiyo
2)Hapana - kwa sababu haikuwa muhimu
3)Hapana - kwa sababu tayari umeshauza mali hizo au kufanya shughuli hiyo katika miezi 12 iliyopita na huwezi kuendelea nayo
4)Haihusiani
5)SIJUE 
6)NILIKUKATALA</t>
        </is>
      </c>
      <c r="I188" s="16" t="n"/>
      <c r="J188" s="60" t="inlineStr">
        <is>
          <t>Mu mafuku 30 adi mapite, kudiku muntu kampanda wa mu nzubu wenu uvua mutume bena mu nzubu muende bua kudia muaba mukuabu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88" s="45">
        <f>LEN(J188)</f>
        <v/>
      </c>
      <c r="L188" s="134" t="inlineStr">
        <is>
          <t>Single Choice</t>
        </is>
      </c>
      <c r="M188" s="16" t="inlineStr">
        <is>
          <t>NA</t>
        </is>
      </c>
      <c r="N188" s="16" t="inlineStr">
        <is>
          <t>NA</t>
        </is>
      </c>
      <c r="O188" s="16" t="inlineStr">
        <is>
          <t>Form Type - Buttons</t>
        </is>
      </c>
      <c r="P188" s="25" t="inlineStr">
        <is>
          <t>NA</t>
        </is>
      </c>
      <c r="Q188" s="29" t="inlineStr">
        <is>
          <t>1-6 = cs_stress_borrowed_or_helped</t>
        </is>
      </c>
      <c r="R188" s="250" t="n"/>
      <c r="S188" s="250" t="inlineStr"/>
      <c r="T188" s="250" t="inlineStr"/>
      <c r="U188" s="10" t="n"/>
      <c r="V188" s="167" t="n">
        <v>1</v>
      </c>
      <c r="W188" s="43" t="n"/>
      <c r="Y188" s="50" t="inlineStr">
        <is>
          <t>no</t>
        </is>
      </c>
      <c r="Z188" s="564" t="n"/>
      <c r="AC188" s="169" t="n">
        <v>11.91341400146484</v>
      </c>
      <c r="AD188" s="169">
        <f>IF(AC188="","",AC188*V188)</f>
        <v/>
      </c>
      <c r="AE188" s="43" t="inlineStr"/>
    </row>
    <row r="189" ht="221.15" customFormat="1" customHeight="1" s="48">
      <c r="A189" s="14">
        <f>A188+1</f>
        <v/>
      </c>
      <c r="B189" s="485" t="inlineStr">
        <is>
          <t>cs_stress_borrowed_or_helped</t>
        </is>
      </c>
      <c r="C189" s="131" t="inlineStr">
        <is>
          <t>cs_stress_borrowed_or_helped</t>
        </is>
      </c>
      <c r="D189" s="132" t="inlineStr">
        <is>
          <t>Over the past 30 days, did anyone in your household have to borrow food or rely on help from friends or relatives because of lack of food or money?
[OPERATOR: SINGLE RESPONSE]
1)Yes
2)No - because it wasn’t necessary
3)No - because you already sold those assets or did this activity within the last 12 months and you cannot continue to do it
4)Not applicable
5)DON'T KNOW 
6)REFUSED</t>
        </is>
      </c>
      <c r="E189" s="16">
        <f>LEN(D189)</f>
        <v/>
      </c>
      <c r="F189" s="132" t="inlineStr">
        <is>
          <t>Au cours des 30 derniers jours, est-ce que quelqu'un dans votre ménage a dû emprunter de la nourriture ou compter sur l'aide d'amis ou de parents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9" s="16">
        <f>LEN(F189)</f>
        <v/>
      </c>
      <c r="H189" s="132" t="inlineStr">
        <is>
          <t>Katika siku 30 iliyopita, kuna mtu yeyote katika kaya yako alilazimika kukopa chakula au kutegemea msaada kutoka kwa marafiki au jamaa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9" s="16" t="n"/>
      <c r="J189" s="60" t="inlineStr">
        <is>
          <t>Mu mafuku 30 adi mapita, kudiku muntu kampanda mu nzubu muenu uvua musomba biakudia anyi mueyemene diambuluisha dia balunda anyi balela bende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89" s="45">
        <f>LEN(J189)</f>
        <v/>
      </c>
      <c r="L189" s="134" t="inlineStr">
        <is>
          <t>Single Choice</t>
        </is>
      </c>
      <c r="M189" s="16" t="inlineStr">
        <is>
          <t>NA</t>
        </is>
      </c>
      <c r="N189" s="16" t="inlineStr">
        <is>
          <t>NA</t>
        </is>
      </c>
      <c r="O189" s="16" t="inlineStr">
        <is>
          <t>Form Type - Buttons</t>
        </is>
      </c>
      <c r="P189" s="25" t="inlineStr">
        <is>
          <t>NA</t>
        </is>
      </c>
      <c r="Q189" s="29" t="inlineStr">
        <is>
          <t>1-6 = cs_stress_credit</t>
        </is>
      </c>
      <c r="R189" s="250" t="n"/>
      <c r="S189" s="250" t="inlineStr"/>
      <c r="T189" s="250" t="inlineStr"/>
      <c r="U189" s="10" t="n"/>
      <c r="V189" s="167" t="n">
        <v>1</v>
      </c>
      <c r="W189" s="43" t="n"/>
      <c r="Y189" s="50" t="inlineStr">
        <is>
          <t>no</t>
        </is>
      </c>
      <c r="Z189" s="564" t="n"/>
      <c r="AC189" s="169" t="n">
        <v>11.45889282226562</v>
      </c>
      <c r="AD189" s="169">
        <f>IF(AC189="","",AC189*V189)</f>
        <v/>
      </c>
      <c r="AE189" s="43" t="inlineStr"/>
    </row>
    <row r="190" ht="221.15" customFormat="1" customHeight="1" s="48">
      <c r="A190" s="14">
        <f>A189+1</f>
        <v/>
      </c>
      <c r="B190" s="485" t="inlineStr">
        <is>
          <t>cs_stress_credit</t>
        </is>
      </c>
      <c r="C190" s="131" t="inlineStr">
        <is>
          <t>cs_stress_credit</t>
        </is>
      </c>
      <c r="D190" s="132"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90" s="16">
        <f>LEN(D190)</f>
        <v/>
      </c>
      <c r="F190" s="132" t="inlineStr">
        <is>
          <t>Au cours des 30 derniers jours, est-ce que quelqu'un dans votre ménage a dû acheter de la nourriture à crédit ou emprunter de la nourriture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0" s="16">
        <f>LEN(F190)</f>
        <v/>
      </c>
      <c r="H190" s="132" t="inlineStr">
        <is>
          <t>Katika siku 30 iliyopita, kuna mtu yeyote katika kaya yako alilazimika kununua chakula kwa mkopo au chakula cha kuazima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0" s="16" t="n"/>
      <c r="J190" s="60" t="inlineStr">
        <is>
          <t xml:space="preserve">Mu mafuku 30 apita, kudi muntu mu njibo yenu uvua musumbe biakudia ku mfranga anyi musombeshe biakudia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90" s="45">
        <f>LEN(J190)</f>
        <v/>
      </c>
      <c r="L190" s="134" t="inlineStr">
        <is>
          <t>Single Choice</t>
        </is>
      </c>
      <c r="M190" s="16" t="inlineStr">
        <is>
          <t>NA</t>
        </is>
      </c>
      <c r="N190" s="16" t="inlineStr">
        <is>
          <t>NA</t>
        </is>
      </c>
      <c r="O190" s="16" t="inlineStr">
        <is>
          <t>Form Type - Buttons</t>
        </is>
      </c>
      <c r="P190" s="25" t="inlineStr">
        <is>
          <t>NA</t>
        </is>
      </c>
      <c r="Q190" s="29" t="inlineStr">
        <is>
          <t>1-6 = cs_stress_borrowed_money</t>
        </is>
      </c>
      <c r="R190" s="250" t="n"/>
      <c r="S190" s="250" t="inlineStr"/>
      <c r="T190" s="250" t="inlineStr"/>
      <c r="U190" s="10" t="n"/>
      <c r="V190" s="167" t="n">
        <v>1</v>
      </c>
      <c r="W190" s="43" t="n"/>
      <c r="Y190" s="50" t="inlineStr">
        <is>
          <t>no</t>
        </is>
      </c>
      <c r="Z190" s="564" t="n"/>
      <c r="AC190" s="169" t="n">
        <v>10.84387874603271</v>
      </c>
      <c r="AD190" s="169">
        <f>IF(AC190="","",AC190*V190)</f>
        <v/>
      </c>
      <c r="AE190" s="43" t="inlineStr"/>
    </row>
    <row r="191" ht="204" customFormat="1" customHeight="1" s="48">
      <c r="A191" s="14">
        <f>A190+1</f>
        <v/>
      </c>
      <c r="B191" s="485" t="inlineStr">
        <is>
          <t>cs_stress_borrowed_money</t>
        </is>
      </c>
      <c r="C191" s="131" t="inlineStr">
        <is>
          <t>cs_stress_borrowed_money</t>
        </is>
      </c>
      <c r="D191" s="132"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5)DON'T KNOW 
6)REFUSED</t>
        </is>
      </c>
      <c r="E191" s="16">
        <f>LEN(D191)</f>
        <v/>
      </c>
      <c r="F191" s="132" t="inlineStr">
        <is>
          <t>Au cours des 30 derniers jours, est-ce que quelqu'un dans votre ménage a dû emprunter de l'argent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1" s="16">
        <f>LEN(F191)</f>
        <v/>
      </c>
      <c r="H191" s="132" t="inlineStr">
        <is>
          <t>Katika siku 30 iliyopita, kuna mtu yeyote katika kaya yako alilazimika kukopa pesa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1" s="16" t="n"/>
      <c r="J191" s="60" t="inlineStr">
        <is>
          <t>Mu mafuku 30 apita, kudi muntu mu njibo yenu uvua musomba makuta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1" s="45">
        <f>LEN(J191)</f>
        <v/>
      </c>
      <c r="L191" s="134" t="inlineStr">
        <is>
          <t>Single Choice</t>
        </is>
      </c>
      <c r="M191" s="16" t="inlineStr">
        <is>
          <t>NA</t>
        </is>
      </c>
      <c r="N191" s="16" t="inlineStr">
        <is>
          <t>NA</t>
        </is>
      </c>
      <c r="O191" s="16" t="inlineStr">
        <is>
          <t>Form Type - Buttons</t>
        </is>
      </c>
      <c r="P191" s="25" t="inlineStr">
        <is>
          <t>NA</t>
        </is>
      </c>
      <c r="Q191" s="29" t="inlineStr">
        <is>
          <t>1-6 = cs_crisis_sold_prod_assets</t>
        </is>
      </c>
      <c r="R191" s="250" t="n"/>
      <c r="S191" s="250" t="inlineStr"/>
      <c r="T191" s="250" t="inlineStr"/>
      <c r="U191" s="10" t="n"/>
      <c r="V191" s="167" t="n">
        <v>1</v>
      </c>
      <c r="W191" s="43" t="n"/>
      <c r="Y191" s="50" t="inlineStr">
        <is>
          <t>no</t>
        </is>
      </c>
      <c r="Z191" s="564" t="n"/>
      <c r="AC191" s="169" t="n">
        <v>8.231814384460449</v>
      </c>
      <c r="AD191" s="169">
        <f>IF(AC191="","",AC191*V191)</f>
        <v/>
      </c>
      <c r="AE191" s="43" t="inlineStr"/>
    </row>
    <row r="192" ht="221.15" customFormat="1" customHeight="1" s="48">
      <c r="A192" s="14">
        <f>A191+1</f>
        <v/>
      </c>
      <c r="B192" s="485" t="inlineStr">
        <is>
          <t>cs_crisis_sold_prod_assets</t>
        </is>
      </c>
      <c r="C192" s="131" t="inlineStr">
        <is>
          <t>cs_crisis_sold_prod_assets</t>
        </is>
      </c>
      <c r="D192" s="132" t="inlineStr">
        <is>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is>
      </c>
      <c r="E192" s="16">
        <f>LEN(D192)</f>
        <v/>
      </c>
      <c r="F192" s="132" t="inlineStr">
        <is>
          <t>Au cours des 30 derniers jours, est-ce que quelqu'un dans votre ménage a dû vendre des actifs productifs ou des véhicules [machine à coudre, brouette, vélo, voiture, etc.]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2" s="16">
        <f>LEN(F192)</f>
        <v/>
      </c>
      <c r="H192" s="132" t="inlineStr">
        <is>
          <t>Katika siku 30 iliyopita, kuna mtu yeyote katika kaya yako alilazimika kuuza mali za uzalishaji au vyombo vya usafiri [cherehani, toroli, baiskeli, gari, n.k.]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2" s="16" t="n"/>
      <c r="J192" s="60" t="inlineStr">
        <is>
          <t>Mu mafuku 30 apita, kudi muntu nansha umo mu njibo yenu uvua mupanyishe bintu bia mudimu anyi mashinyi [tshiamu tshia kusonga natshi bilamba, tshiamu tshia kuendesha natshi bilamba, dikalu, mashinyi, ne bikuabu]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2" s="45">
        <f>LEN(J192)</f>
        <v/>
      </c>
      <c r="L192" s="134" t="inlineStr">
        <is>
          <t>Single Choice</t>
        </is>
      </c>
      <c r="M192" s="16" t="inlineStr">
        <is>
          <t>NA</t>
        </is>
      </c>
      <c r="N192" s="16" t="inlineStr">
        <is>
          <t>NA</t>
        </is>
      </c>
      <c r="O192" s="16" t="inlineStr">
        <is>
          <t>Form Type - Buttons</t>
        </is>
      </c>
      <c r="P192" s="25" t="inlineStr">
        <is>
          <t>NA</t>
        </is>
      </c>
      <c r="Q192" s="29" t="inlineStr">
        <is>
          <t>1-6 = cs_crisis_reduced_health_exp</t>
        </is>
      </c>
      <c r="R192" s="250" t="n"/>
      <c r="S192" s="250" t="inlineStr"/>
      <c r="T192" s="250" t="inlineStr"/>
      <c r="U192" s="10" t="n"/>
      <c r="V192" s="167" t="n">
        <v>1</v>
      </c>
      <c r="W192" s="43" t="n"/>
      <c r="Y192" s="50" t="inlineStr">
        <is>
          <t>no</t>
        </is>
      </c>
      <c r="Z192" s="564" t="n"/>
      <c r="AC192" s="169" t="n">
        <v>11.93405628204346</v>
      </c>
      <c r="AD192" s="169">
        <f>IF(AC192="","",AC192*V192)</f>
        <v/>
      </c>
      <c r="AE192" s="43" t="inlineStr"/>
    </row>
    <row r="193" ht="221.15" customFormat="1" customHeight="1" s="48">
      <c r="A193" s="14">
        <f>A192+1</f>
        <v/>
      </c>
      <c r="B193" s="485" t="inlineStr">
        <is>
          <t>cs_crisis_reduced_health_exp</t>
        </is>
      </c>
      <c r="C193" s="131" t="inlineStr">
        <is>
          <t>cs_crisis_reduced_health_exp</t>
        </is>
      </c>
      <c r="D193" s="132"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93" s="16">
        <f>LEN(D193)</f>
        <v/>
      </c>
      <c r="F193" s="132" t="inlineStr">
        <is>
          <t>Au cours des 30 derniers jours, est-ce que quelqu'un dans votre ménage a dû réduire les dépenses de santé [y compris les médicaments]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3" s="16">
        <f>LEN(F193)</f>
        <v/>
      </c>
      <c r="H193" s="132" t="inlineStr">
        <is>
          <t>Katika siku 30 iliyopita, kuna mtu yeyote katika kaya yako alilazimika kupunguza gharama za afya [pamoja na dawa]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3" s="16" t="n"/>
      <c r="J193" s="60" t="inlineStr">
        <is>
          <t>Mu mafuku 30 apita, kudiku muntu kampanda wa mu njibo yenu udi ne tshia kukepesha mushinga wa luondapu [kusangisha ne manga]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3" s="45">
        <f>LEN(J193)</f>
        <v/>
      </c>
      <c r="L193" s="134" t="inlineStr">
        <is>
          <t>Single Choice</t>
        </is>
      </c>
      <c r="M193" s="16" t="inlineStr">
        <is>
          <t>NA</t>
        </is>
      </c>
      <c r="N193" s="16" t="inlineStr">
        <is>
          <t>NA</t>
        </is>
      </c>
      <c r="O193" s="16" t="inlineStr">
        <is>
          <t>Form Type - Buttons</t>
        </is>
      </c>
      <c r="P193" s="25" t="inlineStr">
        <is>
          <t>NA</t>
        </is>
      </c>
      <c r="Q193" s="29" t="inlineStr">
        <is>
          <t>1-6 = cs_crisis_harv_immature_crops</t>
        </is>
      </c>
      <c r="R193" s="29" t="n"/>
      <c r="S193" s="254" t="inlineStr"/>
      <c r="T193" s="255" t="inlineStr"/>
      <c r="U193" s="10" t="n"/>
      <c r="V193" s="167" t="n">
        <v>1</v>
      </c>
      <c r="W193" s="43" t="n"/>
      <c r="Y193" s="50" t="inlineStr">
        <is>
          <t>no</t>
        </is>
      </c>
      <c r="Z193" s="564" t="n"/>
      <c r="AC193" s="169" t="n">
        <v>12.7567195892334</v>
      </c>
      <c r="AD193" s="169">
        <f>IF(AC193="","",AC193*V193)</f>
        <v/>
      </c>
      <c r="AE193" s="43" t="inlineStr"/>
    </row>
    <row r="194" ht="221.15" customFormat="1" customHeight="1" s="48">
      <c r="A194" s="14">
        <f>A193+1</f>
        <v/>
      </c>
      <c r="B194" s="485" t="inlineStr">
        <is>
          <t>cs_crisis_harv_immature_crops</t>
        </is>
      </c>
      <c r="C194" s="131" t="inlineStr">
        <is>
          <t>cs_crisis_harv_immature_crops</t>
        </is>
      </c>
      <c r="D194" s="132" t="inlineStr">
        <is>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is>
      </c>
      <c r="E194" s="16">
        <f>LEN(D194)</f>
        <v/>
      </c>
      <c r="F194" s="132" t="inlineStr">
        <is>
          <t>Au cours des 30 derniers jours, est-ce que quelqu'un dans votre ménage a dû récolter des cultures immatures [par ex., le maïs vert] pour les manger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4" s="16">
        <f>LEN(F194)</f>
        <v/>
      </c>
      <c r="H194" s="132" t="inlineStr">
        <is>
          <t>Katika siku 30 iliyopita, kuna mtu yeyote katika kaya yako alilazimika kuvuna mazao ambayo hayajakomaa [k.m. mahindi mabichi] ili kula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4" s="16" t="n"/>
      <c r="J194" s="60" t="inlineStr">
        <is>
          <t xml:space="preserve">Mu mafuku 30 apita, kudi muntu mu njibo yenu uvua ne tshia kunowa madimi adi kaayi makola [tshilejilu, mabele a matamba] bua kudia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94" s="45">
        <f>LEN(J194)</f>
        <v/>
      </c>
      <c r="L194" s="134" t="inlineStr">
        <is>
          <t>Single Choice</t>
        </is>
      </c>
      <c r="M194" s="16" t="inlineStr">
        <is>
          <t>NA</t>
        </is>
      </c>
      <c r="N194" s="16" t="inlineStr">
        <is>
          <t>NA</t>
        </is>
      </c>
      <c r="O194" s="16" t="inlineStr">
        <is>
          <t>Form Type - Buttons</t>
        </is>
      </c>
      <c r="P194" s="25" t="inlineStr">
        <is>
          <t>NA</t>
        </is>
      </c>
      <c r="Q194" s="29" t="inlineStr">
        <is>
          <t>1-6 = cs_crisis_consume_seed_stock</t>
        </is>
      </c>
      <c r="R194" s="29" t="n"/>
      <c r="S194" s="256" t="inlineStr"/>
      <c r="T194" s="257" t="inlineStr"/>
      <c r="U194" s="10" t="n"/>
      <c r="V194" s="167" t="n">
        <v>1</v>
      </c>
      <c r="W194" s="43" t="n"/>
      <c r="Y194" s="50" t="inlineStr">
        <is>
          <t>no</t>
        </is>
      </c>
      <c r="Z194" s="564" t="n"/>
      <c r="AC194" s="169" t="n">
        <v>7.892221450805664</v>
      </c>
      <c r="AD194" s="169">
        <f>IF(AC194="","",AC194*V194)</f>
        <v/>
      </c>
      <c r="AE194" s="43" t="inlineStr"/>
    </row>
    <row r="195" ht="204" customFormat="1" customHeight="1" s="48">
      <c r="A195" s="14">
        <f>A194+1</f>
        <v/>
      </c>
      <c r="B195" s="485" t="inlineStr">
        <is>
          <t>cs_crisis_consume_seed_stock</t>
        </is>
      </c>
      <c r="C195" s="131" t="inlineStr">
        <is>
          <t>cs_crisis_consume_seed_stock</t>
        </is>
      </c>
      <c r="D195" s="132" t="inlineStr">
        <is>
          <t>Over the past 30 days, did anyone in your household consume seed stocks that were to be held/saved for the next planting season because of lack of food or money?
[OPERATOR: SINGLE RESPONSE]
1)Yes
2)No - because it wasn’t necessary
3)No - because you already sold those assets or did this activity within the last 12 months and you cannot continue to do it
4)Not applicable
5)DON'T KNOW 
6)REFUSED</t>
        </is>
      </c>
      <c r="E195" s="16">
        <f>LEN(D195)</f>
        <v/>
      </c>
      <c r="F195" s="132" t="inlineStr">
        <is>
          <t>Au cours des 30 derniers jours, est-ce que quelqu'un dans votre ménage a dû consommer les stocks de semences qui devaient être conservés pour la prochaine campagne de semis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5" s="16">
        <f>LEN(F195)</f>
        <v/>
      </c>
      <c r="H195" s="132" t="inlineStr">
        <is>
          <t>Katika muda wa siku 30 iliyopita, kuna mtu yeyote katika kaya yako alitumia akiba ya mbegu iliyopaswa kuhifadhiwa/kuhifadhiwa kwa msimu ujao wa kupanda kwa sababu ya ukosefu wa chakula au pesa?
[OPERATOR: JIBU MOJA]
1)Ndiyo
2)Hapana - kwa sababu haikuwa lazima
3)Hapana - kwa sababu tayari umeuza mali hizo au ulifanya shughuli hii ndani ya miezi 12 iliyopita na huwezi kuendelea kuifanya.
4)Haitumiki
5)SIJUE
6)KUKATALA</t>
        </is>
      </c>
      <c r="I195" s="16" t="n"/>
      <c r="J195" s="60" t="inlineStr">
        <is>
          <t xml:space="preserve">Mu mafuku 30 apita, muntu nansha umo wa mu njibo yenu uvua ne tshia kudia ntete ivua ne tshia kulama bua tshikondo tshia kukuna tshidi tshilonda bua dipanga dia biakudia anyi dia makuta anyi?
[ENQUETEUR/TRICE:Bipwebo imwe]
1) Eyowa
2) TO - bualu kabivua bikengela to
3) TO - bualu uvua mupane bintu ebi anyi mumane kuenza mudimu eu mu ngondo 12 mimane kupita ne kuena mua kutungunuka ne kuenza nanku to
4) Kabiena bikengedibua to
5)KENA MUMANYE
6)MUBENE
</t>
        </is>
      </c>
      <c r="K195" s="45">
        <f>LEN(J195)</f>
        <v/>
      </c>
      <c r="L195" s="134" t="inlineStr">
        <is>
          <t>Single Choice</t>
        </is>
      </c>
      <c r="M195" s="16" t="inlineStr">
        <is>
          <t>NA</t>
        </is>
      </c>
      <c r="N195" s="16" t="inlineStr">
        <is>
          <t>NA</t>
        </is>
      </c>
      <c r="O195" s="16" t="inlineStr">
        <is>
          <t>Form Type - Buttons</t>
        </is>
      </c>
      <c r="P195" s="25" t="inlineStr">
        <is>
          <t>NA</t>
        </is>
      </c>
      <c r="Q195" s="29" t="inlineStr">
        <is>
          <t>1-6 = cs_emergency_begged</t>
        </is>
      </c>
      <c r="R195" s="29" t="n"/>
      <c r="S195" s="256" t="inlineStr"/>
      <c r="T195" s="257" t="inlineStr"/>
      <c r="U195" s="10" t="n"/>
      <c r="V195" s="167" t="n">
        <v>1</v>
      </c>
      <c r="W195" s="43" t="n"/>
      <c r="Y195" s="50" t="inlineStr">
        <is>
          <t>no</t>
        </is>
      </c>
      <c r="Z195" s="564" t="n"/>
      <c r="AC195" s="169" t="n">
        <v>9.518729209899902</v>
      </c>
      <c r="AD195" s="169">
        <f>IF(AC195="","",AC195*V195)</f>
        <v/>
      </c>
      <c r="AE195" s="43" t="inlineStr"/>
    </row>
    <row r="196" ht="204" customFormat="1" customHeight="1" s="48">
      <c r="A196" s="14">
        <f>A195+1</f>
        <v/>
      </c>
      <c r="B196" s="485" t="inlineStr">
        <is>
          <t>cs_emergency_begged</t>
        </is>
      </c>
      <c r="C196" s="131" t="inlineStr">
        <is>
          <t>cs_emergency_begged</t>
        </is>
      </c>
      <c r="D196" s="132"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96" s="16">
        <f>LEN(D196)</f>
        <v/>
      </c>
      <c r="F196" s="132" t="inlineStr">
        <is>
          <t>Au cours des 30 derniers jours, est-ce que quelqu'un dans votre ménage a dû mendier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6" s="16">
        <f>LEN(F196)</f>
        <v/>
      </c>
      <c r="H196" s="132" t="inlineStr">
        <is>
          <t>Katika siku 30 iliyopita, kuna mtu yeyote katika kaya yako alilazimika kuomba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6" s="16" t="n"/>
      <c r="J196" s="60" t="inlineStr">
        <is>
          <t>Mu mafuku 30 adi mapite, kudiku muntu kampanda mu nzubu muenu uvua mulombe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6" s="45">
        <f>LEN(J196)</f>
        <v/>
      </c>
      <c r="L196" s="134" t="inlineStr">
        <is>
          <t>Single Choice</t>
        </is>
      </c>
      <c r="M196" s="16" t="inlineStr">
        <is>
          <t>NA</t>
        </is>
      </c>
      <c r="N196" s="16" t="inlineStr">
        <is>
          <t>NA</t>
        </is>
      </c>
      <c r="O196" s="16" t="inlineStr">
        <is>
          <t>Form Type - Buttons</t>
        </is>
      </c>
      <c r="P196" s="25" t="inlineStr">
        <is>
          <t>NA</t>
        </is>
      </c>
      <c r="Q196" s="29" t="inlineStr">
        <is>
          <t>1-6 = cs_emergency_illegal</t>
        </is>
      </c>
      <c r="R196" s="29" t="n"/>
      <c r="S196" s="256" t="inlineStr"/>
      <c r="T196" s="257" t="inlineStr"/>
      <c r="U196" s="10" t="n"/>
      <c r="V196" s="167" t="n">
        <v>1</v>
      </c>
      <c r="W196" s="43" t="n"/>
      <c r="Y196" s="50" t="inlineStr">
        <is>
          <t>no</t>
        </is>
      </c>
      <c r="Z196" s="564" t="n"/>
      <c r="AC196" s="169" t="n">
        <v>9.105807304382324</v>
      </c>
      <c r="AD196" s="169">
        <f>IF(AC196="","",AC196*V196)</f>
        <v/>
      </c>
      <c r="AE196" s="43" t="inlineStr"/>
    </row>
    <row r="197" ht="221.15" customFormat="1" customHeight="1" s="48">
      <c r="A197" s="14">
        <f>A196+1</f>
        <v/>
      </c>
      <c r="B197" s="485" t="inlineStr">
        <is>
          <t>cs_emergency_illegal</t>
        </is>
      </c>
      <c r="C197" s="131" t="inlineStr">
        <is>
          <t>cs_emergency_illegal</t>
        </is>
      </c>
      <c r="D197" s="132" t="inlineStr">
        <is>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is>
      </c>
      <c r="E197" s="16">
        <f>LEN(D197)</f>
        <v/>
      </c>
      <c r="F197" s="132" t="inlineStr">
        <is>
          <t>Au cours des 30 derniers jours, est-ce que quelqu'un dans votre ménage a dû s'engager dans des activités illégales ou dégradantes pour obtenir un revenu [vol, prostitution]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7" s="16">
        <f>LEN(F197)</f>
        <v/>
      </c>
      <c r="H197" s="132" t="inlineStr">
        <is>
          <t>Katika siku 30 iliyopita, kuna mtu yeyote katika kaya yako alilazimika kujihusisha na shughuli haramu au duni za mapato [wizi, ukahaba]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7" s="16" t="n"/>
      <c r="J197" s="60" t="inlineStr">
        <is>
          <t>Mu mafuku 30 adi mapite, kudiku muntu kampanda mu nzubu muenu uvua muenze malu adi kaayi malelela anyi adi anyanga bantu bua kupeta makuta [buivi, ndumba]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7" s="45">
        <f>LEN(J197)</f>
        <v/>
      </c>
      <c r="L197" s="134" t="inlineStr">
        <is>
          <t>Single Choice</t>
        </is>
      </c>
      <c r="M197" s="16" t="inlineStr">
        <is>
          <t>NA</t>
        </is>
      </c>
      <c r="N197" s="16" t="inlineStr">
        <is>
          <t>NA</t>
        </is>
      </c>
      <c r="O197" s="16" t="inlineStr">
        <is>
          <t>Form Type - Buttons</t>
        </is>
      </c>
      <c r="P197" s="25" t="inlineStr">
        <is>
          <t>NA</t>
        </is>
      </c>
      <c r="Q197" s="29" t="inlineStr">
        <is>
          <t>1-6 = cs_emergency_hh_migration</t>
        </is>
      </c>
      <c r="R197" s="29" t="n"/>
      <c r="S197" s="256" t="inlineStr"/>
      <c r="T197" s="257" t="inlineStr"/>
      <c r="U197" s="10" t="n"/>
      <c r="V197" s="167" t="n">
        <v>1</v>
      </c>
      <c r="W197" s="43" t="n"/>
      <c r="Y197" s="50" t="inlineStr">
        <is>
          <t>no</t>
        </is>
      </c>
      <c r="Z197" s="564" t="n"/>
      <c r="AC197" s="169" t="n">
        <v>11.21794319152832</v>
      </c>
      <c r="AD197" s="169">
        <f>IF(AC197="","",AC197*V197)</f>
        <v/>
      </c>
      <c r="AE197" s="43" t="inlineStr"/>
    </row>
    <row r="198" ht="204" customFormat="1" customHeight="1" s="48">
      <c r="A198" s="14">
        <f>A197+1</f>
        <v/>
      </c>
      <c r="B198" s="485" t="inlineStr">
        <is>
          <t>cs_emergency_hh_migration</t>
        </is>
      </c>
      <c r="C198" s="131" t="inlineStr">
        <is>
          <t>cs_emergency_hh_migration</t>
        </is>
      </c>
      <c r="D198" s="132" t="inlineStr">
        <is>
          <t>Over the past 30 days, did your entire household have to migrate because of lack of food or money?
[OPERATOR: SINGLE RESPONSE]
1)Yes
2)No - because it wasn’t necessary
3)No - because you already sold those assets or did this activity within the last 12 months and you cannot continue to do it
4)Not applicable
5)DON'T KNOW 
6)REFUSED</t>
        </is>
      </c>
      <c r="E198" s="16">
        <f>LEN(D198)</f>
        <v/>
      </c>
      <c r="F198" s="132" t="inlineStr">
        <is>
          <t>Au cours des 30 derniers jours, est-ce que votre ménage entier a dû migrer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8" s="16">
        <f>LEN(F198)</f>
        <v/>
      </c>
      <c r="H198" s="132" t="inlineStr">
        <is>
          <t>Katika siku 30 iliyopita, kaya yako yote ililazimika kuhama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8" s="16" t="n"/>
      <c r="J198" s="60" t="inlineStr">
        <is>
          <t>Mu mafuku 30 adi mapita, bena mu diku diebe bonso badiku baye mu ditunga dikuabu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8" s="45">
        <f>LEN(J198)</f>
        <v/>
      </c>
      <c r="L198" s="134" t="inlineStr">
        <is>
          <t>Single Choice</t>
        </is>
      </c>
      <c r="M198" s="16" t="inlineStr">
        <is>
          <t>NA</t>
        </is>
      </c>
      <c r="N198" s="16" t="inlineStr">
        <is>
          <t>NA</t>
        </is>
      </c>
      <c r="O198" s="16" t="inlineStr">
        <is>
          <t>Form Type - Buttons</t>
        </is>
      </c>
      <c r="P198" s="25" t="inlineStr">
        <is>
          <t>NA</t>
        </is>
      </c>
      <c r="Q198" s="29" t="inlineStr">
        <is>
          <t>1-6 = hdds</t>
        </is>
      </c>
      <c r="R198" s="29" t="n"/>
      <c r="S198" s="256" t="inlineStr"/>
      <c r="T198" s="257" t="inlineStr"/>
      <c r="U198" s="10" t="n"/>
      <c r="V198" s="167" t="n">
        <v>1</v>
      </c>
      <c r="W198" s="43" t="n"/>
      <c r="Y198" s="50" t="inlineStr">
        <is>
          <t>no</t>
        </is>
      </c>
      <c r="Z198" s="564" t="n"/>
      <c r="AC198" s="169" t="n">
        <v>9.06495475769043</v>
      </c>
      <c r="AD198" s="169">
        <f>IF(AC198="","",AC198*V198)</f>
        <v/>
      </c>
      <c r="AE198" s="43" t="inlineStr"/>
    </row>
    <row r="199" ht="409.5" customFormat="1" customHeight="1" s="48">
      <c r="A199" s="14">
        <f>A198+1</f>
        <v/>
      </c>
      <c r="B199" s="63" t="inlineStr">
        <is>
          <t>hdds</t>
        </is>
      </c>
      <c r="C199" s="47" t="inlineStr">
        <is>
          <t>hdds
1) hdds_cereals
2) hdds_rootstubers
3) hdds_vegetables
4) hdds_fruits
5) hdds_meat
6) hdds_eggs
7) hdds_fish
8) hdds_legumes
9) hdds_milkdairy
10) hdds_oils
11)hdds_sugar
12) hdds_condiments</t>
        </is>
      </c>
      <c r="D199" s="428"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99" s="52">
        <f>LEN(D199)</f>
        <v/>
      </c>
      <c r="F199" s="114" t="inlineStr">
        <is>
          <t>Je voudrais maintenant vous poser une série de questions sur votre consommation alimentaire, avec comme référence les 24 dernières heures de la journée d'hier. Veuillez décrire les aliments [repas et collations] que vous ou tout membre du ménage avez consommés ou bus à la maison au cours de la journée d’hier [dans les 24 dernières heures: petit-déjeuner, déjeuner, dîner et collations].
[OPÉRATEUR/OPÉRATRICE: SÉLECTIONNER TOUS LES GROUPES D'ALIMENTS CONSOMMÉS AU COURS DES 24 HEURES DE LA JOURNÉE PASSÉE DANS LES RÉPONSES DE LA PERSONNE INTERROGÉE. PLUSIEURS RÉPONSES POSSIBLES.]
1)Céréales [sorgho / millet / maïs / blé / riz / spaghettis / pain ou toute autre céréale disponible localement]
2)Racines et tubercules [patate douce blanche / pomme de terre / igname / manioc ou autres tubercules]
3)Légumes [tous]
4)Fruits [tous]
5)Viande/ volaille et abats [bœuf / porc / agneau / chèvre/ lapin / gibier / poulet / canard / foie / rein / cœur ou autres abats]
6)Œufs
7)Poissons ou crustacés [poissons frais ou séchés / crustacés]
8)Légumineuses/ fruits à coque et graines [haricots / pois / arachides / lentilles / amandes et/ou autres fruits à coque]
9)Lait et autres produits laitiers [lait frais / lait caillé / yaourt / fromage / autres produits laitiers]
10)Huiles et graisses [cuisson / beurre / margarine / graisse / huile / autres huiles]
11)Sucre ou produits sucrés [miel / confiture / beignets / bonbons / chocolat / biscuits / pâtisseries / gâteaux et autres produits sucrés]
12)Condiments [cacao / sel / ail / épices / levure / levure chimique / tomate ou sauce tomate / viande ou poisson comme condiment] et café / thé</t>
        </is>
      </c>
      <c r="G199" s="52">
        <f>LEN(F199)</f>
        <v/>
      </c>
      <c r="H199" s="71" t="inlineStr">
        <is>
          <t>Sasa minapenda kukuuliza maswali kuhusu matumizi ya chakula, nikirejea saa 24 za jana. Tafadhali eleza vyakula [vyakula na vitafunwa] ambavyo wewe au mwanakaya yeyote mlikula au kunywa nyumbani jana [katika saa 24. ya jana: kifungua kinywa, chakula cha mchana, chakula cha jioni na vitafunio].
[OPERATOR: CHAGUA VIKUNDI VYOTE VYA VYAKULA VINAVYOTUMWA KATIKA SAA 24 ZA JANA ANAVYOJIBU. MAJIBU MENGI YANAWEZEKANA.]
1)Nafaka [mtama / mtama / mahindi / ngano / wali / tambi / mkate au kuingiza nafaka yingine  yoyote inayopatikana nchini]
2)Mizizi na mizizi [viazi vitamu vyeupe / viazi / viazi vikuu / mihogo au mizizi mingine]
3)Mboga [yote]
4)Matunda [yote]
5)Nyama/ kuku na offal [nyama ya ng'ombe / nguruwe / kondoo / mbuzi / sungura / pori / kuku / bata / ini / figo / moyo / au nyama yingine  ya kiungo]
6)Mayai
7)Samaki au samakigamba [samaki safi au kavu / samakigamba]
8)Kunde/ karanga na mbegu [maharagwe / njegere / karanga / dengu / almond / karanga zingine]
9)Majiba na bidhaa yingine ya majiba [maziwa mapya / sour / mtindi / jibini / bidhaa zingine za majiba]
10)Mafuta na mafuta [kupikia / siagi / majarini / mafuta / mafuta / mafuta mengine]
11)Sukari au bidhaa za sukari [asali / jamu / donuts / peremende / chokoleti / biskuti / keki / keki na bidhaa yingine  tamu]
12)Vitoweo [kakao / chumvi / vitunguu saumu / viungo / chachu / poda ya kuoka / nyanya au mchuzi wa nyanya / nyama au samaki kama kitoweo] na kahawa / chai</t>
        </is>
      </c>
      <c r="I199" s="52" t="n"/>
      <c r="J199" s="400" t="inlineStr">
        <is>
          <t>Mpindieu ndi musue kukuela nkonko milondangane pa bidi bitangila biakudia biudi udia, bilondeshile mêba 24 a ndekelu a malaba. Tuasakidila bua kumvuija biakudia [biakudia ne bia patupu] biuvua wewe anyi muntu yonso wa mu nzubu mudie anyi munue kumbelu mu munya malaba [mu mêba 24 adi mapite: biakudia bia mu dinda, bia mu midi, bia dilolo ne bia patupu].
[ENQUETEUR/TRICE: SULANGANA BISUMBA BIONSO BIA BIAKUDILA BIDI BIDIA MU MEBA 24 A DITUKU DIPITALE KU MANDAMUNA A MUENA LUMU. MANDAMUNA MANYI ADI MUA KUENZA.]
1) Ntete [sorgho / millet / mabele / blé / mpunga / spaghetti / mampa anyi ntete mikuabu yonso idiku]
2) Miji ne bisonsa [bimuma bia mvinyo / bimuma bia mvinyo / yam / manioko anyi bimuma bikuabu]
3)Mishipa [yonso]
4)Mamuma [onso]
5) Munyinyi/ nyunyi ne bintu bia munda [nyama wa ngombe / ngulube / muana wa mukoko / mbuji / ngulube / nyama / nkutshi / ntambue / tshifu / tshifu / mutshima anyi bintu bikuabu bia munda]
6) Mayi
7) Mushipa anyi mushipa [mushipa mupiamupia anyi muume / mushipa]
8)Bikunyibua/bikunyibua ne ntete [bikunyibua/bikunyibua/bimuma bia nkunde/bimuma bia nkunde ne/anyi bimuma bikuabu]
9)Mabele ne bintu bikuabu bia mabele [mabele mapiamapia / mabele / yaourt / fromaje / bintu bikuabu bia mabele]
10) Mafuta ne mafuta [bia kulamba / manteka / margarine / mafuta / mafuta / mafuta makuabu]
11)Nsukadi anyi bintu bia nsukadi [buitshi/jam/mampa/bonbon/chokolate/biscuit/mampa/mampa ne bintu bikuabu bia nsukadi]
12)Bintu bia kulengeja nabi [kakao/mukele/ail/bintu bia kulengeja nabi/levure/busuku/tomate anyi tomate/nyama anyi mushipa bu tshintu tshia kulengeja natshi] ne kafe/tshiayi</t>
        </is>
      </c>
      <c r="K199" s="45">
        <f>LEN(J199)</f>
        <v/>
      </c>
      <c r="L199" s="56" t="inlineStr">
        <is>
          <t>Select All That Apply</t>
        </is>
      </c>
      <c r="M199" s="52" t="inlineStr">
        <is>
          <t>NA</t>
        </is>
      </c>
      <c r="N199" s="52" t="inlineStr">
        <is>
          <t>NA</t>
        </is>
      </c>
      <c r="O199" s="52" t="inlineStr">
        <is>
          <t>Form Type - Checklist</t>
        </is>
      </c>
      <c r="P199" s="82" t="inlineStr">
        <is>
          <t>1)hdds_cereals
2)hdds_rootstubers
3)hdds_vegetables
4)hdds_fruits
5)hdds_meat
6)hdds_eggs
7)hdds_fish
8)hdds_legumes
9)hdds_milkdairy
10)hdds_oils
11)hdds_sugar
12)hdds_condiments</t>
        </is>
      </c>
      <c r="Q199" s="51" t="inlineStr">
        <is>
          <t>1-12 = hdds_confirmation</t>
        </is>
      </c>
      <c r="R199" s="51" t="n"/>
      <c r="S199" s="51" t="inlineStr">
        <is>
          <t>if hdds = 1-12, go to hdds_confirmation</t>
        </is>
      </c>
      <c r="T199" s="29" t="inlineStr"/>
      <c r="U199" s="258" t="n"/>
      <c r="V199" s="170" t="n">
        <v>1</v>
      </c>
      <c r="W199" s="43" t="n"/>
      <c r="Y199" s="109" t="inlineStr">
        <is>
          <t>yes</t>
        </is>
      </c>
      <c r="Z199" s="564" t="n"/>
      <c r="AC199" s="168" t="n">
        <v>52.17435836791992</v>
      </c>
      <c r="AD199" s="168">
        <f>IF(AC199="","",AC199*V199)</f>
        <v/>
      </c>
      <c r="AE199" s="43" t="inlineStr">
        <is>
          <t>52.17435836791992</t>
        </is>
      </c>
    </row>
    <row r="200" ht="170.15" customFormat="1" customHeight="1" s="48">
      <c r="A200" s="14">
        <f>A199+1</f>
        <v/>
      </c>
      <c r="B200" s="401" t="inlineStr">
        <is>
          <t>hdds_confirmation</t>
        </is>
      </c>
      <c r="C200" s="403" t="inlineStr">
        <is>
          <t>hdds_confirmation</t>
        </is>
      </c>
      <c r="D200" s="486"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200" s="130">
        <f>LEN(D200)</f>
        <v/>
      </c>
      <c r="F200" s="71" t="inlineStr">
        <is>
          <t>[OPÉRATEUR/OPÉRATRICE: N'OUBLIEZ PAS DE DEMANDER DES INFORMATIONS SUR LES COLLATIONS, LES ALIMENTS SPÉCIAUX DONNÉS AUX ENFANTS OU AUX FEMMES ENCEINTES, LES INGRÉDIENTS CONTENUS DANS LES PLATS COMPOSÉS. À LA FIN, RENSEIGNEZ-VOUS SUR LES GROUPES D'ALIMENTS NON CONSOMMÉS. 
SI CES QUESTIONS ONT DÉJÀ ÉTÉ POSÉES, CLIQUER SUR CONTINUER. SINON, REVENEZ EN ARRIÈRE ET ASSUREZ-VOUS QUE TOUS LES GROUPES ALIMENTAIRES CONSOMMÉS AU COURS DES 24 HEURES D'HIER ONT BIEN ÉTÉ SÉLECTIONNÉS.]
1)CONTINUER</t>
        </is>
      </c>
      <c r="G200" s="130">
        <f>LEN(F200)</f>
        <v/>
      </c>
      <c r="H200" s="114" t="inlineStr">
        <is>
          <t>[OPERATOR: KUMBUKA KUFANYA UCHUNGUZI WA VITAFUNO, VYAKULA MAALUM WANAVYOPEWA WATOTO AU WANAWAKE WAJAWAZITO, VIUNGO KATIKA VYOMBO VILIVYOCHANGANYIWA. MWISHO, FAHAMU KWA MAKUNDI YA CHAKULA HAYAJATAJWA._x000D_
_x000D_
IKIWA TAYARI UMEFANYA UCHUNGUZI, BOFYA ENDELEA. VINGINEVYO, RUDI NYUMA ILI KUHAKIKISHA VIKUNDI VYOTE VYA VYAKULA VINAVYOTUMWA KATIKA SAA 24 ZA JANA VIMECHAGULIWA.]_x000D_
_x000D_
1)ENDELEA</t>
        </is>
      </c>
      <c r="I200" s="464" t="n"/>
      <c r="J200" s="188" t="inlineStr">
        <is>
          <t xml:space="preserve">[OPERATEUR: KUPU LUPA BUA KULOMBA MANYI A BIA BIDIMU, BIDIBU BIPESHA BANA NANSHA BAKAJI BA DIMI, BIDIMU BIDI MU BIDIMU BIDI BIBUIKA. KU NDEKELU, KEBA BISUMBA BIA BIDIBU BIDI KAYI BIDIE.
BIkala NKONKO EYI MIKALA NE KUELA, TUA KU TUNGA. BIkalabi kabiyi nanku, PINDA NE UJIKIJE NE: BISUMBA BIONSO BIDI BIA KUDIA MU MEBA 24 A MALABA BIDI BISUANGANE.]
1)TUNDUKA
</t>
        </is>
      </c>
      <c r="K200" s="45">
        <f>LEN(J200)</f>
        <v/>
      </c>
      <c r="L200" s="487" t="inlineStr">
        <is>
          <t>Single Choice</t>
        </is>
      </c>
      <c r="M200" s="464" t="inlineStr">
        <is>
          <t>NA</t>
        </is>
      </c>
      <c r="N200" s="464" t="inlineStr">
        <is>
          <t>NA</t>
        </is>
      </c>
      <c r="O200" s="464" t="inlineStr">
        <is>
          <t>Form Type - Buttons</t>
        </is>
      </c>
      <c r="P200" s="82" t="inlineStr">
        <is>
          <t>NA</t>
        </is>
      </c>
      <c r="Q200" s="55" t="inlineStr">
        <is>
          <t>1 = fcs_intro</t>
        </is>
      </c>
      <c r="R200" s="55" t="n"/>
      <c r="S200" s="55" t="inlineStr">
        <is>
          <t>if hdds_confirmation = 1, go to need or optional question</t>
        </is>
      </c>
      <c r="T200" s="213" t="inlineStr"/>
      <c r="U200" s="259" t="n"/>
      <c r="V200" s="170" t="n">
        <v>1</v>
      </c>
      <c r="W200" s="43" t="n"/>
      <c r="Y200" s="109" t="inlineStr">
        <is>
          <t>yes</t>
        </is>
      </c>
      <c r="Z200" s="564" t="n"/>
      <c r="AC200" s="168" t="n">
        <v>1.287102341651917</v>
      </c>
      <c r="AD200" s="168">
        <f>IF(AC200="","",AC200*V200)</f>
        <v/>
      </c>
      <c r="AE200" s="43" t="inlineStr">
        <is>
          <t>1.287102341651917</t>
        </is>
      </c>
    </row>
    <row r="201" ht="85" customFormat="1" customHeight="1" s="48">
      <c r="A201" s="14">
        <f>A200+1</f>
        <v/>
      </c>
      <c r="B201" s="62" t="inlineStr">
        <is>
          <t>fcs_intro</t>
        </is>
      </c>
      <c r="C201" s="406" t="inlineStr">
        <is>
          <t>fcs_intro</t>
        </is>
      </c>
      <c r="D201" s="61" t="inlineStr">
        <is>
          <t>Now I would like to ask you about the foods and drinks your household ate or drank in the last 7 days during the day and at night [breakfast, lunch, dinner, snacks]. 
1)CONTINUE</t>
        </is>
      </c>
      <c r="E201" s="16">
        <f>LEN(D201)</f>
        <v/>
      </c>
      <c r="F201" s="61" t="inlineStr">
        <is>
          <t>Je voudrais maintenant vous interroger sur les aliments et les boissons consommés dans votre ménage au cours des 7 derniers jours pendant la journée et la nuit [petit-déjeuner, déjeuner, dîner, collations].
1)CONTINUER</t>
        </is>
      </c>
      <c r="G201" s="16">
        <f>LEN(F201)</f>
        <v/>
      </c>
      <c r="H201" s="187" t="inlineStr">
        <is>
          <t>Sasa minapenda kukuuliza kuhusu vyakula na vinywaji ambavyo kaya yako ilikula au kunywa katika siku 7 iliyopita mchana na usiku [kifungua kinywa, chakula cha mchana, chakula cha jioni, vitafunio]._x000D_
_x000D_
1)ENDELEA</t>
        </is>
      </c>
      <c r="I201" s="16" t="n"/>
      <c r="J201" s="60" t="inlineStr">
        <is>
          <t xml:space="preserve">Mpindieu ndi musue kukuebeja bua biakudia ne bia kunua bivuabu badie mu nzubu muebe mu matuku 7 adi mapite mu munya ne butuku [biakudia bia mu dinda, bia mu midi, bia dilolo, bia patupu].
1)TUNDUKA
</t>
        </is>
      </c>
      <c r="K201" s="45">
        <f>LEN(J201)</f>
        <v/>
      </c>
      <c r="L201" s="134" t="inlineStr">
        <is>
          <t>Single Choice</t>
        </is>
      </c>
      <c r="M201" s="16" t="inlineStr">
        <is>
          <t>NA</t>
        </is>
      </c>
      <c r="N201" s="16" t="inlineStr">
        <is>
          <t>NA</t>
        </is>
      </c>
      <c r="O201" s="16" t="inlineStr">
        <is>
          <t>Form Type - Buttons</t>
        </is>
      </c>
      <c r="P201" s="25" t="inlineStr">
        <is>
          <t>NA</t>
        </is>
      </c>
      <c r="Q201" s="29" t="inlineStr">
        <is>
          <t>1 = fcs_staple_days</t>
        </is>
      </c>
      <c r="R201" s="29" t="n"/>
      <c r="S201" s="29" t="inlineStr">
        <is>
          <t>if fcs_intro = 1, go to fcs_staple_days</t>
        </is>
      </c>
      <c r="T201" s="29" t="inlineStr"/>
      <c r="U201" s="39" t="n"/>
      <c r="V201" s="167" t="n">
        <v>1</v>
      </c>
      <c r="W201" s="43" t="n"/>
      <c r="Y201" s="50" t="inlineStr">
        <is>
          <t>no</t>
        </is>
      </c>
      <c r="Z201" s="564" t="n"/>
      <c r="AC201" s="169" t="n">
        <v>5.644973278045654</v>
      </c>
      <c r="AD201" s="169">
        <f>IF(AC201="","",AC201*V201)</f>
        <v/>
      </c>
      <c r="AE201" s="43" t="inlineStr"/>
    </row>
    <row r="202" ht="170.15" customFormat="1" customHeight="1" s="48">
      <c r="A202" s="14">
        <f>A201+1</f>
        <v/>
      </c>
      <c r="B202" s="62" t="inlineStr">
        <is>
          <t>fcs_staple_days</t>
        </is>
      </c>
      <c r="C202" s="406" t="inlineStr">
        <is>
          <t>fcs_staple_days</t>
        </is>
      </c>
      <c r="D202" s="61"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202" s="16">
        <f>LEN(D202)</f>
        <v/>
      </c>
      <c r="F202" s="61" t="inlineStr">
        <is>
          <t>Au cours des 7 derniers jours,pendant combien de jours, les membres de votre ménage 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is>
      </c>
      <c r="G202" s="16">
        <f>LEN(F202)</f>
        <v/>
      </c>
      <c r="H202" s="132" t="inlineStr">
        <is>
          <t>Ni siku ngapi katika siku 7 iliyopita, wanakaya wako walikula wanga, mizizi na mizizi kama wali, mahindi, tambi, mkate, mtama, mtama, viazi, viazi vikuu, mihogo, viazi vitamu nyeupe?
[OPERATOR: REKODI IDADI YA SIKU 0 - 7.]
[DOKEZO: IKITUMIWA KWA KIASI KIDOGO TU, USIJUMUISHE.]</t>
        </is>
      </c>
      <c r="I202" s="16" t="n"/>
      <c r="J202" s="60" t="inlineStr">
        <is>
          <t xml:space="preserve">Mu mafuku 7 apita, mu mafuku bungi munyi adi bena mu njibo yenu badie bya kudya bya amidon, miji ne bisonsa bu mudi mponda, mabele, makaroni, mampa, nkunde, nkunde, buloba bua pome, nkunde, manioko, nkunde mitoke?
[ENQUETEUR/TRICE: TANDIKA NUNU WA BIKELA KU 0 KU 7.]
[NDINGA: SIE KUKONJELA PONO YA MIKINSHI, SIKULUMBWA.]"
</t>
        </is>
      </c>
      <c r="K202" s="45">
        <f>LEN(J202)</f>
        <v/>
      </c>
      <c r="L202" s="134" t="inlineStr">
        <is>
          <t>Range</t>
        </is>
      </c>
      <c r="M202" s="16" t="inlineStr">
        <is>
          <t>NA</t>
        </is>
      </c>
      <c r="N202" s="16" t="inlineStr">
        <is>
          <t>NA</t>
        </is>
      </c>
      <c r="O202" s="16" t="inlineStr">
        <is>
          <t>Form Type - TextBox</t>
        </is>
      </c>
      <c r="P202" s="25" t="inlineStr">
        <is>
          <t>NA</t>
        </is>
      </c>
      <c r="Q202" s="29" t="inlineStr">
        <is>
          <t>0-7 = fcs_pulses_days</t>
        </is>
      </c>
      <c r="R202" s="488" t="inlineStr">
        <is>
          <t>Updated the French text in the FCS and rCSI modules to better align with the English text and to be consistent with FCS and rCSI French translations implemented in questionnaires for WFP and other partners. This update was also made to the FAO Cameroon questionnaire. 
We have deleted "Combien de fois [en nombre de jours]" and reference to "foyer". They have been updated to "ménage" and "Au cours des 7 derniers jours, pendant combien de jours"
FAO:OK</t>
        </is>
      </c>
      <c r="S202" s="29" t="inlineStr">
        <is>
          <t>For any response, go to fcs_pulses_days</t>
        </is>
      </c>
      <c r="T202" s="29" t="inlineStr"/>
      <c r="U202" s="38" t="n"/>
      <c r="V202" s="167" t="n">
        <v>1</v>
      </c>
      <c r="W202" s="43" t="n"/>
      <c r="Y202" s="50" t="inlineStr">
        <is>
          <t>no</t>
        </is>
      </c>
      <c r="Z202" s="564" t="n"/>
      <c r="AC202" s="169" t="n">
        <v>26.99896049499512</v>
      </c>
      <c r="AD202" s="169">
        <f>IF(AC202="","",AC202*V202)</f>
        <v/>
      </c>
      <c r="AE202" s="43" t="inlineStr"/>
    </row>
    <row r="203" ht="119.15" customFormat="1" customHeight="1" s="48">
      <c r="A203" s="14">
        <f>A202+1</f>
        <v/>
      </c>
      <c r="B203" s="62" t="inlineStr">
        <is>
          <t>fcs_pulses_days</t>
        </is>
      </c>
      <c r="C203" s="406" t="inlineStr">
        <is>
          <t>fcs_pulses_days</t>
        </is>
      </c>
      <c r="D203" s="61" t="inlineStr">
        <is>
          <t>How many days over the last 7 days, did members of your household eat pulses and nuts such as beans, lentils, cowpeas, soybean, pigeon peas and peanuts or other nuts?
[OPERATOR: RECORD NUMBER OF DAYS 0 - 7]
[HINT: IF CONSUMED ONLY IN SMALL QUANTITY, DO NOT INCLUDE.]</t>
        </is>
      </c>
      <c r="E203" s="16">
        <f>LEN(D203)</f>
        <v/>
      </c>
      <c r="F203" s="61" t="inlineStr">
        <is>
          <t>Au cours des 7 derniers jours, pendant combien de jours, les membres de votre ménage 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is>
      </c>
      <c r="G203" s="16">
        <f>LEN(F203)</f>
        <v/>
      </c>
      <c r="H203" s="132" t="inlineStr">
        <is>
          <t>Ni siku ngapi katika siku 7 iliyopita, wanakaya wako walikula kunde na karanga kama vile maharagwe, dengu, kunde, soya, mbaazi na karanga au njugu yingine zo?_x000D_
_x000D_
[OPERATOR: REKODI IDADI YA SIKU 0 - 7]_x000D_
[DOKEZO: IKITUMIWA KWA KIASI KIDOGO TU, USIJUMUISHE.]</t>
        </is>
      </c>
      <c r="I203" s="16" t="n"/>
      <c r="J203" s="60" t="inlineStr">
        <is>
          <t xml:space="preserve">Mu mafuku 7 apita, mafuku bungi munyi adi bena mu njibo yenu badie bisekiseki ne bisekiseki bu mudi: nkunde, nkunde, nkunde ya soya, nkunde ya nkutshi, nkunde anyi nkunde mikuabu?
[ENQUETEUR/TRICE: TANDIKA NUNU WA BIKELA  KU 0  KU  7.]
[NDINGA: SIE KUKONJELA PONO YA MIKINSHI, SIKULUMBWA.]"
</t>
        </is>
      </c>
      <c r="K203" s="45">
        <f>LEN(J203)</f>
        <v/>
      </c>
      <c r="L203" s="134" t="inlineStr">
        <is>
          <t>Range</t>
        </is>
      </c>
      <c r="M203" s="16" t="inlineStr">
        <is>
          <t>NA</t>
        </is>
      </c>
      <c r="N203" s="16" t="inlineStr">
        <is>
          <t>NA</t>
        </is>
      </c>
      <c r="O203" s="16" t="inlineStr">
        <is>
          <t>Form Type - TextBox</t>
        </is>
      </c>
      <c r="P203" s="25" t="inlineStr">
        <is>
          <t>NA</t>
        </is>
      </c>
      <c r="Q203" s="29" t="inlineStr">
        <is>
          <t>0-7 = fcs_vegetables_days</t>
        </is>
      </c>
      <c r="R203" s="29" t="n"/>
      <c r="S203" s="29" t="inlineStr">
        <is>
          <t>For any response, go to fcs_vegetables_days</t>
        </is>
      </c>
      <c r="T203" s="29" t="inlineStr"/>
      <c r="U203" s="38" t="n"/>
      <c r="V203" s="167" t="n">
        <v>1</v>
      </c>
      <c r="W203" s="43" t="n"/>
      <c r="Y203" s="50" t="inlineStr">
        <is>
          <t>no</t>
        </is>
      </c>
      <c r="Z203" s="564" t="n"/>
      <c r="AC203" s="169" t="n">
        <v>18.27383232116699</v>
      </c>
      <c r="AD203" s="169">
        <f>IF(AC203="","",AC203*V203)</f>
        <v/>
      </c>
      <c r="AE203" s="43" t="inlineStr"/>
    </row>
    <row r="204" ht="102" customFormat="1" customHeight="1" s="48">
      <c r="A204" s="14">
        <f>A203+1</f>
        <v/>
      </c>
      <c r="B204" s="62" t="inlineStr">
        <is>
          <t>fcs_vegetables_days</t>
        </is>
      </c>
      <c r="C204" s="406" t="inlineStr">
        <is>
          <t>fcs_vegetables_days</t>
        </is>
      </c>
      <c r="D204" s="61" t="inlineStr">
        <is>
          <t>How many days over the last 7 days, did members of your household eat vegetables or leaves such as Funbwa, spinach, cabbage, carrot and/or other leaves/vegetables?
[OPERATOR: RECORD NUMBER OF DAYS 0 - 7] 
[HINT: IF CONSUMED ONLY IN SMALL QUANTITY, DO NOT INCLUDE.]</t>
        </is>
      </c>
      <c r="E204" s="16">
        <f>LEN(D204)</f>
        <v/>
      </c>
      <c r="F204" s="61" t="inlineStr">
        <is>
          <t>Au cours des 7 derniers jours, pendant combien de jours, les membres de votre ménage ont-ils mangé des légumes ou des feuilles tels que des  Fumbwa, épinard, choux, carottes  et/ou d'autres feuilles/légumes?
[OPÉRATEUR/OPÉRATRICE: SAISIR LE NOMBRE DE JOURS DE 0 À 7.]
[CONSEIL : SI CONSOMMÉ UNIQUEMENT EN PETITE QUANTITÉ, NE PAS INCLURE.]</t>
        </is>
      </c>
      <c r="G204" s="16">
        <f>LEN(F204)</f>
        <v/>
      </c>
      <c r="H204" s="132" t="inlineStr">
        <is>
          <t>Ni siku ngapi katika siku 7 iliyopita, wanakaya wako walikula mboga au majani kama vile Fumbwa, épinard, choux, karoti na/au majani/mboga yingine ?
[OPERATOR: REKODI IDADI YA SIKU 0 - 7]
[DOKEZO: IKITUMIWA KWA KIASI KIDOGO TU, USIJUMUISHE.]</t>
        </is>
      </c>
      <c r="I204" s="16" t="n"/>
      <c r="J204" s="60" t="inlineStr">
        <is>
          <t>Mu mafuku 7 adi mapita, mu mafuku bungi munyi adi bena mu njibo yenu badia bisekiseki anyi mabeji bu mudi: Fumbwa, epinard, chou, carotte ne/anyi mabeji makuabu/mishipa mikuabu?
[ENQUETEUR/TRICE: TANDIKA NUNU WA BIKELA KU 0  KU  7.]
[NDINGA: SIE KUKONJELA PONO YA MIKINSHI, SIKULUMBWA.]"</t>
        </is>
      </c>
      <c r="K204" s="45">
        <f>LEN(J204)</f>
        <v/>
      </c>
      <c r="L204" s="134" t="inlineStr">
        <is>
          <t>Range</t>
        </is>
      </c>
      <c r="M204" s="16" t="inlineStr">
        <is>
          <t>NA</t>
        </is>
      </c>
      <c r="N204" s="16" t="inlineStr">
        <is>
          <t>NA</t>
        </is>
      </c>
      <c r="O204" s="16" t="inlineStr">
        <is>
          <t>Form Type - TextBox</t>
        </is>
      </c>
      <c r="P204" s="25" t="inlineStr">
        <is>
          <t>NA</t>
        </is>
      </c>
      <c r="Q204" s="29" t="inlineStr">
        <is>
          <t>0-7 = fcs_fruit_days</t>
        </is>
      </c>
      <c r="R204" s="29" t="inlineStr">
        <is>
          <t xml:space="preserve">Corrected English and French translations. </t>
        </is>
      </c>
      <c r="S204" s="29" t="inlineStr">
        <is>
          <t>For any response, go to fcs_fruit_days</t>
        </is>
      </c>
      <c r="T204" s="29" t="inlineStr"/>
      <c r="U204" s="38" t="n"/>
      <c r="V204" s="167" t="n">
        <v>1</v>
      </c>
      <c r="W204" s="43" t="n"/>
      <c r="Y204" s="50" t="inlineStr">
        <is>
          <t>no</t>
        </is>
      </c>
      <c r="Z204" s="564" t="n"/>
      <c r="AC204" s="169" t="n">
        <v>16.35211563110352</v>
      </c>
      <c r="AD204" s="169">
        <f>IF(AC204="","",AC204*V204)</f>
        <v/>
      </c>
      <c r="AE204" s="43" t="inlineStr"/>
    </row>
    <row r="205" ht="139.5" customFormat="1" customHeight="1" s="48">
      <c r="A205" s="14">
        <f>A204+1</f>
        <v/>
      </c>
      <c r="B205" s="62" t="inlineStr">
        <is>
          <t>fcs_fruit_days</t>
        </is>
      </c>
      <c r="C205" s="406" t="inlineStr">
        <is>
          <t>fcs_fruit_days</t>
        </is>
      </c>
      <c r="D205" s="61" t="inlineStr">
        <is>
          <t>How many days over the last 7 days, did members of your household eat fruit such as bananas, oranges, mangos and/or other fruits?
[OPERATOR: RECORD NUMBER OF DAYS 0 - 7]
[HINT: IF CONSUMED ONLY IN SMALL QUANTITY, DO NOT INCLUDE.]</t>
        </is>
      </c>
      <c r="E205" s="16">
        <f>LEN(D205)</f>
        <v/>
      </c>
      <c r="F205" s="61" t="inlineStr">
        <is>
          <t>Au cours des 7 derniers jours, pendant combien de jours, les membres de votre ménage ont-ils mangé des fruits tels que des  bananes, oranges, mangues et/ou d'autres fruits?
[OPÉRATEUR/OPÉRATRICE: SAISIR LE NOMBRE DE JOURS DE 0 À 7.]
[CONSEIL : SI CONSOMMÉ UNIQUEMENT EN PETITE QUANTITÉ, NE PAS INCLURE.]</t>
        </is>
      </c>
      <c r="G205" s="16">
        <f>LEN(F205)</f>
        <v/>
      </c>
      <c r="H205" s="132" t="inlineStr">
        <is>
          <t>Ni siku ngapi katika siku 7 iliyopita, watu wa kaya yako walikula matunda kama vile ndizi, machungwa, mangue na/au matunda mengine?
[OPERATOR: REKODI IDADI YA SIKU 0 - 7]
[DOKEZO: IKITUMIWA KWA KIASI KIDOGO TU, USIJUMUISHE.]</t>
        </is>
      </c>
      <c r="I205" s="16" t="n"/>
      <c r="J205" s="60" t="inlineStr">
        <is>
          <t xml:space="preserve">Mu mafuku 7 apita, mu mafuku bungi munyi adi bena mu njibo yenu badie mamuma bu mudi nkunde, orange, mango ne/anyi bimuma bikwabo?
[ENQUETEUR/TRICE: BUELA BUALU BUA MATUKU KUTUADILA KU 0 TO KU 7.]
[MUBELU: BIWIKALA MUDIE ANYI MU MUSHINDU MUKESE, KUBUEJI TO.]
</t>
        </is>
      </c>
      <c r="K205" s="45">
        <f>LEN(J205)</f>
        <v/>
      </c>
      <c r="L205" s="134" t="inlineStr">
        <is>
          <t>Range</t>
        </is>
      </c>
      <c r="M205" s="16" t="inlineStr">
        <is>
          <t>NA</t>
        </is>
      </c>
      <c r="N205" s="16" t="inlineStr">
        <is>
          <t>NA</t>
        </is>
      </c>
      <c r="O205" s="16" t="inlineStr">
        <is>
          <t>Form Type - TextBox</t>
        </is>
      </c>
      <c r="P205" s="25" t="inlineStr">
        <is>
          <t>NA</t>
        </is>
      </c>
      <c r="Q205" s="29" t="inlineStr">
        <is>
          <t>0-7 = fcs_meat_fish_days</t>
        </is>
      </c>
      <c r="R205" s="29" t="inlineStr">
        <is>
          <t xml:space="preserve">Corrected English and French translations. </t>
        </is>
      </c>
      <c r="S205" s="29" t="inlineStr">
        <is>
          <t>For any response, go to fcs_meat_fish_days</t>
        </is>
      </c>
      <c r="T205" s="29" t="inlineStr"/>
      <c r="U205" s="38" t="n"/>
      <c r="V205" s="167" t="n">
        <v>1</v>
      </c>
      <c r="W205" s="43" t="n"/>
      <c r="Y205" s="50" t="inlineStr">
        <is>
          <t>no</t>
        </is>
      </c>
      <c r="Z205" s="564" t="n"/>
      <c r="AC205" s="169" t="n">
        <v>14.01507568359375</v>
      </c>
      <c r="AD205" s="169">
        <f>IF(AC205="","",AC205*V205)</f>
        <v/>
      </c>
      <c r="AE205" s="43" t="inlineStr"/>
    </row>
    <row r="206" ht="119.15" customFormat="1" customHeight="1" s="48">
      <c r="A206" s="14">
        <f>A205+1</f>
        <v/>
      </c>
      <c r="B206" s="62" t="inlineStr">
        <is>
          <t>fcs_meat_fish_days</t>
        </is>
      </c>
      <c r="C206" s="406" t="inlineStr">
        <is>
          <t>fcs_meat_fish_days</t>
        </is>
      </c>
      <c r="D206" s="61"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206" s="16">
        <f>LEN(D206)</f>
        <v/>
      </c>
      <c r="F206" s="61" t="inlineStr">
        <is>
          <t>Au cours des 7 derniers jours, pendant combien de jours, les membres de votre ménage 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is>
      </c>
      <c r="G206" s="16">
        <f>LEN(F206)</f>
        <v/>
      </c>
      <c r="H206" s="132" t="inlineStr">
        <is>
          <t>Ni siku ngapi katika siku 7 iliyopita, watu wa kaya yako walikula nyama, mayai au samaki [aina yoyote ya nyama au samaki ikiwa ni pamoja na wadudu, ndege, nyama ya porini, dagaa, au viungo]?_x000D_
_x000D_
[OPERATOR: REKODI IDADI YA SIKU 0 - 7]_x000D_
[DOKEZO: IKITUMIWA KWA KIASI KIDOGO TU, USIJUMUISHE.]</t>
        </is>
      </c>
      <c r="I206" s="16" t="n"/>
      <c r="J206" s="60" t="inlineStr">
        <is>
          <t xml:space="preserve">Mu mafuku 7 apita, mu mafuku bungi munyi adi bena mu njibo yenu badie mamuma bu mudi nkunde, orange, mango ne/anyi bimuma bikwabo?
[ENQUETEUR/TRICE: ENTER THE NUMER OF DAYS FROM 0 TO 7.][TIP: SI CONSUME SONLEMENT EN PETITE QUANTITÉ, NON INCLUS TO.]
</t>
        </is>
      </c>
      <c r="K206" s="45">
        <f>LEN(J206)</f>
        <v/>
      </c>
      <c r="L206" s="134" t="inlineStr">
        <is>
          <t>Range</t>
        </is>
      </c>
      <c r="M206" s="16" t="inlineStr">
        <is>
          <t>NA</t>
        </is>
      </c>
      <c r="N206" s="16" t="inlineStr">
        <is>
          <t>NA</t>
        </is>
      </c>
      <c r="O206" s="16" t="inlineStr">
        <is>
          <t>Form Type - TextBox</t>
        </is>
      </c>
      <c r="P206" s="25" t="inlineStr">
        <is>
          <t>NA</t>
        </is>
      </c>
      <c r="Q206" s="29" t="inlineStr">
        <is>
          <t>0-7 = fcs_dairy_days</t>
        </is>
      </c>
      <c r="R206" s="29" t="n"/>
      <c r="S206" s="29" t="inlineStr">
        <is>
          <t>For any response, go to fcs_dairy_days</t>
        </is>
      </c>
      <c r="T206" s="29" t="inlineStr"/>
      <c r="U206" s="38" t="n"/>
      <c r="V206" s="167" t="n">
        <v>1</v>
      </c>
      <c r="W206" s="43" t="n"/>
      <c r="Y206" s="50" t="inlineStr">
        <is>
          <t>no</t>
        </is>
      </c>
      <c r="Z206" s="564" t="n"/>
      <c r="AC206" s="169" t="n">
        <v>17.22746658325195</v>
      </c>
      <c r="AD206" s="169">
        <f>IF(AC206="","",AC206*V206)</f>
        <v/>
      </c>
      <c r="AE206" s="43" t="inlineStr"/>
    </row>
    <row r="207" ht="119.15" customFormat="1" customHeight="1" s="48">
      <c r="A207" s="14">
        <f>A206+1</f>
        <v/>
      </c>
      <c r="B207" s="62" t="inlineStr">
        <is>
          <t>fcs_dairy_days</t>
        </is>
      </c>
      <c r="C207" s="406" t="inlineStr">
        <is>
          <t>fcs_dairy_days</t>
        </is>
      </c>
      <c r="D207" s="61"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207" s="16">
        <f>LEN(D207)</f>
        <v/>
      </c>
      <c r="F207" s="61" t="inlineStr">
        <is>
          <t>Au cours des 7 derniers jours, pendant combien de jours, les membres de votre ménage 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is>
      </c>
      <c r="G207" s="16">
        <f>LEN(F207)</f>
        <v/>
      </c>
      <c r="H207" s="132" t="inlineStr">
        <is>
          <t>Ni siku ngapi katika siku 7 iliyopita, wanafamilia wako walikula maziwa mapya, maziwa ya sour, mtindi, jibini au bidhaa yingine  za maziwa? [Ukiondoa majarini/siagi au kiasi kidogo cha maziwa kwa chai/ kahawa]_x000D_
_x000D_
[OPERATOR: REKODI IDADI YA SIKU 0 - 7]_x000D_
[DOKEZO: IKITUMIWA KWA KIASI KIDOGO TU, USIJUMUISHE.]</t>
        </is>
      </c>
      <c r="I207" s="16" t="n"/>
      <c r="J207" s="60" t="inlineStr">
        <is>
          <t xml:space="preserve">Mu mafuku 7 apita, mu mafuku bungi munyi adi bena mu njibo yenu badie munyinyi, mai nansha mushipa [munyinyi nansha umo wa mushipa, kubadila'mo bishi, nyunyi, muitu, bimuma, mu mbuu nansha bintu bia munda]?
[ENQUETEUR/TRICE: ENTER THE NUMER OF DAYS FROM 0 TO 7.][TIP: SI CONSUME SONLEMENT EN PETITE QUANTITÉ, NON INCLUS TO.]
</t>
        </is>
      </c>
      <c r="K207" s="45">
        <f>LEN(J207)</f>
        <v/>
      </c>
      <c r="L207" s="134" t="inlineStr">
        <is>
          <t>Range</t>
        </is>
      </c>
      <c r="M207" s="16" t="inlineStr">
        <is>
          <t>NA</t>
        </is>
      </c>
      <c r="N207" s="16" t="inlineStr">
        <is>
          <t>NA</t>
        </is>
      </c>
      <c r="O207" s="16" t="inlineStr">
        <is>
          <t>Form Type - TextBox</t>
        </is>
      </c>
      <c r="P207" s="25" t="inlineStr">
        <is>
          <t>NA</t>
        </is>
      </c>
      <c r="Q207" s="29" t="inlineStr">
        <is>
          <t>0-7 = fcs_sugar_days</t>
        </is>
      </c>
      <c r="R207" s="29" t="n"/>
      <c r="S207" s="29" t="inlineStr">
        <is>
          <t>For any response, go to fcs_sugar_days</t>
        </is>
      </c>
      <c r="T207" s="29" t="inlineStr"/>
      <c r="U207" s="38" t="n"/>
      <c r="V207" s="167" t="n">
        <v>1</v>
      </c>
      <c r="W207" s="43" t="n"/>
      <c r="Y207" s="50" t="inlineStr">
        <is>
          <t>no</t>
        </is>
      </c>
      <c r="Z207" s="564" t="n"/>
      <c r="AC207" s="169" t="n">
        <v>19.49277471670652</v>
      </c>
      <c r="AD207" s="169">
        <f>IF(AC207="","",AC207*V207)</f>
        <v/>
      </c>
      <c r="AE207" s="43" t="inlineStr"/>
    </row>
    <row r="208" ht="119.15" customFormat="1" customHeight="1" s="48">
      <c r="A208" s="14">
        <f>A207+1</f>
        <v/>
      </c>
      <c r="B208" s="62" t="inlineStr">
        <is>
          <t>fcs_sugar_days</t>
        </is>
      </c>
      <c r="C208" s="406" t="inlineStr">
        <is>
          <t>fcs_sugar_days</t>
        </is>
      </c>
      <c r="D208" s="61"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208" s="16">
        <f>LEN(D208)</f>
        <v/>
      </c>
      <c r="F208" s="61" t="inlineStr">
        <is>
          <t>Au cours des 7 derniers jours, pendant combien de jours, les membres de votre ménage 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is>
      </c>
      <c r="G208" s="16">
        <f>LEN(F208)</f>
        <v/>
      </c>
      <c r="H208" s="132" t="inlineStr">
        <is>
          <t>Ni siku ngapi katika siku 7 iliyopita, watu wa kaya yako walitumia sukari au peremende kama vile sukari, asali, jamu, keki, pipi, biskuti, keki, keki na pipi yingine  na vinywaji vyenye sukari?_x000D_
_x000D_
[OPERATOR: REKODI IDADI YA SIKU 0 - 7]_x000D_
[DOKEZO: IKITUMIWA KWA KIASI KIDOGO TU, USIJUMUISHE.]</t>
        </is>
      </c>
      <c r="I208" s="16" t="n"/>
      <c r="J208" s="60" t="inlineStr">
        <is>
          <t>Mu mafuku 7 apita, mbantu bungi munyi badi bena mu njibo yenu badia mabele mapiamapia, mabele a tshisuku, yaourt, fromaje anyi bintu bikuabu bia mabele [pa kumbusha margarine/ manteka anyi ndambu wa mabele bua tshiayi/kafe]?
[ENQUETEUR/TRICE: TANDIKA NUNU WA BIKELA KU 0  KU  7.]
[NDINGA: SIE KUKONJELA PONO YA MIKINSHI, SIKULUMBWA.]"</t>
        </is>
      </c>
      <c r="K208" s="45">
        <f>LEN(J208)</f>
        <v/>
      </c>
      <c r="L208" s="134" t="inlineStr">
        <is>
          <t>Range</t>
        </is>
      </c>
      <c r="M208" s="16" t="inlineStr">
        <is>
          <t>NA</t>
        </is>
      </c>
      <c r="N208" s="16" t="inlineStr">
        <is>
          <t>NA</t>
        </is>
      </c>
      <c r="O208" s="16" t="inlineStr">
        <is>
          <t>Form Type - TextBox</t>
        </is>
      </c>
      <c r="P208" s="25" t="inlineStr">
        <is>
          <t>NA</t>
        </is>
      </c>
      <c r="Q208" s="29" t="inlineStr">
        <is>
          <t>0-7 = fcs_oil_days</t>
        </is>
      </c>
      <c r="R208" s="29" t="n"/>
      <c r="S208" s="29" t="inlineStr">
        <is>
          <t>For any response, go to fcs_oil_days</t>
        </is>
      </c>
      <c r="T208" s="29" t="inlineStr"/>
      <c r="U208" s="38" t="n"/>
      <c r="V208" s="167" t="n">
        <v>1</v>
      </c>
      <c r="W208" s="43" t="n"/>
      <c r="Y208" s="50" t="inlineStr">
        <is>
          <t>no</t>
        </is>
      </c>
      <c r="Z208" s="564" t="n"/>
      <c r="AC208" s="169" t="n">
        <v>14.17413425445557</v>
      </c>
      <c r="AD208" s="169">
        <f>IF(AC208="","",AC208*V208)</f>
        <v/>
      </c>
      <c r="AE208" s="43" t="inlineStr"/>
    </row>
    <row r="209" ht="119.15" customFormat="1" customHeight="1" s="48">
      <c r="A209" s="14">
        <f>A208+1</f>
        <v/>
      </c>
      <c r="B209" s="62" t="inlineStr">
        <is>
          <t>fcs_oil_days</t>
        </is>
      </c>
      <c r="C209" s="406" t="inlineStr">
        <is>
          <t>fcs_oil_days</t>
        </is>
      </c>
      <c r="D209" s="61" t="inlineStr">
        <is>
          <t>How many days over the last 7 days, did members of your household eat oil/fat/butter such as vegetable oil, palm oil, groundnut oil, margarine, other fats / oil?
[OPERATOR: RECORD NUMBER OF DAYS 0 - 7]
[HINT: IF CONSUMED ONLY IN SMALL QUANTITY, DO NOT INCLUDE.]</t>
        </is>
      </c>
      <c r="E209" s="16">
        <f>LEN(D209)</f>
        <v/>
      </c>
      <c r="F209" s="61" t="inlineStr">
        <is>
          <t>Au cours des 7 derniers jours, , pendant combien de jours, les membres de votre ménage 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is>
      </c>
      <c r="G209" s="16">
        <f>LEN(F209)</f>
        <v/>
      </c>
      <c r="H209" s="132" t="inlineStr">
        <is>
          <t>Ni siku ngapi katika siku 7 iliyopita, wanakaya wako walikula mafuta/mafuta/siagi kama vile mafuta ya mboga, mawese, karanga, majarini, mafuta/mafuta mengine?_x000D_
_x000D_
[OPERATOR: REKODI IDADI YA SIKU 0 - 7]_x000D_
[DOKEZO: IKITUMIWA KWA KIASI KIDOGO TU, USIJUMUISHE.]</t>
        </is>
      </c>
      <c r="I209" s="16" t="n"/>
      <c r="J209" s="60" t="inlineStr">
        <is>
          <t xml:space="preserve">Mu mafuku 7 apita, mu mafuku bungi munyi adi bena mu njibo yenu badia nsukadi nansha bintu bitobala bu mudi nsukadi, buitshi, marmelade, mikate, bonbon, biscuit, mampa ne bintu bikwabo bia nsukadi ne bia kunua?
[ENQUETEUR/TRICE: TANDIKA NUNU WA BIKELA KU 0  KU  7.]
[NDINGA: SIE KUKONJELA PONO YA MIKINSHI, SIKULUMBWA.]"
</t>
        </is>
      </c>
      <c r="K209" s="45">
        <f>LEN(J209)</f>
        <v/>
      </c>
      <c r="L209" s="134" t="inlineStr">
        <is>
          <t>Range</t>
        </is>
      </c>
      <c r="M209" s="16" t="inlineStr">
        <is>
          <t>NA</t>
        </is>
      </c>
      <c r="N209" s="16" t="inlineStr">
        <is>
          <t>NA</t>
        </is>
      </c>
      <c r="O209" s="16" t="inlineStr">
        <is>
          <t>Form Type - TextBox</t>
        </is>
      </c>
      <c r="P209" s="25" t="inlineStr">
        <is>
          <t>NA</t>
        </is>
      </c>
      <c r="Q209" s="29" t="inlineStr">
        <is>
          <t>0-7 = fcs_condiments_days</t>
        </is>
      </c>
      <c r="R209" s="29" t="n"/>
      <c r="S209" s="29" t="inlineStr">
        <is>
          <t>For any response, go to fcs_condiments_days</t>
        </is>
      </c>
      <c r="T209" s="29" t="inlineStr"/>
      <c r="U209" s="38" t="n"/>
      <c r="V209" s="167" t="n">
        <v>1</v>
      </c>
      <c r="W209" s="43" t="n"/>
      <c r="Y209" s="50" t="inlineStr">
        <is>
          <t>no</t>
        </is>
      </c>
      <c r="Z209" s="564" t="n"/>
      <c r="AC209" s="169" t="n">
        <v>13.37862586975098</v>
      </c>
      <c r="AD209" s="169">
        <f>IF(AC209="","",AC209*V209)</f>
        <v/>
      </c>
      <c r="AE209" s="43" t="inlineStr"/>
    </row>
    <row r="210" ht="102" customFormat="1" customHeight="1" s="48">
      <c r="A210" s="14">
        <f>A209+1</f>
        <v/>
      </c>
      <c r="B210" s="62" t="inlineStr">
        <is>
          <t>fcs_condiments_days</t>
        </is>
      </c>
      <c r="C210" s="406" t="inlineStr">
        <is>
          <t>fcs_condiments_days</t>
        </is>
      </c>
      <c r="D210" s="61" t="inlineStr">
        <is>
          <t>How many days over the last 7 days, did members of your household eat spices or condiments such as tea, coffee, cocoa, salt, garlic, spices, yeast, meat fish as a condiment or small amounts of milk for tea or coffee?
[OPERATOR: RECORD NUMBER OF DAYS 0 - 7]</t>
        </is>
      </c>
      <c r="E210" s="16">
        <f>LEN(D210)</f>
        <v/>
      </c>
      <c r="F210" s="61" t="inlineStr">
        <is>
          <t>Au cours des 7 derniers jours, , pendant combien de jours, les membres de votre ménage ont-ils consommé des épices ou des condiments tels que du thé, du café, du cacao, du sel, de l'ail, des épices, de la levure, de la viande, du poisson comme condiment ou de petites quantités de lait pour le thé ou le café?
[OPÉRATEUR/OPÉRATRICE: SAISIR LE NOMBRE DE JOURS DE 0 À 7]</t>
        </is>
      </c>
      <c r="G210" s="16">
        <f>LEN(F210)</f>
        <v/>
      </c>
      <c r="H210" s="132" t="inlineStr">
        <is>
          <t>Ni siku ngapi katika siku 7 iliyopita, wanakaya wako walikula viungo au vitoweo kama vile chai, kahawa, kakao, chumvi, vitunguu saumu, viungo, chachu, samaki wa nyama kama kitoweo au kiasi kidogo cha maziwa kwa chai au kahawa?_x000D_
_x000D_
[OPERATOR: REKODI IDADI YA SIKU 0 - 7]</t>
        </is>
      </c>
      <c r="I210" s="16" t="n"/>
      <c r="J210" s="60" t="inlineStr">
        <is>
          <t>Mu mafuku 7 apita, mu mafuku bungi munyi adi bena mu njibo yenu badia mafuta/mafuta/manteka bu mudi mafuta a bisonsa, mafuta a nkunde, mafuta a nkunde, margarine, mafuta/mafuta makuabu?
[ENQUETEUR/TRICE: TANDIKA NUNU WA BIKELA KU 0  KU  7.]</t>
        </is>
      </c>
      <c r="K210" s="45">
        <f>LEN(J210)</f>
        <v/>
      </c>
      <c r="L210" s="134" t="inlineStr">
        <is>
          <t>Range</t>
        </is>
      </c>
      <c r="M210" s="16" t="inlineStr">
        <is>
          <t>NA</t>
        </is>
      </c>
      <c r="N210" s="16" t="inlineStr">
        <is>
          <t>NA</t>
        </is>
      </c>
      <c r="O210" s="16" t="inlineStr">
        <is>
          <t>Form Type - TextBox</t>
        </is>
      </c>
      <c r="P210" s="25" t="inlineStr">
        <is>
          <t>NA</t>
        </is>
      </c>
      <c r="Q210" s="29" t="inlineStr">
        <is>
          <t>0-7 = rcsi_intro</t>
        </is>
      </c>
      <c r="R210" s="29" t="n"/>
      <c r="S210" s="29" t="inlineStr">
        <is>
          <t>For any response, go to rcsi_intro</t>
        </is>
      </c>
      <c r="T210" s="29" t="inlineStr"/>
      <c r="U210" s="38" t="n"/>
      <c r="V210" s="167" t="n">
        <v>1</v>
      </c>
      <c r="W210" s="43" t="n"/>
      <c r="Y210" s="50" t="inlineStr">
        <is>
          <t>no</t>
        </is>
      </c>
      <c r="Z210" s="564" t="n"/>
      <c r="AC210" s="169" t="n">
        <v>12.75652313232422</v>
      </c>
      <c r="AD210" s="169">
        <f>IF(AC210="","",AC210*V210)</f>
        <v/>
      </c>
      <c r="AE210" s="43" t="inlineStr"/>
    </row>
    <row r="211" ht="117.75" customFormat="1" customHeight="1" s="48">
      <c r="A211" s="14">
        <f>A210+1</f>
        <v/>
      </c>
      <c r="B211" s="62" t="inlineStr">
        <is>
          <t>rcsi_intro</t>
        </is>
      </c>
      <c r="C211" s="406" t="inlineStr">
        <is>
          <t>rcsi_intro</t>
        </is>
      </c>
      <c r="D211" s="61" t="inlineStr">
        <is>
          <t>Now I will ask you about the number of days, in the last 7 days, during which the household has done some of the actions that I will mention to cope with the lack of food or money to buy food.
1)CONTINUE</t>
        </is>
      </c>
      <c r="E211" s="16">
        <f>LEN(D211)</f>
        <v/>
      </c>
      <c r="F211" s="61" t="inlineStr">
        <is>
          <t>Je vais maintenant vous demander au cours des 7 derniers jours, pendant combien de jours, votre ménage a du recourir à certaines mesures pour faire face au manque de nourriture ou d'argent pour acheter de la nourriture.
1)CONTINUER</t>
        </is>
      </c>
      <c r="G211" s="16">
        <f>LEN(F211)</f>
        <v/>
      </c>
      <c r="H211" s="132" t="inlineStr">
        <is>
          <t>“Sasa nitakuuliza kuhusu idadi ya siku, katika siku 7 iliyopita, ambazo kaya imefanya baadhi ya vitendo ambavyo nitavitaja ili kukabiliana na ukosefu wa chakula au fedha za kununulia chakula.
1)ENDELEA</t>
        </is>
      </c>
      <c r="I211" s="16" t="n"/>
      <c r="J211" s="418" t="inlineStr">
        <is>
          <t>Mpindieu nenkuebeje mu matuku 7 a ndekelu, mu matuku bungi munyi, bena mu nzubu muebe bavua ne bua kuenza amue malu bua kutantamena dipanga dia biakudia anyi dia makuta a kusumba nawu biakudia.
1)TUNDUKA</t>
        </is>
      </c>
      <c r="K211" s="45">
        <f>LEN(J211)</f>
        <v/>
      </c>
      <c r="L211" s="134" t="inlineStr">
        <is>
          <t>Single Choice</t>
        </is>
      </c>
      <c r="M211" s="16" t="inlineStr">
        <is>
          <t>NA</t>
        </is>
      </c>
      <c r="N211" s="16" t="inlineStr">
        <is>
          <t>NA</t>
        </is>
      </c>
      <c r="O211" s="16" t="inlineStr">
        <is>
          <t>Form Type - Buttons</t>
        </is>
      </c>
      <c r="P211" s="25" t="inlineStr">
        <is>
          <t>NA</t>
        </is>
      </c>
      <c r="Q211" s="29" t="inlineStr">
        <is>
          <t>1 = rcsi_less_preferred_foods</t>
        </is>
      </c>
      <c r="R211" s="29" t="n"/>
      <c r="S211" s="29" t="inlineStr">
        <is>
          <t>For any response, go to rcsi_less_preferred_foods</t>
        </is>
      </c>
      <c r="T211" s="29" t="inlineStr"/>
      <c r="U211" s="38" t="n"/>
      <c r="V211" s="167" t="n">
        <v>1</v>
      </c>
      <c r="W211" s="43" t="n"/>
      <c r="Y211" s="50" t="inlineStr">
        <is>
          <t>no</t>
        </is>
      </c>
      <c r="Z211" s="564" t="n"/>
      <c r="AC211" s="169" t="n">
        <v>5.834917068481445</v>
      </c>
      <c r="AD211" s="169">
        <f>IF(AC211="","",AC211*V211)</f>
        <v/>
      </c>
      <c r="AE211" s="43" t="inlineStr"/>
    </row>
    <row r="212" ht="85" customFormat="1" customHeight="1" s="48">
      <c r="A212" s="14">
        <f>A211+1</f>
        <v/>
      </c>
      <c r="B212" s="62" t="inlineStr">
        <is>
          <t>rcsi_less_preferred_foods</t>
        </is>
      </c>
      <c r="C212" s="406" t="inlineStr">
        <is>
          <t>rcsi_less_preferred_foods</t>
        </is>
      </c>
      <c r="D212" s="61" t="inlineStr">
        <is>
          <t>In the past 7 days, how many days did your household rely on less preferred or less expensive food due to lack of food/money?  
[OPERATOR: RECORD NUMBER OF DAYS 0 - 7 ]</t>
        </is>
      </c>
      <c r="E212" s="16">
        <f>LEN(D212)</f>
        <v/>
      </c>
      <c r="F212" s="61" t="inlineStr">
        <is>
          <t>Au cours des 7 derniers jours, pendant combien de jours, votre ménage s'est-il rabattu sur des aliments qu'il aime moins ou moins chers par manque de nourriture/argent ?  
[OPÉRATEUR/OPÉRATRICE: SAISIR LE NOMBRE DE JOURS DE 0 À 7]</t>
        </is>
      </c>
      <c r="G212" s="16">
        <f>LEN(F212)</f>
        <v/>
      </c>
      <c r="H212" s="132" t="inlineStr">
        <is>
          <t>Katika siku 7 iliyopita, ni siku ngapi kaya yako ilitegemea chakula kisichopendelewa au cha bei ya chini kwa sababu ya ukosefu wa chakula/pesa?_x000D_
_x000D_
[OPERATOR: REKODI IDADI YA SIKU 0 - 7 ]</t>
        </is>
      </c>
      <c r="I212" s="16" t="n"/>
      <c r="J212" s="60" t="inlineStr">
        <is>
          <t xml:space="preserve">
Mu mafuku 7 apita, mu mafuku bungi munyi adi bena mu njibo yebe badia bya kudya byadi bya kunanga nansha bya mushinga mutyetye pa mwanda wa dipanga bya kudya/makuta?  
[MUENJI: BUELA BUALU BUA MATUKU KUTUADILA KU 0 TO KU 7]
</t>
        </is>
      </c>
      <c r="K212" s="45">
        <f>LEN(J212)</f>
        <v/>
      </c>
      <c r="L212" s="407" t="inlineStr">
        <is>
          <t>Range</t>
        </is>
      </c>
      <c r="M212" s="16" t="inlineStr">
        <is>
          <t>NA</t>
        </is>
      </c>
      <c r="N212" s="16" t="inlineStr">
        <is>
          <t>NA</t>
        </is>
      </c>
      <c r="O212" s="16" t="inlineStr">
        <is>
          <t>Form Type - TextBox</t>
        </is>
      </c>
      <c r="P212" s="25" t="inlineStr">
        <is>
          <t>NA</t>
        </is>
      </c>
      <c r="Q212" s="29" t="inlineStr">
        <is>
          <t>0-7 = rcsi_borrowed_food</t>
        </is>
      </c>
      <c r="R212" s="29" t="n"/>
      <c r="S212" s="29" t="inlineStr">
        <is>
          <t>For any response, go to rcsi_borrowed_food</t>
        </is>
      </c>
      <c r="T212" s="29" t="inlineStr"/>
      <c r="U212" s="38" t="n"/>
      <c r="V212" s="167" t="n">
        <v>1</v>
      </c>
      <c r="W212" s="43" t="n"/>
      <c r="Y212" s="50" t="inlineStr">
        <is>
          <t>no</t>
        </is>
      </c>
      <c r="Z212" s="564" t="n"/>
      <c r="AC212" s="169" t="n">
        <v>28.60844549470872</v>
      </c>
      <c r="AD212" s="169">
        <f>IF(AC212="","",AC212*V212)</f>
        <v/>
      </c>
      <c r="AE212" s="43" t="inlineStr"/>
    </row>
    <row r="213" ht="85" customFormat="1" customHeight="1" s="48">
      <c r="A213" s="14">
        <f>A212+1</f>
        <v/>
      </c>
      <c r="B213" s="62" t="inlineStr">
        <is>
          <t>rcsi_borrowed_food</t>
        </is>
      </c>
      <c r="C213" s="406" t="inlineStr">
        <is>
          <t>rcsi_borrowed_food</t>
        </is>
      </c>
      <c r="D213" s="61" t="inlineStr">
        <is>
          <t>In the past 7 days, how many days did your household borrow food, or rely on help from a friend or relative due to lack of food or money to buy food? 
[OPERATOR: RECORD NUMBER OF DAYS 0 - 7 ]</t>
        </is>
      </c>
      <c r="E213" s="16">
        <f>LEN(D213)</f>
        <v/>
      </c>
      <c r="F213" s="61" t="inlineStr">
        <is>
          <t>Au cours des 7 derniers jours, pendant combien de jours, votre ménage a-t-il emprunté de la nourriture ou demandé l'aide d'un ami ou d'un parent en raison du manque de nourriture ou d'argent pour acheter de la nourriture ?
[OPÉRATEUR/OPÉRATRICE: SAISIR LE NOMBRE DE JOURS DE 0 À 7]</t>
        </is>
      </c>
      <c r="G213" s="16">
        <f>LEN(F213)</f>
        <v/>
      </c>
      <c r="H213" s="132" t="inlineStr">
        <is>
          <t>Katika siku 7 iliyopita, kaya yako ilikopa chakula kwa siku ngapi, au ilitegemea msaada kutoka kwa rafiki au jamaa kwa sababu ya ukosefu wa chakula au pesa za kununulia chakula?_x000D_
_x000D_
[OPERATOR: REKODI IDADI YA SIKU 0 - 7 ]</t>
        </is>
      </c>
      <c r="I213" s="16" t="n"/>
      <c r="J213" s="60" t="inlineStr">
        <is>
          <t xml:space="preserve">Mu mafuku 7 apita, mu mafuku bungi munyi adi bena mu njibo yebe badia bya kudya byobasankisha nansha bya mushinga mutyetye pa mwanda wa dipanga dia bya kudya/makuta?  
[ENQUETEUR/TRICE: BUELA BUALU BUA MATUKU KUTUADILA KU 0 TO KU 7]
</t>
        </is>
      </c>
      <c r="K213" s="45">
        <f>LEN(J213)</f>
        <v/>
      </c>
      <c r="L213" s="407" t="inlineStr">
        <is>
          <t>Range</t>
        </is>
      </c>
      <c r="M213" s="16" t="inlineStr">
        <is>
          <t>NA</t>
        </is>
      </c>
      <c r="N213" s="16" t="inlineStr">
        <is>
          <t>NA</t>
        </is>
      </c>
      <c r="O213" s="16" t="inlineStr">
        <is>
          <t>Form Type - TextBox</t>
        </is>
      </c>
      <c r="P213" s="25" t="inlineStr">
        <is>
          <t>NA</t>
        </is>
      </c>
      <c r="Q213" s="29" t="inlineStr">
        <is>
          <t>0-7 = rcsi_reduce_number_meals</t>
        </is>
      </c>
      <c r="R213" s="29" t="n"/>
      <c r="S213" s="29" t="inlineStr">
        <is>
          <t>For any response, go to rcsi_reduce_number_meals</t>
        </is>
      </c>
      <c r="T213" s="29" t="inlineStr"/>
      <c r="U213" s="38" t="n"/>
      <c r="V213" s="167" t="n">
        <v>1</v>
      </c>
      <c r="W213" s="43" t="n"/>
      <c r="Y213" s="50" t="inlineStr">
        <is>
          <t>no</t>
        </is>
      </c>
      <c r="Z213" s="564" t="n"/>
      <c r="AC213" s="169" t="n">
        <v>14.61820602416992</v>
      </c>
      <c r="AD213" s="169">
        <f>IF(AC213="","",AC213*V213)</f>
        <v/>
      </c>
      <c r="AE213" s="43" t="inlineStr"/>
    </row>
    <row r="214" ht="85" customFormat="1" customHeight="1" s="48">
      <c r="A214" s="14">
        <f>A213+1</f>
        <v/>
      </c>
      <c r="B214" s="415" t="inlineStr">
        <is>
          <t>rcsi_reduce_number_meals</t>
        </is>
      </c>
      <c r="C214" s="430" t="inlineStr">
        <is>
          <t>rcsi_reduce_number_meals</t>
        </is>
      </c>
      <c r="D214" s="61" t="inlineStr">
        <is>
          <t>In the past 7 days, how many days did your household reduce the number of meals eaten in a day due to lack of food or money to buy food?
[OPERATOR: RECORD NUMBER OF DAYS 0 - 7 ]</t>
        </is>
      </c>
      <c r="E214" s="16">
        <f>LEN(D214)</f>
        <v/>
      </c>
      <c r="F214" s="61" t="inlineStr">
        <is>
          <t>Au cours des 7 derniers jours, pendant combien de jours, votre ménage a-t-il réduit le nombre de repas pris dans une journée par manque de nourriture ou d'argent pour acheter de la nourriture ?
[OPÉRATEUR/OPÉRATRICE: SAISIR LE NOMBRE DE JOURS DE 0 À 7]</t>
        </is>
      </c>
      <c r="G214" s="16">
        <f>LEN(F214)</f>
        <v/>
      </c>
      <c r="H214" s="132" t="inlineStr">
        <is>
          <t>Katika siku 7 iliyopita, kaya yako ilipunguza siku ngapi chakula kinacholiwa kwa siku kwa kukosa chakula au pesa ya kununulia chakula?_x000D_
_x000D_
[OPERATOR: REKODI IDADI YA SIKU 0 - 7 ]</t>
        </is>
      </c>
      <c r="I214" s="16" t="n"/>
      <c r="J214" s="60" t="inlineStr">
        <is>
          <t>Mu matuku 7 adi mapita, mu matuku bungi munyi adi bena mu nzubu wenu basomba biakudia anyi balomba diambuluisha kudi mulunda anyi mulela bua dipanga dia biakudia anyi makuta a kusumba nabi biakudia? [ENQUETEUR/TRICE: BUELA BUALU BUA MATUKU KUTUADILA KU 0 TO KU 7]</t>
        </is>
      </c>
      <c r="K214" s="45">
        <f>LEN(J214)</f>
        <v/>
      </c>
      <c r="L214" s="407" t="inlineStr">
        <is>
          <t>Range</t>
        </is>
      </c>
      <c r="M214" s="16" t="inlineStr">
        <is>
          <t>NA</t>
        </is>
      </c>
      <c r="N214" s="16" t="inlineStr">
        <is>
          <t>NA</t>
        </is>
      </c>
      <c r="O214" s="16" t="inlineStr">
        <is>
          <t>Form Type - TextBox</t>
        </is>
      </c>
      <c r="P214" s="25" t="inlineStr">
        <is>
          <t>NA</t>
        </is>
      </c>
      <c r="Q214" s="29" t="inlineStr">
        <is>
          <t>0-7 = rcsi_limit_portions</t>
        </is>
      </c>
      <c r="R214" s="29" t="n"/>
      <c r="S214" s="29" t="inlineStr">
        <is>
          <t>For any response, go to rcsi_limit_portions</t>
        </is>
      </c>
      <c r="T214" s="29" t="inlineStr"/>
      <c r="U214" s="38" t="n"/>
      <c r="V214" s="167" t="n">
        <v>1</v>
      </c>
      <c r="W214" s="43" t="n"/>
      <c r="Y214" s="50" t="inlineStr">
        <is>
          <t>no</t>
        </is>
      </c>
      <c r="Z214" s="564" t="n"/>
      <c r="AC214" s="169" t="n">
        <v>13.777663230896</v>
      </c>
      <c r="AD214" s="169">
        <f>IF(AC214="","",AC214*V214)</f>
        <v/>
      </c>
      <c r="AE214" s="43" t="inlineStr"/>
    </row>
    <row r="215" ht="85" customFormat="1" customHeight="1" s="48">
      <c r="A215" s="14">
        <f>A214+1</f>
        <v/>
      </c>
      <c r="B215" s="62" t="inlineStr">
        <is>
          <t>rcsi_limit_portions</t>
        </is>
      </c>
      <c r="C215" s="406" t="inlineStr">
        <is>
          <t>rcsi_limit_portions</t>
        </is>
      </c>
      <c r="D215" s="61" t="inlineStr">
        <is>
          <t>In the past 7 days, how many days did your household limit portion sizes at mealtime due to lack of food or money to buy food? 
[OPERATOR: RECORD NUMBER OF DAYS 0 - 7 ]</t>
        </is>
      </c>
      <c r="E215" s="16">
        <f>LEN(D215)</f>
        <v/>
      </c>
      <c r="F215" s="61" t="inlineStr">
        <is>
          <t>Au cours des 7 derniers jours, pendant combien de jours, votre ménage a-t-il limité la taille des portions consommées pour le repas en raison du manque de nourriture ou d'argent pour acheter de la nourriture ?
[OPÉRATEUR/OPÉRATRICE: SAISIR LE NOMBRE DE JOURS DE 0 À 7]</t>
        </is>
      </c>
      <c r="G215" s="16">
        <f>LEN(F215)</f>
        <v/>
      </c>
      <c r="H215" s="132" t="inlineStr">
        <is>
          <t>Katika siku 7 iliyopita, ni siku ngapi kaya yako ilipunguza ukubwa wa sehemu wakati wa chakula kwa sababu ya ukosefu wa chakula au pesa za kununulia chakula?_x000D_
_x000D_
[OPERATOR: REKODI IDADI YA SIKU 0 - 7 ]</t>
        </is>
      </c>
      <c r="I215" s="16" t="n"/>
      <c r="J215" s="60" t="inlineStr">
        <is>
          <t xml:space="preserve">Mu mafuku 7 apita, mu mafuku bungi munyi adi bena mu njibo yenu bapuekeshe bungi bwa bya kudya mu difuku pa mwanda wa dipanga dia bya kudya nansha mfranga ya kusumba bya kudya?
[ENQUETEUR/TRICE: BUELA BUALU BUA MATUKU KUTUADILA KU 0 TO KU 7]
</t>
        </is>
      </c>
      <c r="K215" s="45">
        <f>LEN(J215)</f>
        <v/>
      </c>
      <c r="L215" s="407" t="inlineStr">
        <is>
          <t>Range</t>
        </is>
      </c>
      <c r="M215" s="16" t="inlineStr">
        <is>
          <t>NA</t>
        </is>
      </c>
      <c r="N215" s="16" t="inlineStr">
        <is>
          <t>NA</t>
        </is>
      </c>
      <c r="O215" s="16" t="inlineStr">
        <is>
          <t>Form Type - TextBox</t>
        </is>
      </c>
      <c r="P215" s="25" t="inlineStr">
        <is>
          <t>NA</t>
        </is>
      </c>
      <c r="Q215" s="29" t="inlineStr">
        <is>
          <t>0-7 = rcsi_restrict_adult_consumpt</t>
        </is>
      </c>
      <c r="R215" s="29" t="n"/>
      <c r="S215" s="29" t="inlineStr">
        <is>
          <t>For any response, go to rcsi_restrict_adult_consumpt</t>
        </is>
      </c>
      <c r="T215" s="29" t="inlineStr"/>
      <c r="U215" s="39" t="n"/>
      <c r="V215" s="167" t="n">
        <v>1</v>
      </c>
      <c r="W215" s="43" t="n"/>
      <c r="Y215" s="50" t="inlineStr">
        <is>
          <t>no</t>
        </is>
      </c>
      <c r="Z215" s="564" t="n"/>
      <c r="AC215" s="169" t="n">
        <v>12.39977359771729</v>
      </c>
      <c r="AD215" s="169">
        <f>IF(AC215="","",AC215*V215)</f>
        <v/>
      </c>
      <c r="AE215" s="43" t="inlineStr"/>
    </row>
    <row r="216" ht="86.15000000000001" customFormat="1" customHeight="1" s="48" thickBot="1">
      <c r="A216" s="14">
        <f>A215+1</f>
        <v/>
      </c>
      <c r="B216" s="62" t="inlineStr">
        <is>
          <t>rcsi_restrict_adult_consumpt</t>
        </is>
      </c>
      <c r="C216" s="406" t="inlineStr">
        <is>
          <t>rcsi_restrict_adult_consumpt</t>
        </is>
      </c>
      <c r="D216" s="215" t="inlineStr">
        <is>
          <t>In the past 7 days, how many days did your household restrict consumption by adults so children could eat, due to lack of food or money to buy food?
[OPERATOR: RECORD NUMBER OF DAYS 0 - 7 ]</t>
        </is>
      </c>
      <c r="E216" s="16">
        <f>LEN(D216)</f>
        <v/>
      </c>
      <c r="F216" s="215" t="inlineStr">
        <is>
          <t>Au cours des 7 derniers jours, pendant combien de jours, votre ménage a-t-il limité les quantités consommées par les adultes pour que les enfants puissent manger, par manque de nourriture ou d'argent pour acheter de la nourriture ?
[OPÉRATEUR/OPÉRATRICE: SAISIR LE NOMBRE DE JOURS DE 0 À 7]</t>
        </is>
      </c>
      <c r="G216" s="16">
        <f>LEN(F216)</f>
        <v/>
      </c>
      <c r="H216" s="215" t="inlineStr">
        <is>
          <t>Katika siku 7 iliyopita, ni siku ngapi kaya yako ilizuia matumizi ya watu wazima ili watoto waweze kula, kwa sababu ya ukosefu wa chakula au pesa za kununulia chakula?_x000D_
_x000D_
[OPERATOR: REKODI IDADI YA SIKU 0 - 7 ]</t>
        </is>
      </c>
      <c r="I216" s="16" t="n"/>
      <c r="J216" s="60" t="inlineStr">
        <is>
          <t>Mu mafuku 7 apita, mu mafuku bungi munyi adi bena mu njibo yenu bakankamije bungi bwa bya kudya bya kudya pa mwanda wa dipanga bya kudya nansha makuta a kusumba bya kudya? [ENQUETEUR/TRICE: BUELA BUALU BUA MATUKU KUTUADILA KU 0 TO KU 7]</t>
        </is>
      </c>
      <c r="K216" s="45">
        <f>LEN(J216)</f>
        <v/>
      </c>
      <c r="L216" s="407" t="inlineStr">
        <is>
          <t>Range</t>
        </is>
      </c>
      <c r="M216" s="410" t="inlineStr">
        <is>
          <t>NA</t>
        </is>
      </c>
      <c r="N216" s="410" t="inlineStr">
        <is>
          <t>NA</t>
        </is>
      </c>
      <c r="O216" s="16" t="inlineStr">
        <is>
          <t>Form Type - TextBox</t>
        </is>
      </c>
      <c r="P216" s="25" t="inlineStr">
        <is>
          <t>NA</t>
        </is>
      </c>
      <c r="Q216" s="213" t="inlineStr">
        <is>
          <t>0-7 = need</t>
        </is>
      </c>
      <c r="R216" s="213" t="n"/>
      <c r="S216" s="213" t="inlineStr">
        <is>
          <t>For any response, go to need</t>
        </is>
      </c>
      <c r="T216" s="213" t="inlineStr"/>
      <c r="U216" s="39" t="n"/>
      <c r="V216" s="167" t="n">
        <v>1</v>
      </c>
      <c r="W216" s="43" t="n"/>
      <c r="Y216" s="50" t="inlineStr">
        <is>
          <t>no</t>
        </is>
      </c>
      <c r="Z216" s="564" t="n"/>
      <c r="AC216" s="169" t="n">
        <v>13.34388160705566</v>
      </c>
      <c r="AD216" s="169">
        <f>IF(AC216="","",AC216*V216)</f>
        <v/>
      </c>
      <c r="AE216" s="43" t="inlineStr"/>
    </row>
    <row r="217" ht="17.15" customFormat="1" customHeight="1" s="108" thickBot="1">
      <c r="A217" s="569" t="inlineStr">
        <is>
          <t>H. NEEDS ASSISTANCE</t>
        </is>
      </c>
      <c r="B217" s="586" t="n"/>
      <c r="C217" s="586" t="n"/>
      <c r="D217" s="586" t="n"/>
      <c r="E217" s="586" t="n"/>
      <c r="F217" s="586" t="n"/>
      <c r="G217" s="586" t="n"/>
      <c r="H217" s="586" t="n"/>
      <c r="I217" s="586" t="n"/>
      <c r="J217" s="586" t="n"/>
      <c r="K217" s="586" t="n"/>
      <c r="L217" s="586" t="n"/>
      <c r="M217" s="586" t="n"/>
      <c r="N217" s="586" t="n"/>
      <c r="O217" s="586" t="n"/>
      <c r="P217" s="586" t="n"/>
      <c r="Q217" s="586" t="n"/>
      <c r="R217" s="586" t="n"/>
      <c r="S217" s="586" t="n"/>
      <c r="T217" s="586" t="n"/>
      <c r="U217" s="587" t="n"/>
      <c r="V217" s="170" t="n"/>
      <c r="W217" s="110" t="n"/>
      <c r="Y217" s="109" t="n"/>
      <c r="Z217" s="111" t="n"/>
      <c r="AC217" s="168" t="n"/>
      <c r="AD217" s="168">
        <f>IF(AC217="","",AC217*V217)</f>
        <v/>
      </c>
      <c r="AE217" s="110">
        <f>IF(Y217="yes",AD217,"")</f>
        <v/>
      </c>
    </row>
    <row r="218" ht="255" customFormat="1" customHeight="1" s="88">
      <c r="A218" s="212">
        <f>A216+1</f>
        <v/>
      </c>
      <c r="B218" s="89" t="inlineStr">
        <is>
          <t>need</t>
        </is>
      </c>
      <c r="C218" s="47" t="inlineStr">
        <is>
          <t>need</t>
        </is>
      </c>
      <c r="D218" s="46" t="inlineStr">
        <is>
          <t>Does your household need assistance for agricultural activities [including crop, livestock and fisheries/aquaculture activities] over the next 3 to 6 months?
[OPERATOR: SINGLE RESPONSE.]
1)YES
2)NO
3)DON'T KNOW
4)REFUSED</t>
        </is>
      </c>
      <c r="E218" s="45">
        <f>LEN(D218)</f>
        <v/>
      </c>
      <c r="F218" s="71" t="inlineStr">
        <is>
          <t>Votre ménage aura-t-il besoin d'aide pour soutenir son activité agricole [cultures, élevage et pêche/aquaculture] au cours des 3 à 6 prochains mois ?  
[OPÉRATEUR/OPÉRATRICE: RÉPONSE UNIQUE.]
1)OUI
2)NON
3)NE SAIT PAS
4)REFUSÉ</t>
        </is>
      </c>
      <c r="G218" s="45">
        <f>LEN(F218)</f>
        <v/>
      </c>
      <c r="H218" s="71" t="inlineStr">
        <is>
          <t>Kaya yako inahitaji msaada kwa ajili ya shughuli ya kilimo [ikijumuisha shughuli za mazao, mifugo na uvuvi/ufugaji wa samaki] katika kipindi cha miezi 3 hadi 6 ijayo?
[OPERATOR: JIBU MOJA.]
1)NDIYO
2)HAPANA
3)SIJUE
4)KUKATALA</t>
        </is>
      </c>
      <c r="I218" s="45" t="n"/>
      <c r="J218" s="71" t="inlineStr">
        <is>
          <t xml:space="preserve">Dîku dienu nedikale dijinga ne diambuluisha bua kukuatshisha midimu yabu ya madimi [bidimu, bimuna ne diloba/dilama dia mu mayi] mu ngondo isatu anyi isambombo idi ilonda anyi?  
[ENQUETEUR/TRICE:Bipwebo imwe.]
1) EYOWA
2) TO
3) TSHIENA MUMANYE
4)MUBENE
</t>
        </is>
      </c>
      <c r="K218" s="45">
        <f>LEN(J218)</f>
        <v/>
      </c>
      <c r="L218" s="54" t="inlineStr">
        <is>
          <t>Single Choice</t>
        </is>
      </c>
      <c r="M218" s="45" t="inlineStr">
        <is>
          <t>NA</t>
        </is>
      </c>
      <c r="N218" s="52" t="inlineStr">
        <is>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is>
      </c>
      <c r="O218" s="52" t="inlineStr">
        <is>
          <t>Form Type - Buttons</t>
        </is>
      </c>
      <c r="P218" s="82" t="inlineStr">
        <is>
          <t>NA</t>
        </is>
      </c>
      <c r="Q218" s="44" t="inlineStr">
        <is>
          <t>1 = need_2
2-4= need_received</t>
        </is>
      </c>
      <c r="R218" s="44" t="n"/>
      <c r="S218" s="44" t="inlineStr">
        <is>
          <t>Only administered to households involved in agricultural production [crop, livestock and/or fish]. Otherwise, go to "callback". 
if need = 1, go to need_2
if need = 2-4, go to need_received</t>
        </is>
      </c>
      <c r="T218" s="31" t="inlineStr"/>
      <c r="U218" s="9" t="n"/>
      <c r="V218" s="170" t="n">
        <v>1</v>
      </c>
      <c r="W218" s="193" t="n"/>
      <c r="Y218" s="210" t="inlineStr">
        <is>
          <t>yes</t>
        </is>
      </c>
      <c r="Z218" s="563" t="n"/>
      <c r="AC218" s="211" t="n">
        <v>14.47277355194092</v>
      </c>
      <c r="AD218" s="168">
        <f>IF(AC218="","",AC218*V218)</f>
        <v/>
      </c>
      <c r="AE218" s="43" t="inlineStr">
        <is>
          <t>14.47277355194092</t>
        </is>
      </c>
    </row>
    <row r="219" ht="409.5" customFormat="1" customHeight="1" s="48">
      <c r="A219" s="14">
        <f>A218+1</f>
        <v/>
      </c>
      <c r="B219" s="89" t="inlineStr">
        <is>
          <t>need_2</t>
        </is>
      </c>
      <c r="C219" s="47" t="inlineStr">
        <is>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is>
      </c>
      <c r="D219" s="107" t="inlineStr">
        <is>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 repair of ponds]
13)Training &amp; technical knowledge/advice for fisheries or aquaculture production
14)Environmental or infrastructure rehabilitation [community-wide]
15)Cold storage
16)Marketing or sales support [e.g. public procurement]
17)Other [specify]
18)DON'T KNOW
19)REFUSED</t>
        </is>
      </c>
      <c r="E219" s="52">
        <f>LEN(D219)</f>
        <v/>
      </c>
      <c r="F219" s="114" t="inlineStr">
        <is>
          <t>Quels sont les principaux besoins d'assistance de votre ménage pour soutenir son activité agricole [cultures, élevage ou pêche/aquaculture] au cours des 3 à 6 prochains mois ?
[OPÉRATEUR/OPÉRATRICE: PLUSIEURS RÉPONSES POSSILES. SI POSSIBLE, NE PAS LIRE LES OPTIONS.]
1)Nourriture
2)Argent liquide
3)Bons d'achat ou foire aux intrants
4)Intrants pour la production végétale et/ou de légumes [par exemple/ semences/ engrais/ outils]
5)Infrastructures pour la production végétale et/ou de légumes [par exemple/ irrigation/ réhabilitation de canaux/ pompes]
6)Formations et conseils techniques pour la production végétale
7)Aliments pour le bétail [fourrage ou aliments complémentaires]
8)Services vétérinaires [par exemple/ vaccination/ bain antiparasitaire/ vermifuges]
9)Infrastructures pour le bétail [par exemple/ points d'eau/ couloirs de transhumance/ abris/ points santé]
10)Formations et conseils techniques pour la production animale
11)Intrants pour la production de poissons ou l'aquaculture
12)Infrastructures pour la pêche ou l'aquaculture [par exemple/ réhabilitation du port/ réaménagement des étangs]
13)Formations et conseils techniques pour la pêche ou l'aquaculture
14)Réhabilitation de l'environnement ou des infrastructures [à l'échelle de la communauté]
15)Stockage réfrigéré
16)Soutien à la commercialisation ou aux ventes [par exemple/ passation de marchés publics]
17)Autre [préciser]
18)NE SAIT PAS
19)REFUSÉ</t>
        </is>
      </c>
      <c r="G219" s="52">
        <f>LEN(F219)</f>
        <v/>
      </c>
      <c r="H219" s="114" t="inlineStr">
        <is>
          <t>Ni mahitaji gani makubwa ya kaya yako ya msaada kwa shughuli za kilimo [ikiwa ni pamoja na shughuli za mazao, mifugo au uvuvi/ufugaji wa samaki] katika kipindi cha miezi 3 hadi 6 ijayo?
[OPERATOR: MAJIBU NYINGI. USISOME CHAGUO.]
1)Chakula
2)Feza
3)Vocha au maonyesho ya biashara ya pembejeo
4)Pembejeo ya uzalishaji wa mazao na/au mbogamboga [k.m. mbegu / mbolea / zana]
5)Miundombinu ya uzalishaji wa mazao na/au mbogamboga [k.m. umwagiliaji / ukarabati wa mifereji / pampu]
6)Mafunzo na maarifa/ushauri wa kiufundi kwa ajili ya uzalishaji wa mazao
7)Chakula cha mifugo [chakula cha mifugo au chakula cha ziada]
8)Huduma za mifugo [k.m. chanjo / majosho / dawa ya minyoo]
9)Miundombinu ya mifugo [k.m. vituo vya maji / korido za transhumance / makazi / vituo vya afya]
10)Mafunzo na maarifa/ushauri wa kiufundi kwa ajili ya uzalishaji wa mifugo
11)Pembejeo za uvuvi au ufugaji wa samaki
12)Miundombinu ya uzalishaji wa uvuvi au ufugaji wa samaki [k.m. ukarabati wa bandari / ukarabati wa madimbwi]
13)Mafunzo na maarifa/ushauri wa kiufundi kwa ajili ya uvuvi au uzalishaji wa ufugaji wa samaki
14)Ukarabati wa mazingira au miundombinu [jumuiya nzima]
15)Hifadhi ya baridi
16)Usaidizi wa masoko au mauzo [k.m. ununuzi wa umma]
17)yingine  [taja]
18)SIJUE
19)KUKATALA</t>
        </is>
      </c>
      <c r="I219" s="52" t="n"/>
      <c r="J219" s="114" t="inlineStr">
        <is>
          <t xml:space="preserve">Mmalu kayi manene adi nzubu wenu dijinga nawu bua kuambuluisha mudimu wende wa madimi [bidimu, bimuna anyi diloba/dilama dia mu mâyi] mu ngondo 3 anyi 6 idi ilonda?
[ENQUETEUR/TRICE: MANDAMUNA MANYI ADI MUA KUENZA. BIWIKALA MUA KUENZA, KUTANGI BIDIMU TO.]
1) Biakudia 
2) Makuta 
3) Bintu bia kufila anyi tshisalu tshia bintu
 4) Bintu bia kuenza nabi madimi ne/anyi bimuma bia muitu [tshilejilu/ ntete/ manteka/ biamu bia mudimu] 
5) Bintu bia kuenza nabi mudimu bua kuenza bintu bia madimi ne/anyi bimuma bia muitu [tshilejilu/ dilengeja dia misulu/ dilongolola dia misulu. / pompe]
6) Dilongesha ne mibelu ya malu a budimi
7) Biakudia bia bimuna [biakudia anyi bia pa mutu]
8) Midimu ya baminganga ba nyama [tshilejilu/dikuba/diowa dia nsongo/diowa dia tuishi]
9)Bibambalu bia mudimu wa bimuna [tshilejilu/miaba ya mayi/nzubu ya transhumance/miaba ya tshisokomenu/miaba ya bukola bua mubidi]
10)Dilongesha ne mibelu ya malu a mudimu bua difuka dia nyama
11)Bintu bia kuenza nabi mudimu bua kuenza mishipa anyi difuisha dia mu mayi
12)Nzubu ya mudimu bua diloba anyi dilama dia bintu bia mu mayi [tshilejilu / dilongolola dia tshitudilu tshia mazuwa / dilongolola dia maziba]
13) Dilongesha ne mibelu ya malu a tekiniki bua diloba anyi dilama dia bintu bia mu mayi
14) Dilongolola dia muaba anyi dia bintu bia mudimu [mu tshisumbu]
15) Dilama dia bintu mu mashika
16) Dikuatshisha dia disumbisha anyi dia dipana dia bintu [tshilejilu/disumba dia bintu bia mbulamatadi]
17)Bikuabu [leja]
18)TSHIENA MUMANYE
19)MUBENE
</t>
        </is>
      </c>
      <c r="K219" s="52">
        <f>LEN(J219)</f>
        <v/>
      </c>
      <c r="L219" s="53" t="inlineStr">
        <is>
          <t>Open Ended-Select All That Apply</t>
        </is>
      </c>
      <c r="M219" s="52" t="inlineStr">
        <is>
          <t>NA</t>
        </is>
      </c>
      <c r="N219" s="52" t="inlineStr">
        <is>
          <t>NA</t>
        </is>
      </c>
      <c r="O219" s="52" t="inlineStr">
        <is>
          <t>Form Type - Checklist
18,19 = IsNone</t>
        </is>
      </c>
      <c r="P219" s="82" t="inlineStr">
        <is>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is>
      </c>
      <c r="Q219" s="51" t="inlineStr">
        <is>
          <t>1-19 = need_received</t>
        </is>
      </c>
      <c r="R219" s="44" t="n"/>
      <c r="S219" s="204" t="inlineStr">
        <is>
          <t>if need_2 = 1-19, go to need_received</t>
        </is>
      </c>
      <c r="T219" s="205" t="inlineStr"/>
      <c r="U219" s="10" t="n"/>
      <c r="V219" s="170" t="n">
        <v>1</v>
      </c>
      <c r="W219" s="43" t="n"/>
      <c r="Y219" s="109" t="inlineStr">
        <is>
          <t>yes</t>
        </is>
      </c>
      <c r="Z219" s="564" t="n"/>
      <c r="AC219" s="168" t="n">
        <v>33.74076461791992</v>
      </c>
      <c r="AD219" s="168">
        <f>IF(AC219="","",AC219*V219)</f>
        <v/>
      </c>
      <c r="AE219" s="43" t="inlineStr">
        <is>
          <t>33.74076461791992</t>
        </is>
      </c>
    </row>
    <row r="220" ht="340" customFormat="1" customHeight="1" s="48">
      <c r="A220" s="261">
        <f>A219+1</f>
        <v/>
      </c>
      <c r="B220" s="63" t="inlineStr">
        <is>
          <t>need_received</t>
        </is>
      </c>
      <c r="C220" s="53"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220" s="107"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220" s="130">
        <f>LEN(D220)</f>
        <v/>
      </c>
      <c r="F220" s="157" t="inlineStr">
        <is>
          <t>Votre ménage a-t-il reçu une aide au cours des 3 derniers mois, et si oui, de quel type ?
[OPÉRATEUR/OPÉRATRICE: PLUSIEURS RÉPONSES POSSIBLES. LIRE LES OPTIONS À VOIX HAUTE.]
1)Nourriture
2)Argent liquide 
3)Bons d'achat/foires aux intrants
4)Soutien à la production végétale et/ou de légumes
5)Soutien à l'élevage
6)Soutien à la pêche et/ou à l'aquaculture
7)Réhabilitation de l'environnement ou des infrastructures [à l'échelle de la communauté]
8)Soutien à la commercialisation ou à la vente [par exemple. passation de marchés publics]
9)Autre [préciser]
10)Aucune aide reçue
11)NE SAIT PAS 
12)REFUSÉ</t>
        </is>
      </c>
      <c r="G220" s="130">
        <f>LEN(F220)</f>
        <v/>
      </c>
      <c r="H220" s="388" t="inlineStr">
        <is>
          <t>Kaya yako imepokea usaidizi wowote katika miezi 3 iliyopita, na kama ni hivyo, ni aina gani?
[OPERATOR: MAJIBU MENGI YANAWEZEKANA. SOMA CHAGUO.]
1)Chakula
2)Feza
3)Vocha/maonesho ya biashara ya pembejeo
4)Msaada wa uzalishaji wa mazao na/au mboga
5)Msaada wa mifugo
6)Msaada wa uvuvi na/au ufugaji wa samaki
7)Ukarabati wa mazingira au miundombinu [jumuiya nzima]
8)Usaidizi wa masoko au mauzo [k.m. ununuzi wa umma]
9)yingine  [taja]
10)Hakuna usaidizi uliopokelewa
11)SIJUE
12)KUKATALA</t>
        </is>
      </c>
      <c r="I220" s="130" t="n"/>
      <c r="J220" s="157" t="inlineStr">
        <is>
          <t xml:space="preserve">Bena mu nzubu muebe mbapete diambuluisha kampanda mu ngondo isatu mipite eyi anyi, ne bikalabi nanku, dia mushindu kayi?
[ENQUETEUR/TRICE: MANDAMUNA MANYI ADI MUA KUENZA. BALA BIDIMU BIDI BIKUATA NE DÎYI DIYI DIKOLE.]
1) Biakudia
2) Makuta 
3) Bintu bia kufila nabi bintu 
4) Dikuatshisha dia madimi ne/anyi dia bisekiseki
5) Diambuluisha dia bimuna
6) Diambuluisha dia diloba dia mishipa ne/anyi dia nyama ya mu mâyi
7) Dilongolola dia muaba udibu basombele anyi dia bintu bia mudimu [mu tshisumbu]
8) Dikuatshisha dia disumbisha anyi dia dipana dia bintu [e.g. disumba dia bintu dia mbulamatadi]
9)Bikuabu [leja]
10)Kakuena diambuluisha dipetekibua
11)TSHIENA MUMANYE 
12)MUBENE
</t>
        </is>
      </c>
      <c r="K220" s="52">
        <f>LEN(J220)</f>
        <v/>
      </c>
      <c r="L220" s="262" t="inlineStr">
        <is>
          <t>Open Ended-Select All That Apply</t>
        </is>
      </c>
      <c r="M220" s="130" t="inlineStr">
        <is>
          <t>NA</t>
        </is>
      </c>
      <c r="N220" s="130" t="inlineStr">
        <is>
          <t>NA</t>
        </is>
      </c>
      <c r="O220" s="130" t="inlineStr">
        <is>
          <t>Form Type - Checklist
10,11,12 = IsNone</t>
        </is>
      </c>
      <c r="P220" s="82"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Q220" s="106" t="inlineStr">
        <is>
          <t>1-9 = assistance_quality 
10-12 = callback</t>
        </is>
      </c>
      <c r="R220" s="106" t="n"/>
      <c r="S220" s="106" t="inlineStr">
        <is>
          <t>if need_received = 1-9, go to assistance_quality.
Otherwise, go to callback.</t>
        </is>
      </c>
      <c r="T220" s="250" t="inlineStr"/>
      <c r="U220" s="10" t="n"/>
      <c r="V220" s="167" t="n">
        <v>1</v>
      </c>
      <c r="W220" s="43" t="n"/>
      <c r="Y220" s="109" t="inlineStr">
        <is>
          <t>yes</t>
        </is>
      </c>
      <c r="Z220" s="564" t="n"/>
      <c r="AC220" s="168" t="n">
        <v>14.55059909820557</v>
      </c>
      <c r="AD220" s="168">
        <f>IF(AC220="","",AC220*V220)</f>
        <v/>
      </c>
      <c r="AE220" s="43" t="inlineStr">
        <is>
          <t>14.55059909820557</t>
        </is>
      </c>
    </row>
    <row r="221" ht="298.5" customFormat="1" customHeight="1" s="48">
      <c r="A221" s="261">
        <f>A220+1</f>
        <v/>
      </c>
      <c r="B221" s="263" t="inlineStr">
        <is>
          <t>assistance_quality</t>
        </is>
      </c>
      <c r="C221" s="240" t="inlineStr">
        <is>
          <t>assistance_quality</t>
        </is>
      </c>
      <c r="D221" s="264" t="inlineStr">
        <is>
          <t>Were you satisfied with the quality of the assistance provided? 
[OPERATOR: SINGLE RESPONSE. QUALITY OF ASSISTANCE IN TERMS OF SUFFICIENT ASSISTANCE FOR PRODUCTION OR SALES DIFFICULTY TO BE OVERCOME.]
1)Yes
2)No - not received on time
3)No - assistance provided did not match my needs [e.g. wrong type of seed]
4)No - quantity was not sufficient
5)No - assistance was not distributed fairly
6)No - quality of assistance provided was poor
7)DON'T KNOW
8)REFUSED</t>
        </is>
      </c>
      <c r="E221" s="130">
        <f>LEN(D221)</f>
        <v/>
      </c>
      <c r="F221" s="157" t="inlineStr">
        <is>
          <t>Avez-vous été satisfait de la qualité de l'assistance reçue?
[OPÉRATEUR/OPÉRATRICE: RÉPONSE UNIQUE. QUALITÉ DE L'ASSISTANCE EN TERMES D'AIDE SUFFISANTE POUR SURMONTER LES DIFFICULTÉS DE PRODUCTION OU DE VENTE.]
1)Oui
2)Non - pas reçue à temps
3)Non - l'aide fournie ne correspondait pas à mes besoins [par ex/ mauvais type de semences]
4)Non - la quantité était insuffisante
5)Non - l'aide reçue n'a pas été distribuée équitablement
6)Non - l'aide fournie était de mauvaise qualité
7)NE SAIT PAS
8)REFUSÉ</t>
        </is>
      </c>
      <c r="G221" s="130">
        <f>LEN(F221)</f>
        <v/>
      </c>
      <c r="H221" s="157" t="inlineStr">
        <is>
          <t>Uliridhika na ubora wa msaada uliotolewa?
[OPERATOR: JIBU MOJA. UBORA WA MSAADA KATIKA MASHARIKI YA MSAADA WA KUTOSHA KWA UZALISHAJI AU UTATIZO WA MAUZO KUSHINDA.]
1)Ndiyo
2)Hapana - haijapokelewa kwa wakati
3)Hapana - haikukidhi mahitaji yangu
4)Hapana - wingi haukutosha
5)Hapana - kulikuwa na tatizo na mtoa huduma
6)Hapana - kulikuwa na hitilafu ya usaidizi wa mali uliotolewa [k.m. zana zenye ubora duni]
7)SIJUE
8)KUKATALA</t>
        </is>
      </c>
      <c r="I221" s="130" t="n"/>
      <c r="J221" s="157" t="inlineStr">
        <is>
          <t>Uvuaku musanke bua diambuluisha divuabu bakupeshe anyi?
[ENQUETEUR/TRICE: DIANDAMUNA DIMUE. MUSHINDU WA DIAKUATSHISHA MU MUSHINDU WA DIAKUATSHISHA DIKUMBANE BUA KUTHIMUNA MALUKA A KUENZA ANYI A KUSUMBA.]
1)Eyowa
2)TO - kabavua bapeta pa dîba to
3)TO - diambuluisha divuabu bampeshe kadivua dipetangana ne majinga anyi to [tshilejilu/ mishindu mibi ya ntete]
4)TO - bungi kabuvua bukumbane
5)TO - diambuluisha divuabu bapete kadivua diabanyangana bimpe to
6) TO - diambuluisha difila kadivua dia mushinga mubi to
7) TSHIENA MUMANYA
8) MUBENE</t>
        </is>
      </c>
      <c r="K221" s="52">
        <f>LEN(J221)</f>
        <v/>
      </c>
      <c r="L221" s="262" t="inlineStr">
        <is>
          <t>Single Choice</t>
        </is>
      </c>
      <c r="M221" s="130" t="inlineStr">
        <is>
          <t>NA</t>
        </is>
      </c>
      <c r="N221" s="130" t="inlineStr">
        <is>
          <t>NA</t>
        </is>
      </c>
      <c r="O221" s="130" t="inlineStr">
        <is>
          <t>Form Type - Buttons</t>
        </is>
      </c>
      <c r="P221" s="82" t="inlineStr">
        <is>
          <t>NA</t>
        </is>
      </c>
      <c r="Q221" s="248" t="inlineStr">
        <is>
          <t>1-8 = assistance_provider</t>
        </is>
      </c>
      <c r="R221" s="248" t="n"/>
      <c r="S221" s="51" t="inlineStr">
        <is>
          <t>if assistance_quality = 1-8, go to callback or assistance_provider</t>
        </is>
      </c>
      <c r="T221" s="132" t="inlineStr"/>
      <c r="U221" s="10" t="n"/>
      <c r="V221" s="167" t="n">
        <v>1</v>
      </c>
      <c r="W221" s="43" t="n"/>
      <c r="Y221" s="109" t="inlineStr">
        <is>
          <t>yes</t>
        </is>
      </c>
      <c r="Z221" s="564" t="n"/>
      <c r="AC221" s="168" t="n">
        <v>10.81245613098145</v>
      </c>
      <c r="AD221" s="168">
        <f>IF(AC221="","",AC221*V221)</f>
        <v/>
      </c>
      <c r="AE221" s="43" t="inlineStr">
        <is>
          <t>10.81245613098145</t>
        </is>
      </c>
    </row>
    <row r="222" ht="187" customFormat="1" customHeight="1" s="48" thickBot="1">
      <c r="A222" s="261">
        <f>A221+1</f>
        <v/>
      </c>
      <c r="B222" s="265" t="inlineStr">
        <is>
          <t>assistance_provider</t>
        </is>
      </c>
      <c r="C222" s="266" t="inlineStr">
        <is>
          <t>assistance_provider
1) assistance_fao
2) assistance_wfp
3) assistance_otherun
4) assistance_gov
5) assistance_ngo
6) assistance_dk
7) assistance_ref</t>
        </is>
      </c>
      <c r="D222" s="244" t="inlineStr">
        <is>
          <t>Who provided your household with this assistance?
[OPERATOR: MULTIPLE RESPONSE.]
1)FAO
2)WFP
3)Other UN agencies
4)Government
5)Non-governmental/local organization
6)DON'T KNOW
7)REFUSED</t>
        </is>
      </c>
      <c r="E222" s="202">
        <f>LEN(D222)</f>
        <v/>
      </c>
      <c r="F222" s="267" t="inlineStr">
        <is>
          <t>Qui a fourni cette aide à votre ménage?
[OPÉRATEUR/OPÉRATRICE: RÉPONSE MULTIPLE.]
1)FAO
2)PAM
3)Autres agences des Nations Unies
4)Gouvernment
5)Organisation non-gouvernmentale/locale
6)NE SAIT PAS
7)REFUSÉ</t>
        </is>
      </c>
      <c r="G222" s="202">
        <f>LEN(F222)</f>
        <v/>
      </c>
      <c r="H222" s="267" t="inlineStr">
        <is>
          <t>Ni nani aliyeipatia kaya yako msaada huu?_x000D_
_x000D_
[OPERATOR: MAJIBU NYINGI.]_x000D_
_x000D_
1)FAO_x000D_
2)WFP_x000D_
3)Mashirika mengine ya Umoja wa Mataifa_x000D_
4)Serikali_x000D_
5)Shirika lisilo la kiserikali/maeneo_x000D_
6)SIJUE_x000D_
7)KUKATALA</t>
        </is>
      </c>
      <c r="I222" s="202" t="n"/>
      <c r="J222" s="267" t="inlineStr">
        <is>
          <t xml:space="preserve">Nnganyi uvua mupeshe bena mu nzubu muenu diambuluisha edi?
[ENQUETEUR/TRICE: MULTIPLE ANSWER.]
1)FAO
2)PAM
3)Bibambalu bikuabu bia ONU
4)Mbulamatadi
5)Bulongolodi budi kabuyi bua mbulamatadi/bua muaba udibu basombele
6)TSHIENA MUMANYE 
7)MUBENE
</t>
        </is>
      </c>
      <c r="K222" s="52">
        <f>LEN(J222)</f>
        <v/>
      </c>
      <c r="L222" s="268" t="inlineStr">
        <is>
          <t>Select All That Apply</t>
        </is>
      </c>
      <c r="M222" s="202" t="inlineStr">
        <is>
          <t>NA</t>
        </is>
      </c>
      <c r="N222" s="202" t="inlineStr">
        <is>
          <t>NA</t>
        </is>
      </c>
      <c r="O222" s="202" t="inlineStr">
        <is>
          <t>Form Type - Checklist
6,7 = IsNone</t>
        </is>
      </c>
      <c r="P222" s="25" t="inlineStr">
        <is>
          <t>1)assistance_fao
2)assistance_wfp
3)assistance_otherun
4)assistance_gov
5)assistance_ngo
6)assistance_dk
7)assistance_ref</t>
        </is>
      </c>
      <c r="Q222" s="250" t="inlineStr">
        <is>
          <t>1-7 = callback</t>
        </is>
      </c>
      <c r="R222" s="250" t="n"/>
      <c r="S222" s="29" t="inlineStr">
        <is>
          <t>if assistance_provider = 1-7, go to callback</t>
        </is>
      </c>
      <c r="T222" s="125" t="inlineStr"/>
      <c r="U222" s="260" t="n"/>
      <c r="V222" s="167" t="n">
        <v>1</v>
      </c>
      <c r="W222" s="43" t="n"/>
      <c r="Y222" s="50" t="inlineStr">
        <is>
          <t>no</t>
        </is>
      </c>
      <c r="Z222" s="564" t="n"/>
      <c r="AC222" s="169" t="n">
        <v>10.81245613098145</v>
      </c>
      <c r="AD222" s="169">
        <f>IF(AC222="","",AC222*V222)</f>
        <v/>
      </c>
      <c r="AE222" s="43" t="inlineStr"/>
    </row>
    <row r="223" ht="17.15" customFormat="1" customHeight="1" s="108" thickBot="1">
      <c r="A223" s="569" t="inlineStr">
        <is>
          <t>I. CLOSING</t>
        </is>
      </c>
      <c r="B223" s="586" t="n"/>
      <c r="C223" s="586" t="n"/>
      <c r="D223" s="586" t="n"/>
      <c r="E223" s="586" t="n"/>
      <c r="F223" s="586" t="n"/>
      <c r="G223" s="586" t="n"/>
      <c r="H223" s="586" t="n"/>
      <c r="I223" s="586" t="n"/>
      <c r="J223" s="586" t="n"/>
      <c r="K223" s="586" t="n"/>
      <c r="L223" s="586" t="n"/>
      <c r="M223" s="586" t="n"/>
      <c r="N223" s="586" t="n"/>
      <c r="O223" s="586" t="n"/>
      <c r="P223" s="586" t="n"/>
      <c r="Q223" s="586" t="n"/>
      <c r="R223" s="586" t="n"/>
      <c r="S223" s="586" t="n"/>
      <c r="T223" s="586" t="n"/>
      <c r="U223" s="587" t="n"/>
      <c r="V223" s="170" t="n"/>
      <c r="W223" s="110" t="n"/>
      <c r="Y223" s="109" t="n"/>
      <c r="Z223" s="111" t="n"/>
      <c r="AC223" s="168" t="n"/>
      <c r="AD223" s="168">
        <f>IF(AC223="","",AC223*V223)</f>
        <v/>
      </c>
      <c r="AE223" s="110">
        <f>IF(Y223="yes",AD223,"")</f>
        <v/>
      </c>
    </row>
    <row r="224" ht="174.75" customFormat="1" customHeight="1" s="48">
      <c r="A224" s="34">
        <f>A222+1</f>
        <v/>
      </c>
      <c r="B224" s="89" t="inlineStr">
        <is>
          <t>callback</t>
        </is>
      </c>
      <c r="C224" s="47" t="inlineStr">
        <is>
          <t>callback</t>
        </is>
      </c>
      <c r="D224" s="46" t="inlineStr">
        <is>
          <t>Your answers will help us to understand and respond to your community needs. May we call you back again in a few months?
[OPERATOR: SINGLE RESPONSE.]
1)YES
2)NO</t>
        </is>
      </c>
      <c r="E224" s="45">
        <f>LEN(D224)</f>
        <v/>
      </c>
      <c r="F224" s="489" t="inlineStr">
        <is>
          <t>Vos réponses nous aideront à comprendre les besoins de votre communauté et à y répondre. Pouvons-nous vous rappeler dans quelques mois?
[OPÉRATEUR/OPÉRATRICE: RÉPONSE UNIQUE.]
1)OUI
2)NON</t>
        </is>
      </c>
      <c r="G224" s="45">
        <f>LEN(F224)</f>
        <v/>
      </c>
      <c r="H224" s="489" t="inlineStr">
        <is>
          <t>Majibu yako yatatusaidia kuelewa na kujibu mahitaji yako ya jumuiya. Je, tunaweza kukupigia tena baada ya miezi michache?_x000D_
_x000D_
[OPERATOR: JIBU MOJA.]_x000D_
_x000D_
1)NDIYO_x000D_
2)HAPANA</t>
        </is>
      </c>
      <c r="I224" s="45" t="n"/>
      <c r="J224" s="71" t="inlineStr">
        <is>
          <t xml:space="preserve">Mandamuna enu neatuambuluishe bua kumvua ne kuandamuna ku majinga a bena mutumba benu. Tudiku mua kukubikila mu ngondo mikese anyi?
[ENQUETEUR/TRICE:Bipwebo imwe.]
1)EYOWA
2)TO
</t>
        </is>
      </c>
      <c r="K224" s="45">
        <f>LEN(J224)</f>
        <v/>
      </c>
      <c r="L224" s="45" t="inlineStr">
        <is>
          <t>Single Choice</t>
        </is>
      </c>
      <c r="M224" s="45" t="inlineStr">
        <is>
          <t>NA</t>
        </is>
      </c>
      <c r="N224" s="45" t="inlineStr">
        <is>
          <t>NA</t>
        </is>
      </c>
      <c r="O224" s="45" t="inlineStr">
        <is>
          <t>Form Type - Buttons</t>
        </is>
      </c>
      <c r="P224" s="82" t="inlineStr">
        <is>
          <t>NA</t>
        </is>
      </c>
      <c r="Q224" s="44" t="inlineStr">
        <is>
          <t>1 = future_int_day
2 = language2</t>
        </is>
      </c>
      <c r="R224" s="44" t="n"/>
      <c r="S224" s="44" t="inlineStr">
        <is>
          <t>if callback = 1, go to future_int_day
if 2, go to language2</t>
        </is>
      </c>
      <c r="T224" s="31" t="inlineStr"/>
      <c r="U224" s="9" t="n"/>
      <c r="V224" s="170" t="n">
        <v>1</v>
      </c>
      <c r="W224" s="43" t="n"/>
      <c r="Y224" s="109" t="inlineStr">
        <is>
          <t>yes</t>
        </is>
      </c>
      <c r="Z224" s="564" t="n"/>
      <c r="AC224" s="168" t="n">
        <v>14.94646453857422</v>
      </c>
      <c r="AD224" s="168">
        <f>IF(AC224="","",AC224*V224)</f>
        <v/>
      </c>
      <c r="AE224" s="43" t="inlineStr">
        <is>
          <t>14.94646453857422</t>
        </is>
      </c>
    </row>
    <row r="225" ht="187" customFormat="1" customHeight="1" s="141">
      <c r="A225" s="14">
        <f>A224+1</f>
        <v/>
      </c>
      <c r="B225" s="399" t="inlineStr">
        <is>
          <t>future_int_day</t>
        </is>
      </c>
      <c r="C225" s="53" t="inlineStr">
        <is>
          <t>future_int_day_
1) future_int_day_mon
2) future_int_day_tues
3) future_int_day_wed
4) future_int_day_thurs
5) future_int_day_fri
6) future_int_day_sat
7) future_int_day_sun</t>
        </is>
      </c>
      <c r="D225" s="490" t="inlineStr">
        <is>
          <t>For future interviews, in which day[s] can I call you?
[OPERATOR: MULTIPLE ANSWERS POSSIBLE.]
1)Monday
2)Tuesday
3)Wednesday
4)Thursday
5)Friday
6)Saturday
7)Sunday</t>
        </is>
      </c>
      <c r="E225" s="45">
        <f>LEN(D225)</f>
        <v/>
      </c>
      <c r="F225" s="490" t="inlineStr">
        <is>
          <t>Pour les prochains entretiens, quel[s] jour[s] puis-je vous appeler?
[OPÉRATEUR/OPÉRATRICE: PLUSIEURS RÉPONSES POSSIBLES.]
1)Lundi
2)Mardi
3)Mercredi
4)Jeudi
5)Vendredi
6)Samedi
7)Dimanche</t>
        </is>
      </c>
      <c r="G225" s="45">
        <f>LEN(F225)</f>
        <v/>
      </c>
      <c r="H225" s="490" t="inlineStr">
        <is>
          <t>Kwa mahojiano yajayo, ni [siku] zipi ninaweza kukupigia simu?
[OPERATOR: MAJIBU MENGI YANAWEZEKANA.]
1)Jumatatu
2)Jumanne
3)Jumatano
4)Alhamisi
5)Ijumaa
6)Jumamosi
7)Jumapili</t>
        </is>
      </c>
      <c r="I225" s="45" t="n"/>
      <c r="J225" s="71" t="inlineStr">
        <is>
          <t xml:space="preserve">Bua nkonko idi ilonda, ndi mua kukubikila dituku kayi?
[ENQUETEUR/TRICE: MANDAMUNA MANYI ADI MUA KUENZA.]
1)Dimue
2)Dibidi
3)Disatu
4)Dinayi
5)Ditanu
6)Disambombo
7)Dia lumingu
</t>
        </is>
      </c>
      <c r="K225" s="45">
        <f>LEN(J225)</f>
        <v/>
      </c>
      <c r="L225" s="45" t="inlineStr">
        <is>
          <t>Select All That Apply</t>
        </is>
      </c>
      <c r="M225" s="45" t="inlineStr">
        <is>
          <t>NA</t>
        </is>
      </c>
      <c r="N225" s="45" t="inlineStr">
        <is>
          <t>NA</t>
        </is>
      </c>
      <c r="O225" s="45" t="inlineStr">
        <is>
          <t>Form Type - Checklist</t>
        </is>
      </c>
      <c r="P225" s="82" t="inlineStr">
        <is>
          <t>NA</t>
        </is>
      </c>
      <c r="Q225" s="51" t="inlineStr">
        <is>
          <t>1-7 = future_int_time</t>
        </is>
      </c>
      <c r="R225" s="143" t="n"/>
      <c r="S225" s="143" t="inlineStr">
        <is>
          <t>if l_future_int_day = 1-7, go to future_int_time</t>
        </is>
      </c>
      <c r="T225" s="24" t="inlineStr"/>
      <c r="U225" s="146" t="n"/>
      <c r="V225" s="171" t="n">
        <v>1</v>
      </c>
      <c r="W225" s="138" t="n"/>
      <c r="Y225" s="140" t="inlineStr">
        <is>
          <t>yes - panel</t>
        </is>
      </c>
      <c r="AC225" s="173" t="n">
        <v>19.35491371154785</v>
      </c>
      <c r="AD225" s="168">
        <f>IF(AC225="","",AC225*V225)</f>
        <v/>
      </c>
      <c r="AE225" s="43" t="inlineStr"/>
    </row>
    <row r="226" ht="139.5" customFormat="1" customHeight="1" s="141">
      <c r="A226" s="14">
        <f>A225+1</f>
        <v/>
      </c>
      <c r="B226" s="399" t="inlineStr">
        <is>
          <t>future_int_time</t>
        </is>
      </c>
      <c r="C226" s="53" t="inlineStr">
        <is>
          <t>future_int_time_ 
1) future_int_time_morn
2) future_int_time_aft
3) future_int_time_eve</t>
        </is>
      </c>
      <c r="D226" s="490" t="inlineStr">
        <is>
          <t>For future interviews, at what time[s] can I call you?
[OPERATOR: MULTIPLE ANSWERS POSSIBLE.]
1)Mornings
2)Afternoons
3)Evenings</t>
        </is>
      </c>
      <c r="E226" s="45">
        <f>LEN(D226)</f>
        <v/>
      </c>
      <c r="F226" s="490" t="inlineStr">
        <is>
          <t>Pour les prochains entretiens, à quel[s] moment[s] de la journée puis-je vous appeler?
[OPÉRATEUR/OPÉRATRICE: PLUSIEURS RÉPONSES POSSIBLES.]
1)Le matin
2)L'après-midi
3)Le soir</t>
        </is>
      </c>
      <c r="G226" s="45">
        <f>LEN(F226)</f>
        <v/>
      </c>
      <c r="H226" s="490" t="inlineStr">
        <is>
          <t xml:space="preserve">Kwa mahojiano yajayo, ninaweza kukupigia simu saa ngapi?
[OPERATOR: MAJIBU MENGI YANAWEZEKANA.]
1)Asubuhi
2)Mchana
3)Mangaribi </t>
        </is>
      </c>
      <c r="I226" s="45" t="n"/>
      <c r="J226" s="71" t="inlineStr">
        <is>
          <t xml:space="preserve">Bua nkonko ya matuku atshilualua, ndi mua kukubikila dîba kayi dia dituku?
[ENQUETEUR/TRICE: MANDAMUNA MANYI ADI MUA KUENZA.]
1) Mu dinda
2) Mu mapingaja
3) Dilolo
</t>
        </is>
      </c>
      <c r="K226" s="45">
        <f>LEN(J226)</f>
        <v/>
      </c>
      <c r="L226" s="45" t="inlineStr">
        <is>
          <t>Select All That Apply</t>
        </is>
      </c>
      <c r="M226" s="45" t="inlineStr">
        <is>
          <t>NA</t>
        </is>
      </c>
      <c r="N226" s="45" t="inlineStr">
        <is>
          <t>NA</t>
        </is>
      </c>
      <c r="O226" s="45" t="inlineStr">
        <is>
          <t>Form Type - Checklist</t>
        </is>
      </c>
      <c r="P226" s="82" t="inlineStr">
        <is>
          <t>NA</t>
        </is>
      </c>
      <c r="Q226" s="51" t="inlineStr">
        <is>
          <t>1-3 = language2</t>
        </is>
      </c>
      <c r="R226" s="143" t="n"/>
      <c r="S226" s="143" t="inlineStr">
        <is>
          <t>if future_int_time = 1-3, go to language2</t>
        </is>
      </c>
      <c r="T226" s="24" t="inlineStr"/>
      <c r="U226" s="146" t="n"/>
      <c r="V226" s="171" t="n">
        <v>1</v>
      </c>
      <c r="W226" s="138" t="n"/>
      <c r="Y226" s="140" t="inlineStr">
        <is>
          <t>yes - panel</t>
        </is>
      </c>
      <c r="AC226" s="173" t="n">
        <v>15.88939952850342</v>
      </c>
      <c r="AD226" s="168">
        <f>IF(AC226="","",AC226*V226)</f>
        <v/>
      </c>
      <c r="AE226" s="43" t="inlineStr"/>
    </row>
    <row r="227" ht="162" customFormat="1" customHeight="1" s="88" thickBot="1">
      <c r="A227" s="491" t="inlineStr">
        <is>
          <t>NA</t>
        </is>
      </c>
      <c r="B227" s="492" t="inlineStr">
        <is>
          <t>language2</t>
        </is>
      </c>
      <c r="C227" s="402" t="inlineStr">
        <is>
          <t>language2</t>
        </is>
      </c>
      <c r="D227" s="469" t="inlineStr">
        <is>
          <t>Select the language that was mostly used to complete the interview.
[OPERATOR: SINGLE RESPONSE.]
1)FRENCH
2)SWAHILI
3)TSHILUBA</t>
        </is>
      </c>
      <c r="E227" s="464">
        <f>LEN(D227)</f>
        <v/>
      </c>
      <c r="F227" s="107" t="inlineStr">
        <is>
          <t>Sélectionner la langue qui a été principalement utilisée pour réaliser l'entretien.
[OPÉRATEUR/OPÉRATRICE: RÉPONSE UNIQUE.]
1)FRANÇAIS
2)SWAHILI
3)TSHILUBA</t>
        </is>
      </c>
      <c r="G227" s="464">
        <f>LEN(F227)</f>
        <v/>
      </c>
      <c r="H227" s="107" t="inlineStr">
        <is>
          <t>Chagua lugha ambayo ilitumika zaidi kukamilisha mahojiano.
[OPERATOR: JIBU MOJA.]
1)KIFARANSA
2)KISWAHILI
3)TSHILUBA</t>
        </is>
      </c>
      <c r="I227" s="464" t="n"/>
      <c r="J227" s="188" t="inlineStr">
        <is>
          <t xml:space="preserve">Sungula muakulu uvuabu batamba kuenza nawu mudimu bua kuenza muyuki.
[ENQUETEUR/TRICE:Bipwebo imwe.]
1)FRANÇAIS
2)SWAHILI
3)TSHILUBA
</t>
        </is>
      </c>
      <c r="K227" s="45">
        <f>LEN(J227)</f>
        <v/>
      </c>
      <c r="L227" s="464" t="inlineStr">
        <is>
          <t>Single Choice</t>
        </is>
      </c>
      <c r="M227" s="464" t="inlineStr">
        <is>
          <t>NA</t>
        </is>
      </c>
      <c r="N227" s="464" t="inlineStr">
        <is>
          <t>NA</t>
        </is>
      </c>
      <c r="O227" s="464" t="inlineStr">
        <is>
          <t>Form Type - Buttons</t>
        </is>
      </c>
      <c r="P227" s="82" t="inlineStr">
        <is>
          <t>NA</t>
        </is>
      </c>
      <c r="Q227" s="55" t="inlineStr">
        <is>
          <t>1-3 = closeout</t>
        </is>
      </c>
      <c r="R227" s="55" t="n"/>
      <c r="S227" s="92" t="inlineStr">
        <is>
          <t>NA</t>
        </is>
      </c>
      <c r="T227" s="37" t="inlineStr"/>
      <c r="U227" s="91" t="n"/>
      <c r="V227" s="170" t="n">
        <v>1</v>
      </c>
      <c r="W227" s="43" t="n"/>
      <c r="Y227" s="109" t="inlineStr">
        <is>
          <t>yes</t>
        </is>
      </c>
      <c r="Z227" s="564" t="n"/>
      <c r="AC227" s="168" t="n">
        <v>17.30915408839179</v>
      </c>
      <c r="AD227" s="168">
        <f>IF(AC227="","",AC227*V227)</f>
        <v/>
      </c>
      <c r="AE227" s="43" t="inlineStr">
        <is>
          <t>17.30915408839179</t>
        </is>
      </c>
    </row>
    <row r="228" ht="47" customFormat="1" customHeight="1" s="48" thickBot="1">
      <c r="A228" s="493" t="inlineStr">
        <is>
          <t>NA</t>
        </is>
      </c>
      <c r="B228" s="494" t="inlineStr">
        <is>
          <t>closeout</t>
        </is>
      </c>
      <c r="C228" s="495" t="inlineStr">
        <is>
          <t>closeout</t>
        </is>
      </c>
      <c r="D228" s="496" t="inlineStr">
        <is>
          <t>Thank you for your time. The interview has come to an end. You will receive your #TOPUP# airtime credit on this phone within the next 2 days.</t>
        </is>
      </c>
      <c r="E228" s="497">
        <f>LEN(D228)</f>
        <v/>
      </c>
      <c r="F228" s="496" t="inlineStr">
        <is>
          <t>Merci de nous avoir accordé votre temps. L'entretien est terminé. Vous recevrez votre crédit téléphonique #TOPUP# sur ce téléphone dans les deux prochains jours.</t>
        </is>
      </c>
      <c r="G228" s="497">
        <f>LEN(F228)</f>
        <v/>
      </c>
      <c r="H228" s="496" t="inlineStr">
        <is>
          <t>Asante kwa muda wako. Mahojiano yamefikia tamati. Utapokea salio lako la muda wa maongezi la #TOPUP# kwenye simu hii ndani ya siku 2 zijazo.</t>
        </is>
      </c>
      <c r="I228" s="497" t="n"/>
      <c r="J228" s="508" t="inlineStr">
        <is>
          <t>Tuasakidila bua kutupesha dîba diebe. Diyukidilangana ndijika. Neupete #TOPUP# credit webe wa telefone ku telefone eu mu matuku abidi adi alonda.</t>
        </is>
      </c>
      <c r="K228" s="497" t="n"/>
      <c r="L228" s="497" t="inlineStr">
        <is>
          <t>NA</t>
        </is>
      </c>
      <c r="M228" s="497" t="inlineStr">
        <is>
          <t>NA</t>
        </is>
      </c>
      <c r="N228" s="497" t="inlineStr">
        <is>
          <t>NA</t>
        </is>
      </c>
      <c r="O228" s="497" t="inlineStr">
        <is>
          <t>NA</t>
        </is>
      </c>
      <c r="P228" s="42" t="inlineStr"/>
      <c r="Q228" s="42" t="inlineStr">
        <is>
          <t>NA</t>
        </is>
      </c>
      <c r="R228" s="42" t="n"/>
      <c r="S228" s="41" t="inlineStr">
        <is>
          <t>NA</t>
        </is>
      </c>
      <c r="T228" s="32" t="inlineStr"/>
      <c r="U228" s="33" t="n"/>
      <c r="V228" s="170" t="n">
        <v>1</v>
      </c>
      <c r="W228" s="564" t="n"/>
      <c r="Y228" s="50" t="inlineStr">
        <is>
          <t>no</t>
        </is>
      </c>
      <c r="Z228" s="564" t="n"/>
      <c r="AC228" s="174" t="n"/>
      <c r="AD228" s="168">
        <f>IF(AC228="","",AC228*V228)</f>
        <v/>
      </c>
      <c r="AE228" s="43" t="inlineStr"/>
    </row>
    <row r="229" ht="30.75" customFormat="1" customHeight="1" s="48" thickBot="1">
      <c r="A229" s="493" t="inlineStr">
        <is>
          <t>NA</t>
        </is>
      </c>
      <c r="B229" s="498" t="inlineStr">
        <is>
          <t>End poll callback</t>
        </is>
      </c>
      <c r="C229" s="499" t="inlineStr">
        <is>
          <t>NA</t>
        </is>
      </c>
      <c r="D229" s="500" t="inlineStr">
        <is>
          <t>Call back set</t>
        </is>
      </c>
      <c r="E229" s="501">
        <f>LEN(D229)</f>
        <v/>
      </c>
      <c r="F229" s="500" t="inlineStr">
        <is>
          <t>Call back set</t>
        </is>
      </c>
      <c r="G229" s="501">
        <f>LEN(F229)</f>
        <v/>
      </c>
      <c r="H229" s="500" t="inlineStr">
        <is>
          <t>Call back set</t>
        </is>
      </c>
      <c r="I229" s="501" t="n"/>
      <c r="J229" s="509" t="inlineStr">
        <is>
          <t>Dibikila dia kabidi</t>
        </is>
      </c>
      <c r="K229" s="501" t="n"/>
      <c r="L229" s="501" t="inlineStr">
        <is>
          <t>NA</t>
        </is>
      </c>
      <c r="M229" s="501" t="inlineStr">
        <is>
          <t>NA</t>
        </is>
      </c>
      <c r="N229" s="501" t="inlineStr">
        <is>
          <t>NA</t>
        </is>
      </c>
      <c r="O229" s="501" t="inlineStr">
        <is>
          <t>NA</t>
        </is>
      </c>
      <c r="P229" s="502" t="inlineStr"/>
      <c r="Q229" s="502" t="inlineStr">
        <is>
          <t>NA</t>
        </is>
      </c>
      <c r="R229" s="158" t="n"/>
      <c r="S229" s="159" t="inlineStr">
        <is>
          <t>NA</t>
        </is>
      </c>
      <c r="T229" s="160" t="inlineStr"/>
      <c r="U229" s="9" t="n"/>
      <c r="Y229" t="inlineStr"/>
      <c r="AE229" t="inlineStr"/>
    </row>
    <row r="230" ht="29.25" customFormat="1" customHeight="1" s="48" thickBot="1">
      <c r="A230" s="493" t="inlineStr">
        <is>
          <t>NA</t>
        </is>
      </c>
      <c r="B230" s="399" t="inlineStr">
        <is>
          <t>CallBack-Introduction</t>
        </is>
      </c>
      <c r="C230" s="53" t="inlineStr">
        <is>
          <t>NA</t>
        </is>
      </c>
      <c r="D230" s="503" t="inlineStr">
        <is>
          <t>Introduction</t>
        </is>
      </c>
      <c r="E230" s="52">
        <f>LEN(D230)</f>
        <v/>
      </c>
      <c r="F230" s="503" t="inlineStr">
        <is>
          <t>Introduction</t>
        </is>
      </c>
      <c r="G230" s="52">
        <f>LEN(F230)</f>
        <v/>
      </c>
      <c r="H230" s="503" t="inlineStr">
        <is>
          <t>Introduction</t>
        </is>
      </c>
      <c r="I230" s="52" t="n"/>
      <c r="J230" s="509" t="inlineStr">
        <is>
          <t>Mêyi a mbangilu</t>
        </is>
      </c>
      <c r="K230" s="52" t="n"/>
      <c r="L230" s="52" t="inlineStr">
        <is>
          <t>NA</t>
        </is>
      </c>
      <c r="M230" s="52" t="inlineStr">
        <is>
          <t>NA</t>
        </is>
      </c>
      <c r="N230" s="52" t="inlineStr">
        <is>
          <t>NA</t>
        </is>
      </c>
      <c r="O230" s="52" t="inlineStr">
        <is>
          <t>NA</t>
        </is>
      </c>
      <c r="P230" s="59" t="inlineStr"/>
      <c r="Q230" s="59" t="inlineStr">
        <is>
          <t>NA</t>
        </is>
      </c>
      <c r="R230" s="161" t="n"/>
      <c r="S230" s="129" t="inlineStr">
        <is>
          <t>NA</t>
        </is>
      </c>
      <c r="T230" s="162" t="inlineStr"/>
      <c r="U230" s="163" t="n"/>
      <c r="Y230" t="inlineStr"/>
      <c r="AE230" t="inlineStr"/>
    </row>
    <row r="231" ht="16" customFormat="1" customHeight="1" s="48" thickBot="1">
      <c r="A231" s="493" t="inlineStr">
        <is>
          <t>NA</t>
        </is>
      </c>
      <c r="B231" s="504" t="inlineStr">
        <is>
          <t>CallBack-Confirmation</t>
        </is>
      </c>
      <c r="C231" s="77" t="inlineStr">
        <is>
          <t>NA</t>
        </is>
      </c>
      <c r="D231" s="505" t="inlineStr">
        <is>
          <t>Confirmation</t>
        </is>
      </c>
      <c r="E231" s="506">
        <f>LEN(D231)</f>
        <v/>
      </c>
      <c r="F231" s="505" t="inlineStr">
        <is>
          <t>Confirmation</t>
        </is>
      </c>
      <c r="G231" s="506">
        <f>LEN(F231)</f>
        <v/>
      </c>
      <c r="H231" s="505" t="inlineStr">
        <is>
          <t>Confirmation</t>
        </is>
      </c>
      <c r="I231" s="506" t="n"/>
      <c r="J231" s="509" t="inlineStr">
        <is>
          <t>Dijadika</t>
        </is>
      </c>
      <c r="K231" s="506" t="n"/>
      <c r="L231" s="506" t="inlineStr">
        <is>
          <t>NA</t>
        </is>
      </c>
      <c r="M231" s="506" t="inlineStr">
        <is>
          <t>NA</t>
        </is>
      </c>
      <c r="N231" s="506" t="inlineStr">
        <is>
          <t>NA</t>
        </is>
      </c>
      <c r="O231" s="506" t="inlineStr">
        <is>
          <t>NA</t>
        </is>
      </c>
      <c r="P231" s="507" t="inlineStr"/>
      <c r="Q231" s="507" t="inlineStr">
        <is>
          <t>NA</t>
        </is>
      </c>
      <c r="R231" s="164" t="n"/>
      <c r="S231" s="165" t="inlineStr">
        <is>
          <t>NA</t>
        </is>
      </c>
      <c r="T231" s="166" t="inlineStr"/>
      <c r="U231" s="33" t="n"/>
      <c r="Y231" t="inlineStr"/>
      <c r="AE231" t="inlineStr"/>
    </row>
    <row r="232">
      <c r="AC232" s="177" t="n"/>
    </row>
    <row r="233" ht="17.15" customHeight="1" thickBot="1"/>
    <row r="234" ht="18" customHeight="1" thickBot="1">
      <c r="D234" s="87" t="inlineStr">
        <is>
          <t xml:space="preserve">AVERAGE ESTIMATED DURATION </t>
        </is>
      </c>
      <c r="E234" s="86" t="n"/>
      <c r="F234" s="87" t="inlineStr">
        <is>
          <t>DURÉE MOYENNE ESTIMÉE</t>
        </is>
      </c>
      <c r="G234" s="86" t="n"/>
      <c r="H234" s="86" t="n"/>
      <c r="I234" s="86" t="n"/>
      <c r="J234" s="86" t="n"/>
      <c r="K234" s="86" t="n"/>
      <c r="L234" s="86" t="n"/>
      <c r="M234" s="86" t="n"/>
      <c r="N234" s="86" t="n"/>
      <c r="O234" s="86" t="n"/>
      <c r="P234" s="86" t="n"/>
      <c r="Q234" s="86" t="n"/>
      <c r="R234" s="86" t="n"/>
      <c r="S234" s="86" t="n"/>
      <c r="T234" s="86" t="n"/>
      <c r="U234" s="86" t="n"/>
      <c r="V234" s="179" t="n"/>
      <c r="AC234" s="180" t="n"/>
      <c r="AD234" s="181">
        <f>(SUM(AD5:AD232))/60</f>
        <v/>
      </c>
      <c r="AE234" s="113">
        <f>SUM(AE2:AE228)/60</f>
        <v/>
      </c>
    </row>
    <row r="235" hidden="1" ht="18" customHeight="1" thickBot="1">
      <c r="D235" s="102" t="inlineStr">
        <is>
          <t>AVERAGE ESTIMATED DURATION (without fisheries section)</t>
        </is>
      </c>
      <c r="E235" s="101" t="n"/>
      <c r="F235" s="102" t="inlineStr">
        <is>
          <t>DURÉE MOYENNE ESTIMÉE (sans questions sur la pêche)</t>
        </is>
      </c>
      <c r="G235" s="101" t="n"/>
      <c r="H235" s="101" t="n"/>
      <c r="I235" s="101" t="n"/>
      <c r="J235" s="101" t="n"/>
      <c r="K235" s="101" t="n"/>
      <c r="L235" s="101" t="n"/>
      <c r="M235" s="101" t="n"/>
      <c r="N235" s="101" t="n"/>
      <c r="O235" s="101" t="n"/>
      <c r="P235" s="101" t="n"/>
      <c r="Q235" s="101" t="n"/>
      <c r="R235" s="101" t="n"/>
      <c r="S235" s="101" t="n"/>
      <c r="T235" s="101" t="n"/>
      <c r="U235" s="101" t="n"/>
      <c r="V235" s="182" t="n"/>
      <c r="AC235" s="183" t="n"/>
      <c r="AD235" s="184">
        <f>(SUM(AD6:AD158)+SUM(AD172:AD232))/60</f>
        <v/>
      </c>
    </row>
    <row r="236" ht="18" customHeight="1" thickBot="1">
      <c r="D236" s="87" t="inlineStr">
        <is>
          <t>AVERAGE ESTIMATED DURATION (without fisheries section or panel)</t>
        </is>
      </c>
      <c r="E236" s="86" t="n"/>
      <c r="F236" s="87" t="inlineStr">
        <is>
          <t>DURÉE MOYENNE ESTIMÉE (sans questions sur la pêche ni sur panel)</t>
        </is>
      </c>
      <c r="G236" s="86" t="n"/>
      <c r="H236" s="86" t="n"/>
      <c r="I236" s="86" t="n"/>
      <c r="J236" s="86" t="n"/>
      <c r="K236" s="86" t="n"/>
      <c r="L236" s="86" t="n"/>
      <c r="M236" s="86" t="n"/>
      <c r="N236" s="86" t="n"/>
      <c r="O236" s="86" t="n"/>
      <c r="P236" s="86" t="n"/>
      <c r="Q236" s="86" t="n"/>
      <c r="R236" s="86" t="n"/>
      <c r="S236" s="86" t="n"/>
      <c r="T236" s="86" t="n"/>
      <c r="U236" s="86" t="n"/>
      <c r="V236" s="179" t="n"/>
      <c r="AC236" s="180" t="n"/>
      <c r="AD236" s="185">
        <f>(SUM(AD6:AD22)+SUM(AD31:AD158)+SUM(AD171:AD224)+SUM(AD227:AD232))/60</f>
        <v/>
      </c>
    </row>
  </sheetData>
  <mergeCells count="23">
    <mergeCell ref="U104:U105"/>
    <mergeCell ref="A217:U217"/>
    <mergeCell ref="U2:U3"/>
    <mergeCell ref="A18:U18"/>
    <mergeCell ref="A223:U223"/>
    <mergeCell ref="A154:U154"/>
    <mergeCell ref="U87:U88"/>
    <mergeCell ref="A159:U159"/>
    <mergeCell ref="A109:U109"/>
    <mergeCell ref="A4:U4"/>
    <mergeCell ref="A171:U171"/>
    <mergeCell ref="U65:U67"/>
    <mergeCell ref="S31:S57"/>
    <mergeCell ref="A117:U117"/>
    <mergeCell ref="A2:T2"/>
    <mergeCell ref="A143:U143"/>
    <mergeCell ref="A82:U82"/>
    <mergeCell ref="A166:U166"/>
    <mergeCell ref="U129:U132"/>
    <mergeCell ref="U96:U97"/>
    <mergeCell ref="A138:U138"/>
    <mergeCell ref="A1:U1"/>
    <mergeCell ref="A61:U61"/>
  </mergeCells>
  <conditionalFormatting sqref="B11:B16">
    <cfRule type="duplicateValues" priority="86" dxfId="0"/>
  </conditionalFormatting>
  <conditionalFormatting sqref="B17">
    <cfRule type="duplicateValues" priority="85" dxfId="0"/>
  </conditionalFormatting>
  <conditionalFormatting sqref="B24">
    <cfRule type="duplicateValues" priority="71" dxfId="0"/>
  </conditionalFormatting>
  <conditionalFormatting sqref="B30">
    <cfRule type="duplicateValues" priority="119" dxfId="0"/>
  </conditionalFormatting>
  <conditionalFormatting sqref="B31:B57">
    <cfRule type="duplicateValues" priority="134" dxfId="0"/>
  </conditionalFormatting>
  <conditionalFormatting sqref="B58">
    <cfRule type="duplicateValues" priority="55" dxfId="0"/>
  </conditionalFormatting>
  <conditionalFormatting sqref="B60">
    <cfRule type="duplicateValues" priority="24" dxfId="0"/>
  </conditionalFormatting>
  <conditionalFormatting sqref="B65">
    <cfRule type="duplicateValues" priority="91" dxfId="0"/>
  </conditionalFormatting>
  <conditionalFormatting sqref="B66">
    <cfRule type="duplicateValues" priority="92" dxfId="0"/>
  </conditionalFormatting>
  <conditionalFormatting sqref="B67">
    <cfRule type="duplicateValues" priority="122" dxfId="0"/>
  </conditionalFormatting>
  <conditionalFormatting sqref="B68:B69">
    <cfRule type="duplicateValues" priority="77" dxfId="0"/>
  </conditionalFormatting>
  <conditionalFormatting sqref="B72:B74">
    <cfRule type="duplicateValues" priority="7" dxfId="0"/>
  </conditionalFormatting>
  <conditionalFormatting sqref="B75:B76">
    <cfRule type="duplicateValues" priority="23" dxfId="0"/>
  </conditionalFormatting>
  <conditionalFormatting sqref="B77">
    <cfRule type="duplicateValues" priority="22" dxfId="0"/>
  </conditionalFormatting>
  <conditionalFormatting sqref="B78:B80">
    <cfRule type="duplicateValues" priority="21" dxfId="0"/>
  </conditionalFormatting>
  <conditionalFormatting sqref="B84:B86">
    <cfRule type="duplicateValues" priority="65" dxfId="0"/>
  </conditionalFormatting>
  <conditionalFormatting sqref="B88">
    <cfRule type="duplicateValues" priority="124" dxfId="0"/>
  </conditionalFormatting>
  <conditionalFormatting sqref="B89">
    <cfRule type="duplicateValues" priority="68" dxfId="0"/>
  </conditionalFormatting>
  <conditionalFormatting sqref="B90">
    <cfRule type="duplicateValues" priority="69" dxfId="0"/>
  </conditionalFormatting>
  <conditionalFormatting sqref="B93:B95">
    <cfRule type="duplicateValues" priority="61" dxfId="0"/>
  </conditionalFormatting>
  <conditionalFormatting sqref="B96">
    <cfRule type="duplicateValues" priority="76" dxfId="0"/>
  </conditionalFormatting>
  <conditionalFormatting sqref="B97">
    <cfRule type="duplicateValues" priority="126" dxfId="0"/>
  </conditionalFormatting>
  <conditionalFormatting sqref="B98">
    <cfRule type="duplicateValues" priority="67" dxfId="0"/>
  </conditionalFormatting>
  <conditionalFormatting sqref="B101:B103">
    <cfRule type="duplicateValues" priority="57" dxfId="0"/>
  </conditionalFormatting>
  <conditionalFormatting sqref="B105">
    <cfRule type="duplicateValues" priority="84" dxfId="0"/>
  </conditionalFormatting>
  <conditionalFormatting sqref="B106">
    <cfRule type="duplicateValues" priority="66" dxfId="0"/>
  </conditionalFormatting>
  <conditionalFormatting sqref="B110 B113:B116">
    <cfRule type="duplicateValues" priority="18" dxfId="0"/>
  </conditionalFormatting>
  <conditionalFormatting sqref="B111:B112">
    <cfRule type="duplicateValues" priority="3" dxfId="0"/>
  </conditionalFormatting>
  <conditionalFormatting sqref="B127:B128">
    <cfRule type="duplicateValues" priority="128" dxfId="0"/>
  </conditionalFormatting>
  <conditionalFormatting sqref="B134">
    <cfRule type="duplicateValues" priority="89" dxfId="0"/>
  </conditionalFormatting>
  <conditionalFormatting sqref="B135">
    <cfRule type="duplicateValues" priority="15" dxfId="0"/>
  </conditionalFormatting>
  <conditionalFormatting sqref="B136">
    <cfRule type="duplicateValues" priority="16" dxfId="0"/>
  </conditionalFormatting>
  <conditionalFormatting sqref="B137">
    <cfRule type="duplicateValues" priority="12" dxfId="0"/>
  </conditionalFormatting>
  <conditionalFormatting sqref="B139">
    <cfRule type="duplicateValues" priority="130" dxfId="0"/>
  </conditionalFormatting>
  <conditionalFormatting sqref="B148">
    <cfRule type="duplicateValues" priority="11" dxfId="0"/>
  </conditionalFormatting>
  <conditionalFormatting sqref="B149">
    <cfRule type="duplicateValues" priority="8" dxfId="0"/>
  </conditionalFormatting>
  <conditionalFormatting sqref="B150">
    <cfRule type="duplicateValues" priority="10" dxfId="0"/>
  </conditionalFormatting>
  <conditionalFormatting sqref="B151">
    <cfRule type="duplicateValues" priority="9" dxfId="0"/>
  </conditionalFormatting>
  <conditionalFormatting sqref="B153">
    <cfRule type="duplicateValues" priority="87" dxfId="0"/>
    <cfRule type="duplicateValues" priority="88" dxfId="0"/>
  </conditionalFormatting>
  <conditionalFormatting sqref="B157">
    <cfRule type="duplicateValues" priority="131" dxfId="0"/>
  </conditionalFormatting>
  <conditionalFormatting sqref="B160">
    <cfRule type="duplicateValues" priority="75" dxfId="0"/>
  </conditionalFormatting>
  <conditionalFormatting sqref="B161">
    <cfRule type="duplicateValues" priority="132" dxfId="0"/>
  </conditionalFormatting>
  <conditionalFormatting sqref="B168:B170">
    <cfRule type="duplicateValues" priority="133" dxfId="0"/>
  </conditionalFormatting>
  <conditionalFormatting sqref="B178">
    <cfRule type="duplicateValues" priority="83" dxfId="0"/>
  </conditionalFormatting>
  <conditionalFormatting sqref="B179">
    <cfRule type="duplicateValues" priority="82" dxfId="0"/>
  </conditionalFormatting>
  <conditionalFormatting sqref="B181">
    <cfRule type="duplicateValues" priority="81" dxfId="0"/>
  </conditionalFormatting>
  <conditionalFormatting sqref="B183">
    <cfRule type="duplicateValues" priority="80" dxfId="0"/>
  </conditionalFormatting>
  <conditionalFormatting sqref="B200">
    <cfRule type="duplicateValues" priority="79" dxfId="0"/>
  </conditionalFormatting>
  <conditionalFormatting sqref="B201:B209 B211:B213">
    <cfRule type="duplicateValues" priority="90" dxfId="0"/>
  </conditionalFormatting>
  <conditionalFormatting sqref="B210">
    <cfRule type="duplicateValues" priority="74" dxfId="0"/>
  </conditionalFormatting>
  <conditionalFormatting sqref="B214">
    <cfRule type="duplicateValues" priority="72" dxfId="0"/>
  </conditionalFormatting>
  <conditionalFormatting sqref="B215 C201:C209 C211:C213">
    <cfRule type="duplicateValues" priority="103" dxfId="0"/>
  </conditionalFormatting>
  <conditionalFormatting sqref="B216">
    <cfRule type="duplicateValues" priority="73" dxfId="0"/>
  </conditionalFormatting>
  <conditionalFormatting sqref="B236">
    <cfRule type="duplicateValues" priority="70" dxfId="0"/>
  </conditionalFormatting>
  <conditionalFormatting sqref="B2:B3 B5:B17 B21:B23 B25:B29 B59 B63:B64 B70:B71 B81 B83 B87 B91:B92 B99:B100 B104 B107:B108 B121:B122 B133 B140:B142 B145:B147 B152:B153 B155:B156 B158 B162:B165 B167 B172:B177 B180 B182 B184 B199 B218:B220 B224 B227:B235 B237:B1048576">
    <cfRule type="duplicateValues" priority="118" dxfId="0"/>
  </conditionalFormatting>
  <conditionalFormatting sqref="C23">
    <cfRule type="duplicateValues" priority="108" dxfId="0"/>
  </conditionalFormatting>
  <conditionalFormatting sqref="C24">
    <cfRule type="duplicateValues" priority="109" dxfId="0"/>
  </conditionalFormatting>
  <conditionalFormatting sqref="C25:C26 C28:C29">
    <cfRule type="duplicateValues" priority="110" dxfId="0"/>
  </conditionalFormatting>
  <conditionalFormatting sqref="C27">
    <cfRule type="duplicateValues" priority="113" dxfId="0"/>
  </conditionalFormatting>
  <conditionalFormatting sqref="C30">
    <cfRule type="duplicateValues" priority="120" dxfId="0"/>
  </conditionalFormatting>
  <conditionalFormatting sqref="C59">
    <cfRule type="duplicateValues" priority="121" dxfId="0"/>
  </conditionalFormatting>
  <conditionalFormatting sqref="C65">
    <cfRule type="duplicateValues" priority="111" dxfId="0"/>
  </conditionalFormatting>
  <conditionalFormatting sqref="C66">
    <cfRule type="duplicateValues" priority="112" dxfId="0"/>
  </conditionalFormatting>
  <conditionalFormatting sqref="C67">
    <cfRule type="duplicateValues" priority="123" dxfId="0"/>
  </conditionalFormatting>
  <conditionalFormatting sqref="C68:C69">
    <cfRule type="duplicateValues" priority="102" dxfId="0"/>
  </conditionalFormatting>
  <conditionalFormatting sqref="C77">
    <cfRule type="duplicateValues" priority="20" dxfId="0"/>
  </conditionalFormatting>
  <conditionalFormatting sqref="C81">
    <cfRule type="duplicateValues" priority="101" dxfId="0"/>
  </conditionalFormatting>
  <conditionalFormatting sqref="C84">
    <cfRule type="duplicateValues" priority="63" dxfId="0"/>
  </conditionalFormatting>
  <conditionalFormatting sqref="C85">
    <cfRule type="duplicateValues" priority="62" dxfId="0"/>
  </conditionalFormatting>
  <conditionalFormatting sqref="C86">
    <cfRule type="duplicateValues" priority="64" dxfId="0"/>
  </conditionalFormatting>
  <conditionalFormatting sqref="C88">
    <cfRule type="duplicateValues" priority="125" dxfId="0"/>
  </conditionalFormatting>
  <conditionalFormatting sqref="C89">
    <cfRule type="duplicateValues" priority="116" dxfId="0"/>
  </conditionalFormatting>
  <conditionalFormatting sqref="C90">
    <cfRule type="duplicateValues" priority="115" dxfId="0"/>
  </conditionalFormatting>
  <conditionalFormatting sqref="C93">
    <cfRule type="duplicateValues" priority="59" dxfId="0"/>
  </conditionalFormatting>
  <conditionalFormatting sqref="C94">
    <cfRule type="duplicateValues" priority="58" dxfId="0"/>
  </conditionalFormatting>
  <conditionalFormatting sqref="C95">
    <cfRule type="duplicateValues" priority="60" dxfId="0"/>
  </conditionalFormatting>
  <conditionalFormatting sqref="C97">
    <cfRule type="duplicateValues" priority="127" dxfId="0"/>
  </conditionalFormatting>
  <conditionalFormatting sqref="C98">
    <cfRule type="duplicateValues" priority="117" dxfId="0"/>
  </conditionalFormatting>
  <conditionalFormatting sqref="C101:C103">
    <cfRule type="duplicateValues" priority="56" dxfId="0"/>
  </conditionalFormatting>
  <conditionalFormatting sqref="C105">
    <cfRule type="duplicateValues" priority="93" dxfId="0"/>
  </conditionalFormatting>
  <conditionalFormatting sqref="C108">
    <cfRule type="duplicateValues" priority="94" dxfId="0"/>
  </conditionalFormatting>
  <conditionalFormatting sqref="C110">
    <cfRule type="duplicateValues" priority="19" dxfId="0"/>
  </conditionalFormatting>
  <conditionalFormatting sqref="C111:C112">
    <cfRule type="duplicateValues" priority="2" dxfId="0"/>
  </conditionalFormatting>
  <conditionalFormatting sqref="C127:C128">
    <cfRule type="duplicateValues" priority="129" dxfId="0"/>
  </conditionalFormatting>
  <conditionalFormatting sqref="C135">
    <cfRule type="duplicateValues" priority="14" dxfId="0"/>
  </conditionalFormatting>
  <conditionalFormatting sqref="C136">
    <cfRule type="duplicateValues" priority="17" dxfId="0"/>
  </conditionalFormatting>
  <conditionalFormatting sqref="C137">
    <cfRule type="duplicateValues" priority="13" dxfId="0"/>
  </conditionalFormatting>
  <conditionalFormatting sqref="C139">
    <cfRule type="duplicateValues" priority="114" dxfId="0"/>
  </conditionalFormatting>
  <conditionalFormatting sqref="C168">
    <cfRule type="duplicateValues" priority="95" dxfId="0"/>
  </conditionalFormatting>
  <conditionalFormatting sqref="C172">
    <cfRule type="duplicateValues" priority="54" dxfId="0"/>
  </conditionalFormatting>
  <conditionalFormatting sqref="C178">
    <cfRule type="duplicateValues" priority="96" dxfId="0"/>
  </conditionalFormatting>
  <conditionalFormatting sqref="C179">
    <cfRule type="duplicateValues" priority="97" dxfId="0"/>
  </conditionalFormatting>
  <conditionalFormatting sqref="C181">
    <cfRule type="duplicateValues" priority="98" dxfId="0"/>
  </conditionalFormatting>
  <conditionalFormatting sqref="C183">
    <cfRule type="duplicateValues" priority="99" dxfId="0"/>
  </conditionalFormatting>
  <conditionalFormatting sqref="C200">
    <cfRule type="duplicateValues" priority="100" dxfId="0"/>
  </conditionalFormatting>
  <conditionalFormatting sqref="C210">
    <cfRule type="duplicateValues" priority="104" dxfId="0"/>
  </conditionalFormatting>
  <conditionalFormatting sqref="C214">
    <cfRule type="duplicateValues" priority="107" dxfId="0"/>
  </conditionalFormatting>
  <conditionalFormatting sqref="C215">
    <cfRule type="duplicateValues" priority="105" dxfId="0"/>
  </conditionalFormatting>
  <conditionalFormatting sqref="C216">
    <cfRule type="duplicateValues" priority="106" dxfId="0"/>
  </conditionalFormatting>
  <conditionalFormatting sqref="D23:D30 D225:D226">
    <cfRule type="expression" priority="26" dxfId="35" stopIfTrue="1">
      <formula>OR($A23="audio", $A23="video")</formula>
    </cfRule>
    <cfRule type="expression" priority="27" dxfId="34" stopIfTrue="1">
      <formula>$A23="image"</formula>
    </cfRule>
    <cfRule type="expression" priority="25" dxfId="33" stopIfTrue="1">
      <formula>OR($A23="audio", $A23="video")</formula>
    </cfRule>
    <cfRule type="expression" priority="53" dxfId="11" stopIfTrue="1">
      <formula>$A23="begin group"</formula>
    </cfRule>
    <cfRule type="expression" priority="38" dxfId="31" stopIfTrue="1">
      <formula>OR($A23="audio audit", $A23="text audit")</formula>
    </cfRule>
    <cfRule type="expression" priority="37" dxfId="30" stopIfTrue="1">
      <formula>$A23="geopoint"</formula>
    </cfRule>
    <cfRule type="expression" priority="44" dxfId="29" stopIfTrue="1">
      <formula>$A23="integer"</formula>
    </cfRule>
    <cfRule type="expression" priority="39" dxfId="28" stopIfTrue="1">
      <formula>OR($A23="username", $A23="phonenumber", $A23="start", $A23="end", $A23="deviceid", $A23="subscriberid", $A23="simserial")</formula>
    </cfRule>
    <cfRule type="expression" priority="40" dxfId="27" stopIfTrue="1">
      <formula>OR(AND(LEFT($A23, 16)="select_multiple ", LEN($A23)&gt;16, NOT(ISNUMBER(SEARCH(" ", $A23, 17)))), AND(LEFT($A23, 11)="select_one ", LEN($A23)&gt;11, NOT(ISNUMBER(SEARCH(" ", $A23, 12)))))</formula>
    </cfRule>
    <cfRule type="expression" priority="41" dxfId="26" stopIfTrue="1">
      <formula>OR(AND(LEFT($A23, 16)="select_multiple ", LEN($A23)&gt;16, NOT(ISNUMBER(SEARCH(" ", $A23, 17)))), AND(LEFT($A23, 11)="select_one ", LEN($A23)&gt;11, NOT(ISNUMBER(SEARCH(" ", $A23, 12)))))</formula>
    </cfRule>
    <cfRule type="expression" priority="42" dxfId="25" stopIfTrue="1">
      <formula>$A23="decimal"</formula>
    </cfRule>
    <cfRule type="expression" priority="43" dxfId="24" stopIfTrue="1">
      <formula>$A23="decimal"</formula>
    </cfRule>
    <cfRule type="expression" priority="45" dxfId="23" stopIfTrue="1">
      <formula>$A23="integer"</formula>
    </cfRule>
    <cfRule type="expression" priority="46" dxfId="22" stopIfTrue="1">
      <formula>$A23="text"</formula>
    </cfRule>
    <cfRule type="expression" priority="52" dxfId="21" stopIfTrue="1">
      <formula>$A23="begin group"</formula>
    </cfRule>
    <cfRule type="expression" priority="33" dxfId="20" stopIfTrue="1">
      <formula>$A23="note"</formula>
    </cfRule>
    <cfRule type="expression" priority="36" dxfId="19" stopIfTrue="1">
      <formula>$A23="geopoint"</formula>
    </cfRule>
    <cfRule type="expression" priority="47" dxfId="18" stopIfTrue="1">
      <formula>$A23="text"</formula>
    </cfRule>
    <cfRule type="expression" priority="48" dxfId="13" stopIfTrue="1">
      <formula>$A23="end repeat"</formula>
    </cfRule>
    <cfRule type="expression" priority="35" dxfId="16" stopIfTrue="1">
      <formula>$A23="barcode"</formula>
    </cfRule>
    <cfRule type="expression" priority="49" dxfId="15" stopIfTrue="1">
      <formula>$A23="begin repeat"</formula>
    </cfRule>
    <cfRule type="expression" priority="34" dxfId="14" stopIfTrue="1">
      <formula>$A23="barcode"</formula>
    </cfRule>
    <cfRule type="expression" priority="50" dxfId="13" stopIfTrue="1">
      <formula>$A23="begin repeat"</formula>
    </cfRule>
    <cfRule type="expression" priority="32" dxfId="12" stopIfTrue="1">
      <formula>$A23="note"</formula>
    </cfRule>
    <cfRule type="expression" priority="51" dxfId="11" stopIfTrue="1">
      <formula>$A23="end group"</formula>
    </cfRule>
    <cfRule type="expression" priority="31" dxfId="10" stopIfTrue="1">
      <formula>OR($A23="calculate", $A23="calculate_here")</formula>
    </cfRule>
    <cfRule type="expression" priority="30" dxfId="9" stopIfTrue="1">
      <formula>OR($A23="date", $A23="datetime")</formula>
    </cfRule>
    <cfRule type="expression" priority="29" dxfId="8" stopIfTrue="1">
      <formula>OR($A23="date", $A23="datetime")</formula>
    </cfRule>
    <cfRule type="expression" priority="28" dxfId="7" stopIfTrue="1">
      <formula>$A23="image"</formula>
    </cfRule>
  </conditionalFormatting>
  <conditionalFormatting sqref="D63">
    <cfRule type="cellIs" priority="78" operator="notEqual" dxfId="0">
      <formula>$D$63</formula>
    </cfRule>
  </conditionalFormatting>
  <conditionalFormatting sqref="P78">
    <cfRule type="duplicateValues" priority="4" dxfId="0"/>
  </conditionalFormatting>
  <conditionalFormatting sqref="P110">
    <cfRule type="duplicateValues" priority="6" dxfId="0"/>
  </conditionalFormatting>
  <conditionalFormatting sqref="P111">
    <cfRule type="duplicateValues" priority="1" dxfId="0"/>
  </conditionalFormatting>
  <conditionalFormatting sqref="P135">
    <cfRule type="duplicateValues" priority="5" dxfId="0"/>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D193"/>
  <sheetViews>
    <sheetView topLeftCell="A113" workbookViewId="0">
      <selection activeCell="A124" sqref="A124"/>
    </sheetView>
  </sheetViews>
  <sheetFormatPr baseColWidth="8" defaultColWidth="11.453125" defaultRowHeight="14.5"/>
  <sheetData>
    <row r="1">
      <c r="A1" t="inlineStr">
        <is>
          <t>question</t>
        </is>
      </c>
      <c r="B1" t="inlineStr">
        <is>
          <t>duration</t>
        </is>
      </c>
      <c r="C1" t="inlineStr">
        <is>
          <t>responded %</t>
        </is>
      </c>
      <c r="D1" t="inlineStr">
        <is>
          <t>weighted time</t>
        </is>
      </c>
    </row>
    <row r="2">
      <c r="A2" t="inlineStr">
        <is>
          <t>introduction</t>
        </is>
      </c>
      <c r="B2" s="20" t="n">
        <v>50.82254028320312</v>
      </c>
      <c r="C2" s="21" t="n">
        <v>1</v>
      </c>
      <c r="D2" s="20" t="n">
        <v>50.82254028320312</v>
      </c>
    </row>
    <row r="3">
      <c r="A3" t="inlineStr">
        <is>
          <t>agree</t>
        </is>
      </c>
      <c r="B3" s="20" t="n">
        <v>3.496473789215088</v>
      </c>
      <c r="C3" s="21" t="n">
        <v>0.7969874100719424</v>
      </c>
      <c r="D3" s="20" t="n">
        <v>2.786645589650964</v>
      </c>
    </row>
    <row r="4">
      <c r="A4" t="inlineStr">
        <is>
          <t>resp_age</t>
        </is>
      </c>
      <c r="B4" s="20" t="n">
        <v>13.75307273864746</v>
      </c>
      <c r="C4" s="21" t="n">
        <v>1</v>
      </c>
      <c r="D4" s="20" t="n">
        <v>13.75307273864746</v>
      </c>
    </row>
    <row r="5">
      <c r="A5" t="inlineStr">
        <is>
          <t>resp_gender</t>
        </is>
      </c>
      <c r="B5" s="20" t="n">
        <v>2.117356061935425</v>
      </c>
      <c r="C5" s="21" t="n">
        <v>1</v>
      </c>
      <c r="D5" s="20" t="n">
        <v>2.117356061935425</v>
      </c>
    </row>
    <row r="6">
      <c r="A6" t="inlineStr">
        <is>
          <t>quotareached</t>
        </is>
      </c>
      <c r="B6" s="20" t="n">
        <v>2.284250020980835</v>
      </c>
      <c r="C6" s="21" t="n">
        <v>0.7969874100719424</v>
      </c>
      <c r="D6" s="20" t="n">
        <v>1.820518508178296</v>
      </c>
    </row>
    <row r="7">
      <c r="A7" t="inlineStr">
        <is>
          <t>hh_agricactivity</t>
        </is>
      </c>
      <c r="B7" s="20" t="n">
        <v>31.37237739562988</v>
      </c>
      <c r="C7" s="21" t="n">
        <v>1</v>
      </c>
      <c r="D7" s="20" t="n">
        <v>31.37237739562988</v>
      </c>
    </row>
    <row r="8">
      <c r="A8" t="inlineStr">
        <is>
          <t>hh_milieu</t>
        </is>
      </c>
      <c r="B8" s="20" t="n">
        <v>7.922545433044434</v>
      </c>
      <c r="C8" s="21" t="n">
        <v>0.1519034772182254</v>
      </c>
      <c r="D8" s="20" t="n">
        <v>1.203462199698821</v>
      </c>
    </row>
    <row r="9">
      <c r="A9" t="inlineStr">
        <is>
          <t>hh_gender</t>
        </is>
      </c>
      <c r="B9" s="20" t="n">
        <v>10.08573150634766</v>
      </c>
      <c r="C9" s="21" t="n">
        <v>1</v>
      </c>
      <c r="D9" s="20" t="n">
        <v>10.08573150634766</v>
      </c>
    </row>
    <row r="10">
      <c r="A10" t="inlineStr">
        <is>
          <t>hh_education</t>
        </is>
      </c>
      <c r="B10" s="20" t="n">
        <v>12.89403438568115</v>
      </c>
      <c r="C10" s="21" t="n">
        <v>1</v>
      </c>
      <c r="D10" s="20" t="n">
        <v>12.89403438568115</v>
      </c>
    </row>
    <row r="11">
      <c r="A11" t="inlineStr">
        <is>
          <t>hh_wealth_water</t>
        </is>
      </c>
      <c r="B11" s="20" t="n">
        <v>15.26582908630371</v>
      </c>
      <c r="C11" s="21" t="n">
        <v>0.6379646282973621</v>
      </c>
      <c r="D11" s="20" t="n">
        <v>9.739058978694805</v>
      </c>
    </row>
    <row r="12">
      <c r="A12" t="inlineStr">
        <is>
          <t>hh_wealth_toilet</t>
        </is>
      </c>
      <c r="B12" s="20" t="n">
        <v>15.12371826171875</v>
      </c>
      <c r="C12" s="21" t="n">
        <v>0.5918015587529976</v>
      </c>
      <c r="D12" s="20" t="n">
        <v>8.950240041426332</v>
      </c>
    </row>
    <row r="13">
      <c r="A13" t="inlineStr">
        <is>
          <t>hh_wealthwall</t>
        </is>
      </c>
      <c r="B13" s="20" t="n">
        <v>12.8214111328125</v>
      </c>
      <c r="C13" s="21" t="n">
        <v>0.1519034772182254</v>
      </c>
      <c r="D13" s="20" t="n">
        <v>1.947616933918685</v>
      </c>
    </row>
    <row r="14">
      <c r="A14" t="inlineStr">
        <is>
          <t>hh_size</t>
        </is>
      </c>
      <c r="B14" s="20" t="n">
        <v>15.21184825897217</v>
      </c>
      <c r="C14" s="21" t="n">
        <v>0.5161121103117506</v>
      </c>
      <c r="D14" s="20" t="n">
        <v>7.851019106680256</v>
      </c>
    </row>
    <row r="15">
      <c r="A15" t="inlineStr">
        <is>
          <t>hh_reprwomen</t>
        </is>
      </c>
      <c r="B15" s="20" t="n">
        <v>19.31031036376953</v>
      </c>
      <c r="C15" s="21" t="n">
        <v>0.1519034772182254</v>
      </c>
      <c r="D15" s="20" t="n">
        <v>2.933303290419727</v>
      </c>
    </row>
    <row r="16">
      <c r="A16" t="inlineStr">
        <is>
          <t>income_main</t>
        </is>
      </c>
      <c r="B16" s="20" t="n">
        <v>36.92873382568359</v>
      </c>
      <c r="C16" s="21" t="n">
        <v>1</v>
      </c>
      <c r="D16" s="20" t="n">
        <v>36.92873382568359</v>
      </c>
    </row>
    <row r="17">
      <c r="A17" t="inlineStr">
        <is>
          <t>income_main_amount</t>
        </is>
      </c>
      <c r="B17" s="20" t="n">
        <v>40.04731750488281</v>
      </c>
      <c r="C17" s="21" t="n">
        <v>0.7554706235011991</v>
      </c>
      <c r="D17" s="20" t="n">
        <v>30.2545719249643</v>
      </c>
    </row>
    <row r="18">
      <c r="A18" t="inlineStr">
        <is>
          <t>income_main_amount_conf</t>
        </is>
      </c>
      <c r="B18" s="20" t="n">
        <v>3.687011003494263</v>
      </c>
      <c r="C18" s="21" t="n">
        <v>0.04788669064748202</v>
      </c>
      <c r="D18" s="20" t="n">
        <v>0.176558755338192</v>
      </c>
    </row>
    <row r="19">
      <c r="A19" t="inlineStr">
        <is>
          <t>income_main_comp</t>
        </is>
      </c>
      <c r="B19" s="20" t="n">
        <v>27.24216651916504</v>
      </c>
      <c r="C19" s="21" t="n">
        <v>0.9447691846522782</v>
      </c>
      <c r="D19" s="20" t="n">
        <v>25.73755945047315</v>
      </c>
    </row>
    <row r="20">
      <c r="A20" t="inlineStr">
        <is>
          <t>income_sec</t>
        </is>
      </c>
      <c r="B20" s="20" t="n">
        <v>25.30800437927246</v>
      </c>
      <c r="C20" s="21" t="n">
        <v>0.9447691846522782</v>
      </c>
      <c r="D20" s="20" t="n">
        <v>23.91022266258153</v>
      </c>
    </row>
    <row r="21">
      <c r="A21" t="inlineStr">
        <is>
          <t>income_sec_amount</t>
        </is>
      </c>
      <c r="B21" s="20" t="n">
        <v>30.82847023010254</v>
      </c>
      <c r="C21" s="21" t="n">
        <v>0.3390287769784173</v>
      </c>
      <c r="D21" s="20" t="n">
        <v>10.45173855822721</v>
      </c>
    </row>
    <row r="22">
      <c r="A22" t="inlineStr">
        <is>
          <t>income_sec_amount_conf</t>
        </is>
      </c>
      <c r="B22" s="20" t="n">
        <v>2.29411768913269</v>
      </c>
      <c r="C22" s="21" t="n">
        <v>0.0114658273381295</v>
      </c>
      <c r="D22" s="20" t="n">
        <v>0.02630395731694407</v>
      </c>
    </row>
    <row r="23">
      <c r="A23" t="inlineStr">
        <is>
          <t>income_sec_comp</t>
        </is>
      </c>
      <c r="B23" s="20" t="n">
        <v>21.19325637817383</v>
      </c>
      <c r="C23" s="21" t="n">
        <v>0.431205035971223</v>
      </c>
      <c r="D23" s="20" t="n">
        <v>9.138638878897797</v>
      </c>
    </row>
    <row r="24">
      <c r="A24" t="inlineStr">
        <is>
          <t>income_third</t>
        </is>
      </c>
      <c r="B24" s="20" t="n">
        <v>20.22992706298828</v>
      </c>
      <c r="C24" s="21" t="n">
        <v>0.431205035971223</v>
      </c>
      <c r="D24" s="20" t="n">
        <v>8.72324642689108</v>
      </c>
    </row>
    <row r="25">
      <c r="A25" t="inlineStr">
        <is>
          <t>income_third_amount</t>
        </is>
      </c>
      <c r="B25" s="20" t="n">
        <v>29.42983245849609</v>
      </c>
      <c r="C25" s="21" t="n">
        <v>0.07636390887290168</v>
      </c>
      <c r="D25" s="20" t="n">
        <v>2.24737704400536</v>
      </c>
    </row>
    <row r="26">
      <c r="A26" t="inlineStr">
        <is>
          <t>income_third_amount_conf</t>
        </is>
      </c>
      <c r="B26" s="20" t="n">
        <v>1.555555582046509</v>
      </c>
      <c r="C26" s="21" t="n">
        <v>0.002023381294964029</v>
      </c>
      <c r="D26" s="20" t="n">
        <v>0.003147482067989788</v>
      </c>
    </row>
    <row r="27">
      <c r="A27" t="inlineStr">
        <is>
          <t>income_third_comp</t>
        </is>
      </c>
      <c r="B27" s="20" t="n">
        <v>16.34839630126953</v>
      </c>
      <c r="C27" s="21" t="n">
        <v>0.1144334532374101</v>
      </c>
      <c r="D27" s="20" t="n">
        <v>1.870803443647975</v>
      </c>
    </row>
    <row r="28">
      <c r="A28" t="inlineStr">
        <is>
          <t>covid_policy</t>
        </is>
      </c>
      <c r="B28" s="20" t="n">
        <v>39.025390625</v>
      </c>
      <c r="C28" s="21" t="n">
        <v>0.7969124700239808</v>
      </c>
      <c r="D28" s="20" t="n">
        <v>31.09982043661945</v>
      </c>
    </row>
    <row r="29">
      <c r="A29" t="inlineStr">
        <is>
          <t>wagecompar</t>
        </is>
      </c>
      <c r="B29" s="20" t="n">
        <v>10.04008483886719</v>
      </c>
      <c r="C29" s="21" t="n">
        <v>0.03552158273381295</v>
      </c>
      <c r="D29" s="20" t="n">
        <v>0.3566397042583219</v>
      </c>
    </row>
    <row r="30">
      <c r="A30" t="inlineStr">
        <is>
          <t>hh_explanation</t>
        </is>
      </c>
      <c r="B30" s="20" t="n">
        <v>26.11878204345703</v>
      </c>
      <c r="C30" s="21" t="n">
        <v>0.3570893285371702</v>
      </c>
      <c r="D30" s="20" t="n">
        <v>9.32673834210677</v>
      </c>
    </row>
    <row r="31">
      <c r="A31" t="inlineStr">
        <is>
          <t>crp_main</t>
        </is>
      </c>
      <c r="B31" s="20" t="n">
        <v>27.05755233764648</v>
      </c>
      <c r="C31" s="21" t="n">
        <v>0.5065197841726619</v>
      </c>
      <c r="D31" s="20" t="n">
        <v>13.7051855703052</v>
      </c>
    </row>
    <row r="32">
      <c r="A32" t="inlineStr">
        <is>
          <t>crp_landsize</t>
        </is>
      </c>
      <c r="B32" s="20" t="n">
        <v>15.98350524902344</v>
      </c>
      <c r="C32" s="21" t="n">
        <v>0.3770983213429256</v>
      </c>
      <c r="D32" s="20" t="n">
        <v>6.027352998582579</v>
      </c>
    </row>
    <row r="33">
      <c r="A33" t="inlineStr">
        <is>
          <t>crp_landsmall</t>
        </is>
      </c>
      <c r="B33" s="20" t="n">
        <v>3.411157131195068</v>
      </c>
      <c r="C33" s="21" t="n">
        <v>0.03627098321342925</v>
      </c>
      <c r="D33" s="20" t="n">
        <v>0.1237260230439458</v>
      </c>
    </row>
    <row r="34">
      <c r="A34" t="inlineStr">
        <is>
          <t>crp_landmedium</t>
        </is>
      </c>
      <c r="B34" s="20" t="n">
        <v>5.63265323638916</v>
      </c>
      <c r="C34" s="21" t="n">
        <v>0.003672062350119904</v>
      </c>
      <c r="D34" s="20" t="n">
        <v>0.02068345388062566</v>
      </c>
    </row>
    <row r="35">
      <c r="A35" t="inlineStr">
        <is>
          <t>crp_irrigation</t>
        </is>
      </c>
      <c r="B35" s="20" t="n">
        <v>15.95429515838623</v>
      </c>
      <c r="C35" s="21" t="n">
        <v>0.2590677458033573</v>
      </c>
      <c r="D35" s="20" t="n">
        <v>4.133243282564539</v>
      </c>
    </row>
    <row r="36">
      <c r="A36" t="inlineStr">
        <is>
          <t>crp_seed_supply</t>
        </is>
      </c>
      <c r="B36" s="20" t="n">
        <v>17.92890930175781</v>
      </c>
      <c r="C36" s="21" t="n">
        <v>0.1423111510791367</v>
      </c>
      <c r="D36" s="20" t="n">
        <v>2.551483720326595</v>
      </c>
    </row>
    <row r="37">
      <c r="A37" t="inlineStr">
        <is>
          <t>crp_area_change</t>
        </is>
      </c>
      <c r="B37" s="20" t="n">
        <v>25.43687438964844</v>
      </c>
      <c r="C37" s="21" t="n">
        <v>0.4938549160671463</v>
      </c>
      <c r="D37" s="20" t="n">
        <v>12.56212546671037</v>
      </c>
    </row>
    <row r="38">
      <c r="A38" t="inlineStr">
        <is>
          <t>crp_harv_change</t>
        </is>
      </c>
      <c r="B38" s="20" t="n">
        <v>19.36494636535645</v>
      </c>
      <c r="C38" s="21" t="n">
        <v>0.4938549160671463</v>
      </c>
      <c r="D38" s="20" t="n">
        <v>9.563473961907896</v>
      </c>
    </row>
    <row r="39">
      <c r="A39" t="inlineStr">
        <is>
          <t>crp_proddif_1</t>
        </is>
      </c>
      <c r="B39" s="20" t="n">
        <v>13.45886421203613</v>
      </c>
      <c r="C39" s="21" t="n">
        <v>0.3880395683453237</v>
      </c>
      <c r="D39" s="20" t="n">
        <v>5.222571859256826</v>
      </c>
    </row>
    <row r="40">
      <c r="A40" t="inlineStr">
        <is>
          <t>crp_proddif_2</t>
        </is>
      </c>
      <c r="B40" s="20" t="n">
        <v>37.52328872680664</v>
      </c>
      <c r="C40" s="21" t="n">
        <v>0.3073291366906475</v>
      </c>
      <c r="D40" s="20" t="n">
        <v>11.53199993020339</v>
      </c>
    </row>
    <row r="41">
      <c r="A41" t="inlineStr">
        <is>
          <t>crp_salesdif_1</t>
        </is>
      </c>
      <c r="B41" s="20" t="n">
        <v>12.68148708343506</v>
      </c>
      <c r="C41" s="21" t="n">
        <v>0.2983363309352518</v>
      </c>
      <c r="D41" s="20" t="n">
        <v>3.783348327274803</v>
      </c>
    </row>
    <row r="42">
      <c r="A42" t="inlineStr">
        <is>
          <t>crp_salesdif_2</t>
        </is>
      </c>
      <c r="B42" s="20" t="n">
        <v>22.61360931396484</v>
      </c>
      <c r="C42" s="21" t="n">
        <v>0.1233513189448441</v>
      </c>
      <c r="D42" s="20" t="n">
        <v>2.789418534980975</v>
      </c>
    </row>
    <row r="43">
      <c r="A43" t="inlineStr">
        <is>
          <t>crp_salesprice</t>
        </is>
      </c>
      <c r="B43" s="20" t="n">
        <v>21.70190811157227</v>
      </c>
      <c r="C43" s="21" t="n">
        <v>0.3848920863309352</v>
      </c>
      <c r="D43" s="20" t="n">
        <v>8.352892690425296</v>
      </c>
    </row>
    <row r="44">
      <c r="A44" t="inlineStr">
        <is>
          <t>mrk_inno</t>
        </is>
      </c>
      <c r="B44" s="20" t="n">
        <v>12.12575531005859</v>
      </c>
      <c r="C44" s="21" t="n">
        <v>0.06197541966426859</v>
      </c>
      <c r="D44" s="20" t="n">
        <v>0.7514987740871146</v>
      </c>
    </row>
    <row r="45">
      <c r="A45" t="inlineStr">
        <is>
          <t>crp_proc</t>
        </is>
      </c>
      <c r="B45" s="20" t="n">
        <v>13.56026268005371</v>
      </c>
      <c r="C45" s="21" t="n">
        <v>0.1486061151079137</v>
      </c>
      <c r="D45" s="20" t="n">
        <v>2.015137956725607</v>
      </c>
    </row>
    <row r="46">
      <c r="A46" t="inlineStr">
        <is>
          <t>crp_proc_mach</t>
        </is>
      </c>
      <c r="B46" s="20" t="n">
        <v>14.0656566619873</v>
      </c>
      <c r="C46" s="21" t="n">
        <v>0.01483812949640288</v>
      </c>
      <c r="D46" s="20" t="n">
        <v>0.2087080350025095</v>
      </c>
    </row>
    <row r="47">
      <c r="A47" t="inlineStr">
        <is>
          <t>crp_proc_owner</t>
        </is>
      </c>
      <c r="B47" s="20" t="n">
        <v>11.01092910766602</v>
      </c>
      <c r="C47" s="21" t="n">
        <v>0.01371402877697842</v>
      </c>
      <c r="D47" s="20" t="n">
        <v>0.151004198643801</v>
      </c>
    </row>
    <row r="48">
      <c r="A48" t="inlineStr">
        <is>
          <t>crp_proc_state</t>
        </is>
      </c>
      <c r="B48" s="20" t="n">
        <v>4.896174907684326</v>
      </c>
      <c r="C48" s="21" t="n">
        <v>0.01371402877697842</v>
      </c>
      <c r="D48" s="20" t="n">
        <v>0.06714628358110249</v>
      </c>
    </row>
    <row r="49">
      <c r="A49" t="inlineStr">
        <is>
          <t>ls_main</t>
        </is>
      </c>
      <c r="B49" s="20" t="n">
        <v>20.2944221496582</v>
      </c>
      <c r="C49" s="21" t="n">
        <v>0.4057254196642686</v>
      </c>
      <c r="D49" s="20" t="n">
        <v>8.233962943513902</v>
      </c>
    </row>
    <row r="50">
      <c r="A50" t="inlineStr">
        <is>
          <t>ls_num_lastyr</t>
        </is>
      </c>
      <c r="B50" s="20" t="n">
        <v>18.53907775878906</v>
      </c>
      <c r="C50" s="21" t="n">
        <v>0.4027278177458034</v>
      </c>
      <c r="D50" s="20" t="n">
        <v>7.466202328816878</v>
      </c>
    </row>
    <row r="51">
      <c r="A51" t="inlineStr">
        <is>
          <t>ls_num_now</t>
        </is>
      </c>
      <c r="B51" s="20" t="n">
        <v>8.915891647338867</v>
      </c>
      <c r="C51" s="21" t="n">
        <v>0.4027278177458034</v>
      </c>
      <c r="D51" s="20" t="n">
        <v>3.590677586390818</v>
      </c>
    </row>
    <row r="52">
      <c r="A52" t="inlineStr">
        <is>
          <t>ls_num_change</t>
        </is>
      </c>
      <c r="B52" s="20" t="n">
        <v>25.81001091003418</v>
      </c>
      <c r="C52" s="21" t="n">
        <v>0.4027278177458034</v>
      </c>
      <c r="D52" s="20" t="n">
        <v>10.39440936979344</v>
      </c>
    </row>
    <row r="53">
      <c r="A53" t="inlineStr">
        <is>
          <t>ls_food_supply</t>
        </is>
      </c>
      <c r="B53" s="20" t="n">
        <v>19.55319786071777</v>
      </c>
      <c r="C53" s="21" t="n">
        <v>0.293015587529976</v>
      </c>
      <c r="D53" s="20" t="n">
        <v>5.729391759248089</v>
      </c>
    </row>
    <row r="54">
      <c r="A54" t="inlineStr">
        <is>
          <t>ls_proddif_1</t>
        </is>
      </c>
      <c r="B54" s="20" t="n">
        <v>13.61331653594971</v>
      </c>
      <c r="C54" s="21" t="n">
        <v>0.3038818944844125</v>
      </c>
      <c r="D54" s="20" t="n">
        <v>4.136840419160377</v>
      </c>
    </row>
    <row r="55">
      <c r="A55" t="inlineStr">
        <is>
          <t>ls_proddif_2</t>
        </is>
      </c>
      <c r="B55" s="20" t="n">
        <v>27.75464820861816</v>
      </c>
      <c r="C55" s="21" t="n">
        <v>0.205560551558753</v>
      </c>
      <c r="D55" s="20" t="n">
        <v>5.705260794082705</v>
      </c>
    </row>
    <row r="56">
      <c r="A56" t="inlineStr">
        <is>
          <t>ls_salesmain</t>
        </is>
      </c>
      <c r="B56" s="20" t="n">
        <v>13.99939060211182</v>
      </c>
      <c r="C56" s="21" t="n">
        <v>0.2460281774580336</v>
      </c>
      <c r="D56" s="20" t="n">
        <v>3.444244555360693</v>
      </c>
    </row>
    <row r="57">
      <c r="A57" t="inlineStr">
        <is>
          <t>ls_salesdif_1</t>
        </is>
      </c>
      <c r="B57" s="20" t="n">
        <v>10.25279426574707</v>
      </c>
      <c r="C57" s="21" t="n">
        <v>0.174310551558753</v>
      </c>
      <c r="D57" s="20" t="n">
        <v>1.787170223480792</v>
      </c>
    </row>
    <row r="58">
      <c r="A58" t="inlineStr">
        <is>
          <t>ls_salesdif_2</t>
        </is>
      </c>
      <c r="B58" s="20" t="n">
        <v>24.19434356689453</v>
      </c>
      <c r="C58" s="21" t="n">
        <v>0.1033423261390887</v>
      </c>
      <c r="D58" s="20" t="n">
        <v>2.500299743611178</v>
      </c>
    </row>
    <row r="59">
      <c r="A59" t="inlineStr">
        <is>
          <t>ls_salesprice</t>
        </is>
      </c>
      <c r="B59" s="20" t="n">
        <v>19.32173728942871</v>
      </c>
      <c r="C59" s="21" t="n">
        <v>0.234787170263789</v>
      </c>
      <c r="D59" s="20" t="n">
        <v>4.5364960227653</v>
      </c>
    </row>
    <row r="60">
      <c r="A60" t="inlineStr">
        <is>
          <t>ls_proc_1</t>
        </is>
      </c>
      <c r="B60" s="20" t="n">
        <v>6.094890594482422</v>
      </c>
      <c r="C60" s="21" t="n">
        <v>0.01026678657074341</v>
      </c>
      <c r="D60" s="20" t="n">
        <v>0.06257494090558242</v>
      </c>
    </row>
    <row r="61">
      <c r="A61" t="inlineStr">
        <is>
          <t>ls_proc_2</t>
        </is>
      </c>
      <c r="B61" s="20" t="n">
        <v>17.53424644470215</v>
      </c>
      <c r="C61" s="21" t="n">
        <v>0.01641187050359712</v>
      </c>
      <c r="D61" s="20" t="n">
        <v>0.2877697820286099</v>
      </c>
    </row>
    <row r="62">
      <c r="A62" t="inlineStr">
        <is>
          <t>ls_proc_fac</t>
        </is>
      </c>
      <c r="B62" s="20" t="n">
        <v>31.45833396911621</v>
      </c>
      <c r="C62" s="21" t="n">
        <v>0.001798561151079137</v>
      </c>
      <c r="D62" s="20" t="n">
        <v>0.05657973735452556</v>
      </c>
    </row>
    <row r="63">
      <c r="A63" t="inlineStr">
        <is>
          <t>ls_proc_fac_statedairyprocess</t>
        </is>
      </c>
      <c r="B63" s="20" t="n">
        <v>2.5</v>
      </c>
      <c r="C63" s="21" t="n">
        <v>0.0001498800959232614</v>
      </c>
      <c r="D63" s="20" t="n">
        <v>0.0003747002398081534</v>
      </c>
    </row>
    <row r="64">
      <c r="A64" t="inlineStr">
        <is>
          <t>ls_proc_fac_statecoldtranspor</t>
        </is>
      </c>
      <c r="B64" s="20" t="n">
        <v>5.75</v>
      </c>
      <c r="C64" s="21" t="n">
        <v>0.0002997601918465228</v>
      </c>
      <c r="D64" s="20" t="n">
        <v>0.001723621103117506</v>
      </c>
    </row>
    <row r="65">
      <c r="A65" t="inlineStr">
        <is>
          <t>ls_proc_fac_statedontknow</t>
        </is>
      </c>
      <c r="B65" s="20" t="n">
        <v>4.5</v>
      </c>
      <c r="C65" s="21" t="n">
        <v>0.0001498800959232614</v>
      </c>
      <c r="D65" s="20" t="n">
        <v>0.0006744604316546762</v>
      </c>
    </row>
    <row r="66">
      <c r="A66" t="inlineStr">
        <is>
          <t>cg</t>
        </is>
      </c>
      <c r="B66" s="20" t="n">
        <v>3</v>
      </c>
      <c r="C66" s="21" t="n">
        <v>7.494004796163069e-05</v>
      </c>
      <c r="D66" s="20" t="n">
        <v>0.0002248201438848921</v>
      </c>
    </row>
    <row r="67">
      <c r="A67" t="inlineStr">
        <is>
          <t>ls_proc_fac_statepurchasepriv</t>
        </is>
      </c>
      <c r="B67" s="20" t="n">
        <v>2</v>
      </c>
      <c r="C67" s="21" t="n">
        <v>7.494004796163069e-05</v>
      </c>
      <c r="D67" s="20" t="n">
        <v>0.0001498800959232614</v>
      </c>
    </row>
    <row r="68">
      <c r="A68" t="inlineStr">
        <is>
          <t>fish_main</t>
        </is>
      </c>
      <c r="B68" s="20" t="n">
        <v>19.09011650085449</v>
      </c>
      <c r="C68" s="21" t="n">
        <v>0.02577937649880096</v>
      </c>
      <c r="D68" s="20" t="n">
        <v>0.4921313006815007</v>
      </c>
    </row>
    <row r="69">
      <c r="A69" t="inlineStr">
        <is>
          <t>fish_change</t>
        </is>
      </c>
      <c r="B69" s="20" t="n">
        <v>17.6569766998291</v>
      </c>
      <c r="C69" s="21" t="n">
        <v>0.02577937649880096</v>
      </c>
      <c r="D69" s="20" t="n">
        <v>0.4551858501754504</v>
      </c>
    </row>
    <row r="70">
      <c r="A70" t="inlineStr">
        <is>
          <t>fish_proddif_1</t>
        </is>
      </c>
      <c r="B70" s="20" t="n">
        <v>8.764705657958984</v>
      </c>
      <c r="C70" s="21" t="n">
        <v>0.02420563549160671</v>
      </c>
      <c r="D70" s="20" t="n">
        <v>0.2121552703477782</v>
      </c>
    </row>
    <row r="71">
      <c r="A71" t="inlineStr">
        <is>
          <t>fish_proddif_2</t>
        </is>
      </c>
      <c r="B71" s="20" t="n">
        <v>27.9538459777832</v>
      </c>
      <c r="C71" s="21" t="n">
        <v>0.009742206235011991</v>
      </c>
      <c r="D71" s="20" t="n">
        <v>0.2723321325773244</v>
      </c>
    </row>
    <row r="72">
      <c r="A72" t="inlineStr">
        <is>
          <t>fish_inputdif</t>
        </is>
      </c>
      <c r="B72" s="20" t="n">
        <v>21.25</v>
      </c>
      <c r="C72" s="21" t="n">
        <v>0.001798561151079137</v>
      </c>
      <c r="D72" s="20" t="n">
        <v>0.03821942446043166</v>
      </c>
    </row>
    <row r="73">
      <c r="A73" t="inlineStr">
        <is>
          <t>fish_salesmain</t>
        </is>
      </c>
      <c r="B73" s="20" t="n">
        <v>14.38495540618896</v>
      </c>
      <c r="C73" s="21" t="n">
        <v>0.03387290167865707</v>
      </c>
      <c r="D73" s="20" t="n">
        <v>0.4872601801257053</v>
      </c>
    </row>
    <row r="74">
      <c r="A74" t="inlineStr">
        <is>
          <t>fish_salesdif_1</t>
        </is>
      </c>
      <c r="B74" s="20" t="n">
        <v>9.438053131103516</v>
      </c>
      <c r="C74" s="21" t="n">
        <v>0.03387290167865707</v>
      </c>
      <c r="D74" s="20" t="n">
        <v>0.3196942457478109</v>
      </c>
    </row>
    <row r="75">
      <c r="A75" t="inlineStr">
        <is>
          <t>fish_salesdif</t>
        </is>
      </c>
      <c r="B75" s="20" t="n">
        <v>27.76699066162109</v>
      </c>
      <c r="C75" s="21" t="n">
        <v>0.007718824940047961</v>
      </c>
      <c r="D75" s="20" t="n">
        <v>0.2143285400289997</v>
      </c>
    </row>
    <row r="76">
      <c r="A76" t="inlineStr">
        <is>
          <t>fish_salesprice</t>
        </is>
      </c>
      <c r="B76" s="20" t="n">
        <v>13.7057523727417</v>
      </c>
      <c r="C76" s="21" t="n">
        <v>0.03387290167865707</v>
      </c>
      <c r="D76" s="20" t="n">
        <v>0.4642536025539005</v>
      </c>
    </row>
    <row r="77">
      <c r="A77" t="inlineStr">
        <is>
          <t>fies</t>
        </is>
      </c>
      <c r="B77" s="20" t="n">
        <v>12.77690315246582</v>
      </c>
      <c r="C77" s="21" t="n">
        <v>1</v>
      </c>
      <c r="D77" s="20" t="n">
        <v>12.77690315246582</v>
      </c>
    </row>
    <row r="78">
      <c r="A78" t="inlineStr">
        <is>
          <t>fies_worried</t>
        </is>
      </c>
      <c r="B78" s="20" t="n">
        <v>21.39860534667969</v>
      </c>
      <c r="C78" s="21" t="n">
        <v>1</v>
      </c>
      <c r="D78" s="20" t="n">
        <v>21.39860534667969</v>
      </c>
    </row>
    <row r="79">
      <c r="A79" t="inlineStr">
        <is>
          <t>fies_healthy</t>
        </is>
      </c>
      <c r="B79" s="20" t="n">
        <v>14.98074054718018</v>
      </c>
      <c r="C79" s="21" t="n">
        <v>1</v>
      </c>
      <c r="D79" s="20" t="n">
        <v>14.98074054718018</v>
      </c>
    </row>
    <row r="80">
      <c r="A80" t="inlineStr">
        <is>
          <t>fies_fewfoods</t>
        </is>
      </c>
      <c r="B80" s="20" t="n">
        <v>13.72302150726318</v>
      </c>
      <c r="C80" s="21" t="n">
        <v>1</v>
      </c>
      <c r="D80" s="20" t="n">
        <v>13.72302150726318</v>
      </c>
    </row>
    <row r="81">
      <c r="A81" t="inlineStr">
        <is>
          <t>fies_skipped</t>
        </is>
      </c>
      <c r="B81" s="20" t="n">
        <v>13.06220054626465</v>
      </c>
      <c r="C81" s="21" t="n">
        <v>1</v>
      </c>
      <c r="D81" s="20" t="n">
        <v>13.06220054626465</v>
      </c>
    </row>
    <row r="82">
      <c r="A82" t="inlineStr">
        <is>
          <t>fies_ateless</t>
        </is>
      </c>
      <c r="B82" s="20" t="n">
        <v>13.09532356262207</v>
      </c>
      <c r="C82" s="21" t="n">
        <v>1</v>
      </c>
      <c r="D82" s="20" t="n">
        <v>13.09532356262207</v>
      </c>
    </row>
    <row r="83">
      <c r="A83" t="inlineStr">
        <is>
          <t>fies_ranout</t>
        </is>
      </c>
      <c r="B83" s="20" t="n">
        <v>16.10101918465228</v>
      </c>
      <c r="C83" s="21" t="n">
        <v>1</v>
      </c>
      <c r="D83" s="20" t="n">
        <v>16.10101918465228</v>
      </c>
    </row>
    <row r="84">
      <c r="A84" t="inlineStr">
        <is>
          <t>fies_ranout_hhs</t>
        </is>
      </c>
      <c r="B84" s="20" t="n">
        <v>11.76504325866699</v>
      </c>
      <c r="C84" s="21" t="n">
        <v>0.3262889688249401</v>
      </c>
      <c r="D84" s="20" t="n">
        <v>3.838803833051266</v>
      </c>
    </row>
    <row r="85">
      <c r="A85" t="inlineStr">
        <is>
          <t>fies_hungry</t>
        </is>
      </c>
      <c r="B85" s="20" t="n">
        <v>12.43247890472412</v>
      </c>
      <c r="C85" s="21" t="n">
        <v>1</v>
      </c>
      <c r="D85" s="20" t="n">
        <v>12.43247890472412</v>
      </c>
    </row>
    <row r="86">
      <c r="A86" t="inlineStr">
        <is>
          <t>fies_hungry_hhs</t>
        </is>
      </c>
      <c r="B86" s="20" t="n">
        <v>8.980183601379395</v>
      </c>
      <c r="C86" s="21" t="n">
        <v>0.2533723021582734</v>
      </c>
      <c r="D86" s="20" t="n">
        <v>2.275329792885472</v>
      </c>
    </row>
    <row r="87">
      <c r="A87" t="inlineStr">
        <is>
          <t>fies_whlday</t>
        </is>
      </c>
      <c r="B87" s="20" t="n">
        <v>11.08932876586914</v>
      </c>
      <c r="C87" s="21" t="n">
        <v>1</v>
      </c>
      <c r="D87" s="20" t="n">
        <v>11.08932876586914</v>
      </c>
    </row>
    <row r="88">
      <c r="A88" t="inlineStr">
        <is>
          <t>fies_whlday_hhs</t>
        </is>
      </c>
      <c r="B88" s="20" t="n">
        <v>8.06833553314209</v>
      </c>
      <c r="C88" s="21" t="n">
        <v>0.143660071942446</v>
      </c>
      <c r="D88" s="20" t="n">
        <v>1.159097663146986</v>
      </c>
    </row>
    <row r="89">
      <c r="A89" t="inlineStr">
        <is>
          <t>copingstrategies</t>
        </is>
      </c>
      <c r="B89" s="20" t="n">
        <v>5.711253643035889</v>
      </c>
      <c r="C89" s="21" t="n">
        <v>0.8050809352517986</v>
      </c>
      <c r="D89" s="20" t="n">
        <v>4.598021424395575</v>
      </c>
    </row>
    <row r="90">
      <c r="A90" t="inlineStr">
        <is>
          <t>cs_stress_hh_assets</t>
        </is>
      </c>
      <c r="B90" s="20" t="n">
        <v>19.85153007507324</v>
      </c>
      <c r="C90" s="21" t="n">
        <v>0.3109262589928057</v>
      </c>
      <c r="D90" s="20" t="n">
        <v>6.172361981525695</v>
      </c>
    </row>
    <row r="91">
      <c r="A91" t="inlineStr">
        <is>
          <t>cs_stress_spent_savings</t>
        </is>
      </c>
      <c r="B91" s="20" t="n">
        <v>15.43667125701904</v>
      </c>
      <c r="C91" s="21" t="n">
        <v>0.7969874100719424</v>
      </c>
      <c r="D91" s="20" t="n">
        <v>12.3028326452636</v>
      </c>
    </row>
    <row r="92">
      <c r="A92" t="inlineStr">
        <is>
          <t>cs_stress_credit</t>
        </is>
      </c>
      <c r="B92" s="20" t="n">
        <v>12.4080867767334</v>
      </c>
      <c r="C92" s="21" t="n">
        <v>0.7969874100719424</v>
      </c>
      <c r="D92" s="20" t="n">
        <v>9.889088944136667</v>
      </c>
    </row>
    <row r="93">
      <c r="A93" t="inlineStr">
        <is>
          <t>cs_stress_borrowed_money</t>
        </is>
      </c>
      <c r="B93" s="20" t="n">
        <v>9.289467811584473</v>
      </c>
      <c r="C93" s="21" t="n">
        <v>0.3109262589928057</v>
      </c>
      <c r="D93" s="20" t="n">
        <v>2.888339474690046</v>
      </c>
    </row>
    <row r="94">
      <c r="A94" t="inlineStr">
        <is>
          <t>cs_crisis_sold_productive_asset</t>
        </is>
      </c>
      <c r="B94" s="20" t="n">
        <v>15.05952072143555</v>
      </c>
      <c r="C94" s="21" t="n">
        <v>0.7969874100719424</v>
      </c>
      <c r="D94" s="20" t="n">
        <v>12.00224841670167</v>
      </c>
    </row>
    <row r="95">
      <c r="A95" t="inlineStr">
        <is>
          <t>cs_crisis_reduced_health_exp</t>
        </is>
      </c>
      <c r="B95" s="20" t="n">
        <v>15.54398632049561</v>
      </c>
      <c r="C95" s="21" t="n">
        <v>0.3109262589928057</v>
      </c>
      <c r="D95" s="20" t="n">
        <v>4.833033516467046</v>
      </c>
    </row>
    <row r="96">
      <c r="A96" t="inlineStr">
        <is>
          <t>cs_crisis_consumed_seed_stocks</t>
        </is>
      </c>
      <c r="B96" s="20" t="n">
        <v>12.99618148803711</v>
      </c>
      <c r="C96" s="21" t="n">
        <v>0.7850719424460432</v>
      </c>
      <c r="D96" s="20" t="n">
        <v>10.2029374451946</v>
      </c>
    </row>
    <row r="97">
      <c r="A97" t="inlineStr">
        <is>
          <t>cs_emergency_sold_house</t>
        </is>
      </c>
      <c r="B97" s="20" t="n">
        <v>10.66811275482178</v>
      </c>
      <c r="C97" s="21" t="n">
        <v>0.3109262589928057</v>
      </c>
      <c r="D97" s="20" t="n">
        <v>3.31699638937017</v>
      </c>
    </row>
    <row r="98">
      <c r="A98" t="inlineStr">
        <is>
          <t>cs_emergency_begged</t>
        </is>
      </c>
      <c r="B98" s="20" t="n">
        <v>9.716710090637207</v>
      </c>
      <c r="C98" s="21" t="n">
        <v>0.4327787769784173</v>
      </c>
      <c r="D98" s="20" t="n">
        <v>4.205185909279816</v>
      </c>
    </row>
    <row r="99">
      <c r="A99" t="inlineStr">
        <is>
          <t>cs_emergency_illegal</t>
        </is>
      </c>
      <c r="B99" s="20" t="n">
        <v>10.95336532592773</v>
      </c>
      <c r="C99" s="21" t="n">
        <v>0.6379646282973621</v>
      </c>
      <c r="D99" s="20" t="n">
        <v>6.987859638760701</v>
      </c>
    </row>
    <row r="100">
      <c r="A100" t="inlineStr">
        <is>
          <t>cs_emergency_sold_last_female</t>
        </is>
      </c>
      <c r="B100" s="20" t="n">
        <v>10.11413192749023</v>
      </c>
      <c r="C100" s="21" t="n">
        <v>0.2370353717026379</v>
      </c>
      <c r="D100" s="20" t="n">
        <v>2.397407020882165</v>
      </c>
    </row>
    <row r="101">
      <c r="A101" t="inlineStr">
        <is>
          <t>cs_emergency_sold_till</t>
        </is>
      </c>
      <c r="B101" s="20" t="n">
        <v>3.657512187957764</v>
      </c>
      <c r="C101" s="21" t="n">
        <v>0.0463878896882494</v>
      </c>
      <c r="D101" s="20" t="n">
        <v>0.1696642719084125</v>
      </c>
    </row>
    <row r="102">
      <c r="A102" t="inlineStr">
        <is>
          <t>cs_emergency_hh_migration</t>
        </is>
      </c>
      <c r="B102" s="20" t="n">
        <v>10.86770534515381</v>
      </c>
      <c r="C102" s="21" t="n">
        <v>0.7936151079136691</v>
      </c>
      <c r="D102" s="20" t="n">
        <v>8.624775150268198</v>
      </c>
    </row>
    <row r="103">
      <c r="A103" t="inlineStr">
        <is>
          <t>food_exp</t>
        </is>
      </c>
      <c r="B103" s="20" t="n">
        <v>21.53330039978027</v>
      </c>
      <c r="C103" s="21" t="n">
        <v>0.1519034772182254</v>
      </c>
      <c r="D103" s="20" t="n">
        <v>3.270983206711227</v>
      </c>
    </row>
    <row r="104">
      <c r="A104" t="inlineStr">
        <is>
          <t>hdds</t>
        </is>
      </c>
      <c r="B104" s="20" t="n">
        <v>72.29513549804688</v>
      </c>
      <c r="C104" s="21" t="n">
        <v>0.8409772182254197</v>
      </c>
      <c r="D104" s="20" t="n">
        <v>60.79856194237725</v>
      </c>
    </row>
    <row r="105">
      <c r="A105" t="inlineStr">
        <is>
          <t>hdds_confirmation</t>
        </is>
      </c>
      <c r="B105" s="20" t="n">
        <v>3.705221891403198</v>
      </c>
      <c r="C105" s="21" t="n">
        <v>0.8409772182254197</v>
      </c>
      <c r="D105" s="20" t="n">
        <v>3.11600719914019</v>
      </c>
    </row>
    <row r="106">
      <c r="A106" t="inlineStr">
        <is>
          <t>mdds_w</t>
        </is>
      </c>
      <c r="B106" s="20" t="n">
        <v>2.702905893325806</v>
      </c>
      <c r="C106" s="21" t="n">
        <v>0.1495803357314149</v>
      </c>
      <c r="D106" s="20" t="n">
        <v>0.4043015709740939</v>
      </c>
    </row>
    <row r="107">
      <c r="A107" t="inlineStr">
        <is>
          <t>mdds_w1</t>
        </is>
      </c>
      <c r="B107" s="20" t="n">
        <v>18.14660263061523</v>
      </c>
      <c r="C107" s="21" t="n">
        <v>0.06287470023980815</v>
      </c>
      <c r="D107" s="20" t="n">
        <v>1.140962200770847</v>
      </c>
    </row>
    <row r="108">
      <c r="A108" t="inlineStr">
        <is>
          <t>mdds_w2</t>
        </is>
      </c>
      <c r="B108" s="20" t="n">
        <v>14.3241138458252</v>
      </c>
      <c r="C108" s="21" t="n">
        <v>0.08670563549160672</v>
      </c>
      <c r="D108" s="20" t="n">
        <v>1.241981393856396</v>
      </c>
    </row>
    <row r="109">
      <c r="A109" t="inlineStr">
        <is>
          <t>mdds_w3</t>
        </is>
      </c>
      <c r="B109" s="20" t="n">
        <v>7.969749450683594</v>
      </c>
      <c r="C109" s="21" t="n">
        <v>0.08670563549160672</v>
      </c>
      <c r="D109" s="20" t="n">
        <v>0.6910221908304045</v>
      </c>
    </row>
    <row r="110">
      <c r="A110" t="inlineStr">
        <is>
          <t>mdds_w4</t>
        </is>
      </c>
      <c r="B110" s="20" t="n">
        <v>7.60927152633667</v>
      </c>
      <c r="C110" s="21" t="n">
        <v>0.0339478417266187</v>
      </c>
      <c r="D110" s="20" t="n">
        <v>0.2583183454309436</v>
      </c>
    </row>
    <row r="111">
      <c r="A111" t="inlineStr">
        <is>
          <t>mdds_w5</t>
        </is>
      </c>
      <c r="B111" s="20" t="n">
        <v>7.341614723205566</v>
      </c>
      <c r="C111" s="21" t="n">
        <v>0.01206534772182254</v>
      </c>
      <c r="D111" s="20" t="n">
        <v>0.08857913447512711</v>
      </c>
    </row>
    <row r="112">
      <c r="A112" t="inlineStr">
        <is>
          <t>mdds_w6</t>
        </is>
      </c>
      <c r="B112" s="20" t="n">
        <v>7.516666889190674</v>
      </c>
      <c r="C112" s="21" t="n">
        <v>0.004496402877697842</v>
      </c>
      <c r="D112" s="20" t="n">
        <v>0.03379796263125303</v>
      </c>
    </row>
    <row r="113">
      <c r="A113" t="inlineStr">
        <is>
          <t>mdds_w7</t>
        </is>
      </c>
      <c r="B113" s="20" t="n">
        <v>8.307692527770996</v>
      </c>
      <c r="C113" s="21" t="n">
        <v>0.001948441247002398</v>
      </c>
      <c r="D113" s="20" t="n">
        <v>0.01618705078852262</v>
      </c>
    </row>
    <row r="114">
      <c r="A114" t="inlineStr">
        <is>
          <t>mdds_w8</t>
        </is>
      </c>
      <c r="B114" s="20" t="n">
        <v>7.769230842590332</v>
      </c>
      <c r="C114" s="21" t="n">
        <v>0.0009742206235011991</v>
      </c>
      <c r="D114" s="20" t="n">
        <v>0.0075689449155931</v>
      </c>
    </row>
    <row r="115">
      <c r="A115" t="inlineStr">
        <is>
          <t>mdds_w9</t>
        </is>
      </c>
      <c r="B115" s="20" t="n">
        <v>9.333333015441895</v>
      </c>
      <c r="C115" s="21" t="n">
        <v>0.0004496402877697842</v>
      </c>
      <c r="D115" s="20" t="n">
        <v>0.004196642542914521</v>
      </c>
    </row>
    <row r="116">
      <c r="A116" t="inlineStr">
        <is>
          <t>mdds_w10</t>
        </is>
      </c>
      <c r="B116" s="20" t="n">
        <v>6.199999809265137</v>
      </c>
      <c r="C116" s="21" t="n">
        <v>0.0003747002398081535</v>
      </c>
      <c r="D116" s="20" t="n">
        <v>0.002323141415342153</v>
      </c>
    </row>
    <row r="117">
      <c r="A117" t="inlineStr">
        <is>
          <t>mdds_w11</t>
        </is>
      </c>
      <c r="B117" s="20" t="n">
        <v>15.66666698455811</v>
      </c>
      <c r="C117" s="21" t="n">
        <v>0.0002248201438848921</v>
      </c>
      <c r="D117" s="20" t="n">
        <v>0.003522182325665042</v>
      </c>
    </row>
    <row r="118">
      <c r="A118" t="inlineStr">
        <is>
          <t>need_1</t>
        </is>
      </c>
      <c r="B118" s="20" t="n">
        <v>19.82824516296387</v>
      </c>
      <c r="C118" s="21" t="n">
        <v>0.6309202637889688</v>
      </c>
      <c r="D118" s="20" t="n">
        <v>12.51004166868951</v>
      </c>
    </row>
    <row r="119">
      <c r="A119" t="inlineStr">
        <is>
          <t>need_2</t>
        </is>
      </c>
      <c r="B119" s="20" t="n">
        <v>49.52969360351562</v>
      </c>
      <c r="C119" s="21" t="n">
        <v>0.6738609112709832</v>
      </c>
      <c r="D119" s="20" t="n">
        <v>33.37612446663763</v>
      </c>
    </row>
    <row r="120">
      <c r="A120" t="inlineStr">
        <is>
          <t>info_needs</t>
        </is>
      </c>
      <c r="B120" s="20" t="n">
        <v>10.34935474395752</v>
      </c>
      <c r="C120" s="21" t="n">
        <v>0.06392386091127099</v>
      </c>
      <c r="D120" s="20" t="n">
        <v>0.6615707131741431</v>
      </c>
    </row>
    <row r="121">
      <c r="A121" t="inlineStr">
        <is>
          <t>info_needstype</t>
        </is>
      </c>
      <c r="B121" s="20" t="n">
        <v>9.912161827087402</v>
      </c>
      <c r="C121" s="21" t="n">
        <v>0.02218225419664269</v>
      </c>
      <c r="D121" s="20" t="n">
        <v>0.219874093286711</v>
      </c>
    </row>
    <row r="122">
      <c r="A122" t="inlineStr">
        <is>
          <t>info_needsmedium</t>
        </is>
      </c>
      <c r="B122" s="20" t="n">
        <v>12.81756782531738</v>
      </c>
      <c r="C122" s="21" t="n">
        <v>0.02218225419664269</v>
      </c>
      <c r="D122" s="20" t="n">
        <v>0.2843225476838988</v>
      </c>
    </row>
    <row r="123">
      <c r="A123" t="inlineStr">
        <is>
          <t>need_received</t>
        </is>
      </c>
      <c r="B123" s="20" t="n">
        <v>22.02975082397461</v>
      </c>
      <c r="C123" s="21" t="n">
        <v>1</v>
      </c>
      <c r="D123" s="20" t="n">
        <v>22.02975082397461</v>
      </c>
    </row>
    <row r="124">
      <c r="A124" t="inlineStr">
        <is>
          <t>callback</t>
        </is>
      </c>
      <c r="B124" s="20" t="n">
        <v>36.78304672241211</v>
      </c>
      <c r="C124" s="21" t="n">
        <v>1</v>
      </c>
      <c r="D124" s="20" t="n">
        <v>36.78304672241211</v>
      </c>
    </row>
    <row r="125">
      <c r="A125" t="inlineStr">
        <is>
          <t>hh_wealth_light</t>
        </is>
      </c>
      <c r="B125" s="20" t="n">
        <v>13.76013851165771</v>
      </c>
      <c r="C125" s="21" t="n">
        <v>0.2808752997601918</v>
      </c>
      <c r="D125" s="20" t="n">
        <v>3.86488302920362</v>
      </c>
    </row>
    <row r="126">
      <c r="A126" t="inlineStr">
        <is>
          <t>cs_stress_sold_more_animals</t>
        </is>
      </c>
      <c r="B126" s="20" t="n">
        <v>13.39993858337402</v>
      </c>
      <c r="C126" s="21" t="n">
        <v>0.4860611510791367</v>
      </c>
      <c r="D126" s="20" t="n">
        <v>6.513189572224514</v>
      </c>
    </row>
    <row r="127">
      <c r="A127" t="inlineStr">
        <is>
          <t>cs_stress_eat_elsewhere</t>
        </is>
      </c>
      <c r="B127" s="20" t="n">
        <v>14.62593364715576</v>
      </c>
      <c r="C127" s="21" t="n">
        <v>0.2808752997601918</v>
      </c>
      <c r="D127" s="20" t="n">
        <v>4.10806349741755</v>
      </c>
    </row>
    <row r="128">
      <c r="A128" t="inlineStr">
        <is>
          <t>cs_crisis_decr_agric_input_exp</t>
        </is>
      </c>
      <c r="B128" s="20" t="n">
        <v>14.75238990783691</v>
      </c>
      <c r="C128" s="21" t="n">
        <v>0.4860611510791367</v>
      </c>
      <c r="D128" s="20" t="n">
        <v>7.17056361977145</v>
      </c>
    </row>
    <row r="129">
      <c r="A129" t="inlineStr">
        <is>
          <t>covid_assistance</t>
        </is>
      </c>
      <c r="B129" s="20" t="n">
        <v>14.0825023651123</v>
      </c>
      <c r="C129" s="21" t="n">
        <v>0.1653177458033573</v>
      </c>
      <c r="D129" s="20" t="n">
        <v>2.328087546270814</v>
      </c>
    </row>
    <row r="130">
      <c r="A130" t="inlineStr">
        <is>
          <t>what_covid_assistance</t>
        </is>
      </c>
      <c r="B130" s="20" t="n">
        <v>15.48122882843018</v>
      </c>
      <c r="C130" s="21" t="n">
        <v>0.02195743405275779</v>
      </c>
      <c r="D130" s="20" t="n">
        <v>0.3399280610559084</v>
      </c>
    </row>
    <row r="131">
      <c r="A131" t="inlineStr">
        <is>
          <t>resp_language</t>
        </is>
      </c>
      <c r="B131" s="20" t="n">
        <v>3.062232494354248</v>
      </c>
      <c r="C131" s="21" t="n">
        <v>0.6827787769784173</v>
      </c>
      <c r="D131" s="20" t="n">
        <v>2.090827357318762</v>
      </c>
    </row>
    <row r="132">
      <c r="A132" t="inlineStr">
        <is>
          <t>ruralurban</t>
        </is>
      </c>
      <c r="B132" s="20" t="n">
        <v>10.03063106536865</v>
      </c>
      <c r="C132" s="21" t="n">
        <v>0.1590227817745803</v>
      </c>
      <c r="D132" s="20" t="n">
        <v>1.595098854969446</v>
      </c>
    </row>
    <row r="133">
      <c r="A133" t="inlineStr">
        <is>
          <t>formal_informal</t>
        </is>
      </c>
      <c r="B133" s="20" t="n">
        <v>11.38066482543945</v>
      </c>
      <c r="C133" s="21" t="n">
        <v>0.02480515587529976</v>
      </c>
      <c r="D133" s="20" t="n">
        <v>0.2822991649595668</v>
      </c>
    </row>
    <row r="134">
      <c r="A134" t="inlineStr">
        <is>
          <t>hh_residencetype</t>
        </is>
      </c>
      <c r="B134" s="20" t="n">
        <v>30.64618873596191</v>
      </c>
      <c r="C134" s="21" t="n">
        <v>0.5672212230215827</v>
      </c>
      <c r="D134" s="20" t="n">
        <v>17.38316865576257</v>
      </c>
    </row>
    <row r="135">
      <c r="A135" t="inlineStr">
        <is>
          <t>hhsize04</t>
        </is>
      </c>
      <c r="B135" s="20" t="n">
        <v>10.11262989044189</v>
      </c>
      <c r="C135" s="21" t="n">
        <v>0.1590227817745803</v>
      </c>
      <c r="D135" s="20" t="n">
        <v>1.60813853623484</v>
      </c>
    </row>
    <row r="136">
      <c r="A136" t="inlineStr">
        <is>
          <t>hhdisability</t>
        </is>
      </c>
      <c r="B136" s="20" t="n">
        <v>13.9000940322876</v>
      </c>
      <c r="C136" s="21" t="n">
        <v>0.1590227817745803</v>
      </c>
      <c r="D136" s="20" t="n">
        <v>2.210431619942617</v>
      </c>
    </row>
    <row r="137">
      <c r="A137" t="inlineStr">
        <is>
          <t>hh_age</t>
        </is>
      </c>
      <c r="B137" s="20" t="n">
        <v>8.228806495666504</v>
      </c>
      <c r="C137" s="21" t="n">
        <v>0.3642086330935252</v>
      </c>
      <c r="D137" s="20" t="n">
        <v>2.997002365777818</v>
      </c>
    </row>
    <row r="138">
      <c r="A138" t="inlineStr">
        <is>
          <t>hhincearners</t>
        </is>
      </c>
      <c r="B138" s="20" t="n">
        <v>32.26673126220703</v>
      </c>
      <c r="C138" s="21" t="n">
        <v>0.1590227817745803</v>
      </c>
      <c r="D138" s="20" t="n">
        <v>5.131145364088979</v>
      </c>
    </row>
    <row r="139">
      <c r="A139" t="inlineStr">
        <is>
          <t>incomechangereduced</t>
        </is>
      </c>
      <c r="B139" s="20" t="n">
        <v>11.01242256164551</v>
      </c>
      <c r="C139" s="21" t="n">
        <v>0.0844574340527578</v>
      </c>
      <c r="D139" s="20" t="n">
        <v>0.9300809522612775</v>
      </c>
    </row>
    <row r="140">
      <c r="A140" t="inlineStr">
        <is>
          <t>hhexptotal30d</t>
        </is>
      </c>
      <c r="B140" s="20" t="n">
        <v>59.44533538818359</v>
      </c>
      <c r="C140" s="21" t="n">
        <v>0.1590227817745803</v>
      </c>
      <c r="D140" s="20" t="n">
        <v>9.453162596951858</v>
      </c>
    </row>
    <row r="141">
      <c r="A141" t="inlineStr">
        <is>
          <t>expensefood30d</t>
        </is>
      </c>
      <c r="B141" s="20" t="n">
        <v>31.69651222229004</v>
      </c>
      <c r="C141" s="21" t="n">
        <v>0.1590227817745803</v>
      </c>
      <c r="D141" s="20" t="n">
        <v>5.040467546140547</v>
      </c>
    </row>
    <row r="142">
      <c r="A142" t="inlineStr">
        <is>
          <t>cropdifficultyunrest</t>
        </is>
      </c>
      <c r="B142" s="20" t="n">
        <v>18.78832054138184</v>
      </c>
      <c r="C142" s="21" t="n">
        <v>0.03080035971223022</v>
      </c>
      <c r="D142" s="20" t="n">
        <v>0.5786870310632445</v>
      </c>
    </row>
    <row r="143">
      <c r="A143" t="inlineStr">
        <is>
          <t>cropsalesdifficultyunrest</t>
        </is>
      </c>
      <c r="B143" s="20" t="n">
        <v>14.18000030517578</v>
      </c>
      <c r="C143" s="21" t="n">
        <v>0.0112410071942446</v>
      </c>
      <c r="D143" s="20" t="n">
        <v>0.1593974854448716</v>
      </c>
    </row>
    <row r="144">
      <c r="A144" t="inlineStr">
        <is>
          <t>lsdifficultyunrest</t>
        </is>
      </c>
      <c r="B144" s="20" t="n">
        <v>14.37356281280518</v>
      </c>
      <c r="C144" s="21" t="n">
        <v>0.01303956834532374</v>
      </c>
      <c r="D144" s="20" t="n">
        <v>0.1874250546633769</v>
      </c>
    </row>
    <row r="145">
      <c r="A145" t="inlineStr">
        <is>
          <t>ls_salesdifficultyunrest</t>
        </is>
      </c>
      <c r="B145" s="20" t="n">
        <v>13.63888931274414</v>
      </c>
      <c r="C145" s="21" t="n">
        <v>0.002697841726618705</v>
      </c>
      <c r="D145" s="20" t="n">
        <v>0.03679556469265505</v>
      </c>
    </row>
    <row r="146">
      <c r="A146" t="inlineStr">
        <is>
          <t>cs_crisis_no_school</t>
        </is>
      </c>
      <c r="B146" s="20" t="n">
        <v>15.40838527679443</v>
      </c>
      <c r="C146" s="21" t="n">
        <v>0.1447841726618705</v>
      </c>
      <c r="D146" s="20" t="n">
        <v>2.230890314356028</v>
      </c>
    </row>
    <row r="147">
      <c r="A147" t="inlineStr">
        <is>
          <t>cs_emergency_sold_last_drought</t>
        </is>
      </c>
      <c r="B147" s="20" t="n">
        <v>13.42893505096436</v>
      </c>
      <c r="C147" s="21" t="n">
        <v>0.1471073141486811</v>
      </c>
      <c r="D147" s="20" t="n">
        <v>1.975494567224448</v>
      </c>
    </row>
    <row r="148">
      <c r="A148" t="inlineStr">
        <is>
          <t>cs_emergency_hh_risk</t>
        </is>
      </c>
      <c r="B148" s="20" t="n">
        <v>16.11875534057617</v>
      </c>
      <c r="C148" s="21" t="n">
        <v>0.1590227817745803</v>
      </c>
      <c r="D148" s="20" t="n">
        <v>2.563249313002296</v>
      </c>
    </row>
    <row r="149">
      <c r="A149" t="inlineStr">
        <is>
          <t>wheremigration</t>
        </is>
      </c>
      <c r="B149" s="20" t="n">
        <v>24.20000076293945</v>
      </c>
      <c r="C149" s="21" t="n">
        <v>0.003372302158273381</v>
      </c>
      <c r="D149" s="20" t="n">
        <v>0.08160971480307819</v>
      </c>
    </row>
    <row r="150">
      <c r="A150" t="inlineStr">
        <is>
          <t>meals</t>
        </is>
      </c>
      <c r="B150" s="20" t="n">
        <v>15.13949108123779</v>
      </c>
      <c r="C150" s="21" t="n">
        <v>0.1590227817745803</v>
      </c>
      <c r="D150" s="20" t="n">
        <v>2.407523986389883</v>
      </c>
    </row>
    <row r="151">
      <c r="A151" t="inlineStr">
        <is>
          <t>fcsstap</t>
        </is>
      </c>
      <c r="B151" s="20" t="n">
        <v>17.90150833129883</v>
      </c>
      <c r="C151" s="21" t="n">
        <v>0.1590227817745803</v>
      </c>
      <c r="D151" s="20" t="n">
        <v>2.846747652803966</v>
      </c>
    </row>
    <row r="152">
      <c r="A152" t="inlineStr">
        <is>
          <t>fcspulse</t>
        </is>
      </c>
      <c r="B152" s="20" t="n">
        <v>27.1998119354248</v>
      </c>
      <c r="C152" s="21" t="n">
        <v>0.1590227817745803</v>
      </c>
      <c r="D152" s="20" t="n">
        <v>4.325389757716684</v>
      </c>
    </row>
    <row r="153">
      <c r="A153" t="inlineStr">
        <is>
          <t>fcsdairy</t>
        </is>
      </c>
      <c r="B153" s="20" t="n">
        <v>20.64844512939453</v>
      </c>
      <c r="C153" s="21" t="n">
        <v>0.1590227817745803</v>
      </c>
      <c r="D153" s="20" t="n">
        <v>3.283573183796103</v>
      </c>
    </row>
    <row r="154">
      <c r="A154" t="inlineStr">
        <is>
          <t>fcspr</t>
        </is>
      </c>
      <c r="B154" s="20" t="n">
        <v>55.30207443237305</v>
      </c>
      <c r="C154" s="21" t="n">
        <v>0.1590227817745803</v>
      </c>
      <c r="D154" s="20" t="n">
        <v>8.794289714140858</v>
      </c>
    </row>
    <row r="155">
      <c r="A155" t="inlineStr">
        <is>
          <t>fcsveg</t>
        </is>
      </c>
      <c r="B155" s="20" t="n">
        <v>24.5004711151123</v>
      </c>
      <c r="C155" s="21" t="n">
        <v>0.1590227817745803</v>
      </c>
      <c r="D155" s="20" t="n">
        <v>3.896133071512913</v>
      </c>
    </row>
    <row r="156">
      <c r="A156" t="inlineStr">
        <is>
          <t>fcsfruit</t>
        </is>
      </c>
      <c r="B156" s="20" t="n">
        <v>24.92459869384766</v>
      </c>
      <c r="C156" s="21" t="n">
        <v>0.1590227817745803</v>
      </c>
      <c r="D156" s="20" t="n">
        <v>3.963579018910726</v>
      </c>
    </row>
    <row r="157">
      <c r="A157" t="inlineStr">
        <is>
          <t>fcsfat</t>
        </is>
      </c>
      <c r="B157" s="20" t="n">
        <v>17.52591896057129</v>
      </c>
      <c r="C157" s="21" t="n">
        <v>0.1590227817745803</v>
      </c>
      <c r="D157" s="20" t="n">
        <v>2.787020386265908</v>
      </c>
    </row>
    <row r="158">
      <c r="A158" t="inlineStr">
        <is>
          <t>fcssugar</t>
        </is>
      </c>
      <c r="B158" s="20" t="n">
        <v>28.03440093994141</v>
      </c>
      <c r="C158" s="21" t="n">
        <v>0.1590227817745803</v>
      </c>
      <c r="D158" s="20" t="n">
        <v>4.458108422853392</v>
      </c>
    </row>
    <row r="159">
      <c r="A159" t="inlineStr">
        <is>
          <t>accessmarket</t>
        </is>
      </c>
      <c r="B159" s="20" t="n">
        <v>15.68897247314453</v>
      </c>
      <c r="C159" s="21" t="n">
        <v>0.1590227817745803</v>
      </c>
      <c r="D159" s="20" t="n">
        <v>2.494904045864261</v>
      </c>
    </row>
    <row r="160">
      <c r="A160" t="inlineStr">
        <is>
          <t>sourcewater</t>
        </is>
      </c>
      <c r="B160" s="20" t="n">
        <v>21.18803024291992</v>
      </c>
      <c r="C160" s="21" t="n">
        <v>0.1590227817745803</v>
      </c>
      <c r="D160" s="20" t="n">
        <v>3.369379509553063</v>
      </c>
    </row>
    <row r="161">
      <c r="A161" t="inlineStr">
        <is>
          <t>othersourcewater</t>
        </is>
      </c>
      <c r="B161" s="20" t="n">
        <v>10.56944465637207</v>
      </c>
      <c r="C161" s="21" t="n">
        <v>0.00539568345323741</v>
      </c>
      <c r="D161" s="20" t="n">
        <v>0.05702937764229535</v>
      </c>
    </row>
    <row r="162">
      <c r="A162" t="inlineStr">
        <is>
          <t>language2</t>
        </is>
      </c>
      <c r="B162" s="20" t="n">
        <v>17.50784683227539</v>
      </c>
      <c r="C162" s="21" t="n">
        <v>0.6827787769784173</v>
      </c>
      <c r="D162" s="20" t="n">
        <v>11.95398624766645</v>
      </c>
    </row>
    <row r="163">
      <c r="A163" t="inlineStr">
        <is>
          <t>resp_agree</t>
        </is>
      </c>
      <c r="B163" s="20" t="n">
        <v>4.624076843261719</v>
      </c>
      <c r="C163" s="21" t="n">
        <v>0.2029376498800959</v>
      </c>
      <c r="D163" s="20" t="n">
        <v>0.9383992874365058</v>
      </c>
    </row>
    <row r="164">
      <c r="A164" t="inlineStr">
        <is>
          <t>adm1_name</t>
        </is>
      </c>
      <c r="B164" s="20" t="n">
        <v>10.74381732940674</v>
      </c>
      <c r="C164" s="21" t="n">
        <v>0.2030125899280575</v>
      </c>
      <c r="D164" s="20" t="n">
        <v>2.181130181756808</v>
      </c>
    </row>
    <row r="165">
      <c r="A165" t="inlineStr">
        <is>
          <t>adm2_name</t>
        </is>
      </c>
      <c r="B165" s="20" t="n"/>
      <c r="C165" s="21" t="n">
        <v>0</v>
      </c>
      <c r="D165" s="20" t="n">
        <v>0</v>
      </c>
    </row>
    <row r="166">
      <c r="A166" t="inlineStr">
        <is>
          <t>covid</t>
        </is>
      </c>
      <c r="B166" s="20" t="n">
        <v>56.47102355957031</v>
      </c>
      <c r="C166" s="21" t="n">
        <v>0.2030125899280575</v>
      </c>
      <c r="D166" s="20" t="n">
        <v>11.46432874871672</v>
      </c>
    </row>
    <row r="167">
      <c r="A167" t="inlineStr">
        <is>
          <t>crp_landright</t>
        </is>
      </c>
      <c r="B167" s="20" t="n">
        <v>31</v>
      </c>
      <c r="C167" s="21" t="n">
        <v>0.004046762589928058</v>
      </c>
      <c r="D167" s="20" t="n">
        <v>0.1254496402877698</v>
      </c>
    </row>
    <row r="168">
      <c r="A168" t="inlineStr">
        <is>
          <t>crp_seed</t>
        </is>
      </c>
      <c r="B168" s="20" t="n">
        <v>30.83333396911621</v>
      </c>
      <c r="C168" s="21" t="n">
        <v>0.004046762589928058</v>
      </c>
      <c r="D168" s="20" t="n">
        <v>0.1247751824289775</v>
      </c>
    </row>
    <row r="169">
      <c r="A169" t="inlineStr">
        <is>
          <t>crp_proddif</t>
        </is>
      </c>
      <c r="B169" s="20" t="n">
        <v>16.88298606872559</v>
      </c>
      <c r="C169" s="21" t="n">
        <v>0.1184802158273381</v>
      </c>
      <c r="D169" s="20" t="n">
        <v>2.00029983323255</v>
      </c>
    </row>
    <row r="170">
      <c r="A170" t="inlineStr">
        <is>
          <t>crp_salesdif</t>
        </is>
      </c>
      <c r="B170" s="20" t="n">
        <v>16.82699012756348</v>
      </c>
      <c r="C170" s="21" t="n">
        <v>0.08663069544364509</v>
      </c>
      <c r="D170" s="20" t="n">
        <v>1.457733856974174</v>
      </c>
    </row>
    <row r="171">
      <c r="A171" t="inlineStr">
        <is>
          <t>crp_saledif_2</t>
        </is>
      </c>
      <c r="B171" s="20" t="n">
        <v>39.48687362670898</v>
      </c>
      <c r="C171" s="21" t="n">
        <v>0.03139988009592326</v>
      </c>
      <c r="D171" s="20" t="n">
        <v>1.239883097241537</v>
      </c>
    </row>
    <row r="172">
      <c r="A172" t="inlineStr">
        <is>
          <t>ls_proddif</t>
        </is>
      </c>
      <c r="B172" s="20" t="n">
        <v>15.9380989074707</v>
      </c>
      <c r="C172" s="21" t="n">
        <v>0.1016936450839329</v>
      </c>
      <c r="D172" s="20" t="n">
        <v>1.620803373608944</v>
      </c>
    </row>
    <row r="173">
      <c r="A173" t="inlineStr">
        <is>
          <t>ls_salesdif</t>
        </is>
      </c>
      <c r="B173" s="20" t="n">
        <v>13.33085536956787</v>
      </c>
      <c r="C173" s="21" t="n">
        <v>0.06047661870503597</v>
      </c>
      <c r="D173" s="20" t="n">
        <v>0.8062050571973375</v>
      </c>
    </row>
    <row r="174">
      <c r="A174" t="inlineStr">
        <is>
          <t>ls_proc</t>
        </is>
      </c>
      <c r="B174" s="20" t="n">
        <v>16.43765068054199</v>
      </c>
      <c r="C174" s="21" t="n">
        <v>0.0625</v>
      </c>
      <c r="D174" s="20" t="n">
        <v>1.027353167533875</v>
      </c>
    </row>
    <row r="175">
      <c r="A175" t="inlineStr">
        <is>
          <t>ls_proc_fac_state</t>
        </is>
      </c>
      <c r="B175" s="20" t="n">
        <v>8.666666984558105</v>
      </c>
      <c r="C175" s="21" t="n">
        <v>0.0006744604316546763</v>
      </c>
      <c r="D175" s="20" t="n">
        <v>0.005845323955412392</v>
      </c>
    </row>
    <row r="176">
      <c r="A176" t="inlineStr">
        <is>
          <t>fish_proddif</t>
        </is>
      </c>
      <c r="B176" s="20" t="n">
        <v>12.5238094329834</v>
      </c>
      <c r="C176" s="21" t="n">
        <v>0.001573741007194245</v>
      </c>
      <c r="D176" s="20" t="n">
        <v>0.01970923247097207</v>
      </c>
    </row>
    <row r="177">
      <c r="A177" t="inlineStr">
        <is>
          <t>cs_spentsavings</t>
        </is>
      </c>
      <c r="B177" s="20" t="n">
        <v>22.22018432617188</v>
      </c>
      <c r="C177" s="21" t="n">
        <v>0.008168465227817745</v>
      </c>
      <c r="D177" s="20" t="n">
        <v>0.1815048030240358</v>
      </c>
    </row>
    <row r="178">
      <c r="A178" t="inlineStr">
        <is>
          <t>cs_borrowmoney</t>
        </is>
      </c>
      <c r="B178" s="20" t="n">
        <v>12.88990783691406</v>
      </c>
      <c r="C178" s="21" t="n">
        <v>0.008168465227817745</v>
      </c>
      <c r="D178" s="20" t="n">
        <v>0.105290763955608</v>
      </c>
    </row>
    <row r="179">
      <c r="A179" t="inlineStr">
        <is>
          <t>cs_purchasedfoodcredit</t>
        </is>
      </c>
      <c r="B179" s="20" t="n">
        <v>14.84403705596924</v>
      </c>
      <c r="C179" s="21" t="n">
        <v>0.008168465227817745</v>
      </c>
      <c r="D179" s="20" t="n">
        <v>0.1212530005321228</v>
      </c>
    </row>
    <row r="180">
      <c r="A180" t="inlineStr">
        <is>
          <t>cs_soldhhassetsgoods</t>
        </is>
      </c>
      <c r="B180" s="20" t="n">
        <v>18.51376152038574</v>
      </c>
      <c r="C180" s="21" t="n">
        <v>0.008168465227817745</v>
      </c>
      <c r="D180" s="20" t="n">
        <v>0.1512290172153811</v>
      </c>
    </row>
    <row r="181">
      <c r="A181" t="inlineStr">
        <is>
          <t>cs_soldprodassets</t>
        </is>
      </c>
      <c r="B181" s="20" t="n">
        <v>16.88073348999023</v>
      </c>
      <c r="C181" s="21" t="n">
        <v>0.008168465227817745</v>
      </c>
      <c r="D181" s="20" t="n">
        <v>0.1378896845330437</v>
      </c>
    </row>
    <row r="182">
      <c r="A182" t="inlineStr">
        <is>
          <t>cs_eatplantingseeds</t>
        </is>
      </c>
      <c r="B182" s="20" t="n">
        <v>17.43119239807129</v>
      </c>
      <c r="C182" s="21" t="n">
        <v>0.008168465227817745</v>
      </c>
      <c r="D182" s="20" t="n">
        <v>0.1423860889830463</v>
      </c>
    </row>
    <row r="183">
      <c r="A183" t="inlineStr">
        <is>
          <t>cs_withdrewchild</t>
        </is>
      </c>
      <c r="B183" s="20" t="n">
        <v>14.11009216308594</v>
      </c>
      <c r="C183" s="21" t="n">
        <v>0.008168465227817745</v>
      </c>
      <c r="D183" s="20" t="n">
        <v>0.1152577971954712</v>
      </c>
    </row>
    <row r="184">
      <c r="A184" t="inlineStr">
        <is>
          <t>cs_soldlandhouse</t>
        </is>
      </c>
      <c r="B184" s="20" t="n">
        <v>15.25688076019287</v>
      </c>
      <c r="C184" s="21" t="n">
        <v>0.008168465227817745</v>
      </c>
      <c r="D184" s="20" t="n">
        <v>0.124625299974597</v>
      </c>
    </row>
    <row r="185">
      <c r="A185" t="inlineStr">
        <is>
          <t>cs_begging</t>
        </is>
      </c>
      <c r="B185" s="20" t="n">
        <v>12.28440380096436</v>
      </c>
      <c r="C185" s="21" t="n">
        <v>0.008168465227817745</v>
      </c>
      <c r="D185" s="20" t="n">
        <v>0.1003447252926495</v>
      </c>
    </row>
    <row r="186">
      <c r="A186" t="inlineStr">
        <is>
          <t>cs_soldfemanimals</t>
        </is>
      </c>
      <c r="B186" s="20" t="n">
        <v>12.57798194885254</v>
      </c>
      <c r="C186" s="21" t="n">
        <v>0.008168465227817745</v>
      </c>
      <c r="D186" s="20" t="n">
        <v>0.1027428081853212</v>
      </c>
    </row>
    <row r="187">
      <c r="A187" t="inlineStr">
        <is>
          <t>need</t>
        </is>
      </c>
      <c r="B187" s="20" t="n">
        <v>16.78225135803223</v>
      </c>
      <c r="C187" s="21" t="n">
        <v>0.1638189448441247</v>
      </c>
      <c r="D187" s="20" t="n">
        <v>2.749250709581718</v>
      </c>
    </row>
    <row r="188">
      <c r="A188" t="inlineStr">
        <is>
          <t>cs_stress_borrowed_or_helped</t>
        </is>
      </c>
      <c r="B188" s="20" t="n">
        <v>11.78780174255371</v>
      </c>
      <c r="C188" s="21" t="n">
        <v>0.2051858513189448</v>
      </c>
      <c r="D188" s="20" t="n">
        <v>2.418690135724824</v>
      </c>
    </row>
    <row r="189">
      <c r="A189" t="inlineStr">
        <is>
          <t>shock</t>
        </is>
      </c>
      <c r="B189" s="20" t="n">
        <v>46.24752807617188</v>
      </c>
      <c r="C189" s="21" t="n">
        <v>1</v>
      </c>
      <c r="D189" s="20" t="n">
        <v>46.24752807617188</v>
      </c>
    </row>
    <row r="190">
      <c r="A190" t="inlineStr">
        <is>
          <t>reasonsmigration</t>
        </is>
      </c>
      <c r="B190" s="20" t="n">
        <v>0.1537020355463028</v>
      </c>
      <c r="C190" s="21" t="n">
        <v>1</v>
      </c>
      <c r="D190" s="20" t="n">
        <v>0.1537020355463028</v>
      </c>
    </row>
    <row r="191">
      <c r="A191" t="inlineStr">
        <is>
          <t>need_received_agent</t>
        </is>
      </c>
      <c r="B191" s="20" t="n">
        <v>0.6796312928199768</v>
      </c>
      <c r="C191" s="21" t="n">
        <v>1</v>
      </c>
      <c r="D191" s="20" t="n">
        <v>0.6796312928199768</v>
      </c>
    </row>
    <row r="192">
      <c r="A192" t="inlineStr">
        <is>
          <t>crp_area_change_covid19</t>
        </is>
      </c>
      <c r="B192" s="20" t="n">
        <v>2.892535924911499</v>
      </c>
      <c r="C192" s="21" t="n">
        <v>1</v>
      </c>
      <c r="D192" s="20" t="n">
        <v>2.892535924911499</v>
      </c>
    </row>
    <row r="193">
      <c r="A193" t="inlineStr">
        <is>
          <t>ls_proddif_2_covid19</t>
        </is>
      </c>
      <c r="B193" s="20" t="n">
        <v>3.343824863433838</v>
      </c>
      <c r="C193" s="21" t="n">
        <v>1</v>
      </c>
      <c r="D193" s="20" t="n">
        <v>3.343824863433838</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2:G94"/>
  <sheetViews>
    <sheetView workbookViewId="0">
      <pane ySplit="3" topLeftCell="A4" activePane="bottomLeft" state="frozen"/>
      <selection activeCell="D69" sqref="D69"/>
      <selection pane="bottomLeft" activeCell="C87" sqref="C87"/>
    </sheetView>
  </sheetViews>
  <sheetFormatPr baseColWidth="8" defaultColWidth="10.54296875" defaultRowHeight="14.5"/>
  <cols>
    <col width="10.54296875" customWidth="1" style="1" min="1" max="2"/>
    <col width="15.1796875" customWidth="1" style="2" min="3" max="3"/>
    <col hidden="1" width="10.54296875" customWidth="1" style="100" min="4" max="4"/>
    <col width="10.54296875" customWidth="1" style="100" min="5" max="5"/>
    <col width="41.54296875" customWidth="1" style="1" min="6" max="6"/>
    <col width="46.54296875" customWidth="1" style="123" min="7" max="7"/>
    <col width="10.54296875" customWidth="1" style="1" min="8" max="8"/>
    <col width="10.54296875" customWidth="1" style="1" min="9" max="16384"/>
  </cols>
  <sheetData>
    <row r="2">
      <c r="C2" s="4" t="n"/>
      <c r="D2" s="97" t="n"/>
      <c r="E2" s="97" t="n"/>
      <c r="F2" s="5" t="n"/>
      <c r="G2" s="119" t="n"/>
    </row>
    <row r="3" ht="32.15" customHeight="1">
      <c r="B3" s="3" t="n"/>
      <c r="C3" s="98" t="inlineStr">
        <is>
          <t xml:space="preserve">Select top 10 crops </t>
        </is>
      </c>
      <c r="D3" s="95" t="inlineStr">
        <is>
          <t>GeoPoll code</t>
        </is>
      </c>
      <c r="E3" s="95" t="inlineStr">
        <is>
          <t>Dataset code</t>
        </is>
      </c>
      <c r="F3" s="95" t="inlineStr">
        <is>
          <t>Label (EN)</t>
        </is>
      </c>
      <c r="G3" s="98" t="inlineStr">
        <is>
          <t>Label (FR)</t>
        </is>
      </c>
    </row>
    <row r="4" ht="16" customHeight="1">
      <c r="B4" s="3" t="n"/>
      <c r="C4" s="18" t="inlineStr">
        <is>
          <t>x</t>
        </is>
      </c>
      <c r="D4" s="8">
        <f t="array" ref="D4:D93">_xlfn.SEQUENCE(90,1,1,1)</f>
        <v/>
      </c>
      <c r="E4" s="96" t="inlineStr">
        <is>
          <t>1.1</t>
        </is>
      </c>
      <c r="F4" s="8" t="inlineStr">
        <is>
          <t>Rice</t>
        </is>
      </c>
      <c r="G4" s="120" t="inlineStr">
        <is>
          <t>Riz</t>
        </is>
      </c>
    </row>
    <row r="5" ht="16" customHeight="1">
      <c r="B5" s="3" t="n"/>
      <c r="C5" s="18" t="n"/>
      <c r="D5" s="8" t="n">
        <v>2</v>
      </c>
      <c r="E5" s="96" t="inlineStr">
        <is>
          <t>1.2</t>
        </is>
      </c>
      <c r="F5" s="8" t="inlineStr">
        <is>
          <t>Wheat</t>
        </is>
      </c>
      <c r="G5" s="120" t="inlineStr">
        <is>
          <t>Blé</t>
        </is>
      </c>
    </row>
    <row r="6" ht="16" customHeight="1">
      <c r="B6" s="3" t="n"/>
      <c r="C6" s="18" t="inlineStr">
        <is>
          <t>x</t>
        </is>
      </c>
      <c r="D6" s="8" t="n">
        <v>3</v>
      </c>
      <c r="E6" s="96" t="inlineStr">
        <is>
          <t>1.3</t>
        </is>
      </c>
      <c r="F6" s="8" t="inlineStr">
        <is>
          <t>Millet</t>
        </is>
      </c>
      <c r="G6" s="120" t="inlineStr">
        <is>
          <t>Mil</t>
        </is>
      </c>
    </row>
    <row r="7" ht="16" customHeight="1">
      <c r="B7" s="3" t="n"/>
      <c r="C7" s="18" t="inlineStr">
        <is>
          <t>x</t>
        </is>
      </c>
      <c r="D7" s="8" t="n">
        <v>4</v>
      </c>
      <c r="E7" s="96" t="inlineStr">
        <is>
          <t>1.4</t>
        </is>
      </c>
      <c r="F7" s="8" t="inlineStr">
        <is>
          <t>Sorghum</t>
        </is>
      </c>
      <c r="G7" s="120" t="inlineStr">
        <is>
          <t>Sorgho</t>
        </is>
      </c>
    </row>
    <row r="8" ht="16" customHeight="1">
      <c r="B8" s="3" t="n"/>
      <c r="C8" s="18" t="inlineStr">
        <is>
          <t>x</t>
        </is>
      </c>
      <c r="D8" s="8" t="n">
        <v>5</v>
      </c>
      <c r="E8" s="96" t="inlineStr">
        <is>
          <t>1.5</t>
        </is>
      </c>
      <c r="F8" s="8" t="inlineStr">
        <is>
          <t>Maize</t>
        </is>
      </c>
      <c r="G8" s="120" t="inlineStr">
        <is>
          <t>Maïs</t>
        </is>
      </c>
    </row>
    <row r="9" ht="16" customHeight="1">
      <c r="B9" s="3" t="n"/>
      <c r="C9" s="18" t="n"/>
      <c r="D9" s="8" t="n">
        <v>6</v>
      </c>
      <c r="E9" s="96" t="inlineStr">
        <is>
          <t>1.6</t>
        </is>
      </c>
      <c r="F9" s="8" t="inlineStr">
        <is>
          <t>Barley</t>
        </is>
      </c>
      <c r="G9" s="120" t="inlineStr">
        <is>
          <t>Orge</t>
        </is>
      </c>
    </row>
    <row r="10" ht="16" customHeight="1">
      <c r="B10" s="3" t="n"/>
      <c r="C10" s="104" t="n"/>
      <c r="D10" s="8" t="n">
        <v>7</v>
      </c>
      <c r="E10" s="96" t="inlineStr">
        <is>
          <t>1.99</t>
        </is>
      </c>
      <c r="F10" s="17" t="inlineStr">
        <is>
          <t>Other Cereal</t>
        </is>
      </c>
      <c r="G10" s="121" t="inlineStr">
        <is>
          <t>Autres céréales</t>
        </is>
      </c>
    </row>
    <row r="11" ht="16" customHeight="1">
      <c r="B11" s="3" t="n"/>
      <c r="C11" s="18" t="inlineStr">
        <is>
          <t>x</t>
        </is>
      </c>
      <c r="D11" s="8" t="n">
        <v>8</v>
      </c>
      <c r="E11" s="96" t="inlineStr">
        <is>
          <t>2.1</t>
        </is>
      </c>
      <c r="F11" s="8" t="inlineStr">
        <is>
          <t>Cassava</t>
        </is>
      </c>
      <c r="G11" s="120" t="inlineStr">
        <is>
          <t>Manioc</t>
        </is>
      </c>
    </row>
    <row r="12" ht="16" customHeight="1">
      <c r="B12" s="3" t="n"/>
      <c r="C12" s="18" t="inlineStr">
        <is>
          <t>x</t>
        </is>
      </c>
      <c r="D12" s="8" t="n">
        <v>9</v>
      </c>
      <c r="E12" s="96" t="inlineStr">
        <is>
          <t>2.2</t>
        </is>
      </c>
      <c r="F12" s="8" t="inlineStr">
        <is>
          <t>Potatoe</t>
        </is>
      </c>
      <c r="G12" s="120" t="inlineStr">
        <is>
          <t>Pommes de terre</t>
        </is>
      </c>
    </row>
    <row r="13" ht="16" customHeight="1">
      <c r="B13" s="3" t="n"/>
      <c r="C13" s="18" t="n"/>
      <c r="D13" s="8" t="n">
        <v>10</v>
      </c>
      <c r="E13" s="96" t="inlineStr">
        <is>
          <t>2.3</t>
        </is>
      </c>
      <c r="F13" s="8" t="inlineStr">
        <is>
          <t>Sweet Potatoes</t>
        </is>
      </c>
      <c r="G13" s="120" t="inlineStr">
        <is>
          <t>Patates douces</t>
        </is>
      </c>
    </row>
    <row r="14" ht="16" customHeight="1">
      <c r="B14" s="3" t="n"/>
      <c r="C14" s="18" t="n"/>
      <c r="D14" s="8" t="n">
        <v>11</v>
      </c>
      <c r="E14" s="96" t="inlineStr">
        <is>
          <t>2.4</t>
        </is>
      </c>
      <c r="F14" s="8" t="inlineStr">
        <is>
          <t>Yams</t>
        </is>
      </c>
      <c r="G14" s="120" t="inlineStr">
        <is>
          <t>Ignames</t>
        </is>
      </c>
    </row>
    <row r="15" ht="16" customHeight="1">
      <c r="B15" s="3" t="n"/>
      <c r="C15" s="18" t="n"/>
      <c r="D15" s="8" t="n">
        <v>12</v>
      </c>
      <c r="E15" s="96" t="inlineStr">
        <is>
          <t>2.5</t>
        </is>
      </c>
      <c r="F15" s="8" t="inlineStr">
        <is>
          <t>Carrots</t>
        </is>
      </c>
      <c r="G15" s="120" t="inlineStr">
        <is>
          <t>Carottes</t>
        </is>
      </c>
    </row>
    <row r="16" ht="16" customHeight="1">
      <c r="B16" s="3" t="n"/>
      <c r="C16" s="18" t="n"/>
      <c r="D16" s="8" t="n">
        <v>13</v>
      </c>
      <c r="E16" s="96" t="inlineStr">
        <is>
          <t>2.6</t>
        </is>
      </c>
      <c r="F16" s="8" t="inlineStr">
        <is>
          <t>Cocoyam</t>
        </is>
      </c>
      <c r="G16" s="120" t="inlineStr">
        <is>
          <t>Chou caraïbe</t>
        </is>
      </c>
    </row>
    <row r="17" ht="16" customHeight="1">
      <c r="B17" s="3" t="n"/>
      <c r="C17" s="104" t="n"/>
      <c r="D17" s="8" t="n">
        <v>14</v>
      </c>
      <c r="E17" s="96" t="inlineStr">
        <is>
          <t>2.99</t>
        </is>
      </c>
      <c r="F17" s="17" t="inlineStr">
        <is>
          <t>Other tubers</t>
        </is>
      </c>
      <c r="G17" s="121" t="inlineStr">
        <is>
          <t>Autres tubercules</t>
        </is>
      </c>
    </row>
    <row r="18" ht="16" customHeight="1">
      <c r="B18" s="3" t="n"/>
      <c r="C18" s="18" t="inlineStr">
        <is>
          <t>x</t>
        </is>
      </c>
      <c r="D18" s="8" t="n">
        <v>15</v>
      </c>
      <c r="E18" s="96" t="inlineStr">
        <is>
          <t>3.1</t>
        </is>
      </c>
      <c r="F18" s="8" t="inlineStr">
        <is>
          <t>Beans</t>
        </is>
      </c>
      <c r="G18" s="120" t="inlineStr">
        <is>
          <t>Haricots</t>
        </is>
      </c>
    </row>
    <row r="19" ht="16" customHeight="1">
      <c r="B19" s="3" t="n"/>
      <c r="C19" s="18" t="n"/>
      <c r="D19" s="8" t="n">
        <v>16</v>
      </c>
      <c r="E19" s="96" t="inlineStr">
        <is>
          <t>3.2</t>
        </is>
      </c>
      <c r="F19" s="8" t="inlineStr">
        <is>
          <t>Lentils</t>
        </is>
      </c>
      <c r="G19" s="120" t="inlineStr">
        <is>
          <t>Lentilles</t>
        </is>
      </c>
    </row>
    <row r="20" ht="16" customHeight="1">
      <c r="B20" s="3" t="n"/>
      <c r="C20" s="18" t="n"/>
      <c r="D20" s="8" t="n">
        <v>17</v>
      </c>
      <c r="E20" s="96" t="inlineStr">
        <is>
          <t>3.3</t>
        </is>
      </c>
      <c r="F20" s="8" t="inlineStr">
        <is>
          <t>Peas</t>
        </is>
      </c>
      <c r="G20" s="120" t="inlineStr">
        <is>
          <t>Pois</t>
        </is>
      </c>
    </row>
    <row r="21" ht="16" customHeight="1">
      <c r="B21" s="3" t="n"/>
      <c r="C21" s="18" t="inlineStr">
        <is>
          <t>x</t>
        </is>
      </c>
      <c r="D21" s="8" t="n">
        <v>18</v>
      </c>
      <c r="E21" s="96" t="inlineStr">
        <is>
          <t>3.4</t>
        </is>
      </c>
      <c r="F21" s="8" t="inlineStr">
        <is>
          <t>Soybeans</t>
        </is>
      </c>
      <c r="G21" s="120" t="inlineStr">
        <is>
          <t>Soja</t>
        </is>
      </c>
    </row>
    <row r="22" ht="16" customHeight="1">
      <c r="B22" s="3" t="n"/>
      <c r="C22" s="18" t="n"/>
      <c r="D22" s="8" t="n">
        <v>19</v>
      </c>
      <c r="E22" s="96" t="inlineStr">
        <is>
          <t>3.5</t>
        </is>
      </c>
      <c r="F22" s="8" t="inlineStr">
        <is>
          <t>Chickpeas</t>
        </is>
      </c>
      <c r="G22" s="120" t="inlineStr">
        <is>
          <t>Pois chiches</t>
        </is>
      </c>
    </row>
    <row r="23" ht="16" customHeight="1">
      <c r="B23" s="3" t="n"/>
      <c r="C23" s="18" t="n"/>
      <c r="D23" s="8" t="n">
        <v>20</v>
      </c>
      <c r="E23" s="96" t="inlineStr">
        <is>
          <t>3.6</t>
        </is>
      </c>
      <c r="F23" s="8" t="inlineStr">
        <is>
          <t>Fava beans</t>
        </is>
      </c>
      <c r="G23" s="120" t="inlineStr">
        <is>
          <t>Fève</t>
        </is>
      </c>
    </row>
    <row r="24" ht="16" customHeight="1">
      <c r="B24" s="3" t="n"/>
      <c r="C24" s="18" t="n"/>
      <c r="D24" s="8" t="n">
        <v>21</v>
      </c>
      <c r="E24" s="96" t="inlineStr">
        <is>
          <t>3.7</t>
        </is>
      </c>
      <c r="F24" s="8" t="inlineStr">
        <is>
          <t>Broad beans</t>
        </is>
      </c>
      <c r="G24" s="120" t="inlineStr">
        <is>
          <t>Fève large</t>
        </is>
      </c>
    </row>
    <row r="25" ht="16" customHeight="1">
      <c r="B25" s="3" t="n"/>
      <c r="C25" s="104" t="n"/>
      <c r="D25" s="8" t="n">
        <v>22</v>
      </c>
      <c r="E25" s="96" t="inlineStr">
        <is>
          <t>3.99</t>
        </is>
      </c>
      <c r="F25" s="17" t="inlineStr">
        <is>
          <t>Other pulses</t>
        </is>
      </c>
      <c r="G25" s="121" t="inlineStr">
        <is>
          <t>Autres légumineuses</t>
        </is>
      </c>
    </row>
    <row r="26" ht="16" customHeight="1">
      <c r="B26" s="3" t="n"/>
      <c r="C26" s="18" t="n"/>
      <c r="D26" s="8" t="n">
        <v>23</v>
      </c>
      <c r="E26" s="96" t="inlineStr">
        <is>
          <t>4.1</t>
        </is>
      </c>
      <c r="F26" s="8" t="inlineStr">
        <is>
          <t>Cabbage</t>
        </is>
      </c>
      <c r="G26" s="120" t="inlineStr">
        <is>
          <t>Choux</t>
        </is>
      </c>
    </row>
    <row r="27" ht="16" customHeight="1">
      <c r="B27" s="3" t="n"/>
      <c r="C27" s="18" t="n"/>
      <c r="D27" s="8" t="n">
        <v>24</v>
      </c>
      <c r="E27" s="96" t="inlineStr">
        <is>
          <t>4.2</t>
        </is>
      </c>
      <c r="F27" s="8" t="inlineStr">
        <is>
          <t>Lettuce</t>
        </is>
      </c>
      <c r="G27" s="120" t="inlineStr">
        <is>
          <t>Laitue</t>
        </is>
      </c>
    </row>
    <row r="28" ht="16" customHeight="1">
      <c r="B28" s="3" t="n"/>
      <c r="C28" s="18" t="n"/>
      <c r="D28" s="8" t="n">
        <v>25</v>
      </c>
      <c r="E28" s="96" t="inlineStr">
        <is>
          <t>4.3</t>
        </is>
      </c>
      <c r="F28" s="8" t="inlineStr">
        <is>
          <t>Spinach-Amaranth</t>
        </is>
      </c>
      <c r="G28" s="120" t="inlineStr">
        <is>
          <t>Epinards-Amaranthe</t>
        </is>
      </c>
    </row>
    <row r="29" ht="16" customHeight="1">
      <c r="B29" s="3" t="n"/>
      <c r="C29" s="18" t="n"/>
      <c r="D29" s="8" t="n">
        <v>26</v>
      </c>
      <c r="E29" s="96" t="inlineStr">
        <is>
          <t>4.4</t>
        </is>
      </c>
      <c r="F29" s="8" t="inlineStr">
        <is>
          <t>Cassava leaves</t>
        </is>
      </c>
      <c r="G29" s="120" t="inlineStr">
        <is>
          <t>Feuilles de manioc</t>
        </is>
      </c>
    </row>
    <row r="30" ht="16" customHeight="1">
      <c r="B30" s="3" t="n"/>
      <c r="C30" s="18" t="n"/>
      <c r="D30" s="8" t="n">
        <v>27</v>
      </c>
      <c r="E30" s="96" t="inlineStr">
        <is>
          <t>4.5</t>
        </is>
      </c>
      <c r="F30" s="8" t="inlineStr">
        <is>
          <t>Potatoe leaves</t>
        </is>
      </c>
      <c r="G30" s="120" t="inlineStr">
        <is>
          <t>Feuilles de pomme de terre</t>
        </is>
      </c>
    </row>
    <row r="31" ht="16" customHeight="1">
      <c r="B31" s="3" t="n"/>
      <c r="C31" s="18" t="n"/>
      <c r="D31" s="8" t="n">
        <v>28</v>
      </c>
      <c r="E31" s="96" t="inlineStr">
        <is>
          <t>4.6</t>
        </is>
      </c>
      <c r="F31" s="8" t="inlineStr">
        <is>
          <t>Moringa</t>
        </is>
      </c>
      <c r="G31" s="120" t="inlineStr">
        <is>
          <t>Moringa</t>
        </is>
      </c>
    </row>
    <row r="32" ht="16" customHeight="1">
      <c r="B32" s="3" t="n"/>
      <c r="C32" s="18" t="n"/>
      <c r="D32" s="8" t="n">
        <v>29</v>
      </c>
      <c r="E32" s="96" t="inlineStr">
        <is>
          <t>4.7</t>
        </is>
      </c>
      <c r="F32" s="8" t="inlineStr">
        <is>
          <t>Sorrel Hibiscus / Rosselle</t>
        </is>
      </c>
      <c r="G32" s="120" t="inlineStr">
        <is>
          <t>Oseille Hibiscus / Rosselle</t>
        </is>
      </c>
    </row>
    <row r="33" ht="16" customHeight="1">
      <c r="B33" s="3" t="n"/>
      <c r="C33" s="18" t="n"/>
      <c r="D33" s="8" t="n">
        <v>30</v>
      </c>
      <c r="E33" s="96" t="inlineStr">
        <is>
          <t>4.9</t>
        </is>
      </c>
      <c r="F33" s="8" t="inlineStr">
        <is>
          <t>Green salad herbs [thyme, parsley, mint, rocca, other]</t>
        </is>
      </c>
      <c r="G33" s="120" t="inlineStr">
        <is>
          <t>Herbes aromatiques [thym, persil, menthe, rocca, autres]</t>
        </is>
      </c>
    </row>
    <row r="34" ht="16" customHeight="1">
      <c r="B34" s="3" t="n"/>
      <c r="C34" s="18" t="n"/>
      <c r="D34" s="8" t="n">
        <v>31</v>
      </c>
      <c r="E34" s="96" t="inlineStr">
        <is>
          <t>4.101</t>
        </is>
      </c>
      <c r="F34" s="8" t="inlineStr">
        <is>
          <t>Cauliflower</t>
        </is>
      </c>
      <c r="G34" s="120" t="inlineStr">
        <is>
          <t>Choux-fleur</t>
        </is>
      </c>
    </row>
    <row r="35" ht="16" customHeight="1">
      <c r="B35" s="3" t="n"/>
      <c r="C35" s="104" t="n"/>
      <c r="D35" s="8" t="n">
        <v>32</v>
      </c>
      <c r="E35" s="96" t="inlineStr">
        <is>
          <t>4.99</t>
        </is>
      </c>
      <c r="F35" s="17" t="inlineStr">
        <is>
          <t>Other leafy vegetables</t>
        </is>
      </c>
      <c r="G35" s="121" t="inlineStr">
        <is>
          <t>Autres légumes à feuilles</t>
        </is>
      </c>
    </row>
    <row r="36" ht="16" customHeight="1">
      <c r="B36" s="3" t="n"/>
      <c r="C36" s="18" t="n"/>
      <c r="D36" s="8" t="n">
        <v>33</v>
      </c>
      <c r="E36" s="96" t="inlineStr">
        <is>
          <t>5.1</t>
        </is>
      </c>
      <c r="F36" s="8" t="inlineStr">
        <is>
          <t>Tomatoes</t>
        </is>
      </c>
      <c r="G36" s="120" t="inlineStr">
        <is>
          <t>Tomates</t>
        </is>
      </c>
    </row>
    <row r="37" ht="16" customHeight="1">
      <c r="B37" s="3" t="n"/>
      <c r="C37" s="18" t="n"/>
      <c r="D37" s="8" t="n">
        <v>34</v>
      </c>
      <c r="E37" s="96" t="inlineStr">
        <is>
          <t>5.2</t>
        </is>
      </c>
      <c r="F37" s="8" t="inlineStr">
        <is>
          <t>Cucumber</t>
        </is>
      </c>
      <c r="G37" s="120" t="inlineStr">
        <is>
          <t>Concombre</t>
        </is>
      </c>
    </row>
    <row r="38" ht="16" customHeight="1">
      <c r="B38" s="3" t="n"/>
      <c r="C38" s="18" t="n"/>
      <c r="D38" s="8" t="n">
        <v>35</v>
      </c>
      <c r="E38" s="96" t="inlineStr">
        <is>
          <t>5.3</t>
        </is>
      </c>
      <c r="F38" s="8" t="inlineStr">
        <is>
          <t>Pumpkin</t>
        </is>
      </c>
      <c r="G38" s="120" t="inlineStr">
        <is>
          <t>Citrouille</t>
        </is>
      </c>
    </row>
    <row r="39" ht="16" customHeight="1">
      <c r="B39" s="3" t="n"/>
      <c r="C39" s="18" t="n"/>
      <c r="D39" s="8" t="n">
        <v>36</v>
      </c>
      <c r="E39" s="96" t="inlineStr">
        <is>
          <t>5.4</t>
        </is>
      </c>
      <c r="F39" s="8" t="inlineStr">
        <is>
          <t>Eggplant/aubergine</t>
        </is>
      </c>
      <c r="G39" s="120" t="inlineStr">
        <is>
          <t>Aubergines/aubergines</t>
        </is>
      </c>
    </row>
    <row r="40" ht="16" customHeight="1">
      <c r="B40" s="3" t="n"/>
      <c r="C40" s="18" t="n"/>
      <c r="D40" s="8" t="n">
        <v>37</v>
      </c>
      <c r="E40" s="96" t="inlineStr">
        <is>
          <t>5.5</t>
        </is>
      </c>
      <c r="F40" s="8" t="inlineStr">
        <is>
          <t>Zucchini</t>
        </is>
      </c>
      <c r="G40" s="120" t="inlineStr">
        <is>
          <t>Courgettes</t>
        </is>
      </c>
    </row>
    <row r="41" ht="16" customHeight="1">
      <c r="B41" s="3" t="n"/>
      <c r="C41" s="18" t="n"/>
      <c r="D41" s="8" t="n">
        <v>38</v>
      </c>
      <c r="E41" s="96" t="inlineStr">
        <is>
          <t>5.6</t>
        </is>
      </c>
      <c r="F41" s="8" t="inlineStr">
        <is>
          <t>Okra</t>
        </is>
      </c>
      <c r="G41" s="120" t="inlineStr">
        <is>
          <t>Okra</t>
        </is>
      </c>
    </row>
    <row r="42" ht="16" customHeight="1">
      <c r="B42" s="3" t="n"/>
      <c r="C42" s="18" t="n"/>
      <c r="D42" s="8" t="n">
        <v>39</v>
      </c>
      <c r="E42" s="96" t="inlineStr">
        <is>
          <t>5.7</t>
        </is>
      </c>
      <c r="F42" s="8" t="inlineStr">
        <is>
          <t>Bell pepper</t>
        </is>
      </c>
      <c r="G42" s="120" t="inlineStr">
        <is>
          <t>Poivrons</t>
        </is>
      </c>
    </row>
    <row r="43" ht="16" customHeight="1">
      <c r="B43" s="3" t="n"/>
      <c r="C43" s="18" t="n"/>
      <c r="D43" s="8" t="n">
        <v>40</v>
      </c>
      <c r="E43" s="96" t="inlineStr">
        <is>
          <t>5.8</t>
        </is>
      </c>
      <c r="F43" s="8" t="inlineStr">
        <is>
          <t>Onions</t>
        </is>
      </c>
      <c r="G43" s="120" t="inlineStr">
        <is>
          <t>Oignons</t>
        </is>
      </c>
    </row>
    <row r="44" ht="16" customHeight="1">
      <c r="B44" s="3" t="n"/>
      <c r="C44" s="18" t="n"/>
      <c r="D44" s="8" t="n">
        <v>41</v>
      </c>
      <c r="E44" s="96" t="inlineStr">
        <is>
          <t>5.9</t>
        </is>
      </c>
      <c r="F44" s="8" t="inlineStr">
        <is>
          <t>Haricot</t>
        </is>
      </c>
      <c r="G44" s="120" t="inlineStr">
        <is>
          <t xml:space="preserve">Haricot </t>
        </is>
      </c>
    </row>
    <row r="45" ht="16" customHeight="1">
      <c r="B45" s="3" t="n"/>
      <c r="C45" s="18" t="n"/>
      <c r="D45" s="8" t="n">
        <v>42</v>
      </c>
      <c r="E45" s="96" t="inlineStr">
        <is>
          <t>5.101</t>
        </is>
      </c>
      <c r="F45" s="8" t="inlineStr">
        <is>
          <t>Green peas</t>
        </is>
      </c>
      <c r="G45" s="120" t="inlineStr">
        <is>
          <t>Petit pois</t>
        </is>
      </c>
    </row>
    <row r="46" ht="16" customHeight="1">
      <c r="B46" s="3" t="n"/>
      <c r="C46" s="18" t="n"/>
      <c r="D46" s="8" t="n">
        <v>43</v>
      </c>
      <c r="E46" s="96" t="inlineStr">
        <is>
          <t>5.11</t>
        </is>
      </c>
      <c r="F46" s="8" t="inlineStr">
        <is>
          <t>Fava beans green</t>
        </is>
      </c>
      <c r="G46" s="120" t="inlineStr">
        <is>
          <t>Pois fève</t>
        </is>
      </c>
    </row>
    <row r="47" ht="16" customHeight="1">
      <c r="B47" s="3" t="n"/>
      <c r="C47" s="104" t="n"/>
      <c r="D47" s="8" t="n">
        <v>44</v>
      </c>
      <c r="E47" s="96" t="inlineStr">
        <is>
          <t>5.99</t>
        </is>
      </c>
      <c r="F47" s="17" t="inlineStr">
        <is>
          <t>Other non leafy vegs</t>
        </is>
      </c>
      <c r="G47" s="121" t="inlineStr">
        <is>
          <t>Autres légumes non feuillus</t>
        </is>
      </c>
    </row>
    <row r="48" ht="16" customHeight="1">
      <c r="B48" s="3" t="n"/>
      <c r="C48" s="18" t="n"/>
      <c r="D48" s="8" t="n">
        <v>45</v>
      </c>
      <c r="E48" s="96" t="inlineStr">
        <is>
          <t>6.1</t>
        </is>
      </c>
      <c r="F48" s="8" t="inlineStr">
        <is>
          <t>Orange</t>
        </is>
      </c>
      <c r="G48" s="120" t="inlineStr">
        <is>
          <t>Orange</t>
        </is>
      </c>
    </row>
    <row r="49" ht="16" customHeight="1">
      <c r="B49" s="3" t="n"/>
      <c r="C49" s="18" t="n"/>
      <c r="D49" s="8" t="n">
        <v>46</v>
      </c>
      <c r="E49" s="96" t="inlineStr">
        <is>
          <t>6.2</t>
        </is>
      </c>
      <c r="F49" s="8" t="inlineStr">
        <is>
          <t>Lemon</t>
        </is>
      </c>
      <c r="G49" s="120" t="inlineStr">
        <is>
          <t>Citron</t>
        </is>
      </c>
    </row>
    <row r="50" ht="16" customHeight="1">
      <c r="B50" s="3" t="n"/>
      <c r="C50" s="18" t="n"/>
      <c r="D50" s="8" t="n">
        <v>47</v>
      </c>
      <c r="E50" s="96" t="inlineStr">
        <is>
          <t>6.3</t>
        </is>
      </c>
      <c r="F50" s="8" t="inlineStr">
        <is>
          <t>Grapefruit</t>
        </is>
      </c>
      <c r="G50" s="120" t="inlineStr">
        <is>
          <t>Pamplemousse</t>
        </is>
      </c>
    </row>
    <row r="51" ht="16" customHeight="1">
      <c r="B51" s="3" t="n"/>
      <c r="C51" s="18" t="n"/>
      <c r="D51" s="8" t="n">
        <v>48</v>
      </c>
      <c r="E51" s="96" t="inlineStr">
        <is>
          <t>6.4</t>
        </is>
      </c>
      <c r="F51" s="8" t="inlineStr">
        <is>
          <t>Mandarins/clementines</t>
        </is>
      </c>
      <c r="G51" s="120" t="inlineStr">
        <is>
          <t>Tangerine/clémentine</t>
        </is>
      </c>
    </row>
    <row r="52" ht="16" customHeight="1">
      <c r="B52" s="3" t="n"/>
      <c r="C52" s="104" t="n"/>
      <c r="D52" s="8" t="n">
        <v>49</v>
      </c>
      <c r="E52" s="96" t="inlineStr">
        <is>
          <t>6.99</t>
        </is>
      </c>
      <c r="F52" s="17" t="inlineStr">
        <is>
          <t>Other citrus fruit</t>
        </is>
      </c>
      <c r="G52" s="121" t="inlineStr">
        <is>
          <t>Autres agrumes</t>
        </is>
      </c>
    </row>
    <row r="53" ht="16" customHeight="1">
      <c r="B53" s="3" t="n"/>
      <c r="C53" s="18" t="n"/>
      <c r="D53" s="8" t="n">
        <v>50</v>
      </c>
      <c r="E53" s="96" t="inlineStr">
        <is>
          <t>7.1</t>
        </is>
      </c>
      <c r="F53" s="8" t="inlineStr">
        <is>
          <t>Sweet Banana</t>
        </is>
      </c>
      <c r="G53" s="120" t="inlineStr">
        <is>
          <t>Banane douce</t>
        </is>
      </c>
    </row>
    <row r="54" ht="16" customHeight="1">
      <c r="B54" s="3" t="n"/>
      <c r="C54" s="18" t="inlineStr">
        <is>
          <t>x</t>
        </is>
      </c>
      <c r="D54" s="8" t="n">
        <v>51</v>
      </c>
      <c r="E54" s="96" t="inlineStr">
        <is>
          <t>7.2</t>
        </is>
      </c>
      <c r="F54" s="8" t="inlineStr">
        <is>
          <t>Plantains</t>
        </is>
      </c>
      <c r="G54" s="120" t="inlineStr">
        <is>
          <t>Banane plantain</t>
        </is>
      </c>
    </row>
    <row r="55" ht="16" customHeight="1">
      <c r="B55" s="3" t="n"/>
      <c r="C55" s="18" t="inlineStr">
        <is>
          <t>x</t>
        </is>
      </c>
      <c r="D55" s="8" t="n">
        <v>52</v>
      </c>
      <c r="E55" s="96" t="inlineStr">
        <is>
          <t>7.3</t>
        </is>
      </c>
      <c r="F55" s="8" t="inlineStr">
        <is>
          <t>Papaya</t>
        </is>
      </c>
      <c r="G55" s="120" t="inlineStr">
        <is>
          <t>Papaye</t>
        </is>
      </c>
    </row>
    <row r="56" ht="16" customHeight="1">
      <c r="B56" s="3" t="n"/>
      <c r="C56" s="18" t="n"/>
      <c r="D56" s="8" t="n">
        <v>53</v>
      </c>
      <c r="E56" s="96" t="inlineStr">
        <is>
          <t>7.4</t>
        </is>
      </c>
      <c r="F56" s="8" t="inlineStr">
        <is>
          <t>Mango</t>
        </is>
      </c>
      <c r="G56" s="120" t="inlineStr">
        <is>
          <t>Mangue</t>
        </is>
      </c>
    </row>
    <row r="57" ht="16" customHeight="1">
      <c r="B57" s="3" t="n"/>
      <c r="C57" s="18" t="n"/>
      <c r="D57" s="8" t="n">
        <v>54</v>
      </c>
      <c r="E57" s="96" t="inlineStr">
        <is>
          <t>7.5</t>
        </is>
      </c>
      <c r="F57" s="8" t="inlineStr">
        <is>
          <t>Guava</t>
        </is>
      </c>
      <c r="G57" s="120" t="inlineStr">
        <is>
          <t>Goyave</t>
        </is>
      </c>
    </row>
    <row r="58" ht="16" customHeight="1">
      <c r="B58" s="3" t="n"/>
      <c r="C58" s="18" t="n"/>
      <c r="D58" s="8" t="n">
        <v>55</v>
      </c>
      <c r="E58" s="96" t="inlineStr">
        <is>
          <t>7.6</t>
        </is>
      </c>
      <c r="F58" s="8" t="inlineStr">
        <is>
          <t>Pineapple</t>
        </is>
      </c>
      <c r="G58" s="120" t="inlineStr">
        <is>
          <t>Ananas</t>
        </is>
      </c>
    </row>
    <row r="59" ht="16" customHeight="1">
      <c r="B59" s="3" t="n"/>
      <c r="C59" s="18" t="n"/>
      <c r="D59" s="8" t="n">
        <v>56</v>
      </c>
      <c r="E59" s="96" t="inlineStr">
        <is>
          <t>7.7</t>
        </is>
      </c>
      <c r="F59" s="8" t="inlineStr">
        <is>
          <t>Avocado</t>
        </is>
      </c>
      <c r="G59" s="120" t="inlineStr">
        <is>
          <t>Avocat</t>
        </is>
      </c>
    </row>
    <row r="60" ht="16" customHeight="1">
      <c r="B60" s="3" t="n"/>
      <c r="C60" s="18" t="n"/>
      <c r="D60" s="8" t="n">
        <v>57</v>
      </c>
      <c r="E60" s="96" t="inlineStr">
        <is>
          <t>7.8</t>
        </is>
      </c>
      <c r="F60" s="8" t="inlineStr">
        <is>
          <t>Water Melon</t>
        </is>
      </c>
      <c r="G60" s="120" t="inlineStr">
        <is>
          <t>Pastèques</t>
        </is>
      </c>
    </row>
    <row r="61" ht="16" customHeight="1">
      <c r="B61" s="3" t="n"/>
      <c r="C61" s="18" t="n"/>
      <c r="D61" s="8" t="n">
        <v>58</v>
      </c>
      <c r="E61" s="96" t="inlineStr">
        <is>
          <t>7.9</t>
        </is>
      </c>
      <c r="F61" s="8" t="inlineStr">
        <is>
          <t>Dates</t>
        </is>
      </c>
      <c r="G61" s="120" t="inlineStr">
        <is>
          <t>Dattes</t>
        </is>
      </c>
    </row>
    <row r="62" ht="16" customHeight="1">
      <c r="B62" s="3" t="n"/>
      <c r="C62" s="18" t="n"/>
      <c r="D62" s="8" t="n">
        <v>59</v>
      </c>
      <c r="E62" s="96" t="inlineStr">
        <is>
          <t>7.101</t>
        </is>
      </c>
      <c r="F62" s="8" t="inlineStr">
        <is>
          <t>Figs</t>
        </is>
      </c>
      <c r="G62" s="120" t="inlineStr">
        <is>
          <t>Figues</t>
        </is>
      </c>
    </row>
    <row r="63" ht="16" customHeight="1">
      <c r="B63" s="3" t="n"/>
      <c r="C63" s="18" t="n"/>
      <c r="D63" s="8" t="n">
        <v>60</v>
      </c>
      <c r="E63" s="96" t="inlineStr">
        <is>
          <t>7.11</t>
        </is>
      </c>
      <c r="F63" s="8" t="inlineStr">
        <is>
          <t>Grapes</t>
        </is>
      </c>
      <c r="G63" s="120" t="inlineStr">
        <is>
          <t>Raisins</t>
        </is>
      </c>
    </row>
    <row r="64" ht="16" customHeight="1">
      <c r="B64" s="3" t="n"/>
      <c r="C64" s="18" t="n"/>
      <c r="D64" s="8" t="n">
        <v>61</v>
      </c>
      <c r="E64" s="96" t="inlineStr">
        <is>
          <t>7.12</t>
        </is>
      </c>
      <c r="F64" s="8" t="inlineStr">
        <is>
          <t>Olives</t>
        </is>
      </c>
      <c r="G64" s="120" t="inlineStr">
        <is>
          <t>Olives</t>
        </is>
      </c>
    </row>
    <row r="65" ht="16" customHeight="1">
      <c r="B65" s="3" t="n"/>
      <c r="C65" s="18" t="n"/>
      <c r="D65" s="8" t="n">
        <v>62</v>
      </c>
      <c r="E65" s="96" t="inlineStr">
        <is>
          <t>7.13</t>
        </is>
      </c>
      <c r="F65" s="8" t="inlineStr">
        <is>
          <t>Apple</t>
        </is>
      </c>
      <c r="G65" s="120" t="inlineStr">
        <is>
          <t>Pomme</t>
        </is>
      </c>
    </row>
    <row r="66" ht="16" customHeight="1">
      <c r="B66" s="3" t="n"/>
      <c r="C66" s="18" t="n"/>
      <c r="D66" s="8" t="n">
        <v>63</v>
      </c>
      <c r="E66" s="96" t="inlineStr">
        <is>
          <t>7.14</t>
        </is>
      </c>
      <c r="F66" s="8" t="inlineStr">
        <is>
          <t>Apricot</t>
        </is>
      </c>
      <c r="G66" s="120" t="inlineStr">
        <is>
          <t>Abricot</t>
        </is>
      </c>
    </row>
    <row r="67" ht="16" customHeight="1">
      <c r="B67" s="3" t="n"/>
      <c r="C67" s="18" t="n"/>
      <c r="D67" s="8" t="n">
        <v>64</v>
      </c>
      <c r="E67" s="96" t="inlineStr">
        <is>
          <t>7.15</t>
        </is>
      </c>
      <c r="F67" s="8" t="inlineStr">
        <is>
          <t>Cherries</t>
        </is>
      </c>
      <c r="G67" s="120" t="inlineStr">
        <is>
          <t>Cerises</t>
        </is>
      </c>
    </row>
    <row r="68" ht="16" customHeight="1">
      <c r="B68" s="3" t="n"/>
      <c r="C68" s="18" t="n"/>
      <c r="D68" s="8" t="n">
        <v>65</v>
      </c>
      <c r="E68" s="96" t="inlineStr">
        <is>
          <t>7.16</t>
        </is>
      </c>
      <c r="F68" s="8" t="inlineStr">
        <is>
          <t>Peach/nectarine</t>
        </is>
      </c>
      <c r="G68" s="120" t="inlineStr">
        <is>
          <t>Pêche/nectarine</t>
        </is>
      </c>
    </row>
    <row r="69" ht="16" customHeight="1">
      <c r="B69" s="3" t="n"/>
      <c r="C69" s="18" t="n"/>
      <c r="D69" s="8" t="n">
        <v>66</v>
      </c>
      <c r="E69" s="96" t="inlineStr">
        <is>
          <t>7.17</t>
        </is>
      </c>
      <c r="F69" s="8" t="inlineStr">
        <is>
          <t>Strawberries</t>
        </is>
      </c>
      <c r="G69" s="120" t="inlineStr">
        <is>
          <t>Fraises</t>
        </is>
      </c>
    </row>
    <row r="70" ht="16" customHeight="1">
      <c r="B70" s="3" t="n"/>
      <c r="C70" s="18" t="n"/>
      <c r="D70" s="8" t="n">
        <v>67</v>
      </c>
      <c r="E70" s="96" t="inlineStr">
        <is>
          <t>7.18</t>
        </is>
      </c>
      <c r="F70" s="8" t="inlineStr">
        <is>
          <t>Melon [Cantaloupe]</t>
        </is>
      </c>
      <c r="G70" s="120" t="inlineStr">
        <is>
          <t>Melon</t>
        </is>
      </c>
    </row>
    <row r="71" ht="16" customHeight="1">
      <c r="B71" s="3" t="n"/>
      <c r="C71" s="104" t="n"/>
      <c r="D71" s="8" t="n">
        <v>68</v>
      </c>
      <c r="E71" s="96" t="inlineStr">
        <is>
          <t>7.99</t>
        </is>
      </c>
      <c r="F71" s="17" t="inlineStr">
        <is>
          <t>Other fruit</t>
        </is>
      </c>
      <c r="G71" s="121" t="inlineStr">
        <is>
          <t>Autres fruits</t>
        </is>
      </c>
    </row>
    <row r="72" ht="16" customHeight="1">
      <c r="B72" s="3" t="n"/>
      <c r="C72" s="18" t="n"/>
      <c r="D72" s="8" t="n">
        <v>69</v>
      </c>
      <c r="E72" s="96" t="inlineStr">
        <is>
          <t>8.1</t>
        </is>
      </c>
      <c r="F72" s="8" t="inlineStr">
        <is>
          <t>Coconuts</t>
        </is>
      </c>
      <c r="G72" s="120" t="inlineStr">
        <is>
          <t>Noix de coco</t>
        </is>
      </c>
    </row>
    <row r="73" ht="16" customHeight="1">
      <c r="B73" s="3" t="n"/>
      <c r="C73" s="18" t="inlineStr">
        <is>
          <t>x</t>
        </is>
      </c>
      <c r="D73" s="8" t="n">
        <v>70</v>
      </c>
      <c r="E73" s="96" t="inlineStr">
        <is>
          <t>8.2</t>
        </is>
      </c>
      <c r="F73" s="8" t="inlineStr">
        <is>
          <t>Groundnut/peanut</t>
        </is>
      </c>
      <c r="G73" s="120" t="inlineStr">
        <is>
          <t>Arachide / cacahuète</t>
        </is>
      </c>
    </row>
    <row r="74" ht="16" customHeight="1">
      <c r="B74" s="3" t="n"/>
      <c r="C74" s="18" t="n"/>
      <c r="D74" s="8" t="n">
        <v>71</v>
      </c>
      <c r="E74" s="96" t="inlineStr">
        <is>
          <t>8.3</t>
        </is>
      </c>
      <c r="F74" s="8" t="inlineStr">
        <is>
          <t>Cashew Nut</t>
        </is>
      </c>
      <c r="G74" s="120" t="inlineStr">
        <is>
          <t>Noix de cajou</t>
        </is>
      </c>
    </row>
    <row r="75" ht="16" customHeight="1">
      <c r="B75" s="3" t="n"/>
      <c r="C75" s="18" t="n"/>
      <c r="D75" s="8" t="n">
        <v>72</v>
      </c>
      <c r="E75" s="96" t="inlineStr">
        <is>
          <t>8.4</t>
        </is>
      </c>
      <c r="F75" s="8" t="inlineStr">
        <is>
          <t>Kola Nut</t>
        </is>
      </c>
      <c r="G75" s="120" t="inlineStr">
        <is>
          <t>Noix de kola</t>
        </is>
      </c>
    </row>
    <row r="76" ht="16" customHeight="1">
      <c r="B76" s="3" t="n"/>
      <c r="C76" s="18" t="n"/>
      <c r="D76" s="8" t="n">
        <v>73</v>
      </c>
      <c r="E76" s="96" t="inlineStr">
        <is>
          <t>8.5</t>
        </is>
      </c>
      <c r="F76" s="8" t="inlineStr">
        <is>
          <t>Sesame</t>
        </is>
      </c>
      <c r="G76" s="120" t="inlineStr">
        <is>
          <t>Sésame</t>
        </is>
      </c>
    </row>
    <row r="77" ht="16" customHeight="1">
      <c r="B77" s="3" t="n"/>
      <c r="C77" s="18" t="n"/>
      <c r="D77" s="8" t="n">
        <v>74</v>
      </c>
      <c r="E77" s="96" t="inlineStr">
        <is>
          <t>8.6</t>
        </is>
      </c>
      <c r="F77" s="8" t="inlineStr">
        <is>
          <t>Bambara nut</t>
        </is>
      </c>
      <c r="G77" s="120" t="inlineStr">
        <is>
          <t>Noix de bambara</t>
        </is>
      </c>
    </row>
    <row r="78" ht="16" customHeight="1">
      <c r="B78" s="3" t="n"/>
      <c r="C78" s="18" t="n"/>
      <c r="D78" s="8" t="n">
        <v>75</v>
      </c>
      <c r="E78" s="96" t="inlineStr">
        <is>
          <t>8.7</t>
        </is>
      </c>
      <c r="F78" s="8" t="inlineStr">
        <is>
          <t>Almond</t>
        </is>
      </c>
      <c r="G78" s="120" t="inlineStr">
        <is>
          <t>Amande</t>
        </is>
      </c>
    </row>
    <row r="79" ht="16" customHeight="1">
      <c r="B79" s="3" t="n"/>
      <c r="C79" s="18" t="n"/>
      <c r="D79" s="8" t="n">
        <v>76</v>
      </c>
      <c r="E79" s="96" t="inlineStr">
        <is>
          <t>8.8</t>
        </is>
      </c>
      <c r="F79" s="8" t="inlineStr">
        <is>
          <t>Walnut</t>
        </is>
      </c>
      <c r="G79" s="120" t="inlineStr">
        <is>
          <t>Noix</t>
        </is>
      </c>
    </row>
    <row r="80" ht="16" customHeight="1">
      <c r="B80" s="3" t="n"/>
      <c r="C80" s="104" t="n"/>
      <c r="D80" s="8" t="n">
        <v>77</v>
      </c>
      <c r="E80" s="96" t="inlineStr">
        <is>
          <t>8.99</t>
        </is>
      </c>
      <c r="F80" s="17" t="inlineStr">
        <is>
          <t>Other nuts</t>
        </is>
      </c>
      <c r="G80" s="121" t="inlineStr">
        <is>
          <t>Autres fruits à coque</t>
        </is>
      </c>
    </row>
    <row r="81" ht="16" customHeight="1">
      <c r="B81" s="3" t="n"/>
      <c r="C81" s="18" t="n"/>
      <c r="D81" s="8" t="n">
        <v>78</v>
      </c>
      <c r="E81" s="96" t="inlineStr">
        <is>
          <t>9.1</t>
        </is>
      </c>
      <c r="F81" s="8" t="inlineStr">
        <is>
          <t>Cocoa</t>
        </is>
      </c>
      <c r="G81" s="120" t="inlineStr">
        <is>
          <t>Cacao</t>
        </is>
      </c>
    </row>
    <row r="82" ht="16" customHeight="1">
      <c r="B82" s="3" t="n"/>
      <c r="C82" s="18" t="inlineStr">
        <is>
          <t>x</t>
        </is>
      </c>
      <c r="D82" s="8" t="n">
        <v>79</v>
      </c>
      <c r="E82" s="96" t="inlineStr">
        <is>
          <t>9.2</t>
        </is>
      </c>
      <c r="F82" s="8" t="inlineStr">
        <is>
          <t>Coffee</t>
        </is>
      </c>
      <c r="G82" s="120" t="inlineStr">
        <is>
          <t>Café</t>
        </is>
      </c>
    </row>
    <row r="83" ht="16" customHeight="1">
      <c r="B83" s="3" t="n"/>
      <c r="C83" s="18" t="n"/>
      <c r="D83" s="8" t="n">
        <v>80</v>
      </c>
      <c r="E83" s="96" t="inlineStr">
        <is>
          <t>9.3</t>
        </is>
      </c>
      <c r="F83" s="8" t="inlineStr">
        <is>
          <t>Tea</t>
        </is>
      </c>
      <c r="G83" s="120" t="inlineStr">
        <is>
          <t>Thé</t>
        </is>
      </c>
    </row>
    <row r="84" ht="16" customHeight="1">
      <c r="B84" s="3" t="n"/>
      <c r="C84" s="18" t="n"/>
      <c r="D84" s="8" t="n">
        <v>81</v>
      </c>
      <c r="E84" s="96" t="inlineStr">
        <is>
          <t>9.4</t>
        </is>
      </c>
      <c r="F84" s="8" t="inlineStr">
        <is>
          <t>Sugarcane</t>
        </is>
      </c>
      <c r="G84" s="120" t="inlineStr">
        <is>
          <t>Canne à sucre</t>
        </is>
      </c>
    </row>
    <row r="85" ht="16" customHeight="1">
      <c r="B85" s="3" t="n"/>
      <c r="C85" s="18" t="n"/>
      <c r="D85" s="8" t="n">
        <v>82</v>
      </c>
      <c r="E85" s="96" t="inlineStr">
        <is>
          <t>9.5</t>
        </is>
      </c>
      <c r="F85" s="8" t="inlineStr">
        <is>
          <t>Sunflower</t>
        </is>
      </c>
      <c r="G85" s="120" t="inlineStr">
        <is>
          <t>Tournesol</t>
        </is>
      </c>
    </row>
    <row r="86" ht="16" customHeight="1">
      <c r="B86" s="3" t="n"/>
      <c r="C86" s="104" t="n"/>
      <c r="D86" s="8" t="n">
        <v>83</v>
      </c>
      <c r="E86" s="96" t="inlineStr">
        <is>
          <t>9.99</t>
        </is>
      </c>
      <c r="F86" s="17" t="inlineStr">
        <is>
          <t>Other food cash crop</t>
        </is>
      </c>
      <c r="G86" s="121" t="inlineStr">
        <is>
          <t>Autres cultures vivrières de rente</t>
        </is>
      </c>
    </row>
    <row r="87" ht="16" customHeight="1">
      <c r="B87" s="3" t="n"/>
      <c r="C87" s="18" t="n"/>
      <c r="D87" s="8" t="n">
        <v>84</v>
      </c>
      <c r="E87" s="96" t="inlineStr">
        <is>
          <t>10.1</t>
        </is>
      </c>
      <c r="F87" s="8" t="inlineStr">
        <is>
          <t>Cotton</t>
        </is>
      </c>
      <c r="G87" s="120" t="inlineStr">
        <is>
          <t>Coton</t>
        </is>
      </c>
    </row>
    <row r="88" ht="16" customHeight="1">
      <c r="B88" s="3" t="n"/>
      <c r="C88" s="18" t="n"/>
      <c r="D88" s="8" t="n">
        <v>85</v>
      </c>
      <c r="E88" s="96" t="inlineStr">
        <is>
          <t>10.2</t>
        </is>
      </c>
      <c r="F88" s="8" t="inlineStr">
        <is>
          <t>Rubber</t>
        </is>
      </c>
      <c r="G88" s="120" t="inlineStr">
        <is>
          <t>Caoutchouc</t>
        </is>
      </c>
    </row>
    <row r="89" ht="16" customHeight="1">
      <c r="B89" s="3" t="n"/>
      <c r="C89" s="18" t="n"/>
      <c r="D89" s="8" t="n">
        <v>86</v>
      </c>
      <c r="E89" s="96" t="inlineStr">
        <is>
          <t>10.3</t>
        </is>
      </c>
      <c r="F89" s="8" t="inlineStr">
        <is>
          <t>Jute</t>
        </is>
      </c>
      <c r="G89" s="120" t="inlineStr">
        <is>
          <t>Jute</t>
        </is>
      </c>
    </row>
    <row r="90" ht="16" customHeight="1">
      <c r="B90" s="3" t="n"/>
      <c r="C90" s="18" t="n"/>
      <c r="D90" s="8" t="n">
        <v>87</v>
      </c>
      <c r="E90" s="96" t="inlineStr">
        <is>
          <t>10.4</t>
        </is>
      </c>
      <c r="F90" s="8" t="inlineStr">
        <is>
          <t>Fodder</t>
        </is>
      </c>
      <c r="G90" s="120" t="inlineStr">
        <is>
          <t>Fourrage</t>
        </is>
      </c>
    </row>
    <row r="91" ht="16" customHeight="1">
      <c r="B91" s="3" t="n"/>
      <c r="C91" s="18" t="n"/>
      <c r="D91" s="8" t="n">
        <v>88</v>
      </c>
      <c r="E91" s="96" t="inlineStr">
        <is>
          <t>10.5</t>
        </is>
      </c>
      <c r="F91" s="8" t="inlineStr">
        <is>
          <t>Tobacco</t>
        </is>
      </c>
      <c r="G91" s="120" t="inlineStr">
        <is>
          <t>Tabac</t>
        </is>
      </c>
    </row>
    <row r="92" ht="16" customHeight="1">
      <c r="B92" s="3" t="n"/>
      <c r="C92" s="18" t="n"/>
      <c r="D92" s="8" t="n">
        <v>89</v>
      </c>
      <c r="E92" s="96" t="inlineStr">
        <is>
          <t>10.6</t>
        </is>
      </c>
      <c r="F92" s="8" t="inlineStr">
        <is>
          <t>Qat</t>
        </is>
      </c>
      <c r="G92" s="120" t="inlineStr">
        <is>
          <t>Qat</t>
        </is>
      </c>
    </row>
    <row r="93" ht="16" customHeight="1">
      <c r="B93" s="3" t="n"/>
      <c r="C93" s="104" t="n"/>
      <c r="D93" s="8" t="n">
        <v>90</v>
      </c>
      <c r="E93" s="96" t="inlineStr">
        <is>
          <t>10.99</t>
        </is>
      </c>
      <c r="F93" s="17" t="inlineStr">
        <is>
          <t>Other non-food cash crop</t>
        </is>
      </c>
      <c r="G93" s="121" t="inlineStr">
        <is>
          <t>Autre culture de rente non alimentaire</t>
        </is>
      </c>
    </row>
    <row r="94">
      <c r="C94" s="6" t="n"/>
      <c r="D94" s="99" t="n"/>
      <c r="E94" s="99" t="n"/>
      <c r="F94" s="7" t="n"/>
      <c r="G94" s="122" t="n"/>
    </row>
  </sheetData>
  <sheetProtection selectLockedCells="1" selectUnlockedCells="0" algorithmName="SHA-512" sheet="1" objects="0" insertRows="1" insertHyperlinks="1" autoFilter="1" scenarios="0" formatColumns="1" deleteColumns="1" insertColumns="1" pivotTables="1" deleteRows="1" formatCells="1" saltValue="8+csQW7bZnjP4R0rNibFIQ==" formatRows="1" sort="1" spinCount="100000" hashValue="rINNvtYpfbBz8NdpSz4VOAIQUH6VRp+jNqHSXUmM1N6PZO6v1O7CeQnLJS5VCFbcs56bdi6LqUn2zHho7PRJyg=="/>
  <autoFilter ref="C3:F93"/>
  <conditionalFormatting sqref="D1:D84 D86:D1048576">
    <cfRule type="duplicateValues" priority="2" dxfId="0"/>
  </conditionalFormatting>
  <conditionalFormatting sqref="D85">
    <cfRule type="duplicateValues" priority="1" dxfId="0"/>
  </conditionalFormatting>
  <dataValidations count="1">
    <dataValidation sqref="C4:C9 C11:C16 C18:C24 C26:C34 C36:C46 C48:C51 C53:C70 C72:C79 C81:C85 C87:C92" showDropDown="0" showInputMessage="1" showErrorMessage="1" allowBlank="0" type="list">
      <formula1>"x"</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20"/>
  <sheetViews>
    <sheetView topLeftCell="A11" zoomScale="92" zoomScaleNormal="90" workbookViewId="0">
      <selection activeCell="E14" sqref="E14"/>
    </sheetView>
  </sheetViews>
  <sheetFormatPr baseColWidth="8" defaultColWidth="10.54296875" defaultRowHeight="15.5"/>
  <cols>
    <col width="10.54296875" customWidth="1" style="289" min="1" max="1"/>
    <col width="8.54296875" customWidth="1" style="289" min="2" max="2"/>
    <col width="27.54296875" customWidth="1" style="289" min="3" max="3"/>
    <col width="28" customWidth="1" style="289" min="4" max="5"/>
    <col width="51.1796875" customWidth="1" style="386" min="6" max="7"/>
    <col width="22.54296875" customWidth="1" style="289" min="8" max="9"/>
    <col width="10.54296875" customWidth="1" style="289" min="10" max="11"/>
    <col width="44" customWidth="1" style="289" min="12" max="12"/>
    <col width="10.54296875" customWidth="1" style="289" min="13" max="13"/>
    <col width="10.54296875" customWidth="1" style="289" min="14" max="16384"/>
  </cols>
  <sheetData>
    <row r="1" ht="40.4" customHeight="1" thickBot="1">
      <c r="C1" s="290" t="n"/>
      <c r="D1" s="290" t="n"/>
      <c r="E1" s="290" t="n"/>
      <c r="F1" s="291" t="n"/>
      <c r="G1" s="291" t="n"/>
      <c r="H1" s="290" t="n"/>
      <c r="I1" s="290" t="n"/>
    </row>
    <row r="2" ht="17.15" customHeight="1" thickBot="1">
      <c r="A2" s="292" t="n"/>
      <c r="B2" s="293" t="n"/>
      <c r="C2" s="294" t="inlineStr">
        <is>
          <t>Original</t>
        </is>
      </c>
      <c r="D2" s="295" t="inlineStr">
        <is>
          <t>Replacement (EN)</t>
        </is>
      </c>
      <c r="E2" s="296" t="inlineStr">
        <is>
          <t>Replacement (FR)</t>
        </is>
      </c>
      <c r="F2" s="297" t="inlineStr">
        <is>
          <t>Comment (EN)</t>
        </is>
      </c>
      <c r="G2" s="298" t="inlineStr">
        <is>
          <t>Commentaire (FR)</t>
        </is>
      </c>
      <c r="H2" s="295" t="inlineStr">
        <is>
          <t>Examples (EN)</t>
        </is>
      </c>
      <c r="I2" s="299" t="inlineStr">
        <is>
          <t>Exemples (FR)</t>
        </is>
      </c>
      <c r="J2" s="300" t="n"/>
    </row>
    <row r="3" ht="32.25" customHeight="1" thickBot="1">
      <c r="A3" s="292" t="n"/>
      <c r="B3" s="581" t="inlineStr">
        <is>
          <t>FOR CORE QUESTIONS    .
(Mandatory to fill out)    .</t>
        </is>
      </c>
      <c r="C3" s="301" t="inlineStr">
        <is>
          <t>ADMIN1</t>
        </is>
      </c>
      <c r="D3" s="302" t="inlineStr">
        <is>
          <t>Province</t>
        </is>
      </c>
      <c r="E3" s="303" t="inlineStr">
        <is>
          <t>Province</t>
        </is>
      </c>
      <c r="F3" s="304" t="inlineStr">
        <is>
          <t>The first subdivision of the country, after national level; region; province; governorate; etc.</t>
        </is>
      </c>
      <c r="G3" s="305" t="inlineStr">
        <is>
          <t xml:space="preserve">La première subdivision du pays, après le niveau national ; par exemple, région ; province ; gouvernorat ; etc. </t>
        </is>
      </c>
      <c r="H3" s="306" t="inlineStr">
        <is>
          <t>region</t>
        </is>
      </c>
      <c r="I3" s="307" t="inlineStr">
        <is>
          <t>region</t>
        </is>
      </c>
      <c r="J3" s="300" t="n"/>
    </row>
    <row r="4" ht="32.15" customHeight="1">
      <c r="A4" s="292" t="n"/>
      <c r="B4" s="582" t="n"/>
      <c r="C4" s="308" t="inlineStr">
        <is>
          <t>ADMIN2</t>
        </is>
      </c>
      <c r="D4" s="309" t="inlineStr">
        <is>
          <t>Territory</t>
        </is>
      </c>
      <c r="E4" s="310" t="inlineStr">
        <is>
          <t>Territoire</t>
        </is>
      </c>
      <c r="F4" s="311" t="inlineStr">
        <is>
          <t>The second subdivision of the country; district; municipality; LGA; etc.</t>
        </is>
      </c>
      <c r="G4" s="305" t="inlineStr">
        <is>
          <t xml:space="preserve">La deuxième subdivision du pays ; par exemple, district, municipalité, LGA, etc. </t>
        </is>
      </c>
      <c r="H4" s="312" t="inlineStr">
        <is>
          <t>district</t>
        </is>
      </c>
      <c r="I4" s="313" t="inlineStr">
        <is>
          <t>district</t>
        </is>
      </c>
      <c r="J4" s="300" t="n"/>
    </row>
    <row r="5" ht="80.15000000000001" customHeight="1">
      <c r="A5" s="292" t="n"/>
      <c r="B5" s="582" t="n"/>
      <c r="C5" s="308" t="inlineStr">
        <is>
          <t>reference year</t>
        </is>
      </c>
      <c r="D5" s="314" t="inlineStr">
        <is>
          <t>last year</t>
        </is>
      </c>
      <c r="E5" s="315" t="inlineStr">
        <is>
          <t>l'année dernière</t>
        </is>
      </c>
      <c r="F5" s="311"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5" s="305" t="inlineStr">
        <is>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is>
      </c>
      <c r="H5" s="312" t="inlineStr">
        <is>
          <t>a normal year</t>
        </is>
      </c>
      <c r="I5" s="313" t="inlineStr">
        <is>
          <t xml:space="preserve">une année normale </t>
        </is>
      </c>
      <c r="J5" s="300" t="n"/>
    </row>
    <row r="6" ht="76.40000000000001" customHeight="1">
      <c r="A6" s="292" t="n"/>
      <c r="B6" s="582" t="n"/>
      <c r="C6" s="308" t="inlineStr">
        <is>
          <t>season</t>
        </is>
      </c>
      <c r="D6" s="316" t="inlineStr">
        <is>
          <t>Rainy season</t>
        </is>
      </c>
      <c r="E6" s="310" t="inlineStr">
        <is>
          <t>Saison des pluies</t>
        </is>
      </c>
      <c r="F6" s="317" t="inlineStr">
        <is>
          <t>Name the crop season(s) of interest if there are several cropping seasons in the country (e.g. Meher and Belg in Ethiopia, rainy season / flood-recession cropping / irrigated dry season in the Sahel). You can refer to the “last season” or “ongoing season".</t>
        </is>
      </c>
      <c r="G6" s="318" t="inlineStr">
        <is>
          <t>Nommez la ou les saisons culturales concernée(s) en ANGLAIS s'il y en a plusieurs dans le pays (par exemple, Meher et Belg en Ethiopie, saison des pluies / cultures de décrue / saison sèche irriguée au Sahel). Vous pouvez vous référer à la "dernière saison" ou "saison actuelle".</t>
        </is>
      </c>
      <c r="H6" s="319" t="inlineStr">
        <is>
          <t>wet season</t>
        </is>
      </c>
      <c r="I6" s="320" t="inlineStr">
        <is>
          <t>saison des pluies</t>
        </is>
      </c>
      <c r="J6" s="300" t="n"/>
    </row>
    <row r="7" ht="76.40000000000001" customHeight="1">
      <c r="A7" s="292" t="n"/>
      <c r="B7" s="582" t="n"/>
      <c r="C7" s="308" t="inlineStr">
        <is>
          <t>season phase</t>
        </is>
      </c>
      <c r="D7" s="321">
        <f>IF(E7="Pas encore en saison","Not yet in season",IF(E7="Préparation du terrain","Land preparation",IF(E7="Semis / plantation","Planting",IF(E7="Début de la croissance","Early growing",IF(E7="Croissance","Growing",IF(E7="Proche de la récolte","Maturing",IF(E7="Récolte","Harvesting",IF(E7="Post-récolte","Recently finished",""))))))))</f>
        <v/>
      </c>
      <c r="E7" s="322" t="inlineStr">
        <is>
          <t>Proche de la récolte</t>
        </is>
      </c>
      <c r="F7" s="317"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G7" s="318" t="inlineStr">
        <is>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is>
      </c>
      <c r="H7" s="319" t="inlineStr">
        <is>
          <t>Harvesting</t>
        </is>
      </c>
      <c r="I7" s="320" t="inlineStr">
        <is>
          <t>Récolte</t>
        </is>
      </c>
      <c r="J7" s="300" t="n"/>
    </row>
    <row r="8" ht="76.40000000000001" customHeight="1">
      <c r="A8" s="292" t="n"/>
      <c r="B8" s="582" t="n"/>
      <c r="C8" s="323" t="inlineStr">
        <is>
          <t>local measurement unit</t>
        </is>
      </c>
      <c r="D8" s="324" t="n"/>
      <c r="E8" s="325" t="n"/>
      <c r="F8" s="326" t="inlineStr">
        <is>
          <t xml:space="preserve">Specify the local measurement unit for land size, other than acres, hectares, square meters and square feet. If no other unit of measurement is needed, keep this cell blank. </t>
        </is>
      </c>
      <c r="G8" s="327" t="inlineStr">
        <is>
          <t xml:space="preserve">Indiquez l'unité utilisée localement pour mesurer la taille des terrains, autre que les acres, les hectares, les mètres carrés et les pieds carrés. Si aucune autre unité de mesure n'est nécessaire, garder cette cellule vide. </t>
        </is>
      </c>
      <c r="H8" s="319" t="inlineStr">
        <is>
          <t>Jeribs</t>
        </is>
      </c>
      <c r="I8" s="320" t="inlineStr">
        <is>
          <t>Jeribs</t>
        </is>
      </c>
      <c r="J8" s="300" t="n"/>
    </row>
    <row r="9" ht="50.25" customHeight="1" thickBot="1">
      <c r="A9" s="292" t="n"/>
      <c r="B9" s="583" t="n"/>
      <c r="C9" s="328" t="inlineStr">
        <is>
          <t>local measurement unit conversion</t>
        </is>
      </c>
      <c r="D9" s="329">
        <f>IF(E9&lt;&gt;"",E9,"")</f>
        <v/>
      </c>
      <c r="E9" s="330" t="n"/>
      <c r="F9" s="331" t="inlineStr">
        <is>
          <t xml:space="preserve">Include the conversion of the local measurement unit to hectares. In other words, how many local measurement units are in 1 ha. </t>
        </is>
      </c>
      <c r="G9" s="332" t="inlineStr">
        <is>
          <t xml:space="preserve">Indiquez la conversion de l'unité de mesure locale en hectares. En d'autres termes, indiquez combien d'unités de mesure locales y a-t-il dans 1 ha. </t>
        </is>
      </c>
      <c r="H9" s="333" t="n">
        <v>0.2</v>
      </c>
      <c r="I9" s="334" t="n">
        <v>0.2</v>
      </c>
      <c r="J9" s="300" t="n"/>
    </row>
    <row r="10" ht="32.25" customHeight="1" thickBot="1">
      <c r="A10" s="292" t="n"/>
      <c r="B10" s="581" t="inlineStr">
        <is>
          <t>FOR OPTIONAL QUESTIONS    .
(Fill out if applicable)    .</t>
        </is>
      </c>
      <c r="C10" s="335" t="inlineStr">
        <is>
          <t>currency</t>
        </is>
      </c>
      <c r="D10" s="336" t="inlineStr">
        <is>
          <t>CDF</t>
        </is>
      </c>
      <c r="E10" s="337" t="inlineStr">
        <is>
          <t>CDF</t>
        </is>
      </c>
      <c r="F10" s="338" t="inlineStr">
        <is>
          <t xml:space="preserve">The name of the main currency used nationally; USD; Naira; Rial; Pesos; etc. </t>
        </is>
      </c>
      <c r="G10" s="339" t="inlineStr">
        <is>
          <t xml:space="preserve">Nom de la principale devise utilisée au niveau national; par exemple, USD; Naira; Rial; Pesos; etc. </t>
        </is>
      </c>
      <c r="H10" s="340" t="inlineStr">
        <is>
          <t>Naira</t>
        </is>
      </c>
      <c r="I10" s="341" t="inlineStr">
        <is>
          <t>Naira</t>
        </is>
      </c>
      <c r="J10" s="300" t="n"/>
    </row>
    <row r="11" ht="94.40000000000001" customHeight="1">
      <c r="A11" s="292" t="n"/>
      <c r="B11" s="582" t="n"/>
      <c r="C11" s="342" t="inlineStr">
        <is>
          <t>MIN AMOUNT</t>
        </is>
      </c>
      <c r="D11" s="343" t="n">
        <v>0</v>
      </c>
      <c r="E11" s="343" t="n">
        <v>0</v>
      </c>
      <c r="F11" s="344"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G11" s="345" t="inlineStr">
        <is>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is>
      </c>
      <c r="H11" s="346" t="n">
        <v>5</v>
      </c>
      <c r="I11" s="347" t="n">
        <v>5</v>
      </c>
      <c r="J11" s="300" t="n"/>
      <c r="L11" s="290" t="n"/>
    </row>
    <row r="12" ht="158.25" customHeight="1">
      <c r="A12" s="292" t="n"/>
      <c r="B12" s="582" t="n"/>
      <c r="C12" s="308" t="inlineStr">
        <is>
          <t>MAX AMOUNT</t>
        </is>
      </c>
      <c r="D12" s="348" t="n">
        <v>10000000</v>
      </c>
      <c r="E12" s="348" t="n">
        <v>10000000</v>
      </c>
      <c r="F12" s="317"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should be inputted.</t>
        </is>
      </c>
      <c r="G12" s="349" t="inlineStr">
        <is>
          <t>Fixez le montant maximum pouvant être généré par une source de revenu sur 3 mois. Il ne sera pas possible pour les enquêteurs d'entrer des valeurs supérieures à ce montant dans les questions relatives aux montants des revenus. En vous basant sur des enquêtes précédentes représentatives de cette population, vous pouvez estimer ce montant en utilisant le revenu moyen plus cinq (5) écarts types, sauf si le pays connaît une forte inflation. Dans ce dernier cas, fixez la valeur maximale en fonction du contexte de votre pays (plus élevée que l'approche proposée).  Cette saisie doit être effectuée dans la même devise que celle spécifiée ci-dessus. Seuls des chiffres doivent être saisis.</t>
        </is>
      </c>
      <c r="H12" s="350" t="n">
        <v>5000000</v>
      </c>
      <c r="I12" s="347" t="n">
        <v>5000000</v>
      </c>
      <c r="J12" s="300" t="n"/>
      <c r="K12" s="292" t="n"/>
      <c r="L12" s="351" t="n"/>
      <c r="M12" s="300" t="n"/>
    </row>
    <row r="13" ht="116.25" customHeight="1">
      <c r="A13" s="292" t="n"/>
      <c r="B13" s="582" t="n"/>
      <c r="C13" s="342" t="inlineStr">
        <is>
          <t>THRESHOLD</t>
        </is>
      </c>
      <c r="D13" s="343" t="n">
        <v>2000000</v>
      </c>
      <c r="E13" s="343" t="n">
        <v>2000000</v>
      </c>
      <c r="F13" s="326"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G13" s="345" t="inlineStr">
        <is>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is>
      </c>
      <c r="H13" s="350" t="n">
        <v>1200000</v>
      </c>
      <c r="I13" s="347" t="n">
        <v>1200000</v>
      </c>
      <c r="J13" s="300" t="n"/>
      <c r="L13" s="352" t="n"/>
    </row>
    <row r="14" ht="50.25" customHeight="1">
      <c r="A14" s="292" t="n"/>
      <c r="B14" s="582" t="n"/>
      <c r="C14" s="323" t="inlineStr">
        <is>
          <t>local vegetables</t>
        </is>
      </c>
      <c r="D14" s="353" t="inlineStr">
        <is>
          <t>Funbwa, spinach, cabbage, carrot</t>
        </is>
      </c>
      <c r="E14" s="354" t="inlineStr">
        <is>
          <t>Fumbwa, épinard, choux, carottes</t>
        </is>
      </c>
      <c r="F14" s="317" t="inlineStr">
        <is>
          <t>Input some common local vegetables [to be used as examples in the food consumption score indicator].</t>
        </is>
      </c>
      <c r="G14" s="327" t="inlineStr">
        <is>
          <t>Saisissez quelques légumes locaux courants [à utiliser comme exemples dans l'indicateur de score de consommation alimentaire].</t>
        </is>
      </c>
      <c r="H14" s="319" t="inlineStr">
        <is>
          <t>eggplants, zucchini, cauliflower</t>
        </is>
      </c>
      <c r="I14" s="320" t="inlineStr">
        <is>
          <t>aubergines, courgettes, choux-fleurs</t>
        </is>
      </c>
      <c r="J14" s="300" t="n"/>
    </row>
    <row r="15" ht="50.25" customHeight="1" thickBot="1">
      <c r="A15" s="292" t="n"/>
      <c r="B15" s="583" t="n"/>
      <c r="C15" s="355" t="inlineStr">
        <is>
          <t>local fruits</t>
        </is>
      </c>
      <c r="D15" s="356" t="inlineStr">
        <is>
          <t>bananas, oranges, mangos</t>
        </is>
      </c>
      <c r="E15" s="357" t="inlineStr">
        <is>
          <t>bananes, oranges, mangues</t>
        </is>
      </c>
      <c r="F15" s="358" t="inlineStr">
        <is>
          <t>Input some common local fruits [to be used as examples in the food consumption score indicator].</t>
        </is>
      </c>
      <c r="G15" s="359" t="inlineStr">
        <is>
          <t>Indiquez quelques fruits locaux courants [à utiliser comme exemples dans l'indicateur de score de consommation alimentaire].</t>
        </is>
      </c>
      <c r="H15" s="360" t="inlineStr">
        <is>
          <t>apples, bananas, oranges</t>
        </is>
      </c>
      <c r="I15" s="361" t="inlineStr">
        <is>
          <t>pommes, bananes, oranges</t>
        </is>
      </c>
      <c r="J15" s="300" t="n"/>
    </row>
    <row r="16" ht="5.9" customHeight="1" thickBot="1">
      <c r="A16" s="292" t="n"/>
      <c r="B16" s="362" t="n"/>
      <c r="C16" s="363" t="n"/>
      <c r="D16" s="364" t="n"/>
      <c r="E16" s="365" t="n"/>
      <c r="F16" s="366" t="n"/>
      <c r="G16" s="367" t="n"/>
      <c r="H16" s="368" t="n"/>
      <c r="I16" s="369" t="n"/>
      <c r="J16" s="300" t="n"/>
    </row>
    <row r="17" ht="176.15" customHeight="1" thickBot="1">
      <c r="A17" s="292" t="n"/>
      <c r="B17" s="584" t="inlineStr">
        <is>
          <t>FILL OUT FOR QUESTIONNAIRE DURATION ESTIMATION    .</t>
        </is>
      </c>
      <c r="C17" s="370" t="inlineStr">
        <is>
          <t>Expected percentage of respondents cultivating crops</t>
        </is>
      </c>
      <c r="D17" s="371">
        <f>IF(E17="","",E17)</f>
        <v/>
      </c>
      <c r="E17" s="372" t="n">
        <v>0.75</v>
      </c>
      <c r="F17" s="373"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G17" s="374" t="inlineStr">
        <is>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is>
      </c>
      <c r="H17" s="115" t="n">
        <v>0.91</v>
      </c>
      <c r="I17" s="118" t="n">
        <v>0.91</v>
      </c>
      <c r="J17" s="300" t="n"/>
    </row>
    <row r="18" ht="160" customHeight="1">
      <c r="A18" s="292" t="n"/>
      <c r="B18" s="582" t="n"/>
      <c r="C18" s="375" t="inlineStr">
        <is>
          <t>Expected percentage of respondents raising livestock</t>
        </is>
      </c>
      <c r="D18" s="376">
        <f>IF(E18="","",E18)</f>
        <v/>
      </c>
      <c r="E18" s="377" t="n">
        <v>0.2</v>
      </c>
      <c r="F18" s="378"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G18" s="379" t="inlineStr">
        <is>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is>
      </c>
      <c r="H18" s="116" t="n">
        <v>0.91</v>
      </c>
      <c r="I18" s="35" t="n">
        <v>0.91</v>
      </c>
      <c r="J18" s="300" t="n"/>
    </row>
    <row r="19" ht="145" customHeight="1" thickBot="1">
      <c r="A19" s="292" t="n"/>
      <c r="B19" s="583" t="n"/>
      <c r="C19" s="380" t="inlineStr">
        <is>
          <t>Expected percentage of respondents involved in fishery</t>
        </is>
      </c>
      <c r="D19" s="381">
        <f>IF(E19="","",E19)</f>
        <v/>
      </c>
      <c r="E19" s="382" t="n">
        <v>0.05</v>
      </c>
      <c r="F19" s="383"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G19" s="384" t="inlineStr">
        <is>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is>
      </c>
      <c r="H19" s="117" t="n">
        <v>0.05</v>
      </c>
      <c r="I19" s="36" t="n">
        <v>0.05</v>
      </c>
      <c r="J19" s="300" t="n"/>
    </row>
    <row r="20">
      <c r="B20" s="352" t="n"/>
      <c r="C20" s="352" t="n"/>
      <c r="D20" s="352" t="n"/>
      <c r="E20" s="352" t="n"/>
      <c r="F20" s="385" t="n"/>
      <c r="G20" s="385" t="n"/>
      <c r="H20" s="352" t="n"/>
      <c r="I20" s="352" t="n"/>
    </row>
  </sheetData>
  <sheetProtection selectLockedCells="0" selectUnlockedCells="0" algorithmName="SHA-512" sheet="1" objects="0" insertRows="1" insertHyperlinks="1" autoFilter="1" scenarios="0" formatColumns="1" deleteColumns="1" insertColumns="1" pivotTables="1" deleteRows="1" formatCells="0" saltValue="4BwjSuLz7U4bq4ES3fH//g==" formatRows="1" sort="1" spinCount="100000" hashValue="RgZPRsQ2w9eYttNFG/M5E9b3jTyOoGFcMV9OWlVfvyRHlvBk6R+POEpY1FxEY2QdiJmS5+irkKAqtwfntf9JKA=="/>
  <mergeCells count="3">
    <mergeCell ref="B3:B9"/>
    <mergeCell ref="B17:B19"/>
    <mergeCell ref="B10:B15"/>
  </mergeCells>
  <dataValidations count="2">
    <dataValidation sqref="E7" showDropDown="0" showInputMessage="1" showErrorMessage="1" allowBlank="0" type="list">
      <formula1>"Pas encore en saison,Préparation du terrain,Semis / plantation,Début de la croissance,Croissance,Proche de la récolte,Récolte,Post-récolte"</formula1>
    </dataValidation>
    <dataValidation sqref="E5" showDropDown="0" showInputMessage="1" showErrorMessage="1" allowBlank="0" type="list">
      <formula1>"l'année dernière, une année normale"</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90"/>
  <sheetViews>
    <sheetView workbookViewId="0">
      <selection activeCell="H20" sqref="H20"/>
    </sheetView>
  </sheetViews>
  <sheetFormatPr baseColWidth="8" defaultColWidth="8.81640625" defaultRowHeight="14.5"/>
  <cols>
    <col width="18" bestFit="1" customWidth="1" min="1" max="2"/>
    <col width="12.26953125" bestFit="1" customWidth="1" min="3" max="3"/>
    <col width="13.81640625" bestFit="1" customWidth="1" min="4" max="4"/>
    <col width="31.54296875" bestFit="1" customWidth="1" min="6" max="6"/>
  </cols>
  <sheetData>
    <row r="1">
      <c r="A1" s="126" t="inlineStr">
        <is>
          <t>adm2_name</t>
        </is>
      </c>
      <c r="B1" s="127" t="inlineStr">
        <is>
          <t>adm2_name_local</t>
        </is>
      </c>
      <c r="C1" s="127" t="inlineStr">
        <is>
          <t>adm2_pcode</t>
        </is>
      </c>
      <c r="D1" s="127" t="inlineStr">
        <is>
          <t>adm1_name</t>
        </is>
      </c>
      <c r="E1" s="127" t="inlineStr">
        <is>
          <t>adm1_pcode</t>
        </is>
      </c>
      <c r="F1" s="127" t="inlineStr">
        <is>
          <t>adm0_name</t>
        </is>
      </c>
      <c r="G1" s="127" t="inlineStr">
        <is>
          <t>adm0_ISO3</t>
        </is>
      </c>
    </row>
    <row r="2">
      <c r="A2" s="128" t="inlineStr">
        <is>
          <t>Zongo</t>
        </is>
      </c>
      <c r="B2" s="128" t="inlineStr">
        <is>
          <t>Zongo</t>
        </is>
      </c>
      <c r="C2" s="128" t="inlineStr">
        <is>
          <t>CD4206</t>
        </is>
      </c>
      <c r="D2" s="128" t="inlineStr">
        <is>
          <t>Sud-Ubangi</t>
        </is>
      </c>
      <c r="E2" s="128" t="inlineStr">
        <is>
          <t>CD42</t>
        </is>
      </c>
      <c r="F2" s="128" t="inlineStr">
        <is>
          <t>Democratic Republic of the Congo</t>
        </is>
      </c>
      <c r="G2" s="128" t="inlineStr">
        <is>
          <t>COD</t>
        </is>
      </c>
    </row>
    <row r="3">
      <c r="A3" s="128" t="inlineStr">
        <is>
          <t>Yumbi</t>
        </is>
      </c>
      <c r="B3" s="128" t="inlineStr">
        <is>
          <t>Yumbi</t>
        </is>
      </c>
      <c r="C3" s="128" t="inlineStr">
        <is>
          <t>CD3310</t>
        </is>
      </c>
      <c r="D3" s="128" t="inlineStr">
        <is>
          <t>Maï-Ndombe</t>
        </is>
      </c>
      <c r="E3" s="128" t="inlineStr">
        <is>
          <t>CD33</t>
        </is>
      </c>
      <c r="F3" s="128" t="inlineStr">
        <is>
          <t>Democratic Republic of the Congo</t>
        </is>
      </c>
      <c r="G3" s="128" t="inlineStr">
        <is>
          <t>COD</t>
        </is>
      </c>
    </row>
    <row r="4">
      <c r="A4" s="128" t="inlineStr">
        <is>
          <t>Yangambi</t>
        </is>
      </c>
      <c r="B4" s="128" t="inlineStr">
        <is>
          <t>Yangambi</t>
        </is>
      </c>
      <c r="C4" s="128" t="inlineStr">
        <is>
          <t>CD5106</t>
        </is>
      </c>
      <c r="D4" s="128" t="inlineStr">
        <is>
          <t>Tshopo</t>
        </is>
      </c>
      <c r="E4" s="128" t="inlineStr">
        <is>
          <t>CD51</t>
        </is>
      </c>
      <c r="F4" s="128" t="inlineStr">
        <is>
          <t>Democratic Republic of the Congo</t>
        </is>
      </c>
      <c r="G4" s="128" t="inlineStr">
        <is>
          <t>COD</t>
        </is>
      </c>
    </row>
    <row r="5">
      <c r="A5" s="128" t="inlineStr">
        <is>
          <t>Yakoma</t>
        </is>
      </c>
      <c r="B5" s="128" t="inlineStr">
        <is>
          <t>Yakoma</t>
        </is>
      </c>
      <c r="C5" s="128" t="inlineStr">
        <is>
          <t>CD4304</t>
        </is>
      </c>
      <c r="D5" s="128" t="inlineStr">
        <is>
          <t>Nord-Ubangi</t>
        </is>
      </c>
      <c r="E5" s="128" t="inlineStr">
        <is>
          <t>CD43</t>
        </is>
      </c>
      <c r="F5" s="128" t="inlineStr">
        <is>
          <t>Democratic Republic of the Congo</t>
        </is>
      </c>
      <c r="G5" s="128" t="inlineStr">
        <is>
          <t>COD</t>
        </is>
      </c>
    </row>
    <row r="6">
      <c r="A6" s="128" t="inlineStr">
        <is>
          <t>Yahuma</t>
        </is>
      </c>
      <c r="B6" s="128" t="inlineStr">
        <is>
          <t>Yahuma</t>
        </is>
      </c>
      <c r="C6" s="128" t="inlineStr">
        <is>
          <t>CD5107</t>
        </is>
      </c>
      <c r="D6" s="128" t="inlineStr">
        <is>
          <t>Tshopo</t>
        </is>
      </c>
      <c r="E6" s="128" t="inlineStr">
        <is>
          <t>CD51</t>
        </is>
      </c>
      <c r="F6" s="128" t="inlineStr">
        <is>
          <t>Democratic Republic of the Congo</t>
        </is>
      </c>
      <c r="G6" s="128" t="inlineStr">
        <is>
          <t>COD</t>
        </is>
      </c>
    </row>
    <row r="7">
      <c r="A7" s="128" t="inlineStr">
        <is>
          <t>Watsa</t>
        </is>
      </c>
      <c r="B7" s="128" t="inlineStr">
        <is>
          <t>Watsa</t>
        </is>
      </c>
      <c r="C7" s="128" t="inlineStr">
        <is>
          <t>CD5309</t>
        </is>
      </c>
      <c r="D7" s="128" t="inlineStr">
        <is>
          <t>Haut-Uele</t>
        </is>
      </c>
      <c r="E7" s="128" t="inlineStr">
        <is>
          <t>CD53</t>
        </is>
      </c>
      <c r="F7" s="128" t="inlineStr">
        <is>
          <t>Democratic Republic of the Congo</t>
        </is>
      </c>
      <c r="G7" s="128" t="inlineStr">
        <is>
          <t>COD</t>
        </is>
      </c>
    </row>
    <row r="8">
      <c r="A8" s="128" t="inlineStr">
        <is>
          <t>Wamba</t>
        </is>
      </c>
      <c r="B8" s="128" t="inlineStr">
        <is>
          <t>Wamba</t>
        </is>
      </c>
      <c r="C8" s="128" t="inlineStr">
        <is>
          <t>CD5311</t>
        </is>
      </c>
      <c r="D8" s="128" t="inlineStr">
        <is>
          <t>Haut-Uele</t>
        </is>
      </c>
      <c r="E8" s="128" t="inlineStr">
        <is>
          <t>CD53</t>
        </is>
      </c>
      <c r="F8" s="128" t="inlineStr">
        <is>
          <t>Democratic Republic of the Congo</t>
        </is>
      </c>
      <c r="G8" s="128" t="inlineStr">
        <is>
          <t>COD</t>
        </is>
      </c>
    </row>
    <row r="9">
      <c r="A9" s="128" t="inlineStr">
        <is>
          <t>Walungu</t>
        </is>
      </c>
      <c r="B9" s="128" t="inlineStr">
        <is>
          <t>Walungu</t>
        </is>
      </c>
      <c r="C9" s="128" t="inlineStr">
        <is>
          <t>CD6207</t>
        </is>
      </c>
      <c r="D9" s="128" t="inlineStr">
        <is>
          <t>Sud-Kivu</t>
        </is>
      </c>
      <c r="E9" s="128" t="inlineStr">
        <is>
          <t>CD62</t>
        </is>
      </c>
      <c r="F9" s="128" t="inlineStr">
        <is>
          <t>Democratic Republic of the Congo</t>
        </is>
      </c>
      <c r="G9" s="128" t="inlineStr">
        <is>
          <t>COD</t>
        </is>
      </c>
    </row>
    <row r="10">
      <c r="A10" s="128" t="inlineStr">
        <is>
          <t>Walikale</t>
        </is>
      </c>
      <c r="B10" s="128" t="inlineStr">
        <is>
          <t>Walikale</t>
        </is>
      </c>
      <c r="C10" s="128" t="inlineStr">
        <is>
          <t>CD6104</t>
        </is>
      </c>
      <c r="D10" s="128" t="inlineStr">
        <is>
          <t>Nord-Kivu</t>
        </is>
      </c>
      <c r="E10" s="128" t="inlineStr">
        <is>
          <t>CD61</t>
        </is>
      </c>
      <c r="F10" s="128" t="inlineStr">
        <is>
          <t>Democratic Republic of the Congo</t>
        </is>
      </c>
      <c r="G10" s="128" t="inlineStr">
        <is>
          <t>COD</t>
        </is>
      </c>
    </row>
    <row r="11">
      <c r="A11" s="128" t="inlineStr">
        <is>
          <t>Uvira</t>
        </is>
      </c>
      <c r="B11" s="128" t="inlineStr">
        <is>
          <t>Uvira</t>
        </is>
      </c>
      <c r="C11" s="128" t="inlineStr">
        <is>
          <t>CD6208</t>
        </is>
      </c>
      <c r="D11" s="128" t="inlineStr">
        <is>
          <t>Sud-Kivu</t>
        </is>
      </c>
      <c r="E11" s="128" t="inlineStr">
        <is>
          <t>CD62</t>
        </is>
      </c>
      <c r="F11" s="128" t="inlineStr">
        <is>
          <t>Democratic Republic of the Congo</t>
        </is>
      </c>
      <c r="G11" s="128" t="inlineStr">
        <is>
          <t>COD</t>
        </is>
      </c>
    </row>
    <row r="12">
      <c r="A12" s="128" t="inlineStr">
        <is>
          <t>Ubundu</t>
        </is>
      </c>
      <c r="B12" s="128" t="inlineStr">
        <is>
          <t>Ubundu</t>
        </is>
      </c>
      <c r="C12" s="128" t="inlineStr">
        <is>
          <t>CD5102</t>
        </is>
      </c>
      <c r="D12" s="128" t="inlineStr">
        <is>
          <t>Tshopo</t>
        </is>
      </c>
      <c r="E12" s="128" t="inlineStr">
        <is>
          <t>CD51</t>
        </is>
      </c>
      <c r="F12" s="128" t="inlineStr">
        <is>
          <t>Democratic Republic of the Congo</t>
        </is>
      </c>
      <c r="G12" s="128" t="inlineStr">
        <is>
          <t>COD</t>
        </is>
      </c>
    </row>
    <row r="13">
      <c r="A13" s="128" t="inlineStr">
        <is>
          <t>Tshumbe</t>
        </is>
      </c>
      <c r="B13" s="128" t="inlineStr">
        <is>
          <t>Tshumbe</t>
        </is>
      </c>
      <c r="C13" s="128" t="inlineStr">
        <is>
          <t>CD8311</t>
        </is>
      </c>
      <c r="D13" s="128" t="inlineStr">
        <is>
          <t>Sankuru</t>
        </is>
      </c>
      <c r="E13" s="128" t="inlineStr">
        <is>
          <t>CD83</t>
        </is>
      </c>
      <c r="F13" s="128" t="inlineStr">
        <is>
          <t>Democratic Republic of the Congo</t>
        </is>
      </c>
      <c r="G13" s="128" t="inlineStr">
        <is>
          <t>COD</t>
        </is>
      </c>
    </row>
    <row r="14">
      <c r="A14" s="128" t="inlineStr">
        <is>
          <t>Tshimbulu</t>
        </is>
      </c>
      <c r="B14" s="128" t="inlineStr">
        <is>
          <t>Tshimbulu</t>
        </is>
      </c>
      <c r="C14" s="128" t="inlineStr">
        <is>
          <t>CD9103</t>
        </is>
      </c>
      <c r="D14" s="128" t="inlineStr">
        <is>
          <t>Kasaï-Central</t>
        </is>
      </c>
      <c r="E14" s="128" t="inlineStr">
        <is>
          <t>CD91</t>
        </is>
      </c>
      <c r="F14" s="128" t="inlineStr">
        <is>
          <t>Democratic Republic of the Congo</t>
        </is>
      </c>
      <c r="G14" s="128" t="inlineStr">
        <is>
          <t>COD</t>
        </is>
      </c>
    </row>
    <row r="15">
      <c r="A15" s="128" t="inlineStr">
        <is>
          <t>Tshilenge</t>
        </is>
      </c>
      <c r="B15" s="128" t="inlineStr">
        <is>
          <t>Tshilenge</t>
        </is>
      </c>
      <c r="C15" s="128" t="inlineStr">
        <is>
          <t>CD8202</t>
        </is>
      </c>
      <c r="D15" s="128" t="inlineStr">
        <is>
          <t>Kasaï-Oriental</t>
        </is>
      </c>
      <c r="E15" s="128" t="inlineStr">
        <is>
          <t>CD82</t>
        </is>
      </c>
      <c r="F15" s="128" t="inlineStr">
        <is>
          <t>Democratic Republic of the Congo</t>
        </is>
      </c>
      <c r="G15" s="128" t="inlineStr">
        <is>
          <t>COD</t>
        </is>
      </c>
    </row>
    <row r="16">
      <c r="A16" s="128" t="inlineStr">
        <is>
          <t>Tshikapa</t>
        </is>
      </c>
      <c r="B16" s="128" t="inlineStr">
        <is>
          <t>Tshikapa</t>
        </is>
      </c>
      <c r="C16" s="128" t="inlineStr">
        <is>
          <t>CD9201</t>
        </is>
      </c>
      <c r="D16" s="128" t="inlineStr">
        <is>
          <t>Kasaï</t>
        </is>
      </c>
      <c r="E16" s="128" t="inlineStr">
        <is>
          <t>CD92</t>
        </is>
      </c>
      <c r="F16" s="128" t="inlineStr">
        <is>
          <t>Democratic Republic of the Congo</t>
        </is>
      </c>
      <c r="G16" s="128" t="inlineStr">
        <is>
          <t>COD</t>
        </is>
      </c>
    </row>
    <row r="17">
      <c r="A17" s="128" t="inlineStr">
        <is>
          <t>Tshela</t>
        </is>
      </c>
      <c r="B17" s="128" t="inlineStr">
        <is>
          <t>Tshela</t>
        </is>
      </c>
      <c r="C17" s="128" t="inlineStr">
        <is>
          <t>CD2007</t>
        </is>
      </c>
      <c r="D17" s="128" t="inlineStr">
        <is>
          <t>Kongo-Central</t>
        </is>
      </c>
      <c r="E17" s="128" t="inlineStr">
        <is>
          <t>CD20</t>
        </is>
      </c>
      <c r="F17" s="128" t="inlineStr">
        <is>
          <t>Democratic Republic of the Congo</t>
        </is>
      </c>
      <c r="G17" s="128" t="inlineStr">
        <is>
          <t>COD</t>
        </is>
      </c>
    </row>
    <row r="18">
      <c r="A18" s="128" t="inlineStr">
        <is>
          <t>Songololo</t>
        </is>
      </c>
      <c r="B18" s="128" t="inlineStr">
        <is>
          <t>Songololo</t>
        </is>
      </c>
      <c r="C18" s="128" t="inlineStr">
        <is>
          <t>CD2011</t>
        </is>
      </c>
      <c r="D18" s="128" t="inlineStr">
        <is>
          <t>Kongo-Central</t>
        </is>
      </c>
      <c r="E18" s="128" t="inlineStr">
        <is>
          <t>CD20</t>
        </is>
      </c>
      <c r="F18" s="128" t="inlineStr">
        <is>
          <t>Democratic Republic of the Congo</t>
        </is>
      </c>
      <c r="G18" s="128" t="inlineStr">
        <is>
          <t>COD</t>
        </is>
      </c>
    </row>
    <row r="19">
      <c r="A19" s="128" t="inlineStr">
        <is>
          <t>Shabunda</t>
        </is>
      </c>
      <c r="B19" s="128" t="inlineStr">
        <is>
          <t>Shabunda</t>
        </is>
      </c>
      <c r="C19" s="128" t="inlineStr">
        <is>
          <t>CD6203</t>
        </is>
      </c>
      <c r="D19" s="128" t="inlineStr">
        <is>
          <t>Sud-Kivu</t>
        </is>
      </c>
      <c r="E19" s="128" t="inlineStr">
        <is>
          <t>CD62</t>
        </is>
      </c>
      <c r="F19" s="128" t="inlineStr">
        <is>
          <t>Democratic Republic of the Congo</t>
        </is>
      </c>
      <c r="G19" s="128" t="inlineStr">
        <is>
          <t>COD</t>
        </is>
      </c>
    </row>
    <row r="20">
      <c r="A20" s="128" t="inlineStr">
        <is>
          <t>Seke-Banza</t>
        </is>
      </c>
      <c r="B20" s="128" t="inlineStr">
        <is>
          <t>Seke-Banza</t>
        </is>
      </c>
      <c r="C20" s="128" t="inlineStr">
        <is>
          <t>CD2009</t>
        </is>
      </c>
      <c r="D20" s="128" t="inlineStr">
        <is>
          <t>Kongo-Central</t>
        </is>
      </c>
      <c r="E20" s="128" t="inlineStr">
        <is>
          <t>CD20</t>
        </is>
      </c>
      <c r="F20" s="128" t="inlineStr">
        <is>
          <t>Democratic Republic of the Congo</t>
        </is>
      </c>
      <c r="G20" s="128" t="inlineStr">
        <is>
          <t>COD</t>
        </is>
      </c>
    </row>
    <row r="21">
      <c r="A21" s="128" t="inlineStr">
        <is>
          <t>Sandoa</t>
        </is>
      </c>
      <c r="B21" s="128" t="inlineStr">
        <is>
          <t>Sandoa</t>
        </is>
      </c>
      <c r="C21" s="128" t="inlineStr">
        <is>
          <t>CD7206</t>
        </is>
      </c>
      <c r="D21" s="128" t="inlineStr">
        <is>
          <t>Lualaba</t>
        </is>
      </c>
      <c r="E21" s="128" t="inlineStr">
        <is>
          <t>CD72</t>
        </is>
      </c>
      <c r="F21" s="128" t="inlineStr">
        <is>
          <t>Democratic Republic of the Congo</t>
        </is>
      </c>
      <c r="G21" s="128" t="inlineStr">
        <is>
          <t>COD</t>
        </is>
      </c>
    </row>
    <row r="22">
      <c r="A22" s="128" t="inlineStr">
        <is>
          <t>Sakania</t>
        </is>
      </c>
      <c r="B22" s="128" t="inlineStr">
        <is>
          <t>Sakania</t>
        </is>
      </c>
      <c r="C22" s="128" t="inlineStr">
        <is>
          <t>CD7104</t>
        </is>
      </c>
      <c r="D22" s="128" t="inlineStr">
        <is>
          <t>Haut-Katanga</t>
        </is>
      </c>
      <c r="E22" s="128" t="inlineStr">
        <is>
          <t>CD71</t>
        </is>
      </c>
      <c r="F22" s="128" t="inlineStr">
        <is>
          <t>Democratic Republic of the Congo</t>
        </is>
      </c>
      <c r="G22" s="128" t="inlineStr">
        <is>
          <t>COD</t>
        </is>
      </c>
    </row>
    <row r="23">
      <c r="A23" s="128" t="inlineStr">
        <is>
          <t>Rutshuru</t>
        </is>
      </c>
      <c r="B23" s="128" t="inlineStr">
        <is>
          <t>Rutshuru</t>
        </is>
      </c>
      <c r="C23" s="128" t="inlineStr">
        <is>
          <t>CD6111</t>
        </is>
      </c>
      <c r="D23" s="128" t="inlineStr">
        <is>
          <t>Nord-Kivu</t>
        </is>
      </c>
      <c r="E23" s="128" t="inlineStr">
        <is>
          <t>CD61</t>
        </is>
      </c>
      <c r="F23" s="128" t="inlineStr">
        <is>
          <t>Democratic Republic of the Congo</t>
        </is>
      </c>
      <c r="G23" s="128" t="inlineStr">
        <is>
          <t>COD</t>
        </is>
      </c>
    </row>
    <row r="24">
      <c r="A24" s="128" t="inlineStr">
        <is>
          <t>Rungu</t>
        </is>
      </c>
      <c r="B24" s="128" t="inlineStr">
        <is>
          <t>Rungu</t>
        </is>
      </c>
      <c r="C24" s="128" t="inlineStr">
        <is>
          <t>CD5302</t>
        </is>
      </c>
      <c r="D24" s="128" t="inlineStr">
        <is>
          <t>Haut-Uele</t>
        </is>
      </c>
      <c r="E24" s="128" t="inlineStr">
        <is>
          <t>CD53</t>
        </is>
      </c>
      <c r="F24" s="128" t="inlineStr">
        <is>
          <t>Democratic Republic of the Congo</t>
        </is>
      </c>
      <c r="G24" s="128" t="inlineStr">
        <is>
          <t>COD</t>
        </is>
      </c>
    </row>
    <row r="25">
      <c r="A25" s="128" t="inlineStr">
        <is>
          <t>Pweto</t>
        </is>
      </c>
      <c r="B25" s="128" t="inlineStr">
        <is>
          <t>Pweto</t>
        </is>
      </c>
      <c r="C25" s="128" t="inlineStr">
        <is>
          <t>CD7109</t>
        </is>
      </c>
      <c r="D25" s="128" t="inlineStr">
        <is>
          <t>Haut-Katanga</t>
        </is>
      </c>
      <c r="E25" s="128" t="inlineStr">
        <is>
          <t>CD71</t>
        </is>
      </c>
      <c r="F25" s="128" t="inlineStr">
        <is>
          <t>Democratic Republic of the Congo</t>
        </is>
      </c>
      <c r="G25" s="128" t="inlineStr">
        <is>
          <t>COD</t>
        </is>
      </c>
    </row>
    <row r="26">
      <c r="A26" s="128" t="inlineStr">
        <is>
          <t>Punia</t>
        </is>
      </c>
      <c r="B26" s="128" t="inlineStr">
        <is>
          <t>Punia</t>
        </is>
      </c>
      <c r="C26" s="128" t="inlineStr">
        <is>
          <t>CD6303</t>
        </is>
      </c>
      <c r="D26" s="128" t="inlineStr">
        <is>
          <t>Maniema</t>
        </is>
      </c>
      <c r="E26" s="128" t="inlineStr">
        <is>
          <t>CD63</t>
        </is>
      </c>
      <c r="F26" s="128" t="inlineStr">
        <is>
          <t>Democratic Republic of the Congo</t>
        </is>
      </c>
      <c r="G26" s="128" t="inlineStr">
        <is>
          <t>COD</t>
        </is>
      </c>
    </row>
    <row r="27">
      <c r="A27" s="128" t="inlineStr">
        <is>
          <t>Popokabaka</t>
        </is>
      </c>
      <c r="B27" s="128" t="inlineStr">
        <is>
          <t>Popokabaka</t>
        </is>
      </c>
      <c r="C27" s="128" t="inlineStr">
        <is>
          <t>CD3108</t>
        </is>
      </c>
      <c r="D27" s="128" t="inlineStr">
        <is>
          <t>Kwango</t>
        </is>
      </c>
      <c r="E27" s="128" t="inlineStr">
        <is>
          <t>CD31</t>
        </is>
      </c>
      <c r="F27" s="128" t="inlineStr">
        <is>
          <t>Democratic Republic of the Congo</t>
        </is>
      </c>
      <c r="G27" s="128" t="inlineStr">
        <is>
          <t>COD</t>
        </is>
      </c>
    </row>
    <row r="28">
      <c r="A28" s="128" t="inlineStr">
        <is>
          <t>Poko</t>
        </is>
      </c>
      <c r="B28" s="128" t="inlineStr">
        <is>
          <t>Poko</t>
        </is>
      </c>
      <c r="C28" s="128" t="inlineStr">
        <is>
          <t>CD5208</t>
        </is>
      </c>
      <c r="D28" s="128" t="inlineStr">
        <is>
          <t>Bas-Uele</t>
        </is>
      </c>
      <c r="E28" s="128" t="inlineStr">
        <is>
          <t>CD52</t>
        </is>
      </c>
      <c r="F28" s="128" t="inlineStr">
        <is>
          <t>Democratic Republic of the Congo</t>
        </is>
      </c>
      <c r="G28" s="128" t="inlineStr">
        <is>
          <t>COD</t>
        </is>
      </c>
    </row>
    <row r="29">
      <c r="A29" s="128" t="inlineStr">
        <is>
          <t>Pangi</t>
        </is>
      </c>
      <c r="B29" s="128" t="inlineStr">
        <is>
          <t>Pangi</t>
        </is>
      </c>
      <c r="C29" s="128" t="inlineStr">
        <is>
          <t>CD6307</t>
        </is>
      </c>
      <c r="D29" s="128" t="inlineStr">
        <is>
          <t>Maniema</t>
        </is>
      </c>
      <c r="E29" s="128" t="inlineStr">
        <is>
          <t>CD63</t>
        </is>
      </c>
      <c r="F29" s="128" t="inlineStr">
        <is>
          <t>Democratic Republic of the Congo</t>
        </is>
      </c>
      <c r="G29" s="128" t="inlineStr">
        <is>
          <t>COD</t>
        </is>
      </c>
    </row>
    <row r="30">
      <c r="A30" s="128" t="inlineStr">
        <is>
          <t>Oshwe</t>
        </is>
      </c>
      <c r="B30" s="128" t="inlineStr">
        <is>
          <t>Oshwe</t>
        </is>
      </c>
      <c r="C30" s="128" t="inlineStr">
        <is>
          <t>CD3304</t>
        </is>
      </c>
      <c r="D30" s="128" t="inlineStr">
        <is>
          <t>Maï-Ndombe</t>
        </is>
      </c>
      <c r="E30" s="128" t="inlineStr">
        <is>
          <t>CD33</t>
        </is>
      </c>
      <c r="F30" s="128" t="inlineStr">
        <is>
          <t>Democratic Republic of the Congo</t>
        </is>
      </c>
      <c r="G30" s="128" t="inlineStr">
        <is>
          <t>COD</t>
        </is>
      </c>
    </row>
    <row r="31">
      <c r="A31" s="128" t="inlineStr">
        <is>
          <t>Opala</t>
        </is>
      </c>
      <c r="B31" s="128" t="inlineStr">
        <is>
          <t>Opala</t>
        </is>
      </c>
      <c r="C31" s="128" t="inlineStr">
        <is>
          <t>CD5103</t>
        </is>
      </c>
      <c r="D31" s="128" t="inlineStr">
        <is>
          <t>Tshopo</t>
        </is>
      </c>
      <c r="E31" s="128" t="inlineStr">
        <is>
          <t>CD51</t>
        </is>
      </c>
      <c r="F31" s="128" t="inlineStr">
        <is>
          <t>Democratic Republic of the Congo</t>
        </is>
      </c>
      <c r="G31" s="128" t="inlineStr">
        <is>
          <t>COD</t>
        </is>
      </c>
    </row>
    <row r="32">
      <c r="A32" s="128" t="inlineStr">
        <is>
          <t>Oïcha</t>
        </is>
      </c>
      <c r="B32" s="128" t="inlineStr">
        <is>
          <t>Oïcha</t>
        </is>
      </c>
      <c r="C32" s="128" t="inlineStr">
        <is>
          <t>CD6107</t>
        </is>
      </c>
      <c r="D32" s="128" t="inlineStr">
        <is>
          <t>Nord-Kivu</t>
        </is>
      </c>
      <c r="E32" s="128" t="inlineStr">
        <is>
          <t>CD61</t>
        </is>
      </c>
      <c r="F32" s="128" t="inlineStr">
        <is>
          <t>Democratic Republic of the Congo</t>
        </is>
      </c>
      <c r="G32" s="128" t="inlineStr">
        <is>
          <t>COD</t>
        </is>
      </c>
    </row>
    <row r="33">
      <c r="A33" s="128" t="inlineStr">
        <is>
          <t>Nyunzu</t>
        </is>
      </c>
      <c r="B33" s="128" t="inlineStr">
        <is>
          <t>Nyunzu</t>
        </is>
      </c>
      <c r="C33" s="128" t="inlineStr">
        <is>
          <t>CD7410</t>
        </is>
      </c>
      <c r="D33" s="128" t="inlineStr">
        <is>
          <t>Tanganyika</t>
        </is>
      </c>
      <c r="E33" s="128" t="inlineStr">
        <is>
          <t>CD74</t>
        </is>
      </c>
      <c r="F33" s="128" t="inlineStr">
        <is>
          <t>Democratic Republic of the Congo</t>
        </is>
      </c>
      <c r="G33" s="128" t="inlineStr">
        <is>
          <t>COD</t>
        </is>
      </c>
    </row>
    <row r="34">
      <c r="A34" s="128" t="inlineStr">
        <is>
          <t>Nyiragongo</t>
        </is>
      </c>
      <c r="B34" s="128" t="inlineStr">
        <is>
          <t>Nyiragongo</t>
        </is>
      </c>
      <c r="C34" s="128" t="inlineStr">
        <is>
          <t>CD6102</t>
        </is>
      </c>
      <c r="D34" s="128" t="inlineStr">
        <is>
          <t>Nord-Kivu</t>
        </is>
      </c>
      <c r="E34" s="128" t="inlineStr">
        <is>
          <t>CD61</t>
        </is>
      </c>
      <c r="F34" s="128" t="inlineStr">
        <is>
          <t>Democratic Republic of the Congo</t>
        </is>
      </c>
      <c r="G34" s="128" t="inlineStr">
        <is>
          <t>COD</t>
        </is>
      </c>
    </row>
    <row r="35">
      <c r="A35" s="128" t="inlineStr">
        <is>
          <t>Nioki</t>
        </is>
      </c>
      <c r="B35" s="128" t="inlineStr">
        <is>
          <t>Nioki</t>
        </is>
      </c>
      <c r="C35" s="128" t="inlineStr">
        <is>
          <t>CD3305</t>
        </is>
      </c>
      <c r="D35" s="128" t="inlineStr">
        <is>
          <t>Maï-Ndombe</t>
        </is>
      </c>
      <c r="E35" s="128" t="inlineStr">
        <is>
          <t>CD33</t>
        </is>
      </c>
      <c r="F35" s="128" t="inlineStr">
        <is>
          <t>Democratic Republic of the Congo</t>
        </is>
      </c>
      <c r="G35" s="128" t="inlineStr">
        <is>
          <t>COD</t>
        </is>
      </c>
    </row>
    <row r="36">
      <c r="A36" s="128" t="inlineStr">
        <is>
          <t>Niangara</t>
        </is>
      </c>
      <c r="B36" s="128" t="inlineStr">
        <is>
          <t>Niangara</t>
        </is>
      </c>
      <c r="C36" s="128" t="inlineStr">
        <is>
          <t>CD5303</t>
        </is>
      </c>
      <c r="D36" s="128" t="inlineStr">
        <is>
          <t>Haut-Uele</t>
        </is>
      </c>
      <c r="E36" s="128" t="inlineStr">
        <is>
          <t>CD53</t>
        </is>
      </c>
      <c r="F36" s="128" t="inlineStr">
        <is>
          <t>Democratic Republic of the Congo</t>
        </is>
      </c>
      <c r="G36" s="128" t="inlineStr">
        <is>
          <t>COD</t>
        </is>
      </c>
    </row>
    <row r="37">
      <c r="A37" s="128" t="inlineStr">
        <is>
          <t>Ngandajika</t>
        </is>
      </c>
      <c r="B37" s="128" t="inlineStr">
        <is>
          <t>Ngandajika</t>
        </is>
      </c>
      <c r="C37" s="128" t="inlineStr">
        <is>
          <t>CD8106</t>
        </is>
      </c>
      <c r="D37" s="128" t="inlineStr">
        <is>
          <t>Lomami</t>
        </is>
      </c>
      <c r="E37" s="128" t="inlineStr">
        <is>
          <t>CD81</t>
        </is>
      </c>
      <c r="F37" s="128" t="inlineStr">
        <is>
          <t>Democratic Republic of the Congo</t>
        </is>
      </c>
      <c r="G37" s="128" t="inlineStr">
        <is>
          <t>COD</t>
        </is>
      </c>
    </row>
    <row r="38">
      <c r="A38" s="128" t="inlineStr">
        <is>
          <t>Namoya</t>
        </is>
      </c>
      <c r="B38" s="128" t="inlineStr">
        <is>
          <t>Namoya</t>
        </is>
      </c>
      <c r="C38" s="128" t="inlineStr">
        <is>
          <t>CD6310</t>
        </is>
      </c>
      <c r="D38" s="128" t="inlineStr">
        <is>
          <t>Maniema</t>
        </is>
      </c>
      <c r="E38" s="128" t="inlineStr">
        <is>
          <t>CD63</t>
        </is>
      </c>
      <c r="F38" s="128" t="inlineStr">
        <is>
          <t>Democratic Republic of the Congo</t>
        </is>
      </c>
      <c r="G38" s="128" t="inlineStr">
        <is>
          <t>COD</t>
        </is>
      </c>
    </row>
    <row r="39">
      <c r="A39" s="128" t="inlineStr">
        <is>
          <t>Mwenga</t>
        </is>
      </c>
      <c r="B39" s="128" t="inlineStr">
        <is>
          <t>Mwenga</t>
        </is>
      </c>
      <c r="C39" s="128" t="inlineStr">
        <is>
          <t>CD6212</t>
        </is>
      </c>
      <c r="D39" s="128" t="inlineStr">
        <is>
          <t>Sud-Kivu</t>
        </is>
      </c>
      <c r="E39" s="128" t="inlineStr">
        <is>
          <t>CD62</t>
        </is>
      </c>
      <c r="F39" s="128" t="inlineStr">
        <is>
          <t>Democratic Republic of the Congo</t>
        </is>
      </c>
      <c r="G39" s="128" t="inlineStr">
        <is>
          <t>COD</t>
        </is>
      </c>
    </row>
    <row r="40">
      <c r="A40" s="128" t="inlineStr">
        <is>
          <t>Mwene-Ditu</t>
        </is>
      </c>
      <c r="B40" s="128" t="inlineStr">
        <is>
          <t>Mwene-Ditu</t>
        </is>
      </c>
      <c r="C40" s="128" t="inlineStr">
        <is>
          <t>CD8103</t>
        </is>
      </c>
      <c r="D40" s="128" t="inlineStr">
        <is>
          <t>Lomami</t>
        </is>
      </c>
      <c r="E40" s="128" t="inlineStr">
        <is>
          <t>CD81</t>
        </is>
      </c>
      <c r="F40" s="128" t="inlineStr">
        <is>
          <t>Democratic Republic of the Congo</t>
        </is>
      </c>
      <c r="G40" s="128" t="inlineStr">
        <is>
          <t>COD</t>
        </is>
      </c>
    </row>
    <row r="41">
      <c r="A41" s="128" t="inlineStr">
        <is>
          <t>Mweka</t>
        </is>
      </c>
      <c r="B41" s="128" t="inlineStr">
        <is>
          <t>Mweka</t>
        </is>
      </c>
      <c r="C41" s="128" t="inlineStr">
        <is>
          <t>CD9207</t>
        </is>
      </c>
      <c r="D41" s="128" t="inlineStr">
        <is>
          <t>Kasaï</t>
        </is>
      </c>
      <c r="E41" s="128" t="inlineStr">
        <is>
          <t>CD92</t>
        </is>
      </c>
      <c r="F41" s="128" t="inlineStr">
        <is>
          <t>Democratic Republic of the Congo</t>
        </is>
      </c>
      <c r="G41" s="128" t="inlineStr">
        <is>
          <t>COD</t>
        </is>
      </c>
    </row>
    <row r="42">
      <c r="A42" s="128" t="inlineStr">
        <is>
          <t>Mutshatsha</t>
        </is>
      </c>
      <c r="B42" s="128" t="inlineStr">
        <is>
          <t>Mutshatsha</t>
        </is>
      </c>
      <c r="C42" s="128" t="inlineStr">
        <is>
          <t>CD7202</t>
        </is>
      </c>
      <c r="D42" s="128" t="inlineStr">
        <is>
          <t>Lualaba</t>
        </is>
      </c>
      <c r="E42" s="128" t="inlineStr">
        <is>
          <t>CD72</t>
        </is>
      </c>
      <c r="F42" s="128" t="inlineStr">
        <is>
          <t>Democratic Republic of the Congo</t>
        </is>
      </c>
      <c r="G42" s="128" t="inlineStr">
        <is>
          <t>COD</t>
        </is>
      </c>
    </row>
    <row r="43">
      <c r="A43" s="128" t="inlineStr">
        <is>
          <t>Mushie</t>
        </is>
      </c>
      <c r="B43" s="128" t="inlineStr">
        <is>
          <t>Mushie</t>
        </is>
      </c>
      <c r="C43" s="128" t="inlineStr">
        <is>
          <t>CD3311</t>
        </is>
      </c>
      <c r="D43" s="128" t="inlineStr">
        <is>
          <t>Maï-Ndombe</t>
        </is>
      </c>
      <c r="E43" s="128" t="inlineStr">
        <is>
          <t>CD33</t>
        </is>
      </c>
      <c r="F43" s="128" t="inlineStr">
        <is>
          <t>Democratic Republic of the Congo</t>
        </is>
      </c>
      <c r="G43" s="128" t="inlineStr">
        <is>
          <t>COD</t>
        </is>
      </c>
    </row>
    <row r="44">
      <c r="A44" s="128" t="inlineStr">
        <is>
          <t>Monkoto</t>
        </is>
      </c>
      <c r="B44" s="128" t="inlineStr">
        <is>
          <t>Monkoto</t>
        </is>
      </c>
      <c r="C44" s="128" t="inlineStr">
        <is>
          <t>CD4507</t>
        </is>
      </c>
      <c r="D44" s="128" t="inlineStr">
        <is>
          <t>Tshuapa</t>
        </is>
      </c>
      <c r="E44" s="128" t="inlineStr">
        <is>
          <t>CD45</t>
        </is>
      </c>
      <c r="F44" s="128" t="inlineStr">
        <is>
          <t>Democratic Republic of the Congo</t>
        </is>
      </c>
      <c r="G44" s="128" t="inlineStr">
        <is>
          <t>COD</t>
        </is>
      </c>
    </row>
    <row r="45">
      <c r="A45" s="128" t="inlineStr">
        <is>
          <t>Mongwalu</t>
        </is>
      </c>
      <c r="B45" s="128" t="inlineStr">
        <is>
          <t>Mongwalu</t>
        </is>
      </c>
      <c r="C45" s="128" t="inlineStr">
        <is>
          <t>CD5404</t>
        </is>
      </c>
      <c r="D45" s="128" t="inlineStr">
        <is>
          <t>Ituri</t>
        </is>
      </c>
      <c r="E45" s="128" t="inlineStr">
        <is>
          <t>CD54</t>
        </is>
      </c>
      <c r="F45" s="128" t="inlineStr">
        <is>
          <t>Democratic Republic of the Congo</t>
        </is>
      </c>
      <c r="G45" s="128" t="inlineStr">
        <is>
          <t>COD</t>
        </is>
      </c>
    </row>
    <row r="46">
      <c r="A46" s="128" t="inlineStr">
        <is>
          <t>Mobayi-Mbongo</t>
        </is>
      </c>
      <c r="B46" s="128" t="inlineStr">
        <is>
          <t>Mobayi-Mbongo</t>
        </is>
      </c>
      <c r="C46" s="128" t="inlineStr">
        <is>
          <t>CD4302</t>
        </is>
      </c>
      <c r="D46" s="128" t="inlineStr">
        <is>
          <t>Nord-Ubangi</t>
        </is>
      </c>
      <c r="E46" s="128" t="inlineStr">
        <is>
          <t>CD43</t>
        </is>
      </c>
      <c r="F46" s="128" t="inlineStr">
        <is>
          <t>Democratic Republic of the Congo</t>
        </is>
      </c>
      <c r="G46" s="128" t="inlineStr">
        <is>
          <t>COD</t>
        </is>
      </c>
    </row>
    <row r="47">
      <c r="A47" s="128" t="inlineStr">
        <is>
          <t>Moba</t>
        </is>
      </c>
      <c r="B47" s="128" t="inlineStr">
        <is>
          <t>Moba</t>
        </is>
      </c>
      <c r="C47" s="128" t="inlineStr">
        <is>
          <t>CD7404</t>
        </is>
      </c>
      <c r="D47" s="128" t="inlineStr">
        <is>
          <t>Tanganyika</t>
        </is>
      </c>
      <c r="E47" s="128" t="inlineStr">
        <is>
          <t>CD74</t>
        </is>
      </c>
      <c r="F47" s="128" t="inlineStr">
        <is>
          <t>Democratic Republic of the Congo</t>
        </is>
      </c>
      <c r="G47" s="128" t="inlineStr">
        <is>
          <t>COD</t>
        </is>
      </c>
    </row>
    <row r="48">
      <c r="A48" s="128" t="inlineStr">
        <is>
          <t>Moanda</t>
        </is>
      </c>
      <c r="B48" s="128" t="inlineStr">
        <is>
          <t>Moanda</t>
        </is>
      </c>
      <c r="C48" s="128" t="inlineStr">
        <is>
          <t>CD2003</t>
        </is>
      </c>
      <c r="D48" s="128" t="inlineStr">
        <is>
          <t>Kongo-Central</t>
        </is>
      </c>
      <c r="E48" s="128" t="inlineStr">
        <is>
          <t>CD20</t>
        </is>
      </c>
      <c r="F48" s="128" t="inlineStr">
        <is>
          <t>Democratic Republic of the Congo</t>
        </is>
      </c>
      <c r="G48" s="128" t="inlineStr">
        <is>
          <t>COD</t>
        </is>
      </c>
    </row>
    <row r="49">
      <c r="A49" s="128" t="inlineStr">
        <is>
          <t>Mitwaba</t>
        </is>
      </c>
      <c r="B49" s="128" t="inlineStr">
        <is>
          <t>Mitwaba</t>
        </is>
      </c>
      <c r="C49" s="128" t="inlineStr">
        <is>
          <t>CD7108</t>
        </is>
      </c>
      <c r="D49" s="128" t="inlineStr">
        <is>
          <t>Haut-Katanga</t>
        </is>
      </c>
      <c r="E49" s="128" t="inlineStr">
        <is>
          <t>CD71</t>
        </is>
      </c>
      <c r="F49" s="128" t="inlineStr">
        <is>
          <t>Democratic Republic of the Congo</t>
        </is>
      </c>
      <c r="G49" s="128" t="inlineStr">
        <is>
          <t>COD</t>
        </is>
      </c>
    </row>
    <row r="50">
      <c r="A50" s="128" t="inlineStr">
        <is>
          <t>Miabi</t>
        </is>
      </c>
      <c r="B50" s="128" t="inlineStr">
        <is>
          <t>Miabi</t>
        </is>
      </c>
      <c r="C50" s="128" t="inlineStr">
        <is>
          <t>CD8205</t>
        </is>
      </c>
      <c r="D50" s="128" t="inlineStr">
        <is>
          <t>Kasaï-Oriental</t>
        </is>
      </c>
      <c r="E50" s="128" t="inlineStr">
        <is>
          <t>CD82</t>
        </is>
      </c>
      <c r="F50" s="128" t="inlineStr">
        <is>
          <t>Democratic Republic of the Congo</t>
        </is>
      </c>
      <c r="G50" s="128" t="inlineStr">
        <is>
          <t>COD</t>
        </is>
      </c>
    </row>
    <row r="51">
      <c r="A51" s="128" t="inlineStr">
        <is>
          <t>Mbuji-Mayi</t>
        </is>
      </c>
      <c r="B51" s="128" t="inlineStr">
        <is>
          <t>Mbuji-Mayi</t>
        </is>
      </c>
      <c r="C51" s="128" t="inlineStr">
        <is>
          <t>CD8201</t>
        </is>
      </c>
      <c r="D51" s="128" t="inlineStr">
        <is>
          <t>Kasaï-Oriental</t>
        </is>
      </c>
      <c r="E51" s="128" t="inlineStr">
        <is>
          <t>CD82</t>
        </is>
      </c>
      <c r="F51" s="128" t="inlineStr">
        <is>
          <t>Democratic Republic of the Congo</t>
        </is>
      </c>
      <c r="G51" s="128" t="inlineStr">
        <is>
          <t>COD</t>
        </is>
      </c>
    </row>
    <row r="52">
      <c r="A52" s="128" t="inlineStr">
        <is>
          <t>Mbanza-Ngungu</t>
        </is>
      </c>
      <c r="B52" s="128" t="inlineStr">
        <is>
          <t>Mbanza-Ngungu</t>
        </is>
      </c>
      <c r="C52" s="128" t="inlineStr">
        <is>
          <t>CD2013</t>
        </is>
      </c>
      <c r="D52" s="128" t="inlineStr">
        <is>
          <t>Kongo-Central</t>
        </is>
      </c>
      <c r="E52" s="128" t="inlineStr">
        <is>
          <t>CD20</t>
        </is>
      </c>
      <c r="F52" s="128" t="inlineStr">
        <is>
          <t>Democratic Republic of the Congo</t>
        </is>
      </c>
      <c r="G52" s="128" t="inlineStr">
        <is>
          <t>COD</t>
        </is>
      </c>
    </row>
    <row r="53">
      <c r="A53" s="128" t="inlineStr">
        <is>
          <t>Mbandaka</t>
        </is>
      </c>
      <c r="B53" s="128" t="inlineStr">
        <is>
          <t>Mbandaka</t>
        </is>
      </c>
      <c r="C53" s="128" t="inlineStr">
        <is>
          <t>CD4101</t>
        </is>
      </c>
      <c r="D53" s="128" t="inlineStr">
        <is>
          <t>Equateur</t>
        </is>
      </c>
      <c r="E53" s="128" t="inlineStr">
        <is>
          <t>CD41</t>
        </is>
      </c>
      <c r="F53" s="128" t="inlineStr">
        <is>
          <t>Democratic Republic of the Congo</t>
        </is>
      </c>
      <c r="G53" s="128" t="inlineStr">
        <is>
          <t>COD</t>
        </is>
      </c>
    </row>
    <row r="54">
      <c r="A54" s="128" t="inlineStr">
        <is>
          <t>Matadi</t>
        </is>
      </c>
      <c r="B54" s="128" t="inlineStr">
        <is>
          <t>Matadi</t>
        </is>
      </c>
      <c r="C54" s="128" t="inlineStr">
        <is>
          <t>CD2001</t>
        </is>
      </c>
      <c r="D54" s="128" t="inlineStr">
        <is>
          <t>Kongo-Central</t>
        </is>
      </c>
      <c r="E54" s="128" t="inlineStr">
        <is>
          <t>CD20</t>
        </is>
      </c>
      <c r="F54" s="128" t="inlineStr">
        <is>
          <t>Democratic Republic of the Congo</t>
        </is>
      </c>
      <c r="G54" s="128" t="inlineStr">
        <is>
          <t>COD</t>
        </is>
      </c>
    </row>
    <row r="55">
      <c r="A55" s="128" t="inlineStr">
        <is>
          <t>Masisi</t>
        </is>
      </c>
      <c r="B55" s="128" t="inlineStr">
        <is>
          <t>Masisi</t>
        </is>
      </c>
      <c r="C55" s="128" t="inlineStr">
        <is>
          <t>CD6103</t>
        </is>
      </c>
      <c r="D55" s="128" t="inlineStr">
        <is>
          <t>Nord-Kivu</t>
        </is>
      </c>
      <c r="E55" s="128" t="inlineStr">
        <is>
          <t>CD61</t>
        </is>
      </c>
      <c r="F55" s="128" t="inlineStr">
        <is>
          <t>Democratic Republic of the Congo</t>
        </is>
      </c>
      <c r="G55" s="128" t="inlineStr">
        <is>
          <t>COD</t>
        </is>
      </c>
    </row>
    <row r="56">
      <c r="A56" s="128" t="inlineStr">
        <is>
          <t>Masi-Manimba</t>
        </is>
      </c>
      <c r="B56" s="128" t="inlineStr">
        <is>
          <t>Masi-Manimba</t>
        </is>
      </c>
      <c r="C56" s="128" t="inlineStr">
        <is>
          <t>CD3212</t>
        </is>
      </c>
      <c r="D56" s="128" t="inlineStr">
        <is>
          <t>Kwilu</t>
        </is>
      </c>
      <c r="E56" s="128" t="inlineStr">
        <is>
          <t>CD32</t>
        </is>
      </c>
      <c r="F56" s="128" t="inlineStr">
        <is>
          <t>Democratic Republic of the Congo</t>
        </is>
      </c>
      <c r="G56" s="128" t="inlineStr">
        <is>
          <t>COD</t>
        </is>
      </c>
    </row>
    <row r="57">
      <c r="A57" s="128" t="inlineStr">
        <is>
          <t>Manono</t>
        </is>
      </c>
      <c r="B57" s="128" t="inlineStr">
        <is>
          <t>Manono</t>
        </is>
      </c>
      <c r="C57" s="128" t="inlineStr">
        <is>
          <t>CD7406</t>
        </is>
      </c>
      <c r="D57" s="128" t="inlineStr">
        <is>
          <t>Tanganyika</t>
        </is>
      </c>
      <c r="E57" s="128" t="inlineStr">
        <is>
          <t>CD74</t>
        </is>
      </c>
      <c r="F57" s="128" t="inlineStr">
        <is>
          <t>Democratic Republic of the Congo</t>
        </is>
      </c>
      <c r="G57" s="128" t="inlineStr">
        <is>
          <t>COD</t>
        </is>
      </c>
    </row>
    <row r="58">
      <c r="A58" s="128" t="inlineStr">
        <is>
          <t>Mangai</t>
        </is>
      </c>
      <c r="B58" s="128" t="inlineStr">
        <is>
          <t>Mangai</t>
        </is>
      </c>
      <c r="C58" s="128" t="inlineStr">
        <is>
          <t>CD3208</t>
        </is>
      </c>
      <c r="D58" s="128" t="inlineStr">
        <is>
          <t>Kwilu</t>
        </is>
      </c>
      <c r="E58" s="128" t="inlineStr">
        <is>
          <t>CD32</t>
        </is>
      </c>
      <c r="F58" s="128" t="inlineStr">
        <is>
          <t>Democratic Republic of the Congo</t>
        </is>
      </c>
      <c r="G58" s="128" t="inlineStr">
        <is>
          <t>COD</t>
        </is>
      </c>
    </row>
    <row r="59">
      <c r="A59" s="128" t="inlineStr">
        <is>
          <t>Mambasa</t>
        </is>
      </c>
      <c r="B59" s="128" t="inlineStr">
        <is>
          <t>Mambasa</t>
        </is>
      </c>
      <c r="C59" s="128" t="inlineStr">
        <is>
          <t>CD5403</t>
        </is>
      </c>
      <c r="D59" s="128" t="inlineStr">
        <is>
          <t>Ituri</t>
        </is>
      </c>
      <c r="E59" s="128" t="inlineStr">
        <is>
          <t>CD54</t>
        </is>
      </c>
      <c r="F59" s="128" t="inlineStr">
        <is>
          <t>Democratic Republic of the Congo</t>
        </is>
      </c>
      <c r="G59" s="128" t="inlineStr">
        <is>
          <t>COD</t>
        </is>
      </c>
    </row>
    <row r="60">
      <c r="A60" s="128" t="inlineStr">
        <is>
          <t>Malemba-Nkulu</t>
        </is>
      </c>
      <c r="B60" s="128" t="inlineStr">
        <is>
          <t>Malemba-Nkulu</t>
        </is>
      </c>
      <c r="C60" s="128" t="inlineStr">
        <is>
          <t>CD7305</t>
        </is>
      </c>
      <c r="D60" s="128" t="inlineStr">
        <is>
          <t>Haut-Lomami</t>
        </is>
      </c>
      <c r="E60" s="128" t="inlineStr">
        <is>
          <t>CD73</t>
        </is>
      </c>
      <c r="F60" s="128" t="inlineStr">
        <is>
          <t>Democratic Republic of the Congo</t>
        </is>
      </c>
      <c r="G60" s="128" t="inlineStr">
        <is>
          <t>COD</t>
        </is>
      </c>
    </row>
    <row r="61">
      <c r="A61" s="128" t="inlineStr">
        <is>
          <t>Makanza</t>
        </is>
      </c>
      <c r="B61" s="128" t="inlineStr">
        <is>
          <t>Makanza</t>
        </is>
      </c>
      <c r="C61" s="128" t="inlineStr">
        <is>
          <t>CD4105</t>
        </is>
      </c>
      <c r="D61" s="128" t="inlineStr">
        <is>
          <t>Equateur</t>
        </is>
      </c>
      <c r="E61" s="128" t="inlineStr">
        <is>
          <t>CD41</t>
        </is>
      </c>
      <c r="F61" s="128" t="inlineStr">
        <is>
          <t>Democratic Republic of the Congo</t>
        </is>
      </c>
      <c r="G61" s="128" t="inlineStr">
        <is>
          <t>COD</t>
        </is>
      </c>
    </row>
    <row r="62">
      <c r="A62" s="128" t="inlineStr">
        <is>
          <t>Mahagi</t>
        </is>
      </c>
      <c r="B62" s="128" t="inlineStr">
        <is>
          <t>Mahagi</t>
        </is>
      </c>
      <c r="C62" s="128" t="inlineStr">
        <is>
          <t>CD5407</t>
        </is>
      </c>
      <c r="D62" s="128" t="inlineStr">
        <is>
          <t>Ituri</t>
        </is>
      </c>
      <c r="E62" s="128" t="inlineStr">
        <is>
          <t>CD54</t>
        </is>
      </c>
      <c r="F62" s="128" t="inlineStr">
        <is>
          <t>Democratic Republic of the Congo</t>
        </is>
      </c>
      <c r="G62" s="128" t="inlineStr">
        <is>
          <t>COD</t>
        </is>
      </c>
    </row>
    <row r="63">
      <c r="A63" s="128" t="inlineStr">
        <is>
          <t>Madimba</t>
        </is>
      </c>
      <c r="B63" s="128" t="inlineStr">
        <is>
          <t>Madimba</t>
        </is>
      </c>
      <c r="C63" s="128" t="inlineStr">
        <is>
          <t>CD2017</t>
        </is>
      </c>
      <c r="D63" s="128" t="inlineStr">
        <is>
          <t>Kongo-Central</t>
        </is>
      </c>
      <c r="E63" s="128" t="inlineStr">
        <is>
          <t>CD20</t>
        </is>
      </c>
      <c r="F63" s="128" t="inlineStr">
        <is>
          <t>Democratic Republic of the Congo</t>
        </is>
      </c>
      <c r="G63" s="128" t="inlineStr">
        <is>
          <t>COD</t>
        </is>
      </c>
    </row>
    <row r="64">
      <c r="A64" s="128" t="inlineStr">
        <is>
          <t>Lusambo</t>
        </is>
      </c>
      <c r="B64" s="128" t="inlineStr">
        <is>
          <t>Lusambo</t>
        </is>
      </c>
      <c r="C64" s="128" t="inlineStr">
        <is>
          <t>CD8302</t>
        </is>
      </c>
      <c r="D64" s="128" t="inlineStr">
        <is>
          <t>Sankuru</t>
        </is>
      </c>
      <c r="E64" s="128" t="inlineStr">
        <is>
          <t>CD83</t>
        </is>
      </c>
      <c r="F64" s="128" t="inlineStr">
        <is>
          <t>Democratic Republic of the Congo</t>
        </is>
      </c>
      <c r="G64" s="128" t="inlineStr">
        <is>
          <t>COD</t>
        </is>
      </c>
    </row>
    <row r="65">
      <c r="A65" s="128" t="inlineStr">
        <is>
          <t>Lupatapata</t>
        </is>
      </c>
      <c r="B65" s="128" t="inlineStr">
        <is>
          <t>Lupatapata</t>
        </is>
      </c>
      <c r="C65" s="128" t="inlineStr">
        <is>
          <t>CD8208</t>
        </is>
      </c>
      <c r="D65" s="128" t="inlineStr">
        <is>
          <t>Kasaï-Oriental</t>
        </is>
      </c>
      <c r="E65" s="128" t="inlineStr">
        <is>
          <t>CD82</t>
        </is>
      </c>
      <c r="F65" s="128" t="inlineStr">
        <is>
          <t>Democratic Republic of the Congo</t>
        </is>
      </c>
      <c r="G65" s="128" t="inlineStr">
        <is>
          <t>COD</t>
        </is>
      </c>
    </row>
    <row r="66">
      <c r="A66" s="128" t="inlineStr">
        <is>
          <t>Luozi</t>
        </is>
      </c>
      <c r="B66" s="128" t="inlineStr">
        <is>
          <t>Luozi</t>
        </is>
      </c>
      <c r="C66" s="128" t="inlineStr">
        <is>
          <t>CD2010</t>
        </is>
      </c>
      <c r="D66" s="128" t="inlineStr">
        <is>
          <t>Kongo-Central</t>
        </is>
      </c>
      <c r="E66" s="128" t="inlineStr">
        <is>
          <t>CD20</t>
        </is>
      </c>
      <c r="F66" s="128" t="inlineStr">
        <is>
          <t>Democratic Republic of the Congo</t>
        </is>
      </c>
      <c r="G66" s="128" t="inlineStr">
        <is>
          <t>COD</t>
        </is>
      </c>
    </row>
    <row r="67">
      <c r="A67" s="128" t="inlineStr">
        <is>
          <t>Lukula</t>
        </is>
      </c>
      <c r="B67" s="128" t="inlineStr">
        <is>
          <t>Lukula</t>
        </is>
      </c>
      <c r="C67" s="128" t="inlineStr">
        <is>
          <t>CD2005</t>
        </is>
      </c>
      <c r="D67" s="128" t="inlineStr">
        <is>
          <t>Kongo-Central</t>
        </is>
      </c>
      <c r="E67" s="128" t="inlineStr">
        <is>
          <t>CD20</t>
        </is>
      </c>
      <c r="F67" s="128" t="inlineStr">
        <is>
          <t>Democratic Republic of the Congo</t>
        </is>
      </c>
      <c r="G67" s="128" t="inlineStr">
        <is>
          <t>COD</t>
        </is>
      </c>
    </row>
    <row r="68">
      <c r="A68" s="128" t="inlineStr">
        <is>
          <t>Lukolela</t>
        </is>
      </c>
      <c r="B68" s="128" t="inlineStr">
        <is>
          <t>Lukolela</t>
        </is>
      </c>
      <c r="C68" s="128" t="inlineStr">
        <is>
          <t>CD4103</t>
        </is>
      </c>
      <c r="D68" s="128" t="inlineStr">
        <is>
          <t>Equateur</t>
        </is>
      </c>
      <c r="E68" s="128" t="inlineStr">
        <is>
          <t>CD41</t>
        </is>
      </c>
      <c r="F68" s="128" t="inlineStr">
        <is>
          <t>Democratic Republic of the Congo</t>
        </is>
      </c>
      <c r="G68" s="128" t="inlineStr">
        <is>
          <t>COD</t>
        </is>
      </c>
    </row>
    <row r="69">
      <c r="A69" s="128" t="inlineStr">
        <is>
          <t>Lukalaba</t>
        </is>
      </c>
      <c r="B69" s="128" t="inlineStr">
        <is>
          <t>Lukalaba</t>
        </is>
      </c>
      <c r="C69" s="128" t="inlineStr">
        <is>
          <t>CD8204</t>
        </is>
      </c>
      <c r="D69" s="128" t="inlineStr">
        <is>
          <t>Kasaï-Oriental</t>
        </is>
      </c>
      <c r="E69" s="128" t="inlineStr">
        <is>
          <t>CD82</t>
        </is>
      </c>
      <c r="F69" s="128" t="inlineStr">
        <is>
          <t>Democratic Republic of the Congo</t>
        </is>
      </c>
      <c r="G69" s="128" t="inlineStr">
        <is>
          <t>COD</t>
        </is>
      </c>
    </row>
    <row r="70">
      <c r="A70" s="128" t="inlineStr">
        <is>
          <t>Luiza</t>
        </is>
      </c>
      <c r="B70" s="128" t="inlineStr">
        <is>
          <t>Luiza</t>
        </is>
      </c>
      <c r="C70" s="128" t="inlineStr">
        <is>
          <t>CD9104</t>
        </is>
      </c>
      <c r="D70" s="128" t="inlineStr">
        <is>
          <t>Kasaï-Central</t>
        </is>
      </c>
      <c r="E70" s="128" t="inlineStr">
        <is>
          <t>CD91</t>
        </is>
      </c>
      <c r="F70" s="128" t="inlineStr">
        <is>
          <t>Democratic Republic of the Congo</t>
        </is>
      </c>
      <c r="G70" s="128" t="inlineStr">
        <is>
          <t>COD</t>
        </is>
      </c>
    </row>
    <row r="71">
      <c r="A71" s="128" t="inlineStr">
        <is>
          <t>Luilu</t>
        </is>
      </c>
      <c r="B71" s="128" t="inlineStr">
        <is>
          <t>Luilu</t>
        </is>
      </c>
      <c r="C71" s="128" t="inlineStr">
        <is>
          <t>CD8104</t>
        </is>
      </c>
      <c r="D71" s="128" t="inlineStr">
        <is>
          <t>Lomami</t>
        </is>
      </c>
      <c r="E71" s="128" t="inlineStr">
        <is>
          <t>CD81</t>
        </is>
      </c>
      <c r="F71" s="128" t="inlineStr">
        <is>
          <t>Democratic Republic of the Congo</t>
        </is>
      </c>
      <c r="G71" s="128" t="inlineStr">
        <is>
          <t>COD</t>
        </is>
      </c>
    </row>
    <row r="72">
      <c r="A72" s="128" t="inlineStr">
        <is>
          <t>Luebo</t>
        </is>
      </c>
      <c r="B72" s="128" t="inlineStr">
        <is>
          <t>Luebo</t>
        </is>
      </c>
      <c r="C72" s="128" t="inlineStr">
        <is>
          <t>CD9204</t>
        </is>
      </c>
      <c r="D72" s="128" t="inlineStr">
        <is>
          <t>Kasaï</t>
        </is>
      </c>
      <c r="E72" s="128" t="inlineStr">
        <is>
          <t>CD92</t>
        </is>
      </c>
      <c r="F72" s="128" t="inlineStr">
        <is>
          <t>Democratic Republic of the Congo</t>
        </is>
      </c>
      <c r="G72" s="128" t="inlineStr">
        <is>
          <t>COD</t>
        </is>
      </c>
    </row>
    <row r="73">
      <c r="A73" s="128" t="inlineStr">
        <is>
          <t>Lubutu</t>
        </is>
      </c>
      <c r="B73" s="128" t="inlineStr">
        <is>
          <t>Lubutu</t>
        </is>
      </c>
      <c r="C73" s="128" t="inlineStr">
        <is>
          <t>CD6305</t>
        </is>
      </c>
      <c r="D73" s="128" t="inlineStr">
        <is>
          <t>Maniema</t>
        </is>
      </c>
      <c r="E73" s="128" t="inlineStr">
        <is>
          <t>CD63</t>
        </is>
      </c>
      <c r="F73" s="128" t="inlineStr">
        <is>
          <t>Democratic Republic of the Congo</t>
        </is>
      </c>
      <c r="G73" s="128" t="inlineStr">
        <is>
          <t>COD</t>
        </is>
      </c>
    </row>
    <row r="74">
      <c r="A74" s="128" t="inlineStr">
        <is>
          <t>Lubumbashi</t>
        </is>
      </c>
      <c r="B74" s="128" t="inlineStr">
        <is>
          <t>Lubumbashi</t>
        </is>
      </c>
      <c r="C74" s="128" t="inlineStr">
        <is>
          <t>CD7101</t>
        </is>
      </c>
      <c r="D74" s="128" t="inlineStr">
        <is>
          <t>Haut-Katanga</t>
        </is>
      </c>
      <c r="E74" s="128" t="inlineStr">
        <is>
          <t>CD71</t>
        </is>
      </c>
      <c r="F74" s="128" t="inlineStr">
        <is>
          <t>Democratic Republic of the Congo</t>
        </is>
      </c>
      <c r="G74" s="128" t="inlineStr">
        <is>
          <t>COD</t>
        </is>
      </c>
    </row>
    <row r="75">
      <c r="A75" s="128" t="inlineStr">
        <is>
          <t>Lubudi</t>
        </is>
      </c>
      <c r="B75" s="128" t="inlineStr">
        <is>
          <t>Lubudi</t>
        </is>
      </c>
      <c r="C75" s="128" t="inlineStr">
        <is>
          <t>CD7203</t>
        </is>
      </c>
      <c r="D75" s="128" t="inlineStr">
        <is>
          <t>Lualaba</t>
        </is>
      </c>
      <c r="E75" s="128" t="inlineStr">
        <is>
          <t>CD72</t>
        </is>
      </c>
      <c r="F75" s="128" t="inlineStr">
        <is>
          <t>Democratic Republic of the Congo</t>
        </is>
      </c>
      <c r="G75" s="128" t="inlineStr">
        <is>
          <t>COD</t>
        </is>
      </c>
    </row>
    <row r="76">
      <c r="A76" s="128" t="inlineStr">
        <is>
          <t>Lubero</t>
        </is>
      </c>
      <c r="B76" s="128" t="inlineStr">
        <is>
          <t>Lubero</t>
        </is>
      </c>
      <c r="C76" s="128" t="inlineStr">
        <is>
          <t>CD6105</t>
        </is>
      </c>
      <c r="D76" s="128" t="inlineStr">
        <is>
          <t>Nord-Kivu</t>
        </is>
      </c>
      <c r="E76" s="128" t="inlineStr">
        <is>
          <t>CD61</t>
        </is>
      </c>
      <c r="F76" s="128" t="inlineStr">
        <is>
          <t>Democratic Republic of the Congo</t>
        </is>
      </c>
      <c r="G76" s="128" t="inlineStr">
        <is>
          <t>COD</t>
        </is>
      </c>
    </row>
    <row r="77">
      <c r="A77" s="128" t="inlineStr">
        <is>
          <t>Lubefu</t>
        </is>
      </c>
      <c r="B77" s="128" t="inlineStr">
        <is>
          <t>Lubefu</t>
        </is>
      </c>
      <c r="C77" s="128" t="inlineStr">
        <is>
          <t>CD8309</t>
        </is>
      </c>
      <c r="D77" s="128" t="inlineStr">
        <is>
          <t>Sankuru</t>
        </is>
      </c>
      <c r="E77" s="128" t="inlineStr">
        <is>
          <t>CD83</t>
        </is>
      </c>
      <c r="F77" s="128" t="inlineStr">
        <is>
          <t>Democratic Republic of the Congo</t>
        </is>
      </c>
      <c r="G77" s="128" t="inlineStr">
        <is>
          <t>COD</t>
        </is>
      </c>
    </row>
    <row r="78">
      <c r="A78" s="128" t="inlineStr">
        <is>
          <t>Lubao</t>
        </is>
      </c>
      <c r="B78" s="128" t="inlineStr">
        <is>
          <t>Lubao</t>
        </is>
      </c>
      <c r="C78" s="128" t="inlineStr">
        <is>
          <t>CD8108</t>
        </is>
      </c>
      <c r="D78" s="128" t="inlineStr">
        <is>
          <t>Lomami</t>
        </is>
      </c>
      <c r="E78" s="128" t="inlineStr">
        <is>
          <t>CD81</t>
        </is>
      </c>
      <c r="F78" s="128" t="inlineStr">
        <is>
          <t>Democratic Republic of the Congo</t>
        </is>
      </c>
      <c r="G78" s="128" t="inlineStr">
        <is>
          <t>COD</t>
        </is>
      </c>
    </row>
    <row r="79">
      <c r="A79" s="128" t="inlineStr">
        <is>
          <t>Lomela</t>
        </is>
      </c>
      <c r="B79" s="128" t="inlineStr">
        <is>
          <t>Lomela</t>
        </is>
      </c>
      <c r="C79" s="128" t="inlineStr">
        <is>
          <t>CD8307</t>
        </is>
      </c>
      <c r="D79" s="128" t="inlineStr">
        <is>
          <t>Sankuru</t>
        </is>
      </c>
      <c r="E79" s="128" t="inlineStr">
        <is>
          <t>CD83</t>
        </is>
      </c>
      <c r="F79" s="128" t="inlineStr">
        <is>
          <t>Democratic Republic of the Congo</t>
        </is>
      </c>
      <c r="G79" s="128" t="inlineStr">
        <is>
          <t>COD</t>
        </is>
      </c>
    </row>
    <row r="80">
      <c r="A80" s="128" t="inlineStr">
        <is>
          <t>Lodja</t>
        </is>
      </c>
      <c r="B80" s="128" t="inlineStr">
        <is>
          <t>Lodja</t>
        </is>
      </c>
      <c r="C80" s="128" t="inlineStr">
        <is>
          <t>CD8303</t>
        </is>
      </c>
      <c r="D80" s="128" t="inlineStr">
        <is>
          <t>Sankuru</t>
        </is>
      </c>
      <c r="E80" s="128" t="inlineStr">
        <is>
          <t>CD83</t>
        </is>
      </c>
      <c r="F80" s="128" t="inlineStr">
        <is>
          <t>Democratic Republic of the Congo</t>
        </is>
      </c>
      <c r="G80" s="128" t="inlineStr">
        <is>
          <t>COD</t>
        </is>
      </c>
    </row>
    <row r="81">
      <c r="A81" s="128" t="inlineStr">
        <is>
          <t>Lisala</t>
        </is>
      </c>
      <c r="B81" s="128" t="inlineStr">
        <is>
          <t>Lisala</t>
        </is>
      </c>
      <c r="C81" s="128" t="inlineStr">
        <is>
          <t>CD4402</t>
        </is>
      </c>
      <c r="D81" s="128" t="inlineStr">
        <is>
          <t>Mongala</t>
        </is>
      </c>
      <c r="E81" s="128" t="inlineStr">
        <is>
          <t>CD44</t>
        </is>
      </c>
      <c r="F81" s="128" t="inlineStr">
        <is>
          <t>Democratic Republic of the Congo</t>
        </is>
      </c>
      <c r="G81" s="128" t="inlineStr">
        <is>
          <t>COD</t>
        </is>
      </c>
    </row>
    <row r="82">
      <c r="A82" s="128" t="inlineStr">
        <is>
          <t>Likasi</t>
        </is>
      </c>
      <c r="B82" s="128" t="inlineStr">
        <is>
          <t>Likasi</t>
        </is>
      </c>
      <c r="C82" s="128" t="inlineStr">
        <is>
          <t>CD7106</t>
        </is>
      </c>
      <c r="D82" s="128" t="inlineStr">
        <is>
          <t>Haut-Katanga</t>
        </is>
      </c>
      <c r="E82" s="128" t="inlineStr">
        <is>
          <t>CD71</t>
        </is>
      </c>
      <c r="F82" s="128" t="inlineStr">
        <is>
          <t>Democratic Republic of the Congo</t>
        </is>
      </c>
      <c r="G82" s="128" t="inlineStr">
        <is>
          <t>COD</t>
        </is>
      </c>
    </row>
    <row r="83">
      <c r="A83" s="128" t="inlineStr">
        <is>
          <t>Libenge</t>
        </is>
      </c>
      <c r="B83" s="128" t="inlineStr">
        <is>
          <t>Libenge</t>
        </is>
      </c>
      <c r="C83" s="128" t="inlineStr">
        <is>
          <t>CD4205</t>
        </is>
      </c>
      <c r="D83" s="128" t="inlineStr">
        <is>
          <t>Sud-Ubangi</t>
        </is>
      </c>
      <c r="E83" s="128" t="inlineStr">
        <is>
          <t>CD42</t>
        </is>
      </c>
      <c r="F83" s="128" t="inlineStr">
        <is>
          <t>Democratic Republic of the Congo</t>
        </is>
      </c>
      <c r="G83" s="128" t="inlineStr">
        <is>
          <t>COD</t>
        </is>
      </c>
    </row>
    <row r="84">
      <c r="A84" s="128" t="inlineStr">
        <is>
          <t>Kwamouth</t>
        </is>
      </c>
      <c r="B84" s="128" t="inlineStr">
        <is>
          <t>Kwamouth</t>
        </is>
      </c>
      <c r="C84" s="128" t="inlineStr">
        <is>
          <t>CD3307</t>
        </is>
      </c>
      <c r="D84" s="128" t="inlineStr">
        <is>
          <t>Maï-Ndombe</t>
        </is>
      </c>
      <c r="E84" s="128" t="inlineStr">
        <is>
          <t>CD33</t>
        </is>
      </c>
      <c r="F84" s="128" t="inlineStr">
        <is>
          <t>Democratic Republic of the Congo</t>
        </is>
      </c>
      <c r="G84" s="128" t="inlineStr">
        <is>
          <t>COD</t>
        </is>
      </c>
    </row>
    <row r="85">
      <c r="A85" s="128" t="inlineStr">
        <is>
          <t>Kutu</t>
        </is>
      </c>
      <c r="B85" s="128" t="inlineStr">
        <is>
          <t>Kutu</t>
        </is>
      </c>
      <c r="C85" s="128" t="inlineStr">
        <is>
          <t>CD3306</t>
        </is>
      </c>
      <c r="D85" s="128" t="inlineStr">
        <is>
          <t>Maï-Ndombe</t>
        </is>
      </c>
      <c r="E85" s="128" t="inlineStr">
        <is>
          <t>CD33</t>
        </is>
      </c>
      <c r="F85" s="128" t="inlineStr">
        <is>
          <t>Democratic Republic of the Congo</t>
        </is>
      </c>
      <c r="G85" s="128" t="inlineStr">
        <is>
          <t>COD</t>
        </is>
      </c>
    </row>
    <row r="86">
      <c r="A86" s="128" t="inlineStr">
        <is>
          <t>Kungu</t>
        </is>
      </c>
      <c r="B86" s="128" t="inlineStr">
        <is>
          <t>Kungu</t>
        </is>
      </c>
      <c r="C86" s="128" t="inlineStr">
        <is>
          <t>CD4204</t>
        </is>
      </c>
      <c r="D86" s="128" t="inlineStr">
        <is>
          <t>Sud-Ubangi</t>
        </is>
      </c>
      <c r="E86" s="128" t="inlineStr">
        <is>
          <t>CD42</t>
        </is>
      </c>
      <c r="F86" s="128" t="inlineStr">
        <is>
          <t>Democratic Republic of the Congo</t>
        </is>
      </c>
      <c r="G86" s="128" t="inlineStr">
        <is>
          <t>COD</t>
        </is>
      </c>
    </row>
    <row r="87">
      <c r="A87" s="128" t="inlineStr">
        <is>
          <t>Kongolo</t>
        </is>
      </c>
      <c r="B87" s="128" t="inlineStr">
        <is>
          <t>Kongolo</t>
        </is>
      </c>
      <c r="C87" s="128" t="inlineStr">
        <is>
          <t>CD7409</t>
        </is>
      </c>
      <c r="D87" s="128" t="inlineStr">
        <is>
          <t>Tanganyika</t>
        </is>
      </c>
      <c r="E87" s="128" t="inlineStr">
        <is>
          <t>CD74</t>
        </is>
      </c>
      <c r="F87" s="128" t="inlineStr">
        <is>
          <t>Democratic Republic of the Congo</t>
        </is>
      </c>
      <c r="G87" s="128" t="inlineStr">
        <is>
          <t>COD</t>
        </is>
      </c>
    </row>
    <row r="88">
      <c r="A88" s="128" t="inlineStr">
        <is>
          <t>Kolwezi</t>
        </is>
      </c>
      <c r="B88" s="128" t="inlineStr">
        <is>
          <t>Kolwezi</t>
        </is>
      </c>
      <c r="C88" s="128" t="inlineStr">
        <is>
          <t>CD7201</t>
        </is>
      </c>
      <c r="D88" s="128" t="inlineStr">
        <is>
          <t>Lualaba</t>
        </is>
      </c>
      <c r="E88" s="128" t="inlineStr">
        <is>
          <t>CD72</t>
        </is>
      </c>
      <c r="F88" s="128" t="inlineStr">
        <is>
          <t>Democratic Republic of the Congo</t>
        </is>
      </c>
      <c r="G88" s="128" t="inlineStr">
        <is>
          <t>COD</t>
        </is>
      </c>
    </row>
    <row r="89">
      <c r="A89" s="128" t="inlineStr">
        <is>
          <t>Kole</t>
        </is>
      </c>
      <c r="B89" s="128" t="inlineStr">
        <is>
          <t>Kole</t>
        </is>
      </c>
      <c r="C89" s="128" t="inlineStr">
        <is>
          <t>CD8306</t>
        </is>
      </c>
      <c r="D89" s="128" t="inlineStr">
        <is>
          <t>Sankuru</t>
        </is>
      </c>
      <c r="E89" s="128" t="inlineStr">
        <is>
          <t>CD83</t>
        </is>
      </c>
      <c r="F89" s="128" t="inlineStr">
        <is>
          <t>Democratic Republic of the Congo</t>
        </is>
      </c>
      <c r="G89" s="128" t="inlineStr">
        <is>
          <t>COD</t>
        </is>
      </c>
    </row>
    <row r="90">
      <c r="A90" s="128" t="inlineStr">
        <is>
          <t>Kisangani</t>
        </is>
      </c>
      <c r="B90" s="128" t="inlineStr">
        <is>
          <t>Kisangani</t>
        </is>
      </c>
      <c r="C90" s="128" t="inlineStr">
        <is>
          <t>CD5101</t>
        </is>
      </c>
      <c r="D90" s="128" t="inlineStr">
        <is>
          <t>Tshopo</t>
        </is>
      </c>
      <c r="E90" s="128" t="inlineStr">
        <is>
          <t>CD51</t>
        </is>
      </c>
      <c r="F90" s="128" t="inlineStr">
        <is>
          <t>Democratic Republic of the Congo</t>
        </is>
      </c>
      <c r="G90" s="128" t="inlineStr">
        <is>
          <t>COD</t>
        </is>
      </c>
    </row>
    <row r="91">
      <c r="A91" s="128" t="inlineStr">
        <is>
          <t>Kiri</t>
        </is>
      </c>
      <c r="B91" s="128" t="inlineStr">
        <is>
          <t>Kiri</t>
        </is>
      </c>
      <c r="C91" s="128" t="inlineStr">
        <is>
          <t>CD3303</t>
        </is>
      </c>
      <c r="D91" s="128" t="inlineStr">
        <is>
          <t>Maï-Ndombe</t>
        </is>
      </c>
      <c r="E91" s="128" t="inlineStr">
        <is>
          <t>CD33</t>
        </is>
      </c>
      <c r="F91" s="128" t="inlineStr">
        <is>
          <t>Democratic Republic of the Congo</t>
        </is>
      </c>
      <c r="G91" s="128" t="inlineStr">
        <is>
          <t>COD</t>
        </is>
      </c>
    </row>
    <row r="92">
      <c r="A92" s="128" t="inlineStr">
        <is>
          <t>Kipushi</t>
        </is>
      </c>
      <c r="B92" s="128" t="inlineStr">
        <is>
          <t>Kipushi</t>
        </is>
      </c>
      <c r="C92" s="128" t="inlineStr">
        <is>
          <t>CD7102</t>
        </is>
      </c>
      <c r="D92" s="128" t="inlineStr">
        <is>
          <t>Haut-Katanga</t>
        </is>
      </c>
      <c r="E92" s="128" t="inlineStr">
        <is>
          <t>CD71</t>
        </is>
      </c>
      <c r="F92" s="128" t="inlineStr">
        <is>
          <t>Democratic Republic of the Congo</t>
        </is>
      </c>
      <c r="G92" s="128" t="inlineStr">
        <is>
          <t>COD</t>
        </is>
      </c>
    </row>
    <row r="93">
      <c r="A93" s="128" t="inlineStr">
        <is>
          <t>Kinshasa</t>
        </is>
      </c>
      <c r="B93" s="128" t="inlineStr">
        <is>
          <t>Kinshasa</t>
        </is>
      </c>
      <c r="C93" s="128" t="inlineStr">
        <is>
          <t>CD1000</t>
        </is>
      </c>
      <c r="D93" s="128" t="inlineStr">
        <is>
          <t>Kinshasa</t>
        </is>
      </c>
      <c r="E93" s="128" t="inlineStr">
        <is>
          <t>CD10</t>
        </is>
      </c>
      <c r="F93" s="128" t="inlineStr">
        <is>
          <t>Democratic Republic of the Congo</t>
        </is>
      </c>
      <c r="G93" s="128" t="inlineStr">
        <is>
          <t>COD</t>
        </is>
      </c>
    </row>
    <row r="94">
      <c r="A94" s="128" t="inlineStr">
        <is>
          <t>Kindu</t>
        </is>
      </c>
      <c r="B94" s="128" t="inlineStr">
        <is>
          <t>Kindu</t>
        </is>
      </c>
      <c r="C94" s="128" t="inlineStr">
        <is>
          <t>CD6301</t>
        </is>
      </c>
      <c r="D94" s="128" t="inlineStr">
        <is>
          <t>Maniema</t>
        </is>
      </c>
      <c r="E94" s="128" t="inlineStr">
        <is>
          <t>CD63</t>
        </is>
      </c>
      <c r="F94" s="128" t="inlineStr">
        <is>
          <t>Democratic Republic of the Congo</t>
        </is>
      </c>
      <c r="G94" s="128" t="inlineStr">
        <is>
          <t>COD</t>
        </is>
      </c>
    </row>
    <row r="95">
      <c r="A95" s="128" t="inlineStr">
        <is>
          <t>Kimvula</t>
        </is>
      </c>
      <c r="B95" s="128" t="inlineStr">
        <is>
          <t>Kimvula</t>
        </is>
      </c>
      <c r="C95" s="128" t="inlineStr">
        <is>
          <t>CD2019</t>
        </is>
      </c>
      <c r="D95" s="128" t="inlineStr">
        <is>
          <t>Kongo-Central</t>
        </is>
      </c>
      <c r="E95" s="128" t="inlineStr">
        <is>
          <t>CD20</t>
        </is>
      </c>
      <c r="F95" s="128" t="inlineStr">
        <is>
          <t>Democratic Republic of the Congo</t>
        </is>
      </c>
      <c r="G95" s="128" t="inlineStr">
        <is>
          <t>COD</t>
        </is>
      </c>
    </row>
    <row r="96">
      <c r="A96" s="128" t="inlineStr">
        <is>
          <t>Kikwit</t>
        </is>
      </c>
      <c r="B96" s="128" t="inlineStr">
        <is>
          <t>Kikwit</t>
        </is>
      </c>
      <c r="C96" s="128" t="inlineStr">
        <is>
          <t>CD3203</t>
        </is>
      </c>
      <c r="D96" s="128" t="inlineStr">
        <is>
          <t>Kwilu</t>
        </is>
      </c>
      <c r="E96" s="128" t="inlineStr">
        <is>
          <t>CD32</t>
        </is>
      </c>
      <c r="F96" s="128" t="inlineStr">
        <is>
          <t>Democratic Republic of the Congo</t>
        </is>
      </c>
      <c r="G96" s="128" t="inlineStr">
        <is>
          <t>COD</t>
        </is>
      </c>
    </row>
    <row r="97">
      <c r="A97" s="128" t="inlineStr">
        <is>
          <t>Kibombo</t>
        </is>
      </c>
      <c r="B97" s="128" t="inlineStr">
        <is>
          <t>Kibombo</t>
        </is>
      </c>
      <c r="C97" s="128" t="inlineStr">
        <is>
          <t>CD6313</t>
        </is>
      </c>
      <c r="D97" s="128" t="inlineStr">
        <is>
          <t>Maniema</t>
        </is>
      </c>
      <c r="E97" s="128" t="inlineStr">
        <is>
          <t>CD63</t>
        </is>
      </c>
      <c r="F97" s="128" t="inlineStr">
        <is>
          <t>Democratic Republic of the Congo</t>
        </is>
      </c>
      <c r="G97" s="128" t="inlineStr">
        <is>
          <t>COD</t>
        </is>
      </c>
    </row>
    <row r="98">
      <c r="A98" s="128" t="inlineStr">
        <is>
          <t>Kenge</t>
        </is>
      </c>
      <c r="B98" s="128" t="inlineStr">
        <is>
          <t>Kenge</t>
        </is>
      </c>
      <c r="C98" s="128" t="inlineStr">
        <is>
          <t>CD3102</t>
        </is>
      </c>
      <c r="D98" s="128" t="inlineStr">
        <is>
          <t>Kwango</t>
        </is>
      </c>
      <c r="E98" s="128" t="inlineStr">
        <is>
          <t>CD31</t>
        </is>
      </c>
      <c r="F98" s="128" t="inlineStr">
        <is>
          <t>Democratic Republic of the Congo</t>
        </is>
      </c>
      <c r="G98" s="128" t="inlineStr">
        <is>
          <t>COD</t>
        </is>
      </c>
    </row>
    <row r="99">
      <c r="A99" s="128" t="inlineStr">
        <is>
          <t>Kazumba</t>
        </is>
      </c>
      <c r="B99" s="128" t="inlineStr">
        <is>
          <t>Kazumba</t>
        </is>
      </c>
      <c r="C99" s="128" t="inlineStr">
        <is>
          <t>CD9105</t>
        </is>
      </c>
      <c r="D99" s="128" t="inlineStr">
        <is>
          <t>Kasaï-Central</t>
        </is>
      </c>
      <c r="E99" s="128" t="inlineStr">
        <is>
          <t>CD91</t>
        </is>
      </c>
      <c r="F99" s="128" t="inlineStr">
        <is>
          <t>Democratic Republic of the Congo</t>
        </is>
      </c>
      <c r="G99" s="128" t="inlineStr">
        <is>
          <t>COD</t>
        </is>
      </c>
    </row>
    <row r="100">
      <c r="A100" s="128" t="inlineStr">
        <is>
          <t>Katanda</t>
        </is>
      </c>
      <c r="B100" s="128" t="inlineStr">
        <is>
          <t>Katanda</t>
        </is>
      </c>
      <c r="C100" s="128" t="inlineStr">
        <is>
          <t>CD8209</t>
        </is>
      </c>
      <c r="D100" s="128" t="inlineStr">
        <is>
          <t>Kasaï-Oriental</t>
        </is>
      </c>
      <c r="E100" s="128" t="inlineStr">
        <is>
          <t>CD82</t>
        </is>
      </c>
      <c r="F100" s="128" t="inlineStr">
        <is>
          <t>Democratic Republic of the Congo</t>
        </is>
      </c>
      <c r="G100" s="128" t="inlineStr">
        <is>
          <t>COD</t>
        </is>
      </c>
    </row>
    <row r="101">
      <c r="A101" s="128" t="inlineStr">
        <is>
          <t>Katako-Kombe</t>
        </is>
      </c>
      <c r="B101" s="128" t="inlineStr">
        <is>
          <t>Katako-Kombe</t>
        </is>
      </c>
      <c r="C101" s="128" t="inlineStr">
        <is>
          <t>CD8308</t>
        </is>
      </c>
      <c r="D101" s="128" t="inlineStr">
        <is>
          <t>Sankuru</t>
        </is>
      </c>
      <c r="E101" s="128" t="inlineStr">
        <is>
          <t>CD83</t>
        </is>
      </c>
      <c r="F101" s="128" t="inlineStr">
        <is>
          <t>Democratic Republic of the Congo</t>
        </is>
      </c>
      <c r="G101" s="128" t="inlineStr">
        <is>
          <t>COD</t>
        </is>
      </c>
    </row>
    <row r="102">
      <c r="A102" s="128" t="inlineStr">
        <is>
          <t>Kasongo-Lunda</t>
        </is>
      </c>
      <c r="B102" s="128" t="inlineStr">
        <is>
          <t>Kasongo-Lunda</t>
        </is>
      </c>
      <c r="C102" s="128" t="inlineStr">
        <is>
          <t>CD3107</t>
        </is>
      </c>
      <c r="D102" s="128" t="inlineStr">
        <is>
          <t>Kwango</t>
        </is>
      </c>
      <c r="E102" s="128" t="inlineStr">
        <is>
          <t>CD31</t>
        </is>
      </c>
      <c r="F102" s="128" t="inlineStr">
        <is>
          <t>Democratic Republic of the Congo</t>
        </is>
      </c>
      <c r="G102" s="128" t="inlineStr">
        <is>
          <t>COD</t>
        </is>
      </c>
    </row>
    <row r="103">
      <c r="A103" s="128" t="inlineStr">
        <is>
          <t>Kasongo</t>
        </is>
      </c>
      <c r="B103" s="128" t="inlineStr">
        <is>
          <t>Kasongo</t>
        </is>
      </c>
      <c r="C103" s="128" t="inlineStr">
        <is>
          <t>CD6311</t>
        </is>
      </c>
      <c r="D103" s="128" t="inlineStr">
        <is>
          <t>Maniema</t>
        </is>
      </c>
      <c r="E103" s="128" t="inlineStr">
        <is>
          <t>CD63</t>
        </is>
      </c>
      <c r="F103" s="128" t="inlineStr">
        <is>
          <t>Democratic Republic of the Congo</t>
        </is>
      </c>
      <c r="G103" s="128" t="inlineStr">
        <is>
          <t>COD</t>
        </is>
      </c>
    </row>
    <row r="104">
      <c r="A104" s="128" t="inlineStr">
        <is>
          <t>Kasenga</t>
        </is>
      </c>
      <c r="B104" s="128" t="inlineStr">
        <is>
          <t>Kasenga</t>
        </is>
      </c>
      <c r="C104" s="128" t="inlineStr">
        <is>
          <t>CD7107</t>
        </is>
      </c>
      <c r="D104" s="128" t="inlineStr">
        <is>
          <t>Haut-Katanga</t>
        </is>
      </c>
      <c r="E104" s="128" t="inlineStr">
        <is>
          <t>CD71</t>
        </is>
      </c>
      <c r="F104" s="128" t="inlineStr">
        <is>
          <t>Democratic Republic of the Congo</t>
        </is>
      </c>
      <c r="G104" s="128" t="inlineStr">
        <is>
          <t>COD</t>
        </is>
      </c>
    </row>
    <row r="105">
      <c r="A105" s="128" t="inlineStr">
        <is>
          <t>Kasangulu</t>
        </is>
      </c>
      <c r="B105" s="128" t="inlineStr">
        <is>
          <t>Kasangulu</t>
        </is>
      </c>
      <c r="C105" s="128" t="inlineStr">
        <is>
          <t>CD2015</t>
        </is>
      </c>
      <c r="D105" s="128" t="inlineStr">
        <is>
          <t>Kongo-Central</t>
        </is>
      </c>
      <c r="E105" s="128" t="inlineStr">
        <is>
          <t>CD20</t>
        </is>
      </c>
      <c r="F105" s="128" t="inlineStr">
        <is>
          <t>Democratic Republic of the Congo</t>
        </is>
      </c>
      <c r="G105" s="128" t="inlineStr">
        <is>
          <t>COD</t>
        </is>
      </c>
    </row>
    <row r="106">
      <c r="A106" s="128" t="inlineStr">
        <is>
          <t>Kasaji</t>
        </is>
      </c>
      <c r="B106" s="128" t="inlineStr">
        <is>
          <t>Kasaji</t>
        </is>
      </c>
      <c r="C106" s="128" t="inlineStr">
        <is>
          <t>CD7204</t>
        </is>
      </c>
      <c r="D106" s="128" t="inlineStr">
        <is>
          <t>Lualaba</t>
        </is>
      </c>
      <c r="E106" s="128" t="inlineStr">
        <is>
          <t>CD72</t>
        </is>
      </c>
      <c r="F106" s="128" t="inlineStr">
        <is>
          <t>Democratic Republic of the Congo</t>
        </is>
      </c>
      <c r="G106" s="128" t="inlineStr">
        <is>
          <t>COD</t>
        </is>
      </c>
    </row>
    <row r="107">
      <c r="A107" s="128" t="inlineStr">
        <is>
          <t>Kapanga</t>
        </is>
      </c>
      <c r="B107" s="128" t="inlineStr">
        <is>
          <t>Kapanga</t>
        </is>
      </c>
      <c r="C107" s="128" t="inlineStr">
        <is>
          <t>CD7207</t>
        </is>
      </c>
      <c r="D107" s="128" t="inlineStr">
        <is>
          <t>Lualaba</t>
        </is>
      </c>
      <c r="E107" s="128" t="inlineStr">
        <is>
          <t>CD72</t>
        </is>
      </c>
      <c r="F107" s="128" t="inlineStr">
        <is>
          <t>Democratic Republic of the Congo</t>
        </is>
      </c>
      <c r="G107" s="128" t="inlineStr">
        <is>
          <t>COD</t>
        </is>
      </c>
    </row>
    <row r="108">
      <c r="A108" s="128" t="inlineStr">
        <is>
          <t>Kaoze</t>
        </is>
      </c>
      <c r="B108" s="128" t="inlineStr">
        <is>
          <t>Kaoze</t>
        </is>
      </c>
      <c r="C108" s="128" t="inlineStr">
        <is>
          <t>CD7403</t>
        </is>
      </c>
      <c r="D108" s="128" t="inlineStr">
        <is>
          <t>Tanganyika</t>
        </is>
      </c>
      <c r="E108" s="128" t="inlineStr">
        <is>
          <t>CD74</t>
        </is>
      </c>
      <c r="F108" s="128" t="inlineStr">
        <is>
          <t>Democratic Republic of the Congo</t>
        </is>
      </c>
      <c r="G108" s="128" t="inlineStr">
        <is>
          <t>COD</t>
        </is>
      </c>
    </row>
    <row r="109">
      <c r="A109" s="128" t="inlineStr">
        <is>
          <t>Kaniama</t>
        </is>
      </c>
      <c r="B109" s="128" t="inlineStr">
        <is>
          <t>Kaniama</t>
        </is>
      </c>
      <c r="C109" s="128" t="inlineStr">
        <is>
          <t>CD7303</t>
        </is>
      </c>
      <c r="D109" s="128" t="inlineStr">
        <is>
          <t>Haut-Lomami</t>
        </is>
      </c>
      <c r="E109" s="128" t="inlineStr">
        <is>
          <t>CD73</t>
        </is>
      </c>
      <c r="F109" s="128" t="inlineStr">
        <is>
          <t>Democratic Republic of the Congo</t>
        </is>
      </c>
      <c r="G109" s="128" t="inlineStr">
        <is>
          <t>COD</t>
        </is>
      </c>
    </row>
    <row r="110">
      <c r="A110" s="128" t="inlineStr">
        <is>
          <t>Kananga</t>
        </is>
      </c>
      <c r="B110" s="128" t="inlineStr">
        <is>
          <t>Kananga</t>
        </is>
      </c>
      <c r="C110" s="128" t="inlineStr">
        <is>
          <t>CD9101</t>
        </is>
      </c>
      <c r="D110" s="128" t="inlineStr">
        <is>
          <t>Kasaï-Central</t>
        </is>
      </c>
      <c r="E110" s="128" t="inlineStr">
        <is>
          <t>CD91</t>
        </is>
      </c>
      <c r="F110" s="128" t="inlineStr">
        <is>
          <t>Democratic Republic of the Congo</t>
        </is>
      </c>
      <c r="G110" s="128" t="inlineStr">
        <is>
          <t>COD</t>
        </is>
      </c>
    </row>
    <row r="111">
      <c r="A111" s="128" t="inlineStr">
        <is>
          <t>Kamonia</t>
        </is>
      </c>
      <c r="B111" s="128" t="inlineStr">
        <is>
          <t>Kamonia</t>
        </is>
      </c>
      <c r="C111" s="128" t="inlineStr">
        <is>
          <t>CD9202</t>
        </is>
      </c>
      <c r="D111" s="128" t="inlineStr">
        <is>
          <t>Kasaï</t>
        </is>
      </c>
      <c r="E111" s="128" t="inlineStr">
        <is>
          <t>CD92</t>
        </is>
      </c>
      <c r="F111" s="128" t="inlineStr">
        <is>
          <t>Democratic Republic of the Congo</t>
        </is>
      </c>
      <c r="G111" s="128" t="inlineStr">
        <is>
          <t>COD</t>
        </is>
      </c>
    </row>
    <row r="112">
      <c r="A112" s="128" t="inlineStr">
        <is>
          <t>Kamituga</t>
        </is>
      </c>
      <c r="B112" s="128" t="inlineStr">
        <is>
          <t>Kamituga</t>
        </is>
      </c>
      <c r="C112" s="128" t="inlineStr">
        <is>
          <t>CD6213</t>
        </is>
      </c>
      <c r="D112" s="128" t="inlineStr">
        <is>
          <t>Sud-Kivu</t>
        </is>
      </c>
      <c r="E112" s="128" t="inlineStr">
        <is>
          <t>CD62</t>
        </is>
      </c>
      <c r="F112" s="128" t="inlineStr">
        <is>
          <t>Democratic Republic of the Congo</t>
        </is>
      </c>
      <c r="G112" s="128" t="inlineStr">
        <is>
          <t>COD</t>
        </is>
      </c>
    </row>
    <row r="113">
      <c r="A113" s="128" t="inlineStr">
        <is>
          <t>Kamina</t>
        </is>
      </c>
      <c r="B113" s="128" t="inlineStr">
        <is>
          <t>Kamina</t>
        </is>
      </c>
      <c r="C113" s="128" t="inlineStr">
        <is>
          <t>CD7302</t>
        </is>
      </c>
      <c r="D113" s="128" t="inlineStr">
        <is>
          <t>Haut-Lomami</t>
        </is>
      </c>
      <c r="E113" s="128" t="inlineStr">
        <is>
          <t>CD73</t>
        </is>
      </c>
      <c r="F113" s="128" t="inlineStr">
        <is>
          <t>Democratic Republic of the Congo</t>
        </is>
      </c>
      <c r="G113" s="128" t="inlineStr">
        <is>
          <t>COD</t>
        </is>
      </c>
    </row>
    <row r="114">
      <c r="A114" s="128" t="inlineStr">
        <is>
          <t>Kamiji</t>
        </is>
      </c>
      <c r="B114" s="128" t="inlineStr">
        <is>
          <t>Kamiji</t>
        </is>
      </c>
      <c r="C114" s="128" t="inlineStr">
        <is>
          <t>CD8105</t>
        </is>
      </c>
      <c r="D114" s="128" t="inlineStr">
        <is>
          <t>Lomami</t>
        </is>
      </c>
      <c r="E114" s="128" t="inlineStr">
        <is>
          <t>CD81</t>
        </is>
      </c>
      <c r="F114" s="128" t="inlineStr">
        <is>
          <t>Democratic Republic of the Congo</t>
        </is>
      </c>
      <c r="G114" s="128" t="inlineStr">
        <is>
          <t>COD</t>
        </is>
      </c>
    </row>
    <row r="115">
      <c r="A115" s="128" t="inlineStr">
        <is>
          <t>Kambove</t>
        </is>
      </c>
      <c r="B115" s="128" t="inlineStr">
        <is>
          <t>Kambove</t>
        </is>
      </c>
      <c r="C115" s="128" t="inlineStr">
        <is>
          <t>CD7105</t>
        </is>
      </c>
      <c r="D115" s="128" t="inlineStr">
        <is>
          <t>Haut-Katanga</t>
        </is>
      </c>
      <c r="E115" s="128" t="inlineStr">
        <is>
          <t>CD71</t>
        </is>
      </c>
      <c r="F115" s="128" t="inlineStr">
        <is>
          <t>Democratic Republic of the Congo</t>
        </is>
      </c>
      <c r="G115" s="128" t="inlineStr">
        <is>
          <t>COD</t>
        </is>
      </c>
    </row>
    <row r="116">
      <c r="A116" s="128" t="inlineStr">
        <is>
          <t>Kalima</t>
        </is>
      </c>
      <c r="B116" s="128" t="inlineStr">
        <is>
          <t>Kalima</t>
        </is>
      </c>
      <c r="C116" s="128" t="inlineStr">
        <is>
          <t>CD6308</t>
        </is>
      </c>
      <c r="D116" s="128" t="inlineStr">
        <is>
          <t>Maniema</t>
        </is>
      </c>
      <c r="E116" s="128" t="inlineStr">
        <is>
          <t>CD63</t>
        </is>
      </c>
      <c r="F116" s="128" t="inlineStr">
        <is>
          <t>Democratic Republic of the Congo</t>
        </is>
      </c>
      <c r="G116" s="128" t="inlineStr">
        <is>
          <t>COD</t>
        </is>
      </c>
    </row>
    <row r="117">
      <c r="A117" s="128" t="inlineStr">
        <is>
          <t>Kalemie</t>
        </is>
      </c>
      <c r="B117" s="128" t="inlineStr">
        <is>
          <t>Kalemie</t>
        </is>
      </c>
      <c r="C117" s="128" t="inlineStr">
        <is>
          <t>CD7402</t>
        </is>
      </c>
      <c r="D117" s="128" t="inlineStr">
        <is>
          <t>Tanganyika</t>
        </is>
      </c>
      <c r="E117" s="128" t="inlineStr">
        <is>
          <t>CD74</t>
        </is>
      </c>
      <c r="F117" s="128" t="inlineStr">
        <is>
          <t>Democratic Republic of the Congo</t>
        </is>
      </c>
      <c r="G117" s="128" t="inlineStr">
        <is>
          <t>COD</t>
        </is>
      </c>
    </row>
    <row r="118">
      <c r="A118" s="128" t="inlineStr">
        <is>
          <t>Kalehe</t>
        </is>
      </c>
      <c r="B118" s="128" t="inlineStr">
        <is>
          <t>Kalehe</t>
        </is>
      </c>
      <c r="C118" s="128" t="inlineStr">
        <is>
          <t>CD6205</t>
        </is>
      </c>
      <c r="D118" s="128" t="inlineStr">
        <is>
          <t>Sud-Kivu</t>
        </is>
      </c>
      <c r="E118" s="128" t="inlineStr">
        <is>
          <t>CD62</t>
        </is>
      </c>
      <c r="F118" s="128" t="inlineStr">
        <is>
          <t>Democratic Republic of the Congo</t>
        </is>
      </c>
      <c r="G118" s="128" t="inlineStr">
        <is>
          <t>COD</t>
        </is>
      </c>
    </row>
    <row r="119">
      <c r="A119" s="128" t="inlineStr">
        <is>
          <t>Kailo</t>
        </is>
      </c>
      <c r="B119" s="128" t="inlineStr">
        <is>
          <t>Kailo</t>
        </is>
      </c>
      <c r="C119" s="128" t="inlineStr">
        <is>
          <t>CD6302</t>
        </is>
      </c>
      <c r="D119" s="128" t="inlineStr">
        <is>
          <t>Maniema</t>
        </is>
      </c>
      <c r="E119" s="128" t="inlineStr">
        <is>
          <t>CD63</t>
        </is>
      </c>
      <c r="F119" s="128" t="inlineStr">
        <is>
          <t>Democratic Republic of the Congo</t>
        </is>
      </c>
      <c r="G119" s="128" t="inlineStr">
        <is>
          <t>COD</t>
        </is>
      </c>
    </row>
    <row r="120">
      <c r="A120" s="128" t="inlineStr">
        <is>
          <t>Kahemba</t>
        </is>
      </c>
      <c r="B120" s="128" t="inlineStr">
        <is>
          <t>Kahemba</t>
        </is>
      </c>
      <c r="C120" s="128" t="inlineStr">
        <is>
          <t>CD3105</t>
        </is>
      </c>
      <c r="D120" s="128" t="inlineStr">
        <is>
          <t>Kwango</t>
        </is>
      </c>
      <c r="E120" s="128" t="inlineStr">
        <is>
          <t>CD31</t>
        </is>
      </c>
      <c r="F120" s="128" t="inlineStr">
        <is>
          <t>Democratic Republic of the Congo</t>
        </is>
      </c>
      <c r="G120" s="128" t="inlineStr">
        <is>
          <t>COD</t>
        </is>
      </c>
    </row>
    <row r="121">
      <c r="A121" s="128" t="inlineStr">
        <is>
          <t>Kabongo</t>
        </is>
      </c>
      <c r="B121" s="128" t="inlineStr">
        <is>
          <t>Kabongo</t>
        </is>
      </c>
      <c r="C121" s="128" t="inlineStr">
        <is>
          <t>CD7304</t>
        </is>
      </c>
      <c r="D121" s="128" t="inlineStr">
        <is>
          <t>Haut-Lomami</t>
        </is>
      </c>
      <c r="E121" s="128" t="inlineStr">
        <is>
          <t>CD73</t>
        </is>
      </c>
      <c r="F121" s="128" t="inlineStr">
        <is>
          <t>Democratic Republic of the Congo</t>
        </is>
      </c>
      <c r="G121" s="128" t="inlineStr">
        <is>
          <t>COD</t>
        </is>
      </c>
    </row>
    <row r="122">
      <c r="A122" s="128" t="inlineStr">
        <is>
          <t>Kabinda</t>
        </is>
      </c>
      <c r="B122" s="128" t="inlineStr">
        <is>
          <t>Kabinda</t>
        </is>
      </c>
      <c r="C122" s="128" t="inlineStr">
        <is>
          <t>CD8102</t>
        </is>
      </c>
      <c r="D122" s="128" t="inlineStr">
        <is>
          <t>Lomami</t>
        </is>
      </c>
      <c r="E122" s="128" t="inlineStr">
        <is>
          <t>CD81</t>
        </is>
      </c>
      <c r="F122" s="128" t="inlineStr">
        <is>
          <t>Democratic Republic of the Congo</t>
        </is>
      </c>
      <c r="G122" s="128" t="inlineStr">
        <is>
          <t>COD</t>
        </is>
      </c>
    </row>
    <row r="123">
      <c r="A123" s="128" t="inlineStr">
        <is>
          <t>Kabeya-Kamwanga</t>
        </is>
      </c>
      <c r="B123" s="128" t="inlineStr">
        <is>
          <t>Kabeya-Kamwanga</t>
        </is>
      </c>
      <c r="C123" s="128" t="inlineStr">
        <is>
          <t>CD8207</t>
        </is>
      </c>
      <c r="D123" s="128" t="inlineStr">
        <is>
          <t>Kasaï-Oriental</t>
        </is>
      </c>
      <c r="E123" s="128" t="inlineStr">
        <is>
          <t>CD82</t>
        </is>
      </c>
      <c r="F123" s="128" t="inlineStr">
        <is>
          <t>Democratic Republic of the Congo</t>
        </is>
      </c>
      <c r="G123" s="128" t="inlineStr">
        <is>
          <t>COD</t>
        </is>
      </c>
    </row>
    <row r="124">
      <c r="A124" s="128" t="inlineStr">
        <is>
          <t>Kabare</t>
        </is>
      </c>
      <c r="B124" s="128" t="inlineStr">
        <is>
          <t>Kabare</t>
        </is>
      </c>
      <c r="C124" s="128" t="inlineStr">
        <is>
          <t>CD6202</t>
        </is>
      </c>
      <c r="D124" s="128" t="inlineStr">
        <is>
          <t>Sud-Kivu</t>
        </is>
      </c>
      <c r="E124" s="128" t="inlineStr">
        <is>
          <t>CD62</t>
        </is>
      </c>
      <c r="F124" s="128" t="inlineStr">
        <is>
          <t>Democratic Republic of the Congo</t>
        </is>
      </c>
      <c r="G124" s="128" t="inlineStr">
        <is>
          <t>COD</t>
        </is>
      </c>
    </row>
    <row r="125">
      <c r="A125" s="128" t="inlineStr">
        <is>
          <t>Kabambare</t>
        </is>
      </c>
      <c r="B125" s="128" t="inlineStr">
        <is>
          <t>Kabambare</t>
        </is>
      </c>
      <c r="C125" s="128" t="inlineStr">
        <is>
          <t>CD6309</t>
        </is>
      </c>
      <c r="D125" s="128" t="inlineStr">
        <is>
          <t>Maniema</t>
        </is>
      </c>
      <c r="E125" s="128" t="inlineStr">
        <is>
          <t>CD63</t>
        </is>
      </c>
      <c r="F125" s="128" t="inlineStr">
        <is>
          <t>Democratic Republic of the Congo</t>
        </is>
      </c>
      <c r="G125" s="128" t="inlineStr">
        <is>
          <t>COD</t>
        </is>
      </c>
    </row>
    <row r="126">
      <c r="A126" s="128" t="inlineStr">
        <is>
          <t>Kabalo</t>
        </is>
      </c>
      <c r="B126" s="128" t="inlineStr">
        <is>
          <t>Kabalo</t>
        </is>
      </c>
      <c r="C126" s="128" t="inlineStr">
        <is>
          <t>CD7407</t>
        </is>
      </c>
      <c r="D126" s="128" t="inlineStr">
        <is>
          <t>Tanganyika</t>
        </is>
      </c>
      <c r="E126" s="128" t="inlineStr">
        <is>
          <t>CD74</t>
        </is>
      </c>
      <c r="F126" s="128" t="inlineStr">
        <is>
          <t>Democratic Republic of the Congo</t>
        </is>
      </c>
      <c r="G126" s="128" t="inlineStr">
        <is>
          <t>COD</t>
        </is>
      </c>
    </row>
    <row r="127">
      <c r="A127" s="128" t="inlineStr">
        <is>
          <t>Isiro</t>
        </is>
      </c>
      <c r="B127" s="128" t="inlineStr">
        <is>
          <t>Isiro</t>
        </is>
      </c>
      <c r="C127" s="128" t="inlineStr">
        <is>
          <t>CD5301</t>
        </is>
      </c>
      <c r="D127" s="128" t="inlineStr">
        <is>
          <t>Haut-Uele</t>
        </is>
      </c>
      <c r="E127" s="128" t="inlineStr">
        <is>
          <t>CD53</t>
        </is>
      </c>
      <c r="F127" s="128" t="inlineStr">
        <is>
          <t>Democratic Republic of the Congo</t>
        </is>
      </c>
      <c r="G127" s="128" t="inlineStr">
        <is>
          <t>COD</t>
        </is>
      </c>
    </row>
    <row r="128">
      <c r="A128" s="128" t="inlineStr">
        <is>
          <t>Isangi</t>
        </is>
      </c>
      <c r="B128" s="128" t="inlineStr">
        <is>
          <t>Isangi</t>
        </is>
      </c>
      <c r="C128" s="128" t="inlineStr">
        <is>
          <t>CD5105</t>
        </is>
      </c>
      <c r="D128" s="128" t="inlineStr">
        <is>
          <t>Tshopo</t>
        </is>
      </c>
      <c r="E128" s="128" t="inlineStr">
        <is>
          <t>CD51</t>
        </is>
      </c>
      <c r="F128" s="128" t="inlineStr">
        <is>
          <t>Democratic Republic of the Congo</t>
        </is>
      </c>
      <c r="G128" s="128" t="inlineStr">
        <is>
          <t>COD</t>
        </is>
      </c>
    </row>
    <row r="129">
      <c r="A129" s="128" t="inlineStr">
        <is>
          <t>Irumu</t>
        </is>
      </c>
      <c r="B129" s="128" t="inlineStr">
        <is>
          <t>Irumu</t>
        </is>
      </c>
      <c r="C129" s="128" t="inlineStr">
        <is>
          <t>CD5402</t>
        </is>
      </c>
      <c r="D129" s="128" t="inlineStr">
        <is>
          <t>Ituri</t>
        </is>
      </c>
      <c r="E129" s="128" t="inlineStr">
        <is>
          <t>CD54</t>
        </is>
      </c>
      <c r="F129" s="128" t="inlineStr">
        <is>
          <t>Democratic Republic of the Congo</t>
        </is>
      </c>
      <c r="G129" s="128" t="inlineStr">
        <is>
          <t>COD</t>
        </is>
      </c>
    </row>
    <row r="130">
      <c r="A130" s="128" t="inlineStr">
        <is>
          <t>Inongo</t>
        </is>
      </c>
      <c r="B130" s="128" t="inlineStr">
        <is>
          <t>Inongo</t>
        </is>
      </c>
      <c r="C130" s="128" t="inlineStr">
        <is>
          <t>CD3302</t>
        </is>
      </c>
      <c r="D130" s="128" t="inlineStr">
        <is>
          <t>Maï-Ndombe</t>
        </is>
      </c>
      <c r="E130" s="128" t="inlineStr">
        <is>
          <t>CD33</t>
        </is>
      </c>
      <c r="F130" s="128" t="inlineStr">
        <is>
          <t>Democratic Republic of the Congo</t>
        </is>
      </c>
      <c r="G130" s="128" t="inlineStr">
        <is>
          <t>COD</t>
        </is>
      </c>
    </row>
    <row r="131">
      <c r="A131" s="128" t="inlineStr">
        <is>
          <t>Inkisi</t>
        </is>
      </c>
      <c r="B131" s="128" t="inlineStr">
        <is>
          <t>Inkisi</t>
        </is>
      </c>
      <c r="C131" s="128" t="inlineStr">
        <is>
          <t>CD2018</t>
        </is>
      </c>
      <c r="D131" s="128" t="inlineStr">
        <is>
          <t>Kongo-Central</t>
        </is>
      </c>
      <c r="E131" s="128" t="inlineStr">
        <is>
          <t>CD20</t>
        </is>
      </c>
      <c r="F131" s="128" t="inlineStr">
        <is>
          <t>Democratic Republic of the Congo</t>
        </is>
      </c>
      <c r="G131" s="128" t="inlineStr">
        <is>
          <t>COD</t>
        </is>
      </c>
    </row>
    <row r="132">
      <c r="A132" s="128" t="inlineStr">
        <is>
          <t>Ingende</t>
        </is>
      </c>
      <c r="B132" s="128" t="inlineStr">
        <is>
          <t>Ingende</t>
        </is>
      </c>
      <c r="C132" s="128" t="inlineStr">
        <is>
          <t>CD4109</t>
        </is>
      </c>
      <c r="D132" s="128" t="inlineStr">
        <is>
          <t>Equateur</t>
        </is>
      </c>
      <c r="E132" s="128" t="inlineStr">
        <is>
          <t>CD41</t>
        </is>
      </c>
      <c r="F132" s="128" t="inlineStr">
        <is>
          <t>Democratic Republic of the Congo</t>
        </is>
      </c>
      <c r="G132" s="128" t="inlineStr">
        <is>
          <t>COD</t>
        </is>
      </c>
    </row>
    <row r="133">
      <c r="A133" s="128" t="inlineStr">
        <is>
          <t>Ingbokolo</t>
        </is>
      </c>
      <c r="B133" s="128" t="inlineStr">
        <is>
          <t>Ingbokolo</t>
        </is>
      </c>
      <c r="C133" s="128" t="inlineStr">
        <is>
          <t>CD5411</t>
        </is>
      </c>
      <c r="D133" s="128" t="inlineStr">
        <is>
          <t>Ituri</t>
        </is>
      </c>
      <c r="E133" s="128" t="inlineStr">
        <is>
          <t>CD54</t>
        </is>
      </c>
      <c r="F133" s="128" t="inlineStr">
        <is>
          <t>Democratic Republic of the Congo</t>
        </is>
      </c>
      <c r="G133" s="128" t="inlineStr">
        <is>
          <t>COD</t>
        </is>
      </c>
    </row>
    <row r="134">
      <c r="A134" s="128" t="inlineStr">
        <is>
          <t>Ilebo</t>
        </is>
      </c>
      <c r="B134" s="128" t="inlineStr">
        <is>
          <t>Ilebo</t>
        </is>
      </c>
      <c r="C134" s="128" t="inlineStr">
        <is>
          <t>CD9205</t>
        </is>
      </c>
      <c r="D134" s="128" t="inlineStr">
        <is>
          <t>Kasaï</t>
        </is>
      </c>
      <c r="E134" s="128" t="inlineStr">
        <is>
          <t>CD92</t>
        </is>
      </c>
      <c r="F134" s="128" t="inlineStr">
        <is>
          <t>Democratic Republic of the Congo</t>
        </is>
      </c>
      <c r="G134" s="128" t="inlineStr">
        <is>
          <t>COD</t>
        </is>
      </c>
    </row>
    <row r="135">
      <c r="A135" s="128" t="inlineStr">
        <is>
          <t>Ikela</t>
        </is>
      </c>
      <c r="B135" s="128" t="inlineStr">
        <is>
          <t>Ikela</t>
        </is>
      </c>
      <c r="C135" s="128" t="inlineStr">
        <is>
          <t>CD4505</t>
        </is>
      </c>
      <c r="D135" s="128" t="inlineStr">
        <is>
          <t>Tshuapa</t>
        </is>
      </c>
      <c r="E135" s="128" t="inlineStr">
        <is>
          <t>CD45</t>
        </is>
      </c>
      <c r="F135" s="128" t="inlineStr">
        <is>
          <t>Democratic Republic of the Congo</t>
        </is>
      </c>
      <c r="G135" s="128" t="inlineStr">
        <is>
          <t>COD</t>
        </is>
      </c>
    </row>
    <row r="136">
      <c r="A136" s="128" t="inlineStr">
        <is>
          <t>Idjwi</t>
        </is>
      </c>
      <c r="B136" s="128" t="inlineStr">
        <is>
          <t>Idjwi</t>
        </is>
      </c>
      <c r="C136" s="128" t="inlineStr">
        <is>
          <t>CD6206</t>
        </is>
      </c>
      <c r="D136" s="128" t="inlineStr">
        <is>
          <t>Sud-Kivu</t>
        </is>
      </c>
      <c r="E136" s="128" t="inlineStr">
        <is>
          <t>CD62</t>
        </is>
      </c>
      <c r="F136" s="128" t="inlineStr">
        <is>
          <t>Democratic Republic of the Congo</t>
        </is>
      </c>
      <c r="G136" s="128" t="inlineStr">
        <is>
          <t>COD</t>
        </is>
      </c>
    </row>
    <row r="137">
      <c r="A137" s="128" t="inlineStr">
        <is>
          <t>Idiofa</t>
        </is>
      </c>
      <c r="B137" s="128" t="inlineStr">
        <is>
          <t>Idiofa</t>
        </is>
      </c>
      <c r="C137" s="128" t="inlineStr">
        <is>
          <t>CD3206</t>
        </is>
      </c>
      <c r="D137" s="128" t="inlineStr">
        <is>
          <t>Kwilu</t>
        </is>
      </c>
      <c r="E137" s="128" t="inlineStr">
        <is>
          <t>CD32</t>
        </is>
      </c>
      <c r="F137" s="128" t="inlineStr">
        <is>
          <t>Democratic Republic of the Congo</t>
        </is>
      </c>
      <c r="G137" s="128" t="inlineStr">
        <is>
          <t>COD</t>
        </is>
      </c>
    </row>
    <row r="138">
      <c r="A138" s="128" t="inlineStr">
        <is>
          <t>Gungu</t>
        </is>
      </c>
      <c r="B138" s="128" t="inlineStr">
        <is>
          <t>Gungu</t>
        </is>
      </c>
      <c r="C138" s="128" t="inlineStr">
        <is>
          <t>CD3210</t>
        </is>
      </c>
      <c r="D138" s="128" t="inlineStr">
        <is>
          <t>Kwilu</t>
        </is>
      </c>
      <c r="E138" s="128" t="inlineStr">
        <is>
          <t>CD32</t>
        </is>
      </c>
      <c r="F138" s="128" t="inlineStr">
        <is>
          <t>Democratic Republic of the Congo</t>
        </is>
      </c>
      <c r="G138" s="128" t="inlineStr">
        <is>
          <t>COD</t>
        </is>
      </c>
    </row>
    <row r="139">
      <c r="A139" s="128" t="inlineStr">
        <is>
          <t>Goma</t>
        </is>
      </c>
      <c r="B139" s="128" t="inlineStr">
        <is>
          <t>Goma</t>
        </is>
      </c>
      <c r="C139" s="128" t="inlineStr">
        <is>
          <t>CD6101</t>
        </is>
      </c>
      <c r="D139" s="128" t="inlineStr">
        <is>
          <t>Nord-Kivu</t>
        </is>
      </c>
      <c r="E139" s="128" t="inlineStr">
        <is>
          <t>CD61</t>
        </is>
      </c>
      <c r="F139" s="128" t="inlineStr">
        <is>
          <t>Democratic Republic of the Congo</t>
        </is>
      </c>
      <c r="G139" s="128" t="inlineStr">
        <is>
          <t>COD</t>
        </is>
      </c>
    </row>
    <row r="140">
      <c r="A140" s="128" t="inlineStr">
        <is>
          <t>Gemena</t>
        </is>
      </c>
      <c r="B140" s="128" t="inlineStr">
        <is>
          <t>Gemena</t>
        </is>
      </c>
      <c r="C140" s="128" t="inlineStr">
        <is>
          <t>CD4202</t>
        </is>
      </c>
      <c r="D140" s="128" t="inlineStr">
        <is>
          <t>Sud-Ubangi</t>
        </is>
      </c>
      <c r="E140" s="128" t="inlineStr">
        <is>
          <t>CD42</t>
        </is>
      </c>
      <c r="F140" s="128" t="inlineStr">
        <is>
          <t>Democratic Republic of the Congo</t>
        </is>
      </c>
      <c r="G140" s="128" t="inlineStr">
        <is>
          <t>COD</t>
        </is>
      </c>
    </row>
    <row r="141">
      <c r="A141" s="128" t="inlineStr">
        <is>
          <t>Gbadolite</t>
        </is>
      </c>
      <c r="B141" s="128" t="inlineStr">
        <is>
          <t>Gbadolite</t>
        </is>
      </c>
      <c r="C141" s="128" t="inlineStr">
        <is>
          <t>CD4301</t>
        </is>
      </c>
      <c r="D141" s="128" t="inlineStr">
        <is>
          <t>Nord-Ubangi</t>
        </is>
      </c>
      <c r="E141" s="128" t="inlineStr">
        <is>
          <t>CD43</t>
        </is>
      </c>
      <c r="F141" s="128" t="inlineStr">
        <is>
          <t>Democratic Republic of the Congo</t>
        </is>
      </c>
      <c r="G141" s="128" t="inlineStr">
        <is>
          <t>COD</t>
        </is>
      </c>
    </row>
    <row r="142">
      <c r="A142" s="128" t="inlineStr">
        <is>
          <t>Fizi</t>
        </is>
      </c>
      <c r="B142" s="128" t="inlineStr">
        <is>
          <t>Fizi</t>
        </is>
      </c>
      <c r="C142" s="128" t="inlineStr">
        <is>
          <t>CD6210</t>
        </is>
      </c>
      <c r="D142" s="128" t="inlineStr">
        <is>
          <t>Sud-Kivu</t>
        </is>
      </c>
      <c r="E142" s="128" t="inlineStr">
        <is>
          <t>CD62</t>
        </is>
      </c>
      <c r="F142" s="128" t="inlineStr">
        <is>
          <t>Democratic Republic of the Congo</t>
        </is>
      </c>
      <c r="G142" s="128" t="inlineStr">
        <is>
          <t>COD</t>
        </is>
      </c>
    </row>
    <row r="143">
      <c r="A143" s="128" t="inlineStr">
        <is>
          <t>Feshi</t>
        </is>
      </c>
      <c r="B143" s="128" t="inlineStr">
        <is>
          <t>Feshi</t>
        </is>
      </c>
      <c r="C143" s="128" t="inlineStr">
        <is>
          <t>CD3103</t>
        </is>
      </c>
      <c r="D143" s="128" t="inlineStr">
        <is>
          <t>Kwango</t>
        </is>
      </c>
      <c r="E143" s="128" t="inlineStr">
        <is>
          <t>CD31</t>
        </is>
      </c>
      <c r="F143" s="128" t="inlineStr">
        <is>
          <t>Democratic Republic of the Congo</t>
        </is>
      </c>
      <c r="G143" s="128" t="inlineStr">
        <is>
          <t>COD</t>
        </is>
      </c>
    </row>
    <row r="144">
      <c r="A144" s="128" t="inlineStr">
        <is>
          <t>Faradje</t>
        </is>
      </c>
      <c r="B144" s="128" t="inlineStr">
        <is>
          <t>Faradje</t>
        </is>
      </c>
      <c r="C144" s="128" t="inlineStr">
        <is>
          <t>CD5307</t>
        </is>
      </c>
      <c r="D144" s="128" t="inlineStr">
        <is>
          <t>Haut-Uele</t>
        </is>
      </c>
      <c r="E144" s="128" t="inlineStr">
        <is>
          <t>CD53</t>
        </is>
      </c>
      <c r="F144" s="128" t="inlineStr">
        <is>
          <t>Democratic Republic of the Congo</t>
        </is>
      </c>
      <c r="G144" s="128" t="inlineStr">
        <is>
          <t>COD</t>
        </is>
      </c>
    </row>
    <row r="145">
      <c r="A145" s="128" t="inlineStr">
        <is>
          <t>Dungu</t>
        </is>
      </c>
      <c r="B145" s="128" t="inlineStr">
        <is>
          <t>Dungu</t>
        </is>
      </c>
      <c r="C145" s="128" t="inlineStr">
        <is>
          <t>CD5305</t>
        </is>
      </c>
      <c r="D145" s="128" t="inlineStr">
        <is>
          <t>Haut-Uele</t>
        </is>
      </c>
      <c r="E145" s="128" t="inlineStr">
        <is>
          <t>CD53</t>
        </is>
      </c>
      <c r="F145" s="128" t="inlineStr">
        <is>
          <t>Democratic Republic of the Congo</t>
        </is>
      </c>
      <c r="G145" s="128" t="inlineStr">
        <is>
          <t>COD</t>
        </is>
      </c>
    </row>
    <row r="146">
      <c r="A146" s="128" t="inlineStr">
        <is>
          <t>Djugu</t>
        </is>
      </c>
      <c r="B146" s="128" t="inlineStr">
        <is>
          <t>Djugu</t>
        </is>
      </c>
      <c r="C146" s="128" t="inlineStr">
        <is>
          <t>CD5405</t>
        </is>
      </c>
      <c r="D146" s="128" t="inlineStr">
        <is>
          <t>Ituri</t>
        </is>
      </c>
      <c r="E146" s="128" t="inlineStr">
        <is>
          <t>CD54</t>
        </is>
      </c>
      <c r="F146" s="128" t="inlineStr">
        <is>
          <t>Democratic Republic of the Congo</t>
        </is>
      </c>
      <c r="G146" s="128" t="inlineStr">
        <is>
          <t>COD</t>
        </is>
      </c>
    </row>
    <row r="147">
      <c r="A147" s="128" t="inlineStr">
        <is>
          <t>Djolu</t>
        </is>
      </c>
      <c r="B147" s="128" t="inlineStr">
        <is>
          <t>Djolu</t>
        </is>
      </c>
      <c r="C147" s="128" t="inlineStr">
        <is>
          <t>CD4504</t>
        </is>
      </c>
      <c r="D147" s="128" t="inlineStr">
        <is>
          <t>Tshuapa</t>
        </is>
      </c>
      <c r="E147" s="128" t="inlineStr">
        <is>
          <t>CD45</t>
        </is>
      </c>
      <c r="F147" s="128" t="inlineStr">
        <is>
          <t>Democratic Republic of the Congo</t>
        </is>
      </c>
      <c r="G147" s="128" t="inlineStr">
        <is>
          <t>COD</t>
        </is>
      </c>
    </row>
    <row r="148">
      <c r="A148" s="128" t="inlineStr">
        <is>
          <t>Dingila</t>
        </is>
      </c>
      <c r="B148" s="128" t="inlineStr">
        <is>
          <t>Dingila</t>
        </is>
      </c>
      <c r="C148" s="128" t="inlineStr">
        <is>
          <t>CD5210</t>
        </is>
      </c>
      <c r="D148" s="128" t="inlineStr">
        <is>
          <t>Bas-Uele</t>
        </is>
      </c>
      <c r="E148" s="128" t="inlineStr">
        <is>
          <t>CD52</t>
        </is>
      </c>
      <c r="F148" s="128" t="inlineStr">
        <is>
          <t>Democratic Republic of the Congo</t>
        </is>
      </c>
      <c r="G148" s="128" t="inlineStr">
        <is>
          <t>COD</t>
        </is>
      </c>
    </row>
    <row r="149">
      <c r="A149" s="128" t="inlineStr">
        <is>
          <t>Dimbelenge</t>
        </is>
      </c>
      <c r="B149" s="128" t="inlineStr">
        <is>
          <t>Dimbelenge</t>
        </is>
      </c>
      <c r="C149" s="128" t="inlineStr">
        <is>
          <t>CD9107</t>
        </is>
      </c>
      <c r="D149" s="128" t="inlineStr">
        <is>
          <t>Kasaï-Central</t>
        </is>
      </c>
      <c r="E149" s="128" t="inlineStr">
        <is>
          <t>CD91</t>
        </is>
      </c>
      <c r="F149" s="128" t="inlineStr">
        <is>
          <t>Democratic Republic of the Congo</t>
        </is>
      </c>
      <c r="G149" s="128" t="inlineStr">
        <is>
          <t>COD</t>
        </is>
      </c>
    </row>
    <row r="150">
      <c r="A150" s="128" t="inlineStr">
        <is>
          <t>Dilolo</t>
        </is>
      </c>
      <c r="B150" s="128" t="inlineStr">
        <is>
          <t>Dilolo</t>
        </is>
      </c>
      <c r="C150" s="128" t="inlineStr">
        <is>
          <t>CD7205</t>
        </is>
      </c>
      <c r="D150" s="128" t="inlineStr">
        <is>
          <t>Lualaba</t>
        </is>
      </c>
      <c r="E150" s="128" t="inlineStr">
        <is>
          <t>CD72</t>
        </is>
      </c>
      <c r="F150" s="128" t="inlineStr">
        <is>
          <t>Democratic Republic of the Congo</t>
        </is>
      </c>
      <c r="G150" s="128" t="inlineStr">
        <is>
          <t>COD</t>
        </is>
      </c>
    </row>
    <row r="151">
      <c r="A151" s="128" t="inlineStr">
        <is>
          <t>Dibaya-Lubwe</t>
        </is>
      </c>
      <c r="B151" s="128" t="inlineStr">
        <is>
          <t>Dibaya-Lubwe</t>
        </is>
      </c>
      <c r="C151" s="128" t="inlineStr">
        <is>
          <t>CD3209</t>
        </is>
      </c>
      <c r="D151" s="128" t="inlineStr">
        <is>
          <t>Kwilu</t>
        </is>
      </c>
      <c r="E151" s="128" t="inlineStr">
        <is>
          <t>CD32</t>
        </is>
      </c>
      <c r="F151" s="128" t="inlineStr">
        <is>
          <t>Democratic Republic of the Congo</t>
        </is>
      </c>
      <c r="G151" s="128" t="inlineStr">
        <is>
          <t>COD</t>
        </is>
      </c>
    </row>
    <row r="152">
      <c r="A152" s="128" t="inlineStr">
        <is>
          <t>Dibaya</t>
        </is>
      </c>
      <c r="B152" s="128" t="inlineStr">
        <is>
          <t>Dibaya</t>
        </is>
      </c>
      <c r="C152" s="128" t="inlineStr">
        <is>
          <t>CD9102</t>
        </is>
      </c>
      <c r="D152" s="128" t="inlineStr">
        <is>
          <t>Kasaï-Central</t>
        </is>
      </c>
      <c r="E152" s="128" t="inlineStr">
        <is>
          <t>CD91</t>
        </is>
      </c>
      <c r="F152" s="128" t="inlineStr">
        <is>
          <t>Democratic Republic of the Congo</t>
        </is>
      </c>
      <c r="G152" s="128" t="inlineStr">
        <is>
          <t>COD</t>
        </is>
      </c>
    </row>
    <row r="153">
      <c r="A153" s="128" t="inlineStr">
        <is>
          <t>Demba</t>
        </is>
      </c>
      <c r="B153" s="128" t="inlineStr">
        <is>
          <t>Demba</t>
        </is>
      </c>
      <c r="C153" s="128" t="inlineStr">
        <is>
          <t>CD9106</t>
        </is>
      </c>
      <c r="D153" s="128" t="inlineStr">
        <is>
          <t>Kasaï-Central</t>
        </is>
      </c>
      <c r="E153" s="128" t="inlineStr">
        <is>
          <t>CD91</t>
        </is>
      </c>
      <c r="F153" s="128" t="inlineStr">
        <is>
          <t>Democratic Republic of the Congo</t>
        </is>
      </c>
      <c r="G153" s="128" t="inlineStr">
        <is>
          <t>COD</t>
        </is>
      </c>
    </row>
    <row r="154">
      <c r="A154" s="128" t="inlineStr">
        <is>
          <t>Dekese</t>
        </is>
      </c>
      <c r="B154" s="128" t="inlineStr">
        <is>
          <t>Dekese</t>
        </is>
      </c>
      <c r="C154" s="128" t="inlineStr">
        <is>
          <t>CD9208</t>
        </is>
      </c>
      <c r="D154" s="128" t="inlineStr">
        <is>
          <t>Kasaï</t>
        </is>
      </c>
      <c r="E154" s="128" t="inlineStr">
        <is>
          <t>CD92</t>
        </is>
      </c>
      <c r="F154" s="128" t="inlineStr">
        <is>
          <t>Democratic Republic of the Congo</t>
        </is>
      </c>
      <c r="G154" s="128" t="inlineStr">
        <is>
          <t>COD</t>
        </is>
      </c>
    </row>
    <row r="155">
      <c r="A155" s="128" t="inlineStr">
        <is>
          <t>Butembo</t>
        </is>
      </c>
      <c r="B155" s="128" t="inlineStr">
        <is>
          <t>Butembo</t>
        </is>
      </c>
      <c r="C155" s="128" t="inlineStr">
        <is>
          <t>CD6110</t>
        </is>
      </c>
      <c r="D155" s="128" t="inlineStr">
        <is>
          <t>Nord-Kivu</t>
        </is>
      </c>
      <c r="E155" s="128" t="inlineStr">
        <is>
          <t>CD61</t>
        </is>
      </c>
      <c r="F155" s="128" t="inlineStr">
        <is>
          <t>Democratic Republic of the Congo</t>
        </is>
      </c>
      <c r="G155" s="128" t="inlineStr">
        <is>
          <t>COD</t>
        </is>
      </c>
    </row>
    <row r="156">
      <c r="A156" s="128" t="inlineStr">
        <is>
          <t>Buta</t>
        </is>
      </c>
      <c r="B156" s="128" t="inlineStr">
        <is>
          <t>Buta</t>
        </is>
      </c>
      <c r="C156" s="128" t="inlineStr">
        <is>
          <t>CD5202</t>
        </is>
      </c>
      <c r="D156" s="128" t="inlineStr">
        <is>
          <t>Bas-Uele</t>
        </is>
      </c>
      <c r="E156" s="128" t="inlineStr">
        <is>
          <t>CD52</t>
        </is>
      </c>
      <c r="F156" s="128" t="inlineStr">
        <is>
          <t>Democratic Republic of the Congo</t>
        </is>
      </c>
      <c r="G156" s="128" t="inlineStr">
        <is>
          <t>COD</t>
        </is>
      </c>
    </row>
    <row r="157">
      <c r="A157" s="128" t="inlineStr">
        <is>
          <t>Businga</t>
        </is>
      </c>
      <c r="B157" s="128" t="inlineStr">
        <is>
          <t>Businga</t>
        </is>
      </c>
      <c r="C157" s="128" t="inlineStr">
        <is>
          <t>CD4305</t>
        </is>
      </c>
      <c r="D157" s="128" t="inlineStr">
        <is>
          <t>Nord-Ubangi</t>
        </is>
      </c>
      <c r="E157" s="128" t="inlineStr">
        <is>
          <t>CD43</t>
        </is>
      </c>
      <c r="F157" s="128" t="inlineStr">
        <is>
          <t>Democratic Republic of the Congo</t>
        </is>
      </c>
      <c r="G157" s="128" t="inlineStr">
        <is>
          <t>COD</t>
        </is>
      </c>
    </row>
    <row r="158">
      <c r="A158" s="128" t="inlineStr">
        <is>
          <t>Bunia</t>
        </is>
      </c>
      <c r="B158" s="128" t="inlineStr">
        <is>
          <t>Bunia</t>
        </is>
      </c>
      <c r="C158" s="128" t="inlineStr">
        <is>
          <t>CD5401</t>
        </is>
      </c>
      <c r="D158" s="128" t="inlineStr">
        <is>
          <t>Ituri</t>
        </is>
      </c>
      <c r="E158" s="128" t="inlineStr">
        <is>
          <t>CD54</t>
        </is>
      </c>
      <c r="F158" s="128" t="inlineStr">
        <is>
          <t>Democratic Republic of the Congo</t>
        </is>
      </c>
      <c r="G158" s="128" t="inlineStr">
        <is>
          <t>COD</t>
        </is>
      </c>
    </row>
    <row r="159">
      <c r="A159" s="128" t="inlineStr">
        <is>
          <t>Bumba</t>
        </is>
      </c>
      <c r="B159" s="128" t="inlineStr">
        <is>
          <t>Bumba</t>
        </is>
      </c>
      <c r="C159" s="128" t="inlineStr">
        <is>
          <t>CD4404</t>
        </is>
      </c>
      <c r="D159" s="128" t="inlineStr">
        <is>
          <t>Mongala</t>
        </is>
      </c>
      <c r="E159" s="128" t="inlineStr">
        <is>
          <t>CD44</t>
        </is>
      </c>
      <c r="F159" s="128" t="inlineStr">
        <is>
          <t>Democratic Republic of the Congo</t>
        </is>
      </c>
      <c r="G159" s="128" t="inlineStr">
        <is>
          <t>COD</t>
        </is>
      </c>
    </row>
    <row r="160">
      <c r="A160" s="128" t="inlineStr">
        <is>
          <t>Bulungu</t>
        </is>
      </c>
      <c r="B160" s="128" t="inlineStr">
        <is>
          <t>Bulungu</t>
        </is>
      </c>
      <c r="C160" s="128" t="inlineStr">
        <is>
          <t>CD3204</t>
        </is>
      </c>
      <c r="D160" s="128" t="inlineStr">
        <is>
          <t>Kwilu</t>
        </is>
      </c>
      <c r="E160" s="128" t="inlineStr">
        <is>
          <t>CD32</t>
        </is>
      </c>
      <c r="F160" s="128" t="inlineStr">
        <is>
          <t>Democratic Republic of the Congo</t>
        </is>
      </c>
      <c r="G160" s="128" t="inlineStr">
        <is>
          <t>COD</t>
        </is>
      </c>
    </row>
    <row r="161">
      <c r="A161" s="128" t="inlineStr">
        <is>
          <t>Bukavu</t>
        </is>
      </c>
      <c r="B161" s="128" t="inlineStr">
        <is>
          <t>Bukavu</t>
        </is>
      </c>
      <c r="C161" s="128" t="inlineStr">
        <is>
          <t>CD6201</t>
        </is>
      </c>
      <c r="D161" s="128" t="inlineStr">
        <is>
          <t>Sud-Kivu</t>
        </is>
      </c>
      <c r="E161" s="128" t="inlineStr">
        <is>
          <t>CD62</t>
        </is>
      </c>
      <c r="F161" s="128" t="inlineStr">
        <is>
          <t>Democratic Republic of the Congo</t>
        </is>
      </c>
      <c r="G161" s="128" t="inlineStr">
        <is>
          <t>COD</t>
        </is>
      </c>
    </row>
    <row r="162">
      <c r="A162" s="128" t="inlineStr">
        <is>
          <t>Bukama</t>
        </is>
      </c>
      <c r="B162" s="128" t="inlineStr">
        <is>
          <t>Bukama</t>
        </is>
      </c>
      <c r="C162" s="128" t="inlineStr">
        <is>
          <t>CD7306</t>
        </is>
      </c>
      <c r="D162" s="128" t="inlineStr">
        <is>
          <t>Haut-Lomami</t>
        </is>
      </c>
      <c r="E162" s="128" t="inlineStr">
        <is>
          <t>CD73</t>
        </is>
      </c>
      <c r="F162" s="128" t="inlineStr">
        <is>
          <t>Democratic Republic of the Congo</t>
        </is>
      </c>
      <c r="G162" s="128" t="inlineStr">
        <is>
          <t>COD</t>
        </is>
      </c>
    </row>
    <row r="163">
      <c r="A163" s="128" t="inlineStr">
        <is>
          <t>Budjala</t>
        </is>
      </c>
      <c r="B163" s="128" t="inlineStr">
        <is>
          <t>Budjala</t>
        </is>
      </c>
      <c r="C163" s="128" t="inlineStr">
        <is>
          <t>CD4203</t>
        </is>
      </c>
      <c r="D163" s="128" t="inlineStr">
        <is>
          <t>Sud-Ubangi</t>
        </is>
      </c>
      <c r="E163" s="128" t="inlineStr">
        <is>
          <t>CD42</t>
        </is>
      </c>
      <c r="F163" s="128" t="inlineStr">
        <is>
          <t>Democratic Republic of the Congo</t>
        </is>
      </c>
      <c r="G163" s="128" t="inlineStr">
        <is>
          <t>COD</t>
        </is>
      </c>
    </row>
    <row r="164">
      <c r="A164" s="128" t="inlineStr">
        <is>
          <t>Bosobolo</t>
        </is>
      </c>
      <c r="B164" s="128" t="inlineStr">
        <is>
          <t>Bosobolo</t>
        </is>
      </c>
      <c r="C164" s="128" t="inlineStr">
        <is>
          <t>CD4306</t>
        </is>
      </c>
      <c r="D164" s="128" t="inlineStr">
        <is>
          <t>Nord-Ubangi</t>
        </is>
      </c>
      <c r="E164" s="128" t="inlineStr">
        <is>
          <t>CD43</t>
        </is>
      </c>
      <c r="F164" s="128" t="inlineStr">
        <is>
          <t>Democratic Republic of the Congo</t>
        </is>
      </c>
      <c r="G164" s="128" t="inlineStr">
        <is>
          <t>COD</t>
        </is>
      </c>
    </row>
    <row r="165">
      <c r="A165" s="128" t="inlineStr">
        <is>
          <t>Bongandanga</t>
        </is>
      </c>
      <c r="B165" s="128" t="inlineStr">
        <is>
          <t>Bongandanga</t>
        </is>
      </c>
      <c r="C165" s="128" t="inlineStr">
        <is>
          <t>CD4405</t>
        </is>
      </c>
      <c r="D165" s="128" t="inlineStr">
        <is>
          <t>Mongala</t>
        </is>
      </c>
      <c r="E165" s="128" t="inlineStr">
        <is>
          <t>CD44</t>
        </is>
      </c>
      <c r="F165" s="128" t="inlineStr">
        <is>
          <t>Democratic Republic of the Congo</t>
        </is>
      </c>
      <c r="G165" s="128" t="inlineStr">
        <is>
          <t>COD</t>
        </is>
      </c>
    </row>
    <row r="166">
      <c r="A166" s="128" t="inlineStr">
        <is>
          <t>Bondo</t>
        </is>
      </c>
      <c r="B166" s="128" t="inlineStr">
        <is>
          <t>Bondo</t>
        </is>
      </c>
      <c r="C166" s="128" t="inlineStr">
        <is>
          <t>CD5206</t>
        </is>
      </c>
      <c r="D166" s="128" t="inlineStr">
        <is>
          <t>Bas-Uele</t>
        </is>
      </c>
      <c r="E166" s="128" t="inlineStr">
        <is>
          <t>CD52</t>
        </is>
      </c>
      <c r="F166" s="128" t="inlineStr">
        <is>
          <t>Democratic Republic of the Congo</t>
        </is>
      </c>
      <c r="G166" s="128" t="inlineStr">
        <is>
          <t>COD</t>
        </is>
      </c>
    </row>
    <row r="167">
      <c r="A167" s="128" t="inlineStr">
        <is>
          <t>Bomongo</t>
        </is>
      </c>
      <c r="B167" s="128" t="inlineStr">
        <is>
          <t>Bomongo</t>
        </is>
      </c>
      <c r="C167" s="128" t="inlineStr">
        <is>
          <t>CD4104</t>
        </is>
      </c>
      <c r="D167" s="128" t="inlineStr">
        <is>
          <t>Equateur</t>
        </is>
      </c>
      <c r="E167" s="128" t="inlineStr">
        <is>
          <t>CD41</t>
        </is>
      </c>
      <c r="F167" s="128" t="inlineStr">
        <is>
          <t>Democratic Republic of the Congo</t>
        </is>
      </c>
      <c r="G167" s="128" t="inlineStr">
        <is>
          <t>COD</t>
        </is>
      </c>
    </row>
    <row r="168">
      <c r="A168" s="128" t="inlineStr">
        <is>
          <t>Boma</t>
        </is>
      </c>
      <c r="B168" s="128" t="inlineStr">
        <is>
          <t>Boma</t>
        </is>
      </c>
      <c r="C168" s="128" t="inlineStr">
        <is>
          <t>CD2002</t>
        </is>
      </c>
      <c r="D168" s="128" t="inlineStr">
        <is>
          <t>Kongo-Central</t>
        </is>
      </c>
      <c r="E168" s="128" t="inlineStr">
        <is>
          <t>CD20</t>
        </is>
      </c>
      <c r="F168" s="128" t="inlineStr">
        <is>
          <t>Democratic Republic of the Congo</t>
        </is>
      </c>
      <c r="G168" s="128" t="inlineStr">
        <is>
          <t>COD</t>
        </is>
      </c>
    </row>
    <row r="169">
      <c r="A169" s="128" t="inlineStr">
        <is>
          <t>Bolomba</t>
        </is>
      </c>
      <c r="B169" s="128" t="inlineStr">
        <is>
          <t>Bolomba</t>
        </is>
      </c>
      <c r="C169" s="128" t="inlineStr">
        <is>
          <t>CD4108</t>
        </is>
      </c>
      <c r="D169" s="128" t="inlineStr">
        <is>
          <t>Equateur</t>
        </is>
      </c>
      <c r="E169" s="128" t="inlineStr">
        <is>
          <t>CD41</t>
        </is>
      </c>
      <c r="F169" s="128" t="inlineStr">
        <is>
          <t>Democratic Republic of the Congo</t>
        </is>
      </c>
      <c r="G169" s="128" t="inlineStr">
        <is>
          <t>COD</t>
        </is>
      </c>
    </row>
    <row r="170">
      <c r="A170" s="128" t="inlineStr">
        <is>
          <t>Bolobo</t>
        </is>
      </c>
      <c r="B170" s="128" t="inlineStr">
        <is>
          <t>Bolobo</t>
        </is>
      </c>
      <c r="C170" s="128" t="inlineStr">
        <is>
          <t>CD3308</t>
        </is>
      </c>
      <c r="D170" s="128" t="inlineStr">
        <is>
          <t>Maï-Ndombe</t>
        </is>
      </c>
      <c r="E170" s="128" t="inlineStr">
        <is>
          <t>CD33</t>
        </is>
      </c>
      <c r="F170" s="128" t="inlineStr">
        <is>
          <t>Democratic Republic of the Congo</t>
        </is>
      </c>
      <c r="G170" s="128" t="inlineStr">
        <is>
          <t>COD</t>
        </is>
      </c>
    </row>
    <row r="171">
      <c r="A171" s="128" t="inlineStr">
        <is>
          <t>Bokungu</t>
        </is>
      </c>
      <c r="B171" s="128" t="inlineStr">
        <is>
          <t>Bokungu</t>
        </is>
      </c>
      <c r="C171" s="128" t="inlineStr">
        <is>
          <t>CD4506</t>
        </is>
      </c>
      <c r="D171" s="128" t="inlineStr">
        <is>
          <t>Tshuapa</t>
        </is>
      </c>
      <c r="E171" s="128" t="inlineStr">
        <is>
          <t>CD45</t>
        </is>
      </c>
      <c r="F171" s="128" t="inlineStr">
        <is>
          <t>Democratic Republic of the Congo</t>
        </is>
      </c>
      <c r="G171" s="128" t="inlineStr">
        <is>
          <t>COD</t>
        </is>
      </c>
    </row>
    <row r="172">
      <c r="A172" s="128" t="inlineStr">
        <is>
          <t>Boende</t>
        </is>
      </c>
      <c r="B172" s="128" t="inlineStr">
        <is>
          <t>Boende</t>
        </is>
      </c>
      <c r="C172" s="128" t="inlineStr">
        <is>
          <t>CD4502</t>
        </is>
      </c>
      <c r="D172" s="128" t="inlineStr">
        <is>
          <t>Tshuapa</t>
        </is>
      </c>
      <c r="E172" s="128" t="inlineStr">
        <is>
          <t>CD45</t>
        </is>
      </c>
      <c r="F172" s="128" t="inlineStr">
        <is>
          <t>Democratic Republic of the Congo</t>
        </is>
      </c>
      <c r="G172" s="128" t="inlineStr">
        <is>
          <t>COD</t>
        </is>
      </c>
    </row>
    <row r="173">
      <c r="A173" s="128" t="inlineStr">
        <is>
          <t>Bikoro</t>
        </is>
      </c>
      <c r="B173" s="128" t="inlineStr">
        <is>
          <t>Bikoro</t>
        </is>
      </c>
      <c r="C173" s="128" t="inlineStr">
        <is>
          <t>CD4102</t>
        </is>
      </c>
      <c r="D173" s="128" t="inlineStr">
        <is>
          <t>Equateur</t>
        </is>
      </c>
      <c r="E173" s="128" t="inlineStr">
        <is>
          <t>CD41</t>
        </is>
      </c>
      <c r="F173" s="128" t="inlineStr">
        <is>
          <t>Democratic Republic of the Congo</t>
        </is>
      </c>
      <c r="G173" s="128" t="inlineStr">
        <is>
          <t>COD</t>
        </is>
      </c>
    </row>
    <row r="174">
      <c r="A174" s="128" t="inlineStr">
        <is>
          <t>Beni</t>
        </is>
      </c>
      <c r="B174" s="128" t="inlineStr">
        <is>
          <t>Beni</t>
        </is>
      </c>
      <c r="C174" s="128" t="inlineStr">
        <is>
          <t>CD6109</t>
        </is>
      </c>
      <c r="D174" s="128" t="inlineStr">
        <is>
          <t>Nord-Kivu</t>
        </is>
      </c>
      <c r="E174" s="128" t="inlineStr">
        <is>
          <t>CD61</t>
        </is>
      </c>
      <c r="F174" s="128" t="inlineStr">
        <is>
          <t>Democratic Republic of the Congo</t>
        </is>
      </c>
      <c r="G174" s="128" t="inlineStr">
        <is>
          <t>COD</t>
        </is>
      </c>
    </row>
    <row r="175">
      <c r="A175" s="128" t="inlineStr">
        <is>
          <t>Bena-Dibele</t>
        </is>
      </c>
      <c r="B175" s="128" t="inlineStr">
        <is>
          <t>Bena-Dibele</t>
        </is>
      </c>
      <c r="C175" s="128" t="inlineStr">
        <is>
          <t>CD8305</t>
        </is>
      </c>
      <c r="D175" s="128" t="inlineStr">
        <is>
          <t>Sankuru</t>
        </is>
      </c>
      <c r="E175" s="128" t="inlineStr">
        <is>
          <t>CD83</t>
        </is>
      </c>
      <c r="F175" s="128" t="inlineStr">
        <is>
          <t>Democratic Republic of the Congo</t>
        </is>
      </c>
      <c r="G175" s="128" t="inlineStr">
        <is>
          <t>COD</t>
        </is>
      </c>
    </row>
    <row r="176">
      <c r="A176" s="128" t="inlineStr">
        <is>
          <t>Befale</t>
        </is>
      </c>
      <c r="B176" s="128" t="inlineStr">
        <is>
          <t>Befale</t>
        </is>
      </c>
      <c r="C176" s="128" t="inlineStr">
        <is>
          <t>CD4503</t>
        </is>
      </c>
      <c r="D176" s="128" t="inlineStr">
        <is>
          <t>Tshuapa</t>
        </is>
      </c>
      <c r="E176" s="128" t="inlineStr">
        <is>
          <t>CD45</t>
        </is>
      </c>
      <c r="F176" s="128" t="inlineStr">
        <is>
          <t>Democratic Republic of the Congo</t>
        </is>
      </c>
      <c r="G176" s="128" t="inlineStr">
        <is>
          <t>COD</t>
        </is>
      </c>
    </row>
    <row r="177">
      <c r="A177" s="128" t="inlineStr">
        <is>
          <t>Basoko</t>
        </is>
      </c>
      <c r="B177" s="128" t="inlineStr">
        <is>
          <t>Basoko</t>
        </is>
      </c>
      <c r="C177" s="128" t="inlineStr">
        <is>
          <t>CD5109</t>
        </is>
      </c>
      <c r="D177" s="128" t="inlineStr">
        <is>
          <t>Tshopo</t>
        </is>
      </c>
      <c r="E177" s="128" t="inlineStr">
        <is>
          <t>CD51</t>
        </is>
      </c>
      <c r="F177" s="128" t="inlineStr">
        <is>
          <t>Democratic Republic of the Congo</t>
        </is>
      </c>
      <c r="G177" s="128" t="inlineStr">
        <is>
          <t>COD</t>
        </is>
      </c>
    </row>
    <row r="178">
      <c r="A178" s="128" t="inlineStr">
        <is>
          <t>Basankusu</t>
        </is>
      </c>
      <c r="B178" s="128" t="inlineStr">
        <is>
          <t>Basankusu</t>
        </is>
      </c>
      <c r="C178" s="128" t="inlineStr">
        <is>
          <t>CD4107</t>
        </is>
      </c>
      <c r="D178" s="128" t="inlineStr">
        <is>
          <t>Equateur</t>
        </is>
      </c>
      <c r="E178" s="128" t="inlineStr">
        <is>
          <t>CD41</t>
        </is>
      </c>
      <c r="F178" s="128" t="inlineStr">
        <is>
          <t>Democratic Republic of the Congo</t>
        </is>
      </c>
      <c r="G178" s="128" t="inlineStr">
        <is>
          <t>COD</t>
        </is>
      </c>
    </row>
    <row r="179">
      <c r="A179" s="128" t="inlineStr">
        <is>
          <t>Baraka</t>
        </is>
      </c>
      <c r="B179" s="128" t="inlineStr">
        <is>
          <t>Baraka</t>
        </is>
      </c>
      <c r="C179" s="128" t="inlineStr">
        <is>
          <t>CD6211</t>
        </is>
      </c>
      <c r="D179" s="128" t="inlineStr">
        <is>
          <t>Sud-Kivu</t>
        </is>
      </c>
      <c r="E179" s="128" t="inlineStr">
        <is>
          <t>CD62</t>
        </is>
      </c>
      <c r="F179" s="128" t="inlineStr">
        <is>
          <t>Democratic Republic of the Congo</t>
        </is>
      </c>
      <c r="G179" s="128" t="inlineStr">
        <is>
          <t>COD</t>
        </is>
      </c>
    </row>
    <row r="180">
      <c r="A180" s="128" t="inlineStr">
        <is>
          <t>Bangu</t>
        </is>
      </c>
      <c r="B180" s="128" t="inlineStr">
        <is>
          <t>Bangu</t>
        </is>
      </c>
      <c r="C180" s="128" t="inlineStr">
        <is>
          <t>CD2012</t>
        </is>
      </c>
      <c r="D180" s="128" t="inlineStr">
        <is>
          <t>Kongo-Central</t>
        </is>
      </c>
      <c r="E180" s="128" t="inlineStr">
        <is>
          <t>CD20</t>
        </is>
      </c>
      <c r="F180" s="128" t="inlineStr">
        <is>
          <t>Democratic Republic of the Congo</t>
        </is>
      </c>
      <c r="G180" s="128" t="inlineStr">
        <is>
          <t>COD</t>
        </is>
      </c>
    </row>
    <row r="181">
      <c r="A181" s="128" t="inlineStr">
        <is>
          <t>Bandundu</t>
        </is>
      </c>
      <c r="B181" s="128" t="inlineStr">
        <is>
          <t>Bandundu</t>
        </is>
      </c>
      <c r="C181" s="128" t="inlineStr">
        <is>
          <t>CD3201</t>
        </is>
      </c>
      <c r="D181" s="128" t="inlineStr">
        <is>
          <t>Kwilu</t>
        </is>
      </c>
      <c r="E181" s="128" t="inlineStr">
        <is>
          <t>CD32</t>
        </is>
      </c>
      <c r="F181" s="128" t="inlineStr">
        <is>
          <t>Democratic Republic of the Congo</t>
        </is>
      </c>
      <c r="G181" s="128" t="inlineStr">
        <is>
          <t>COD</t>
        </is>
      </c>
    </row>
    <row r="182">
      <c r="A182" s="128" t="inlineStr">
        <is>
          <t>Banalia</t>
        </is>
      </c>
      <c r="B182" s="128" t="inlineStr">
        <is>
          <t>Banalia</t>
        </is>
      </c>
      <c r="C182" s="128" t="inlineStr">
        <is>
          <t>CD5110</t>
        </is>
      </c>
      <c r="D182" s="128" t="inlineStr">
        <is>
          <t>Tshopo</t>
        </is>
      </c>
      <c r="E182" s="128" t="inlineStr">
        <is>
          <t>CD51</t>
        </is>
      </c>
      <c r="F182" s="128" t="inlineStr">
        <is>
          <t>Democratic Republic of the Congo</t>
        </is>
      </c>
      <c r="G182" s="128" t="inlineStr">
        <is>
          <t>COD</t>
        </is>
      </c>
    </row>
    <row r="183">
      <c r="A183" s="128" t="inlineStr">
        <is>
          <t>Bambesa</t>
        </is>
      </c>
      <c r="B183" s="128" t="inlineStr">
        <is>
          <t>Bambesa</t>
        </is>
      </c>
      <c r="C183" s="128" t="inlineStr">
        <is>
          <t>CD5209</t>
        </is>
      </c>
      <c r="D183" s="128" t="inlineStr">
        <is>
          <t>Bas-Uele</t>
        </is>
      </c>
      <c r="E183" s="128" t="inlineStr">
        <is>
          <t>CD52</t>
        </is>
      </c>
      <c r="F183" s="128" t="inlineStr">
        <is>
          <t>Democratic Republic of the Congo</t>
        </is>
      </c>
      <c r="G183" s="128" t="inlineStr">
        <is>
          <t>COD</t>
        </is>
      </c>
    </row>
    <row r="184">
      <c r="A184" s="128" t="inlineStr">
        <is>
          <t>Bagata</t>
        </is>
      </c>
      <c r="B184" s="128" t="inlineStr">
        <is>
          <t>Bagata</t>
        </is>
      </c>
      <c r="C184" s="128" t="inlineStr">
        <is>
          <t>CD3202</t>
        </is>
      </c>
      <c r="D184" s="128" t="inlineStr">
        <is>
          <t>Kwilu</t>
        </is>
      </c>
      <c r="E184" s="128" t="inlineStr">
        <is>
          <t>CD32</t>
        </is>
      </c>
      <c r="F184" s="128" t="inlineStr">
        <is>
          <t>Democratic Republic of the Congo</t>
        </is>
      </c>
      <c r="G184" s="128" t="inlineStr">
        <is>
          <t>COD</t>
        </is>
      </c>
    </row>
    <row r="185">
      <c r="A185" s="128" t="inlineStr">
        <is>
          <t>Bafwasende</t>
        </is>
      </c>
      <c r="B185" s="128" t="inlineStr">
        <is>
          <t>Bafwasende</t>
        </is>
      </c>
      <c r="C185" s="128" t="inlineStr">
        <is>
          <t>CD5111</t>
        </is>
      </c>
      <c r="D185" s="128" t="inlineStr">
        <is>
          <t>Tshopo</t>
        </is>
      </c>
      <c r="E185" s="128" t="inlineStr">
        <is>
          <t>CD51</t>
        </is>
      </c>
      <c r="F185" s="128" t="inlineStr">
        <is>
          <t>Democratic Republic of the Congo</t>
        </is>
      </c>
      <c r="G185" s="128" t="inlineStr">
        <is>
          <t>COD</t>
        </is>
      </c>
    </row>
    <row r="186">
      <c r="A186" s="128" t="inlineStr">
        <is>
          <t>Aru</t>
        </is>
      </c>
      <c r="B186" s="128" t="inlineStr">
        <is>
          <t>Aru</t>
        </is>
      </c>
      <c r="C186" s="128" t="inlineStr">
        <is>
          <t>CD5409</t>
        </is>
      </c>
      <c r="D186" s="128" t="inlineStr">
        <is>
          <t>Ituri</t>
        </is>
      </c>
      <c r="E186" s="128" t="inlineStr">
        <is>
          <t>CD54</t>
        </is>
      </c>
      <c r="F186" s="128" t="inlineStr">
        <is>
          <t>Democratic Republic of the Congo</t>
        </is>
      </c>
      <c r="G186" s="128" t="inlineStr">
        <is>
          <t>COD</t>
        </is>
      </c>
    </row>
    <row r="187">
      <c r="A187" s="128" t="inlineStr">
        <is>
          <t>Ariwara</t>
        </is>
      </c>
      <c r="B187" s="128" t="inlineStr">
        <is>
          <t>Ariwara</t>
        </is>
      </c>
      <c r="C187" s="128" t="inlineStr">
        <is>
          <t>CD5410</t>
        </is>
      </c>
      <c r="D187" s="128" t="inlineStr">
        <is>
          <t>Ituri</t>
        </is>
      </c>
      <c r="E187" s="128" t="inlineStr">
        <is>
          <t>CD54</t>
        </is>
      </c>
      <c r="F187" s="128" t="inlineStr">
        <is>
          <t>Democratic Republic of the Congo</t>
        </is>
      </c>
      <c r="G187" s="128" t="inlineStr">
        <is>
          <t>COD</t>
        </is>
      </c>
    </row>
    <row r="188">
      <c r="A188" s="128" t="inlineStr">
        <is>
          <t>Ango</t>
        </is>
      </c>
      <c r="B188" s="128" t="inlineStr">
        <is>
          <t>Ango</t>
        </is>
      </c>
      <c r="C188" s="128" t="inlineStr">
        <is>
          <t>CD5207</t>
        </is>
      </c>
      <c r="D188" s="128" t="inlineStr">
        <is>
          <t>Bas-Uele</t>
        </is>
      </c>
      <c r="E188" s="128" t="inlineStr">
        <is>
          <t>CD52</t>
        </is>
      </c>
      <c r="F188" s="128" t="inlineStr">
        <is>
          <t>Democratic Republic of the Congo</t>
        </is>
      </c>
      <c r="G188" s="128" t="inlineStr">
        <is>
          <t>COD</t>
        </is>
      </c>
    </row>
    <row r="189">
      <c r="A189" s="128" t="inlineStr">
        <is>
          <t>Aketi</t>
        </is>
      </c>
      <c r="B189" s="128" t="inlineStr">
        <is>
          <t>Aketi</t>
        </is>
      </c>
      <c r="C189" s="128" t="inlineStr">
        <is>
          <t>CD5204</t>
        </is>
      </c>
      <c r="D189" s="128" t="inlineStr">
        <is>
          <t>Bas-Uele</t>
        </is>
      </c>
      <c r="E189" s="128" t="inlineStr">
        <is>
          <t>CD52</t>
        </is>
      </c>
      <c r="F189" s="128" t="inlineStr">
        <is>
          <t>Democratic Republic of the Congo</t>
        </is>
      </c>
      <c r="G189" s="128" t="inlineStr">
        <is>
          <t>COD</t>
        </is>
      </c>
    </row>
    <row r="190">
      <c r="A190" s="128" t="inlineStr">
        <is>
          <t>Aba</t>
        </is>
      </c>
      <c r="B190" s="128" t="inlineStr">
        <is>
          <t>Aba</t>
        </is>
      </c>
      <c r="C190" s="128" t="inlineStr">
        <is>
          <t>CD5306</t>
        </is>
      </c>
      <c r="D190" s="128" t="inlineStr">
        <is>
          <t>Haut-Uele</t>
        </is>
      </c>
      <c r="E190" s="128" t="inlineStr">
        <is>
          <t>CD53</t>
        </is>
      </c>
      <c r="F190" s="128" t="inlineStr">
        <is>
          <t>Democratic Republic of the Congo</t>
        </is>
      </c>
      <c r="G190" s="128" t="inlineStr">
        <is>
          <t>COD</t>
        </is>
      </c>
    </row>
  </sheetData>
  <autoFilter ref="A1:G19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Lawi Analo</dc:creator>
  <dcterms:created xsi:type="dcterms:W3CDTF">2020-12-10T15:46:11Z</dcterms:created>
  <dcterms:modified xsi:type="dcterms:W3CDTF">2026-05-08T09:16:47Z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ediaServiceImageTags" fmtid="{D5CDD505-2E9C-101B-9397-08002B2CF9AE}" pid="3">
    <vt:lpwstr/>
  </property>
</Properties>
</file>