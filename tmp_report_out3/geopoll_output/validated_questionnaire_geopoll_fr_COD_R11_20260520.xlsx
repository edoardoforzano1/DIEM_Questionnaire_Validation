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8280" yWindow="8610" windowWidth="29040" windowHeight="15720" tabRatio="600" firstSheet="0" activeTab="0" autoFilterDateGrouping="1"/>
  </bookViews>
  <sheets>
    <sheet name="survey" sheetId="1" state="visible" r:id="rId1"/>
    <sheet name="Crop list" sheetId="2" state="visible" r:id="rId2"/>
    <sheet name="Additional information" sheetId="3" state="visible" r:id="rId3"/>
  </sheets>
  <definedNames>
    <definedName name="_xlnm._FilterDatabase" localSheetId="1" hidden="1">'Crop list'!$C$3:$F$93</definedName>
  </definedNames>
  <calcPr calcId="191028" fullCalcOnLoad="1"/>
</workbook>
</file>

<file path=xl/styles.xml><?xml version="1.0" encoding="utf-8"?>
<styleSheet xmlns="http://schemas.openxmlformats.org/spreadsheetml/2006/main">
  <numFmts count="2">
    <numFmt numFmtId="164" formatCode="0.0%"/>
    <numFmt numFmtId="165" formatCode="0.0"/>
  </numFmts>
  <fonts count="53">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1"/>
      <scheme val="minor"/>
    </font>
    <font>
      <name val="Calibri"/>
      <family val="2"/>
      <color theme="1"/>
      <sz val="12"/>
      <scheme val="minor"/>
    </font>
    <font>
      <name val="Arial"/>
      <family val="2"/>
      <color rgb="FF000000"/>
      <sz val="10"/>
    </font>
    <font>
      <name val="Calibri"/>
      <family val="2"/>
      <sz val="11"/>
      <scheme val="minor"/>
    </font>
    <font>
      <name val="Calibri"/>
      <family val="2"/>
      <b val="1"/>
      <color theme="0"/>
      <sz val="12"/>
      <scheme val="minor"/>
    </font>
    <font>
      <name val="Calibri"/>
      <family val="2"/>
      <b val="1"/>
      <sz val="12"/>
      <scheme val="minor"/>
    </font>
    <font>
      <name val="Calibri"/>
      <family val="2"/>
      <b val="1"/>
      <color rgb="FF000000"/>
      <sz val="11"/>
    </font>
    <font>
      <name val="Calibri"/>
      <family val="2"/>
      <color rgb="FF000000"/>
      <sz val="11"/>
    </font>
    <font>
      <name val="Calibri"/>
      <family val="2"/>
      <sz val="11"/>
    </font>
    <font>
      <name val="Calibri"/>
      <family val="2"/>
      <i val="1"/>
      <color rgb="FF000000"/>
      <sz val="11"/>
    </font>
    <font>
      <name val="Calibri"/>
      <family val="2"/>
      <i val="1"/>
      <sz val="11"/>
    </font>
    <font>
      <name val="Calibri"/>
      <family val="2"/>
      <b val="1"/>
      <sz val="11"/>
      <scheme val="minor"/>
    </font>
    <font>
      <name val="Calibri"/>
      <family val="2"/>
      <color rgb="FF000000"/>
      <sz val="12"/>
      <scheme val="minor"/>
    </font>
    <font>
      <name val="Calibri"/>
      <family val="2"/>
      <i val="1"/>
      <sz val="10.5"/>
    </font>
    <font>
      <name val="Calibri"/>
      <family val="2"/>
      <sz val="16"/>
      <scheme val="minor"/>
    </font>
    <font>
      <name val="Calibri"/>
      <family val="2"/>
      <b val="1"/>
      <sz val="16"/>
      <scheme val="minor"/>
    </font>
    <font>
      <name val="Calibri"/>
      <family val="2"/>
      <sz val="16"/>
    </font>
    <font>
      <name val="Calibri"/>
      <family val="2"/>
      <color theme="1"/>
      <sz val="16"/>
      <scheme val="minor"/>
    </font>
    <font>
      <name val="Calibri"/>
      <family val="2"/>
      <b val="1"/>
      <color rgb="FF0070C0"/>
      <sz val="16"/>
      <scheme val="minor"/>
    </font>
    <font>
      <name val="Calibri"/>
      <family val="2"/>
      <b val="1"/>
      <sz val="16"/>
    </font>
    <font>
      <name val="Calibri"/>
      <family val="2"/>
      <color rgb="FFFF0000"/>
      <sz val="16"/>
      <scheme val="minor"/>
    </font>
    <font>
      <name val="Calibri"/>
      <family val="2"/>
      <i val="1"/>
      <sz val="16"/>
      <scheme val="minor"/>
    </font>
    <font>
      <name val="Calibri"/>
      <family val="2"/>
      <color rgb="FF000000"/>
      <sz val="16"/>
      <scheme val="minor"/>
    </font>
    <font>
      <name val="Calibri (Body)"/>
      <b val="1"/>
      <sz val="16"/>
    </font>
    <font>
      <name val="Calibri (Body)"/>
      <sz val="16"/>
    </font>
    <font>
      <name val="Calibri (Body)"/>
      <b val="1"/>
      <color rgb="FF0070C0"/>
      <sz val="16"/>
    </font>
    <font>
      <name val="Calibri (Body)"/>
      <color theme="9" tint="-0.499984740745262"/>
      <sz val="16"/>
    </font>
    <font>
      <name val="Calibri (Body)"/>
      <b val="1"/>
      <color theme="9" tint="-0.499984740745262"/>
      <sz val="16"/>
    </font>
    <font>
      <name val="Calibri (Body)"/>
      <color rgb="FF0070C0"/>
      <sz val="16"/>
    </font>
    <font>
      <name val="Calibri (Corps)"/>
      <b val="1"/>
      <color theme="9" tint="-0.249977111117893"/>
      <sz val="16"/>
    </font>
    <font>
      <name val="Calibri"/>
      <family val="2"/>
      <b val="1"/>
      <i val="1"/>
      <sz val="16"/>
      <scheme val="minor"/>
    </font>
    <font>
      <name val="Calibri"/>
      <family val="2"/>
      <color rgb="FF0070C0"/>
      <sz val="16"/>
      <scheme val="minor"/>
    </font>
    <font>
      <name val="Calibri"/>
      <family val="2"/>
      <b val="1"/>
      <color theme="4"/>
      <sz val="16"/>
      <scheme val="minor"/>
    </font>
    <font>
      <name val="Calibri"/>
      <family val="2"/>
      <color rgb="FF000000"/>
      <sz val="16"/>
    </font>
    <font>
      <name val="Calibri (Corps)"/>
      <b val="1"/>
      <sz val="16"/>
    </font>
    <font>
      <name val="Calibri (Body)"/>
      <color rgb="FFFF0000"/>
      <sz val="16"/>
    </font>
    <font>
      <name val="Calibri"/>
      <family val="2"/>
      <b val="1"/>
      <color rgb="FF7030A0"/>
      <sz val="16"/>
      <scheme val="minor"/>
    </font>
    <font>
      <name val="Calibri"/>
      <family val="2"/>
      <b val="1"/>
      <i val="1"/>
      <color theme="1"/>
      <sz val="16"/>
      <scheme val="minor"/>
    </font>
    <font>
      <name val="Calibri"/>
      <family val="2"/>
      <color theme="4"/>
      <sz val="16"/>
      <scheme val="minor"/>
    </font>
    <font>
      <name val="Calibri"/>
      <family val="2"/>
      <i val="1"/>
      <color rgb="FF000000"/>
      <sz val="16"/>
      <scheme val="minor"/>
    </font>
    <font>
      <name val="Calibri"/>
      <family val="2"/>
      <color rgb="FF000000"/>
      <sz val="12"/>
    </font>
    <font>
      <name val="Calibri"/>
      <family val="2"/>
      <color rgb="FFFF0000"/>
      <sz val="12"/>
    </font>
    <font>
      <name val="Calibri"/>
      <family val="2"/>
      <sz val="12"/>
    </font>
    <font>
      <name val="Calibri"/>
      <color rgb="FFFF0000"/>
      <sz val="12"/>
    </font>
    <font>
      <name val="Calibri"/>
      <family val="2"/>
      <b val="1"/>
      <sz val="12"/>
    </font>
    <font>
      <name val="Calibri"/>
      <b val="1"/>
      <color rgb="FF4472C4"/>
      <sz val="12"/>
    </font>
    <font>
      <name val="Calibri"/>
      <family val="2"/>
      <b val="1"/>
      <color theme="1"/>
      <sz val="12"/>
      <scheme val="minor"/>
    </font>
    <font>
      <name val="Calibri"/>
      <family val="2"/>
      <b val="1"/>
      <color rgb="FF7030A0"/>
      <sz val="12"/>
    </font>
    <font>
      <name val="Calibri"/>
      <sz val="12"/>
    </font>
    <font>
      <name val="Calibri"/>
      <family val="2"/>
      <b val="1"/>
      <color rgb="FF4472C4"/>
      <sz val="12"/>
    </font>
  </fonts>
  <fills count="19">
    <fill>
      <patternFill/>
    </fill>
    <fill>
      <patternFill patternType="gray125"/>
    </fill>
    <fill>
      <patternFill patternType="solid">
        <fgColor theme="1"/>
        <bgColor indexed="64"/>
      </patternFill>
    </fill>
    <fill>
      <patternFill patternType="solid">
        <fgColor rgb="FF4398B6"/>
        <bgColor indexed="64"/>
      </patternFill>
    </fill>
    <fill>
      <patternFill patternType="solid">
        <fgColor theme="0"/>
        <bgColor indexed="64"/>
      </patternFill>
    </fill>
    <fill>
      <patternFill patternType="solid">
        <fgColor theme="4" tint="0.7999816888943144"/>
        <bgColor indexed="64"/>
      </patternFill>
    </fill>
    <fill>
      <patternFill patternType="solid">
        <fgColor theme="0" tint="-0.1499984740745262"/>
        <bgColor indexed="64"/>
      </patternFill>
    </fill>
    <fill>
      <patternFill patternType="solid">
        <fgColor rgb="FFA5A5A5"/>
      </patternFill>
    </fill>
    <fill>
      <patternFill patternType="solid">
        <fgColor rgb="FFF6DFDC"/>
        <bgColor indexed="64"/>
      </patternFill>
    </fill>
    <fill>
      <patternFill patternType="solid">
        <fgColor rgb="FFF6DFDC"/>
        <bgColor rgb="FF000000"/>
      </patternFill>
    </fill>
    <fill>
      <patternFill patternType="solid">
        <fgColor theme="5" tint="0.7999816888943144"/>
        <bgColor indexed="64"/>
      </patternFill>
    </fill>
    <fill>
      <patternFill patternType="solid">
        <fgColor rgb="FFE2EFDA"/>
        <bgColor rgb="FF000000"/>
      </patternFill>
    </fill>
    <fill>
      <patternFill patternType="solid">
        <fgColor theme="9" tint="0.7999816888943144"/>
        <bgColor indexed="64"/>
      </patternFill>
    </fill>
    <fill>
      <patternFill patternType="solid">
        <fgColor rgb="FFFFFF00"/>
        <bgColor indexed="64"/>
      </patternFill>
    </fill>
    <fill>
      <patternFill patternType="solid">
        <fgColor theme="0"/>
        <bgColor rgb="FF000000"/>
      </patternFill>
    </fill>
    <fill>
      <patternFill patternType="solid">
        <fgColor theme="8"/>
        <bgColor indexed="64"/>
      </patternFill>
    </fill>
    <fill>
      <patternFill patternType="solid">
        <fgColor rgb="FF00B050"/>
        <bgColor indexed="64"/>
      </patternFill>
    </fill>
    <fill>
      <patternFill patternType="solid">
        <fgColor theme="9" tint="0.5999938962981048"/>
        <bgColor indexed="64"/>
      </patternFill>
    </fill>
    <fill>
      <patternFill patternType="solid">
        <fgColor theme="9" tint="0.5999938962981048"/>
        <bgColor rgb="FF000000"/>
      </patternFill>
    </fill>
  </fills>
  <borders count="89">
    <border>
      <left/>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style="medium">
        <color indexed="64"/>
      </top>
      <bottom style="medium">
        <color indexed="64"/>
      </bottom>
      <diagonal/>
    </border>
    <border>
      <left style="medium">
        <color indexed="64"/>
      </left>
      <right style="thin">
        <color auto="1"/>
      </right>
      <top style="medium">
        <color indexed="64"/>
      </top>
      <bottom style="medium">
        <color indexed="64"/>
      </bottom>
      <diagonal/>
    </border>
    <border>
      <left style="medium">
        <color indexed="64"/>
      </left>
      <right style="thin">
        <color auto="1"/>
      </right>
      <top style="thin">
        <color auto="1"/>
      </top>
      <bottom/>
      <diagonal/>
    </border>
    <border>
      <left style="medium">
        <color indexed="64"/>
      </left>
      <right style="thin">
        <color auto="1"/>
      </right>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medium">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style="medium">
        <color indexed="64"/>
      </top>
      <bottom style="medium">
        <color indexed="64"/>
      </bottom>
      <diagonal/>
    </border>
    <border>
      <left style="thin">
        <color auto="1"/>
      </left>
      <right/>
      <top/>
      <bottom style="thin">
        <color auto="1"/>
      </bottom>
      <diagonal/>
    </border>
    <border>
      <left style="thin">
        <color auto="1"/>
      </left>
      <right/>
      <top style="thin">
        <color auto="1"/>
      </top>
      <bottom style="medium">
        <color indexed="64"/>
      </bottom>
      <diagonal/>
    </border>
    <border>
      <left style="thin">
        <color auto="1"/>
      </left>
      <right/>
      <top/>
      <bottom/>
      <diagonal/>
    </border>
    <border>
      <left style="double">
        <color rgb="FF3F3F3F"/>
      </left>
      <right style="double">
        <color rgb="FF3F3F3F"/>
      </right>
      <top style="double">
        <color rgb="FF3F3F3F"/>
      </top>
      <bottom style="double">
        <color rgb="FF3F3F3F"/>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medium">
        <color indexed="64"/>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thin">
        <color auto="1"/>
      </top>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auto="1"/>
      </left>
      <right style="thin">
        <color theme="1"/>
      </right>
      <top style="medium">
        <color indexed="64"/>
      </top>
      <bottom style="medium">
        <color indexed="64"/>
      </bottom>
      <diagonal/>
    </border>
    <border>
      <left/>
      <right style="medium">
        <color indexed="64"/>
      </right>
      <top style="thin">
        <color auto="1"/>
      </top>
      <bottom style="thin">
        <color auto="1"/>
      </bottom>
      <diagonal/>
    </border>
    <border>
      <left style="thin">
        <color auto="1"/>
      </left>
      <right style="thin">
        <color theme="1"/>
      </right>
      <top style="thin">
        <color auto="1"/>
      </top>
      <bottom style="thin">
        <color auto="1"/>
      </bottom>
      <diagonal/>
    </border>
    <border>
      <left/>
      <right style="medium">
        <color indexed="64"/>
      </right>
      <top style="thin">
        <color auto="1"/>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thin">
        <color theme="1"/>
      </right>
      <top style="medium">
        <color indexed="64"/>
      </top>
      <bottom style="thin">
        <color auto="1"/>
      </bottom>
      <diagonal/>
    </border>
    <border>
      <left/>
      <right style="medium">
        <color indexed="64"/>
      </right>
      <top style="medium">
        <color indexed="64"/>
      </top>
      <bottom style="thin">
        <color auto="1"/>
      </bottom>
      <diagonal/>
    </border>
    <border>
      <left/>
      <right style="medium">
        <color indexed="64"/>
      </right>
      <top style="thin">
        <color auto="1"/>
      </top>
      <bottom style="medium">
        <color indexed="64"/>
      </bottom>
      <diagonal/>
    </border>
    <border>
      <left style="thin">
        <color theme="1"/>
      </left>
      <right style="thin">
        <color theme="1"/>
      </right>
      <top style="thin">
        <color theme="1"/>
      </top>
      <bottom style="thin">
        <color theme="1"/>
      </bottom>
      <diagonal/>
    </border>
    <border>
      <left style="medium">
        <color indexed="64"/>
      </left>
      <right style="medium">
        <color indexed="64"/>
      </right>
      <top/>
      <bottom style="thin">
        <color auto="1"/>
      </bottom>
      <diagonal/>
    </border>
    <border>
      <left style="thin">
        <color rgb="FF000000"/>
      </left>
      <right style="thin">
        <color rgb="FF000000"/>
      </right>
      <top style="thin">
        <color rgb="FF000000"/>
      </top>
      <bottom/>
      <diagonal/>
    </border>
    <border>
      <left/>
      <right style="medium">
        <color indexed="64"/>
      </right>
      <top/>
      <bottom style="medium">
        <color indexed="64"/>
      </bottom>
      <diagonal/>
    </border>
    <border>
      <left style="thin">
        <color theme="1"/>
      </left>
      <right style="thin">
        <color auto="1"/>
      </right>
      <top style="thin">
        <color auto="1"/>
      </top>
      <bottom style="thin">
        <color indexed="64"/>
      </bottom>
      <diagonal/>
    </border>
    <border>
      <left style="thin">
        <color auto="1"/>
      </left>
      <right style="thin">
        <color theme="1"/>
      </right>
      <top style="thin">
        <color auto="1"/>
      </top>
      <bottom style="medium">
        <color indexed="64"/>
      </bottom>
      <diagonal/>
    </border>
    <border>
      <left style="thin">
        <color theme="0"/>
      </left>
      <right/>
      <top style="thin">
        <color theme="0"/>
      </top>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style="thin">
        <color auto="1"/>
      </left>
      <right/>
      <top style="medium">
        <color indexed="64"/>
      </top>
      <bottom style="thin">
        <color indexed="64"/>
      </bottom>
      <diagonal/>
    </border>
    <border>
      <left style="medium">
        <color indexed="64"/>
      </left>
      <right/>
      <top style="thin">
        <color auto="1"/>
      </top>
      <bottom style="thin">
        <color auto="1"/>
      </bottom>
      <diagonal/>
    </border>
    <border>
      <left/>
      <right/>
      <top style="thin">
        <color auto="1"/>
      </top>
      <bottom style="thin">
        <color auto="1"/>
      </bottom>
      <diagonal/>
    </border>
    <border>
      <left style="thin">
        <color theme="1"/>
      </left>
      <right style="thin">
        <color theme="1"/>
      </right>
      <top/>
      <bottom style="thin">
        <color theme="1"/>
      </bottom>
      <diagonal/>
    </border>
    <border>
      <left style="thin">
        <color auto="1"/>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style="thin">
        <color auto="1"/>
      </left>
      <right style="medium">
        <color indexed="64"/>
      </right>
      <top style="thin">
        <color auto="1"/>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bottom style="medium">
        <color indexed="64"/>
      </bottom>
      <diagonal/>
    </border>
    <border>
      <left/>
      <right style="thin">
        <color indexed="64"/>
      </right>
      <top style="medium">
        <color indexed="64"/>
      </top>
      <bottom style="medium">
        <color indexed="64"/>
      </bottom>
      <diagonal/>
    </border>
    <border>
      <left/>
      <right style="thin">
        <color indexed="64"/>
      </right>
      <top style="thin">
        <color auto="1"/>
      </top>
      <bottom style="thin">
        <color auto="1"/>
      </bottom>
      <diagonal/>
    </border>
    <border>
      <left/>
      <right style="thin">
        <color indexed="64"/>
      </right>
      <top/>
      <bottom style="medium">
        <color indexed="64"/>
      </bottom>
      <diagonal/>
    </border>
    <border>
      <left/>
      <right style="thin">
        <color indexed="64"/>
      </right>
      <top style="thin">
        <color auto="1"/>
      </top>
      <bottom style="medium">
        <color indexed="64"/>
      </bottom>
      <diagonal/>
    </border>
    <border>
      <left/>
      <right style="thin">
        <color indexed="64"/>
      </right>
      <top style="thin">
        <color auto="1"/>
      </top>
      <bottom/>
      <diagonal/>
    </border>
    <border>
      <left/>
      <right style="medium">
        <color indexed="64"/>
      </right>
      <top style="medium">
        <color indexed="64"/>
      </top>
      <bottom/>
      <diagonal/>
    </border>
    <border>
      <left style="thin">
        <color theme="1"/>
      </left>
      <right style="thin">
        <color theme="1"/>
      </right>
      <top style="medium">
        <color indexed="64"/>
      </top>
      <bottom style="thin">
        <color indexed="64"/>
      </bottom>
      <diagonal/>
    </border>
    <border>
      <left style="thin">
        <color theme="1"/>
      </left>
      <right style="thin">
        <color theme="1"/>
      </right>
      <top style="thin">
        <color auto="1"/>
      </top>
      <bottom style="thin">
        <color auto="1"/>
      </bottom>
      <diagonal/>
    </border>
    <border>
      <left/>
      <right style="thin">
        <color indexed="64"/>
      </right>
      <top style="medium">
        <color indexed="64"/>
      </top>
      <bottom/>
      <diagonal/>
    </border>
    <border>
      <left/>
      <right style="medium">
        <color indexed="64"/>
      </right>
      <top/>
      <bottom/>
      <diagonal/>
    </border>
    <border>
      <left/>
      <right/>
      <top style="medium">
        <color indexed="64"/>
      </top>
      <bottom style="thin">
        <color auto="1"/>
      </bottom>
      <diagonal/>
    </border>
    <border>
      <left style="thin">
        <color auto="1"/>
      </left>
      <right style="thin">
        <color auto="1"/>
      </right>
      <top style="thin">
        <color auto="1"/>
      </top>
      <bottom style="thin">
        <color auto="1"/>
      </bottom>
      <diagonal/>
    </border>
    <border>
      <left style="thin">
        <color indexed="64"/>
      </left>
      <right style="thin">
        <color indexed="64"/>
      </right>
      <top/>
      <bottom style="thin">
        <color rgb="FF000000"/>
      </bottom>
      <diagonal/>
    </border>
    <border>
      <left style="thin">
        <color auto="1"/>
      </left>
      <right/>
      <top/>
      <bottom style="thin">
        <color rgb="FF000000"/>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style="thin">
        <color indexed="64"/>
      </top>
      <bottom style="medium">
        <color indexed="64"/>
      </bottom>
      <diagonal/>
    </border>
    <border>
      <left style="medium">
        <color indexed="64"/>
      </left>
      <right style="medium">
        <color indexed="64"/>
      </right>
      <top style="medium">
        <color indexed="64"/>
      </top>
      <bottom/>
      <diagonal/>
    </border>
    <border>
      <left/>
      <right/>
      <top style="medium">
        <color indexed="64"/>
      </top>
      <bottom/>
      <diagonal/>
    </border>
    <border>
      <left style="thin">
        <color theme="1"/>
      </left>
      <right style="thin">
        <color theme="1"/>
      </right>
      <top style="thin">
        <color theme="1"/>
      </top>
      <bottom/>
      <diagonal/>
    </border>
    <border>
      <left style="thin">
        <color theme="1"/>
      </left>
      <right style="thin">
        <color theme="1"/>
      </right>
      <top style="thin">
        <color indexed="64"/>
      </top>
      <bottom style="medium">
        <color indexed="64"/>
      </bottom>
      <diagonal/>
    </border>
    <border>
      <left/>
      <right style="thin">
        <color theme="1"/>
      </right>
      <top style="thin">
        <color theme="1"/>
      </top>
      <bottom style="thin">
        <color theme="1"/>
      </bottom>
      <diagonal/>
    </border>
    <border>
      <left/>
      <right/>
      <top style="thin">
        <color auto="1"/>
      </top>
      <bottom/>
      <diagonal/>
    </border>
  </borders>
  <cellStyleXfs count="19">
    <xf numFmtId="0" fontId="3" fillId="0" borderId="0"/>
    <xf numFmtId="0" fontId="4" fillId="0" borderId="0"/>
    <xf numFmtId="0" fontId="5" fillId="0" borderId="0"/>
    <xf numFmtId="0" fontId="3" fillId="0" borderId="0"/>
    <xf numFmtId="0" fontId="4" fillId="0" borderId="0"/>
    <xf numFmtId="0" fontId="3" fillId="0" borderId="0"/>
    <xf numFmtId="0" fontId="3" fillId="0" borderId="0"/>
    <xf numFmtId="0" fontId="7" fillId="7" borderId="19"/>
    <xf numFmtId="0" fontId="4" fillId="0" borderId="0"/>
    <xf numFmtId="0" fontId="4" fillId="0" borderId="0"/>
    <xf numFmtId="0" fontId="4" fillId="0" borderId="0"/>
    <xf numFmtId="9" fontId="3"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cellStyleXfs>
  <cellXfs count="751">
    <xf numFmtId="0" fontId="0" fillId="0" borderId="0" pivotButton="0" quotePrefix="0" xfId="0"/>
    <xf numFmtId="0" fontId="0" fillId="0" borderId="20" pivotButton="0" quotePrefix="0" xfId="0"/>
    <xf numFmtId="0" fontId="6" fillId="0" borderId="20" applyAlignment="1" pivotButton="0" quotePrefix="0" xfId="0">
      <alignment horizontal="center" vertical="center"/>
    </xf>
    <xf numFmtId="0" fontId="0" fillId="0" borderId="21" pivotButton="0" quotePrefix="0" xfId="0"/>
    <xf numFmtId="0" fontId="6" fillId="0" borderId="23" applyAlignment="1" pivotButton="0" quotePrefix="0" xfId="0">
      <alignment horizontal="center" vertical="center"/>
    </xf>
    <xf numFmtId="0" fontId="0" fillId="0" borderId="23" pivotButton="0" quotePrefix="0" xfId="0"/>
    <xf numFmtId="0" fontId="6" fillId="0" borderId="24" applyAlignment="1" pivotButton="0" quotePrefix="0" xfId="0">
      <alignment horizontal="center" vertical="center"/>
    </xf>
    <xf numFmtId="0" fontId="0" fillId="0" borderId="24" pivotButton="0" quotePrefix="0" xfId="0"/>
    <xf numFmtId="9" fontId="11" fillId="0" borderId="40" applyAlignment="1" pivotButton="0" quotePrefix="0" xfId="11">
      <alignment horizontal="center" vertical="center" wrapText="1"/>
    </xf>
    <xf numFmtId="9" fontId="11" fillId="0" borderId="45" applyAlignment="1" pivotButton="0" quotePrefix="0" xfId="11">
      <alignment horizontal="center" vertical="center" wrapText="1"/>
    </xf>
    <xf numFmtId="0" fontId="6" fillId="0" borderId="23" pivotButton="0" quotePrefix="0" xfId="0"/>
    <xf numFmtId="0" fontId="6" fillId="0" borderId="24" pivotButton="0" quotePrefix="0" xfId="0"/>
    <xf numFmtId="0" fontId="6" fillId="0" borderId="20" pivotButton="0" quotePrefix="0" xfId="0"/>
    <xf numFmtId="9" fontId="11" fillId="0" borderId="12" applyAlignment="1" pivotButton="0" quotePrefix="0" xfId="11">
      <alignment horizontal="center" vertical="center" wrapText="1"/>
    </xf>
    <xf numFmtId="9" fontId="11" fillId="0" borderId="1" applyAlignment="1" pivotButton="0" quotePrefix="0" xfId="11">
      <alignment horizontal="center" vertical="center" wrapText="1"/>
    </xf>
    <xf numFmtId="9" fontId="11" fillId="0" borderId="9" applyAlignment="1" pivotButton="0" quotePrefix="0" xfId="11">
      <alignment horizontal="center" vertical="center" wrapText="1"/>
    </xf>
    <xf numFmtId="9" fontId="11" fillId="0" borderId="72" applyAlignment="1" pivotButton="0" quotePrefix="0" xfId="11">
      <alignment horizontal="center" vertical="center" wrapText="1"/>
    </xf>
    <xf numFmtId="0" fontId="2" fillId="0" borderId="20" pivotButton="0" quotePrefix="0" xfId="10"/>
    <xf numFmtId="0" fontId="9" fillId="0" borderId="4" applyAlignment="1" pivotButton="0" quotePrefix="0" xfId="10">
      <alignment horizontal="center"/>
    </xf>
    <xf numFmtId="0" fontId="9" fillId="0" borderId="3" applyAlignment="1" pivotButton="0" quotePrefix="0" xfId="10">
      <alignment horizontal="center"/>
    </xf>
    <xf numFmtId="0" fontId="9" fillId="0" borderId="15" applyAlignment="1" pivotButton="0" quotePrefix="0" xfId="10">
      <alignment horizontal="center"/>
    </xf>
    <xf numFmtId="0" fontId="9" fillId="0" borderId="37" applyAlignment="1" pivotButton="0" quotePrefix="0" xfId="10">
      <alignment horizontal="center" vertical="center"/>
    </xf>
    <xf numFmtId="0" fontId="9" fillId="0" borderId="67" applyAlignment="1" pivotButton="0" quotePrefix="0" xfId="16">
      <alignment horizontal="center" vertical="center"/>
    </xf>
    <xf numFmtId="0" fontId="9" fillId="0" borderId="31" applyAlignment="1" pivotButton="0" quotePrefix="0" xfId="10">
      <alignment horizontal="center"/>
    </xf>
    <xf numFmtId="0" fontId="10" fillId="0" borderId="41" applyAlignment="1" pivotButton="0" quotePrefix="0" xfId="10">
      <alignment vertical="center"/>
    </xf>
    <xf numFmtId="0" fontId="10" fillId="0" borderId="43" applyAlignment="1" pivotButton="0" quotePrefix="0" xfId="10">
      <alignment horizontal="left" vertical="center" wrapText="1"/>
    </xf>
    <xf numFmtId="0" fontId="10" fillId="0" borderId="42" applyAlignment="1" pivotButton="0" quotePrefix="0" xfId="10">
      <alignment horizontal="center" vertical="center" wrapText="1"/>
    </xf>
    <xf numFmtId="0" fontId="10" fillId="0" borderId="56" applyAlignment="1" pivotButton="0" quotePrefix="0" xfId="16">
      <alignment horizontal="center" vertical="center" wrapText="1"/>
    </xf>
    <xf numFmtId="0" fontId="10" fillId="0" borderId="7" applyAlignment="1" pivotButton="0" quotePrefix="0" xfId="10">
      <alignment vertical="center"/>
    </xf>
    <xf numFmtId="0" fontId="10" fillId="0" borderId="39" applyAlignment="1" pivotButton="0" quotePrefix="0" xfId="10">
      <alignment horizontal="left" vertical="center" wrapText="1"/>
    </xf>
    <xf numFmtId="0" fontId="10" fillId="0" borderId="38" applyAlignment="1" pivotButton="0" quotePrefix="0" xfId="16">
      <alignment horizontal="center" vertical="center" wrapText="1"/>
    </xf>
    <xf numFmtId="0" fontId="11" fillId="0" borderId="39" applyAlignment="1" pivotButton="0" quotePrefix="0" xfId="10">
      <alignment horizontal="left" vertical="center" wrapText="1"/>
    </xf>
    <xf numFmtId="0" fontId="11" fillId="0" borderId="38" applyAlignment="1" pivotButton="0" quotePrefix="0" xfId="16">
      <alignment horizontal="center" vertical="center" wrapText="1"/>
    </xf>
    <xf numFmtId="0" fontId="12" fillId="0" borderId="7" applyAlignment="1" pivotButton="0" quotePrefix="0" xfId="10">
      <alignment vertical="center"/>
    </xf>
    <xf numFmtId="0" fontId="11" fillId="0" borderId="39" applyAlignment="1" pivotButton="0" quotePrefix="0" xfId="12">
      <alignment vertical="center" wrapText="1"/>
    </xf>
    <xf numFmtId="0" fontId="11" fillId="0" borderId="68" applyAlignment="1" pivotButton="0" quotePrefix="0" xfId="16">
      <alignment vertical="center" wrapText="1"/>
    </xf>
    <xf numFmtId="0" fontId="12" fillId="0" borderId="53" applyAlignment="1" pivotButton="0" quotePrefix="0" xfId="10">
      <alignment vertical="center"/>
    </xf>
    <xf numFmtId="0" fontId="11" fillId="0" borderId="54" applyAlignment="1" pivotButton="0" quotePrefix="0" xfId="12">
      <alignment vertical="center" wrapText="1"/>
    </xf>
    <xf numFmtId="0" fontId="11" fillId="0" borderId="69" applyAlignment="1" pivotButton="0" quotePrefix="0" xfId="16">
      <alignment vertical="center" wrapText="1"/>
    </xf>
    <xf numFmtId="2" fontId="11" fillId="0" borderId="11" applyAlignment="1" pivotButton="0" quotePrefix="0" xfId="10">
      <alignment horizontal="center" vertical="center" wrapText="1"/>
    </xf>
    <xf numFmtId="2" fontId="11" fillId="0" borderId="49" applyAlignment="1" pivotButton="0" quotePrefix="0" xfId="16">
      <alignment horizontal="center" vertical="center" wrapText="1"/>
    </xf>
    <xf numFmtId="0" fontId="10" fillId="0" borderId="6" applyAlignment="1" pivotButton="0" quotePrefix="0" xfId="10">
      <alignment vertical="center"/>
    </xf>
    <xf numFmtId="0" fontId="10" fillId="0" borderId="55" applyAlignment="1" pivotButton="0" quotePrefix="0" xfId="10">
      <alignment horizontal="left" vertical="center" wrapText="1"/>
    </xf>
    <xf numFmtId="0" fontId="10" fillId="0" borderId="73" applyAlignment="1" pivotButton="0" quotePrefix="0" xfId="16">
      <alignment vertical="center" wrapText="1"/>
    </xf>
    <xf numFmtId="0" fontId="10" fillId="0" borderId="2" applyAlignment="1" pivotButton="0" quotePrefix="0" xfId="10">
      <alignment horizontal="center" vertical="center" wrapText="1"/>
    </xf>
    <xf numFmtId="0" fontId="10" fillId="0" borderId="44" applyAlignment="1" pivotButton="0" quotePrefix="0" xfId="16">
      <alignment horizontal="center" vertical="center" wrapText="1"/>
    </xf>
    <xf numFmtId="0" fontId="10" fillId="0" borderId="7" applyAlignment="1" pivotButton="0" quotePrefix="0" xfId="12">
      <alignment horizontal="left" vertical="center"/>
    </xf>
    <xf numFmtId="0" fontId="11" fillId="0" borderId="39" applyAlignment="1" pivotButton="0" quotePrefix="0" xfId="10">
      <alignment vertical="center" wrapText="1"/>
    </xf>
    <xf numFmtId="0" fontId="11" fillId="0" borderId="74" applyAlignment="1" pivotButton="0" quotePrefix="0" xfId="16">
      <alignment vertical="center" wrapText="1"/>
    </xf>
    <xf numFmtId="0" fontId="11" fillId="0" borderId="74" applyAlignment="1" pivotButton="0" quotePrefix="0" xfId="16">
      <alignment wrapText="1"/>
    </xf>
    <xf numFmtId="0" fontId="11" fillId="4" borderId="0" applyAlignment="1" pivotButton="0" quotePrefix="0" xfId="10">
      <alignment wrapText="1"/>
    </xf>
    <xf numFmtId="0" fontId="12" fillId="0" borderId="8" applyAlignment="1" pivotButton="0" quotePrefix="0" xfId="10">
      <alignment vertical="center"/>
    </xf>
    <xf numFmtId="0" fontId="11" fillId="0" borderId="51" applyAlignment="1" pivotButton="0" quotePrefix="0" xfId="10">
      <alignment horizontal="left" vertical="center" wrapText="1"/>
    </xf>
    <xf numFmtId="0" fontId="11" fillId="0" borderId="70" applyAlignment="1" pivotButton="0" quotePrefix="0" xfId="16">
      <alignment vertical="center" wrapText="1"/>
    </xf>
    <xf numFmtId="0" fontId="11" fillId="0" borderId="9" applyAlignment="1" pivotButton="0" quotePrefix="0" xfId="10">
      <alignment horizontal="center" vertical="center" wrapText="1"/>
    </xf>
    <xf numFmtId="0" fontId="11" fillId="0" borderId="45" applyAlignment="1" pivotButton="0" quotePrefix="0" xfId="16">
      <alignment horizontal="center" vertical="center" wrapText="1"/>
    </xf>
    <xf numFmtId="0" fontId="10" fillId="0" borderId="53" applyAlignment="1" pivotButton="0" quotePrefix="0" xfId="10">
      <alignment vertical="center"/>
    </xf>
    <xf numFmtId="0" fontId="11" fillId="0" borderId="54" applyAlignment="1" pivotButton="0" quotePrefix="0" xfId="10">
      <alignment horizontal="left" vertical="center" wrapText="1"/>
    </xf>
    <xf numFmtId="0" fontId="11" fillId="4" borderId="69" applyAlignment="1" pivotButton="0" quotePrefix="0" xfId="16">
      <alignment vertical="center" wrapText="1"/>
    </xf>
    <xf numFmtId="0" fontId="11" fillId="0" borderId="11" applyAlignment="1" pivotButton="0" quotePrefix="0" xfId="10">
      <alignment horizontal="center" vertical="center" wrapText="1"/>
    </xf>
    <xf numFmtId="0" fontId="11" fillId="4" borderId="49" applyAlignment="1" pivotButton="0" quotePrefix="0" xfId="16">
      <alignment horizontal="center" vertical="center" wrapText="1"/>
    </xf>
    <xf numFmtId="0" fontId="12" fillId="0" borderId="6" applyAlignment="1" pivotButton="0" quotePrefix="0" xfId="10">
      <alignment horizontal="left" vertical="center" wrapText="1"/>
    </xf>
    <xf numFmtId="0" fontId="13" fillId="0" borderId="2" applyAlignment="1" pivotButton="0" quotePrefix="0" xfId="10">
      <alignment horizontal="left" vertical="center" wrapText="1"/>
    </xf>
    <xf numFmtId="0" fontId="16" fillId="0" borderId="75" applyAlignment="1" pivotButton="0" quotePrefix="0" xfId="16">
      <alignment vertical="center" wrapText="1"/>
    </xf>
    <xf numFmtId="0" fontId="12" fillId="0" borderId="7" applyAlignment="1" pivotButton="0" quotePrefix="0" xfId="10">
      <alignment horizontal="left" vertical="center" wrapText="1"/>
    </xf>
    <xf numFmtId="0" fontId="16" fillId="0" borderId="71" applyAlignment="1" pivotButton="0" quotePrefix="0" xfId="16">
      <alignment vertical="center" wrapText="1"/>
    </xf>
    <xf numFmtId="0" fontId="12" fillId="0" borderId="8" applyAlignment="1" pivotButton="0" quotePrefix="0" xfId="10">
      <alignment horizontal="left" vertical="center" wrapText="1"/>
    </xf>
    <xf numFmtId="0" fontId="13" fillId="0" borderId="9" applyAlignment="1" pivotButton="0" quotePrefix="0" xfId="10">
      <alignment horizontal="left" vertical="center" wrapText="1"/>
    </xf>
    <xf numFmtId="0" fontId="16" fillId="0" borderId="70" applyAlignment="1" pivotButton="0" quotePrefix="0" xfId="16">
      <alignment vertical="center" wrapText="1"/>
    </xf>
    <xf numFmtId="0" fontId="2" fillId="0" borderId="20" applyAlignment="1" pivotButton="0" quotePrefix="0" xfId="10">
      <alignment horizontal="left" vertical="center"/>
    </xf>
    <xf numFmtId="0" fontId="0" fillId="0" borderId="23" applyAlignment="1" pivotButton="0" quotePrefix="0" xfId="0">
      <alignment wrapText="1"/>
    </xf>
    <xf numFmtId="0" fontId="0" fillId="0" borderId="24" applyAlignment="1" pivotButton="0" quotePrefix="0" xfId="0">
      <alignment wrapText="1"/>
    </xf>
    <xf numFmtId="0" fontId="0" fillId="0" borderId="20" applyAlignment="1" pivotButton="0" quotePrefix="0" xfId="0">
      <alignment wrapText="1"/>
    </xf>
    <xf numFmtId="0" fontId="15" fillId="9" borderId="57" applyAlignment="1" applyProtection="1" pivotButton="0" quotePrefix="0" xfId="0">
      <alignment horizontal="center" vertical="center"/>
      <protection locked="0" hidden="0"/>
    </xf>
    <xf numFmtId="0" fontId="15" fillId="9" borderId="13" applyAlignment="1" applyProtection="1" pivotButton="0" quotePrefix="0" xfId="0">
      <alignment horizontal="center" vertical="center"/>
      <protection locked="0" hidden="0"/>
    </xf>
    <xf numFmtId="0" fontId="15" fillId="9" borderId="16" applyAlignment="1" applyProtection="1" pivotButton="0" quotePrefix="0" xfId="0">
      <alignment horizontal="center" vertical="center"/>
      <protection locked="0" hidden="0"/>
    </xf>
    <xf numFmtId="4" fontId="15" fillId="9" borderId="13" applyAlignment="1" applyProtection="1" pivotButton="0" quotePrefix="0" xfId="0">
      <alignment horizontal="center" vertical="center"/>
      <protection locked="0" hidden="0"/>
    </xf>
    <xf numFmtId="0" fontId="15" fillId="9" borderId="59" applyProtection="1" pivotButton="0" quotePrefix="0" xfId="0">
      <protection locked="0" hidden="0"/>
    </xf>
    <xf numFmtId="0" fontId="15" fillId="9" borderId="11" applyProtection="1" pivotButton="0" quotePrefix="0" xfId="0">
      <protection locked="0" hidden="0"/>
    </xf>
    <xf numFmtId="0" fontId="15" fillId="9" borderId="62" applyProtection="1" pivotButton="0" quotePrefix="0" xfId="0">
      <protection locked="0" hidden="0"/>
    </xf>
    <xf numFmtId="10" fontId="15" fillId="9" borderId="2" applyAlignment="1" applyProtection="1" pivotButton="0" quotePrefix="0" xfId="0">
      <alignment horizontal="center" vertical="center"/>
      <protection locked="0" hidden="0"/>
    </xf>
    <xf numFmtId="10" fontId="15" fillId="9" borderId="9" applyAlignment="1" applyProtection="1" pivotButton="0" quotePrefix="0" xfId="0">
      <alignment horizontal="center" vertical="center"/>
      <protection locked="0" hidden="0"/>
    </xf>
    <xf numFmtId="0" fontId="14" fillId="0" borderId="78" applyAlignment="1" pivotButton="0" quotePrefix="0" xfId="0">
      <alignment horizontal="center" vertical="center" wrapText="1"/>
    </xf>
    <xf numFmtId="0" fontId="14" fillId="0" borderId="78" applyAlignment="1" pivotButton="0" quotePrefix="0" xfId="0">
      <alignment horizontal="center" vertical="center"/>
    </xf>
    <xf numFmtId="0" fontId="8" fillId="10" borderId="78" applyAlignment="1" applyProtection="1" pivotButton="0" quotePrefix="0" xfId="7">
      <alignment horizontal="center" vertical="center"/>
      <protection locked="0" hidden="0"/>
    </xf>
    <xf numFmtId="0" fontId="6" fillId="0" borderId="78" pivotButton="0" quotePrefix="0" xfId="0"/>
    <xf numFmtId="0" fontId="6" fillId="0" borderId="78" applyAlignment="1" pivotButton="0" quotePrefix="0" xfId="0">
      <alignment horizontal="center"/>
    </xf>
    <xf numFmtId="0" fontId="6" fillId="0" borderId="78" applyAlignment="1" pivotButton="0" quotePrefix="0" xfId="0">
      <alignment wrapText="1"/>
    </xf>
    <xf numFmtId="0" fontId="8" fillId="0" borderId="78" applyAlignment="1" pivotButton="0" quotePrefix="0" xfId="7">
      <alignment horizontal="center" vertical="center"/>
    </xf>
    <xf numFmtId="0" fontId="14" fillId="0" borderId="78" pivotButton="0" quotePrefix="0" xfId="0"/>
    <xf numFmtId="0" fontId="14" fillId="0" borderId="78" applyAlignment="1" pivotButton="0" quotePrefix="0" xfId="0">
      <alignment wrapText="1"/>
    </xf>
    <xf numFmtId="0" fontId="1" fillId="0" borderId="20" pivotButton="0" quotePrefix="0" xfId="10"/>
    <xf numFmtId="0" fontId="1" fillId="0" borderId="23" pivotButton="0" quotePrefix="0" xfId="10"/>
    <xf numFmtId="0" fontId="1" fillId="0" borderId="23" applyAlignment="1" pivotButton="0" quotePrefix="0" xfId="10">
      <alignment horizontal="left" vertical="center"/>
    </xf>
    <xf numFmtId="0" fontId="1" fillId="0" borderId="21" pivotButton="0" quotePrefix="0" xfId="10"/>
    <xf numFmtId="0" fontId="1" fillId="0" borderId="52" pivotButton="0" quotePrefix="0" xfId="10"/>
    <xf numFmtId="0" fontId="1" fillId="0" borderId="22" pivotButton="0" quotePrefix="0" xfId="10"/>
    <xf numFmtId="0" fontId="1" fillId="0" borderId="42" applyAlignment="1" pivotButton="0" quotePrefix="0" xfId="10">
      <alignment horizontal="center" vertical="center"/>
    </xf>
    <xf numFmtId="0" fontId="10" fillId="0" borderId="78" applyAlignment="1" pivotButton="0" quotePrefix="0" xfId="16">
      <alignment vertical="center" wrapText="1"/>
    </xf>
    <xf numFmtId="0" fontId="1" fillId="0" borderId="78" applyAlignment="1" pivotButton="0" quotePrefix="0" xfId="10">
      <alignment horizontal="center" vertical="center"/>
    </xf>
    <xf numFmtId="0" fontId="10" fillId="0" borderId="78" applyAlignment="1" pivotButton="0" quotePrefix="0" xfId="10">
      <alignment horizontal="center" vertical="center" wrapText="1"/>
    </xf>
    <xf numFmtId="0" fontId="1" fillId="4" borderId="78" applyAlignment="1" pivotButton="0" quotePrefix="0" xfId="16">
      <alignment horizontal="center" vertical="center"/>
    </xf>
    <xf numFmtId="0" fontId="15" fillId="9" borderId="78" applyAlignment="1" applyProtection="1" pivotButton="0" quotePrefix="0" xfId="0">
      <alignment horizontal="center" vertical="center"/>
      <protection locked="0" hidden="0"/>
    </xf>
    <xf numFmtId="0" fontId="11" fillId="0" borderId="78" applyAlignment="1" pivotButton="0" quotePrefix="0" xfId="16">
      <alignment vertical="center" wrapText="1"/>
    </xf>
    <xf numFmtId="0" fontId="11" fillId="0" borderId="78" applyAlignment="1" pivotButton="0" quotePrefix="0" xfId="10">
      <alignment horizontal="center" vertical="center" wrapText="1"/>
    </xf>
    <xf numFmtId="0" fontId="1" fillId="0" borderId="78" applyAlignment="1" pivotButton="0" quotePrefix="0" xfId="16">
      <alignment horizontal="center" vertical="center"/>
    </xf>
    <xf numFmtId="0" fontId="1" fillId="8" borderId="78" applyAlignment="1" applyProtection="1" pivotButton="0" quotePrefix="0" xfId="16">
      <alignment horizontal="center" vertical="center" wrapText="1"/>
      <protection locked="0" hidden="0"/>
    </xf>
    <xf numFmtId="0" fontId="1" fillId="8" borderId="13" applyAlignment="1" applyProtection="1" pivotButton="0" quotePrefix="0" xfId="16">
      <alignment horizontal="center" vertical="center" wrapText="1"/>
      <protection locked="0" hidden="0"/>
    </xf>
    <xf numFmtId="2" fontId="1" fillId="4" borderId="9" applyAlignment="1" pivotButton="0" quotePrefix="0" xfId="16">
      <alignment horizontal="center" vertical="center"/>
    </xf>
    <xf numFmtId="2" fontId="1" fillId="8" borderId="66" applyAlignment="1" applyProtection="1" pivotButton="0" quotePrefix="0" xfId="16">
      <alignment horizontal="center" vertical="center" wrapText="1"/>
      <protection locked="0" hidden="0"/>
    </xf>
    <xf numFmtId="0" fontId="1" fillId="0" borderId="2" applyAlignment="1" pivotButton="0" quotePrefix="0" xfId="10">
      <alignment horizontal="center" vertical="center"/>
    </xf>
    <xf numFmtId="2" fontId="1" fillId="0" borderId="78" applyAlignment="1" pivotButton="0" quotePrefix="0" xfId="12">
      <alignment horizontal="center" vertical="center"/>
    </xf>
    <xf numFmtId="2" fontId="1" fillId="8" borderId="13" applyAlignment="1" applyProtection="1" pivotButton="0" quotePrefix="0" xfId="12">
      <alignment horizontal="center" vertical="center"/>
      <protection locked="0" hidden="0"/>
    </xf>
    <xf numFmtId="4" fontId="11" fillId="0" borderId="78" applyAlignment="1" pivotButton="0" quotePrefix="0" xfId="12">
      <alignment horizontal="center" vertical="center" wrapText="1"/>
    </xf>
    <xf numFmtId="4" fontId="1" fillId="4" borderId="64" applyAlignment="1" pivotButton="0" quotePrefix="0" xfId="16">
      <alignment horizontal="center" vertical="center"/>
    </xf>
    <xf numFmtId="4" fontId="1" fillId="0" borderId="78" applyAlignment="1" pivotButton="0" quotePrefix="0" xfId="10">
      <alignment horizontal="center" vertical="center"/>
    </xf>
    <xf numFmtId="4" fontId="11" fillId="0" borderId="78" applyAlignment="1" pivotButton="0" quotePrefix="0" xfId="10">
      <alignment horizontal="center" vertical="center" wrapText="1"/>
    </xf>
    <xf numFmtId="0" fontId="1" fillId="0" borderId="24" pivotButton="0" quotePrefix="0" xfId="10"/>
    <xf numFmtId="0" fontId="15" fillId="9" borderId="78" applyProtection="1" pivotButton="0" quotePrefix="0" xfId="0">
      <protection locked="0" hidden="0"/>
    </xf>
    <xf numFmtId="0" fontId="1" fillId="0" borderId="26" applyAlignment="1" pivotButton="0" quotePrefix="0" xfId="10">
      <alignment wrapText="1"/>
    </xf>
    <xf numFmtId="0" fontId="1" fillId="0" borderId="11" applyAlignment="1" pivotButton="0" quotePrefix="0" xfId="10">
      <alignment horizontal="center" vertical="center"/>
    </xf>
    <xf numFmtId="0" fontId="1" fillId="0" borderId="66" applyAlignment="1" pivotButton="0" quotePrefix="0" xfId="10">
      <alignment horizontal="center" vertical="center"/>
    </xf>
    <xf numFmtId="164" fontId="1" fillId="0" borderId="42" applyAlignment="1" pivotButton="0" quotePrefix="0" xfId="16">
      <alignment horizontal="center" vertical="center"/>
    </xf>
    <xf numFmtId="164" fontId="1" fillId="0" borderId="12" applyAlignment="1" pivotButton="0" quotePrefix="0" xfId="16">
      <alignment horizontal="center" vertical="center"/>
    </xf>
    <xf numFmtId="10" fontId="15" fillId="9" borderId="78" applyAlignment="1" applyProtection="1" pivotButton="0" quotePrefix="0" xfId="0">
      <alignment horizontal="center" vertical="center"/>
      <protection locked="0" hidden="0"/>
    </xf>
    <xf numFmtId="0" fontId="13" fillId="0" borderId="78" applyAlignment="1" pivotButton="0" quotePrefix="0" xfId="10">
      <alignment horizontal="left" vertical="center" wrapText="1"/>
    </xf>
    <xf numFmtId="164" fontId="1" fillId="0" borderId="9" applyAlignment="1" pivotButton="0" quotePrefix="0" xfId="16">
      <alignment horizontal="center" vertical="center"/>
    </xf>
    <xf numFmtId="0" fontId="1" fillId="0" borderId="24" applyAlignment="1" pivotButton="0" quotePrefix="0" xfId="10">
      <alignment horizontal="left" vertical="center"/>
    </xf>
    <xf numFmtId="0" fontId="18" fillId="0" borderId="0" applyProtection="1" pivotButton="0" quotePrefix="0" xfId="0">
      <protection locked="0" hidden="0"/>
    </xf>
    <xf numFmtId="0" fontId="17" fillId="0" borderId="0" applyAlignment="1" applyProtection="1" pivotButton="0" quotePrefix="0" xfId="0">
      <alignment horizontal="center"/>
      <protection locked="0" hidden="0"/>
    </xf>
    <xf numFmtId="0" fontId="17" fillId="0" borderId="0" applyAlignment="1" applyProtection="1" pivotButton="0" quotePrefix="0" xfId="0">
      <alignment wrapText="1"/>
      <protection locked="0" hidden="0"/>
    </xf>
    <xf numFmtId="0" fontId="17" fillId="0" borderId="0" applyProtection="1" pivotButton="0" quotePrefix="0" xfId="0">
      <protection locked="0" hidden="0"/>
    </xf>
    <xf numFmtId="9" fontId="19" fillId="0" borderId="0" applyAlignment="1" applyProtection="1" pivotButton="0" quotePrefix="0" xfId="11">
      <alignment horizontal="center" vertical="center"/>
      <protection locked="0" hidden="0"/>
    </xf>
    <xf numFmtId="0" fontId="17" fillId="0" borderId="0" applyAlignment="1" applyProtection="1" pivotButton="0" quotePrefix="0" xfId="0">
      <alignment horizontal="center" vertical="center"/>
      <protection locked="0" hidden="0"/>
    </xf>
    <xf numFmtId="0" fontId="19" fillId="0" borderId="0" applyAlignment="1" applyProtection="1" pivotButton="0" quotePrefix="0" xfId="0">
      <alignment horizontal="center" vertical="center"/>
      <protection locked="0" hidden="0"/>
    </xf>
    <xf numFmtId="0" fontId="18" fillId="0" borderId="0" applyAlignment="1" applyProtection="1" pivotButton="0" quotePrefix="0" xfId="0">
      <alignment horizontal="center" vertical="center"/>
      <protection locked="0" hidden="0"/>
    </xf>
    <xf numFmtId="0" fontId="18" fillId="15" borderId="5" applyAlignment="1" pivotButton="0" quotePrefix="0" xfId="2">
      <alignment horizontal="center" vertical="center"/>
    </xf>
    <xf numFmtId="0" fontId="18" fillId="15" borderId="1" applyAlignment="1" pivotButton="0" quotePrefix="0" xfId="2">
      <alignment horizontal="center" vertical="center" wrapText="1"/>
    </xf>
    <xf numFmtId="0" fontId="18" fillId="15" borderId="14" applyAlignment="1" pivotButton="0" quotePrefix="0" xfId="2">
      <alignment horizontal="center" vertical="center" wrapText="1"/>
    </xf>
    <xf numFmtId="0" fontId="21" fillId="15" borderId="14" applyAlignment="1" pivotButton="0" quotePrefix="0" xfId="2">
      <alignment horizontal="center" vertical="center" wrapText="1"/>
    </xf>
    <xf numFmtId="0" fontId="22" fillId="3" borderId="3" applyAlignment="1" pivotButton="0" quotePrefix="0" xfId="2">
      <alignment horizontal="center" vertical="center" wrapText="1"/>
    </xf>
    <xf numFmtId="0" fontId="18" fillId="0" borderId="0" applyAlignment="1" applyProtection="1" pivotButton="0" quotePrefix="0" xfId="0">
      <alignment horizontal="center" vertical="center" wrapText="1"/>
      <protection locked="0" hidden="0"/>
    </xf>
    <xf numFmtId="0" fontId="18" fillId="3" borderId="26" applyAlignment="1" applyProtection="1" pivotButton="0" quotePrefix="0" xfId="0">
      <alignment horizontal="center" vertical="center" wrapText="1"/>
      <protection locked="0" hidden="0"/>
    </xf>
    <xf numFmtId="0" fontId="22" fillId="3" borderId="31" applyAlignment="1" pivotButton="0" quotePrefix="0" xfId="2">
      <alignment horizontal="center" vertical="center" wrapText="1"/>
    </xf>
    <xf numFmtId="165" fontId="19" fillId="0" borderId="0" applyAlignment="1" pivotButton="0" quotePrefix="0" xfId="0">
      <alignment horizontal="center" vertical="center"/>
    </xf>
    <xf numFmtId="0" fontId="17" fillId="0" borderId="6" applyAlignment="1" applyProtection="1" pivotButton="0" quotePrefix="0" xfId="2">
      <alignment horizontal="center" vertical="center"/>
      <protection locked="0" hidden="0"/>
    </xf>
    <xf numFmtId="0" fontId="17" fillId="0" borderId="2" applyAlignment="1" pivotButton="0" quotePrefix="0" xfId="14">
      <alignment horizontal="center" vertical="center" wrapText="1"/>
    </xf>
    <xf numFmtId="0" fontId="17" fillId="0" borderId="2" applyAlignment="1" pivotButton="0" quotePrefix="0" xfId="3">
      <alignment horizontal="left" vertical="center" wrapText="1"/>
    </xf>
    <xf numFmtId="0" fontId="17" fillId="0" borderId="2" applyAlignment="1" pivotButton="0" quotePrefix="0" xfId="2">
      <alignment horizontal="center" vertical="center" wrapText="1"/>
    </xf>
    <xf numFmtId="0" fontId="17" fillId="0" borderId="16" applyAlignment="1" pivotButton="0" quotePrefix="0" xfId="3">
      <alignment horizontal="center" vertical="center" wrapText="1"/>
    </xf>
    <xf numFmtId="0" fontId="17" fillId="0" borderId="16" applyAlignment="1" pivotButton="0" quotePrefix="0" xfId="3">
      <alignment horizontal="left" vertical="center" wrapText="1"/>
    </xf>
    <xf numFmtId="0" fontId="21" fillId="0" borderId="16" applyAlignment="1" pivotButton="0" quotePrefix="0" xfId="3">
      <alignment horizontal="left" vertical="center" wrapText="1"/>
    </xf>
    <xf numFmtId="0" fontId="17" fillId="0" borderId="16" applyAlignment="1" applyProtection="1" pivotButton="0" quotePrefix="0" xfId="3">
      <alignment horizontal="center" vertical="center" wrapText="1"/>
      <protection locked="0" hidden="0"/>
    </xf>
    <xf numFmtId="0" fontId="17" fillId="0" borderId="33" applyAlignment="1" applyProtection="1" pivotButton="0" quotePrefix="0" xfId="3">
      <alignment horizontal="left" vertical="center" wrapText="1"/>
      <protection locked="0" hidden="0"/>
    </xf>
    <xf numFmtId="165" fontId="19" fillId="0" borderId="0" applyAlignment="1" applyProtection="1" pivotButton="0" quotePrefix="0" xfId="0">
      <alignment horizontal="center" vertical="center"/>
      <protection locked="0" hidden="0"/>
    </xf>
    <xf numFmtId="0" fontId="17" fillId="0" borderId="7" applyAlignment="1" applyProtection="1" pivotButton="0" quotePrefix="0" xfId="2">
      <alignment horizontal="center" vertical="center"/>
      <protection locked="0" hidden="0"/>
    </xf>
    <xf numFmtId="0" fontId="17" fillId="0" borderId="2" applyAlignment="1" pivotButton="0" quotePrefix="0" xfId="0">
      <alignment horizontal="center" vertical="center" wrapText="1"/>
    </xf>
    <xf numFmtId="0" fontId="17" fillId="0" borderId="78" applyAlignment="1" pivotButton="0" quotePrefix="0" xfId="3">
      <alignment horizontal="left" vertical="center" wrapText="1"/>
    </xf>
    <xf numFmtId="0" fontId="17" fillId="0" borderId="78" applyAlignment="1" pivotButton="0" quotePrefix="0" xfId="2">
      <alignment horizontal="center" vertical="center" wrapText="1"/>
    </xf>
    <xf numFmtId="0" fontId="17" fillId="0" borderId="78" applyAlignment="1" pivotButton="0" quotePrefix="0" xfId="2">
      <alignment horizontal="left" vertical="center" wrapText="1"/>
    </xf>
    <xf numFmtId="0" fontId="17" fillId="0" borderId="2" applyAlignment="1" pivotButton="0" quotePrefix="0" xfId="2">
      <alignment horizontal="left" vertical="center" wrapText="1"/>
    </xf>
    <xf numFmtId="0" fontId="17" fillId="0" borderId="78" applyAlignment="1" pivotButton="0" quotePrefix="0" xfId="3">
      <alignment horizontal="center" vertical="center" wrapText="1"/>
    </xf>
    <xf numFmtId="0" fontId="17" fillId="0" borderId="13" applyAlignment="1" pivotButton="0" quotePrefix="0" xfId="3">
      <alignment horizontal="left" vertical="center" wrapText="1"/>
    </xf>
    <xf numFmtId="0" fontId="21" fillId="0" borderId="13" applyAlignment="1" pivotButton="0" quotePrefix="0" xfId="3">
      <alignment horizontal="left" vertical="center" wrapText="1"/>
    </xf>
    <xf numFmtId="0" fontId="17" fillId="0" borderId="13" applyAlignment="1" pivotButton="0" quotePrefix="0" xfId="3">
      <alignment horizontal="center" vertical="center" wrapText="1"/>
    </xf>
    <xf numFmtId="0" fontId="17" fillId="0" borderId="13" applyAlignment="1" applyProtection="1" pivotButton="0" quotePrefix="0" xfId="3">
      <alignment horizontal="center" vertical="center" wrapText="1"/>
      <protection locked="0" hidden="0"/>
    </xf>
    <xf numFmtId="0" fontId="17" fillId="0" borderId="34" applyAlignment="1" applyProtection="1" pivotButton="0" quotePrefix="0" xfId="3">
      <alignment horizontal="left" vertical="center" wrapText="1"/>
      <protection locked="0" hidden="0"/>
    </xf>
    <xf numFmtId="0" fontId="17" fillId="0" borderId="78" applyAlignment="1" pivotButton="0" quotePrefix="0" xfId="5">
      <alignment horizontal="left" vertical="center" wrapText="1"/>
    </xf>
    <xf numFmtId="0" fontId="17" fillId="0" borderId="13" applyAlignment="1" pivotButton="0" quotePrefix="0" xfId="5">
      <alignment horizontal="left" vertical="center" wrapText="1"/>
    </xf>
    <xf numFmtId="0" fontId="21" fillId="0" borderId="13" applyAlignment="1" pivotButton="0" quotePrefix="0" xfId="5">
      <alignment horizontal="left" vertical="center" wrapText="1"/>
    </xf>
    <xf numFmtId="0" fontId="17" fillId="0" borderId="13" applyAlignment="1" pivotButton="0" quotePrefix="0" xfId="5">
      <alignment horizontal="center" vertical="center" wrapText="1"/>
    </xf>
    <xf numFmtId="0" fontId="17" fillId="0" borderId="13" applyAlignment="1" applyProtection="1" pivotButton="0" quotePrefix="0" xfId="5">
      <alignment horizontal="center" vertical="center" wrapText="1"/>
      <protection locked="0" hidden="0"/>
    </xf>
    <xf numFmtId="0" fontId="17" fillId="0" borderId="34" applyAlignment="1" applyProtection="1" pivotButton="0" quotePrefix="0" xfId="5">
      <alignment horizontal="left" vertical="center" wrapText="1"/>
      <protection locked="0" hidden="0"/>
    </xf>
    <xf numFmtId="0" fontId="17" fillId="0" borderId="46" applyAlignment="1" pivotButton="0" quotePrefix="0" xfId="3">
      <alignment horizontal="left" vertical="center" wrapText="1"/>
    </xf>
    <xf numFmtId="0" fontId="17" fillId="13" borderId="13" applyAlignment="1" pivotButton="0" quotePrefix="0" xfId="3">
      <alignment horizontal="left" vertical="center" wrapText="1"/>
    </xf>
    <xf numFmtId="0" fontId="24" fillId="0" borderId="13" applyAlignment="1" pivotButton="0" quotePrefix="0" xfId="3">
      <alignment horizontal="left" vertical="center" wrapText="1"/>
    </xf>
    <xf numFmtId="0" fontId="24" fillId="0" borderId="13" applyAlignment="1" applyProtection="1" pivotButton="0" quotePrefix="0" xfId="3">
      <alignment horizontal="left" vertical="center" wrapText="1"/>
      <protection locked="0" hidden="0"/>
    </xf>
    <xf numFmtId="0" fontId="24" fillId="8" borderId="34" applyAlignment="1" applyProtection="1" pivotButton="0" quotePrefix="0" xfId="3">
      <alignment horizontal="left" vertical="center" wrapText="1"/>
      <protection locked="0" hidden="0"/>
    </xf>
    <xf numFmtId="0" fontId="17" fillId="0" borderId="78" applyAlignment="1" applyProtection="1" pivotButton="0" quotePrefix="0" xfId="0">
      <alignment horizontal="left" vertical="center" wrapText="1"/>
      <protection locked="0" hidden="0"/>
    </xf>
    <xf numFmtId="0" fontId="17" fillId="0" borderId="78" applyAlignment="1" applyProtection="1" pivotButton="0" quotePrefix="0" xfId="2">
      <alignment horizontal="left" vertical="center" wrapText="1"/>
      <protection locked="0" hidden="0"/>
    </xf>
    <xf numFmtId="0" fontId="20" fillId="0" borderId="78" applyAlignment="1" pivotButton="0" quotePrefix="0" xfId="0">
      <alignment horizontal="left" vertical="center" wrapText="1"/>
    </xf>
    <xf numFmtId="0" fontId="17" fillId="8" borderId="13" applyAlignment="1" applyProtection="1" pivotButton="0" quotePrefix="0" xfId="3">
      <alignment horizontal="left" vertical="center" wrapText="1"/>
      <protection locked="0" hidden="0"/>
    </xf>
    <xf numFmtId="0" fontId="24" fillId="0" borderId="34" applyAlignment="1" applyProtection="1" pivotButton="0" quotePrefix="0" xfId="3">
      <alignment horizontal="left" vertical="center" wrapText="1"/>
      <protection locked="0" hidden="0"/>
    </xf>
    <xf numFmtId="0" fontId="17" fillId="0" borderId="0" applyProtection="1" pivotButton="0" quotePrefix="0" xfId="3">
      <protection locked="0" hidden="0"/>
    </xf>
    <xf numFmtId="0" fontId="17" fillId="0" borderId="2" applyAlignment="1" applyProtection="1" pivotButton="0" quotePrefix="0" xfId="0">
      <alignment horizontal="center" vertical="center" wrapText="1"/>
      <protection locked="0" hidden="0"/>
    </xf>
    <xf numFmtId="0" fontId="17" fillId="0" borderId="78" applyAlignment="1" applyProtection="1" pivotButton="0" quotePrefix="0" xfId="3">
      <alignment horizontal="left" vertical="center" wrapText="1"/>
      <protection locked="0" hidden="0"/>
    </xf>
    <xf numFmtId="0" fontId="17" fillId="0" borderId="78" applyAlignment="1" applyProtection="1" pivotButton="0" quotePrefix="0" xfId="2">
      <alignment horizontal="center" vertical="center" wrapText="1"/>
      <protection locked="0" hidden="0"/>
    </xf>
    <xf numFmtId="0" fontId="25" fillId="0" borderId="78" applyAlignment="1" applyProtection="1" pivotButton="0" quotePrefix="0" xfId="0">
      <alignment horizontal="left" vertical="center" wrapText="1"/>
      <protection locked="0" hidden="0"/>
    </xf>
    <xf numFmtId="0" fontId="17" fillId="0" borderId="2" applyAlignment="1" applyProtection="1" pivotButton="0" quotePrefix="0" xfId="2">
      <alignment horizontal="center" vertical="center" wrapText="1"/>
      <protection locked="0" hidden="0"/>
    </xf>
    <xf numFmtId="0" fontId="17" fillId="0" borderId="78" applyAlignment="1" applyProtection="1" pivotButton="0" quotePrefix="0" xfId="3">
      <alignment horizontal="center" vertical="center" wrapText="1"/>
      <protection locked="0" hidden="0"/>
    </xf>
    <xf numFmtId="0" fontId="17" fillId="0" borderId="13" applyAlignment="1" applyProtection="1" pivotButton="0" quotePrefix="0" xfId="3">
      <alignment horizontal="left" vertical="center" wrapText="1"/>
      <protection locked="0" hidden="0"/>
    </xf>
    <xf numFmtId="0" fontId="21" fillId="0" borderId="13" applyAlignment="1" applyProtection="1" pivotButton="0" quotePrefix="0" xfId="3">
      <alignment horizontal="left" vertical="center" wrapText="1"/>
      <protection locked="0" hidden="0"/>
    </xf>
    <xf numFmtId="0" fontId="17" fillId="0" borderId="78" applyAlignment="1" pivotButton="0" quotePrefix="0" xfId="0">
      <alignment horizontal="left" vertical="center" wrapText="1"/>
    </xf>
    <xf numFmtId="0" fontId="20" fillId="0" borderId="78" applyAlignment="1" pivotButton="0" quotePrefix="0" xfId="2">
      <alignment horizontal="left" vertical="center" wrapText="1"/>
    </xf>
    <xf numFmtId="0" fontId="18" fillId="0" borderId="0" applyAlignment="1" applyProtection="1" pivotButton="0" quotePrefix="0" xfId="3">
      <alignment horizontal="center" vertical="center"/>
      <protection locked="0" hidden="0"/>
    </xf>
    <xf numFmtId="0" fontId="17" fillId="0" borderId="8" applyAlignment="1" applyProtection="1" pivotButton="0" quotePrefix="0" xfId="2">
      <alignment horizontal="center" vertical="center"/>
      <protection locked="0" hidden="0"/>
    </xf>
    <xf numFmtId="0" fontId="17" fillId="0" borderId="11" applyAlignment="1" pivotButton="0" quotePrefix="0" xfId="0">
      <alignment horizontal="center" vertical="center" wrapText="1"/>
    </xf>
    <xf numFmtId="0" fontId="17" fillId="0" borderId="9" applyAlignment="1" pivotButton="0" quotePrefix="0" xfId="3">
      <alignment horizontal="left" vertical="center" wrapText="1"/>
    </xf>
    <xf numFmtId="0" fontId="17" fillId="0" borderId="9" applyAlignment="1" pivotButton="0" quotePrefix="0" xfId="2">
      <alignment horizontal="center" vertical="center" wrapText="1"/>
    </xf>
    <xf numFmtId="0" fontId="20" fillId="0" borderId="9" applyAlignment="1" pivotButton="0" quotePrefix="0" xfId="2">
      <alignment horizontal="left" vertical="center" wrapText="1"/>
    </xf>
    <xf numFmtId="0" fontId="17" fillId="0" borderId="9" applyAlignment="1" pivotButton="0" quotePrefix="0" xfId="3">
      <alignment horizontal="center" vertical="center" wrapText="1"/>
    </xf>
    <xf numFmtId="0" fontId="17" fillId="0" borderId="17" applyAlignment="1" pivotButton="0" quotePrefix="0" xfId="3">
      <alignment horizontal="left" vertical="center" wrapText="1"/>
    </xf>
    <xf numFmtId="0" fontId="21" fillId="0" borderId="14" applyAlignment="1" pivotButton="0" quotePrefix="0" xfId="3">
      <alignment horizontal="left" vertical="center" wrapText="1"/>
    </xf>
    <xf numFmtId="0" fontId="17" fillId="0" borderId="14" applyAlignment="1" applyProtection="1" pivotButton="0" quotePrefix="0" xfId="3">
      <alignment horizontal="center" vertical="center" wrapText="1"/>
      <protection locked="0" hidden="0"/>
    </xf>
    <xf numFmtId="0" fontId="17" fillId="0" borderId="35" applyAlignment="1" applyProtection="1" pivotButton="0" quotePrefix="0" xfId="3">
      <alignment horizontal="left" vertical="center" wrapText="1"/>
      <protection locked="0" hidden="0"/>
    </xf>
    <xf numFmtId="9" fontId="19" fillId="0" borderId="0" applyAlignment="1" pivotButton="0" quotePrefix="0" xfId="11">
      <alignment horizontal="center" vertical="center"/>
    </xf>
    <xf numFmtId="0" fontId="17" fillId="0" borderId="0" applyAlignment="1" pivotButton="0" quotePrefix="0" xfId="0">
      <alignment horizontal="center" vertical="center"/>
    </xf>
    <xf numFmtId="0" fontId="17" fillId="0" borderId="0" pivotButton="0" quotePrefix="0" xfId="3"/>
    <xf numFmtId="0" fontId="18" fillId="0" borderId="0" applyAlignment="1" pivotButton="0" quotePrefix="0" xfId="3">
      <alignment horizontal="center" vertical="center"/>
    </xf>
    <xf numFmtId="0" fontId="17" fillId="0" borderId="0" pivotButton="0" quotePrefix="0" xfId="0"/>
    <xf numFmtId="0" fontId="17" fillId="0" borderId="41" applyAlignment="1" applyProtection="1" pivotButton="0" quotePrefix="0" xfId="2">
      <alignment horizontal="center" vertical="center"/>
      <protection locked="0" hidden="0"/>
    </xf>
    <xf numFmtId="0" fontId="17" fillId="0" borderId="2" applyAlignment="1" pivotButton="0" quotePrefix="0" xfId="2">
      <alignment horizontal="center" vertical="center"/>
    </xf>
    <xf numFmtId="0" fontId="17" fillId="0" borderId="78" applyAlignment="1" pivotButton="0" quotePrefix="0" xfId="2">
      <alignment horizontal="center" vertical="center"/>
    </xf>
    <xf numFmtId="0" fontId="17" fillId="0" borderId="78" applyAlignment="1" pivotButton="0" quotePrefix="0" xfId="3">
      <alignment horizontal="center" vertical="center"/>
    </xf>
    <xf numFmtId="0" fontId="17" fillId="0" borderId="16" applyAlignment="1" pivotButton="0" quotePrefix="0" xfId="2">
      <alignment horizontal="left" vertical="center"/>
    </xf>
    <xf numFmtId="0" fontId="21" fillId="0" borderId="16" applyAlignment="1" pivotButton="0" quotePrefix="0" xfId="2">
      <alignment horizontal="left" vertical="center"/>
    </xf>
    <xf numFmtId="0" fontId="17" fillId="0" borderId="16" applyAlignment="1" applyProtection="1" pivotButton="0" quotePrefix="0" xfId="2">
      <alignment horizontal="left" vertical="center"/>
      <protection locked="0" hidden="0"/>
    </xf>
    <xf numFmtId="0" fontId="17" fillId="0" borderId="47" applyAlignment="1" applyProtection="1" pivotButton="0" quotePrefix="0" xfId="3">
      <alignment horizontal="left" vertical="center"/>
      <protection locked="0" hidden="0"/>
    </xf>
    <xf numFmtId="0" fontId="17" fillId="0" borderId="16" applyAlignment="1" pivotButton="0" quotePrefix="0" xfId="2">
      <alignment horizontal="left" vertical="center" wrapText="1"/>
    </xf>
    <xf numFmtId="0" fontId="17" fillId="0" borderId="2" applyAlignment="1" pivotButton="0" quotePrefix="0" xfId="0">
      <alignment horizontal="center" vertical="center"/>
    </xf>
    <xf numFmtId="0" fontId="24" fillId="0" borderId="16" applyAlignment="1" pivotButton="0" quotePrefix="0" xfId="3">
      <alignment horizontal="left" vertical="center" wrapText="1"/>
    </xf>
    <xf numFmtId="0" fontId="24" fillId="0" borderId="16" applyAlignment="1" applyProtection="1" pivotButton="0" quotePrefix="0" xfId="3">
      <alignment horizontal="left" vertical="center"/>
      <protection locked="0" hidden="0"/>
    </xf>
    <xf numFmtId="0" fontId="18" fillId="0" borderId="0" applyAlignment="1" pivotButton="0" quotePrefix="0" xfId="0">
      <alignment horizontal="center" vertical="center"/>
    </xf>
    <xf numFmtId="0" fontId="17" fillId="0" borderId="16" applyAlignment="1" applyProtection="1" pivotButton="0" quotePrefix="0" xfId="3">
      <alignment horizontal="left" vertical="center" wrapText="1"/>
      <protection locked="0" hidden="0"/>
    </xf>
    <xf numFmtId="0" fontId="27" fillId="0" borderId="2" applyAlignment="1" pivotButton="0" quotePrefix="0" xfId="14">
      <alignment horizontal="center" vertical="center" wrapText="1"/>
    </xf>
    <xf numFmtId="49" fontId="27" fillId="0" borderId="36" applyAlignment="1" pivotButton="0" quotePrefix="0" xfId="0">
      <alignment vertical="center" wrapText="1"/>
    </xf>
    <xf numFmtId="0" fontId="27" fillId="0" borderId="78" applyAlignment="1" pivotButton="0" quotePrefix="0" xfId="2">
      <alignment horizontal="center" vertical="center" wrapText="1"/>
    </xf>
    <xf numFmtId="49" fontId="19" fillId="0" borderId="36" applyAlignment="1" pivotButton="0" quotePrefix="0" xfId="0">
      <alignment vertical="center" wrapText="1"/>
    </xf>
    <xf numFmtId="0" fontId="27" fillId="0" borderId="78" applyAlignment="1" pivotButton="0" quotePrefix="0" xfId="3">
      <alignment horizontal="center" vertical="center" wrapText="1"/>
    </xf>
    <xf numFmtId="0" fontId="27" fillId="0" borderId="16" applyAlignment="1" pivotButton="0" quotePrefix="0" xfId="3">
      <alignment horizontal="left" vertical="center" wrapText="1"/>
    </xf>
    <xf numFmtId="0" fontId="28" fillId="0" borderId="16" applyAlignment="1" pivotButton="0" quotePrefix="0" xfId="3">
      <alignment horizontal="left" vertical="center" wrapText="1"/>
    </xf>
    <xf numFmtId="0" fontId="29" fillId="0" borderId="16" applyAlignment="1" pivotButton="0" quotePrefix="0" xfId="3">
      <alignment horizontal="left" vertical="center" wrapText="1"/>
    </xf>
    <xf numFmtId="0" fontId="29" fillId="0" borderId="16" applyAlignment="1" applyProtection="1" pivotButton="0" quotePrefix="0" xfId="3">
      <alignment horizontal="left" vertical="center" wrapText="1"/>
      <protection locked="0" hidden="0"/>
    </xf>
    <xf numFmtId="0" fontId="29" fillId="0" borderId="34" applyAlignment="1" applyProtection="1" pivotButton="0" quotePrefix="0" xfId="3">
      <alignment horizontal="left" vertical="center" wrapText="1"/>
      <protection locked="0" hidden="0"/>
    </xf>
    <xf numFmtId="9" fontId="29" fillId="0" borderId="0" applyAlignment="1" pivotButton="0" quotePrefix="0" xfId="11">
      <alignment horizontal="center" vertical="center"/>
    </xf>
    <xf numFmtId="0" fontId="29" fillId="0" borderId="0" applyAlignment="1" applyProtection="1" pivotButton="0" quotePrefix="0" xfId="0">
      <alignment horizontal="center" vertical="center"/>
      <protection locked="0" hidden="0"/>
    </xf>
    <xf numFmtId="0" fontId="29" fillId="0" borderId="0" applyProtection="1" pivotButton="0" quotePrefix="0" xfId="3">
      <protection locked="0" hidden="0"/>
    </xf>
    <xf numFmtId="0" fontId="30" fillId="0" borderId="0" applyAlignment="1" pivotButton="0" quotePrefix="0" xfId="3">
      <alignment horizontal="center" vertical="center" wrapText="1"/>
    </xf>
    <xf numFmtId="0" fontId="29" fillId="0" borderId="0" applyProtection="1" pivotButton="0" quotePrefix="0" xfId="0">
      <protection locked="0" hidden="0"/>
    </xf>
    <xf numFmtId="165" fontId="29" fillId="0" borderId="0" applyAlignment="1" pivotButton="0" quotePrefix="0" xfId="0">
      <alignment horizontal="center" vertical="center"/>
    </xf>
    <xf numFmtId="49" fontId="17" fillId="0" borderId="36" applyAlignment="1" pivotButton="0" quotePrefix="0" xfId="0">
      <alignment vertical="center" wrapText="1"/>
    </xf>
    <xf numFmtId="0" fontId="31" fillId="0" borderId="78" applyAlignment="1" pivotButton="0" quotePrefix="0" xfId="3">
      <alignment horizontal="center" vertical="center" wrapText="1"/>
    </xf>
    <xf numFmtId="0" fontId="29" fillId="0" borderId="78" applyAlignment="1" pivotButton="0" quotePrefix="0" xfId="3">
      <alignment horizontal="left" vertical="center" wrapText="1"/>
    </xf>
    <xf numFmtId="0" fontId="29" fillId="0" borderId="13" applyAlignment="1" applyProtection="1" pivotButton="0" quotePrefix="0" xfId="3">
      <alignment horizontal="left" vertical="center" wrapText="1"/>
      <protection locked="0" hidden="0"/>
    </xf>
    <xf numFmtId="0" fontId="27" fillId="4" borderId="2" applyAlignment="1" pivotButton="0" quotePrefix="0" xfId="14">
      <alignment horizontal="center" vertical="center" wrapText="1"/>
    </xf>
    <xf numFmtId="0" fontId="27" fillId="4" borderId="78" applyAlignment="1" pivotButton="0" quotePrefix="0" xfId="2">
      <alignment horizontal="center" vertical="center" wrapText="1"/>
    </xf>
    <xf numFmtId="49" fontId="17" fillId="4" borderId="36" applyAlignment="1" pivotButton="0" quotePrefix="0" xfId="0">
      <alignment vertical="center" wrapText="1"/>
    </xf>
    <xf numFmtId="0" fontId="27" fillId="4" borderId="78" applyAlignment="1" pivotButton="0" quotePrefix="0" xfId="3">
      <alignment horizontal="center" vertical="center" wrapText="1"/>
    </xf>
    <xf numFmtId="0" fontId="27" fillId="4" borderId="16" applyAlignment="1" pivotButton="0" quotePrefix="0" xfId="3">
      <alignment horizontal="left" vertical="center" wrapText="1"/>
    </xf>
    <xf numFmtId="0" fontId="28" fillId="4" borderId="16" applyAlignment="1" pivotButton="0" quotePrefix="0" xfId="3">
      <alignment horizontal="left" vertical="center" wrapText="1"/>
    </xf>
    <xf numFmtId="0" fontId="29" fillId="4" borderId="16" applyAlignment="1" pivotButton="0" quotePrefix="0" xfId="0">
      <alignment horizontal="left" vertical="center" wrapText="1"/>
    </xf>
    <xf numFmtId="0" fontId="29" fillId="4" borderId="16" applyAlignment="1" applyProtection="1" pivotButton="0" quotePrefix="0" xfId="0">
      <alignment horizontal="left" vertical="center" wrapText="1"/>
      <protection locked="0" hidden="0"/>
    </xf>
    <xf numFmtId="0" fontId="29" fillId="4" borderId="34" applyAlignment="1" applyProtection="1" pivotButton="0" quotePrefix="0" xfId="3">
      <alignment horizontal="left" vertical="center" wrapText="1"/>
      <protection locked="0" hidden="0"/>
    </xf>
    <xf numFmtId="0" fontId="17" fillId="4" borderId="78" applyAlignment="1" pivotButton="0" quotePrefix="0" xfId="2">
      <alignment horizontal="left" vertical="center" wrapText="1"/>
    </xf>
    <xf numFmtId="0" fontId="29" fillId="4" borderId="78" applyAlignment="1" pivotButton="0" quotePrefix="0" xfId="3">
      <alignment horizontal="left" vertical="center" wrapText="1"/>
    </xf>
    <xf numFmtId="0" fontId="29" fillId="4" borderId="13" applyAlignment="1" applyProtection="1" pivotButton="0" quotePrefix="0" xfId="3">
      <alignment horizontal="left" vertical="center" wrapText="1"/>
      <protection locked="0" hidden="0"/>
    </xf>
    <xf numFmtId="0" fontId="29" fillId="4" borderId="16" applyAlignment="1" applyProtection="1" pivotButton="0" quotePrefix="0" xfId="3">
      <alignment horizontal="left" vertical="center" wrapText="1"/>
      <protection locked="0" hidden="0"/>
    </xf>
    <xf numFmtId="0" fontId="27" fillId="4" borderId="12" applyAlignment="1" pivotButton="0" quotePrefix="0" xfId="14">
      <alignment horizontal="center" vertical="center" wrapText="1"/>
    </xf>
    <xf numFmtId="49" fontId="17" fillId="0" borderId="81" applyAlignment="1" pivotButton="0" quotePrefix="0" xfId="0">
      <alignment vertical="center" wrapText="1"/>
    </xf>
    <xf numFmtId="0" fontId="27" fillId="4" borderId="1" applyAlignment="1" pivotButton="0" quotePrefix="0" xfId="2">
      <alignment horizontal="center" vertical="center" wrapText="1"/>
    </xf>
    <xf numFmtId="0" fontId="17" fillId="4" borderId="1" applyAlignment="1" pivotButton="0" quotePrefix="0" xfId="2">
      <alignment horizontal="left" vertical="center" wrapText="1"/>
    </xf>
    <xf numFmtId="0" fontId="27" fillId="0" borderId="1" applyAlignment="1" pivotButton="0" quotePrefix="0" xfId="2">
      <alignment horizontal="center" vertical="center" wrapText="1"/>
    </xf>
    <xf numFmtId="0" fontId="17" fillId="0" borderId="18" applyAlignment="1" pivotButton="0" quotePrefix="0" xfId="3">
      <alignment horizontal="center" vertical="center" wrapText="1"/>
    </xf>
    <xf numFmtId="0" fontId="27" fillId="4" borderId="18" applyAlignment="1" pivotButton="0" quotePrefix="0" xfId="3">
      <alignment horizontal="left" vertical="center" wrapText="1"/>
    </xf>
    <xf numFmtId="0" fontId="28" fillId="4" borderId="18" applyAlignment="1" pivotButton="0" quotePrefix="0" xfId="3">
      <alignment horizontal="left" vertical="center" wrapText="1"/>
    </xf>
    <xf numFmtId="0" fontId="29" fillId="4" borderId="1" applyAlignment="1" pivotButton="0" quotePrefix="0" xfId="3">
      <alignment horizontal="left" vertical="center" wrapText="1"/>
    </xf>
    <xf numFmtId="0" fontId="26" fillId="4" borderId="9" applyAlignment="1" pivotButton="0" quotePrefix="0" xfId="14">
      <alignment horizontal="center" vertical="center" wrapText="1"/>
    </xf>
    <xf numFmtId="49" fontId="17" fillId="0" borderId="82" applyAlignment="1" pivotButton="0" quotePrefix="0" xfId="0">
      <alignment vertical="center" wrapText="1"/>
    </xf>
    <xf numFmtId="0" fontId="27" fillId="4" borderId="9" applyAlignment="1" pivotButton="0" quotePrefix="0" xfId="2">
      <alignment horizontal="center" vertical="center" wrapText="1"/>
    </xf>
    <xf numFmtId="49" fontId="17" fillId="4" borderId="82" applyAlignment="1" pivotButton="0" quotePrefix="0" xfId="0">
      <alignment vertical="center" wrapText="1"/>
    </xf>
    <xf numFmtId="0" fontId="27" fillId="0" borderId="9" applyAlignment="1" pivotButton="0" quotePrefix="0" xfId="2">
      <alignment horizontal="center" vertical="center" wrapText="1"/>
    </xf>
    <xf numFmtId="0" fontId="27" fillId="4" borderId="9" applyAlignment="1" pivotButton="0" quotePrefix="0" xfId="3">
      <alignment horizontal="center" vertical="center" wrapText="1"/>
    </xf>
    <xf numFmtId="0" fontId="17" fillId="0" borderId="17" applyAlignment="1" pivotButton="0" quotePrefix="0" xfId="3">
      <alignment horizontal="center" vertical="center" wrapText="1"/>
    </xf>
    <xf numFmtId="0" fontId="27" fillId="4" borderId="17" applyAlignment="1" pivotButton="0" quotePrefix="0" xfId="3">
      <alignment horizontal="left" vertical="center" wrapText="1"/>
    </xf>
    <xf numFmtId="0" fontId="28" fillId="4" borderId="17" applyAlignment="1" pivotButton="0" quotePrefix="0" xfId="3">
      <alignment horizontal="left" vertical="center" wrapText="1"/>
    </xf>
    <xf numFmtId="0" fontId="29" fillId="4" borderId="9" applyAlignment="1" pivotButton="0" quotePrefix="0" xfId="3">
      <alignment horizontal="left" vertical="center" wrapText="1"/>
    </xf>
    <xf numFmtId="0" fontId="17" fillId="0" borderId="2" applyAlignment="1" pivotButton="0" quotePrefix="0" xfId="3">
      <alignment horizontal="center" vertical="center" wrapText="1"/>
    </xf>
    <xf numFmtId="0" fontId="17" fillId="13" borderId="16" applyAlignment="1" pivotButton="0" quotePrefix="0" xfId="3">
      <alignment horizontal="left" vertical="center" wrapText="1"/>
    </xf>
    <xf numFmtId="0" fontId="21" fillId="13" borderId="16" applyAlignment="1" pivotButton="0" quotePrefix="0" xfId="3">
      <alignment horizontal="left" vertical="center" wrapText="1"/>
    </xf>
    <xf numFmtId="0" fontId="20" fillId="0" borderId="16" pivotButton="0" quotePrefix="0" xfId="0"/>
    <xf numFmtId="0" fontId="17" fillId="0" borderId="47" applyAlignment="1" applyProtection="1" pivotButton="0" quotePrefix="0" xfId="3">
      <alignment horizontal="center" vertical="center" wrapText="1"/>
      <protection locked="0" hidden="0"/>
    </xf>
    <xf numFmtId="0" fontId="18" fillId="0" borderId="78" applyAlignment="1" pivotButton="0" quotePrefix="0" xfId="0">
      <alignment horizontal="center" vertical="center" wrapText="1"/>
    </xf>
    <xf numFmtId="0" fontId="17" fillId="0" borderId="78" applyAlignment="1" pivotButton="0" quotePrefix="0" xfId="0">
      <alignment horizontal="center" vertical="center" wrapText="1"/>
    </xf>
    <xf numFmtId="0" fontId="17" fillId="0" borderId="12" applyAlignment="1" pivotButton="0" quotePrefix="0" xfId="0">
      <alignment horizontal="center" vertical="center" wrapText="1"/>
    </xf>
    <xf numFmtId="0" fontId="27" fillId="0" borderId="16" applyAlignment="1" pivotButton="0" quotePrefix="0" xfId="2">
      <alignment horizontal="left" vertical="center" wrapText="1"/>
    </xf>
    <xf numFmtId="0" fontId="27" fillId="0" borderId="16" applyAlignment="1" applyProtection="1" pivotButton="0" quotePrefix="0" xfId="2">
      <alignment horizontal="center" vertical="center"/>
      <protection locked="0" hidden="0"/>
    </xf>
    <xf numFmtId="0" fontId="27" fillId="0" borderId="47" applyAlignment="1" applyProtection="1" pivotButton="0" quotePrefix="0" xfId="3">
      <alignment horizontal="left" vertical="center" wrapText="1"/>
      <protection locked="0" hidden="0"/>
    </xf>
    <xf numFmtId="0" fontId="17" fillId="0" borderId="1" applyAlignment="1" pivotButton="0" quotePrefix="0" xfId="14">
      <alignment horizontal="center" vertical="center" wrapText="1"/>
    </xf>
    <xf numFmtId="0" fontId="17" fillId="0" borderId="1" applyAlignment="1" pivotButton="0" quotePrefix="0" xfId="2">
      <alignment horizontal="center" vertical="center" wrapText="1"/>
    </xf>
    <xf numFmtId="0" fontId="17" fillId="0" borderId="1" applyAlignment="1" pivotButton="0" quotePrefix="0" xfId="2">
      <alignment horizontal="left" vertical="center" wrapText="1"/>
    </xf>
    <xf numFmtId="0" fontId="21" fillId="0" borderId="78" applyAlignment="1" pivotButton="0" quotePrefix="0" xfId="3">
      <alignment vertical="center" wrapText="1"/>
    </xf>
    <xf numFmtId="0" fontId="17" fillId="0" borderId="18" applyAlignment="1" pivotButton="0" quotePrefix="0" xfId="0">
      <alignment horizontal="left" vertical="center" wrapText="1"/>
    </xf>
    <xf numFmtId="0" fontId="17" fillId="8" borderId="18" applyAlignment="1" applyProtection="1" pivotButton="0" quotePrefix="0" xfId="3">
      <alignment horizontal="left" vertical="center" wrapText="1"/>
      <protection locked="0" hidden="0"/>
    </xf>
    <xf numFmtId="0" fontId="17" fillId="0" borderId="32" applyAlignment="1" applyProtection="1" pivotButton="0" quotePrefix="0" xfId="3">
      <alignment horizontal="left" vertical="center" wrapText="1"/>
      <protection locked="0" hidden="0"/>
    </xf>
    <xf numFmtId="0" fontId="17" fillId="4" borderId="2" applyAlignment="1" applyProtection="1" pivotButton="0" quotePrefix="0" xfId="0">
      <alignment horizontal="center" vertical="center" wrapText="1"/>
      <protection locked="0" hidden="0"/>
    </xf>
    <xf numFmtId="0" fontId="17" fillId="4" borderId="12" applyAlignment="1" applyProtection="1" pivotButton="0" quotePrefix="0" xfId="0">
      <alignment horizontal="left" vertical="center" wrapText="1"/>
      <protection locked="0" hidden="0"/>
    </xf>
    <xf numFmtId="0" fontId="17" fillId="4" borderId="2" applyAlignment="1" applyProtection="1" pivotButton="0" quotePrefix="0" xfId="2">
      <alignment horizontal="center" vertical="center" wrapText="1"/>
      <protection locked="0" hidden="0"/>
    </xf>
    <xf numFmtId="0" fontId="17" fillId="4" borderId="2" applyAlignment="1" pivotButton="0" quotePrefix="0" xfId="2">
      <alignment horizontal="center" vertical="center" wrapText="1"/>
    </xf>
    <xf numFmtId="0" fontId="17" fillId="4" borderId="16" applyAlignment="1" applyProtection="1" pivotButton="0" quotePrefix="0" xfId="3">
      <alignment horizontal="center" vertical="center" wrapText="1"/>
      <protection locked="0" hidden="0"/>
    </xf>
    <xf numFmtId="0" fontId="17" fillId="0" borderId="2" applyAlignment="1" applyProtection="1" pivotButton="0" quotePrefix="0" xfId="3">
      <alignment horizontal="left" vertical="center" wrapText="1"/>
      <protection locked="0" hidden="0"/>
    </xf>
    <xf numFmtId="0" fontId="17" fillId="4" borderId="78" applyAlignment="1" applyProtection="1" pivotButton="0" quotePrefix="0" xfId="3">
      <alignment vertical="center" wrapText="1"/>
      <protection locked="0" hidden="0"/>
    </xf>
    <xf numFmtId="0" fontId="17" fillId="4" borderId="47" applyAlignment="1" applyProtection="1" pivotButton="0" quotePrefix="0" xfId="3">
      <alignment horizontal="left" vertical="center" wrapText="1"/>
      <protection locked="0" hidden="0"/>
    </xf>
    <xf numFmtId="9" fontId="19" fillId="4" borderId="0" applyAlignment="1" pivotButton="0" quotePrefix="0" xfId="11">
      <alignment horizontal="center" vertical="center"/>
    </xf>
    <xf numFmtId="0" fontId="17" fillId="4" borderId="0" applyAlignment="1" applyProtection="1" pivotButton="0" quotePrefix="0" xfId="0">
      <alignment horizontal="center" vertical="center"/>
      <protection locked="0" hidden="0"/>
    </xf>
    <xf numFmtId="0" fontId="17" fillId="4" borderId="0" applyProtection="1" pivotButton="0" quotePrefix="0" xfId="3">
      <protection locked="0" hidden="0"/>
    </xf>
    <xf numFmtId="0" fontId="18" fillId="4" borderId="0" applyAlignment="1" pivotButton="0" quotePrefix="0" xfId="0">
      <alignment horizontal="center" vertical="center"/>
    </xf>
    <xf numFmtId="0" fontId="17" fillId="4" borderId="0" applyProtection="1" pivotButton="0" quotePrefix="0" xfId="0">
      <protection locked="0" hidden="0"/>
    </xf>
    <xf numFmtId="165" fontId="19" fillId="4" borderId="0" applyAlignment="1" pivotButton="0" quotePrefix="0" xfId="0">
      <alignment horizontal="center" vertical="center"/>
    </xf>
    <xf numFmtId="0" fontId="27" fillId="0" borderId="6" applyAlignment="1" applyProtection="1" pivotButton="0" quotePrefix="0" xfId="2">
      <alignment horizontal="center" vertical="center"/>
      <protection locked="0" hidden="0"/>
    </xf>
    <xf numFmtId="0" fontId="27" fillId="0" borderId="12" applyAlignment="1" pivotButton="0" quotePrefix="0" xfId="2">
      <alignment horizontal="center" vertical="center"/>
    </xf>
    <xf numFmtId="0" fontId="17" fillId="0" borderId="85" applyAlignment="1" pivotButton="0" quotePrefix="0" xfId="0">
      <alignment wrapText="1"/>
    </xf>
    <xf numFmtId="0" fontId="17" fillId="0" borderId="12" applyAlignment="1" pivotButton="0" quotePrefix="0" xfId="2">
      <alignment horizontal="left" vertical="center" wrapText="1"/>
    </xf>
    <xf numFmtId="0" fontId="27" fillId="0" borderId="2" applyAlignment="1" pivotButton="0" quotePrefix="0" xfId="2">
      <alignment horizontal="center" vertical="center"/>
    </xf>
    <xf numFmtId="0" fontId="28" fillId="0" borderId="16" applyAlignment="1" pivotButton="0" quotePrefix="0" xfId="2">
      <alignment horizontal="left" vertical="center" wrapText="1"/>
    </xf>
    <xf numFmtId="9" fontId="27" fillId="0" borderId="0" applyAlignment="1" applyProtection="1" pivotButton="0" quotePrefix="0" xfId="11">
      <alignment horizontal="center" vertical="center"/>
      <protection locked="0" hidden="0"/>
    </xf>
    <xf numFmtId="0" fontId="27" fillId="0" borderId="0" applyAlignment="1" applyProtection="1" pivotButton="0" quotePrefix="0" xfId="0">
      <alignment horizontal="center" vertical="center"/>
      <protection locked="0" hidden="0"/>
    </xf>
    <xf numFmtId="0" fontId="27" fillId="0" borderId="0" applyProtection="1" pivotButton="0" quotePrefix="0" xfId="3">
      <protection locked="0" hidden="0"/>
    </xf>
    <xf numFmtId="0" fontId="26" fillId="0" borderId="0" applyAlignment="1" pivotButton="0" quotePrefix="0" xfId="3">
      <alignment horizontal="center" vertical="center"/>
    </xf>
    <xf numFmtId="0" fontId="27" fillId="0" borderId="0" applyProtection="1" pivotButton="0" quotePrefix="0" xfId="0">
      <protection locked="0" hidden="0"/>
    </xf>
    <xf numFmtId="165" fontId="27" fillId="0" borderId="0" applyAlignment="1" pivotButton="0" quotePrefix="0" xfId="0">
      <alignment horizontal="center" vertical="center"/>
    </xf>
    <xf numFmtId="0" fontId="17" fillId="0" borderId="78" applyAlignment="1" applyProtection="1" pivotButton="0" quotePrefix="0" xfId="14">
      <alignment horizontal="center" vertical="center" wrapText="1"/>
      <protection locked="0" hidden="0"/>
    </xf>
    <xf numFmtId="0" fontId="17" fillId="0" borderId="1" applyAlignment="1" applyProtection="1" pivotButton="0" quotePrefix="0" xfId="2">
      <alignment horizontal="center" vertical="center" wrapText="1"/>
      <protection locked="0" hidden="0"/>
    </xf>
    <xf numFmtId="0" fontId="17" fillId="0" borderId="78" applyAlignment="1" applyProtection="1" pivotButton="0" quotePrefix="0" xfId="0">
      <alignment horizontal="center" vertical="center" wrapText="1"/>
      <protection locked="0" hidden="0"/>
    </xf>
    <xf numFmtId="0" fontId="21" fillId="0" borderId="78" applyAlignment="1" applyProtection="1" pivotButton="0" quotePrefix="0" xfId="3">
      <alignment horizontal="left" vertical="center" wrapText="1"/>
      <protection locked="0" hidden="0"/>
    </xf>
    <xf numFmtId="0" fontId="17" fillId="0" borderId="78" applyAlignment="1" applyProtection="1" pivotButton="0" quotePrefix="0" xfId="3">
      <alignment vertical="center" wrapText="1"/>
      <protection locked="0" hidden="0"/>
    </xf>
    <xf numFmtId="0" fontId="33" fillId="0" borderId="18" applyAlignment="1" applyProtection="1" pivotButton="0" quotePrefix="0" xfId="3">
      <alignment horizontal="center" vertical="center" wrapText="1"/>
      <protection locked="0" hidden="0"/>
    </xf>
    <xf numFmtId="0" fontId="17" fillId="0" borderId="2" applyAlignment="1" pivotButton="0" quotePrefix="0" xfId="0">
      <alignment horizontal="left" vertical="center" wrapText="1"/>
    </xf>
    <xf numFmtId="0" fontId="17" fillId="0" borderId="47" applyAlignment="1" applyProtection="1" pivotButton="0" quotePrefix="0" xfId="3">
      <alignment horizontal="left" vertical="center" wrapText="1"/>
      <protection locked="0" hidden="0"/>
    </xf>
    <xf numFmtId="0" fontId="20" fillId="4" borderId="78" applyAlignment="1" pivotButton="0" quotePrefix="0" xfId="0">
      <alignment horizontal="left" vertical="center" wrapText="1"/>
    </xf>
    <xf numFmtId="0" fontId="35" fillId="0" borderId="1" applyAlignment="1" applyProtection="1" pivotButton="0" quotePrefix="0" xfId="3">
      <alignment vertical="center" wrapText="1"/>
      <protection locked="0" hidden="0"/>
    </xf>
    <xf numFmtId="0" fontId="21" fillId="0" borderId="1" applyAlignment="1" applyProtection="1" pivotButton="0" quotePrefix="0" xfId="3">
      <alignment vertical="center" wrapText="1"/>
      <protection locked="0" hidden="0"/>
    </xf>
    <xf numFmtId="0" fontId="17" fillId="8" borderId="13" applyAlignment="1" applyProtection="1" pivotButton="0" quotePrefix="0" xfId="3">
      <alignment vertical="center" wrapText="1"/>
      <protection locked="0" hidden="0"/>
    </xf>
    <xf numFmtId="0" fontId="35" fillId="0" borderId="78" applyAlignment="1" applyProtection="1" pivotButton="0" quotePrefix="0" xfId="3">
      <alignment vertical="center" wrapText="1"/>
      <protection locked="0" hidden="0"/>
    </xf>
    <xf numFmtId="0" fontId="21" fillId="0" borderId="78" applyAlignment="1" applyProtection="1" pivotButton="0" quotePrefix="0" xfId="3">
      <alignment vertical="center" wrapText="1"/>
      <protection locked="0" hidden="0"/>
    </xf>
    <xf numFmtId="0" fontId="36" fillId="0" borderId="78" applyAlignment="1" applyProtection="1" pivotButton="0" quotePrefix="0" xfId="0">
      <alignment horizontal="left" vertical="center" wrapText="1"/>
      <protection locked="0" hidden="0"/>
    </xf>
    <xf numFmtId="0" fontId="17" fillId="0" borderId="78" applyAlignment="1" applyProtection="1" pivotButton="0" quotePrefix="0" xfId="0">
      <alignment horizontal="left" wrapText="1"/>
      <protection locked="0" hidden="0"/>
    </xf>
    <xf numFmtId="0" fontId="36" fillId="0" borderId="16" applyAlignment="1" applyProtection="1" pivotButton="0" quotePrefix="0" xfId="3">
      <alignment horizontal="center" vertical="center" wrapText="1"/>
      <protection locked="0" hidden="0"/>
    </xf>
    <xf numFmtId="0" fontId="20" fillId="0" borderId="78" applyAlignment="1" applyProtection="1" pivotButton="0" quotePrefix="0" xfId="0">
      <alignment horizontal="left" vertical="center" wrapText="1"/>
      <protection locked="0" hidden="0"/>
    </xf>
    <xf numFmtId="0" fontId="17" fillId="0" borderId="9" applyAlignment="1" pivotButton="0" quotePrefix="0" xfId="0">
      <alignment horizontal="center" vertical="center" wrapText="1"/>
    </xf>
    <xf numFmtId="0" fontId="19" fillId="0" borderId="9" applyAlignment="1" applyProtection="1" pivotButton="0" quotePrefix="0" xfId="0">
      <alignment horizontal="left" vertical="center" wrapText="1"/>
      <protection locked="0" hidden="0"/>
    </xf>
    <xf numFmtId="0" fontId="17" fillId="0" borderId="9" applyAlignment="1" applyProtection="1" pivotButton="0" quotePrefix="0" xfId="2">
      <alignment horizontal="center" vertical="center" wrapText="1"/>
      <protection locked="0" hidden="0"/>
    </xf>
    <xf numFmtId="0" fontId="17" fillId="0" borderId="9" applyAlignment="1" applyProtection="1" pivotButton="0" quotePrefix="0" xfId="0">
      <alignment horizontal="left" vertical="center" wrapText="1"/>
      <protection locked="0" hidden="0"/>
    </xf>
    <xf numFmtId="0" fontId="17" fillId="0" borderId="2" applyAlignment="1" pivotButton="0" quotePrefix="0" xfId="2">
      <alignment horizontal="left" vertical="top" wrapText="1"/>
    </xf>
    <xf numFmtId="0" fontId="17" fillId="0" borderId="17" applyAlignment="1" pivotButton="0" quotePrefix="0" xfId="0">
      <alignment horizontal="center" vertical="center" wrapText="1"/>
    </xf>
    <xf numFmtId="0" fontId="17" fillId="0" borderId="9" applyAlignment="1" applyProtection="1" pivotButton="0" quotePrefix="0" xfId="3">
      <alignment horizontal="left" vertical="center" wrapText="1"/>
      <protection locked="0" hidden="0"/>
    </xf>
    <xf numFmtId="0" fontId="18" fillId="0" borderId="16" applyAlignment="1" pivotButton="0" quotePrefix="0" xfId="3">
      <alignment horizontal="left" vertical="center" wrapText="1"/>
    </xf>
    <xf numFmtId="0" fontId="17" fillId="0" borderId="1" applyAlignment="1" pivotButton="0" quotePrefix="0" xfId="0">
      <alignment vertical="center" wrapText="1"/>
    </xf>
    <xf numFmtId="0" fontId="24" fillId="0" borderId="32" applyAlignment="1" applyProtection="1" pivotButton="0" quotePrefix="0" xfId="3">
      <alignment horizontal="left" vertical="center" wrapText="1"/>
      <protection locked="0" hidden="0"/>
    </xf>
    <xf numFmtId="0" fontId="23" fillId="0" borderId="2" applyAlignment="1" pivotButton="0" quotePrefix="0" xfId="0">
      <alignment horizontal="center" vertical="center" wrapText="1"/>
    </xf>
    <xf numFmtId="0" fontId="36" fillId="0" borderId="12" applyAlignment="1" applyProtection="1" pivotButton="0" quotePrefix="0" xfId="0">
      <alignment horizontal="left" vertical="center" wrapText="1"/>
      <protection locked="0" hidden="0"/>
    </xf>
    <xf numFmtId="0" fontId="20" fillId="0" borderId="2" applyAlignment="1" applyProtection="1" pivotButton="0" quotePrefix="0" xfId="0">
      <alignment horizontal="left" vertical="center" wrapText="1"/>
      <protection locked="0" hidden="0"/>
    </xf>
    <xf numFmtId="0" fontId="21" fillId="0" borderId="2" applyAlignment="1" applyProtection="1" pivotButton="0" quotePrefix="0" xfId="3">
      <alignment horizontal="left" vertical="center" wrapText="1"/>
      <protection locked="0" hidden="0"/>
    </xf>
    <xf numFmtId="0" fontId="23" fillId="0" borderId="78" applyAlignment="1" pivotButton="0" quotePrefix="0" xfId="0">
      <alignment vertical="center" wrapText="1"/>
    </xf>
    <xf numFmtId="0" fontId="21" fillId="13" borderId="78" applyAlignment="1" applyProtection="1" pivotButton="0" quotePrefix="0" xfId="3">
      <alignment horizontal="left" vertical="center" wrapText="1"/>
      <protection locked="0" hidden="0"/>
    </xf>
    <xf numFmtId="0" fontId="17" fillId="0" borderId="79" applyAlignment="1" pivotButton="0" quotePrefix="0" xfId="0">
      <alignment horizontal="center" vertical="center" wrapText="1"/>
    </xf>
    <xf numFmtId="0" fontId="19" fillId="0" borderId="79" applyAlignment="1" applyProtection="1" pivotButton="0" quotePrefix="0" xfId="0">
      <alignment horizontal="left" vertical="center" wrapText="1"/>
      <protection locked="0" hidden="0"/>
    </xf>
    <xf numFmtId="0" fontId="34" fillId="0" borderId="78" applyAlignment="1" pivotButton="0" quotePrefix="0" xfId="0">
      <alignment horizontal="center" vertical="center" wrapText="1"/>
    </xf>
    <xf numFmtId="0" fontId="23" fillId="0" borderId="78" applyAlignment="1" pivotButton="0" quotePrefix="0" xfId="2">
      <alignment horizontal="center" vertical="center" wrapText="1"/>
    </xf>
    <xf numFmtId="0" fontId="17" fillId="0" borderId="80" applyAlignment="1" pivotButton="0" quotePrefix="0" xfId="0">
      <alignment horizontal="center" vertical="center" wrapText="1"/>
    </xf>
    <xf numFmtId="0" fontId="17" fillId="0" borderId="1" applyAlignment="1" applyProtection="1" pivotButton="0" quotePrefix="0" xfId="3">
      <alignment horizontal="left" vertical="center" wrapText="1"/>
      <protection locked="0" hidden="0"/>
    </xf>
    <xf numFmtId="0" fontId="23" fillId="0" borderId="12" applyAlignment="1" pivotButton="0" quotePrefix="0" xfId="0">
      <alignment horizontal="center" vertical="center" wrapText="1"/>
    </xf>
    <xf numFmtId="0" fontId="34" fillId="0" borderId="18" applyAlignment="1" pivotButton="0" quotePrefix="0" xfId="0">
      <alignment horizontal="center" vertical="center" wrapText="1"/>
    </xf>
    <xf numFmtId="0" fontId="17" fillId="0" borderId="1" applyAlignment="1" pivotButton="0" quotePrefix="0" xfId="0">
      <alignment horizontal="left" vertical="center" wrapText="1"/>
    </xf>
    <xf numFmtId="0" fontId="21" fillId="0" borderId="1" applyAlignment="1" pivotButton="0" quotePrefix="0" xfId="0">
      <alignment horizontal="left" vertical="center" wrapText="1"/>
    </xf>
    <xf numFmtId="0" fontId="17" fillId="0" borderId="78" applyAlignment="1" pivotButton="0" quotePrefix="0" xfId="0">
      <alignment vertical="center" wrapText="1"/>
    </xf>
    <xf numFmtId="0" fontId="21" fillId="0" borderId="78" applyAlignment="1" pivotButton="0" quotePrefix="0" xfId="0">
      <alignment horizontal="left" vertical="center" wrapText="1"/>
    </xf>
    <xf numFmtId="0" fontId="17" fillId="0" borderId="13" applyAlignment="1" pivotButton="0" quotePrefix="0" xfId="0">
      <alignment horizontal="center" vertical="center" wrapText="1"/>
    </xf>
    <xf numFmtId="0" fontId="17" fillId="0" borderId="16" applyAlignment="1" pivotButton="0" quotePrefix="0" xfId="0">
      <alignment horizontal="center" vertical="center" wrapText="1"/>
    </xf>
    <xf numFmtId="0" fontId="17" fillId="0" borderId="18" applyAlignment="1" pivotButton="0" quotePrefix="0" xfId="0">
      <alignment horizontal="center" vertical="center" wrapText="1"/>
    </xf>
    <xf numFmtId="0" fontId="17" fillId="0" borderId="1" applyAlignment="1" pivotButton="0" quotePrefix="0" xfId="0">
      <alignment horizontal="center" vertical="center" wrapText="1"/>
    </xf>
    <xf numFmtId="0" fontId="17" fillId="0" borderId="14" applyAlignment="1" pivotButton="0" quotePrefix="0" xfId="0">
      <alignment horizontal="center" vertical="center" wrapText="1"/>
    </xf>
    <xf numFmtId="0" fontId="19" fillId="0" borderId="12" applyAlignment="1" applyProtection="1" pivotButton="0" quotePrefix="0" xfId="0">
      <alignment horizontal="left" vertical="center" wrapText="1"/>
      <protection locked="0" hidden="0"/>
    </xf>
    <xf numFmtId="0" fontId="17" fillId="0" borderId="1" applyAlignment="1" applyProtection="1" pivotButton="0" quotePrefix="0" xfId="0">
      <alignment horizontal="left" vertical="center" wrapText="1"/>
      <protection locked="0" hidden="0"/>
    </xf>
    <xf numFmtId="0" fontId="18" fillId="0" borderId="1" applyAlignment="1" applyProtection="1" pivotButton="0" quotePrefix="0" xfId="3">
      <alignment horizontal="left" vertical="center" wrapText="1"/>
      <protection locked="0" hidden="0"/>
    </xf>
    <xf numFmtId="0" fontId="17" fillId="0" borderId="18" applyAlignment="1" applyProtection="1" pivotButton="0" quotePrefix="0" xfId="3">
      <alignment horizontal="center" vertical="center" wrapText="1"/>
      <protection locked="0" hidden="0"/>
    </xf>
    <xf numFmtId="0" fontId="17" fillId="0" borderId="15" applyAlignment="1" pivotButton="0" quotePrefix="0" xfId="0">
      <alignment horizontal="center" vertical="center" wrapText="1"/>
    </xf>
    <xf numFmtId="0" fontId="19" fillId="0" borderId="3" applyAlignment="1" applyProtection="1" pivotButton="0" quotePrefix="0" xfId="0">
      <alignment horizontal="left" vertical="center" wrapText="1"/>
      <protection locked="0" hidden="0"/>
    </xf>
    <xf numFmtId="0" fontId="17" fillId="0" borderId="3" applyAlignment="1" applyProtection="1" pivotButton="0" quotePrefix="0" xfId="2">
      <alignment horizontal="center" vertical="center" wrapText="1"/>
      <protection locked="0" hidden="0"/>
    </xf>
    <xf numFmtId="0" fontId="17" fillId="0" borderId="3" applyAlignment="1" applyProtection="1" pivotButton="0" quotePrefix="0" xfId="0">
      <alignment horizontal="left" vertical="center" wrapText="1"/>
      <protection locked="0" hidden="0"/>
    </xf>
    <xf numFmtId="0" fontId="17" fillId="0" borderId="3" applyAlignment="1" pivotButton="0" quotePrefix="0" xfId="0">
      <alignment horizontal="center" vertical="center" wrapText="1"/>
    </xf>
    <xf numFmtId="0" fontId="17" fillId="0" borderId="3" applyAlignment="1" pivotButton="0" quotePrefix="0" xfId="0">
      <alignment horizontal="left" vertical="center" wrapText="1"/>
    </xf>
    <xf numFmtId="0" fontId="18" fillId="0" borderId="3" applyAlignment="1" pivotButton="0" quotePrefix="0" xfId="0">
      <alignment horizontal="left" vertical="center" wrapText="1"/>
    </xf>
    <xf numFmtId="0" fontId="17" fillId="0" borderId="3" applyAlignment="1" pivotButton="0" quotePrefix="0" xfId="0">
      <alignment vertical="center" wrapText="1"/>
    </xf>
    <xf numFmtId="0" fontId="17" fillId="0" borderId="15" applyAlignment="1" applyProtection="1" pivotButton="0" quotePrefix="0" xfId="3">
      <alignment horizontal="center" vertical="center" wrapText="1"/>
      <protection locked="0" hidden="0"/>
    </xf>
    <xf numFmtId="0" fontId="24" fillId="0" borderId="26" applyAlignment="1" applyProtection="1" pivotButton="0" quotePrefix="0" xfId="3">
      <alignment horizontal="left" vertical="center" wrapText="1"/>
      <protection locked="0" hidden="0"/>
    </xf>
    <xf numFmtId="9" fontId="19" fillId="0" borderId="30" applyAlignment="1" applyProtection="1" pivotButton="0" quotePrefix="0" xfId="11">
      <alignment horizontal="center" vertical="center"/>
      <protection locked="0" hidden="0"/>
    </xf>
    <xf numFmtId="0" fontId="17" fillId="0" borderId="30" applyAlignment="1" applyProtection="1" pivotButton="0" quotePrefix="0" xfId="0">
      <alignment horizontal="center" vertical="center"/>
      <protection locked="0" hidden="0"/>
    </xf>
    <xf numFmtId="0" fontId="17" fillId="0" borderId="30" applyProtection="1" pivotButton="0" quotePrefix="0" xfId="3">
      <protection locked="0" hidden="0"/>
    </xf>
    <xf numFmtId="0" fontId="18" fillId="0" borderId="30" applyAlignment="1" applyProtection="1" pivotButton="0" quotePrefix="0" xfId="3">
      <alignment horizontal="center" vertical="center"/>
      <protection locked="0" hidden="0"/>
    </xf>
    <xf numFmtId="0" fontId="17" fillId="0" borderId="30" applyProtection="1" pivotButton="0" quotePrefix="0" xfId="0">
      <protection locked="0" hidden="0"/>
    </xf>
    <xf numFmtId="165" fontId="19" fillId="0" borderId="30" applyAlignment="1" applyProtection="1" pivotButton="0" quotePrefix="0" xfId="0">
      <alignment horizontal="center" vertical="center"/>
      <protection locked="0" hidden="0"/>
    </xf>
    <xf numFmtId="0" fontId="19" fillId="0" borderId="2" applyAlignment="1" pivotButton="0" quotePrefix="0" xfId="3">
      <alignment horizontal="left" vertical="center" wrapText="1"/>
    </xf>
    <xf numFmtId="0" fontId="19" fillId="0" borderId="2" applyAlignment="1" pivotButton="0" quotePrefix="0" xfId="3">
      <alignment horizontal="left" wrapText="1"/>
    </xf>
    <xf numFmtId="0" fontId="17" fillId="0" borderId="16" applyAlignment="1" pivotButton="0" quotePrefix="0" xfId="0">
      <alignment horizontal="left" vertical="center" wrapText="1"/>
    </xf>
    <xf numFmtId="0" fontId="17" fillId="0" borderId="16" applyAlignment="1" applyProtection="1" pivotButton="0" quotePrefix="0" xfId="0">
      <alignment horizontal="left" vertical="center" wrapText="1"/>
      <protection locked="0" hidden="0"/>
    </xf>
    <xf numFmtId="0" fontId="17" fillId="0" borderId="46" applyAlignment="1" pivotButton="0" quotePrefix="0" xfId="3">
      <alignment vertical="center" wrapText="1"/>
    </xf>
    <xf numFmtId="0" fontId="17" fillId="9" borderId="16" applyAlignment="1" applyProtection="1" pivotButton="0" quotePrefix="0" xfId="0">
      <alignment horizontal="left" vertical="center" wrapText="1"/>
      <protection locked="0" hidden="0"/>
    </xf>
    <xf numFmtId="0" fontId="36" fillId="0" borderId="13" applyAlignment="1" pivotButton="0" quotePrefix="0" xfId="3">
      <alignment horizontal="left" vertical="center" wrapText="1"/>
    </xf>
    <xf numFmtId="0" fontId="24" fillId="0" borderId="13" applyAlignment="1" applyProtection="1" pivotButton="0" quotePrefix="0" xfId="0">
      <alignment horizontal="left" vertical="center" wrapText="1"/>
      <protection locked="0" hidden="0"/>
    </xf>
    <xf numFmtId="0" fontId="17" fillId="4" borderId="78" applyAlignment="1" applyProtection="1" pivotButton="0" quotePrefix="0" xfId="14">
      <alignment horizontal="center" vertical="center" wrapText="1"/>
      <protection locked="0" hidden="0"/>
    </xf>
    <xf numFmtId="0" fontId="17" fillId="4" borderId="78" applyAlignment="1" applyProtection="1" pivotButton="0" quotePrefix="0" xfId="3">
      <alignment horizontal="left" vertical="center" wrapText="1"/>
      <protection locked="0" hidden="0"/>
    </xf>
    <xf numFmtId="0" fontId="17" fillId="4" borderId="78" applyAlignment="1" applyProtection="1" pivotButton="0" quotePrefix="0" xfId="2">
      <alignment horizontal="center" vertical="center" wrapText="1"/>
      <protection locked="0" hidden="0"/>
    </xf>
    <xf numFmtId="0" fontId="17" fillId="4" borderId="2" applyAlignment="1" applyProtection="1" pivotButton="0" quotePrefix="0" xfId="2">
      <alignment horizontal="left" vertical="center" wrapText="1"/>
      <protection locked="0" hidden="0"/>
    </xf>
    <xf numFmtId="0" fontId="17" fillId="4" borderId="2" applyAlignment="1" applyProtection="1" pivotButton="0" quotePrefix="0" xfId="3">
      <alignment horizontal="center" vertical="center" wrapText="1"/>
      <protection locked="0" hidden="0"/>
    </xf>
    <xf numFmtId="0" fontId="17" fillId="4" borderId="16" applyAlignment="1" applyProtection="1" pivotButton="0" quotePrefix="0" xfId="3">
      <alignment horizontal="left" vertical="center" wrapText="1"/>
      <protection locked="0" hidden="0"/>
    </xf>
    <xf numFmtId="0" fontId="21" fillId="4" borderId="16" applyAlignment="1" applyProtection="1" pivotButton="0" quotePrefix="0" xfId="3">
      <alignment horizontal="left" vertical="center" wrapText="1"/>
      <protection locked="0" hidden="0"/>
    </xf>
    <xf numFmtId="0" fontId="17" fillId="4" borderId="16" applyAlignment="1" applyProtection="1" pivotButton="0" quotePrefix="0" xfId="0">
      <alignment horizontal="left" vertical="center" wrapText="1"/>
      <protection locked="0" hidden="0"/>
    </xf>
    <xf numFmtId="0" fontId="17" fillId="14" borderId="16" applyAlignment="1" applyProtection="1" pivotButton="0" quotePrefix="0" xfId="0">
      <alignment horizontal="left" vertical="center" wrapText="1"/>
      <protection locked="0" hidden="0"/>
    </xf>
    <xf numFmtId="9" fontId="19" fillId="4" borderId="0" applyAlignment="1" applyProtection="1" pivotButton="0" quotePrefix="0" xfId="11">
      <alignment horizontal="center" vertical="center"/>
      <protection locked="0" hidden="0"/>
    </xf>
    <xf numFmtId="0" fontId="18" fillId="4" borderId="0" applyAlignment="1" applyProtection="1" pivotButton="0" quotePrefix="0" xfId="3">
      <alignment horizontal="center" vertical="center"/>
      <protection locked="0" hidden="0"/>
    </xf>
    <xf numFmtId="165" fontId="19" fillId="4" borderId="0" applyAlignment="1" applyProtection="1" pivotButton="0" quotePrefix="0" xfId="0">
      <alignment horizontal="center" vertical="center"/>
      <protection locked="0" hidden="0"/>
    </xf>
    <xf numFmtId="0" fontId="17" fillId="4" borderId="2" applyAlignment="1" applyProtection="1" pivotButton="0" quotePrefix="0" xfId="14">
      <alignment horizontal="center" vertical="center" wrapText="1"/>
      <protection locked="0" hidden="0"/>
    </xf>
    <xf numFmtId="0" fontId="17" fillId="4" borderId="46" applyAlignment="1" applyProtection="1" pivotButton="0" quotePrefix="0" xfId="3">
      <alignment vertical="center" wrapText="1"/>
      <protection locked="0" hidden="0"/>
    </xf>
    <xf numFmtId="0" fontId="17" fillId="4" borderId="12" applyAlignment="1" applyProtection="1" pivotButton="0" quotePrefix="0" xfId="3">
      <alignment horizontal="left" vertical="center" wrapText="1"/>
      <protection locked="0" hidden="0"/>
    </xf>
    <xf numFmtId="0" fontId="17" fillId="4" borderId="12" applyAlignment="1" applyProtection="1" pivotButton="0" quotePrefix="0" xfId="2">
      <alignment horizontal="center" vertical="center" wrapText="1"/>
      <protection locked="0" hidden="0"/>
    </xf>
    <xf numFmtId="0" fontId="17" fillId="4" borderId="78" applyAlignment="1" applyProtection="1" pivotButton="0" quotePrefix="0" xfId="2">
      <alignment horizontal="left" vertical="center" wrapText="1"/>
      <protection locked="0" hidden="0"/>
    </xf>
    <xf numFmtId="0" fontId="17" fillId="4" borderId="78" applyAlignment="1" applyProtection="1" pivotButton="0" quotePrefix="0" xfId="3">
      <alignment horizontal="center" vertical="center" wrapText="1"/>
      <protection locked="0" hidden="0"/>
    </xf>
    <xf numFmtId="0" fontId="21" fillId="4" borderId="13" applyAlignment="1" applyProtection="1" pivotButton="0" quotePrefix="0" xfId="3">
      <alignment horizontal="left" vertical="center" wrapText="1"/>
      <protection locked="0" hidden="0"/>
    </xf>
    <xf numFmtId="0" fontId="17" fillId="4" borderId="13" applyAlignment="1" applyProtection="1" pivotButton="0" quotePrefix="0" xfId="3">
      <alignment horizontal="left" vertical="center" wrapText="1"/>
      <protection locked="0" hidden="0"/>
    </xf>
    <xf numFmtId="0" fontId="17" fillId="4" borderId="64" applyAlignment="1" applyProtection="1" pivotButton="0" quotePrefix="0" xfId="3">
      <alignment horizontal="left" vertical="center" wrapText="1"/>
      <protection locked="0" hidden="0"/>
    </xf>
    <xf numFmtId="0" fontId="17" fillId="4" borderId="34" applyAlignment="1" applyProtection="1" pivotButton="0" quotePrefix="0" xfId="3">
      <alignment horizontal="left" vertical="center" wrapText="1"/>
      <protection locked="0" hidden="0"/>
    </xf>
    <xf numFmtId="0" fontId="20" fillId="4" borderId="0" applyAlignment="1" applyProtection="1" pivotButton="0" quotePrefix="0" xfId="0">
      <alignment horizontal="left" vertical="center"/>
      <protection locked="0" hidden="0"/>
    </xf>
    <xf numFmtId="0" fontId="17" fillId="0" borderId="78" applyAlignment="1" pivotButton="0" quotePrefix="0" xfId="3">
      <alignment vertical="center" wrapText="1"/>
    </xf>
    <xf numFmtId="0" fontId="17" fillId="0" borderId="13" applyAlignment="1" pivotButton="0" quotePrefix="0" xfId="2">
      <alignment horizontal="left" vertical="center" wrapText="1"/>
    </xf>
    <xf numFmtId="0" fontId="21" fillId="0" borderId="13" applyAlignment="1" pivotButton="0" quotePrefix="0" xfId="2">
      <alignment horizontal="left" vertical="center" wrapText="1"/>
    </xf>
    <xf numFmtId="0" fontId="17" fillId="0" borderId="13" applyAlignment="1" applyProtection="1" pivotButton="0" quotePrefix="0" xfId="2">
      <alignment horizontal="left" vertical="center" wrapText="1"/>
      <protection locked="0" hidden="0"/>
    </xf>
    <xf numFmtId="0" fontId="36" fillId="0" borderId="78" applyAlignment="1" pivotButton="0" quotePrefix="0" xfId="3">
      <alignment vertical="center" wrapText="1"/>
    </xf>
    <xf numFmtId="0" fontId="36" fillId="0" borderId="78" applyAlignment="1" pivotButton="0" quotePrefix="0" xfId="2">
      <alignment horizontal="left" vertical="center" wrapText="1"/>
    </xf>
    <xf numFmtId="9" fontId="19" fillId="0" borderId="0" applyAlignment="1" pivotButton="0" quotePrefix="0" xfId="11">
      <alignment horizontal="center" vertical="center" wrapText="1"/>
    </xf>
    <xf numFmtId="0" fontId="17" fillId="0" borderId="0" applyAlignment="1" applyProtection="1" pivotButton="0" quotePrefix="0" xfId="0">
      <alignment horizontal="center" vertical="center" wrapText="1"/>
      <protection locked="0" hidden="0"/>
    </xf>
    <xf numFmtId="0" fontId="17" fillId="0" borderId="0" applyAlignment="1" applyProtection="1" pivotButton="0" quotePrefix="0" xfId="3">
      <alignment wrapText="1"/>
      <protection locked="0" hidden="0"/>
    </xf>
    <xf numFmtId="0" fontId="18" fillId="0" borderId="0" applyAlignment="1" pivotButton="0" quotePrefix="0" xfId="3">
      <alignment horizontal="center" vertical="center" wrapText="1"/>
    </xf>
    <xf numFmtId="165" fontId="19" fillId="0" borderId="0" applyAlignment="1" pivotButton="0" quotePrefix="0" xfId="0">
      <alignment horizontal="center" vertical="center" wrapText="1"/>
    </xf>
    <xf numFmtId="0" fontId="24" fillId="14" borderId="13" applyAlignment="1" applyProtection="1" pivotButton="0" quotePrefix="0" xfId="0">
      <alignment horizontal="left" vertical="center" wrapText="1"/>
      <protection locked="0" hidden="0"/>
    </xf>
    <xf numFmtId="0" fontId="17" fillId="0" borderId="12" applyAlignment="1" applyProtection="1" pivotButton="0" quotePrefix="0" xfId="3">
      <alignment horizontal="left" vertical="center" wrapText="1"/>
      <protection locked="0" hidden="0"/>
    </xf>
    <xf numFmtId="0" fontId="17" fillId="0" borderId="12" applyAlignment="1" applyProtection="1" pivotButton="0" quotePrefix="0" xfId="2">
      <alignment horizontal="center" vertical="center" wrapText="1"/>
      <protection locked="0" hidden="0"/>
    </xf>
    <xf numFmtId="0" fontId="38" fillId="0" borderId="13" applyAlignment="1" applyProtection="1" pivotButton="0" quotePrefix="0" xfId="3">
      <alignment horizontal="left" vertical="center" wrapText="1"/>
      <protection locked="0" hidden="0"/>
    </xf>
    <xf numFmtId="0" fontId="28" fillId="0" borderId="13" applyAlignment="1" applyProtection="1" pivotButton="0" quotePrefix="0" xfId="3">
      <alignment horizontal="left" vertical="center" wrapText="1"/>
      <protection locked="0" hidden="0"/>
    </xf>
    <xf numFmtId="0" fontId="23" fillId="0" borderId="13" applyAlignment="1" applyProtection="1" pivotButton="0" quotePrefix="0" xfId="3">
      <alignment horizontal="left" vertical="center" wrapText="1"/>
      <protection locked="0" hidden="0"/>
    </xf>
    <xf numFmtId="0" fontId="23" fillId="0" borderId="64" applyAlignment="1" applyProtection="1" pivotButton="0" quotePrefix="0" xfId="3">
      <alignment horizontal="left" vertical="center" wrapText="1"/>
      <protection locked="0" hidden="0"/>
    </xf>
    <xf numFmtId="0" fontId="20" fillId="0" borderId="0" applyAlignment="1" applyProtection="1" pivotButton="0" quotePrefix="0" xfId="0">
      <alignment horizontal="left" vertical="center"/>
      <protection locked="0" hidden="0"/>
    </xf>
    <xf numFmtId="0" fontId="17" fillId="14" borderId="13" applyAlignment="1" applyProtection="1" pivotButton="0" quotePrefix="0" xfId="0">
      <alignment horizontal="left" vertical="center" wrapText="1"/>
      <protection locked="0" hidden="0"/>
    </xf>
    <xf numFmtId="0" fontId="21" fillId="14" borderId="13" applyAlignment="1" applyProtection="1" pivotButton="0" quotePrefix="0" xfId="0">
      <alignment horizontal="left" vertical="center" wrapText="1"/>
      <protection locked="0" hidden="0"/>
    </xf>
    <xf numFmtId="0" fontId="17" fillId="0" borderId="78" applyAlignment="1" pivotButton="0" quotePrefix="0" xfId="3">
      <alignment vertical="top" wrapText="1"/>
    </xf>
    <xf numFmtId="0" fontId="17" fillId="8" borderId="13" applyAlignment="1" applyProtection="1" pivotButton="0" quotePrefix="0" xfId="2">
      <alignment horizontal="left" vertical="center" wrapText="1"/>
      <protection locked="0" hidden="0"/>
    </xf>
    <xf numFmtId="0" fontId="17" fillId="4" borderId="78" applyAlignment="1" pivotButton="0" quotePrefix="0" xfId="2">
      <alignment horizontal="center" vertical="center"/>
    </xf>
    <xf numFmtId="0" fontId="17" fillId="4" borderId="78" applyAlignment="1" pivotButton="0" quotePrefix="0" xfId="2">
      <alignment horizontal="center" vertical="center" wrapText="1"/>
    </xf>
    <xf numFmtId="0" fontId="17" fillId="13" borderId="2" applyAlignment="1" pivotButton="0" quotePrefix="0" xfId="2">
      <alignment horizontal="left" vertical="center" wrapText="1"/>
    </xf>
    <xf numFmtId="0" fontId="17" fillId="14" borderId="78" applyAlignment="1" pivotButton="0" quotePrefix="0" xfId="0">
      <alignment horizontal="center" vertical="center" wrapText="1"/>
    </xf>
    <xf numFmtId="0" fontId="17" fillId="14" borderId="78" applyAlignment="1" pivotButton="0" quotePrefix="0" xfId="0">
      <alignment horizontal="left" vertical="center" wrapText="1"/>
    </xf>
    <xf numFmtId="0" fontId="21" fillId="11" borderId="42" applyAlignment="1" pivotButton="0" quotePrefix="0" xfId="0">
      <alignment horizontal="left" vertical="center" wrapText="1"/>
    </xf>
    <xf numFmtId="0" fontId="17" fillId="11" borderId="42" applyAlignment="1" pivotButton="0" quotePrefix="0" xfId="0">
      <alignment horizontal="left" vertical="center" wrapText="1"/>
    </xf>
    <xf numFmtId="0" fontId="17" fillId="5" borderId="77" applyAlignment="1" pivotButton="0" quotePrefix="0" xfId="2">
      <alignment horizontal="center" vertical="center"/>
    </xf>
    <xf numFmtId="0" fontId="17" fillId="5" borderId="44" applyAlignment="1" pivotButton="0" quotePrefix="0" xfId="2">
      <alignment horizontal="center" vertical="center"/>
    </xf>
    <xf numFmtId="0" fontId="17" fillId="4" borderId="78" applyAlignment="1" pivotButton="0" quotePrefix="0" xfId="0">
      <alignment horizontal="center" vertical="center" wrapText="1"/>
    </xf>
    <xf numFmtId="0" fontId="21" fillId="11" borderId="78" applyAlignment="1" pivotButton="0" quotePrefix="0" xfId="0">
      <alignment horizontal="left" vertical="center" wrapText="1"/>
    </xf>
    <xf numFmtId="0" fontId="17" fillId="11" borderId="78" applyAlignment="1" pivotButton="0" quotePrefix="0" xfId="0">
      <alignment horizontal="left" vertical="center" wrapText="1"/>
    </xf>
    <xf numFmtId="0" fontId="17" fillId="5" borderId="0" applyAlignment="1" pivotButton="0" quotePrefix="0" xfId="2">
      <alignment horizontal="center" vertical="center"/>
    </xf>
    <xf numFmtId="0" fontId="17" fillId="5" borderId="76" applyAlignment="1" pivotButton="0" quotePrefix="0" xfId="2">
      <alignment horizontal="center" vertical="center"/>
    </xf>
    <xf numFmtId="0" fontId="21" fillId="11" borderId="13" applyAlignment="1" pivotButton="0" quotePrefix="0" xfId="0">
      <alignment horizontal="left" vertical="center" wrapText="1"/>
    </xf>
    <xf numFmtId="0" fontId="21" fillId="11" borderId="13" applyAlignment="1" pivotButton="0" quotePrefix="0" xfId="0">
      <alignment horizontal="center" vertical="center" wrapText="1"/>
    </xf>
    <xf numFmtId="0" fontId="17" fillId="11" borderId="78" applyAlignment="1" pivotButton="0" quotePrefix="0" xfId="0">
      <alignment horizontal="center" vertical="center" wrapText="1"/>
    </xf>
    <xf numFmtId="0" fontId="21" fillId="0" borderId="13" applyAlignment="1" pivotButton="0" quotePrefix="0" xfId="0">
      <alignment horizontal="left" vertical="center" wrapText="1"/>
    </xf>
    <xf numFmtId="0" fontId="17" fillId="0" borderId="76" applyAlignment="1" pivotButton="0" quotePrefix="0" xfId="2">
      <alignment horizontal="center" vertical="center"/>
    </xf>
    <xf numFmtId="0" fontId="21" fillId="11" borderId="14" applyAlignment="1" pivotButton="0" quotePrefix="0" xfId="0">
      <alignment horizontal="left" vertical="center" wrapText="1"/>
    </xf>
    <xf numFmtId="0" fontId="17" fillId="11" borderId="1" applyAlignment="1" pivotButton="0" quotePrefix="0" xfId="0">
      <alignment horizontal="left" vertical="center" wrapText="1"/>
    </xf>
    <xf numFmtId="0" fontId="17" fillId="12" borderId="0" applyAlignment="1" pivotButton="0" quotePrefix="0" xfId="2">
      <alignment horizontal="center" vertical="center"/>
    </xf>
    <xf numFmtId="0" fontId="17" fillId="12" borderId="76" applyAlignment="1" pivotButton="0" quotePrefix="0" xfId="2">
      <alignment horizontal="center" vertical="center"/>
    </xf>
    <xf numFmtId="0" fontId="17" fillId="4" borderId="9" applyAlignment="1" pivotButton="0" quotePrefix="0" xfId="2">
      <alignment horizontal="center" vertical="center" wrapText="1"/>
    </xf>
    <xf numFmtId="0" fontId="17" fillId="4" borderId="9" applyAlignment="1" pivotButton="0" quotePrefix="0" xfId="2">
      <alignment horizontal="left" vertical="center" wrapText="1"/>
    </xf>
    <xf numFmtId="0" fontId="17" fillId="14" borderId="9" applyAlignment="1" pivotButton="0" quotePrefix="0" xfId="0">
      <alignment horizontal="center" vertical="center" wrapText="1"/>
    </xf>
    <xf numFmtId="0" fontId="17" fillId="14" borderId="9" applyAlignment="1" pivotButton="0" quotePrefix="0" xfId="0">
      <alignment horizontal="left" vertical="center" wrapText="1"/>
    </xf>
    <xf numFmtId="0" fontId="21" fillId="11" borderId="9" applyAlignment="1" pivotButton="0" quotePrefix="0" xfId="0">
      <alignment horizontal="left" vertical="center" wrapText="1"/>
    </xf>
    <xf numFmtId="0" fontId="17" fillId="12" borderId="59" applyAlignment="1" pivotButton="0" quotePrefix="0" xfId="2">
      <alignment horizontal="center" vertical="center"/>
    </xf>
    <xf numFmtId="0" fontId="17" fillId="12" borderId="38" applyAlignment="1" pivotButton="0" quotePrefix="0" xfId="2">
      <alignment horizontal="center" vertical="center"/>
    </xf>
    <xf numFmtId="0" fontId="17" fillId="0" borderId="2" applyAlignment="1" pivotButton="0" quotePrefix="0" xfId="3">
      <alignment vertical="center" wrapText="1"/>
    </xf>
    <xf numFmtId="0" fontId="21" fillId="0" borderId="16" applyAlignment="1" pivotButton="0" quotePrefix="0" xfId="2">
      <alignment horizontal="left" vertical="center" wrapText="1"/>
    </xf>
    <xf numFmtId="0" fontId="18" fillId="0" borderId="47" applyAlignment="1" applyProtection="1" pivotButton="0" quotePrefix="0" xfId="3">
      <alignment horizontal="center" vertical="center" wrapText="1"/>
      <protection locked="0" hidden="0"/>
    </xf>
    <xf numFmtId="0" fontId="33" fillId="0" borderId="16" applyAlignment="1" applyProtection="1" pivotButton="0" quotePrefix="0" xfId="0">
      <alignment horizontal="center" vertical="center" wrapText="1"/>
      <protection locked="0" hidden="0"/>
    </xf>
    <xf numFmtId="0" fontId="24" fillId="0" borderId="34" applyAlignment="1" applyProtection="1" pivotButton="0" quotePrefix="0" xfId="3">
      <alignment vertical="center" wrapText="1"/>
      <protection locked="0" hidden="0"/>
    </xf>
    <xf numFmtId="0" fontId="23" fillId="0" borderId="0" applyProtection="1" pivotButton="0" quotePrefix="0" xfId="3">
      <protection locked="0" hidden="0"/>
    </xf>
    <xf numFmtId="0" fontId="24" fillId="0" borderId="47" applyAlignment="1" applyProtection="1" pivotButton="0" quotePrefix="0" xfId="3">
      <alignment vertical="center" wrapText="1"/>
      <protection locked="0" hidden="0"/>
    </xf>
    <xf numFmtId="0" fontId="39" fillId="0" borderId="16" applyAlignment="1" pivotButton="0" quotePrefix="0" xfId="3">
      <alignment horizontal="center" vertical="center" wrapText="1"/>
    </xf>
    <xf numFmtId="0" fontId="21" fillId="0" borderId="0" applyAlignment="1" pivotButton="0" quotePrefix="0" xfId="2">
      <alignment horizontal="left" vertical="center" wrapText="1"/>
    </xf>
    <xf numFmtId="0" fontId="17" fillId="0" borderId="46" applyAlignment="1" pivotButton="0" quotePrefix="0" xfId="2">
      <alignment horizontal="left" vertical="center" wrapText="1"/>
    </xf>
    <xf numFmtId="0" fontId="20" fillId="0" borderId="50" applyAlignment="1" applyProtection="1" pivotButton="0" quotePrefix="0" xfId="2">
      <alignment horizontal="left" vertical="center" wrapText="1"/>
      <protection locked="0" hidden="0"/>
    </xf>
    <xf numFmtId="0" fontId="20" fillId="0" borderId="46" applyAlignment="1" pivotButton="0" quotePrefix="0" xfId="2">
      <alignment horizontal="left" vertical="center" wrapText="1"/>
    </xf>
    <xf numFmtId="0" fontId="20" fillId="8" borderId="50" applyAlignment="1" applyProtection="1" pivotButton="0" quotePrefix="0" xfId="2">
      <alignment horizontal="left" vertical="center" wrapText="1"/>
      <protection locked="0" hidden="0"/>
    </xf>
    <xf numFmtId="0" fontId="17" fillId="4" borderId="13" applyAlignment="1" applyProtection="1" pivotButton="0" quotePrefix="0" xfId="2">
      <alignment horizontal="left" vertical="center" wrapText="1"/>
      <protection locked="0" hidden="0"/>
    </xf>
    <xf numFmtId="0" fontId="21" fillId="4" borderId="78" applyAlignment="1" applyProtection="1" pivotButton="0" quotePrefix="0" xfId="2">
      <alignment horizontal="left" vertical="center" wrapText="1"/>
      <protection locked="0" hidden="0"/>
    </xf>
    <xf numFmtId="0" fontId="20" fillId="4" borderId="87" applyAlignment="1" applyProtection="1" pivotButton="0" quotePrefix="0" xfId="2">
      <alignment horizontal="left" vertical="center" wrapText="1"/>
      <protection locked="0" hidden="0"/>
    </xf>
    <xf numFmtId="0" fontId="33" fillId="14" borderId="16" applyAlignment="1" applyProtection="1" pivotButton="0" quotePrefix="0" xfId="0">
      <alignment horizontal="center" vertical="center" wrapText="1"/>
      <protection locked="0" hidden="0"/>
    </xf>
    <xf numFmtId="0" fontId="17" fillId="0" borderId="2" applyAlignment="1" applyProtection="1" pivotButton="0" quotePrefix="0" xfId="2">
      <alignment horizontal="left" vertical="center" wrapText="1"/>
      <protection locked="0" hidden="0"/>
    </xf>
    <xf numFmtId="0" fontId="21" fillId="0" borderId="0" applyAlignment="1" applyProtection="1" pivotButton="0" quotePrefix="0" xfId="2">
      <alignment horizontal="left" vertical="center" wrapText="1"/>
      <protection locked="0" hidden="0"/>
    </xf>
    <xf numFmtId="0" fontId="20" fillId="0" borderId="46" applyAlignment="1" applyProtection="1" pivotButton="0" quotePrefix="0" xfId="2">
      <alignment horizontal="left" vertical="center" wrapText="1"/>
      <protection locked="0" hidden="0"/>
    </xf>
    <xf numFmtId="0" fontId="17" fillId="0" borderId="16" applyAlignment="1" applyProtection="1" pivotButton="0" quotePrefix="0" xfId="2">
      <alignment horizontal="left" vertical="center" wrapText="1"/>
      <protection locked="0" hidden="0"/>
    </xf>
    <xf numFmtId="0" fontId="21" fillId="0" borderId="16" applyAlignment="1" applyProtection="1" pivotButton="0" quotePrefix="0" xfId="2">
      <alignment horizontal="left" vertical="center" wrapText="1"/>
      <protection locked="0" hidden="0"/>
    </xf>
    <xf numFmtId="0" fontId="24" fillId="0" borderId="16" applyAlignment="1" applyProtection="1" pivotButton="0" quotePrefix="0" xfId="0">
      <alignment horizontal="left" vertical="center" wrapText="1"/>
      <protection locked="0" hidden="0"/>
    </xf>
    <xf numFmtId="0" fontId="17" fillId="0" borderId="78" applyAlignment="1" pivotButton="0" quotePrefix="0" xfId="14">
      <alignment horizontal="center" vertical="center" wrapText="1"/>
    </xf>
    <xf numFmtId="0" fontId="21" fillId="0" borderId="0" applyAlignment="1" pivotButton="0" quotePrefix="0" xfId="3">
      <alignment horizontal="left" vertical="center" wrapText="1"/>
    </xf>
    <xf numFmtId="0" fontId="25" fillId="0" borderId="48" applyAlignment="1" pivotButton="0" quotePrefix="0" xfId="0">
      <alignment horizontal="left" vertical="center" wrapText="1"/>
    </xf>
    <xf numFmtId="0" fontId="25" fillId="8" borderId="0" applyAlignment="1" applyProtection="1" pivotButton="0" quotePrefix="0" xfId="0">
      <alignment horizontal="left" vertical="center" wrapText="1"/>
      <protection locked="0" hidden="0"/>
    </xf>
    <xf numFmtId="0" fontId="17" fillId="0" borderId="34" applyAlignment="1" applyProtection="1" pivotButton="0" quotePrefix="0" xfId="3">
      <alignment horizontal="center" vertical="center" wrapText="1"/>
      <protection locked="0" hidden="0"/>
    </xf>
    <xf numFmtId="0" fontId="17" fillId="0" borderId="46" applyAlignment="1" applyProtection="1" pivotButton="0" quotePrefix="0" xfId="0">
      <alignment horizontal="center" vertical="center"/>
      <protection locked="0" hidden="0"/>
    </xf>
    <xf numFmtId="0" fontId="17" fillId="0" borderId="46" applyAlignment="1" applyProtection="1" pivotButton="0" quotePrefix="0" xfId="3">
      <alignment horizontal="center" vertical="center" wrapText="1"/>
      <protection locked="0" hidden="0"/>
    </xf>
    <xf numFmtId="0" fontId="25" fillId="0" borderId="13" applyAlignment="1" applyProtection="1" pivotButton="0" quotePrefix="0" xfId="0">
      <alignment horizontal="left" vertical="center" wrapText="1"/>
      <protection locked="0" hidden="0"/>
    </xf>
    <xf numFmtId="0" fontId="17" fillId="0" borderId="2" applyAlignment="1" applyProtection="1" pivotButton="0" quotePrefix="0" xfId="0">
      <alignment horizontal="left" vertical="center" wrapText="1"/>
      <protection locked="0" hidden="0"/>
    </xf>
    <xf numFmtId="0" fontId="17" fillId="13" borderId="78" applyAlignment="1" applyProtection="1" pivotButton="0" quotePrefix="0" xfId="2">
      <alignment horizontal="center" vertical="center" wrapText="1"/>
      <protection locked="0" hidden="0"/>
    </xf>
    <xf numFmtId="0" fontId="17" fillId="0" borderId="46" applyAlignment="1" applyProtection="1" pivotButton="0" quotePrefix="0" xfId="3">
      <alignment vertical="center" wrapText="1"/>
      <protection locked="0" hidden="0"/>
    </xf>
    <xf numFmtId="0" fontId="17" fillId="0" borderId="14" applyAlignment="1" pivotButton="0" quotePrefix="0" xfId="3">
      <alignment horizontal="left" vertical="center" wrapText="1"/>
    </xf>
    <xf numFmtId="0" fontId="41" fillId="13" borderId="78" applyAlignment="1" applyProtection="1" pivotButton="0" quotePrefix="0" xfId="0">
      <alignment horizontal="center" vertical="center" wrapText="1"/>
      <protection locked="0" hidden="0"/>
    </xf>
    <xf numFmtId="0" fontId="17" fillId="0" borderId="78" applyAlignment="1" pivotButton="0" quotePrefix="0" xfId="0">
      <alignment horizontal="center" vertical="center"/>
    </xf>
    <xf numFmtId="0" fontId="17" fillId="0" borderId="64" applyAlignment="1" applyProtection="1" pivotButton="0" quotePrefix="0" xfId="3">
      <alignment horizontal="left" vertical="center" wrapText="1"/>
      <protection locked="0" hidden="0"/>
    </xf>
    <xf numFmtId="0" fontId="20" fillId="0" borderId="0" applyAlignment="1" pivotButton="0" quotePrefix="0" xfId="0">
      <alignment horizontal="left" vertical="center" wrapText="1"/>
    </xf>
    <xf numFmtId="0" fontId="17" fillId="0" borderId="0" applyAlignment="1" pivotButton="0" quotePrefix="0" xfId="0">
      <alignment horizontal="left" vertical="center" wrapText="1"/>
    </xf>
    <xf numFmtId="0" fontId="20" fillId="0" borderId="46" applyAlignment="1" pivotButton="0" quotePrefix="0" xfId="0">
      <alignment horizontal="center" vertical="center"/>
    </xf>
    <xf numFmtId="0" fontId="20" fillId="0" borderId="46" applyAlignment="1" pivotButton="0" quotePrefix="0" xfId="0">
      <alignment vertical="center" wrapText="1"/>
    </xf>
    <xf numFmtId="0" fontId="25" fillId="0" borderId="65" applyAlignment="1" pivotButton="0" quotePrefix="0" xfId="0">
      <alignment vertical="center" wrapText="1"/>
    </xf>
    <xf numFmtId="0" fontId="17" fillId="0" borderId="0" applyAlignment="1" pivotButton="0" quotePrefix="0" xfId="3">
      <alignment horizontal="left" vertical="center" wrapText="1"/>
    </xf>
    <xf numFmtId="0" fontId="42" fillId="0" borderId="78" applyAlignment="1" pivotButton="0" quotePrefix="0" xfId="0">
      <alignment horizontal="left" vertical="center" wrapText="1"/>
    </xf>
    <xf numFmtId="0" fontId="21" fillId="0" borderId="16" applyAlignment="1" applyProtection="1" pivotButton="0" quotePrefix="0" xfId="3">
      <alignment horizontal="left" vertical="center" wrapText="1"/>
      <protection locked="0" hidden="0"/>
    </xf>
    <xf numFmtId="0" fontId="17" fillId="8" borderId="16" applyAlignment="1" applyProtection="1" pivotButton="0" quotePrefix="0" xfId="3">
      <alignment horizontal="left" vertical="center" wrapText="1"/>
      <protection locked="0" hidden="0"/>
    </xf>
    <xf numFmtId="0" fontId="41" fillId="0" borderId="78" applyAlignment="1" pivotButton="0" quotePrefix="0" xfId="3">
      <alignment horizontal="left" vertical="center" wrapText="1"/>
    </xf>
    <xf numFmtId="0" fontId="21" fillId="0" borderId="78" applyAlignment="1" pivotButton="0" quotePrefix="0" xfId="3">
      <alignment horizontal="left" vertical="center" wrapText="1"/>
    </xf>
    <xf numFmtId="0" fontId="19" fillId="0" borderId="16" applyAlignment="1" pivotButton="0" quotePrefix="0" xfId="3">
      <alignment horizontal="left" vertical="center" wrapText="1"/>
    </xf>
    <xf numFmtId="0" fontId="17" fillId="0" borderId="46" applyAlignment="1" pivotButton="0" quotePrefix="0" xfId="0">
      <alignment vertical="center" wrapText="1"/>
    </xf>
    <xf numFmtId="0" fontId="20" fillId="0" borderId="2" applyAlignment="1" pivotButton="0" quotePrefix="0" xfId="3">
      <alignment horizontal="left" vertical="center" wrapText="1"/>
    </xf>
    <xf numFmtId="0" fontId="17" fillId="0" borderId="46" applyAlignment="1" pivotButton="0" quotePrefix="0" xfId="0">
      <alignment horizontal="center" vertical="center" wrapText="1"/>
    </xf>
    <xf numFmtId="0" fontId="17" fillId="0" borderId="13" applyAlignment="1" pivotButton="0" quotePrefix="0" xfId="0">
      <alignment vertical="center"/>
    </xf>
    <xf numFmtId="0" fontId="21" fillId="0" borderId="13" applyAlignment="1" pivotButton="0" quotePrefix="0" xfId="0">
      <alignment vertical="center"/>
    </xf>
    <xf numFmtId="0" fontId="17" fillId="0" borderId="16" applyAlignment="1" applyProtection="1" pivotButton="0" quotePrefix="0" xfId="0">
      <alignment vertical="center"/>
      <protection locked="0" hidden="0"/>
    </xf>
    <xf numFmtId="0" fontId="36" fillId="0" borderId="46" applyAlignment="1" pivotButton="0" quotePrefix="0" xfId="3">
      <alignment horizontal="left" vertical="center" wrapText="1"/>
    </xf>
    <xf numFmtId="0" fontId="41" fillId="0" borderId="13" applyAlignment="1" pivotButton="0" quotePrefix="0" xfId="3">
      <alignment horizontal="left" vertical="center" wrapText="1"/>
    </xf>
    <xf numFmtId="0" fontId="17" fillId="0" borderId="46" applyAlignment="1" applyProtection="1" pivotButton="0" quotePrefix="0" xfId="3">
      <alignment horizontal="left" vertical="center" wrapText="1"/>
      <protection locked="0" hidden="0"/>
    </xf>
    <xf numFmtId="0" fontId="33" fillId="0" borderId="34" applyAlignment="1" applyProtection="1" pivotButton="0" quotePrefix="0" xfId="3">
      <alignment horizontal="left" vertical="center" wrapText="1"/>
      <protection locked="0" hidden="0"/>
    </xf>
    <xf numFmtId="0" fontId="27" fillId="0" borderId="2" applyAlignment="1" pivotButton="0" quotePrefix="0" xfId="2">
      <alignment horizontal="center" vertical="center" wrapText="1"/>
    </xf>
    <xf numFmtId="0" fontId="17" fillId="0" borderId="57" applyAlignment="1" pivotButton="0" quotePrefix="0" xfId="3">
      <alignment horizontal="left" vertical="center" wrapText="1"/>
    </xf>
    <xf numFmtId="0" fontId="17" fillId="0" borderId="42" applyAlignment="1" applyProtection="1" pivotButton="0" quotePrefix="0" xfId="3">
      <alignment horizontal="left" vertical="center" wrapText="1"/>
      <protection locked="0" hidden="0"/>
    </xf>
    <xf numFmtId="0" fontId="17" fillId="0" borderId="14" applyAlignment="1" pivotButton="0" quotePrefix="0" xfId="0">
      <alignment horizontal="left" vertical="center" wrapText="1"/>
    </xf>
    <xf numFmtId="0" fontId="17" fillId="0" borderId="14" applyAlignment="1" applyProtection="1" pivotButton="0" quotePrefix="0" xfId="0">
      <alignment horizontal="left" vertical="center" wrapText="1"/>
      <protection locked="0" hidden="0"/>
    </xf>
    <xf numFmtId="0" fontId="17" fillId="0" borderId="14" applyAlignment="1" applyProtection="1" pivotButton="0" quotePrefix="0" xfId="3">
      <alignment horizontal="left" vertical="center" wrapText="1"/>
      <protection locked="0" hidden="0"/>
    </xf>
    <xf numFmtId="0" fontId="17" fillId="0" borderId="5" applyAlignment="1" applyProtection="1" pivotButton="0" quotePrefix="0" xfId="2">
      <alignment horizontal="center" vertical="center"/>
      <protection locked="0" hidden="0"/>
    </xf>
    <xf numFmtId="0" fontId="17" fillId="0" borderId="1" applyAlignment="1" pivotButton="0" quotePrefix="0" xfId="3">
      <alignment horizontal="center" vertical="center" wrapText="1"/>
    </xf>
    <xf numFmtId="0" fontId="18" fillId="0" borderId="14" applyAlignment="1" pivotButton="0" quotePrefix="0" xfId="3">
      <alignment horizontal="left" vertical="center" wrapText="1"/>
    </xf>
    <xf numFmtId="0" fontId="33" fillId="8" borderId="33" applyAlignment="1" applyProtection="1" pivotButton="0" quotePrefix="0" xfId="3">
      <alignment horizontal="left" vertical="center" wrapText="1"/>
      <protection locked="0" hidden="0"/>
    </xf>
    <xf numFmtId="0" fontId="17" fillId="0" borderId="13" applyAlignment="1" pivotButton="0" quotePrefix="0" xfId="0">
      <alignment horizontal="left" vertical="center" wrapText="1"/>
    </xf>
    <xf numFmtId="0" fontId="17" fillId="0" borderId="13" applyAlignment="1" applyProtection="1" pivotButton="0" quotePrefix="0" xfId="0">
      <alignment horizontal="left" vertical="center" wrapText="1"/>
      <protection locked="0" hidden="0"/>
    </xf>
    <xf numFmtId="0" fontId="17" fillId="0" borderId="46" applyAlignment="1" pivotButton="0" quotePrefix="0" xfId="6">
      <alignment vertical="center" wrapText="1"/>
    </xf>
    <xf numFmtId="0" fontId="18" fillId="0" borderId="0" applyProtection="1" pivotButton="0" quotePrefix="0" xfId="3">
      <protection locked="0" hidden="0"/>
    </xf>
    <xf numFmtId="0" fontId="17" fillId="0" borderId="85" applyAlignment="1" pivotButton="0" quotePrefix="0" xfId="3">
      <alignment vertical="center" wrapText="1"/>
    </xf>
    <xf numFmtId="0" fontId="17" fillId="8" borderId="13" applyAlignment="1" applyProtection="1" pivotButton="0" quotePrefix="0" xfId="0">
      <alignment horizontal="left" vertical="center" wrapText="1"/>
      <protection locked="0" hidden="0"/>
    </xf>
    <xf numFmtId="0" fontId="17" fillId="0" borderId="9" applyAlignment="1" pivotButton="0" quotePrefix="0" xfId="14">
      <alignment horizontal="center" vertical="center" wrapText="1"/>
    </xf>
    <xf numFmtId="0" fontId="17" fillId="0" borderId="86" applyAlignment="1" pivotButton="0" quotePrefix="0" xfId="6">
      <alignment vertical="center" wrapText="1"/>
    </xf>
    <xf numFmtId="0" fontId="17" fillId="0" borderId="9" applyAlignment="1" pivotButton="0" quotePrefix="0" xfId="2">
      <alignment horizontal="left" vertical="center" wrapText="1"/>
    </xf>
    <xf numFmtId="0" fontId="21" fillId="0" borderId="9" applyAlignment="1" pivotButton="0" quotePrefix="0" xfId="3">
      <alignment horizontal="left" vertical="center" wrapText="1"/>
    </xf>
    <xf numFmtId="0" fontId="17" fillId="0" borderId="2" applyAlignment="1" applyProtection="1" pivotButton="0" quotePrefix="0" xfId="3">
      <alignment vertical="center" wrapText="1"/>
      <protection locked="0" hidden="0"/>
    </xf>
    <xf numFmtId="0" fontId="17" fillId="0" borderId="2" applyAlignment="1" applyProtection="1" pivotButton="0" quotePrefix="0" xfId="3">
      <alignment horizontal="center" vertical="center" wrapText="1"/>
      <protection locked="0" hidden="0"/>
    </xf>
    <xf numFmtId="0" fontId="21" fillId="0" borderId="18" applyAlignment="1" applyProtection="1" pivotButton="0" quotePrefix="0" xfId="3">
      <alignment horizontal="left" vertical="center" wrapText="1"/>
      <protection locked="0" hidden="0"/>
    </xf>
    <xf numFmtId="0" fontId="33" fillId="0" borderId="1" applyAlignment="1" applyProtection="1" pivotButton="0" quotePrefix="0" xfId="3">
      <alignment vertical="center" wrapText="1"/>
      <protection locked="0" hidden="0"/>
    </xf>
    <xf numFmtId="0" fontId="33" fillId="0" borderId="14" applyAlignment="1" applyProtection="1" pivotButton="0" quotePrefix="0" xfId="3">
      <alignment vertical="center" wrapText="1"/>
      <protection locked="0" hidden="0"/>
    </xf>
    <xf numFmtId="0" fontId="21" fillId="0" borderId="14" applyAlignment="1" applyProtection="1" pivotButton="0" quotePrefix="0" xfId="3">
      <alignment horizontal="left" vertical="center" wrapText="1"/>
      <protection locked="0" hidden="0"/>
    </xf>
    <xf numFmtId="0" fontId="17" fillId="0" borderId="78" applyProtection="1" pivotButton="0" quotePrefix="0" xfId="3">
      <protection locked="0" hidden="0"/>
    </xf>
    <xf numFmtId="0" fontId="17" fillId="0" borderId="13" applyProtection="1" pivotButton="0" quotePrefix="0" xfId="3">
      <protection locked="0" hidden="0"/>
    </xf>
    <xf numFmtId="0" fontId="33" fillId="0" borderId="78" applyAlignment="1" applyProtection="1" pivotButton="0" quotePrefix="0" xfId="3">
      <alignment vertical="center" wrapText="1"/>
      <protection locked="0" hidden="0"/>
    </xf>
    <xf numFmtId="0" fontId="33" fillId="0" borderId="13" applyAlignment="1" applyProtection="1" pivotButton="0" quotePrefix="0" xfId="3">
      <alignment vertical="center" wrapText="1"/>
      <protection locked="0" hidden="0"/>
    </xf>
    <xf numFmtId="0" fontId="17" fillId="13" borderId="7" applyAlignment="1" applyProtection="1" pivotButton="0" quotePrefix="0" xfId="2">
      <alignment horizontal="center" vertical="center"/>
      <protection locked="0" hidden="0"/>
    </xf>
    <xf numFmtId="0" fontId="17" fillId="13" borderId="2" applyAlignment="1" applyProtection="1" pivotButton="0" quotePrefix="0" xfId="0">
      <alignment horizontal="center" vertical="center" wrapText="1"/>
      <protection locked="0" hidden="0"/>
    </xf>
    <xf numFmtId="0" fontId="17" fillId="13" borderId="78" applyAlignment="1" applyProtection="1" pivotButton="0" quotePrefix="0" xfId="3">
      <alignment horizontal="left" vertical="center" wrapText="1"/>
      <protection locked="0" hidden="0"/>
    </xf>
    <xf numFmtId="0" fontId="17" fillId="13" borderId="78" applyAlignment="1" applyProtection="1" pivotButton="0" quotePrefix="0" xfId="3">
      <alignment horizontal="center" vertical="center" wrapText="1"/>
      <protection locked="0" hidden="0"/>
    </xf>
    <xf numFmtId="0" fontId="17" fillId="13" borderId="16" applyAlignment="1" applyProtection="1" pivotButton="0" quotePrefix="0" xfId="3">
      <alignment horizontal="center" vertical="center" wrapText="1"/>
      <protection locked="0" hidden="0"/>
    </xf>
    <xf numFmtId="0" fontId="17" fillId="13" borderId="13" applyAlignment="1" applyProtection="1" pivotButton="0" quotePrefix="0" xfId="3">
      <alignment horizontal="left" vertical="center" wrapText="1"/>
      <protection locked="0" hidden="0"/>
    </xf>
    <xf numFmtId="0" fontId="21" fillId="13" borderId="13" applyAlignment="1" applyProtection="1" pivotButton="0" quotePrefix="0" xfId="3">
      <alignment horizontal="left" vertical="center" wrapText="1"/>
      <protection locked="0" hidden="0"/>
    </xf>
    <xf numFmtId="0" fontId="33" fillId="13" borderId="78" applyAlignment="1" applyProtection="1" pivotButton="0" quotePrefix="0" xfId="3">
      <alignment vertical="center" wrapText="1"/>
      <protection locked="0" hidden="0"/>
    </xf>
    <xf numFmtId="0" fontId="33" fillId="13" borderId="13" applyAlignment="1" applyProtection="1" pivotButton="0" quotePrefix="0" xfId="3">
      <alignment vertical="center" wrapText="1"/>
      <protection locked="0" hidden="0"/>
    </xf>
    <xf numFmtId="0" fontId="17" fillId="13" borderId="34" applyAlignment="1" applyProtection="1" pivotButton="0" quotePrefix="0" xfId="3">
      <alignment horizontal="left" vertical="center" wrapText="1"/>
      <protection locked="0" hidden="0"/>
    </xf>
    <xf numFmtId="9" fontId="19" fillId="13" borderId="0" applyAlignment="1" applyProtection="1" pivotButton="0" quotePrefix="0" xfId="11">
      <alignment horizontal="center" vertical="center"/>
      <protection locked="0" hidden="0"/>
    </xf>
    <xf numFmtId="0" fontId="17" fillId="13" borderId="0" applyAlignment="1" applyProtection="1" pivotButton="0" quotePrefix="0" xfId="0">
      <alignment horizontal="center" vertical="center"/>
      <protection locked="0" hidden="0"/>
    </xf>
    <xf numFmtId="0" fontId="17" fillId="13" borderId="0" applyProtection="1" pivotButton="0" quotePrefix="0" xfId="3">
      <protection locked="0" hidden="0"/>
    </xf>
    <xf numFmtId="0" fontId="18" fillId="13" borderId="0" applyAlignment="1" applyProtection="1" pivotButton="0" quotePrefix="0" xfId="3">
      <alignment horizontal="center" vertical="center"/>
      <protection locked="0" hidden="0"/>
    </xf>
    <xf numFmtId="0" fontId="17" fillId="13" borderId="0" applyProtection="1" pivotButton="0" quotePrefix="0" xfId="0">
      <protection locked="0" hidden="0"/>
    </xf>
    <xf numFmtId="165" fontId="19" fillId="13" borderId="0" applyAlignment="1" applyProtection="1" pivotButton="0" quotePrefix="0" xfId="0">
      <alignment horizontal="center" vertical="center"/>
      <protection locked="0" hidden="0"/>
    </xf>
    <xf numFmtId="0" fontId="20" fillId="0" borderId="78" applyAlignment="1" pivotButton="0" quotePrefix="0" xfId="3">
      <alignment vertical="center" wrapText="1"/>
    </xf>
    <xf numFmtId="0" fontId="17" fillId="0" borderId="34" applyAlignment="1" applyProtection="1" pivotButton="0" quotePrefix="0" xfId="3">
      <alignment vertical="center" wrapText="1"/>
      <protection locked="0" hidden="0"/>
    </xf>
    <xf numFmtId="0" fontId="17" fillId="0" borderId="18" applyAlignment="1" pivotButton="0" quotePrefix="0" xfId="3">
      <alignment horizontal="left" vertical="center" wrapText="1"/>
    </xf>
    <xf numFmtId="0" fontId="17" fillId="0" borderId="18" applyAlignment="1" applyProtection="1" pivotButton="0" quotePrefix="0" xfId="3">
      <alignment horizontal="left" vertical="center" wrapText="1"/>
      <protection locked="0" hidden="0"/>
    </xf>
    <xf numFmtId="0" fontId="17" fillId="0" borderId="47" applyAlignment="1" applyProtection="1" pivotButton="0" quotePrefix="0" xfId="3">
      <alignment vertical="center" wrapText="1"/>
      <protection locked="0" hidden="0"/>
    </xf>
    <xf numFmtId="0" fontId="17" fillId="0" borderId="2" applyAlignment="1" applyProtection="1" pivotButton="0" quotePrefix="0" xfId="14">
      <alignment horizontal="center" vertical="center" wrapText="1"/>
      <protection locked="0" hidden="0"/>
    </xf>
    <xf numFmtId="0" fontId="20" fillId="0" borderId="2" applyAlignment="1" applyProtection="1" pivotButton="0" quotePrefix="0" xfId="3">
      <alignment vertical="center" wrapText="1"/>
      <protection locked="0" hidden="0"/>
    </xf>
    <xf numFmtId="0" fontId="21" fillId="6" borderId="16" applyAlignment="1" applyProtection="1" pivotButton="0" quotePrefix="0" xfId="3">
      <alignment horizontal="left" vertical="center" wrapText="1"/>
      <protection locked="0" hidden="0"/>
    </xf>
    <xf numFmtId="0" fontId="17" fillId="6" borderId="13" applyAlignment="1" applyProtection="1" pivotButton="0" quotePrefix="0" xfId="3">
      <alignment horizontal="left" vertical="center" wrapText="1"/>
      <protection locked="0" hidden="0"/>
    </xf>
    <xf numFmtId="0" fontId="18" fillId="0" borderId="13" applyAlignment="1" applyProtection="1" pivotButton="0" quotePrefix="0" xfId="3">
      <alignment horizontal="left" vertical="center" wrapText="1"/>
      <protection locked="0" hidden="0"/>
    </xf>
    <xf numFmtId="0" fontId="20" fillId="0" borderId="78" applyAlignment="1" applyProtection="1" pivotButton="0" quotePrefix="0" xfId="3">
      <alignment vertical="center" wrapText="1"/>
      <protection locked="0" hidden="0"/>
    </xf>
    <xf numFmtId="0" fontId="21" fillId="6" borderId="13" applyAlignment="1" applyProtection="1" pivotButton="0" quotePrefix="0" xfId="3">
      <alignment horizontal="left" vertical="center" wrapText="1"/>
      <protection locked="0" hidden="0"/>
    </xf>
    <xf numFmtId="0" fontId="17" fillId="0" borderId="1" applyAlignment="1" applyProtection="1" pivotButton="0" quotePrefix="0" xfId="14">
      <alignment horizontal="center" vertical="center" wrapText="1"/>
      <protection locked="0" hidden="0"/>
    </xf>
    <xf numFmtId="0" fontId="21" fillId="6" borderId="18" applyAlignment="1" applyProtection="1" pivotButton="0" quotePrefix="0" xfId="3">
      <alignment horizontal="left" vertical="center" wrapText="1"/>
      <protection locked="0" hidden="0"/>
    </xf>
    <xf numFmtId="0" fontId="17" fillId="6" borderId="18" applyAlignment="1" applyProtection="1" pivotButton="0" quotePrefix="0" xfId="3">
      <alignment horizontal="left" vertical="center" wrapText="1"/>
      <protection locked="0" hidden="0"/>
    </xf>
    <xf numFmtId="0" fontId="17" fillId="0" borderId="6" applyAlignment="1" applyProtection="1" pivotButton="0" quotePrefix="0" xfId="2">
      <alignment horizontal="center" vertical="center" wrapText="1"/>
      <protection locked="0" hidden="0"/>
    </xf>
    <xf numFmtId="0" fontId="19" fillId="0" borderId="78" applyAlignment="1" pivotButton="0" quotePrefix="0" xfId="2">
      <alignment horizontal="center" vertical="center" wrapText="1"/>
    </xf>
    <xf numFmtId="0" fontId="17" fillId="0" borderId="5" applyAlignment="1" pivotButton="0" quotePrefix="0" xfId="2">
      <alignment horizontal="center" vertical="center"/>
    </xf>
    <xf numFmtId="0" fontId="17" fillId="0" borderId="46" applyAlignment="1" pivotButton="0" quotePrefix="0" xfId="0">
      <alignment horizontal="center" vertical="center"/>
    </xf>
    <xf numFmtId="0" fontId="21" fillId="0" borderId="14" applyAlignment="1" pivotButton="0" quotePrefix="0" xfId="0">
      <alignment horizontal="left" vertical="center" wrapText="1"/>
    </xf>
    <xf numFmtId="0" fontId="17" fillId="0" borderId="46" applyAlignment="1" applyProtection="1" pivotButton="0" quotePrefix="0" xfId="0">
      <alignment horizontal="center" vertical="center" wrapText="1"/>
      <protection locked="0" hidden="0"/>
    </xf>
    <xf numFmtId="0" fontId="17" fillId="0" borderId="1" applyAlignment="1" applyProtection="1" pivotButton="0" quotePrefix="0" xfId="2">
      <alignment horizontal="left" vertical="center" wrapText="1"/>
      <protection locked="0" hidden="0"/>
    </xf>
    <xf numFmtId="0" fontId="17" fillId="0" borderId="1" applyAlignment="1" applyProtection="1" pivotButton="0" quotePrefix="0" xfId="0">
      <alignment horizontal="center" vertical="center" wrapText="1"/>
      <protection locked="0" hidden="0"/>
    </xf>
    <xf numFmtId="0" fontId="27" fillId="0" borderId="1" applyAlignment="1" applyProtection="1" pivotButton="0" quotePrefix="0" xfId="2">
      <alignment horizontal="center" vertical="center" wrapText="1"/>
      <protection locked="0" hidden="0"/>
    </xf>
    <xf numFmtId="0" fontId="17" fillId="0" borderId="27" applyAlignment="1" applyProtection="1" pivotButton="0" quotePrefix="0" xfId="3">
      <alignment horizontal="left" vertical="center" wrapText="1"/>
      <protection locked="0" hidden="0"/>
    </xf>
    <xf numFmtId="0" fontId="17" fillId="0" borderId="42" applyAlignment="1" pivotButton="0" quotePrefix="0" xfId="2">
      <alignment horizontal="left" vertical="center" wrapText="1"/>
    </xf>
    <xf numFmtId="0" fontId="27" fillId="4" borderId="78" applyAlignment="1" pivotButton="0" quotePrefix="0" xfId="0">
      <alignment horizontal="center" vertical="center" wrapText="1"/>
    </xf>
    <xf numFmtId="49" fontId="17" fillId="0" borderId="36" applyAlignment="1" pivotButton="0" quotePrefix="0" xfId="0">
      <alignment horizontal="left" vertical="center" wrapText="1"/>
    </xf>
    <xf numFmtId="0" fontId="27" fillId="4" borderId="2" applyAlignment="1" pivotButton="0" quotePrefix="0" xfId="2">
      <alignment horizontal="center" vertical="center" wrapText="1"/>
    </xf>
    <xf numFmtId="0" fontId="27" fillId="4" borderId="13" applyAlignment="1" pivotButton="0" quotePrefix="0" xfId="3">
      <alignment horizontal="left" vertical="center" wrapText="1"/>
    </xf>
    <xf numFmtId="0" fontId="26" fillId="4" borderId="16" applyAlignment="1" pivotButton="0" quotePrefix="0" xfId="3">
      <alignment horizontal="left" vertical="center" wrapText="1"/>
    </xf>
    <xf numFmtId="0" fontId="27" fillId="4" borderId="16" applyAlignment="1" applyProtection="1" pivotButton="0" quotePrefix="0" xfId="3">
      <alignment horizontal="left" vertical="center" wrapText="1"/>
      <protection locked="0" hidden="0"/>
    </xf>
    <xf numFmtId="0" fontId="27" fillId="4" borderId="34" applyAlignment="1" applyProtection="1" pivotButton="0" quotePrefix="0" xfId="3">
      <alignment horizontal="left" vertical="center" wrapText="1"/>
      <protection locked="0" hidden="0"/>
    </xf>
    <xf numFmtId="9" fontId="27" fillId="0" borderId="0" applyAlignment="1" pivotButton="0" quotePrefix="0" xfId="11">
      <alignment horizontal="center" vertical="center"/>
    </xf>
    <xf numFmtId="0" fontId="26" fillId="0" borderId="0" applyAlignment="1" pivotButton="0" quotePrefix="0" xfId="3">
      <alignment horizontal="center" vertical="center" wrapText="1"/>
    </xf>
    <xf numFmtId="165" fontId="27" fillId="0" borderId="0" applyAlignment="1" pivotButton="0" quotePrefix="0" xfId="0">
      <alignment horizontal="center" vertical="center" wrapText="1"/>
    </xf>
    <xf numFmtId="49" fontId="27" fillId="4" borderId="36" applyAlignment="1" pivotButton="0" quotePrefix="0" xfId="0">
      <alignment horizontal="left" vertical="center" wrapText="1"/>
    </xf>
    <xf numFmtId="49" fontId="17" fillId="4" borderId="36" applyAlignment="1" pivotButton="0" quotePrefix="0" xfId="0">
      <alignment horizontal="left" vertical="center" wrapText="1"/>
    </xf>
    <xf numFmtId="0" fontId="17" fillId="0" borderId="5" applyAlignment="1" applyProtection="1" pivotButton="0" quotePrefix="0" xfId="2">
      <alignment horizontal="center" vertical="center" wrapText="1"/>
      <protection locked="0" hidden="0"/>
    </xf>
    <xf numFmtId="0" fontId="20" fillId="0" borderId="60" applyAlignment="1" pivotButton="0" quotePrefix="0" xfId="3">
      <alignment horizontal="left" vertical="center" wrapText="1"/>
    </xf>
    <xf numFmtId="0" fontId="17" fillId="0" borderId="12" applyAlignment="1" pivotButton="0" quotePrefix="0" xfId="2">
      <alignment horizontal="center" vertical="center" wrapText="1"/>
    </xf>
    <xf numFmtId="0" fontId="20" fillId="0" borderId="46" applyAlignment="1" pivotButton="0" quotePrefix="0" xfId="3">
      <alignment horizontal="left" vertical="center" wrapText="1"/>
    </xf>
    <xf numFmtId="0" fontId="21" fillId="0" borderId="18" applyAlignment="1" pivotButton="0" quotePrefix="0" xfId="3">
      <alignment horizontal="left" vertical="center" wrapText="1"/>
    </xf>
    <xf numFmtId="0" fontId="17" fillId="0" borderId="27" applyAlignment="1" applyProtection="1" pivotButton="0" quotePrefix="0" xfId="3">
      <alignment horizontal="center" vertical="center" wrapText="1"/>
      <protection locked="0" hidden="0"/>
    </xf>
    <xf numFmtId="0" fontId="17" fillId="0" borderId="4" applyAlignment="1" applyProtection="1" pivotButton="0" quotePrefix="0" xfId="2">
      <alignment horizontal="center" vertical="center"/>
      <protection locked="0" hidden="0"/>
    </xf>
    <xf numFmtId="0" fontId="17" fillId="0" borderId="3" applyAlignment="1" pivotButton="0" quotePrefix="0" xfId="3">
      <alignment horizontal="left" vertical="center" wrapText="1"/>
    </xf>
    <xf numFmtId="0" fontId="17" fillId="0" borderId="3" applyAlignment="1" pivotButton="0" quotePrefix="0" xfId="2">
      <alignment horizontal="center" vertical="center" wrapText="1"/>
    </xf>
    <xf numFmtId="0" fontId="17" fillId="0" borderId="15" applyAlignment="1" pivotButton="0" quotePrefix="0" xfId="2">
      <alignment horizontal="left" vertical="center" wrapText="1"/>
    </xf>
    <xf numFmtId="0" fontId="21" fillId="0" borderId="15" applyAlignment="1" pivotButton="0" quotePrefix="0" xfId="2">
      <alignment horizontal="left" vertical="center" wrapText="1"/>
    </xf>
    <xf numFmtId="0" fontId="17" fillId="0" borderId="15" applyAlignment="1" pivotButton="0" quotePrefix="0" xfId="2">
      <alignment horizontal="center" vertical="center" wrapText="1"/>
    </xf>
    <xf numFmtId="0" fontId="17" fillId="0" borderId="15" applyAlignment="1" applyProtection="1" pivotButton="0" quotePrefix="0" xfId="2">
      <alignment horizontal="center" vertical="center" wrapText="1"/>
      <protection locked="0" hidden="0"/>
    </xf>
    <xf numFmtId="0" fontId="17" fillId="0" borderId="26" applyAlignment="1" applyProtection="1" pivotButton="0" quotePrefix="0" xfId="3">
      <alignment horizontal="left" vertical="center" wrapText="1"/>
      <protection locked="0" hidden="0"/>
    </xf>
    <xf numFmtId="165" fontId="19" fillId="0" borderId="0" applyAlignment="1" pivotButton="0" quotePrefix="0" xfId="0">
      <alignment horizontal="right" vertical="center"/>
    </xf>
    <xf numFmtId="0" fontId="17" fillId="0" borderId="42" applyAlignment="1" pivotButton="0" quotePrefix="0" xfId="0">
      <alignment horizontal="center" vertical="center" wrapText="1"/>
    </xf>
    <xf numFmtId="0" fontId="17" fillId="0" borderId="42" applyAlignment="1" pivotButton="0" quotePrefix="0" xfId="18">
      <alignment horizontal="left" vertical="center" wrapText="1"/>
    </xf>
    <xf numFmtId="0" fontId="17" fillId="0" borderId="42" applyAlignment="1" pivotButton="0" quotePrefix="0" xfId="2">
      <alignment horizontal="center" vertical="center" wrapText="1"/>
    </xf>
    <xf numFmtId="0" fontId="17" fillId="0" borderId="57" applyAlignment="1" pivotButton="0" quotePrefix="0" xfId="2">
      <alignment horizontal="left" vertical="center" wrapText="1"/>
    </xf>
    <xf numFmtId="0" fontId="21" fillId="0" borderId="57" applyAlignment="1" pivotButton="0" quotePrefix="0" xfId="2">
      <alignment horizontal="left" vertical="center" wrapText="1"/>
    </xf>
    <xf numFmtId="0" fontId="17" fillId="0" borderId="57" applyAlignment="1" pivotButton="0" quotePrefix="0" xfId="2">
      <alignment horizontal="center" vertical="center" wrapText="1"/>
    </xf>
    <xf numFmtId="9" fontId="19" fillId="0" borderId="0" applyAlignment="1" applyProtection="1" pivotButton="0" quotePrefix="0" xfId="11">
      <alignment horizontal="right" vertical="center"/>
      <protection locked="0" hidden="0"/>
    </xf>
    <xf numFmtId="0" fontId="20" fillId="0" borderId="0" applyProtection="1" pivotButton="0" quotePrefix="0" xfId="0">
      <protection locked="0" hidden="0"/>
    </xf>
    <xf numFmtId="165" fontId="19" fillId="0" borderId="0" applyAlignment="1" applyProtection="1" pivotButton="0" quotePrefix="0" xfId="0">
      <alignment horizontal="right" vertical="center"/>
      <protection locked="0" hidden="0"/>
    </xf>
    <xf numFmtId="0" fontId="19" fillId="0" borderId="0" applyAlignment="1" applyProtection="1" pivotButton="0" quotePrefix="0" xfId="0">
      <alignment horizontal="right" vertical="center"/>
      <protection locked="0" hidden="0"/>
    </xf>
    <xf numFmtId="0" fontId="17" fillId="0" borderId="78" applyAlignment="1" pivotButton="0" quotePrefix="0" xfId="18">
      <alignment horizontal="left" vertical="center" wrapText="1"/>
    </xf>
    <xf numFmtId="0" fontId="17" fillId="0" borderId="9" applyAlignment="1" pivotButton="0" quotePrefix="0" xfId="18">
      <alignment horizontal="left" vertical="center" wrapText="1"/>
    </xf>
    <xf numFmtId="0" fontId="17" fillId="0" borderId="11" applyAlignment="1" pivotButton="0" quotePrefix="0" xfId="2">
      <alignment horizontal="center" vertical="center" wrapText="1"/>
    </xf>
    <xf numFmtId="0" fontId="17" fillId="0" borderId="0" applyAlignment="1" applyProtection="1" pivotButton="0" quotePrefix="0" xfId="0">
      <alignment vertical="center"/>
      <protection locked="0" hidden="0"/>
    </xf>
    <xf numFmtId="0" fontId="21" fillId="0" borderId="0" applyProtection="1" pivotButton="0" quotePrefix="0" xfId="0">
      <protection locked="0" hidden="0"/>
    </xf>
    <xf numFmtId="0" fontId="18" fillId="0" borderId="29" applyAlignment="1" applyProtection="1" pivotButton="0" quotePrefix="0" xfId="0">
      <alignment wrapText="1"/>
      <protection locked="0" hidden="0"/>
    </xf>
    <xf numFmtId="0" fontId="18" fillId="0" borderId="30" applyProtection="1" pivotButton="0" quotePrefix="0" xfId="0">
      <protection locked="0" hidden="0"/>
    </xf>
    <xf numFmtId="0" fontId="18" fillId="0" borderId="30" applyAlignment="1" applyProtection="1" pivotButton="0" quotePrefix="0" xfId="0">
      <alignment vertical="center"/>
      <protection locked="0" hidden="0"/>
    </xf>
    <xf numFmtId="0" fontId="21" fillId="0" borderId="30" applyProtection="1" pivotButton="0" quotePrefix="0" xfId="0">
      <protection locked="0" hidden="0"/>
    </xf>
    <xf numFmtId="9" fontId="22" fillId="0" borderId="30" applyAlignment="1" applyProtection="1" pivotButton="0" quotePrefix="0" xfId="11">
      <alignment horizontal="right" vertical="center"/>
      <protection locked="0" hidden="0"/>
    </xf>
    <xf numFmtId="0" fontId="22" fillId="0" borderId="30" applyAlignment="1" applyProtection="1" pivotButton="0" quotePrefix="0" xfId="0">
      <alignment horizontal="right" vertical="center"/>
      <protection locked="0" hidden="0"/>
    </xf>
    <xf numFmtId="2" fontId="22" fillId="0" borderId="31" applyAlignment="1" applyProtection="1" pivotButton="0" quotePrefix="0" xfId="0">
      <alignment horizontal="right" vertical="center"/>
      <protection locked="0" hidden="0"/>
    </xf>
    <xf numFmtId="2" fontId="17" fillId="0" borderId="0" applyProtection="1" pivotButton="0" quotePrefix="0" xfId="0">
      <protection locked="0" hidden="0"/>
    </xf>
    <xf numFmtId="0" fontId="18" fillId="0" borderId="63" applyAlignment="1" applyProtection="1" pivotButton="0" quotePrefix="0" xfId="0">
      <alignment wrapText="1"/>
      <protection locked="0" hidden="0"/>
    </xf>
    <xf numFmtId="0" fontId="18" fillId="0" borderId="62" applyProtection="1" pivotButton="0" quotePrefix="0" xfId="0">
      <protection locked="0" hidden="0"/>
    </xf>
    <xf numFmtId="0" fontId="18" fillId="0" borderId="62" applyAlignment="1" applyProtection="1" pivotButton="0" quotePrefix="0" xfId="0">
      <alignment vertical="center"/>
      <protection locked="0" hidden="0"/>
    </xf>
    <xf numFmtId="0" fontId="21" fillId="0" borderId="62" applyProtection="1" pivotButton="0" quotePrefix="0" xfId="0">
      <protection locked="0" hidden="0"/>
    </xf>
    <xf numFmtId="9" fontId="22" fillId="0" borderId="62" applyAlignment="1" applyProtection="1" pivotButton="0" quotePrefix="0" xfId="11">
      <alignment horizontal="right" vertical="center"/>
      <protection locked="0" hidden="0"/>
    </xf>
    <xf numFmtId="0" fontId="22" fillId="0" borderId="62" applyAlignment="1" applyProtection="1" pivotButton="0" quotePrefix="0" xfId="0">
      <alignment horizontal="right" vertical="center"/>
      <protection locked="0" hidden="0"/>
    </xf>
    <xf numFmtId="2" fontId="22" fillId="0" borderId="61" applyAlignment="1" applyProtection="1" pivotButton="0" quotePrefix="0" xfId="0">
      <alignment horizontal="right" vertical="center"/>
      <protection locked="0" hidden="0"/>
    </xf>
    <xf numFmtId="2" fontId="22" fillId="0" borderId="10" applyAlignment="1" applyProtection="1" pivotButton="0" quotePrefix="0" xfId="0">
      <alignment horizontal="right" vertical="center"/>
      <protection locked="0" hidden="0"/>
    </xf>
    <xf numFmtId="0" fontId="17" fillId="4" borderId="2" applyAlignment="1" pivotButton="0" quotePrefix="0" xfId="2">
      <alignment horizontal="left" vertical="center" wrapText="1"/>
    </xf>
    <xf numFmtId="0" fontId="20" fillId="4" borderId="2" applyAlignment="1" pivotButton="0" quotePrefix="0" xfId="2">
      <alignment horizontal="left" vertical="center" wrapText="1"/>
    </xf>
    <xf numFmtId="0" fontId="17" fillId="15" borderId="1" applyAlignment="1" pivotButton="0" quotePrefix="0" xfId="2">
      <alignment horizontal="center" vertical="center" wrapText="1"/>
    </xf>
    <xf numFmtId="0" fontId="17" fillId="0" borderId="2" applyAlignment="1" pivotButton="0" quotePrefix="0" xfId="14">
      <alignment horizontal="center" vertical="center"/>
    </xf>
    <xf numFmtId="0" fontId="27" fillId="4" borderId="9" applyAlignment="1" pivotButton="0" quotePrefix="0" xfId="14">
      <alignment horizontal="center" vertical="center" wrapText="1"/>
    </xf>
    <xf numFmtId="0" fontId="17" fillId="4" borderId="12" applyAlignment="1" applyProtection="1" pivotButton="0" quotePrefix="0" xfId="14">
      <alignment horizontal="center" vertical="center" wrapText="1"/>
      <protection locked="0" hidden="0"/>
    </xf>
    <xf numFmtId="0" fontId="17" fillId="0" borderId="12" applyAlignment="1" pivotButton="0" quotePrefix="0" xfId="14">
      <alignment horizontal="center" vertical="center" wrapText="1"/>
    </xf>
    <xf numFmtId="0" fontId="17" fillId="0" borderId="3" applyAlignment="1" pivotButton="0" quotePrefix="0" xfId="14">
      <alignment horizontal="center" vertical="center" wrapText="1"/>
    </xf>
    <xf numFmtId="0" fontId="17" fillId="0" borderId="42" applyAlignment="1" pivotButton="0" quotePrefix="0" xfId="14">
      <alignment horizontal="center" vertical="center" wrapText="1"/>
    </xf>
    <xf numFmtId="0" fontId="17" fillId="4" borderId="2" applyAlignment="1" pivotButton="0" quotePrefix="0" xfId="0">
      <alignment horizontal="center" vertical="center" wrapText="1"/>
    </xf>
    <xf numFmtId="0" fontId="17" fillId="4" borderId="78" applyAlignment="1" pivotButton="0" quotePrefix="0" xfId="14">
      <alignment horizontal="center" vertical="center" wrapText="1"/>
    </xf>
    <xf numFmtId="0" fontId="17" fillId="4" borderId="13" applyAlignment="1" pivotButton="0" quotePrefix="0" xfId="3">
      <alignment horizontal="left" vertical="center" wrapText="1"/>
    </xf>
    <xf numFmtId="0" fontId="25" fillId="17" borderId="78" applyAlignment="1" pivotButton="0" quotePrefix="0" xfId="0">
      <alignment horizontal="center" vertical="center" wrapText="1"/>
    </xf>
    <xf numFmtId="0" fontId="17" fillId="17" borderId="78" applyAlignment="1" pivotButton="0" quotePrefix="0" xfId="0">
      <alignment horizontal="center" vertical="center" wrapText="1"/>
    </xf>
    <xf numFmtId="0" fontId="17" fillId="17" borderId="1" applyAlignment="1" applyProtection="1" pivotButton="0" quotePrefix="0" xfId="3">
      <alignment horizontal="left" vertical="center" wrapText="1"/>
      <protection locked="0" hidden="0"/>
    </xf>
    <xf numFmtId="0" fontId="17" fillId="17" borderId="12" applyAlignment="1" pivotButton="0" quotePrefix="0" xfId="0">
      <alignment horizontal="center" vertical="center" wrapText="1"/>
    </xf>
    <xf numFmtId="0" fontId="17" fillId="17" borderId="9" applyAlignment="1" pivotButton="0" quotePrefix="0" xfId="0">
      <alignment horizontal="center" vertical="center" wrapText="1"/>
    </xf>
    <xf numFmtId="0" fontId="21" fillId="16" borderId="78" applyAlignment="1" pivotButton="0" quotePrefix="0" xfId="0">
      <alignment horizontal="left" vertical="center" wrapText="1"/>
    </xf>
    <xf numFmtId="0" fontId="17" fillId="18" borderId="78" applyAlignment="1" pivotButton="0" quotePrefix="0" xfId="0">
      <alignment horizontal="center" vertical="center" wrapText="1"/>
    </xf>
    <xf numFmtId="0" fontId="17" fillId="17" borderId="78" applyAlignment="1" pivotButton="0" quotePrefix="0" xfId="2">
      <alignment horizontal="center" vertical="center" wrapText="1"/>
    </xf>
    <xf numFmtId="0" fontId="17" fillId="17" borderId="9" applyAlignment="1" pivotButton="0" quotePrefix="0" xfId="2">
      <alignment horizontal="center" vertical="center" wrapText="1"/>
    </xf>
    <xf numFmtId="0" fontId="20" fillId="17" borderId="2" applyAlignment="1" pivotButton="0" quotePrefix="0" xfId="2">
      <alignment horizontal="center" vertical="center" wrapText="1"/>
    </xf>
    <xf numFmtId="0" fontId="17" fillId="17" borderId="78" applyAlignment="1" pivotButton="0" quotePrefix="0" xfId="3">
      <alignment horizontal="left" vertical="center" wrapText="1"/>
    </xf>
    <xf numFmtId="0" fontId="44" fillId="0" borderId="78" applyAlignment="1" pivotButton="0" quotePrefix="0" xfId="0">
      <alignment wrapText="1"/>
    </xf>
    <xf numFmtId="0" fontId="45" fillId="0" borderId="78" applyAlignment="1" pivotButton="0" quotePrefix="0" xfId="0">
      <alignment wrapText="1"/>
    </xf>
    <xf numFmtId="0" fontId="45" fillId="0" borderId="13" applyAlignment="1" pivotButton="0" quotePrefix="0" xfId="0">
      <alignment wrapText="1"/>
    </xf>
    <xf numFmtId="0" fontId="43" fillId="0" borderId="2" applyAlignment="1" pivotButton="0" quotePrefix="0" xfId="0">
      <alignment wrapText="1"/>
    </xf>
    <xf numFmtId="0" fontId="1" fillId="0" borderId="78" applyAlignment="1" applyProtection="1" pivotButton="0" quotePrefix="0" xfId="0">
      <alignment horizontal="center" vertical="center" wrapText="1"/>
      <protection locked="0" hidden="0"/>
    </xf>
    <xf numFmtId="0" fontId="17" fillId="13" borderId="6" applyAlignment="1" applyProtection="1" pivotButton="0" quotePrefix="0" xfId="2">
      <alignment horizontal="center" vertical="center"/>
      <protection locked="0" hidden="0"/>
    </xf>
    <xf numFmtId="0" fontId="17" fillId="13" borderId="78" applyAlignment="1" applyProtection="1" pivotButton="0" quotePrefix="0" xfId="14">
      <alignment horizontal="center" vertical="center" wrapText="1"/>
      <protection locked="0" hidden="0"/>
    </xf>
    <xf numFmtId="0" fontId="17" fillId="13" borderId="78" applyAlignment="1" applyProtection="1" pivotButton="0" quotePrefix="0" xfId="0">
      <alignment horizontal="center" vertical="center" wrapText="1"/>
      <protection locked="0" hidden="0"/>
    </xf>
    <xf numFmtId="0" fontId="1" fillId="0" borderId="78" applyAlignment="1" applyProtection="1" pivotButton="0" quotePrefix="0" xfId="0">
      <alignment vertical="center" wrapText="1"/>
      <protection locked="0" hidden="0"/>
    </xf>
    <xf numFmtId="0" fontId="49" fillId="13" borderId="1" applyAlignment="1" applyProtection="1" pivotButton="0" quotePrefix="0" xfId="0">
      <alignment horizontal="center" vertical="center" wrapText="1"/>
      <protection locked="0" hidden="0"/>
    </xf>
    <xf numFmtId="0" fontId="1" fillId="13" borderId="2" applyAlignment="1" applyProtection="1" pivotButton="0" quotePrefix="0" xfId="0">
      <alignment horizontal="left" vertical="center" wrapText="1"/>
      <protection locked="0" hidden="0"/>
    </xf>
    <xf numFmtId="0" fontId="1" fillId="13" borderId="78" applyAlignment="1" applyProtection="1" pivotButton="0" quotePrefix="0" xfId="0">
      <alignment horizontal="center" vertical="center" wrapText="1"/>
      <protection locked="0" hidden="0"/>
    </xf>
    <xf numFmtId="0" fontId="1" fillId="13" borderId="78" applyAlignment="1" applyProtection="1" pivotButton="0" quotePrefix="0" xfId="0">
      <alignment horizontal="left" vertical="center" wrapText="1"/>
      <protection locked="0" hidden="0"/>
    </xf>
    <xf numFmtId="0" fontId="1" fillId="13" borderId="78" applyAlignment="1" applyProtection="1" pivotButton="0" quotePrefix="0" xfId="0">
      <alignment vertical="center" wrapText="1"/>
      <protection locked="0" hidden="0"/>
    </xf>
    <xf numFmtId="0" fontId="1" fillId="13" borderId="1" applyAlignment="1" applyProtection="1" pivotButton="0" quotePrefix="0" xfId="0">
      <alignment horizontal="center" vertical="center" wrapText="1"/>
      <protection locked="0" hidden="0"/>
    </xf>
    <xf numFmtId="0" fontId="1" fillId="13" borderId="16" applyAlignment="1" applyProtection="1" pivotButton="0" quotePrefix="0" xfId="0">
      <alignment horizontal="left" vertical="center" wrapText="1"/>
      <protection locked="0" hidden="0"/>
    </xf>
    <xf numFmtId="0" fontId="17" fillId="13" borderId="78" applyAlignment="1" applyProtection="1" pivotButton="0" quotePrefix="0" xfId="3">
      <alignment vertical="center" wrapText="1"/>
      <protection locked="0" hidden="0"/>
    </xf>
    <xf numFmtId="0" fontId="17" fillId="4" borderId="6" applyAlignment="1" applyProtection="1" pivotButton="0" quotePrefix="0" xfId="2">
      <alignment horizontal="center" vertical="center"/>
      <protection locked="0" hidden="0"/>
    </xf>
    <xf numFmtId="0" fontId="1" fillId="0" borderId="26" applyAlignment="1" pivotButton="0" quotePrefix="0" xfId="10">
      <alignment horizontal="center" vertical="top" textRotation="90"/>
    </xf>
    <xf numFmtId="0" fontId="0" fillId="0" borderId="27" pivotButton="0" quotePrefix="0" xfId="0"/>
    <xf numFmtId="0" fontId="0" fillId="0" borderId="28" pivotButton="0" quotePrefix="0" xfId="0"/>
    <xf numFmtId="0" fontId="1" fillId="0" borderId="26" applyAlignment="1" pivotButton="0" quotePrefix="0" xfId="10">
      <alignment horizontal="center" vertical="top" textRotation="90" wrapText="1"/>
    </xf>
    <xf numFmtId="0" fontId="17" fillId="5" borderId="26" applyAlignment="1" pivotButton="0" quotePrefix="0" xfId="2">
      <alignment horizontal="center" vertical="center"/>
    </xf>
    <xf numFmtId="0" fontId="20" fillId="0" borderId="30" pivotButton="0" quotePrefix="0" xfId="0"/>
    <xf numFmtId="0" fontId="20" fillId="0" borderId="31" pivotButton="0" quotePrefix="0" xfId="0"/>
    <xf numFmtId="0" fontId="17" fillId="5" borderId="83" applyAlignment="1" pivotButton="0" quotePrefix="0" xfId="2">
      <alignment horizontal="center" vertical="center"/>
    </xf>
    <xf numFmtId="0" fontId="20" fillId="0" borderId="84" pivotButton="0" quotePrefix="0" xfId="0"/>
    <xf numFmtId="0" fontId="40" fillId="8" borderId="34" applyAlignment="1" applyProtection="1" pivotButton="0" quotePrefix="0" xfId="3">
      <alignment horizontal="center" vertical="center" wrapText="1"/>
      <protection locked="0" hidden="0"/>
    </xf>
    <xf numFmtId="0" fontId="20" fillId="0" borderId="27" applyProtection="1" pivotButton="0" quotePrefix="0" xfId="0">
      <protection locked="0" hidden="0"/>
    </xf>
    <xf numFmtId="0" fontId="20" fillId="0" borderId="47" applyProtection="1" pivotButton="0" quotePrefix="0" xfId="0">
      <protection locked="0" hidden="0"/>
    </xf>
    <xf numFmtId="0" fontId="24" fillId="4" borderId="34" applyAlignment="1" applyProtection="1" pivotButton="0" quotePrefix="0" xfId="3">
      <alignment horizontal="center" vertical="center" wrapText="1"/>
      <protection locked="0" hidden="0"/>
    </xf>
    <xf numFmtId="0" fontId="20" fillId="4" borderId="47" applyProtection="1" pivotButton="0" quotePrefix="0" xfId="0">
      <protection locked="0" hidden="0"/>
    </xf>
    <xf numFmtId="0" fontId="20" fillId="0" borderId="62" pivotButton="0" quotePrefix="0" xfId="0"/>
    <xf numFmtId="0" fontId="33" fillId="0" borderId="34" applyAlignment="1" applyProtection="1" pivotButton="0" quotePrefix="0" xfId="3">
      <alignment horizontal="center" vertical="center" wrapText="1"/>
      <protection locked="0" hidden="0"/>
    </xf>
    <xf numFmtId="0" fontId="17" fillId="2" borderId="25" applyAlignment="1" pivotButton="0" quotePrefix="0" xfId="14">
      <alignment horizontal="center" vertical="center" wrapText="1"/>
    </xf>
    <xf numFmtId="0" fontId="18" fillId="0" borderId="0" applyProtection="1" pivotButton="0" quotePrefix="0" xfId="0">
      <protection locked="0" hidden="0"/>
    </xf>
    <xf numFmtId="0" fontId="17" fillId="0" borderId="0" applyAlignment="1" applyProtection="1" pivotButton="0" quotePrefix="0" xfId="0">
      <alignment horizontal="center"/>
      <protection locked="0" hidden="0"/>
    </xf>
    <xf numFmtId="0" fontId="17" fillId="0" borderId="0" applyAlignment="1" applyProtection="1" pivotButton="0" quotePrefix="0" xfId="0">
      <alignment wrapText="1"/>
      <protection locked="0" hidden="0"/>
    </xf>
    <xf numFmtId="0" fontId="17" fillId="0" borderId="0" applyProtection="1" pivotButton="0" quotePrefix="0" xfId="0">
      <protection locked="0" hidden="0"/>
    </xf>
    <xf numFmtId="0" fontId="17" fillId="15" borderId="58" applyAlignment="1" pivotButton="0" quotePrefix="0" xfId="14">
      <alignment horizontal="center" vertical="center" wrapText="1"/>
    </xf>
    <xf numFmtId="0" fontId="20" fillId="15" borderId="59" pivotButton="0" quotePrefix="0" xfId="0"/>
    <xf numFmtId="0" fontId="18" fillId="15" borderId="26" applyAlignment="1" pivotButton="0" quotePrefix="0" xfId="2">
      <alignment horizontal="center" vertical="center" wrapText="1"/>
    </xf>
    <xf numFmtId="0" fontId="20" fillId="15" borderId="28" pivotButton="0" quotePrefix="0" xfId="0"/>
    <xf numFmtId="0" fontId="0" fillId="0" borderId="59" pivotButton="0" quotePrefix="0" xfId="0"/>
    <xf numFmtId="0" fontId="0" fillId="0" borderId="30" pivotButton="0" quotePrefix="0" xfId="0"/>
    <xf numFmtId="0" fontId="0" fillId="0" borderId="31" pivotButton="0" quotePrefix="0" xfId="0"/>
    <xf numFmtId="165" fontId="19" fillId="0" borderId="0" applyAlignment="1" pivotButton="0" quotePrefix="0" xfId="0">
      <alignment horizontal="center" vertical="center"/>
    </xf>
    <xf numFmtId="165" fontId="19" fillId="0" borderId="0" applyAlignment="1" applyProtection="1" pivotButton="0" quotePrefix="0" xfId="0">
      <alignment horizontal="center" vertical="center"/>
      <protection locked="0" hidden="0"/>
    </xf>
    <xf numFmtId="165" fontId="29" fillId="0" borderId="0" applyAlignment="1" pivotButton="0" quotePrefix="0" xfId="0">
      <alignment horizontal="center" vertical="center"/>
    </xf>
    <xf numFmtId="165" fontId="19" fillId="4" borderId="0" applyAlignment="1" pivotButton="0" quotePrefix="0" xfId="0">
      <alignment horizontal="center" vertical="center"/>
    </xf>
    <xf numFmtId="165" fontId="27" fillId="0" borderId="0" applyAlignment="1" pivotButton="0" quotePrefix="0" xfId="0">
      <alignment horizontal="center" vertical="center"/>
    </xf>
    <xf numFmtId="0" fontId="0" fillId="0" borderId="27" applyProtection="1" pivotButton="0" quotePrefix="0" xfId="0">
      <protection locked="0" hidden="0"/>
    </xf>
    <xf numFmtId="0" fontId="0" fillId="0" borderId="47" applyProtection="1" pivotButton="0" quotePrefix="0" xfId="0">
      <protection locked="0" hidden="0"/>
    </xf>
    <xf numFmtId="165" fontId="19" fillId="0" borderId="30" applyAlignment="1" applyProtection="1" pivotButton="0" quotePrefix="0" xfId="0">
      <alignment horizontal="center" vertical="center"/>
      <protection locked="0" hidden="0"/>
    </xf>
    <xf numFmtId="165" fontId="19" fillId="4" borderId="0" applyAlignment="1" applyProtection="1" pivotButton="0" quotePrefix="0" xfId="0">
      <alignment horizontal="center" vertical="center"/>
      <protection locked="0" hidden="0"/>
    </xf>
    <xf numFmtId="165" fontId="19" fillId="0" borderId="0" applyAlignment="1" pivotButton="0" quotePrefix="0" xfId="0">
      <alignment horizontal="center" vertical="center" wrapText="1"/>
    </xf>
    <xf numFmtId="165" fontId="19" fillId="13" borderId="0" applyAlignment="1" applyProtection="1" pivotButton="0" quotePrefix="0" xfId="0">
      <alignment horizontal="center" vertical="center"/>
      <protection locked="0" hidden="0"/>
    </xf>
    <xf numFmtId="165" fontId="27" fillId="0" borderId="0" applyAlignment="1" pivotButton="0" quotePrefix="0" xfId="0">
      <alignment horizontal="center" vertical="center" wrapText="1"/>
    </xf>
    <xf numFmtId="165" fontId="19" fillId="0" borderId="0" applyAlignment="1" pivotButton="0" quotePrefix="0" xfId="0">
      <alignment horizontal="right" vertical="center"/>
    </xf>
    <xf numFmtId="165" fontId="19" fillId="0" borderId="0" applyAlignment="1" applyProtection="1" pivotButton="0" quotePrefix="0" xfId="0">
      <alignment horizontal="right" vertical="center"/>
      <protection locked="0" hidden="0"/>
    </xf>
    <xf numFmtId="164" fontId="1" fillId="0" borderId="42" applyAlignment="1" pivotButton="0" quotePrefix="0" xfId="16">
      <alignment horizontal="center" vertical="center"/>
    </xf>
    <xf numFmtId="164" fontId="1" fillId="0" borderId="12" applyAlignment="1" pivotButton="0" quotePrefix="0" xfId="16">
      <alignment horizontal="center" vertical="center"/>
    </xf>
    <xf numFmtId="164" fontId="1" fillId="0" borderId="9" applyAlignment="1" pivotButton="0" quotePrefix="0" xfId="16">
      <alignment horizontal="center" vertical="center"/>
    </xf>
  </cellXfs>
  <cellStyles count="19">
    <cellStyle name="Normal" xfId="0" builtinId="0"/>
    <cellStyle name="Normal 2" xfId="1"/>
    <cellStyle name="Normal 5" xfId="2"/>
    <cellStyle name="Normal 3" xfId="3"/>
    <cellStyle name="Normal 2 2" xfId="4"/>
    <cellStyle name="Normal 4" xfId="5"/>
    <cellStyle name="Normal 3 2" xfId="6"/>
    <cellStyle name="Check Cell" xfId="7" builtinId="23"/>
    <cellStyle name="Normal 2 3" xfId="8"/>
    <cellStyle name="Normal 2 2 2" xfId="9"/>
    <cellStyle name="Normal 4 2" xfId="10"/>
    <cellStyle name="Percent" xfId="11" builtinId="5"/>
    <cellStyle name="Normal 4 2 2" xfId="12"/>
    <cellStyle name="Normal 2 4" xfId="13"/>
    <cellStyle name="Normal 2 2 3" xfId="14"/>
    <cellStyle name="Normal 2 2 3 2" xfId="15"/>
    <cellStyle name="Normal 4 2 2 2" xfId="16"/>
    <cellStyle name="Normal 2 2 3 3" xfId="17"/>
    <cellStyle name="Normal 3 2 2" xfId="18"/>
  </cellStyles>
  <dxfs count="19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indexed="64"/>
          <bgColor theme="0" tint="-0.0499893185216834"/>
        </patternFill>
      </fill>
    </dxf>
    <dxf>
      <fill>
        <patternFill patternType="solid">
          <fgColor indexed="64"/>
          <bgColor theme="6" tint="0.5999938962981048"/>
        </patternFill>
      </fill>
    </dxf>
    <dxf>
      <fill>
        <patternFill>
          <bgColor rgb="FF4685D2"/>
        </patternFill>
      </fill>
    </dxf>
    <dxf>
      <fill>
        <patternFill patternType="solid">
          <fgColor indexed="64"/>
          <bgColor theme="4" tint="0.7999816888943144"/>
        </patternFill>
      </fill>
    </dxf>
    <dxf>
      <fill>
        <patternFill patternType="solid">
          <fgColor indexed="64"/>
          <bgColor rgb="FFBA005D"/>
        </patternFill>
      </fill>
    </dxf>
    <dxf>
      <fill>
        <patternFill patternType="solid">
          <fgColor indexed="64"/>
          <bgColor rgb="FFDCC97A"/>
        </patternFill>
      </fill>
    </dxf>
    <dxf>
      <fill>
        <patternFill patternType="solid">
          <fgColor indexed="64"/>
          <bgColor theme="4" tint="0.5999938962981048"/>
        </patternFill>
      </fill>
    </dxf>
    <dxf>
      <fill>
        <patternFill>
          <bgColor rgb="FFDDE8C6"/>
        </patternFill>
      </fill>
    </dxf>
    <dxf>
      <fill>
        <patternFill>
          <bgColor rgb="FFEEB400"/>
        </patternFill>
      </fill>
    </dxf>
    <dxf>
      <fill>
        <patternFill>
          <bgColor theme="6" tint="0.3999450666829432"/>
        </patternFill>
      </fill>
    </dxf>
    <dxf>
      <fill>
        <patternFill>
          <bgColor theme="9" tint="0.5999633777886288"/>
        </patternFill>
      </fill>
    </dxf>
    <dxf>
      <fill>
        <patternFill>
          <bgColor rgb="FFE3E0CF"/>
        </patternFill>
      </fill>
    </dxf>
    <dxf>
      <fill>
        <patternFill>
          <bgColor theme="9" tint="0.3999450666829432"/>
        </patternFill>
      </fill>
    </dxf>
    <dxf>
      <fill>
        <patternFill>
          <bgColor theme="2" tint="-0.249946592608417"/>
        </patternFill>
      </fill>
    </dxf>
    <dxf>
      <fill>
        <patternFill>
          <bgColor rgb="FFFF0000"/>
        </patternFill>
      </fill>
    </dxf>
    <dxf>
      <fill>
        <patternFill>
          <bgColor rgb="FFFFBB57"/>
        </patternFill>
      </fill>
    </dxf>
    <dxf>
      <fill>
        <patternFill>
          <bgColor rgb="FFFF9900"/>
        </patternFill>
      </fill>
    </dxf>
    <dxf>
      <fill>
        <patternFill>
          <bgColor rgb="FFEEB400"/>
        </patternFill>
      </fill>
    </dxf>
    <dxf>
      <fill>
        <patternFill>
          <bgColor rgb="FFFFD44B"/>
        </patternFill>
      </fill>
    </dxf>
    <dxf>
      <fill>
        <patternFill patternType="solid">
          <fgColor indexed="64"/>
          <bgColor theme="6" tint="0.7999816888943144"/>
        </patternFill>
      </fill>
    </dxf>
    <dxf>
      <fill>
        <patternFill>
          <bgColor rgb="FF99BCE7"/>
        </patternFill>
      </fill>
    </dxf>
    <dxf>
      <fill>
        <patternFill>
          <bgColor rgb="FFFF9900"/>
        </patternFill>
      </fill>
    </dxf>
    <dxf>
      <fill>
        <patternFill patternType="solid">
          <fgColor indexed="64"/>
          <bgColor rgb="FFE7D480"/>
        </patternFill>
      </fill>
    </dxf>
    <dxf>
      <fill>
        <patternFill patternType="solid">
          <fgColor indexed="64"/>
          <bgColor rgb="FFE4E300"/>
        </patternFill>
      </fill>
    </dxf>
    <dxf>
      <fill>
        <patternFill>
          <bgColor theme="7" tint="0.3999450666829432"/>
        </patternFill>
      </fill>
    </dxf>
    <dxf>
      <fill>
        <patternFill>
          <bgColor theme="7" tint="0.5999633777886288"/>
        </patternFill>
      </fill>
    </dxf>
    <dxf>
      <fill>
        <patternFill>
          <bgColor rgb="FFE1AAA9"/>
        </patternFill>
      </fill>
    </dxf>
    <dxf>
      <fill>
        <patternFill>
          <bgColor rgb="FFF2DBDA"/>
        </patternFill>
      </fill>
    </dxf>
    <dxf>
      <fill>
        <patternFill patternType="solid">
          <fgColor indexed="64"/>
          <bgColor rgb="FF9E004F"/>
        </patternFill>
      </fill>
    </dxf>
    <dxf>
      <fill>
        <patternFill>
          <bgColor rgb="FFFF0000"/>
        </patternFill>
      </fill>
    </dxf>
    <dxf>
      <fill>
        <patternFill patternType="solid">
          <fgColor indexed="64"/>
          <bgColor theme="0" tint="-0.0499893185216834"/>
        </patternFill>
      </fill>
    </dxf>
    <dxf>
      <fill>
        <patternFill patternType="solid">
          <fgColor indexed="64"/>
          <bgColor theme="6" tint="0.7999816888943144"/>
        </patternFill>
      </fill>
    </dxf>
    <dxf>
      <fill>
        <patternFill patternType="solid">
          <fgColor indexed="64"/>
          <bgColor theme="6" tint="0.5999938962981048"/>
        </patternFill>
      </fill>
    </dxf>
    <dxf>
      <fill>
        <patternFill patternType="solid">
          <fgColor indexed="64"/>
          <bgColor rgb="FF9E004F"/>
        </patternFill>
      </fill>
    </dxf>
    <dxf>
      <fill>
        <patternFill>
          <bgColor rgb="FFF2DBDA"/>
        </patternFill>
      </fill>
    </dxf>
    <dxf>
      <fill>
        <patternFill>
          <bgColor rgb="FFE1AAA9"/>
        </patternFill>
      </fill>
    </dxf>
    <dxf>
      <fill>
        <patternFill>
          <bgColor theme="7" tint="0.5999633777886288"/>
        </patternFill>
      </fill>
    </dxf>
    <dxf>
      <fill>
        <patternFill>
          <bgColor rgb="FF99BCE7"/>
        </patternFill>
      </fill>
    </dxf>
    <dxf>
      <fill>
        <patternFill patternType="solid">
          <fgColor indexed="64"/>
          <bgColor rgb="FFE4E300"/>
        </patternFill>
      </fill>
    </dxf>
    <dxf>
      <fill>
        <patternFill>
          <bgColor rgb="FFFFBB57"/>
        </patternFill>
      </fill>
    </dxf>
    <dxf>
      <fill>
        <patternFill>
          <bgColor rgb="FFFF9900"/>
        </patternFill>
      </fill>
    </dxf>
    <dxf>
      <fill>
        <patternFill>
          <bgColor rgb="FFEEB400"/>
        </patternFill>
      </fill>
    </dxf>
    <dxf>
      <fill>
        <patternFill patternType="solid">
          <fgColor indexed="64"/>
          <bgColor rgb="FFE7D480"/>
        </patternFill>
      </fill>
    </dxf>
    <dxf>
      <fill>
        <patternFill>
          <bgColor rgb="FFFFD44B"/>
        </patternFill>
      </fill>
    </dxf>
    <dxf>
      <fill>
        <patternFill>
          <bgColor rgb="FFEEB400"/>
        </patternFill>
      </fill>
    </dxf>
    <dxf>
      <fill>
        <patternFill patternType="solid">
          <fgColor indexed="64"/>
          <bgColor rgb="FFDCC97A"/>
        </patternFill>
      </fill>
    </dxf>
    <dxf>
      <fill>
        <patternFill>
          <bgColor theme="6" tint="0.3999450666829432"/>
        </patternFill>
      </fill>
    </dxf>
    <dxf>
      <fill>
        <patternFill>
          <bgColor rgb="FFE3E0CF"/>
        </patternFill>
      </fill>
    </dxf>
    <dxf>
      <fill>
        <patternFill>
          <bgColor theme="2" tint="-0.249946592608417"/>
        </patternFill>
      </fill>
    </dxf>
    <dxf>
      <fill>
        <patternFill>
          <bgColor rgb="FFDDE8C6"/>
        </patternFill>
      </fill>
    </dxf>
    <dxf>
      <fill>
        <patternFill>
          <bgColor theme="7" tint="0.3999450666829432"/>
        </patternFill>
      </fill>
    </dxf>
    <dxf>
      <fill>
        <patternFill patternType="solid">
          <fgColor indexed="64"/>
          <bgColor theme="4" tint="0.7999816888943144"/>
        </patternFill>
      </fill>
    </dxf>
    <dxf>
      <fill>
        <patternFill patternType="solid">
          <fgColor indexed="64"/>
          <bgColor theme="4" tint="0.5999938962981048"/>
        </patternFill>
      </fill>
    </dxf>
    <dxf>
      <fill>
        <patternFill>
          <bgColor theme="9" tint="0.5999633777886288"/>
        </patternFill>
      </fill>
    </dxf>
    <dxf>
      <fill>
        <patternFill>
          <bgColor rgb="FF4685D2"/>
        </patternFill>
      </fill>
    </dxf>
    <dxf>
      <fill>
        <patternFill patternType="solid">
          <fgColor indexed="64"/>
          <bgColor rgb="FFBA005D"/>
        </patternFill>
      </fill>
    </dxf>
    <dxf>
      <fill>
        <patternFill>
          <bgColor rgb="FFFF9900"/>
        </patternFill>
      </fill>
    </dxf>
    <dxf>
      <fill>
        <patternFill>
          <bgColor theme="9" tint="0.399945066682943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indexed="64"/>
          <bgColor rgb="FFDCC97A"/>
        </patternFill>
      </fill>
    </dxf>
    <dxf>
      <fill>
        <patternFill>
          <bgColor rgb="FFDDE8C6"/>
        </patternFill>
      </fill>
    </dxf>
    <dxf>
      <fill>
        <patternFill>
          <bgColor theme="6" tint="0.3999450666829432"/>
        </patternFill>
      </fill>
    </dxf>
    <dxf>
      <fill>
        <patternFill>
          <bgColor rgb="FFE3E0CF"/>
        </patternFill>
      </fill>
    </dxf>
    <dxf>
      <fill>
        <patternFill>
          <bgColor theme="2" tint="-0.249946592608417"/>
        </patternFill>
      </fill>
    </dxf>
    <dxf>
      <fill>
        <patternFill>
          <bgColor rgb="FFFF0000"/>
        </patternFill>
      </fill>
    </dxf>
    <dxf>
      <fill>
        <patternFill>
          <bgColor theme="9" tint="0.5999633777886288"/>
        </patternFill>
      </fill>
    </dxf>
    <dxf>
      <fill>
        <patternFill patternType="solid">
          <fgColor indexed="64"/>
          <bgColor theme="0" tint="-0.0499893185216834"/>
        </patternFill>
      </fill>
    </dxf>
    <dxf>
      <fill>
        <patternFill patternType="solid">
          <fgColor indexed="64"/>
          <bgColor theme="6" tint="0.7999816888943144"/>
        </patternFill>
      </fill>
    </dxf>
    <dxf>
      <fill>
        <patternFill patternType="solid">
          <fgColor indexed="64"/>
          <bgColor theme="6" tint="0.5999938962981048"/>
        </patternFill>
      </fill>
    </dxf>
    <dxf>
      <fill>
        <patternFill>
          <bgColor rgb="FF99BCE7"/>
        </patternFill>
      </fill>
    </dxf>
    <dxf>
      <fill>
        <patternFill>
          <bgColor rgb="FF4685D2"/>
        </patternFill>
      </fill>
    </dxf>
    <dxf>
      <fill>
        <patternFill patternType="solid">
          <fgColor indexed="64"/>
          <bgColor theme="4" tint="0.7999816888943144"/>
        </patternFill>
      </fill>
    </dxf>
    <dxf>
      <fill>
        <patternFill patternType="solid">
          <fgColor indexed="64"/>
          <bgColor theme="4" tint="0.5999938962981048"/>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
        </patternFill>
      </fill>
    </dxf>
    <dxf>
      <fill>
        <patternFill patternType="solid">
          <fgColor indexed="64"/>
          <bgColor rgb="FFBA005D"/>
        </patternFill>
      </fill>
    </dxf>
    <dxf>
      <fill>
        <patternFill patternType="solid">
          <fgColor indexed="64"/>
          <bgColor rgb="FF9E004F"/>
        </patternFill>
      </fill>
    </dxf>
    <dxf>
      <fill>
        <patternFill>
          <bgColor rgb="FFF2DBDA"/>
        </patternFill>
      </fill>
    </dxf>
    <dxf>
      <fill>
        <patternFill>
          <bgColor rgb="FFE1AAA9"/>
        </patternFill>
      </fill>
    </dxf>
    <dxf>
      <fill>
        <patternFill>
          <bgColor theme="7" tint="0.5999633777886288"/>
        </patternFill>
      </fill>
    </dxf>
    <dxf>
      <fill>
        <patternFill>
          <bgColor theme="7" tint="0.3999450666829432"/>
        </patternFill>
      </fill>
    </dxf>
    <dxf>
      <fill>
        <patternFill patternType="solid">
          <fgColor indexed="64"/>
          <bgColor rgb="FFE4E300"/>
        </patternFill>
      </fill>
    </dxf>
    <dxf>
      <fill>
        <patternFill patternType="solid">
          <fgColor indexed="64"/>
          <bgColor rgb="FFE7D48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tabColor theme="9" tint="-0.499984740745262"/>
    <outlinePr summaryBelow="1" summaryRight="1"/>
    <pageSetUpPr/>
  </sheetPr>
  <dimension ref="A1:XES218"/>
  <sheetViews>
    <sheetView tabSelected="1" zoomScale="55" zoomScaleNormal="55" workbookViewId="0">
      <pane xSplit="4" ySplit="3" topLeftCell="I82" activePane="bottomRight" state="frozen"/>
      <selection pane="topRight" activeCell="E1" sqref="E1"/>
      <selection pane="bottomLeft" activeCell="A4" sqref="A4"/>
      <selection pane="bottomRight" activeCell="O83" sqref="O83"/>
    </sheetView>
  </sheetViews>
  <sheetFormatPr baseColWidth="8" defaultColWidth="8.54296875" defaultRowHeight="21"/>
  <cols>
    <col width="13.453125" customWidth="1" style="726" min="1" max="1"/>
    <col width="32.1796875" customWidth="1" style="726" min="2" max="2"/>
    <col hidden="1" width="34.54296875" customWidth="1" style="724" min="3" max="3"/>
    <col width="87.81640625" customWidth="1" style="725" min="4" max="4"/>
    <col width="7.1796875" customWidth="1" style="726" min="5" max="5"/>
    <col width="96.1796875" customWidth="1" style="725" min="6" max="6"/>
    <col hidden="1" width="9.54296875" customWidth="1" style="726" min="7" max="7"/>
    <col width="103.7265625" customWidth="1" style="647" min="8" max="8"/>
    <col width="0.1796875" customWidth="1" style="726" min="9" max="9"/>
    <col width="17.1796875" customWidth="1" style="726" min="10" max="10"/>
    <col width="18.81640625" customWidth="1" style="726" min="11" max="11"/>
    <col width="41" customWidth="1" style="726" min="12" max="12"/>
    <col width="33" customWidth="1" style="726" min="13" max="13"/>
    <col width="23.54296875" customWidth="1" style="726" min="14" max="14"/>
    <col width="47" customWidth="1" style="726" min="15" max="15"/>
    <col width="41.54296875" customWidth="1" style="648" min="16" max="16"/>
    <col width="47.453125" customWidth="1" style="726" min="17" max="17"/>
    <col width="22.453125" customWidth="1" style="726" min="18" max="18"/>
    <col width="40.54296875" customWidth="1" style="726" min="19" max="19"/>
    <col width="15" customWidth="1" style="640" min="20" max="20"/>
    <col width="8.54296875" customWidth="1" style="641" min="21" max="21"/>
    <col width="8.54296875" customWidth="1" style="726" min="22" max="22"/>
    <col width="20.54296875" customWidth="1" style="135" min="23" max="23"/>
    <col outlineLevel="1" width="8.54296875" customWidth="1" style="726" min="24" max="24"/>
    <col width="8.54296875" customWidth="1" style="726" min="25" max="26"/>
    <col width="15.453125" customWidth="1" style="643" min="27" max="27"/>
    <col width="11.453125" customWidth="1" style="643" min="28" max="28"/>
    <col outlineLevel="1" width="10.54296875" customWidth="1" style="726" min="29" max="29"/>
    <col width="8.54296875" customWidth="1" style="726" min="30" max="30"/>
    <col width="8.54296875" customWidth="1" style="726" min="31" max="16384"/>
  </cols>
  <sheetData>
    <row r="1" ht="21.5" customHeight="1" thickBot="1">
      <c r="A1" s="722" t="inlineStr">
        <is>
          <t>GeoPoll Submission Form</t>
        </is>
      </c>
      <c r="T1" s="132" t="n"/>
      <c r="U1" s="133" t="n"/>
      <c r="W1" s="133" t="n"/>
      <c r="AA1" s="134" t="n"/>
      <c r="AB1" s="134" t="n"/>
    </row>
    <row r="2" ht="21.5" customHeight="1" thickBot="1">
      <c r="A2" s="727" t="inlineStr">
        <is>
          <t>FAO - Household Questionnaire</t>
        </is>
      </c>
      <c r="B2" s="731" t="n"/>
      <c r="C2" s="731" t="n"/>
      <c r="D2" s="731" t="n"/>
      <c r="E2" s="731" t="n"/>
      <c r="F2" s="731" t="n"/>
      <c r="G2" s="731" t="n"/>
      <c r="H2" s="731" t="n"/>
      <c r="I2" s="731" t="n"/>
      <c r="J2" s="731" t="n"/>
      <c r="K2" s="731" t="n"/>
      <c r="L2" s="731" t="n"/>
      <c r="M2" s="731" t="n"/>
      <c r="N2" s="731" t="n"/>
      <c r="O2" s="731" t="n"/>
      <c r="P2" s="731" t="n"/>
      <c r="Q2" s="731" t="n"/>
      <c r="R2" s="731" t="n"/>
      <c r="S2" s="729" t="inlineStr">
        <is>
          <t>Additional notes</t>
        </is>
      </c>
      <c r="T2" s="132" t="n"/>
      <c r="U2" s="133" t="n"/>
      <c r="AA2" s="134" t="n"/>
      <c r="AB2" s="134" t="n"/>
    </row>
    <row r="3" ht="67.5" customFormat="1" customHeight="1" s="723" thickBot="1">
      <c r="A3" s="136" t="inlineStr">
        <is>
          <t>Q #</t>
        </is>
      </c>
      <c r="B3" s="667" t="inlineStr">
        <is>
          <t>Q Name</t>
        </is>
      </c>
      <c r="C3" s="137" t="inlineStr">
        <is>
          <t>Suggested Qname</t>
        </is>
      </c>
      <c r="D3" s="137" t="inlineStr">
        <is>
          <t>English</t>
        </is>
      </c>
      <c r="E3" s="137" t="inlineStr">
        <is>
          <t>Length</t>
        </is>
      </c>
      <c r="F3" s="137" t="inlineStr">
        <is>
          <t>fr_French</t>
        </is>
      </c>
      <c r="G3" s="137" t="inlineStr">
        <is>
          <t>Length</t>
        </is>
      </c>
      <c r="H3" s="137" t="inlineStr">
        <is>
          <t>sw_Swahili</t>
        </is>
      </c>
      <c r="I3" s="137" t="inlineStr">
        <is>
          <t>Length</t>
        </is>
      </c>
      <c r="J3" s="137" t="inlineStr">
        <is>
          <t>Q Type</t>
        </is>
      </c>
      <c r="K3" s="137" t="inlineStr">
        <is>
          <t>Randomize</t>
        </is>
      </c>
      <c r="L3" s="137" t="inlineStr">
        <is>
          <t>Conditional</t>
        </is>
      </c>
      <c r="M3" s="137" t="inlineStr">
        <is>
          <t>Programming Instructions</t>
        </is>
      </c>
      <c r="N3" s="138" t="inlineStr">
        <is>
          <t>Codes</t>
        </is>
      </c>
      <c r="O3" s="138" t="inlineStr">
        <is>
          <t>Skip Pattern</t>
        </is>
      </c>
      <c r="P3" s="139" t="inlineStr">
        <is>
          <t>GeoPoll Comments</t>
        </is>
      </c>
      <c r="Q3" s="138" t="inlineStr">
        <is>
          <t xml:space="preserve">Default skip patterns &amp; conditional </t>
        </is>
      </c>
      <c r="R3" s="138" t="inlineStr">
        <is>
          <t xml:space="preserve">Specify skip pattern variable </t>
        </is>
      </c>
      <c r="S3" s="708" t="n"/>
      <c r="T3" s="140" t="inlineStr">
        <is>
          <t>Estimated percentage of repondents</t>
        </is>
      </c>
      <c r="U3" s="141" t="n"/>
      <c r="W3" s="142" t="inlineStr">
        <is>
          <t>Mandatory</t>
        </is>
      </c>
      <c r="AA3" s="140" t="inlineStr">
        <is>
          <t>Duration</t>
        </is>
      </c>
      <c r="AB3" s="143" t="inlineStr">
        <is>
          <t>Weighted duration</t>
        </is>
      </c>
      <c r="AC3" s="143" t="inlineStr">
        <is>
          <t>Core questions only</t>
        </is>
      </c>
    </row>
    <row r="4" ht="21.5" customHeight="1" thickBot="1">
      <c r="A4" s="710" t="inlineStr">
        <is>
          <t>A. PRESENTATION OF THE SURVEY AND ELIGIBILITY CRITERIA SELECTION</t>
        </is>
      </c>
      <c r="B4" s="732" t="n"/>
      <c r="C4" s="732" t="n"/>
      <c r="D4" s="732" t="n"/>
      <c r="E4" s="732" t="n"/>
      <c r="F4" s="732" t="n"/>
      <c r="G4" s="732" t="n"/>
      <c r="H4" s="732" t="n"/>
      <c r="I4" s="732" t="n"/>
      <c r="J4" s="732" t="n"/>
      <c r="K4" s="732" t="n"/>
      <c r="L4" s="732" t="n"/>
      <c r="M4" s="732" t="n"/>
      <c r="N4" s="732" t="n"/>
      <c r="O4" s="732" t="n"/>
      <c r="P4" s="732" t="n"/>
      <c r="Q4" s="732" t="n"/>
      <c r="R4" s="732" t="n"/>
      <c r="S4" s="733" t="n"/>
      <c r="T4" s="132" t="n"/>
      <c r="U4" s="133" t="n"/>
      <c r="W4" s="135" t="inlineStr">
        <is>
          <t>no</t>
        </is>
      </c>
      <c r="AA4" s="134" t="n"/>
      <c r="AB4" s="734">
        <f>IF(AA4="","",AA4*Y4)</f>
        <v/>
      </c>
      <c r="AC4" s="133">
        <f>IF(W4="yes",AB4,"")</f>
        <v/>
      </c>
    </row>
    <row r="5">
      <c r="A5" s="145" t="inlineStr">
        <is>
          <t>NA</t>
        </is>
      </c>
      <c r="B5" s="146" t="inlineStr">
        <is>
          <t>Optin</t>
        </is>
      </c>
      <c r="C5" s="146" t="inlineStr"/>
      <c r="D5" s="147" t="inlineStr">
        <is>
          <t>Optin</t>
        </is>
      </c>
      <c r="E5" s="148">
        <f>LEN(D5)</f>
        <v/>
      </c>
      <c r="F5" s="147" t="inlineStr">
        <is>
          <t>Optin</t>
        </is>
      </c>
      <c r="G5" s="148">
        <f>LEN(F5)</f>
        <v/>
      </c>
      <c r="H5" s="148" t="inlineStr">
        <is>
          <t>optin</t>
        </is>
      </c>
      <c r="I5" s="148">
        <f>LEN(H5)</f>
        <v/>
      </c>
      <c r="J5" s="148" t="inlineStr">
        <is>
          <t>Open Ended</t>
        </is>
      </c>
      <c r="K5" s="148" t="inlineStr">
        <is>
          <t>NA</t>
        </is>
      </c>
      <c r="L5" s="148" t="inlineStr">
        <is>
          <t>NA</t>
        </is>
      </c>
      <c r="M5" s="148" t="inlineStr">
        <is>
          <t>Form Type - TextBox</t>
        </is>
      </c>
      <c r="N5" s="149" t="inlineStr">
        <is>
          <t>NA</t>
        </is>
      </c>
      <c r="O5" s="150" t="inlineStr">
        <is>
          <t>Any Response = calldispo</t>
        </is>
      </c>
      <c r="P5" s="151" t="n"/>
      <c r="Q5" s="149" t="inlineStr">
        <is>
          <t>NA</t>
        </is>
      </c>
      <c r="R5" s="152" t="inlineStr"/>
      <c r="S5" s="153" t="n"/>
      <c r="T5" s="132" t="n"/>
      <c r="U5" s="133" t="n"/>
      <c r="W5" s="135" t="inlineStr">
        <is>
          <t>no</t>
        </is>
      </c>
      <c r="AA5" s="735" t="n">
        <v>0</v>
      </c>
      <c r="AB5" s="734">
        <f>IF(AA5="","",AA5*T5)</f>
        <v/>
      </c>
      <c r="AC5" s="133" t="inlineStr"/>
    </row>
    <row r="6" ht="172.5" customHeight="1">
      <c r="A6" s="155" t="inlineStr">
        <is>
          <t>NA</t>
        </is>
      </c>
      <c r="B6" s="498" t="inlineStr">
        <is>
          <t>calldispo</t>
        </is>
      </c>
      <c r="C6" s="156" t="inlineStr">
        <is>
          <t>calldispo</t>
        </is>
      </c>
      <c r="D6" s="157" t="inlineStr">
        <is>
          <t>Phone number: #CATI_MOBILENUMBER#
1)Someone answers
2)No answer
3)Refusal
4)Call back
5)Non-Working Number</t>
        </is>
      </c>
      <c r="E6" s="158">
        <f>LEN(D6)</f>
        <v/>
      </c>
      <c r="F6" s="159" t="inlineStr">
        <is>
          <t>Numéro de téléphone: #CATI_MOBILENUMBER#
1)Quelqu’un répond
2)Pas de réponse
3)Refuse
4)Doit être rappelé
5)Numéro non fonctionnel</t>
        </is>
      </c>
      <c r="G6" s="158">
        <f>LEN(F6)</f>
        <v/>
      </c>
      <c r="H6" s="160" t="inlineStr">
        <is>
          <t>Nambari ya simu: #CATI_MOBILENUMBER#
1)Mtu ana jibu
2)Hakuna jibu
3)Kukatala
4)Piga simu tena
5)Namba isiyofanya kazi</t>
        </is>
      </c>
      <c r="I6" s="158">
        <f>LEN(H6)</f>
        <v/>
      </c>
      <c r="J6" s="161" t="inlineStr">
        <is>
          <t>Single Choice</t>
        </is>
      </c>
      <c r="K6" s="158" t="inlineStr">
        <is>
          <t>NA</t>
        </is>
      </c>
      <c r="L6" s="158" t="inlineStr">
        <is>
          <t>NA</t>
        </is>
      </c>
      <c r="M6" s="158" t="inlineStr">
        <is>
          <t>Form Type - Buttons</t>
        </is>
      </c>
      <c r="N6" s="149" t="inlineStr">
        <is>
          <t>NA</t>
        </is>
      </c>
      <c r="O6" s="162" t="inlineStr">
        <is>
          <t>1 = resp_language
2 = NoAnswer
3 = Refusal
4 = WhenCallBack
5 = NonWorkingNumber</t>
        </is>
      </c>
      <c r="P6" s="163" t="n"/>
      <c r="Q6" s="164" t="inlineStr">
        <is>
          <t>NA</t>
        </is>
      </c>
      <c r="R6" s="165" t="inlineStr"/>
      <c r="S6" s="166" t="n"/>
      <c r="T6" s="132" t="n"/>
      <c r="U6" s="133" t="n"/>
      <c r="W6" s="135" t="inlineStr">
        <is>
          <t>no</t>
        </is>
      </c>
      <c r="AA6" s="735" t="n">
        <v>14.69530773162842</v>
      </c>
      <c r="AB6" s="734">
        <f>IF(AA6="","",AA6*T6)</f>
        <v/>
      </c>
      <c r="AC6" s="133" t="inlineStr"/>
    </row>
    <row r="7" ht="42" customHeight="1">
      <c r="A7" s="155" t="inlineStr">
        <is>
          <t>NA</t>
        </is>
      </c>
      <c r="B7" s="675" t="inlineStr">
        <is>
          <t>NoAnswer</t>
        </is>
      </c>
      <c r="C7" s="156" t="inlineStr">
        <is>
          <t>calldispo_noanswer</t>
        </is>
      </c>
      <c r="D7" s="167" t="inlineStr">
        <is>
          <t>Phone rang and no one answered. Inclusive of voicemail, answering machine and temporary issues with network connection.</t>
        </is>
      </c>
      <c r="E7" s="158">
        <f>LEN(D7)</f>
        <v/>
      </c>
      <c r="F7" s="159" t="inlineStr">
        <is>
          <t xml:space="preserve">Le téléphone a sonné et personne n'a répondu. Y compris la messagerie vocale, le répondeur et les problèmes temporaires de connexion au réseau. </t>
        </is>
      </c>
      <c r="G7" s="158">
        <f>LEN(F7)</f>
        <v/>
      </c>
      <c r="H7" s="665" t="inlineStr">
        <is>
          <t>Simu iliita na hakuna wa ku pokea.</t>
        </is>
      </c>
      <c r="I7" s="158">
        <f>LEN(H7)</f>
        <v/>
      </c>
      <c r="J7" s="161" t="inlineStr">
        <is>
          <t>NA</t>
        </is>
      </c>
      <c r="K7" s="161" t="inlineStr">
        <is>
          <t>NA</t>
        </is>
      </c>
      <c r="L7" s="161" t="inlineStr">
        <is>
          <t>NA</t>
        </is>
      </c>
      <c r="M7" s="161" t="inlineStr">
        <is>
          <t>NA</t>
        </is>
      </c>
      <c r="N7" s="149" t="inlineStr">
        <is>
          <t>NA</t>
        </is>
      </c>
      <c r="O7" s="168" t="inlineStr">
        <is>
          <t>End Poll NoAnswer</t>
        </is>
      </c>
      <c r="P7" s="169" t="n"/>
      <c r="Q7" s="170" t="inlineStr">
        <is>
          <t>NA</t>
        </is>
      </c>
      <c r="R7" s="171" t="inlineStr"/>
      <c r="S7" s="172" t="n"/>
      <c r="T7" s="132" t="n"/>
      <c r="U7" s="133" t="n"/>
      <c r="W7" s="135" t="inlineStr">
        <is>
          <t>no</t>
        </is>
      </c>
      <c r="AA7" s="735" t="n">
        <v>0</v>
      </c>
      <c r="AB7" s="734">
        <f>IF(AA7="","",AA7*T7)</f>
        <v/>
      </c>
      <c r="AC7" s="133" t="inlineStr"/>
    </row>
    <row r="8" ht="42" customHeight="1">
      <c r="A8" s="155" t="inlineStr">
        <is>
          <t>NA</t>
        </is>
      </c>
      <c r="B8" s="675" t="inlineStr">
        <is>
          <t>NonWorkingNumber</t>
        </is>
      </c>
      <c r="C8" s="156" t="inlineStr">
        <is>
          <t>calldispo_NonWorkingNumber</t>
        </is>
      </c>
      <c r="D8" s="167" t="inlineStr">
        <is>
          <t>Phone number is not in service, not working, or not valid.</t>
        </is>
      </c>
      <c r="E8" s="158">
        <f>LEN(D8)</f>
        <v/>
      </c>
      <c r="F8" s="159" t="inlineStr">
        <is>
          <t>Le numéro de téléphone n'est pas en service, ne fonctionne pas ou n'est pas valide.</t>
        </is>
      </c>
      <c r="G8" s="158">
        <f>LEN(F8)</f>
        <v/>
      </c>
      <c r="H8" s="665" t="inlineStr">
        <is>
          <t>Simu ilikata au haikutumike.</t>
        </is>
      </c>
      <c r="I8" s="158">
        <f>LEN(H8)</f>
        <v/>
      </c>
      <c r="J8" s="161" t="inlineStr">
        <is>
          <t>NA</t>
        </is>
      </c>
      <c r="K8" s="161" t="inlineStr">
        <is>
          <t>NA</t>
        </is>
      </c>
      <c r="L8" s="161" t="inlineStr">
        <is>
          <t>NA</t>
        </is>
      </c>
      <c r="M8" s="161" t="inlineStr">
        <is>
          <t>NA</t>
        </is>
      </c>
      <c r="N8" s="149" t="inlineStr"/>
      <c r="O8" s="168" t="inlineStr">
        <is>
          <t>End Poll NonWorkingNumber</t>
        </is>
      </c>
      <c r="P8" s="169" t="n"/>
      <c r="Q8" s="170" t="inlineStr">
        <is>
          <t>NA</t>
        </is>
      </c>
      <c r="R8" s="171" t="inlineStr">
        <is>
          <t>NA</t>
        </is>
      </c>
      <c r="S8" s="172" t="n"/>
      <c r="T8" s="132" t="n"/>
      <c r="U8" s="133" t="n"/>
      <c r="W8" t="inlineStr"/>
      <c r="AA8" s="735" t="n"/>
      <c r="AB8" s="734" t="n"/>
      <c r="AC8" s="133" t="inlineStr"/>
    </row>
    <row r="9" ht="163" customHeight="1">
      <c r="A9" s="155" t="inlineStr">
        <is>
          <t>NA</t>
        </is>
      </c>
      <c r="B9" s="498" t="inlineStr">
        <is>
          <t>resp_language</t>
        </is>
      </c>
      <c r="C9" s="156" t="inlineStr">
        <is>
          <t>resp_language</t>
        </is>
      </c>
      <c r="D9" s="173" t="inlineStr">
        <is>
          <t>Which language do you wish to proceed with?
[OPERATOR: READ ANSWER CHOICES. SINGLE RESPONSE.]
1)English 
2)French
3)Swahili</t>
        </is>
      </c>
      <c r="E9" s="158">
        <f>LEN(D9)</f>
        <v/>
      </c>
      <c r="F9" s="159" t="inlineStr">
        <is>
          <t>Quelle langue souhaitez-vous utiliser?
[OPÉRATEUR/OPÉRATRICE: LIRE LES CHOIX, RÉPONSE UNIQUE]
1)Anglais
2)Français
3)Swahili</t>
        </is>
      </c>
      <c r="G9" s="148">
        <f>LEN(F9)</f>
        <v/>
      </c>
      <c r="H9" s="160" t="inlineStr">
        <is>
          <t>Unataka kuendelea na lugha gani?
[OPERATOR: SOMA MAJIBU. CHAGUA JIBU MOJA.]
1)English
2)Kifaransa
3)Kiswahili</t>
        </is>
      </c>
      <c r="I9" s="148">
        <f>LEN(H9)</f>
        <v/>
      </c>
      <c r="J9" s="161" t="inlineStr">
        <is>
          <t>Single Choice</t>
        </is>
      </c>
      <c r="K9" s="158" t="inlineStr">
        <is>
          <t>NA</t>
        </is>
      </c>
      <c r="L9" s="158" t="inlineStr">
        <is>
          <t>NA</t>
        </is>
      </c>
      <c r="M9" s="158" t="inlineStr">
        <is>
          <t>Form Type - Buttons</t>
        </is>
      </c>
      <c r="N9" s="149" t="inlineStr">
        <is>
          <t>NA</t>
        </is>
      </c>
      <c r="O9" s="676" t="inlineStr">
        <is>
          <t>1 = introduction [English]
2 = introduction [French]
3 = introduction [Swahili]</t>
        </is>
      </c>
      <c r="P9" s="163" t="n"/>
      <c r="Q9" s="175" t="inlineStr">
        <is>
          <t>For any response, go to introduction</t>
        </is>
      </c>
      <c r="R9" s="176" t="inlineStr"/>
      <c r="S9" s="177" t="inlineStr">
        <is>
          <t>Insert most common national languages here [max 4 for translation with GeoPoll].</t>
        </is>
      </c>
      <c r="T9" s="132" t="n"/>
      <c r="U9" s="133" t="n"/>
      <c r="W9" s="135" t="inlineStr">
        <is>
          <t>no</t>
        </is>
      </c>
      <c r="AA9" s="735" t="n">
        <v>3.103272438049316</v>
      </c>
      <c r="AB9" s="734">
        <f>IF(AA9="","",AA9*T9)</f>
        <v/>
      </c>
      <c r="AC9" s="133" t="inlineStr"/>
    </row>
    <row r="10" ht="409.5" customHeight="1">
      <c r="A10" s="155" t="inlineStr">
        <is>
          <t>NA</t>
        </is>
      </c>
      <c r="B10" s="498" t="inlineStr">
        <is>
          <t>introduction</t>
        </is>
      </c>
      <c r="C10" s="156" t="inlineStr">
        <is>
          <t>introduction</t>
        </is>
      </c>
      <c r="D10" s="178" t="inlineStr">
        <is>
          <t>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20-30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You will receive #TOPUP#! of communication credit as an incentive for the participation of the survey.
Please note that this call may be recorded for quality purposes.
Do you have any questions?
[OPERATOR: ADDRESS QUESTIONS FROM RESPONDENT, IF ANY.]
1)CONTINUE</t>
        </is>
      </c>
      <c r="E10" s="158">
        <f>LEN(D10)</f>
        <v/>
      </c>
      <c r="F10" s="179" t="inlineStr">
        <is>
          <t>Bonjour Monsieur/Madame, mon nom est  #OPERATOR#. Je vous appelle de la part de l'agence de sondage GeoPoll pour le compte de l'Organisation des Nations Unies pour l'alimentation et l'agriculture [la FAO]. Nous menons une enquête sur les moyens d'existence et la capacité des ménages à accéder à la nourriture dans votre région. J'aimerais vous poser quelques questions sur votre ménage.
L'enquête dure généralement entre 20-30 minutes. Toutes les informations que vous fournirez resteront strictement confidentielles; elles ne seront utilisées que dans le cadre de cette enquête et ne seront pas communiquées à d'autres personnes. Votre participation volontaire à cet entretien n'est en AUCUN CAS liée à la possibilité de recevoir une quelconque aide. Votre participation est volontaire et, si vous le souhaitez, vous pouvez choisir de ne pas répondre à une partie ou à la totalité des questions. Cependant, nous espérons que vous voudrez bien participer car votre avis est important. 
Vous recevrez #TOPUP#! de crédit téléphonique comme incitation à participer à l'enquête.
Veuillez noter que cet appel peut être enregistré à des fins de contrôle qualité.
Avez-vous des questions?
[OPÉRATEUR/OPÉRATRICE: LE CAS ÉCHÉANT, RÉPONDRE AUX QUESTIONS DE LA PERSONNE INTERROGÉE.]
1)CONTINUER</t>
        </is>
      </c>
      <c r="G10" s="148">
        <f>LEN(F10)</f>
        <v/>
      </c>
      <c r="H10" s="160" t="inlineStr">
        <is>
          <t>Habari bwana/mama, jina langu ni #OPERATOR#, napiga simu kutoka Shirika la Kupigia Kura la GeoPoll kwa niaba ya Shirika la Chakula na Kilimo la Umoja wa Mataifa [FAO]. Tunafanya utafiti kuhusu maisha ya kaya na uwezo ya kupata chakula katika eneo lako.Nilipenda kukuuliza baadhi ya maswali kuhusu kaya yako.
Utafiti kwa kawaida huchukua dakika 20-30 kukamilika. Taarifa yote uta peleka itawekwa kwa siri kabisa, itatumika tu kwa madhumuni ya utafiti na haitaonyeshwa kwa watu wengine. Kushiriki kwako kwa hiari katika matokeo ya mahojiano haya HAUKUHUSIWI KWA NJIA YOYOTE na nafasi yako ya kibinafsi ya kupokea usaidizi wowote. Hili ni la hiari na unaweza kuchagua kutojibu yote au maswali yote ikiwa unataka. Hata hivyo, tunatumai kuwa utashiriki kwa kuwa maoni yako ni muhimu.
Utapokea #TOPUP#! mikopo ya mawasiliano kama motisha ya ushiriki wa utafiti.
Tafadhali kumbuka kuwa simu hii inaweza kurekodiwa kwa madhumuni ya ubora.
Una maswali ?
[OPERATOR: ANWANI MASWALI KUTOKA KWA MTAJIWA, IKIWA YAPO.]
1)ENDELEA</t>
        </is>
      </c>
      <c r="I10" s="148">
        <f>LEN(H10)</f>
        <v/>
      </c>
      <c r="J10" s="161" t="inlineStr">
        <is>
          <t>Single Choice</t>
        </is>
      </c>
      <c r="K10" s="158" t="inlineStr">
        <is>
          <t>NA</t>
        </is>
      </c>
      <c r="L10" s="158" t="inlineStr">
        <is>
          <t>NA</t>
        </is>
      </c>
      <c r="M10" s="158" t="inlineStr">
        <is>
          <t>Form Type - Buttons</t>
        </is>
      </c>
      <c r="N10" s="149" t="inlineStr">
        <is>
          <t>NA</t>
        </is>
      </c>
      <c r="O10" s="162" t="inlineStr">
        <is>
          <t>1 = Agree</t>
        </is>
      </c>
      <c r="P10" s="163" t="n"/>
      <c r="Q10" s="175" t="inlineStr">
        <is>
          <t>For any response, go to Agree</t>
        </is>
      </c>
      <c r="R10" s="176" t="inlineStr"/>
      <c r="S10" s="177" t="inlineStr">
        <is>
          <t>Set the amount of incentive here, if any.</t>
        </is>
      </c>
      <c r="T10" s="132" t="n"/>
      <c r="U10" s="133" t="n"/>
      <c r="W10" s="135" t="inlineStr">
        <is>
          <t>no</t>
        </is>
      </c>
      <c r="AA10" s="735" t="n">
        <v>37.41844940185547</v>
      </c>
      <c r="AB10" s="734">
        <f>IF(AA10="","",AA10*T10)</f>
        <v/>
      </c>
      <c r="AC10" s="133" t="inlineStr"/>
    </row>
    <row r="11" ht="158.25" customFormat="1" customHeight="1" s="183">
      <c r="A11" s="155" t="inlineStr">
        <is>
          <t>NA</t>
        </is>
      </c>
      <c r="B11" s="498" t="inlineStr">
        <is>
          <t>Agree</t>
        </is>
      </c>
      <c r="C11" s="156" t="inlineStr">
        <is>
          <t>resp_agree</t>
        </is>
      </c>
      <c r="D11" s="157" t="inlineStr">
        <is>
          <t>Are you interested in participating in this survey?
[OPERATOR: SINGLE RESPONSE]
1)Yes 
2)Not now but another time in the week 
3)No</t>
        </is>
      </c>
      <c r="E11" s="158">
        <f>LEN(D11)</f>
        <v/>
      </c>
      <c r="F11" s="180" t="inlineStr">
        <is>
          <t xml:space="preserve">Souhaitez-vous participer à cette enquête?
[OPÉRATEUR/OPÉRATRICE: RÉPONSE UNIQUE]
1)Oui
2)Pas maintenant mais à un autre moment de la semaine 
3)Non </t>
        </is>
      </c>
      <c r="G11" s="148">
        <f>LEN(F11)</f>
        <v/>
      </c>
      <c r="H11" s="160" t="inlineStr">
        <is>
          <t xml:space="preserve"> Una nia ya kushiriki katika utafiti huu?_x000D_
_x000D_
[OPERATOR: JIBU MOJA]_x000D_
_x000D_
1)Ndiyo_x000D_
2)Sio sasa lakini wakati mwingine katika wiki_x000D_
3)Hapana</t>
        </is>
      </c>
      <c r="I11" s="148">
        <f>LEN(H11)</f>
        <v/>
      </c>
      <c r="J11" s="161" t="inlineStr">
        <is>
          <t>StartRecording</t>
        </is>
      </c>
      <c r="K11" s="158" t="inlineStr">
        <is>
          <t>NA</t>
        </is>
      </c>
      <c r="L11" s="158" t="inlineStr">
        <is>
          <t>NA</t>
        </is>
      </c>
      <c r="M11" s="158" t="inlineStr">
        <is>
          <t>Form Type - Buttons</t>
        </is>
      </c>
      <c r="N11" s="149" t="inlineStr">
        <is>
          <t>NA</t>
        </is>
      </c>
      <c r="O11" s="162" t="inlineStr">
        <is>
          <t>1 = id_panel 
2 = WhenCallBack
3 = resp_refusalwhy</t>
        </is>
      </c>
      <c r="P11" s="163" t="n"/>
      <c r="Q11" s="162" t="inlineStr">
        <is>
          <t>if Agree = 1, go to id_panel OR resp_firstname
if Agree = 2, go to WhenCallBack
if Agree = 3, go to resp_refusalwhy</t>
        </is>
      </c>
      <c r="R11" s="181" t="inlineStr"/>
      <c r="S11" s="182" t="inlineStr">
        <is>
          <t xml:space="preserve">It is highly recommended to include the question id_panel if a panelist approach is used. </t>
        </is>
      </c>
      <c r="T11" s="132" t="n">
        <v>1</v>
      </c>
      <c r="U11" s="133" t="n"/>
      <c r="W11" s="135" t="inlineStr">
        <is>
          <t>no</t>
        </is>
      </c>
      <c r="X11" s="726" t="n"/>
      <c r="AA11" s="735" t="n">
        <v>3.805951595306396</v>
      </c>
      <c r="AB11" s="734">
        <f>IF(AA11="","",AA11*T11)</f>
        <v/>
      </c>
      <c r="AC11" s="133" t="inlineStr"/>
    </row>
    <row r="12" ht="168" customFormat="1" customHeight="1" s="183">
      <c r="A12" s="155" t="inlineStr">
        <is>
          <t>NA</t>
        </is>
      </c>
      <c r="B12" s="320" t="inlineStr">
        <is>
          <t>id_panel</t>
        </is>
      </c>
      <c r="C12" s="184" t="inlineStr">
        <is>
          <t>id_panel</t>
        </is>
      </c>
      <c r="D12" s="185" t="inlineStr">
        <is>
          <t>Have you or any member of your household received a call on behalf of FAO regarding this topic in the past two years?
[OPERATOR: SINGLE RESPONSE.]
1)YES
2)NO
3)DON'T KNOW</t>
        </is>
      </c>
      <c r="E12" s="186">
        <f>LEN(D12)</f>
        <v/>
      </c>
      <c r="F12" s="187" t="inlineStr">
        <is>
          <t>Est-ce que vous ou un membre de votre ménage avez reçu un appel pour le compte de la FAO sur ce sujet au cours des deux dernières années?
[OPÉRATEUR/OPÉRATRICE: RÉPONSE UNIQUE]
1)OUI
2)NON
3)NE SAIT PAS</t>
        </is>
      </c>
      <c r="G12" s="188">
        <f>LEN(F12)</f>
        <v/>
      </c>
      <c r="H12" s="160" t="inlineStr">
        <is>
          <t>Je, wewe au mwanachama yeyote wa familia yako mmepokea simu kwa niaba ya FAO kuhusu mada hii katika miaka miwili iliyopita?
[OPERATOR: JIBU MOJA.]
1)NDIYO
2)HAPANA
3)SIJUE</t>
        </is>
      </c>
      <c r="I12" s="188">
        <f>LEN(H12)</f>
        <v/>
      </c>
      <c r="J12" s="189" t="inlineStr">
        <is>
          <t>Single Choice</t>
        </is>
      </c>
      <c r="K12" s="186" t="inlineStr">
        <is>
          <t>NA</t>
        </is>
      </c>
      <c r="L12" s="186" t="inlineStr">
        <is>
          <t>NA</t>
        </is>
      </c>
      <c r="M12" s="186" t="inlineStr">
        <is>
          <t>Form Type - Buttons</t>
        </is>
      </c>
      <c r="N12" s="152" t="inlineStr">
        <is>
          <t>NA</t>
        </is>
      </c>
      <c r="O12" s="190" t="inlineStr">
        <is>
          <t>1-3 = resp_firstname</t>
        </is>
      </c>
      <c r="P12" s="191" t="n"/>
      <c r="Q12" s="190" t="inlineStr">
        <is>
          <t>For any response, go to resp_firstname</t>
        </is>
      </c>
      <c r="R12" s="190" t="inlineStr"/>
      <c r="S12" s="166" t="n"/>
      <c r="T12" s="132" t="n">
        <v>1</v>
      </c>
      <c r="U12" s="133" t="n"/>
      <c r="W12" s="135" t="inlineStr">
        <is>
          <t>no</t>
        </is>
      </c>
      <c r="X12" s="726" t="n"/>
      <c r="AA12" s="735" t="n"/>
      <c r="AB12" s="735" t="n"/>
      <c r="AC12" s="133" t="inlineStr"/>
    </row>
    <row r="13" ht="147" customFormat="1" customHeight="1" s="183">
      <c r="A13" s="155" t="inlineStr">
        <is>
          <t>NA</t>
        </is>
      </c>
      <c r="B13" s="498" t="inlineStr">
        <is>
          <t>resp_refusalwhy</t>
        </is>
      </c>
      <c r="C13" s="156" t="inlineStr">
        <is>
          <t>resp_refusalwhy</t>
        </is>
      </c>
      <c r="D13" s="192" t="inlineStr">
        <is>
          <t>Please let us know why you have REFUSED to take the survey.
[OPERATOR: SINGLE RESPONSE]
1)Not interested
2)Do not want to be recorded
3)Other [specify]</t>
        </is>
      </c>
      <c r="E13" s="158">
        <f>LEN(D13)</f>
        <v/>
      </c>
      <c r="F13" s="193" t="inlineStr">
        <is>
          <t xml:space="preserve">Pourriez-vous m'indiquer pourquoi vous refusez de répondre à l'enquête.
[OPÉRATEUR/OPÉRATRICE: RÉPONSE UNIQUE]
1)Pas intéressé
2)Ne veut pas être enregistré
3)Autre [préciser] </t>
        </is>
      </c>
      <c r="G13" s="148">
        <f>LEN(F13)</f>
        <v/>
      </c>
      <c r="H13" s="160" t="inlineStr">
        <is>
          <t>Tafadhali tufahamishe kwa nini UMEKUKATALA kufanya uchunguzi.
[OPERATOR: JIBU MOJA]
1)Sipendezwi
2)Sitaki kurekodiwa
3)Yingine  [taja]</t>
        </is>
      </c>
      <c r="I13" s="148">
        <f>LEN(H13)</f>
        <v/>
      </c>
      <c r="J13" s="161" t="inlineStr">
        <is>
          <t>Open Ended-Single Choice</t>
        </is>
      </c>
      <c r="K13" s="158" t="inlineStr">
        <is>
          <t>NA</t>
        </is>
      </c>
      <c r="L13" s="158" t="inlineStr">
        <is>
          <t>NA</t>
        </is>
      </c>
      <c r="M13" s="158" t="inlineStr">
        <is>
          <t>Form Type - RadioList</t>
        </is>
      </c>
      <c r="N13" s="149" t="inlineStr">
        <is>
          <t>NA</t>
        </is>
      </c>
      <c r="O13" s="174" t="inlineStr">
        <is>
          <t>1-3 = Refusal</t>
        </is>
      </c>
      <c r="P13" s="163" t="n"/>
      <c r="Q13" s="162" t="inlineStr">
        <is>
          <t>For any response, go to Refusal</t>
        </is>
      </c>
      <c r="R13" s="190" t="inlineStr"/>
      <c r="S13" s="166" t="n"/>
      <c r="T13" s="132" t="n">
        <v>1</v>
      </c>
      <c r="U13" s="133" t="n"/>
      <c r="W13" s="194" t="inlineStr">
        <is>
          <t>no</t>
        </is>
      </c>
      <c r="X13" s="726" t="n"/>
      <c r="AA13" s="735" t="n">
        <v>0</v>
      </c>
      <c r="AB13" s="734">
        <f>IF(AA13="","",AA13*T13)</f>
        <v/>
      </c>
      <c r="AC13" s="133" t="inlineStr"/>
    </row>
    <row r="14" ht="63" customFormat="1" customHeight="1" s="183">
      <c r="A14" s="155" t="inlineStr">
        <is>
          <t>NA</t>
        </is>
      </c>
      <c r="B14" s="498" t="inlineStr">
        <is>
          <t>WhenCallBack</t>
        </is>
      </c>
      <c r="C14" s="156" t="inlineStr">
        <is>
          <t>resp_whencallback</t>
        </is>
      </c>
      <c r="D14" s="157" t="inlineStr">
        <is>
          <t>When would it be a good time to call you back?
[RECORD HH/MM/DD/MM OF CALLBACK]</t>
        </is>
      </c>
      <c r="E14" s="158">
        <f>LEN(D14)</f>
        <v/>
      </c>
      <c r="F14" s="193" t="inlineStr">
        <is>
          <t>À quel moment pourrais-je vous rappeler?
[ENREGISTRER HH/MM/JJ/MM DU RAPPEL]</t>
        </is>
      </c>
      <c r="G14" s="148">
        <f>LEN(F14)</f>
        <v/>
      </c>
      <c r="H14" s="160" t="inlineStr">
        <is>
          <t>Ni wakati gani mzuri wa kukupigia simu tena?_x000D_
_x000D_
[REKODI HH/MM/DD/MM WA KUPIGIWA SIMU]</t>
        </is>
      </c>
      <c r="I14" s="148">
        <f>LEN(H14)</f>
        <v/>
      </c>
      <c r="J14" s="161" t="inlineStr">
        <is>
          <t>Open Ended</t>
        </is>
      </c>
      <c r="K14" s="158" t="inlineStr">
        <is>
          <t>NA</t>
        </is>
      </c>
      <c r="L14" s="158" t="inlineStr">
        <is>
          <t>NA</t>
        </is>
      </c>
      <c r="M14" s="158" t="inlineStr">
        <is>
          <t>Form Type - TextBox
IsCallBackDemographic</t>
        </is>
      </c>
      <c r="N14" s="149" t="inlineStr">
        <is>
          <t>NA</t>
        </is>
      </c>
      <c r="O14" s="162" t="inlineStr">
        <is>
          <t>Any Response = CallbackMessageEN</t>
        </is>
      </c>
      <c r="P14" s="163" t="n"/>
      <c r="Q14" s="162" t="inlineStr">
        <is>
          <t>For any response, go to CallbackMessageEN</t>
        </is>
      </c>
      <c r="R14" s="190" t="inlineStr"/>
      <c r="S14" s="166" t="n"/>
      <c r="T14" s="132" t="n">
        <v>1</v>
      </c>
      <c r="U14" s="133" t="n"/>
      <c r="W14" s="194" t="inlineStr">
        <is>
          <t>no</t>
        </is>
      </c>
      <c r="X14" s="726" t="n"/>
      <c r="AA14" s="735" t="n">
        <v>0</v>
      </c>
      <c r="AB14" s="734">
        <f>IF(AA14="","",AA14*T14)</f>
        <v/>
      </c>
      <c r="AC14" s="133" t="inlineStr"/>
    </row>
    <row r="15" ht="105" customFormat="1" customHeight="1" s="183">
      <c r="A15" s="155" t="inlineStr">
        <is>
          <t>NA</t>
        </is>
      </c>
      <c r="B15" s="498" t="inlineStr">
        <is>
          <t>CallbackMessageEN</t>
        </is>
      </c>
      <c r="C15" s="156" t="inlineStr">
        <is>
          <t>callbackmessage_en</t>
        </is>
      </c>
      <c r="D15" s="157" t="inlineStr">
        <is>
          <t>Thank you, we will call you back at {WhenCallBack} you requested. Thank you again and have a great day!
[OPERATOR: ENTER CALL NOTES BELOW, WHO YOU SPOKE TO AND WHAT THEY SAID]</t>
        </is>
      </c>
      <c r="E15" s="158">
        <f>LEN(D15)</f>
        <v/>
      </c>
      <c r="F15" s="193" t="inlineStr">
        <is>
          <t>Merci, nous vous rappellerons à {WhenCallBack}. Merci encore et bonne journée!
[OPÉRATEUR/OPÉRATRICE: SAISIR LES DONNÉES D'APPEL CI-DESSOUS, LE NOM DE LA PERSONNE À LAQUELLE VOUS AVEZ PARLÉ ET CE QU'ELLE A DIT]</t>
        </is>
      </c>
      <c r="G15" s="148">
        <f>LEN(F15)</f>
        <v/>
      </c>
      <c r="H15" s="160" t="inlineStr">
        <is>
          <t>Asante, tutakupigia tena kwa {WhenCallBack} uliyoomba. Asante tena na siku njema kwako!
[OPERATOR: WEKA MAELEZO YA SIMU HAPA CHINI, NANI ULIONGEA NAYE NA WALICHOSEMA]</t>
        </is>
      </c>
      <c r="I15" s="148">
        <f>LEN(H15)</f>
        <v/>
      </c>
      <c r="J15" s="161" t="inlineStr">
        <is>
          <t>Open Ended</t>
        </is>
      </c>
      <c r="K15" s="158" t="inlineStr">
        <is>
          <t>NA</t>
        </is>
      </c>
      <c r="L15" s="158" t="inlineStr">
        <is>
          <t>NA</t>
        </is>
      </c>
      <c r="M15" s="158" t="inlineStr">
        <is>
          <t>Form Type - TextBox</t>
        </is>
      </c>
      <c r="N15" s="149" t="inlineStr">
        <is>
          <t>NA</t>
        </is>
      </c>
      <c r="O15" s="162" t="inlineStr">
        <is>
          <t>Any Response = End poll callback</t>
        </is>
      </c>
      <c r="P15" s="163" t="n"/>
      <c r="Q15" s="164" t="inlineStr">
        <is>
          <t>NA</t>
        </is>
      </c>
      <c r="R15" s="165" t="inlineStr"/>
      <c r="S15" s="166" t="n"/>
      <c r="T15" s="132" t="n">
        <v>1</v>
      </c>
      <c r="U15" s="133" t="n"/>
      <c r="W15" s="194" t="inlineStr">
        <is>
          <t>no</t>
        </is>
      </c>
      <c r="X15" s="726" t="n"/>
      <c r="AA15" s="735" t="n">
        <v>0</v>
      </c>
      <c r="AB15" s="734">
        <f>IF(AA15="","",AA15*T15)</f>
        <v/>
      </c>
      <c r="AC15" s="133" t="inlineStr"/>
    </row>
    <row r="16" ht="42" customFormat="1" customHeight="1" s="183">
      <c r="A16" s="155" t="inlineStr">
        <is>
          <t>NA</t>
        </is>
      </c>
      <c r="B16" s="498" t="inlineStr">
        <is>
          <t>Ineligible</t>
        </is>
      </c>
      <c r="C16" s="156" t="inlineStr">
        <is>
          <t>NA</t>
        </is>
      </c>
      <c r="D16" s="157" t="inlineStr">
        <is>
          <t>You are ineligible for this survey. Thank you for your time and please look out for future surveys!</t>
        </is>
      </c>
      <c r="E16" s="158">
        <f>LEN(D16)</f>
        <v/>
      </c>
      <c r="F16" s="193" t="inlineStr">
        <is>
          <t>Vous êtes inéligible pour participer à cette enquête. Merci pour votre temps et renseignez-vous sur les prochains sondages!</t>
        </is>
      </c>
      <c r="G16" s="148">
        <f>LEN(F16)</f>
        <v/>
      </c>
      <c r="H16" s="160" t="inlineStr">
        <is>
          <t>Hujastahiki utafiti huu. Asante kwa muda wako na tafadhali angalia tafiti zijazo!</t>
        </is>
      </c>
      <c r="I16" s="148">
        <f>LEN(H16)</f>
        <v/>
      </c>
      <c r="J16" s="161" t="inlineStr">
        <is>
          <t>NA</t>
        </is>
      </c>
      <c r="K16" s="158" t="inlineStr">
        <is>
          <t>NA</t>
        </is>
      </c>
      <c r="L16" s="158" t="inlineStr">
        <is>
          <t>NA</t>
        </is>
      </c>
      <c r="M16" s="158" t="inlineStr">
        <is>
          <t>NA</t>
        </is>
      </c>
      <c r="N16" s="149" t="inlineStr">
        <is>
          <t>NA</t>
        </is>
      </c>
      <c r="O16" s="162" t="inlineStr">
        <is>
          <t>End Poll Ineligible</t>
        </is>
      </c>
      <c r="P16" s="163" t="n"/>
      <c r="Q16" s="164" t="inlineStr">
        <is>
          <t>NA</t>
        </is>
      </c>
      <c r="R16" s="165" t="inlineStr"/>
      <c r="S16" s="166" t="n"/>
      <c r="T16" s="132" t="n">
        <v>1</v>
      </c>
      <c r="U16" s="133" t="n"/>
      <c r="W16" s="194" t="inlineStr">
        <is>
          <t>no</t>
        </is>
      </c>
      <c r="X16" s="726" t="n"/>
      <c r="AA16" s="735" t="n">
        <v>0</v>
      </c>
      <c r="AB16" s="734">
        <f>IF(AA16="","",AA16*T16)</f>
        <v/>
      </c>
      <c r="AC16" s="133" t="inlineStr"/>
    </row>
    <row r="17" ht="21.5" customFormat="1" customHeight="1" s="183" thickBot="1">
      <c r="A17" s="195" t="inlineStr">
        <is>
          <t>NA</t>
        </is>
      </c>
      <c r="B17" s="551" t="inlineStr">
        <is>
          <t>Refusal</t>
        </is>
      </c>
      <c r="C17" s="196" t="inlineStr">
        <is>
          <t>NA</t>
        </is>
      </c>
      <c r="D17" s="197" t="inlineStr">
        <is>
          <t>Thank you for your time, you will be removed from today's survey.</t>
        </is>
      </c>
      <c r="E17" s="198">
        <f>LEN(D17)</f>
        <v/>
      </c>
      <c r="F17" s="199" t="inlineStr">
        <is>
          <t>Merci pour votre temps. Vous allez être retiré de l'enquête d'aujourd'hui.</t>
        </is>
      </c>
      <c r="G17" s="148">
        <f>LEN(F17)</f>
        <v/>
      </c>
      <c r="H17" s="160" t="inlineStr">
        <is>
          <t>Asante kwa muda wako, utaondolewa kwenye utafiti wa leo.</t>
        </is>
      </c>
      <c r="I17" s="148">
        <f>LEN(H17)</f>
        <v/>
      </c>
      <c r="J17" s="200" t="inlineStr">
        <is>
          <t>NA</t>
        </is>
      </c>
      <c r="K17" s="198" t="inlineStr">
        <is>
          <t>NA</t>
        </is>
      </c>
      <c r="L17" s="198" t="inlineStr">
        <is>
          <t>NA</t>
        </is>
      </c>
      <c r="M17" s="198" t="inlineStr">
        <is>
          <t>NA</t>
        </is>
      </c>
      <c r="N17" s="149" t="inlineStr">
        <is>
          <t>NA</t>
        </is>
      </c>
      <c r="O17" s="201" t="inlineStr">
        <is>
          <t>End poll declined</t>
        </is>
      </c>
      <c r="P17" s="202" t="n"/>
      <c r="Q17" s="164" t="inlineStr">
        <is>
          <t>NA</t>
        </is>
      </c>
      <c r="R17" s="203" t="inlineStr"/>
      <c r="S17" s="204" t="n"/>
      <c r="T17" s="132" t="n">
        <v>1</v>
      </c>
      <c r="U17" s="133" t="n"/>
      <c r="W17" s="194" t="inlineStr">
        <is>
          <t>no</t>
        </is>
      </c>
      <c r="X17" s="726" t="n"/>
      <c r="AA17" s="735" t="n">
        <v>0</v>
      </c>
      <c r="AB17" s="734">
        <f>IF(AA17="","",AA17*T17)</f>
        <v/>
      </c>
      <c r="AC17" s="133" t="inlineStr"/>
    </row>
    <row r="18" ht="21.5" customFormat="1" customHeight="1" s="207" thickBot="1">
      <c r="A18" s="710" t="inlineStr">
        <is>
          <t>B. GENERAL INFORMATION &amp; ELIGIBILITY CRITERIA</t>
        </is>
      </c>
      <c r="B18" s="732" t="n"/>
      <c r="C18" s="732" t="n"/>
      <c r="D18" s="732" t="n"/>
      <c r="E18" s="732" t="n"/>
      <c r="F18" s="732" t="n"/>
      <c r="G18" s="732" t="n"/>
      <c r="H18" s="732" t="n"/>
      <c r="I18" s="732" t="n"/>
      <c r="J18" s="732" t="n"/>
      <c r="K18" s="732" t="n"/>
      <c r="L18" s="732" t="n"/>
      <c r="M18" s="732" t="n"/>
      <c r="N18" s="732" t="n"/>
      <c r="O18" s="732" t="n"/>
      <c r="P18" s="732" t="n"/>
      <c r="Q18" s="732" t="n"/>
      <c r="R18" s="732" t="n"/>
      <c r="S18" s="733" t="n"/>
      <c r="T18" s="205" t="n"/>
      <c r="U18" s="206" t="n"/>
      <c r="W18" s="208" t="n"/>
      <c r="X18" s="209" t="n"/>
      <c r="AA18" s="734" t="n"/>
      <c r="AB18" s="734">
        <f>IF(AA18="","",AA18*T18)</f>
        <v/>
      </c>
      <c r="AC18" s="206">
        <f>IF(W18="yes",AB18,"")</f>
        <v/>
      </c>
    </row>
    <row r="19" ht="84" customFormat="1" customHeight="1" s="183">
      <c r="A19" s="210" t="n">
        <v>1</v>
      </c>
      <c r="B19" s="211" t="inlineStr">
        <is>
          <t>resp_firstname</t>
        </is>
      </c>
      <c r="C19" s="211" t="inlineStr">
        <is>
          <t>resp_firstname</t>
        </is>
      </c>
      <c r="D19" s="160" t="inlineStr">
        <is>
          <t>What is your first name?
[OPERATOR: RECORD THE RESPONDENT'S FIRST NAME. ENTER 999 FOR REFUSED.]</t>
        </is>
      </c>
      <c r="E19" s="212">
        <f>LEN(D19)</f>
        <v/>
      </c>
      <c r="F19" s="160" t="inlineStr">
        <is>
          <t>Quel est votre prénom?
[OPÉRATEUR/OPÉRATRICE: SAISIR LE PRÉNOM DE LA PERSONNE INTÉRROGÉE. SAISIR  999 POUR REFUSÉ.]</t>
        </is>
      </c>
      <c r="G19" s="212">
        <f>LEN(F19)</f>
        <v/>
      </c>
      <c r="H19" s="160" t="inlineStr">
        <is>
          <t>Jina lako la jamii ni nani?
[OPERETERA: REKODI JINA YA KWANZA YA MUJIBU. INGIZA 999 KWA KUKATALA.]</t>
        </is>
      </c>
      <c r="I19" s="212">
        <f>LEN(H19)</f>
        <v/>
      </c>
      <c r="J19" s="213" t="inlineStr">
        <is>
          <t>Open Ended</t>
        </is>
      </c>
      <c r="K19" s="212" t="inlineStr">
        <is>
          <t>NA</t>
        </is>
      </c>
      <c r="L19" s="212" t="inlineStr">
        <is>
          <t>NA</t>
        </is>
      </c>
      <c r="M19" s="212" t="inlineStr">
        <is>
          <t>Form Type - TextBox</t>
        </is>
      </c>
      <c r="N19" s="149" t="inlineStr">
        <is>
          <t>NA</t>
        </is>
      </c>
      <c r="O19" s="214" t="inlineStr">
        <is>
          <t>Any Response = resp_lastname</t>
        </is>
      </c>
      <c r="P19" s="215" t="n"/>
      <c r="Q19" s="160" t="inlineStr">
        <is>
          <t>For any response, go to resp_lastname</t>
        </is>
      </c>
      <c r="R19" s="216" t="inlineStr"/>
      <c r="S19" s="217" t="n"/>
      <c r="T19" s="205">
        <f>1</f>
        <v/>
      </c>
      <c r="U19" s="133" t="n"/>
      <c r="W19" s="208" t="inlineStr">
        <is>
          <t>yes</t>
        </is>
      </c>
      <c r="X19" s="726" t="n"/>
      <c r="AA19" s="734" t="n">
        <v>25.87402725219727</v>
      </c>
      <c r="AB19" s="734">
        <f>IF(AA19="","",AA19*T19)</f>
        <v/>
      </c>
      <c r="AC19" s="133" t="inlineStr"/>
    </row>
    <row r="20" ht="84" customFormat="1" customHeight="1" s="183">
      <c r="A20" s="155" t="n">
        <v>2</v>
      </c>
      <c r="B20" s="211" t="inlineStr">
        <is>
          <t>resp_lastname</t>
        </is>
      </c>
      <c r="C20" s="211" t="inlineStr">
        <is>
          <t>resp_lastname</t>
        </is>
      </c>
      <c r="D20" s="160" t="inlineStr">
        <is>
          <t>What is your last name? 
[OPERATOR: RECORD THE RESPONDENT'S LAST NAME. ENTER 999 FOR REFUSED.]</t>
        </is>
      </c>
      <c r="E20" s="212">
        <f>LEN(D20)</f>
        <v/>
      </c>
      <c r="F20" s="160" t="inlineStr">
        <is>
          <t>Quel est votre nom de famille?
[OPÉRATEUR/OPÉRATRICE: SAISIR LE NOM DE FAMILLE DE LA PERSONNE INTÉRROGÉE. SAISIR  999 POUR REFUSÉ.]</t>
        </is>
      </c>
      <c r="G20" s="212">
        <f>LEN(F20)</f>
        <v/>
      </c>
      <c r="H20" s="160" t="inlineStr">
        <is>
          <t>Jina lako ya mwisho ni nani?_x000D_
_x000D_
[OPERETERA: REKODI JINA LA MWISHO YA MUDIBU. INGIZA 999 KWA KUKATALA.]</t>
        </is>
      </c>
      <c r="I20" s="212">
        <f>LEN(H20)</f>
        <v/>
      </c>
      <c r="J20" s="213" t="inlineStr">
        <is>
          <t>Open Ended</t>
        </is>
      </c>
      <c r="K20" s="212" t="inlineStr">
        <is>
          <t>NA</t>
        </is>
      </c>
      <c r="L20" s="212" t="inlineStr">
        <is>
          <t>NA</t>
        </is>
      </c>
      <c r="M20" s="212" t="inlineStr">
        <is>
          <t>Form Type - TextBox</t>
        </is>
      </c>
      <c r="N20" s="149" t="inlineStr">
        <is>
          <t>NA</t>
        </is>
      </c>
      <c r="O20" s="214" t="inlineStr">
        <is>
          <t>Any Response = resp_age</t>
        </is>
      </c>
      <c r="P20" s="215" t="n"/>
      <c r="Q20" s="218" t="inlineStr">
        <is>
          <t>For any response, go to resp_age</t>
        </is>
      </c>
      <c r="R20" s="216" t="inlineStr"/>
      <c r="S20" s="217" t="n"/>
      <c r="T20" s="205">
        <f>1</f>
        <v/>
      </c>
      <c r="U20" s="133" t="n"/>
      <c r="W20" s="208" t="inlineStr">
        <is>
          <t>yes</t>
        </is>
      </c>
      <c r="X20" s="726" t="n"/>
      <c r="AA20" s="734" t="n">
        <v>8.599481582641602</v>
      </c>
      <c r="AB20" s="734">
        <f>IF(AA20="","",AA20*T20)</f>
        <v/>
      </c>
      <c r="AC20" s="133" t="inlineStr"/>
    </row>
    <row r="21" ht="105" customFormat="1" customHeight="1" s="183">
      <c r="A21" s="145" t="n">
        <v>3</v>
      </c>
      <c r="B21" s="668" t="inlineStr">
        <is>
          <t>resp_age</t>
        </is>
      </c>
      <c r="C21" s="219" t="inlineStr">
        <is>
          <t>resp_age</t>
        </is>
      </c>
      <c r="D21" s="147" t="inlineStr">
        <is>
          <t>How old are you? 
[OPERATOR: RECORD AGE IN NUMBER OF YEARS. ROUND UP TO NEAREST WHOLE NUMBER. IF THE RESPONDENT GIVES BIRTH YEAR, REPEAT THE QUESTION. ENTER 00 FOR DON'T KNOW.]</t>
        </is>
      </c>
      <c r="E21" s="211">
        <f>LEN(D21)</f>
        <v/>
      </c>
      <c r="F21" s="160" t="inlineStr">
        <is>
          <t>Quel âge avez-vous [en années]?
[OPÉRATEUR/OPÉRATRICE: SAISIR L'ÂGE EN ANNÉES. ARRONDIR AU NOMBRE ENTIER LE PLUS PROCHE. SI LE RÉPONDANT DONNE SON ANNÉE DE NAISSANCE, RÉPÉTER LA QUESTION. SAISIR 00 POUR "NE SAIT PAS".]</t>
        </is>
      </c>
      <c r="G21" s="212">
        <f>LEN(F21)</f>
        <v/>
      </c>
      <c r="H21" s="160" t="inlineStr">
        <is>
          <t>Una miaka mingapi?_x000D_
_x000D_
[OPERATOR: REKODI UMRI KATIKA IDADI YA MIAKA. ZUNGUSHA HADI NAMBA NZIMA KARIBU. IKIWA MHOJIWA AMEJIFUNGUA MWAKA WA KUZALIWA, RUDIA SWALI. INGIA 00 KWA SIJUE.]</t>
        </is>
      </c>
      <c r="I21" s="212">
        <f>LEN(H21)</f>
        <v/>
      </c>
      <c r="J21" s="211" t="inlineStr">
        <is>
          <t>Range</t>
        </is>
      </c>
      <c r="K21" s="211" t="inlineStr">
        <is>
          <t>NA</t>
        </is>
      </c>
      <c r="L21" s="211" t="inlineStr">
        <is>
          <t>NA</t>
        </is>
      </c>
      <c r="M21" s="211" t="inlineStr">
        <is>
          <t>Form Type - TextBox</t>
        </is>
      </c>
      <c r="N21" s="149" t="inlineStr">
        <is>
          <t>NA</t>
        </is>
      </c>
      <c r="O21" s="150" t="inlineStr">
        <is>
          <t>0-17 = Ineligible
18-100 = resp_gender
00 = Ineligible</t>
        </is>
      </c>
      <c r="P21" s="151" t="n"/>
      <c r="Q21" s="220" t="inlineStr">
        <is>
          <t>Only respondents from 18-100 will be eligible for the survey.</t>
        </is>
      </c>
      <c r="R21" s="221" t="inlineStr"/>
      <c r="S21" s="217" t="n"/>
      <c r="T21" s="205">
        <f>1</f>
        <v/>
      </c>
      <c r="U21" s="133" t="n"/>
      <c r="W21" s="222" t="inlineStr">
        <is>
          <t>yes</t>
        </is>
      </c>
      <c r="X21" s="726" t="n"/>
      <c r="AA21" s="734" t="n">
        <v>9.890718460083008</v>
      </c>
      <c r="AB21" s="734">
        <f>IF(AA21="","",AA21*T21)</f>
        <v/>
      </c>
      <c r="AC21" s="133" t="inlineStr"/>
    </row>
    <row r="22" ht="207.75" customFormat="1" customHeight="1" s="183">
      <c r="A22" s="145">
        <f>A21+1</f>
        <v/>
      </c>
      <c r="B22" s="498" t="inlineStr">
        <is>
          <t>resp_gender</t>
        </is>
      </c>
      <c r="C22" s="156" t="inlineStr">
        <is>
          <t>resp_gender</t>
        </is>
      </c>
      <c r="D22" s="157" t="inlineStr">
        <is>
          <t>What is the gender of the respondent?
[OPERATOR: DO NOT ASK THIS QUESTION OUT LOUD. LISTEN TO THE VOICE AND SELECT THE GENDER.]
1)Male
2)Female
3)DON'T KNOW
4)REFUSED</t>
        </is>
      </c>
      <c r="E22" s="158">
        <f>LEN(D22)</f>
        <v/>
      </c>
      <c r="F22" s="157" t="inlineStr">
        <is>
          <t>Quel est le sexe du répondant?  
[OPÉRATEUR/OPÉRATRICE: NE PAS POSER CETTE QUESTION À VOIX HAUTE. ÉCOUTER LA VOIX ET DÉTERMINER LE SEXE.]
1)Homme
2)Femme
3)NE SAIT PAS
4)REFUSÉ</t>
        </is>
      </c>
      <c r="G22" s="212">
        <f>LEN(F22)</f>
        <v/>
      </c>
      <c r="H22" s="160" t="inlineStr">
        <is>
          <t xml:space="preserve">Jinsia ya mujibu ni nini?_x000D_
_x000D_
[OPERATOR: USIULIZE SWALI HILI KWA SAUTI. SIKILIZA SAUTI NA UCHAGUE JINSIA.]_x000D_
_x000D_
1)Mwanaume_x000D_
2)Mwanamke_x000D_
3)SIJUE_x000D_
4)KUKATALA </t>
        </is>
      </c>
      <c r="I22" s="212">
        <f>LEN(H22)</f>
        <v/>
      </c>
      <c r="J22" s="161" t="inlineStr">
        <is>
          <t>Single Choice</t>
        </is>
      </c>
      <c r="K22" s="158" t="inlineStr">
        <is>
          <t>NA</t>
        </is>
      </c>
      <c r="L22" s="158" t="inlineStr">
        <is>
          <t>NA</t>
        </is>
      </c>
      <c r="M22" s="158" t="inlineStr">
        <is>
          <t>Form Type - Buttons</t>
        </is>
      </c>
      <c r="N22" s="149" t="inlineStr">
        <is>
          <t>NA</t>
        </is>
      </c>
      <c r="O22" s="162" t="inlineStr">
        <is>
          <t>1-4 = phone_number_conf</t>
        </is>
      </c>
      <c r="P22" s="151" t="n"/>
      <c r="Q22" s="150" t="inlineStr">
        <is>
          <t>For any response, go to phone_number_conf</t>
        </is>
      </c>
      <c r="R22" s="223" t="inlineStr"/>
      <c r="S22" s="166" t="n"/>
      <c r="T22" s="205">
        <f>1</f>
        <v/>
      </c>
      <c r="U22" s="133" t="n"/>
      <c r="W22" s="222" t="inlineStr">
        <is>
          <t>yes</t>
        </is>
      </c>
      <c r="X22" s="726" t="n"/>
      <c r="AA22" s="734" t="n">
        <v>1.715648174285889</v>
      </c>
      <c r="AB22" s="734">
        <f>IF(AA22="","",AA22*T22)</f>
        <v/>
      </c>
      <c r="AC22" s="133" t="inlineStr"/>
    </row>
    <row r="23" ht="189" customFormat="1" customHeight="1" s="236">
      <c r="A23" s="145">
        <f>A22+1</f>
        <v/>
      </c>
      <c r="B23" s="224" t="inlineStr">
        <is>
          <t>phone_number_conf</t>
        </is>
      </c>
      <c r="C23" s="224" t="inlineStr">
        <is>
          <t>phone_number_conf</t>
        </is>
      </c>
      <c r="D23" s="225" t="inlineStr">
        <is>
          <t>Is the phone number I am calling you on yours or a household members?
[OPERATOR: SINGLE RESPONSE.]
1)YES
2)NO
3)DON'T KNOW
4)REFUSED</t>
        </is>
      </c>
      <c r="E23" s="226">
        <f>LEN(D23)</f>
        <v/>
      </c>
      <c r="F23" s="227" t="inlineStr">
        <is>
          <t>Le numéro de téléphone sur lequel je vous appelle est-il le vôtre ou celui d'un membre de votre famille?
[OPÉRATEUR/OPÉRATRICE: RÉPONSE UNIQUE.]
1)OUI
2)NON
3)NE SAIT PAS
4)REFUSÉ</t>
        </is>
      </c>
      <c r="G23" s="226">
        <f>LEN(F23)</f>
        <v/>
      </c>
      <c r="H23" s="160" t="inlineStr">
        <is>
          <t>Je, namba ya simu nina kupigia ni yako au ni ya moja wa jamii yako?
[OPERATOR: JIBU MOJA.]
1)NDIYO
2)HAPANA
3)SIJUE
4)KUKATALA</t>
        </is>
      </c>
      <c r="I23" s="226">
        <f>LEN(H23)</f>
        <v/>
      </c>
      <c r="J23" s="228" t="inlineStr">
        <is>
          <t>Single Choice</t>
        </is>
      </c>
      <c r="K23" s="226" t="inlineStr">
        <is>
          <t>NA</t>
        </is>
      </c>
      <c r="L23" s="226" t="inlineStr">
        <is>
          <t>NA</t>
        </is>
      </c>
      <c r="M23" s="226" t="inlineStr">
        <is>
          <t>Form Type - Buttons</t>
        </is>
      </c>
      <c r="N23" s="149" t="inlineStr">
        <is>
          <t>NA</t>
        </is>
      </c>
      <c r="O23" s="229" t="inlineStr">
        <is>
          <t>1 = contact_2
2 = phone_number_personal
3-4 = contact_2</t>
        </is>
      </c>
      <c r="P23" s="230" t="n"/>
      <c r="Q23" s="231" t="inlineStr">
        <is>
          <t>if phone_number_conf = 1, go to contact_2
if phone_number_conf = 2, go to phone_number_personal
if phone_number_conf = 3-4, go to contact_2</t>
        </is>
      </c>
      <c r="R23" s="232" t="inlineStr"/>
      <c r="S23" s="233" t="n"/>
      <c r="T23" s="234">
        <f>1</f>
        <v/>
      </c>
      <c r="U23" s="235" t="n"/>
      <c r="W23" s="237" t="inlineStr">
        <is>
          <t>yes - panel</t>
        </is>
      </c>
      <c r="X23" s="238" t="n"/>
      <c r="AA23" s="736" t="n">
        <v>6.375236988067627</v>
      </c>
      <c r="AB23" s="734">
        <f>IF(AA23="","",AA23*T23)</f>
        <v/>
      </c>
      <c r="AC23" s="133" t="inlineStr"/>
    </row>
    <row r="24" ht="63" customFormat="1" customHeight="1" s="236">
      <c r="A24" s="145">
        <f>A23+1</f>
        <v/>
      </c>
      <c r="B24" s="224" t="inlineStr">
        <is>
          <t>phone_number_personal</t>
        </is>
      </c>
      <c r="C24" s="224" t="inlineStr">
        <is>
          <t>phone_number_pers</t>
        </is>
      </c>
      <c r="D24" s="240" t="inlineStr">
        <is>
          <t>What is your phone number?
[OPERATOR: RECORD THE NUMBER GIVEN]</t>
        </is>
      </c>
      <c r="E24" s="226">
        <f>LEN(D24)</f>
        <v/>
      </c>
      <c r="F24" s="240" t="inlineStr">
        <is>
          <t>Quel est votre numéro de téléphone?
[OPÉRATEUR/OPÉRATRICE: SAISIR LE NUMERO.]</t>
        </is>
      </c>
      <c r="G24" s="226">
        <f>LEN(F24)</f>
        <v/>
      </c>
      <c r="H24" s="160" t="inlineStr">
        <is>
          <t>Namba ya simu yako iko je?_x000D_
_x000D_
[OPERATOR: REKODI NAMBA ANA PELEKA]</t>
        </is>
      </c>
      <c r="I24" s="226">
        <f>LEN(H24)</f>
        <v/>
      </c>
      <c r="J24" s="241" t="inlineStr">
        <is>
          <t>Range</t>
        </is>
      </c>
      <c r="K24" s="226" t="inlineStr">
        <is>
          <t>NA</t>
        </is>
      </c>
      <c r="L24" s="226" t="inlineStr">
        <is>
          <t>NA</t>
        </is>
      </c>
      <c r="M24" s="226" t="inlineStr">
        <is>
          <t>Form Type - TextBox</t>
        </is>
      </c>
      <c r="N24" s="149" t="inlineStr">
        <is>
          <t>NA</t>
        </is>
      </c>
      <c r="O24" s="229" t="inlineStr">
        <is>
          <t>1000000-999999999999 = contact_2</t>
        </is>
      </c>
      <c r="P24" s="230" t="n"/>
      <c r="Q24" s="242" t="inlineStr">
        <is>
          <t>For any response, go to contact_2</t>
        </is>
      </c>
      <c r="R24" s="243" t="inlineStr"/>
      <c r="S24" s="233" t="n"/>
      <c r="T24" s="234">
        <f>1</f>
        <v/>
      </c>
      <c r="U24" s="235" t="n"/>
      <c r="W24" s="237" t="inlineStr">
        <is>
          <t>yes - panel</t>
        </is>
      </c>
      <c r="X24" s="238" t="n"/>
      <c r="AA24" s="736" t="n">
        <v>28.70000076293945</v>
      </c>
      <c r="AB24" s="734">
        <f>IF(AA24="","",AA24*T24)</f>
        <v/>
      </c>
      <c r="AC24" s="133" t="inlineStr"/>
    </row>
    <row r="25" ht="252" customFormat="1" customHeight="1" s="236">
      <c r="A25" s="145">
        <f>A24+1</f>
        <v/>
      </c>
      <c r="B25" s="244" t="inlineStr">
        <is>
          <t>contact_2</t>
        </is>
      </c>
      <c r="C25" s="244" t="inlineStr">
        <is>
          <t>contact_2</t>
        </is>
      </c>
      <c r="D25" s="227" t="inlineStr">
        <is>
          <t>Can you give me an additional phone number belonging to you, another household member or a close relation living outside of the household at which you can be reached?
[OPERATOR: SINGLE RESPONSE.]
1)YES - mine 
2)YES - other household member
3)YES - friend or relative [non-household member]
4)NO
5)DON'T KNOW
6)REFUSED</t>
        </is>
      </c>
      <c r="E25" s="245">
        <f>LEN(D25)</f>
        <v/>
      </c>
      <c r="F25" s="246" t="inlineStr">
        <is>
          <t>Pouvez-vous me donner un numéro de téléphone supplémentaire, le vôtre, celui d'un autre membre du ménage ou d’un proche vivant en dehors du ménage, auquel vous pouvez être joint?
[OPÉRATEUR/OPÉRATRICE: RÉPONSE UNIQUE.]
1)OUI - le mien 
2)OUI - un autre membre du ménage
3)OUI - un ami ou un parent [non membre du ménage].
4)NON
5)NE SAIT PAS
6)REFUSÉ</t>
        </is>
      </c>
      <c r="G25" s="226">
        <f>LEN(F25)</f>
        <v/>
      </c>
      <c r="H25" s="160" t="inlineStr">
        <is>
          <t>Je, unaweza kunipa nambari nyingine ya simu inayomilikiwa na wewe, mwanachama mwingine wa familia yako, au ndugu aliye nje ya familia ambapo unaweza kupatikana?
[MWENDESHAJI: JIBU MOJA.]
1)NDIYO – yangu 
2)NDIYO – mwanakaya mwingine
3)Ndiyo – rafiki au jamaa [asiye mwanakaya]
4)HAPANA
5)SIJUE
6)NILIKUKATALA</t>
        </is>
      </c>
      <c r="I25" s="226">
        <f>LEN(H25)</f>
        <v/>
      </c>
      <c r="J25" s="247" t="inlineStr">
        <is>
          <t>Single Choice</t>
        </is>
      </c>
      <c r="K25" s="245" t="inlineStr">
        <is>
          <t>NA</t>
        </is>
      </c>
      <c r="L25" s="245" t="inlineStr">
        <is>
          <t>NA</t>
        </is>
      </c>
      <c r="M25" s="245" t="inlineStr">
        <is>
          <t>Form Type - Buttons</t>
        </is>
      </c>
      <c r="N25" s="149" t="inlineStr">
        <is>
          <t>NA</t>
        </is>
      </c>
      <c r="O25" s="248" t="inlineStr">
        <is>
          <t>1-3 = phone_number_2
4-6 = hh_admin1</t>
        </is>
      </c>
      <c r="P25" s="249" t="n"/>
      <c r="Q25" s="250" t="inlineStr">
        <is>
          <t>if contact_2 = 1-3, go to phone_number_2
if contact_2 = 4-6, go to contact_3</t>
        </is>
      </c>
      <c r="R25" s="251" t="inlineStr"/>
      <c r="S25" s="252" t="n"/>
      <c r="T25" s="234">
        <f>1</f>
        <v/>
      </c>
      <c r="U25" s="235" t="n"/>
      <c r="W25" s="237" t="inlineStr">
        <is>
          <t>yes - panel</t>
        </is>
      </c>
      <c r="X25" s="238" t="n"/>
      <c r="AA25" s="736" t="n">
        <v>10.14181709289551</v>
      </c>
      <c r="AB25" s="734">
        <f>IF(AA25="","",AA25*T25)</f>
        <v/>
      </c>
      <c r="AC25" s="133" t="inlineStr"/>
    </row>
    <row r="26" ht="63" customFormat="1" customHeight="1" s="236">
      <c r="A26" s="145">
        <f>A25+1</f>
        <v/>
      </c>
      <c r="B26" s="244" t="inlineStr">
        <is>
          <t>phone_number_2</t>
        </is>
      </c>
      <c r="C26" s="244" t="inlineStr">
        <is>
          <t>phone_number_2</t>
        </is>
      </c>
      <c r="D26" s="240" t="inlineStr">
        <is>
          <t>What is the additional phone number?
[OPERATOR: RECORD THE NUMBER GIVEN]</t>
        </is>
      </c>
      <c r="E26" s="245">
        <f>LEN(D26)</f>
        <v/>
      </c>
      <c r="F26" s="253" t="inlineStr">
        <is>
          <t>Quel est cet autre numéro de téléphone?
[OPÉRATEUR/OPÉRATRICE: SAISIR LE NUMERO.]</t>
        </is>
      </c>
      <c r="G26" s="226">
        <f>LEN(F26)</f>
        <v/>
      </c>
      <c r="H26" s="160" t="inlineStr">
        <is>
          <t>Nambari ya simu ingine ni nini?_x000D_
_x000D_
[OPERATOR: REKODI NAMBA ANA PELEKA]</t>
        </is>
      </c>
      <c r="I26" s="226">
        <f>LEN(H26)</f>
        <v/>
      </c>
      <c r="J26" s="241" t="inlineStr">
        <is>
          <t>Range</t>
        </is>
      </c>
      <c r="K26" s="245" t="inlineStr">
        <is>
          <t>NA</t>
        </is>
      </c>
      <c r="L26" s="245" t="inlineStr">
        <is>
          <t>NA</t>
        </is>
      </c>
      <c r="M26" s="245" t="inlineStr">
        <is>
          <t>Form Type - TextBox</t>
        </is>
      </c>
      <c r="N26" s="149" t="inlineStr">
        <is>
          <t>NA</t>
        </is>
      </c>
      <c r="O26" s="248" t="inlineStr">
        <is>
          <t>1000000-999999999999 = contact_2_name</t>
        </is>
      </c>
      <c r="P26" s="249" t="n"/>
      <c r="Q26" s="254" t="inlineStr">
        <is>
          <t>For any response, go to contact_2_name</t>
        </is>
      </c>
      <c r="R26" s="255" t="inlineStr"/>
      <c r="S26" s="252" t="n"/>
      <c r="T26" s="234">
        <f>1</f>
        <v/>
      </c>
      <c r="U26" s="235" t="n"/>
      <c r="W26" s="237" t="inlineStr">
        <is>
          <t>yes - panel</t>
        </is>
      </c>
      <c r="X26" s="238" t="n"/>
      <c r="AA26" s="736" t="n">
        <v>21.65998268127441</v>
      </c>
      <c r="AB26" s="734">
        <f>IF(AA26="","",AA26*T26)</f>
        <v/>
      </c>
      <c r="AC26" s="133" t="inlineStr"/>
    </row>
    <row r="27" ht="140" customFormat="1" customHeight="1" s="236">
      <c r="A27" s="145">
        <f>A26+1</f>
        <v/>
      </c>
      <c r="B27" s="244" t="inlineStr">
        <is>
          <t>contact_2_name</t>
        </is>
      </c>
      <c r="C27" s="244" t="inlineStr">
        <is>
          <t>contact_2_name</t>
        </is>
      </c>
      <c r="D27" s="240" t="inlineStr">
        <is>
          <t>What is the name of the contact?
[OPERATOR: RECORD THE NAME OF THE CONTACT FOR THE PHONE NUMBER.]</t>
        </is>
      </c>
      <c r="E27" s="245">
        <f>LEN(D27)</f>
        <v/>
      </c>
      <c r="F27" s="246" t="inlineStr">
        <is>
          <t>Quel est le nom du contact associé à ce numéro de téléphone?
[OPÉRATEUR/OPÉRATRICE: SAISIR LENOM DU CONTACT POUR CE NUMERO DE TÉLÉPHONE.]</t>
        </is>
      </c>
      <c r="G27" s="226">
        <f>LEN(F27)</f>
        <v/>
      </c>
      <c r="H27" s="160" t="inlineStr">
        <is>
          <t>Jina la mawasiliano ni nani?
[OPERATOR: REKODI JINA LA ANAYEWASILIANA KWA NAMBA YA SIMU.]</t>
        </is>
      </c>
      <c r="I27" s="226">
        <f>LEN(H27)</f>
        <v/>
      </c>
      <c r="J27" s="247" t="inlineStr">
        <is>
          <t>Open Ended</t>
        </is>
      </c>
      <c r="K27" s="245" t="inlineStr">
        <is>
          <t>NA</t>
        </is>
      </c>
      <c r="L27" s="158" t="inlineStr">
        <is>
          <t>Send if "contact_2" "Equals" "YES - other household member" Or "contact_2" "Equals" "YES - friend or relative [non-household member]" if not satisfied go to "contact_3"</t>
        </is>
      </c>
      <c r="M27" s="245" t="inlineStr">
        <is>
          <t>Form Type - TextBox</t>
        </is>
      </c>
      <c r="N27" s="149" t="inlineStr">
        <is>
          <t>NA</t>
        </is>
      </c>
      <c r="O27" s="248" t="inlineStr">
        <is>
          <t>Any Response = contact_3</t>
        </is>
      </c>
      <c r="P27" s="249" t="n"/>
      <c r="Q27" s="254" t="inlineStr">
        <is>
          <t>Asked if response to contact_2 was "YES - other household member" or "YES - friend or relative [non-household member]". Otherwise, it skips to "contact_3".
For any response, go to contact_3</t>
        </is>
      </c>
      <c r="R27" s="256" t="inlineStr"/>
      <c r="S27" s="252" t="n"/>
      <c r="T27" s="234">
        <f>1</f>
        <v/>
      </c>
      <c r="U27" s="235" t="n"/>
      <c r="W27" s="237" t="inlineStr">
        <is>
          <t>yes - panel</t>
        </is>
      </c>
      <c r="X27" s="238" t="n"/>
      <c r="AA27" s="736" t="n">
        <v>11.82179641723633</v>
      </c>
      <c r="AB27" s="734">
        <f>IF(AA27="","",AA27*T27)</f>
        <v/>
      </c>
      <c r="AC27" s="133" t="inlineStr"/>
    </row>
    <row r="28" ht="252" customFormat="1" customHeight="1" s="236">
      <c r="A28" s="145">
        <f>A27+1</f>
        <v/>
      </c>
      <c r="B28" s="244" t="inlineStr">
        <is>
          <t>contact_3</t>
        </is>
      </c>
      <c r="C28" s="244" t="inlineStr">
        <is>
          <t>contact_3</t>
        </is>
      </c>
      <c r="D28" s="227" t="inlineStr">
        <is>
          <t>Can you give me an additional phone number belonging to you, another household member or a close relation living outside of the household at which you can be reached?
[OPERATOR: SINGLE RESPONSE.]
1)YES - mine 
2)YES - other household member
3)YES - friend or relative [non-household member]
4)NO
5)DON'T KNOW
6)REFUSED</t>
        </is>
      </c>
      <c r="E28" s="245">
        <f>LEN(D28)</f>
        <v/>
      </c>
      <c r="F28" s="246" t="inlineStr">
        <is>
          <t>Pouvez-vous me donner un numéro de téléphone supplémentaire, le vôtre, celui d'un autre membre du ménage ou d’un proche vivant en dehors du ménage, auquel vous pouvez être joint?
[OPÉRATEUR/OPÉRATRICE: RÉPONSE UNIQUE.]
1)OUI - le mien 
2)OUI - un autre membre du ménage
3)OUI - un ami ou un parent [non membre du ménage].
4)NON
5)NE SAIT PAS
6)REFUSÉ</t>
        </is>
      </c>
      <c r="G28" s="226">
        <f>LEN(F28)</f>
        <v/>
      </c>
      <c r="H28" s="160" t="inlineStr">
        <is>
          <t>Je, unaweza kunipa nambari nyingine ya simu inayomilikiwa na wewe, mwanachama mwingine wa familia yako, au ndugu aliye nje ya familia ambapo unaweza kupatikana?
[MWENDESHAJI: JIBU MOJA.]
1)NDIYO – yangu 
2)NDIYO – mwanakaya mwingine
3)NDIYO – rafiki au jamaa [asiye mwanakaya]
4)HAPANA
5)SIJUE
6)NILIKUKATALA</t>
        </is>
      </c>
      <c r="I28" s="226">
        <f>LEN(H28)</f>
        <v/>
      </c>
      <c r="J28" s="247" t="inlineStr">
        <is>
          <t>Single Choice</t>
        </is>
      </c>
      <c r="K28" s="245" t="inlineStr">
        <is>
          <t>NA</t>
        </is>
      </c>
      <c r="L28" s="245" t="inlineStr">
        <is>
          <t>NA</t>
        </is>
      </c>
      <c r="M28" s="245" t="inlineStr">
        <is>
          <t>Form Type - Buttons</t>
        </is>
      </c>
      <c r="N28" s="149" t="inlineStr">
        <is>
          <t>NA</t>
        </is>
      </c>
      <c r="O28" s="248" t="inlineStr">
        <is>
          <t>1-3= phone_number_3
4-6 = hh_admin1</t>
        </is>
      </c>
      <c r="P28" s="249" t="n"/>
      <c r="Q28" s="250" t="inlineStr">
        <is>
          <t>if contact_3 = 1-3, go to phone_number_3
if contact_3 = 4-6, go to hh_admin1</t>
        </is>
      </c>
      <c r="R28" s="251" t="inlineStr"/>
      <c r="S28" s="252" t="n"/>
      <c r="T28" s="234">
        <f>1</f>
        <v/>
      </c>
      <c r="U28" s="235" t="n"/>
      <c r="W28" s="237" t="inlineStr">
        <is>
          <t>yes - panel</t>
        </is>
      </c>
      <c r="X28" s="238" t="n"/>
      <c r="AA28" s="736" t="n">
        <v>3.163594007492065</v>
      </c>
      <c r="AB28" s="734">
        <f>IF(AA28="","",AA28*T28)</f>
        <v/>
      </c>
      <c r="AC28" s="133" t="inlineStr"/>
    </row>
    <row r="29" ht="63" customFormat="1" customHeight="1" s="236">
      <c r="A29" s="145">
        <f>A28+1</f>
        <v/>
      </c>
      <c r="B29" s="257" t="inlineStr">
        <is>
          <t>phone_number_3</t>
        </is>
      </c>
      <c r="C29" s="257" t="inlineStr">
        <is>
          <t>phone_number_3</t>
        </is>
      </c>
      <c r="D29" s="258" t="inlineStr">
        <is>
          <t>What is the additional phone number?
[OPERATOR: RECORD THE NUMBER GIVEN]</t>
        </is>
      </c>
      <c r="E29" s="259">
        <f>LEN(D29)</f>
        <v/>
      </c>
      <c r="F29" s="260" t="inlineStr">
        <is>
          <t>Quel est cet autre numéro de téléphone?
[OPÉRATEUR/OPÉRATRICE: SAISIR LE NUMERO.]</t>
        </is>
      </c>
      <c r="G29" s="261">
        <f>LEN(F29)</f>
        <v/>
      </c>
      <c r="H29" s="160" t="inlineStr">
        <is>
          <t>Namba ya simu yako ingine ni nini?
[OPERATOR: REKODI NAMBA ULIYOPEWA]</t>
        </is>
      </c>
      <c r="I29" s="261">
        <f>LEN(H29)</f>
        <v/>
      </c>
      <c r="J29" s="241" t="inlineStr">
        <is>
          <t>Range</t>
        </is>
      </c>
      <c r="K29" s="259" t="inlineStr">
        <is>
          <t>NA</t>
        </is>
      </c>
      <c r="L29" s="259" t="inlineStr">
        <is>
          <t>NA</t>
        </is>
      </c>
      <c r="M29" s="259" t="inlineStr">
        <is>
          <t>Form Type - TextBox</t>
        </is>
      </c>
      <c r="N29" s="262" t="inlineStr">
        <is>
          <t>NA</t>
        </is>
      </c>
      <c r="O29" s="263" t="inlineStr">
        <is>
          <t>1000000-999999999999 = contact_3_name</t>
        </is>
      </c>
      <c r="P29" s="264" t="n"/>
      <c r="Q29" s="265" t="inlineStr">
        <is>
          <t>For any response, go to contact_3_name</t>
        </is>
      </c>
      <c r="R29" s="255" t="inlineStr"/>
      <c r="S29" s="252" t="n"/>
      <c r="T29" s="234">
        <f>1</f>
        <v/>
      </c>
      <c r="U29" s="235" t="n"/>
      <c r="W29" s="237" t="inlineStr">
        <is>
          <t>yes - panel</t>
        </is>
      </c>
      <c r="X29" s="238" t="n"/>
      <c r="AA29" s="736" t="n">
        <v>10.83014392852783</v>
      </c>
      <c r="AB29" s="734">
        <f>IF(AA29="","",AA29*T29)</f>
        <v/>
      </c>
      <c r="AC29" s="133" t="inlineStr"/>
    </row>
    <row r="30" ht="180" customFormat="1" customHeight="1" s="236">
      <c r="A30" s="145">
        <f>A29+1</f>
        <v/>
      </c>
      <c r="B30" s="669" t="inlineStr">
        <is>
          <t>contact_3_name</t>
        </is>
      </c>
      <c r="C30" s="266" t="inlineStr">
        <is>
          <t>phone_number_3_name</t>
        </is>
      </c>
      <c r="D30" s="267" t="inlineStr">
        <is>
          <t>What is the name of the contact?
[OPERATOR: RECORD THE NAME OF THE CONTACT FOR THE PHONE NUMBER.]</t>
        </is>
      </c>
      <c r="E30" s="268">
        <f>LEN(D30)</f>
        <v/>
      </c>
      <c r="F30" s="269" t="inlineStr">
        <is>
          <t>Quel est le nom du contact associé à ce numéro de téléphone?
[OPÉRATEUR/OPÉRATRICE: SAISIR LENOM DU CONTACT POUR CE NUMERO DE TÉLÉPHONE.]</t>
        </is>
      </c>
      <c r="G30" s="270">
        <f>LEN(F30)</f>
        <v/>
      </c>
      <c r="H30" s="160" t="inlineStr">
        <is>
          <t>Jina la mawasiliano ni nani?_x000D_
_x000D_
[OPERATOR: REKODI JINA KUFUATANA NA NAMBA YA SIMU.]</t>
        </is>
      </c>
      <c r="I30" s="270">
        <f>LEN(H30)</f>
        <v/>
      </c>
      <c r="J30" s="271" t="inlineStr">
        <is>
          <t>Open Ended</t>
        </is>
      </c>
      <c r="K30" s="268" t="inlineStr">
        <is>
          <t>NA</t>
        </is>
      </c>
      <c r="L30" s="198" t="inlineStr">
        <is>
          <t>Send if "contact_3" "Equals" "YES - other household member" Or "contact_3" "Equals" "YES - friend or relative [non-household member]" if not satisfied go to "hh_admin1"</t>
        </is>
      </c>
      <c r="M30" s="268" t="inlineStr">
        <is>
          <t>Form Type - TextBox</t>
        </is>
      </c>
      <c r="N30" s="272" t="inlineStr">
        <is>
          <t>NA</t>
        </is>
      </c>
      <c r="O30" s="273" t="inlineStr">
        <is>
          <t>Any Response = hh_admin1</t>
        </is>
      </c>
      <c r="P30" s="274" t="n"/>
      <c r="Q30" s="275" t="inlineStr">
        <is>
          <t>Asked if response to contact_3 was "YES - other household member" or "YES - friend or relative [non-household member]". Otherwise, it skips to "hh_admin1".
For any response, go to hh_admin1</t>
        </is>
      </c>
      <c r="R30" s="256" t="inlineStr"/>
      <c r="S30" s="252" t="n"/>
      <c r="T30" s="234">
        <f>1</f>
        <v/>
      </c>
      <c r="U30" s="235" t="n"/>
      <c r="W30" s="237" t="inlineStr">
        <is>
          <t>yes - panel</t>
        </is>
      </c>
      <c r="X30" s="238" t="n"/>
      <c r="AA30" s="736" t="n">
        <v>11.26041698455811</v>
      </c>
      <c r="AB30" s="734">
        <f>IF(AA30="","",AA30*T30)</f>
        <v/>
      </c>
      <c r="AC30" s="133" t="inlineStr"/>
    </row>
    <row r="31" ht="409.5" customFormat="1" customHeight="1" s="183">
      <c r="A31" s="145">
        <f>A30+1</f>
        <v/>
      </c>
      <c r="B31" s="146" t="inlineStr">
        <is>
          <t>hh_admin1</t>
        </is>
      </c>
      <c r="C31" s="156" t="inlineStr">
        <is>
          <t>hh_admin1</t>
        </is>
      </c>
      <c r="D31" s="267" t="inlineStr">
        <is>
          <t>Currently, in which $ADMIN1$ does your household reside?
[OPERATOR: SINGLE SELECTION.]
[HINT: HOUSEHOLD CONSISTS OF ALL MEMBERS LIVING TOGETHER, SHARING RESOURCES &amp; EATING FROM THE SAME POT.]
1)ADMIN1
2)DON'T KNOW
3)REFUSED</t>
        </is>
      </c>
      <c r="E31" s="148">
        <f>LEN(D31)</f>
        <v/>
      </c>
      <c r="F31" s="267" t="inlineStr">
        <is>
          <t>Actuellement, dans quel $ADMIN1$ votre ménage vit-il?
[OPÉRATEUR/OPÉRATRICE: RÉPONSE UNIQUE.]
[NOTE: LE MÉNAGE EST COMPOSÉ DE TOUTES LES PERSONNES VIVANT ENSEMBLE, METTANT EN COMMUN LEURS RESSOURCES ET PARTAGEANT LEURS REPAS.]
1)ADMIN1
2)NE SAIT PAS
3)REFUSÉ</t>
        </is>
      </c>
      <c r="G31" s="148" t="n"/>
      <c r="H31" s="160" t="n"/>
      <c r="I31" s="148" t="n"/>
      <c r="J31" s="276" t="inlineStr">
        <is>
          <t>Single Choice</t>
        </is>
      </c>
      <c r="K31" s="148" t="inlineStr">
        <is>
          <t>NA</t>
        </is>
      </c>
      <c r="L31" s="148" t="inlineStr">
        <is>
          <t>NA</t>
        </is>
      </c>
      <c r="M31" s="148" t="inlineStr">
        <is>
          <t>Form Type - Buttons
IsDemographic - ADM1</t>
        </is>
      </c>
      <c r="N31" s="149" t="inlineStr">
        <is>
          <t>NA</t>
        </is>
      </c>
      <c r="O31" s="277" t="inlineStr">
        <is>
          <t>1 = Ineligible
2 = Ineligible
3 = Ineligible
4 = Ineligible
5 = Ineligible
6 = hh_admin2_6
7 = Ineligible
8 = Ineligible
9 = Ineligible
10 = Ineligible
11 = Ineligible
12 = Ineligible
13 = Ineligible
14 = Ineligible
15 = Ineligible
16 = Ineligible
17 = Ineligible
18 = Ineligible
19 = hh_admin2_19
20 = Ineligible
21 = Ineligible
22 = hh_admin2_22
23 = Ineligible
24 = hh_admin2_24
25 = Ineligible
26 = Ineligible
27-28 = Ineligible</t>
        </is>
      </c>
      <c r="P31" s="278" t="n"/>
      <c r="Q31" s="279" t="inlineStr"/>
      <c r="R31" s="152" t="inlineStr"/>
      <c r="S31" s="280" t="n"/>
      <c r="T31" s="205">
        <f>1</f>
        <v/>
      </c>
      <c r="U31" s="133" t="n"/>
      <c r="W31" s="222" t="inlineStr">
        <is>
          <t>yes</t>
        </is>
      </c>
      <c r="X31" s="726" t="n"/>
      <c r="AA31" s="734" t="n">
        <v>13.95725891910985</v>
      </c>
      <c r="AB31" s="734">
        <f>IF(AA31="","",AA31*T31)</f>
        <v/>
      </c>
      <c r="AC31" s="133" t="inlineStr"/>
    </row>
    <row r="32" ht="354" customFormat="1" customHeight="1" s="183">
      <c r="A32" s="145">
        <f>A31+1</f>
        <v/>
      </c>
      <c r="B32" s="498" t="inlineStr">
        <is>
          <t>hh_admin2_1</t>
        </is>
      </c>
      <c r="C32" s="281" t="inlineStr">
        <is>
          <t>hh_admin2_6</t>
        </is>
      </c>
      <c r="D32" s="267" t="inlineStr">
        <is>
          <t>Currently, in which $ADMIN2$ does your household reside?
[OPERATOR: SINGLE RESPONSE.]
1)ADMIN2
2)DON'T KNOW
3)REFUSED</t>
        </is>
      </c>
      <c r="E32" s="158">
        <f>LEN(D32)</f>
        <v/>
      </c>
      <c r="F32" s="267" t="inlineStr">
        <is>
          <t>Actuellement, dans quel $ADMIN2$ votre ménage vit-il?
[OPÉRATEUR/OPÉRATRICE: RÉPONSE UNIQUE.]
1)ADMIN2
2)NE SAIT PAS
3)REFUSÉ</t>
        </is>
      </c>
      <c r="G32" s="148" t="n"/>
      <c r="H32" s="160" t="inlineStr">
        <is>
          <t>Kaya yako iko Ku territoire/ville gani?
[OPERATEUR/OPERATRICE: USISOME CHAGUZI. JIBU MOJA TU]
1)ARU
2)BUNIA
3)DJUGU
4)IRUMU
5)MAHAGI
6)MAMBASA
7)SIJUE
8)KUKATALA</t>
        </is>
      </c>
      <c r="I32" s="148" t="n"/>
      <c r="J32" s="161" t="inlineStr">
        <is>
          <t>Single Choice</t>
        </is>
      </c>
      <c r="K32" s="158" t="inlineStr">
        <is>
          <t>NA</t>
        </is>
      </c>
      <c r="L32" s="158" t="inlineStr">
        <is>
          <t>NA</t>
        </is>
      </c>
      <c r="M32" s="158" t="inlineStr">
        <is>
          <t>Form Type - Dropdown
IsDemographic - ADM2</t>
        </is>
      </c>
      <c r="N32" s="158" t="inlineStr">
        <is>
          <t>NA</t>
        </is>
      </c>
      <c r="O32" s="157" t="inlineStr">
        <is>
          <t>1-6 =  quotareached
7-8 = Ineligible</t>
        </is>
      </c>
      <c r="P32" s="151" t="inlineStr">
        <is>
          <t>GeoPoll [5/6/2025]. Excluded the locations of  ARIWARA,  INGBOKOLO,  and MONGWALU despite being within the Admin2 info sheet because they are not currently in the quota table and are locations within other existing territories. For example, Ariwara is a town in Aru territory.  This is consistent with the approach taken during previous rounds. Kindly correct as needed. 
FAO: COnfirm to keep same choices as previous round. Thanks</t>
        </is>
      </c>
      <c r="Q32" s="279" t="inlineStr"/>
      <c r="R32" s="152" t="inlineStr"/>
      <c r="S32" s="280" t="n"/>
      <c r="T32" s="205" t="n"/>
      <c r="U32" s="133" t="n"/>
      <c r="W32" s="222" t="inlineStr"/>
      <c r="X32" s="726" t="n"/>
      <c r="AA32" s="734" t="n"/>
      <c r="AB32" s="734" t="n"/>
      <c r="AC32" s="133" t="inlineStr"/>
    </row>
    <row r="33" ht="231" customFormat="1" customHeight="1" s="183">
      <c r="A33" s="145">
        <f>A32+1</f>
        <v/>
      </c>
      <c r="B33" s="287" t="inlineStr">
        <is>
          <t>quotareached</t>
        </is>
      </c>
      <c r="C33" s="283" t="inlineStr">
        <is>
          <t>quotareached</t>
        </is>
      </c>
      <c r="D33" s="157" t="inlineStr">
        <is>
          <t>[OPERATOR: DO NOT READ. ANSWER QUESTION BELOW.]
THIS RESPONDENT REPORTED THEY LIVE IN:
{ADM1}
{ADM2}
1)THE GOAL FOR THIS LOCATION HAS BEEN ACHIEVED - END SURVEY
2)THE GOAL FOR THIS LOCATION IS OPEN - CONTINUE SURVEY</t>
        </is>
      </c>
      <c r="E33" s="158">
        <f>LEN(D33)</f>
        <v/>
      </c>
      <c r="F33" s="159" t="inlineStr">
        <is>
          <t>[OPÉRATEUR/OPÉRATRICE: NE PAS LIRE. RÉPONDRE À LA QUESTION CI-DESSOUS.]
CE RÉPONDANT DIT VIVRE À:
{ADM1}
{ADM2}
1)L'OBJECTIF DANS CETTE ZONE A ÉTÉ ATTEINT - FIN DU SONDAGE
2)L'OBJECTIF DANS CETTE ZONE N'EST PAS ENCORE ATTEINT - CONTINUER LE SONDAGE</t>
        </is>
      </c>
      <c r="G33" s="148">
        <f>LEN(F33)</f>
        <v/>
      </c>
      <c r="H33" s="160" t="inlineStr">
        <is>
          <t>[OPERATOR: USISOME. JIBU SWALI HAPA CHINI.]_x000D_
_x000D_
MUJIBU HUYU ALIRIPOTI WANAISHI:_x000D_
_x000D_
{ADM1}_x000D_
{ADM2}_x000D_
_x000D_
1)LENGO YA ENEO HILI LIMEFIKIWA - MUSHIO YA UTAFUTI_x000D_
2)LENGO YA ENEO HILI LIMEFUNGUA - ENDELEA UTAFITI</t>
        </is>
      </c>
      <c r="I33" s="148">
        <f>LEN(H33)</f>
        <v/>
      </c>
      <c r="J33" s="161" t="inlineStr">
        <is>
          <t>Single Choice</t>
        </is>
      </c>
      <c r="K33" s="161" t="inlineStr">
        <is>
          <t>NA</t>
        </is>
      </c>
      <c r="L33" s="161" t="inlineStr">
        <is>
          <t>NA</t>
        </is>
      </c>
      <c r="M33" s="161" t="inlineStr">
        <is>
          <t>Form Type - Buttons</t>
        </is>
      </c>
      <c r="N33" s="149" t="inlineStr">
        <is>
          <t>NA</t>
        </is>
      </c>
      <c r="O33" s="162" t="inlineStr">
        <is>
          <t>1 = End Poll Quota Reached
2 = hh_agricactivity</t>
        </is>
      </c>
      <c r="P33" s="151" t="n"/>
      <c r="Q33" s="284" t="inlineStr"/>
      <c r="R33" s="285" t="inlineStr"/>
      <c r="S33" s="286" t="n"/>
      <c r="T33" s="734" t="n"/>
      <c r="U33" s="734" t="n"/>
      <c r="V33" s="133" t="n"/>
      <c r="W33" t="inlineStr"/>
      <c r="X33" s="135" t="n"/>
      <c r="Y33" s="726" t="n"/>
      <c r="AB33" s="734" t="n"/>
      <c r="AC33" s="734" t="inlineStr"/>
      <c r="AD33" s="133" t="n"/>
    </row>
    <row r="34" ht="399" customFormat="1" customHeight="1" s="183">
      <c r="A34" s="145">
        <f>A33+1</f>
        <v/>
      </c>
      <c r="B34" s="287" t="inlineStr">
        <is>
          <t>hh_agricactivity</t>
        </is>
      </c>
      <c r="C34" s="287" t="inlineStr">
        <is>
          <t>hh_agricactivity</t>
        </is>
      </c>
      <c r="D34" s="157" t="inlineStr">
        <is>
          <t>Has anybody in your household produced crops or livestock for household consumption or for sale in the past 12 months, including household members currently away for transhumance?
[OPERATOR: SINGLE RESPONSE.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
1)Yes - crop production 
2)Yes - livestock production
3)Yes - both crop and livestock production 
4)No
5)DON'T KNOW
6)REFUSED</t>
        </is>
      </c>
      <c r="E34" s="288">
        <f>LEN(D34)</f>
        <v/>
      </c>
      <c r="F34" s="289" t="inlineStr">
        <is>
          <t>Est-ce que quelqu'un dans votre ménage a produit des cultures ou du bétail pour la consommation du ménage ou pour la vente au cours des 12 derniers mois, y compris des membres du ménage actuellement partis pour la transhumance?
[OPÉRATEUR / OPÉRATRICE : RÉPONSE UNIQUE. IL S'AGIT DE LA PRINCIPALE QUESTION DE SÉLECTION.]
[CONSEILS POUR PRÉCISER : Cultivez-vous des végétaux afin de les vendre ou de les consommer ? Élevez-vous des animaux afin de les vendre ou de les consommer, y compris les produits issus de l'élevage, comme la viande, le lait, la laine ou le cuir ? L'un des membres de votre ménage est-il actuellement parti avec du bétail pour la transhumance ?]
1)Oui - production végétale 
2)Oui - production animale
3)Oui - production végétale et animale 
4)Non
5)NE SAIT PAS
6)REFUSÉ</t>
        </is>
      </c>
      <c r="G34" s="148">
        <f>LEN(F34)</f>
        <v/>
      </c>
      <c r="H34" s="160" t="inlineStr">
        <is>
          <t>Je, kuna mtu yote katika nyumba yako amezalisha mazao au mifugo kwa ajili ya matumizi ya kaya au kwa ajili ya kuuza katika kipindi cha miezi 12 iliyopita, ikiwa ni pamoja na wanakaya ambao hawapo kwa sasa kwa ajili ya kubadilisha ubinadamu?
[OPERATOR: JIBU MOJA. HILI NDILO SWALI KUU LA UCHUNGUZI.]
[DOKEZO LA KUJARIBU: Je, unalima mimea yoyote ili kuuza au kutumia? Je, unafuga wanyama wowote kwa nia ya kuuza au kula au bidhaa yako kama nyama, maziba, pamba au ngozi? Je, moja wa wanakaya wako kwa sasa yuko mbali na ngombe au wanyama wengine kwa ajili ya kubadilisha ubinadamu?]
1)Ndiyo - uzalishaji wa mazao
2)Ndiyo - uzalishaji wa mifugo
3)Ndiyo - uzalishaji wa mazao na mifugo
4)Hapana
5)SIJUE
6)KUKATALA</t>
        </is>
      </c>
      <c r="I34" s="148">
        <f>LEN(H34)</f>
        <v/>
      </c>
      <c r="J34" s="161" t="inlineStr">
        <is>
          <t>Single Choice</t>
        </is>
      </c>
      <c r="K34" s="158" t="inlineStr">
        <is>
          <t>NA</t>
        </is>
      </c>
      <c r="L34" s="158" t="inlineStr">
        <is>
          <t>NA</t>
        </is>
      </c>
      <c r="M34" s="158" t="inlineStr">
        <is>
          <t>Form Type - Buttons</t>
        </is>
      </c>
      <c r="N34" s="149" t="inlineStr">
        <is>
          <t>NA</t>
        </is>
      </c>
      <c r="O34" s="157" t="inlineStr">
        <is>
          <t>1-4 = hh_fish
5-6 = Ineligible</t>
        </is>
      </c>
      <c r="P34" s="290" t="n"/>
      <c r="Q34" s="291" t="inlineStr">
        <is>
          <t>if hh_agricactivity = 1-4, go to resp_id or hh_fish. Otherwise, the respondent is ineligible.</t>
        </is>
      </c>
      <c r="R34" s="292" t="inlineStr"/>
      <c r="S34" s="293" t="n"/>
      <c r="T34" s="205">
        <f>1</f>
        <v/>
      </c>
      <c r="U34" s="133" t="n"/>
      <c r="W34" s="222" t="inlineStr">
        <is>
          <t>yes</t>
        </is>
      </c>
      <c r="X34" s="726" t="n"/>
      <c r="AA34" s="734" t="n">
        <v>24.41083908081055</v>
      </c>
      <c r="AB34" s="734">
        <f>IF(AA34="","",AA34*T34)</f>
        <v/>
      </c>
      <c r="AC34" s="133" t="inlineStr"/>
    </row>
    <row r="35" ht="294.5" customFormat="1" customHeight="1" s="304" thickBot="1">
      <c r="A35" s="145">
        <f>A34+1</f>
        <v/>
      </c>
      <c r="B35" s="399" t="inlineStr">
        <is>
          <t>hh_fish</t>
        </is>
      </c>
      <c r="C35" s="294" t="inlineStr">
        <is>
          <t>hh_fish</t>
        </is>
      </c>
      <c r="D35" s="295" t="inlineStr">
        <is>
          <t>Has anybody in your household been engaged in aquatic production [fish catch or aquaculture farming] for household consumption or for sales in the past 12 months? 
[OPERATOR: SINGLE RESPONSE.]
[HINT FOR PROBING: It should not include sports fishing. It should be about production of aquatic products [fish catch or aquaculture farming] for household consumption or sales.]
1)YES
2)NO
3)DON'T KNOW
4)REFUSED</t>
        </is>
      </c>
      <c r="E35" s="296" t="n">
        <v>116</v>
      </c>
      <c r="F35" s="260" t="inlineStr">
        <is>
          <t>Quelqu'un dans votre ménage a-t-il été impliqué dans la production aquatique [prise de poisson ou aquaculture] pour la consommation du ménage ou pour la vente au cours des 12 derniers mois ?
[OPÉRATEUR/OPÉRATRICE: RÉPONSE UNIQUE.]
[CONSEIL LORS DU SONDAGE : cette question et réponse ne devraient pas inclure la pêche sportive. Il s'agit plutôt de la production de produits aquatiques [prise de poisson ou aquaculture] pour la consommation ou la vente des ménages.]
1)OUI
2)NON
3)NE SAIT PAS
4)REFUSÉ</t>
        </is>
      </c>
      <c r="G35" s="297">
        <f>LEN(F35)</f>
        <v/>
      </c>
      <c r="H35" s="160" t="inlineStr">
        <is>
          <t>Je, kuna mtu yeyote katika familia yako ambaye amekuwa akijishughulisha na uzalishaji wa majini [kuvua samaki au ufugaji wa samaki] kwa matumizi ya familia au kwa mauzo katika kipindi cha miezi 12 iliyopita?
[MWENDESHAJI: JIBU MOJA.]
[KIASHIRIA CHA KUCHUNGUZA: Haipaswi kujumuisha uvuvi wa michezo. Inapaswa kuwa juu ya uzalishaji wa mazao ya majini [samaki wanaovuliwa au ufugaji wa samaki] kwa matumizi ya famille au mauzo.]
1)NDIYO
2)HAPANA
3)SIJUE
4)NILIKUKATALA</t>
        </is>
      </c>
      <c r="I35" s="297">
        <f>LEN(H35)</f>
        <v/>
      </c>
      <c r="J35" s="294" t="inlineStr">
        <is>
          <t>Single Choice</t>
        </is>
      </c>
      <c r="K35" s="296" t="inlineStr">
        <is>
          <t>NA</t>
        </is>
      </c>
      <c r="L35" s="296" t="inlineStr">
        <is>
          <t>NA</t>
        </is>
      </c>
      <c r="M35" s="296" t="inlineStr">
        <is>
          <t>Form Type - Buttons</t>
        </is>
      </c>
      <c r="N35" s="298" t="inlineStr">
        <is>
          <t>NA</t>
        </is>
      </c>
      <c r="O35" s="299" t="inlineStr">
        <is>
          <t>1-2 = resp_id
3-4 = Ineligible</t>
        </is>
      </c>
      <c r="P35" s="290" t="n"/>
      <c r="Q35" s="300" t="inlineStr">
        <is>
          <t>if hh_fish = 1-2, go to resp_id. Otherwise, the respondent is ineligible.</t>
        </is>
      </c>
      <c r="R35" s="298" t="inlineStr"/>
      <c r="S35" s="301" t="inlineStr">
        <is>
          <t xml:space="preserve">Use this question if the survey seeks to gather important information on fisheries and/or aquaculture in the country. </t>
        </is>
      </c>
      <c r="T35" s="302" t="n"/>
      <c r="U35" s="303" t="n"/>
      <c r="W35" s="305" t="inlineStr"/>
      <c r="X35" s="306" t="n"/>
      <c r="AA35" s="737" t="n"/>
      <c r="AB35" s="737" t="n"/>
      <c r="AC35" s="303" t="inlineStr"/>
    </row>
    <row r="36" ht="21.5" customFormat="1" customHeight="1" s="183" thickBot="1">
      <c r="A36" s="710" t="inlineStr">
        <is>
          <t>B. GENERAL HOUSEHOLD INFORMATION</t>
        </is>
      </c>
      <c r="B36" s="732" t="n"/>
      <c r="C36" s="732" t="n"/>
      <c r="D36" s="732" t="n"/>
      <c r="E36" s="732" t="n"/>
      <c r="F36" s="732" t="n"/>
      <c r="G36" s="732" t="n"/>
      <c r="H36" s="732" t="n"/>
      <c r="I36" s="732" t="n"/>
      <c r="J36" s="732" t="n"/>
      <c r="K36" s="732" t="n"/>
      <c r="L36" s="732" t="n"/>
      <c r="M36" s="732" t="n"/>
      <c r="N36" s="732" t="n"/>
      <c r="O36" s="732" t="n"/>
      <c r="P36" s="732" t="n"/>
      <c r="Q36" s="732" t="n"/>
      <c r="R36" s="732" t="n"/>
      <c r="S36" s="733" t="n"/>
      <c r="T36" s="132" t="n"/>
      <c r="U36" s="133" t="n"/>
      <c r="W36" s="194" t="n"/>
      <c r="X36" s="726" t="n"/>
      <c r="AA36" s="735" t="n"/>
      <c r="AB36" s="734">
        <f>IF(AA36="","",AA36*T36)</f>
        <v/>
      </c>
      <c r="AC36" s="133">
        <f>IF(W36="yes",AB36,"")</f>
        <v/>
      </c>
    </row>
    <row r="37" ht="168" customFormat="1" customHeight="1" s="316">
      <c r="A37" s="308">
        <f>A35+1</f>
        <v/>
      </c>
      <c r="B37" s="309" t="inlineStr">
        <is>
          <t>resp_id</t>
        </is>
      </c>
      <c r="C37" s="309" t="inlineStr">
        <is>
          <t>resp_id</t>
        </is>
      </c>
      <c r="D37" s="310" t="inlineStr">
        <is>
          <t>Are you the head of household? 
[OPERATOR: SINGLE RESPONSE.]
1)YES
2)NO
3)DON'T KNOW
4)REFUSED</t>
        </is>
      </c>
      <c r="E37" s="309" t="n">
        <v>96</v>
      </c>
      <c r="F37" s="289" t="inlineStr">
        <is>
          <t>Êtes-vous le chef de ménage?
[OPÉRATEUR/OPÉRATRICE: RÉPONSE UNIQUE.]
1)OUI
2)NON
3)NE SAIT PAS
4)REFUSÉ</t>
        </is>
      </c>
      <c r="G37" s="309">
        <f>LEN(F37)</f>
        <v/>
      </c>
      <c r="H37" s="311" t="inlineStr">
        <is>
          <t>Wewe ni mkuu wa nyumba?
[OPERATOR: JIBU MOJA.]
1)NDIYO
2)HAPANA
3)SIJUE
4)KUKATALA</t>
        </is>
      </c>
      <c r="I37" s="312">
        <f>LEN(H37)</f>
        <v/>
      </c>
      <c r="J37" s="312" t="inlineStr">
        <is>
          <t>Single Choice</t>
        </is>
      </c>
      <c r="K37" s="312" t="inlineStr">
        <is>
          <t>NA</t>
        </is>
      </c>
      <c r="L37" s="312" t="inlineStr">
        <is>
          <t>NA</t>
        </is>
      </c>
      <c r="M37" s="312" t="inlineStr">
        <is>
          <t>Form Type - Buttons</t>
        </is>
      </c>
      <c r="N37" s="149" t="inlineStr">
        <is>
          <t>NA</t>
        </is>
      </c>
      <c r="O37" s="284" t="inlineStr">
        <is>
          <t>1 = hh_education 
2-4 = hh_age</t>
        </is>
      </c>
      <c r="P37" s="313" t="n"/>
      <c r="Q37" s="284" t="inlineStr">
        <is>
          <t>if resp_id = 1, go to hh_education. 
Otherwise, go to hh_gender.</t>
        </is>
      </c>
      <c r="R37" s="285" t="inlineStr"/>
      <c r="S37" s="286" t="n"/>
      <c r="T37" s="314" t="n">
        <v>1</v>
      </c>
      <c r="U37" s="315" t="n"/>
      <c r="W37" s="317" t="inlineStr">
        <is>
          <t>yes</t>
        </is>
      </c>
      <c r="X37" s="318" t="n"/>
      <c r="AA37" s="738" t="n">
        <v>10.5</v>
      </c>
      <c r="AB37" s="734">
        <f>IF(AA37="","",AA37*T37)</f>
        <v/>
      </c>
      <c r="AC37" s="315" t="inlineStr"/>
    </row>
    <row r="38" ht="210" customFormat="1" customHeight="1" s="183">
      <c r="A38" s="308">
        <f>A37+1</f>
        <v/>
      </c>
      <c r="B38" s="320" t="inlineStr">
        <is>
          <t>hh_age</t>
        </is>
      </c>
      <c r="C38" s="320" t="inlineStr">
        <is>
          <t>hh_age</t>
        </is>
      </c>
      <c r="D38" s="178" t="inlineStr">
        <is>
          <t>How old is the head of household? 
[OPERATOR: SINGLE RESPONSE.]
1)Under 18
2)18 to 40 
3)41 to 65 
4)Over 65
5)DON'T KNOW
6)REFUSED</t>
        </is>
      </c>
      <c r="E38" s="186">
        <f>LEN(D38)</f>
        <v/>
      </c>
      <c r="F38" s="179" t="inlineStr">
        <is>
          <t>Quel âge a le chef de famille?
[OPÉRATEUR/OPÉRATRICE: RÉPONSE UNIQUE.]
1)Moins de 18 ans
2)entre 18 et 40 ans 
3)entre 41 et 65 ans
4)Plus de 65 ans
5)NE SAIT PAS
6)REFUSÉ</t>
        </is>
      </c>
      <c r="G38" s="186">
        <f>LEN(F38)</f>
        <v/>
      </c>
      <c r="H38" s="159" t="inlineStr">
        <is>
          <t>Mkuu wa nyumba ana umri gani?
[OPERATOR: JIBU MOJA.]
1)Chini ya miaka 18
2)18 hadi 40
3)41 hadi 65
4)Zaidi ya 65
5)SIJUE
6)KUKATALA</t>
        </is>
      </c>
      <c r="I38" s="321">
        <f>LEN(H38)</f>
        <v/>
      </c>
      <c r="J38" s="322" t="inlineStr">
        <is>
          <t>Single Choice</t>
        </is>
      </c>
      <c r="K38" s="321" t="inlineStr">
        <is>
          <t>NA</t>
        </is>
      </c>
      <c r="L38" s="321" t="inlineStr">
        <is>
          <t>NA</t>
        </is>
      </c>
      <c r="M38" s="186" t="inlineStr">
        <is>
          <t>Form Type - Buttons</t>
        </is>
      </c>
      <c r="N38" s="152" t="inlineStr">
        <is>
          <t>NA</t>
        </is>
      </c>
      <c r="O38" s="185" t="inlineStr">
        <is>
          <t>1-6 = hh_gender</t>
        </is>
      </c>
      <c r="P38" s="323" t="inlineStr">
        <is>
          <t>GeoPoll [5/6/2025]: Would suggest changing the order so this question comes directly after resp_id and updating the conditional logic so respondent is only asked if they are not the head of household. Kindly advise if ok?
FAO=OK</t>
        </is>
      </c>
      <c r="Q38" s="324" t="inlineStr">
        <is>
          <t>For any response, go to [next question]</t>
        </is>
      </c>
      <c r="R38" s="325" t="inlineStr"/>
      <c r="S38" s="166" t="n"/>
      <c r="T38" s="132">
        <f>1</f>
        <v/>
      </c>
      <c r="U38" s="133" t="n"/>
      <c r="W38" s="194" t="inlineStr">
        <is>
          <t>no</t>
        </is>
      </c>
      <c r="X38" s="726" t="n"/>
      <c r="AA38" s="735" t="n">
        <v>7.02484130859375</v>
      </c>
      <c r="AB38" s="735">
        <f>IF(AA38="","",AA38*T38)</f>
        <v/>
      </c>
      <c r="AC38" s="133" t="inlineStr"/>
    </row>
    <row r="39" ht="168" customFormat="1" customHeight="1" s="183">
      <c r="A39" s="308">
        <f>A38+1</f>
        <v/>
      </c>
      <c r="B39" s="146" t="inlineStr">
        <is>
          <t>hh_gender</t>
        </is>
      </c>
      <c r="C39" s="156" t="inlineStr">
        <is>
          <t>hh_gender</t>
        </is>
      </c>
      <c r="D39" s="326" t="inlineStr">
        <is>
          <t>Is the head of your household male or female?
[OPERATOR: SINGLE RESPONSE.]
1)Male 
2)Female
3)DON'T KNOW
4)REFUSED</t>
        </is>
      </c>
      <c r="E39" s="148">
        <f>LEN(D39)</f>
        <v/>
      </c>
      <c r="F39" s="160" t="inlineStr">
        <is>
          <t>Le chef de votre ménage est-il un homme ou une femme?
[OPÉRATEUR/OPÉRATRICE: RÉPONSE UNIQUE.]
1)Homme
2)Femme
3)NE SAIT PAS
4)REFUSÉ</t>
        </is>
      </c>
      <c r="G39" s="312">
        <f>LEN(F39)</f>
        <v/>
      </c>
      <c r="H39" s="160" t="inlineStr">
        <is>
          <t>Je, mkuu wa nyumba yako ni mwanamume au mwanamke?_x000D_
_x000D_
[OPERATOR: JIBU MOJA.]_x000D_
_x000D_
1)Mwanaume_x000D_
2)Mwanamke_x000D_
3)SIJUE_x000D_
4)KUKATALA</t>
        </is>
      </c>
      <c r="I39" s="312">
        <f>LEN(H39)</f>
        <v/>
      </c>
      <c r="J39" s="156" t="inlineStr">
        <is>
          <t>Single Choice</t>
        </is>
      </c>
      <c r="K39" s="148" t="inlineStr">
        <is>
          <t>NA</t>
        </is>
      </c>
      <c r="L39" s="148" t="inlineStr">
        <is>
          <t>NA</t>
        </is>
      </c>
      <c r="M39" s="148" t="inlineStr">
        <is>
          <t>Form Type - Buttons</t>
        </is>
      </c>
      <c r="N39" s="149" t="inlineStr">
        <is>
          <t>NA</t>
        </is>
      </c>
      <c r="O39" s="150" t="inlineStr">
        <is>
          <t>1-4 = hh_education</t>
        </is>
      </c>
      <c r="P39" s="151" t="n"/>
      <c r="Q39" s="150" t="inlineStr">
        <is>
          <t>if hh_gender = 1-4, go to hh_education.</t>
        </is>
      </c>
      <c r="R39" s="223" t="inlineStr"/>
      <c r="S39" s="327" t="n"/>
      <c r="T39" s="205">
        <f>1</f>
        <v/>
      </c>
      <c r="U39" s="133" t="n"/>
      <c r="W39" s="208" t="inlineStr">
        <is>
          <t>yes</t>
        </is>
      </c>
      <c r="X39" s="726" t="n"/>
      <c r="AA39" s="734" t="n">
        <v>10.5045337677002</v>
      </c>
      <c r="AB39" s="734">
        <f>IF(AA39="","",AA39*T39)</f>
        <v/>
      </c>
      <c r="AC39" s="133" t="inlineStr"/>
    </row>
    <row r="40" ht="257.15" customFormat="1" customHeight="1" s="183">
      <c r="A40" s="145">
        <f>A39+1</f>
        <v/>
      </c>
      <c r="B40" s="498" t="inlineStr">
        <is>
          <t>hh_education</t>
        </is>
      </c>
      <c r="C40" s="156" t="inlineStr">
        <is>
          <t>hh_education</t>
        </is>
      </c>
      <c r="D40" s="328" t="inlineStr">
        <is>
          <t>What is the educational level attained by the head of household?
[OPERATOR: SINGLE RESPONSE.]
1)None or did not complete primary school
2)Completed primary school
3)Completed secondary school
4)Completed higher education [University / College] degree
5)Religious or informal education only
6)DON'T KNOW
7)REFUSED</t>
        </is>
      </c>
      <c r="E40" s="186">
        <f>LEN(D40)</f>
        <v/>
      </c>
      <c r="F40" s="159" t="inlineStr">
        <is>
          <t>Quel est le niveau d'éducation du chef de votre ménage ?
[OPÉRATEUR/OPÉRATRICE: RÉPONSE UNIQUE.]
1)Aucun ou n'a pas terminé l'école primaire
2)A terminé l'école primaire
3)A terminé l'école secondaire
4)Diplôme de l'enseignement supérieur [Université]
5)Enseignement religieux ou informel uniquement
6)NE SAIT PAS
7)REFUSÉ</t>
        </is>
      </c>
      <c r="G40" s="158">
        <f>LEN(F40)</f>
        <v/>
      </c>
      <c r="H40" s="160" t="inlineStr">
        <is>
          <t>Je, mkuu wa nyumba ana kiwango gani cha elimu?
[OPERATOR: JIBU MOJA.]
1)Hakuna au hakumaliza shule ya msingi
2)Kumaliza shule ya msingi
3)Kumaliza shule ya sekondari
4)Alimaliza elimu ya juu [Chuo kikuu/Chuo]
5)Elimu ya dini au isiyo rasmi pekee
6)SIJUE
7)KUKATALA</t>
        </is>
      </c>
      <c r="I40" s="158">
        <f>LEN(H40)</f>
        <v/>
      </c>
      <c r="J40" s="282" t="inlineStr">
        <is>
          <t>Single Choice</t>
        </is>
      </c>
      <c r="K40" s="158" t="inlineStr">
        <is>
          <t>NA</t>
        </is>
      </c>
      <c r="L40" s="158" t="inlineStr">
        <is>
          <t>NA</t>
        </is>
      </c>
      <c r="M40" s="158" t="inlineStr">
        <is>
          <t>Form Type - Buttons</t>
        </is>
      </c>
      <c r="N40" s="149" t="inlineStr">
        <is>
          <t>NA</t>
        </is>
      </c>
      <c r="O40" s="162" t="inlineStr">
        <is>
          <t>1-7 = hh_wealth_water</t>
        </is>
      </c>
      <c r="P40" s="151" t="n"/>
      <c r="Q40" s="150" t="inlineStr">
        <is>
          <t>if hh_education = 1-7, go to hh_wealth.</t>
        </is>
      </c>
      <c r="R40" s="223" t="inlineStr"/>
      <c r="S40" s="293" t="n"/>
      <c r="T40" s="205">
        <f>1</f>
        <v/>
      </c>
      <c r="U40" s="133" t="n"/>
      <c r="W40" s="208" t="inlineStr">
        <is>
          <t>yes</t>
        </is>
      </c>
      <c r="X40" s="726" t="n"/>
      <c r="AA40" s="734" t="n">
        <v>12.42189884185791</v>
      </c>
      <c r="AB40" s="734">
        <f>IF(AA40="","",AA40*T40)</f>
        <v/>
      </c>
      <c r="AC40" s="133" t="inlineStr"/>
    </row>
    <row r="41" ht="357" customFormat="1" customHeight="1" s="183">
      <c r="A41" s="145">
        <f>A40+1</f>
        <v/>
      </c>
      <c r="B41" s="320" t="inlineStr">
        <is>
          <t>hh_wealth_water</t>
        </is>
      </c>
      <c r="C41" s="320" t="inlineStr">
        <is>
          <t>hh_wealth_water</t>
        </is>
      </c>
      <c r="D41" s="178" t="inlineStr">
        <is>
          <t>Where does the water that you drink at home come from?
[OPERATOR: SINGLE CHOICE.]
1)Private tap from piped water
2)Public tap
3)Protected well
4)Bottled water
5)Other safe source
6)River
7)Unprotected well
8)Spring water
9)Surface water [e.g. canals/ ponds/ dams]
10)Other unsafe source
11)DON'T KNOW
12)REFUSED</t>
        </is>
      </c>
      <c r="E41" s="186">
        <f>LEN(D41)</f>
        <v/>
      </c>
      <c r="F41" s="179" t="inlineStr">
        <is>
          <t>Où vous procurez-vous habituellement l'eau que vous buvez dans votre foyer?
[OPÉRATEUR/OPÉRATRICE: RÉPONSE UNIQUE.]
1)Robinet privé avec eau courante
2)Robinet public
3)Puits protégé
4)Eau en bouteille
5)Autre source sûre
6)Rivière
7)Puits non protégé
8)Eau de source
9)Eaux de surface [par ex. canaux/ étangs/ barrages]
10)Autre source non sûre
11)NE SAIT PAS
12)REFUSÉ</t>
        </is>
      </c>
      <c r="G41" s="186">
        <f>LEN(F41)</f>
        <v/>
      </c>
      <c r="H41" s="160" t="inlineStr">
        <is>
          <t>Maji munakunywaka nyumbani inatokaka wapi?_x000D_
_x000D_
[OPERATOR: CHAGUO MOJA.]_x000D_
_x000D_
1)Bomba la kibinafsi kutoka kwa maji ya bomba_x000D_
2)Bomba la umma_x000D_
3)Imelindwa vizuri_x000D_
4)Maji ya chupa_x000D_
5)Chanzo kingine salama_x000D_
6)Mto_x000D_
7)Haijahifadhiwa mzuri_x000D_
8)Maji ya chemchemi_x000D_
9)Maji ya usoni [k.m. mifereji / mabwawa / mabwawa]_x000D_
10)Chanzo kingine kisicho salama_x000D_
11)SIJUE_x000D_
12)KUKATALA</t>
        </is>
      </c>
      <c r="I41" s="186">
        <f>LEN(H41)</f>
        <v/>
      </c>
      <c r="J41" s="322" t="inlineStr">
        <is>
          <t>Single Choice</t>
        </is>
      </c>
      <c r="K41" s="186" t="inlineStr">
        <is>
          <t>NA</t>
        </is>
      </c>
      <c r="L41" s="186" t="inlineStr">
        <is>
          <t>NA</t>
        </is>
      </c>
      <c r="M41" s="186" t="inlineStr">
        <is>
          <t>Form Type - Buttons</t>
        </is>
      </c>
      <c r="N41" s="152" t="inlineStr">
        <is>
          <t>NA</t>
        </is>
      </c>
      <c r="O41" s="329" t="inlineStr">
        <is>
          <t>1-12 = hh_wealth_toilet</t>
        </is>
      </c>
      <c r="P41" s="330" t="n"/>
      <c r="Q41" s="324" t="inlineStr">
        <is>
          <t>For any response, go to [income_main OR other optional question]</t>
        </is>
      </c>
      <c r="R41" s="331" t="inlineStr"/>
      <c r="S41" s="721" t="inlineStr">
        <is>
          <t>Select wealth indicators based on baseline information available; you can delete those that you do not want to use. 
If none of these indicators work in the context of your country, other wealth proxies are proposed in the optional questions below. 
Remember that baseline data will be necessary, and the variable should be defined properly in the "weight_input_table".</t>
        </is>
      </c>
      <c r="T41" s="132">
        <f>1</f>
        <v/>
      </c>
      <c r="U41" s="133" t="n"/>
      <c r="W41" s="194" t="inlineStr">
        <is>
          <t>yes</t>
        </is>
      </c>
      <c r="X41" s="726" t="n"/>
      <c r="AA41" s="735" t="n">
        <v>16.61565589904785</v>
      </c>
      <c r="AB41" s="735">
        <f>IF(AA41="","",AA41*T41)</f>
        <v/>
      </c>
      <c r="AC41" s="133" t="inlineStr"/>
    </row>
    <row r="42" ht="252" customFormat="1" customHeight="1" s="183">
      <c r="A42" s="145">
        <f>A41+1</f>
        <v/>
      </c>
      <c r="B42" s="320" t="inlineStr">
        <is>
          <t>hh_wealth_toilet</t>
        </is>
      </c>
      <c r="C42" s="320" t="inlineStr">
        <is>
          <t>hh_wealth_toilet</t>
        </is>
      </c>
      <c r="D42" s="178" t="inlineStr">
        <is>
          <t>Where do household members typically go to use a toilet?
[OPERATOR: SINGLE CHOICE.]
1)Flush latrine [toilet with water]
2)Traditional pit latrine [no water]
3)Open pit [hole in the ground for excrement without water/ roof or wall]
4)Communal latrine [with or without water]
5)None – bush
6)DON'T KNOW
7)REFUSED</t>
        </is>
      </c>
      <c r="E42" s="186">
        <f>LEN(D42)</f>
        <v/>
      </c>
      <c r="F42" s="179" t="inlineStr">
        <is>
          <t>Quel genre de toilettes les membres de votre ménage utilisent-ils?
[OPÉRATEUR/OPÉRATRICE: RÉPONSE UNIQUE.]
1)Latrines à chasse d'eau [toilettes avec eau]
2)Latrines traditionnelles à fosse [sans eau]
3)Fosse ouverte [trou dans le sol pour les excréments/ sans eau/ toit ni mur]
4)Latrines communautaires [avec ou sans eau]
5)Aucune – brousse
6)NE SAIT PAS
7)REFUSÉ</t>
        </is>
      </c>
      <c r="G42" s="186">
        <f>LEN(F42)</f>
        <v/>
      </c>
      <c r="H42" s="160" t="inlineStr">
        <is>
          <t>Wanafamilia wa nyumba huenda wapi kutumia choo?
[OPERATOR: JIBU MOJA]
1)Safisha choo [choo na maji]
2)Choo cha shimo cha kitamaduni [hakuna maji]
3)Shimo wazi [shimo ardhini kwa kinyesi bila maji / paa au ukuta]
4)Choo cha jumuiya [yenye au bila maji]
5)Hakuna - kichaka
6)SIJUE
7)KUKATALA</t>
        </is>
      </c>
      <c r="I42" s="186">
        <f>LEN(H42)</f>
        <v/>
      </c>
      <c r="J42" s="322" t="inlineStr">
        <is>
          <t>Single Choice</t>
        </is>
      </c>
      <c r="K42" s="186" t="inlineStr">
        <is>
          <t>NA</t>
        </is>
      </c>
      <c r="L42" s="186" t="inlineStr">
        <is>
          <t>NA</t>
        </is>
      </c>
      <c r="M42" s="186" t="inlineStr">
        <is>
          <t>Form Type - Buttons</t>
        </is>
      </c>
      <c r="N42" s="152" t="inlineStr">
        <is>
          <t>NA</t>
        </is>
      </c>
      <c r="O42" s="329" t="inlineStr">
        <is>
          <t>1-7 = hh_wealth_light</t>
        </is>
      </c>
      <c r="P42" s="330" t="n"/>
      <c r="Q42" s="324" t="inlineStr">
        <is>
          <t>For any response, go to [income_main OR other optional question]</t>
        </is>
      </c>
      <c r="R42" s="331" t="inlineStr"/>
      <c r="S42" s="739" t="n"/>
      <c r="T42" s="132">
        <f>1</f>
        <v/>
      </c>
      <c r="U42" s="133" t="n"/>
      <c r="W42" s="194" t="inlineStr">
        <is>
          <t>yes</t>
        </is>
      </c>
      <c r="X42" s="726" t="n"/>
      <c r="AA42" s="735" t="n">
        <v>12.60002136230469</v>
      </c>
      <c r="AB42" s="735">
        <f>IF(AA42="","",AA42*T42)</f>
        <v/>
      </c>
      <c r="AC42" s="133" t="inlineStr"/>
    </row>
    <row r="43" ht="252" customFormat="1" customHeight="1" s="183">
      <c r="A43" s="145">
        <f>A42+1</f>
        <v/>
      </c>
      <c r="B43" s="320" t="inlineStr">
        <is>
          <t>hh_wealth_light</t>
        </is>
      </c>
      <c r="C43" s="320" t="inlineStr">
        <is>
          <t>hh_wealth_light</t>
        </is>
      </c>
      <c r="D43" s="187" t="inlineStr">
        <is>
          <t>What is the main source of light in your dwelling?
[OPERATOR: SINGLE RESPONSE.]
1)Electricity [from generator or electrical grid]
2)Candle
3)Petrol lamp
4)Lamp with batteries
5)Solar panel
6)Other [no electric supply to the house]
7)DON'T KNOW
8)REFUSED</t>
        </is>
      </c>
      <c r="E43" s="186">
        <f>LEN(D43)</f>
        <v/>
      </c>
      <c r="F43" s="179" t="inlineStr">
        <is>
          <t>Quelle est la principale source de lumière de votre logement?
[OPÉRATEUR/OPÉRATRICE: RÉPONSE UNIQUE.]
1)Électricité [générateur ou réseau électrique]
2)Bougie
3)Lampe à pétrole
4)Lampe à piles
5)Panneaux solaires
6)Autre [pas d'alimentation électrique dans la maison]
7)NE SAIT PAS
8)REFUSÉ</t>
        </is>
      </c>
      <c r="G43" s="186">
        <f>LEN(F43)</f>
        <v/>
      </c>
      <c r="H43" s="160" t="inlineStr">
        <is>
          <t>Ni nini chanzo kikuu cha mwanga katika makao yako?
[OPERATOR: JIBU MOJA.]
1)Umeme [kutoka kwa jenereta au gridi ya umeme]
2)Mshumaa
3)Taa ya petroli
4)Taa yenye betri
5)Paneli ya jua
6)Yingine [hakuna usambazaji wa umeme kwa nyumba]
7)SIJUE
8)KUKATALA</t>
        </is>
      </c>
      <c r="I43" s="186">
        <f>LEN(H43)</f>
        <v/>
      </c>
      <c r="J43" s="322" t="inlineStr">
        <is>
          <t>Single Choice</t>
        </is>
      </c>
      <c r="K43" s="186" t="inlineStr">
        <is>
          <t>NA</t>
        </is>
      </c>
      <c r="L43" s="186" t="inlineStr">
        <is>
          <t>NA</t>
        </is>
      </c>
      <c r="M43" s="186" t="inlineStr">
        <is>
          <t>Form Type - Buttons</t>
        </is>
      </c>
      <c r="N43" s="152" t="inlineStr">
        <is>
          <t>NA</t>
        </is>
      </c>
      <c r="O43" s="332" t="inlineStr">
        <is>
          <t>1-8 = hh_size</t>
        </is>
      </c>
      <c r="P43" s="333" t="n"/>
      <c r="Q43" s="324" t="inlineStr">
        <is>
          <t>For any response, go to [income_main OR other optional question]</t>
        </is>
      </c>
      <c r="R43" s="331" t="inlineStr"/>
      <c r="S43" s="740" t="n"/>
      <c r="T43" s="132">
        <f>1</f>
        <v/>
      </c>
      <c r="U43" s="133" t="n"/>
      <c r="W43" s="194" t="inlineStr">
        <is>
          <t>yes</t>
        </is>
      </c>
      <c r="X43" s="726" t="n"/>
      <c r="AA43" s="735" t="n">
        <v>11.65592288970947</v>
      </c>
      <c r="AB43" s="735">
        <f>IF(AA43="","",AA43*T43)</f>
        <v/>
      </c>
      <c r="AC43" s="133" t="inlineStr"/>
    </row>
    <row r="44" ht="147" customFormat="1" customHeight="1" s="183">
      <c r="A44" s="145">
        <f>A43+1</f>
        <v/>
      </c>
      <c r="B44" s="320" t="inlineStr">
        <is>
          <t>hh_size</t>
        </is>
      </c>
      <c r="C44" s="322" t="inlineStr">
        <is>
          <t>hh_size</t>
        </is>
      </c>
      <c r="D44" s="178" t="inlineStr">
        <is>
          <t>How many people are part of the household?
[OPERATOR: RECORD NUMBER OF MEMBERS IN HOUSEHOLD. ENTER 88 FOR DON'T KNOW &amp; 99 FOR REFUSED.]
[HINT: TO BE A PART OF THE SAME HOUSEHOLD, MEMBERS MUST LIVE UNDER THE SAME ROOF, SHARE THE SAME RESOURCES &amp; EAT FROM THE SAME POT.]</t>
        </is>
      </c>
      <c r="E44" s="186">
        <f>LEN(D44)</f>
        <v/>
      </c>
      <c r="F44" s="178" t="inlineStr">
        <is>
          <t>De combien de personnes est composé votre ménage?
[OPÉRATEUR/OPÉRATRICE: ENREGISTRER LE NOMBRE DE MEMBRES DU MÉNAGE. ENTRER 88 POUR «NE SAIT PAS» ET 99 POUR «REFUSÉ».]
[CONSEIL: POUR FAIRE PARTIE D'UN MÊME MÉNAGE, LES MEMBRES DOIVENT VIVRE ENSEMBLE, METTRE EN COMMUN LEURS RESSOURCES ET PARTAGER LEURS REPAS.]</t>
        </is>
      </c>
      <c r="G44" s="186">
        <f>LEN(F44)</f>
        <v/>
      </c>
      <c r="H44" s="160" t="inlineStr">
        <is>
          <t>Je, nyumba yako ina watu wangapi?
[OPERATOR: REKODI IDADI YA WAJUMBE KATIKA KAYA. INGIA 88 KWA SIJUE &amp; 99 KWA KUKUKATALA.]
[DOKEZO: ILI KUWA SEHEMU YA KAYA MOJA, WAJUMBE LAZIMA WAISHI CHINI YA PAA MOJA, WASHIRIKIANE RASILIMALI ILE ILE NA KULA KUTOKA KATIKA SUFURIA MOJA.]</t>
        </is>
      </c>
      <c r="I44" s="186">
        <f>LEN(H44)</f>
        <v/>
      </c>
      <c r="J44" s="322" t="inlineStr">
        <is>
          <t>Range</t>
        </is>
      </c>
      <c r="K44" s="186" t="inlineStr">
        <is>
          <t>NA</t>
        </is>
      </c>
      <c r="L44" s="186" t="inlineStr">
        <is>
          <t>NA</t>
        </is>
      </c>
      <c r="M44" s="186" t="inlineStr">
        <is>
          <t>Form Type - TextBox</t>
        </is>
      </c>
      <c r="N44" s="152" t="inlineStr">
        <is>
          <t>NA</t>
        </is>
      </c>
      <c r="O44" s="185" t="inlineStr">
        <is>
          <t>1-50 = hh_asset_prod
88-88 = hh_asset_prod
99-99 = hh_asset_prod</t>
        </is>
      </c>
      <c r="P44" s="323" t="n"/>
      <c r="Q44" s="324" t="inlineStr">
        <is>
          <t>For any response, go to [next question]</t>
        </is>
      </c>
      <c r="R44" s="152" t="inlineStr"/>
      <c r="S44" s="166" t="n"/>
      <c r="T44" s="132">
        <f>1</f>
        <v/>
      </c>
      <c r="U44" s="133" t="n"/>
      <c r="W44" s="194" t="inlineStr">
        <is>
          <t>no</t>
        </is>
      </c>
      <c r="X44" s="726" t="n"/>
      <c r="AA44" s="735" t="n">
        <v>16.90229415893555</v>
      </c>
      <c r="AB44" s="735">
        <f>IF(AA44="","",AA44*T44)</f>
        <v/>
      </c>
      <c r="AC44" s="133" t="inlineStr"/>
    </row>
    <row r="45" ht="315" customFormat="1" customHeight="1" s="183">
      <c r="A45" s="693">
        <f>A44+1</f>
        <v/>
      </c>
      <c r="B45" s="694" t="inlineStr">
        <is>
          <t>o_hh_size_005</t>
        </is>
      </c>
      <c r="C45" s="695" t="inlineStr"/>
      <c r="D45" s="694" t="inlineStr">
        <is>
          <t>How many household members are between the ages of 0 and 5 years old?
[OPERATOR: ENTER 888 FOR DON'T KNOW &amp; 999 FOR REFUSED.]</t>
        </is>
      </c>
      <c r="E45" s="186">
        <f>LEN(D45)</f>
        <v/>
      </c>
      <c r="F45" s="694" t="inlineStr">
        <is>
          <t>Combien de membres de votre foyer ont entre 0 et 5 ans ?
[OPÉRATEUR : ENTRER 888 POUR « JE NE SAIS PAS » ET 999 POUR « REFUS ».]</t>
        </is>
      </c>
      <c r="G45" s="507" t="n"/>
      <c r="H45" s="447" t="n"/>
      <c r="I45" s="507" t="n"/>
      <c r="J45" s="694" t="inlineStr">
        <is>
          <t>Range</t>
        </is>
      </c>
      <c r="K45" s="694" t="inlineStr">
        <is>
          <t>NA</t>
        </is>
      </c>
      <c r="L45" s="694" t="inlineStr">
        <is>
          <t>NA</t>
        </is>
      </c>
      <c r="M45" s="694" t="inlineStr">
        <is>
          <t>Form Type -TextBox
Validation rule: Answer to this question is VALID if "hh_size" is IsGreaterThan "CurrentAnswer" - Unmatched Response [Vous avez donné un chiffre supérieur au nombre de personnes dans votre ménage. Veuillez indiquer le nombre correct de membres]</t>
        </is>
      </c>
      <c r="N45" s="694" t="inlineStr"/>
      <c r="O45" s="694" t="inlineStr">
        <is>
          <t>0-50 = o_hh_size_613
888-888 = o_hh_size_613
999-999 = o_hh_size_613</t>
        </is>
      </c>
      <c r="P45" s="323" t="n"/>
      <c r="Q45" s="324" t="inlineStr"/>
      <c r="R45" s="152" t="inlineStr"/>
      <c r="S45" s="166" t="n"/>
      <c r="T45" s="132" t="n"/>
      <c r="U45" s="133" t="n"/>
      <c r="W45" s="194" t="inlineStr"/>
      <c r="X45" s="726" t="n"/>
      <c r="AA45" s="735" t="n"/>
      <c r="AB45" s="735" t="n"/>
      <c r="AC45" s="133" t="inlineStr"/>
    </row>
    <row r="46" ht="186" customFormat="1" customHeight="1" s="183">
      <c r="A46" s="693">
        <f>A45+1</f>
        <v/>
      </c>
      <c r="B46" s="694" t="inlineStr">
        <is>
          <t>o_hh_size_613</t>
        </is>
      </c>
      <c r="C46" s="694" t="inlineStr"/>
      <c r="D46" s="694" t="inlineStr">
        <is>
          <t>How many household members are between the ages of 6 and 13 years old?
[OPERATOR: ENTER 888 FOR DON'T KNOW &amp; 999 FOR REFUSED.]</t>
        </is>
      </c>
      <c r="E46" s="186">
        <f>LEN(D46)</f>
        <v/>
      </c>
      <c r="F46" s="694" t="inlineStr">
        <is>
          <t>Combien de membres de votre foyer ont entre 6 et 13 ans ?
[OPÉRATEUR : ENTRER 888 POUR « JE NE SAIS PAS » ET 999 POUR « REFUS ».]</t>
        </is>
      </c>
      <c r="G46" s="694" t="n"/>
      <c r="H46" s="694" t="n"/>
      <c r="I46" s="694" t="n"/>
      <c r="J46" s="694" t="inlineStr">
        <is>
          <t>Range</t>
        </is>
      </c>
      <c r="K46" s="694" t="inlineStr">
        <is>
          <t>NA</t>
        </is>
      </c>
      <c r="L46" s="694" t="inlineStr">
        <is>
          <t>NA</t>
        </is>
      </c>
      <c r="M46" s="692" t="inlineStr">
        <is>
          <t>Form Type - TextBox
Validation rule: Answer to this question is VALID if "&lt;Expression&gt;hh_size - o_hh_size_005" is GreaterThan "CurrentAnswer" - Unmatched Response - [Vous avez donné un chiffre supérieur au nombre de personnes dans votre ménage. Veuillez indiquer le nombre correct de membres]</t>
        </is>
      </c>
      <c r="N46" s="694" t="inlineStr"/>
      <c r="O46" s="694" t="inlineStr">
        <is>
          <t>0-50 = o_hh_size_1417
888-888 = o_hh_size_1417
999-999 = o_hh_size_1417</t>
        </is>
      </c>
      <c r="P46" s="323" t="n"/>
      <c r="Q46" s="696" t="inlineStr">
        <is>
          <t>For any response, go to [next question]</t>
        </is>
      </c>
      <c r="R46" s="152" t="inlineStr"/>
      <c r="S46" s="166" t="n"/>
      <c r="T46" s="132" t="n"/>
      <c r="U46" s="133" t="n"/>
      <c r="W46" s="194" t="inlineStr"/>
      <c r="X46" s="726" t="n"/>
      <c r="AA46" s="735" t="n"/>
      <c r="AB46" s="735" t="n"/>
      <c r="AC46" s="133" t="inlineStr"/>
    </row>
    <row r="47" ht="186" customFormat="1" customHeight="1" s="183">
      <c r="A47" s="693">
        <f>A46+1</f>
        <v/>
      </c>
      <c r="B47" s="697" t="inlineStr">
        <is>
          <t>o_hh_size_1417</t>
        </is>
      </c>
      <c r="C47" s="695" t="inlineStr"/>
      <c r="D47" s="694" t="inlineStr">
        <is>
          <t>How many household members are between the ages of 14 and 17 years old?
[OPERATOR: ENTER 888 FOR DON'T KNOW &amp; 999 FOR REFUSED.]</t>
        </is>
      </c>
      <c r="E47" s="186">
        <f>LEN(D47)</f>
        <v/>
      </c>
      <c r="F47" s="694" t="inlineStr">
        <is>
          <t>Combien de membres de votre foyer ont entre 14 et 17 ans ?
[OPÉRATEUR : ENTRER 888 POUR « JE NE SAIS PAS » ET 999 POUR « REFUS ».]</t>
        </is>
      </c>
      <c r="G47" s="507" t="n"/>
      <c r="H47" s="447" t="n"/>
      <c r="I47" s="507" t="n"/>
      <c r="J47" s="695" t="inlineStr">
        <is>
          <t>Range</t>
        </is>
      </c>
      <c r="K47" s="507" t="inlineStr">
        <is>
          <t>NA</t>
        </is>
      </c>
      <c r="L47" s="507" t="inlineStr">
        <is>
          <t>NA</t>
        </is>
      </c>
      <c r="M47" s="699" t="inlineStr">
        <is>
          <t>Form Type - TextBox
Validation rule: Answer to this question is VALID if "&lt;Expression&gt;hh_size - o_hh_size_613" is GreaterThan "CurrentAnswer" - Unmatched Response - [Vous avez donné un chiffre supérieur au nombre de personnes dans votre ménage. Veuillez indiquer le nombre correct de membres]</t>
        </is>
      </c>
      <c r="N47" s="569" t="inlineStr"/>
      <c r="O47" s="700" t="inlineStr">
        <is>
          <t>0-50 = o_hh_size_1824
888-888 = o_hh_size_1824
999-999 = o_hh_size_1824</t>
        </is>
      </c>
      <c r="P47" s="323" t="n"/>
      <c r="Q47" s="696" t="inlineStr">
        <is>
          <t>For any response, go to [next question]</t>
        </is>
      </c>
      <c r="R47" s="152" t="inlineStr"/>
      <c r="S47" s="166" t="n"/>
      <c r="T47" s="132" t="n"/>
      <c r="U47" s="133" t="n"/>
      <c r="W47" s="194" t="inlineStr"/>
      <c r="X47" s="726" t="n"/>
      <c r="AA47" s="735" t="n"/>
      <c r="AB47" s="735" t="n"/>
      <c r="AC47" s="133" t="inlineStr"/>
    </row>
    <row r="48" ht="217" customFormat="1" customHeight="1" s="183">
      <c r="A48" s="693">
        <f>A47+1</f>
        <v/>
      </c>
      <c r="B48" s="697" t="inlineStr">
        <is>
          <t>o_hh_size_1824</t>
        </is>
      </c>
      <c r="C48" s="695" t="inlineStr"/>
      <c r="D48" s="698" t="inlineStr">
        <is>
          <t>How many household members are between the ages of 18 and 24 years old?
[OPERATOR: ENTER 888 FOR DON'T KNOW &amp; 999 FOR REFUSED.]</t>
        </is>
      </c>
      <c r="E48" s="186">
        <f>LEN(D48)</f>
        <v/>
      </c>
      <c r="F48" s="698" t="inlineStr">
        <is>
          <t>Combien de membres de votre foyer ont entre 18 et 24 ans ?
[OPÉRATEUR : ENTRER 888 POUR « JE NE SAIS PAS » ET 999 POUR « REFUS ».]</t>
        </is>
      </c>
      <c r="G48" s="507" t="n"/>
      <c r="H48" s="447" t="n"/>
      <c r="I48" s="507" t="n"/>
      <c r="J48" s="695" t="inlineStr">
        <is>
          <t>Range</t>
        </is>
      </c>
      <c r="K48" s="507" t="inlineStr">
        <is>
          <t>NA</t>
        </is>
      </c>
      <c r="L48" s="507" t="inlineStr">
        <is>
          <t>NA</t>
        </is>
      </c>
      <c r="M48" s="699" t="inlineStr">
        <is>
          <t>Form Type - TextBox
Validation rule: Answer to this question is VALID if "&lt;Expression&gt;hh_size - o_hh_size_005 - o_hh_size_613 - o_hh_size_1417" is GreaterThanorEqualto "CurrentAnswer" - Unmatched Response - [Vous avez donné un chiffre supérieur au nombre de personnes dans votre ménage. Veuillez indiquer le nombre correct de membres]</t>
        </is>
      </c>
      <c r="N48" s="569" t="inlineStr"/>
      <c r="O48" s="700" t="inlineStr">
        <is>
          <t>0-50 = o_hh_size_2564
888-888 = o_hh_size_2564
999-999 = o_hh_size_2564</t>
        </is>
      </c>
      <c r="P48" s="353" t="n"/>
      <c r="Q48" s="701" t="inlineStr">
        <is>
          <t>For any response, go to [next question]</t>
        </is>
      </c>
      <c r="R48" s="152" t="inlineStr"/>
      <c r="S48" s="166" t="n"/>
      <c r="T48" s="132" t="n"/>
      <c r="U48" s="133" t="n"/>
      <c r="W48" s="194" t="inlineStr"/>
      <c r="X48" s="726" t="n"/>
      <c r="AA48" s="735" t="n"/>
      <c r="AB48" s="735" t="n"/>
      <c r="AC48" s="133" t="inlineStr"/>
    </row>
    <row r="49" ht="232.5" customFormat="1" customHeight="1" s="183">
      <c r="A49" s="693">
        <f>A48+1</f>
        <v/>
      </c>
      <c r="B49" s="697" t="inlineStr">
        <is>
          <t>o_hh_size_2564</t>
        </is>
      </c>
      <c r="C49" s="695" t="inlineStr"/>
      <c r="D49" s="698" t="inlineStr">
        <is>
          <t>How many household members are between the ages of 25 and 64 years old?
[OPERATOR: ENTER 888 FOR DON'T KNOW &amp; 999 FOR REFUSED.]</t>
        </is>
      </c>
      <c r="E49" s="186">
        <f>LEN(D49)</f>
        <v/>
      </c>
      <c r="F49" s="698" t="inlineStr">
        <is>
          <t>Combien de membres de votre foyer ont entre 25 et 64  ans ?
[OPÉRATEUR : ENTRER 888 POUR « JE NE SAIS PAS » ET 999 POUR « REFUS ».]</t>
        </is>
      </c>
      <c r="G49" s="507" t="n"/>
      <c r="H49" s="447" t="n"/>
      <c r="I49" s="507" t="n"/>
      <c r="J49" s="695" t="inlineStr">
        <is>
          <t>Range</t>
        </is>
      </c>
      <c r="K49" s="507" t="inlineStr">
        <is>
          <t>NA</t>
        </is>
      </c>
      <c r="L49" s="507" t="inlineStr">
        <is>
          <t>NA</t>
        </is>
      </c>
      <c r="M49" s="699" t="inlineStr">
        <is>
          <t>Form Type - TextBox
Validation rule: Answer to this question is VALID if "&lt;Expression&gt;hh_size - o_hh_size_005 -o_hh_size_613 - o_hh_size_1417 - o_hh_size_1824" is GreaterThanorEqualto "CurrentAnswer" - Unmatched Response - [Vous avez donné un chiffre supérieur au nombre de personnes dans votre ménage. Veuillez indiquer le nombre correct de membres]</t>
        </is>
      </c>
      <c r="N49" s="569" t="inlineStr"/>
      <c r="O49" s="700" t="inlineStr">
        <is>
          <t>0-50 = o_hh_size_65
888-888 = o_hh_size_65
999-999 = o_hh_size_65</t>
        </is>
      </c>
      <c r="P49" s="353" t="n"/>
      <c r="Q49" s="701" t="inlineStr">
        <is>
          <t>For any response, go to [next question]</t>
        </is>
      </c>
      <c r="R49" s="152" t="inlineStr"/>
      <c r="S49" s="166" t="n"/>
      <c r="T49" s="132" t="n"/>
      <c r="U49" s="133" t="n"/>
      <c r="W49" s="194" t="inlineStr"/>
      <c r="X49" s="726" t="n"/>
      <c r="AA49" s="735" t="n"/>
      <c r="AB49" s="735" t="n"/>
      <c r="AC49" s="133" t="inlineStr"/>
    </row>
    <row r="50" ht="232.5" customFormat="1" customHeight="1" s="183">
      <c r="A50" s="693">
        <f>A49+1</f>
        <v/>
      </c>
      <c r="B50" s="702" t="inlineStr">
        <is>
          <t>o_hh_size_65</t>
        </is>
      </c>
      <c r="C50" s="695" t="inlineStr"/>
      <c r="D50" s="698" t="inlineStr">
        <is>
          <t>How many household members are more than 65 years old?
[OPERATOR: ENTER 888 FOR DON'T KNOW &amp; 999 FOR REFUSED.]</t>
        </is>
      </c>
      <c r="E50" s="186">
        <f>LEN(D50)</f>
        <v/>
      </c>
      <c r="F50" s="698" t="inlineStr">
        <is>
          <t>Combien de membres de votre foyer ont plus de 65 ans ?
[OPÉRATEUR : ENTRER 888 POUR « JE NE SAIS PAS » ET 999 POUR « REFUS ».]</t>
        </is>
      </c>
      <c r="G50" s="507" t="n"/>
      <c r="H50" s="447" t="n"/>
      <c r="I50" s="507" t="n"/>
      <c r="J50" s="695" t="inlineStr">
        <is>
          <t>Range</t>
        </is>
      </c>
      <c r="K50" s="507" t="inlineStr">
        <is>
          <t>NA</t>
        </is>
      </c>
      <c r="L50" s="507" t="inlineStr">
        <is>
          <t>NA</t>
        </is>
      </c>
      <c r="M50" s="699" t="inlineStr">
        <is>
          <t>Form Type - TextBox
Validation rule: Answer to this question is VALID if "&lt;Expression&gt;hh_size - o_hh_size_005 -o_hh_size_613 - o_hh_size_1417 - o_hh_size_1824 - o_hh_size_2564" is GreaterThanorEqualto "CurrentAnswer" - Unmatched Response - Vous avez donné un chiffre supérieur au nombre de personnes dans votre ménage. Veuillez indiquer le nombre correct de membres]</t>
        </is>
      </c>
      <c r="N50" s="569" t="inlineStr"/>
      <c r="O50" s="700" t="inlineStr">
        <is>
          <t>0-50 = o_pregnant
888-888 = o_pregnant
999-999 = o_pregnant</t>
        </is>
      </c>
      <c r="P50" s="353" t="n"/>
      <c r="Q50" s="701" t="inlineStr">
        <is>
          <t>For any response, go to [next question]</t>
        </is>
      </c>
      <c r="R50" s="152" t="inlineStr"/>
      <c r="S50" s="166" t="n"/>
      <c r="T50" s="132" t="n"/>
      <c r="U50" s="133" t="n"/>
      <c r="W50" s="194" t="inlineStr"/>
      <c r="X50" s="726" t="n"/>
      <c r="AA50" s="735" t="n"/>
      <c r="AB50" s="735" t="n"/>
      <c r="AC50" s="133" t="inlineStr"/>
    </row>
    <row r="51" ht="124" customFormat="1" customHeight="1" s="183">
      <c r="A51" s="693">
        <f>A50+1</f>
        <v/>
      </c>
      <c r="B51" s="702" t="inlineStr">
        <is>
          <t>o_pregnant_lactating</t>
        </is>
      </c>
      <c r="C51" s="695" t="inlineStr"/>
      <c r="D51" s="698" t="inlineStr">
        <is>
          <t>Is there any woman pregnant in your household?
[OPERATOR: SINGLE RESPONSE.]
1)Yes
2)No
3)Don't know
4)REFUSED</t>
        </is>
      </c>
      <c r="E51" s="186">
        <f>LEN(D51)</f>
        <v/>
      </c>
      <c r="F51" s="698" t="inlineStr">
        <is>
          <t>Y-a-t-il une ou plusieurs femmes enceintes dans votre ménage ?
[OPÉRATEUR/OPÉRATRICE: RÉPONSE UNIQUE.]
1)Oui
2)Non
3)NE SAIT PAS
4)REFUSÉ</t>
        </is>
      </c>
      <c r="G51" s="507" t="n"/>
      <c r="H51" s="447" t="n"/>
      <c r="I51" s="507" t="n"/>
      <c r="J51" s="695" t="inlineStr">
        <is>
          <t>Range</t>
        </is>
      </c>
      <c r="K51" s="507" t="inlineStr">
        <is>
          <t>NA</t>
        </is>
      </c>
      <c r="L51" s="507" t="inlineStr">
        <is>
          <t>NA</t>
        </is>
      </c>
      <c r="M51" s="699" t="inlineStr">
        <is>
          <t>Form Type - Buttons</t>
        </is>
      </c>
      <c r="N51" s="569" t="inlineStr"/>
      <c r="O51" s="703" t="inlineStr">
        <is>
          <t>1-4=hh_asset_prod</t>
        </is>
      </c>
      <c r="P51" s="353" t="n"/>
      <c r="Q51" s="704" t="inlineStr"/>
      <c r="R51" s="152" t="inlineStr"/>
      <c r="S51" s="166" t="n"/>
      <c r="T51" s="132" t="n"/>
      <c r="U51" s="133" t="n"/>
      <c r="W51" s="194" t="inlineStr"/>
      <c r="X51" s="726" t="n"/>
      <c r="AA51" s="735" t="n"/>
      <c r="AB51" s="735" t="n"/>
      <c r="AC51" s="133" t="inlineStr"/>
    </row>
    <row r="52" ht="340.5" customFormat="1" customHeight="1" s="183">
      <c r="A52" s="705">
        <f>A51+1</f>
        <v/>
      </c>
      <c r="B52" s="320" t="inlineStr">
        <is>
          <t>hh_asset_prod</t>
        </is>
      </c>
      <c r="C52" s="320" t="inlineStr">
        <is>
          <t>hh_asset_prod_
1) hh_asset_prod_process
2) hh_asset_prod_farmmach
3) hh_asset_prod_sewing
4) hh_asset_prod_taxi
5) hh_asset_prod_truck
6) hh_asset_prod_other
7) hh_asset_prod_none
8) hh_asset_prod_dk
9) hh_asset_prod_ref</t>
        </is>
      </c>
      <c r="D52" s="334" t="inlineStr">
        <is>
          <t>Does your household own any of the following productive assets? 
[OPERATOR: MULTIPLE RESPONSES POSSIBLE. READ ANSWER OPTIONS OUT LOUD.]
1)Processing assets [e.g. grinding/crushing machine/ mill/ oil press/ fish tanks]
2)Farm or fishing machinery [e.g. tractor/ plough/ sickle/ boats/ engines]
3)Sewing machine or weaving tool 
4)Taxi
5)Truck
6)Other productive machines or assets
7)No productive machines or assets
8)DON'T KNOW
9)REFUSED</t>
        </is>
      </c>
      <c r="E52" s="186">
        <f>LEN(D52)</f>
        <v/>
      </c>
      <c r="F52" s="335" t="inlineStr">
        <is>
          <t xml:space="preserve">Votre ménage possède-t-il l'un des actifs productifs suivants?
[OPÉRATEUR / OPÉRATRICE : PLUSIEURS RÉPONSES POSSIBLES. LIRE LES OPTIONS DE RÉPONSE À HAUTE VOIX.]
1)Actifs de transformation [par ex. broyeur/ moulin/ presse à huile/ aquarium]
2)Machine agricole ou de pêche [par ex. tracteur/ charrue/ faucille/ bateaux/ moteurs]
3)Machine à coudre ou métier à tisser
4)Taxi
5)Camion
6)Autres machines ou actifs productifs
7)Aucune machine ou actif productif
8)NE SAIT PAS
9)REFUSÉ
</t>
        </is>
      </c>
      <c r="G52" s="186">
        <f>LEN(F52)</f>
        <v/>
      </c>
      <c r="H52" s="160" t="inlineStr">
        <is>
          <t>Kaya yako inamiliki mojawapo ya mali zifuatazo za uzalishaji?
[OPERATOR: MAJIBU MENGI YANAWEZEKANA. SOMA CHAGUO ZA MAJIBU KWA SAUTI.]
1)Usindikaji wa bidhaa [mali] [kwa mfano. mashine ya kusaga/kinu/vyombo vya habari vya mafuta/mizinga ya samaki]
2)Mashine za kilimo au uvuvi [kwa mfano. trekta/Jembe la kulima/mundu/boti/mitambo]
3)Cherehani au weaving chombo
4)Teksi
5)Lori
6)Mashine yingine  za uzalishaji au mali
7)Hakuna mashine za uzalishaji au mali
8)SIJUE
9)KUKATALA</t>
        </is>
      </c>
      <c r="I52" s="186">
        <f>LEN(H52)</f>
        <v/>
      </c>
      <c r="J52" s="322" t="inlineStr">
        <is>
          <t>Select All That Apply</t>
        </is>
      </c>
      <c r="K52" s="186" t="inlineStr">
        <is>
          <t>NA</t>
        </is>
      </c>
      <c r="L52" s="186" t="inlineStr">
        <is>
          <t>NA</t>
        </is>
      </c>
      <c r="M52" s="186" t="inlineStr">
        <is>
          <t>Form Type - Checklist
7,8,9 = IsNone</t>
        </is>
      </c>
      <c r="N52" s="152" t="inlineStr">
        <is>
          <t>1)hh_asset_prod_process
2)hh_asset_prod_farmmach
3)hh_asset_prod_sewing
4)hh_asset_prod_taxi
5)hh_asset_prod_truck
6)hh_asset_prod_other
7)hh_asset_prod_none
8)hh_asset_prod_dk
9)hh_asset_prod_ref</t>
        </is>
      </c>
      <c r="O52" s="185" t="inlineStr">
        <is>
          <t>1-9 = hh_asset_transp</t>
        </is>
      </c>
      <c r="P52" s="323" t="n"/>
      <c r="Q52" s="324" t="inlineStr">
        <is>
          <t>For any response, go to [next question]</t>
        </is>
      </c>
      <c r="R52" s="152" t="inlineStr"/>
      <c r="S52" s="182" t="inlineStr">
        <is>
          <t xml:space="preserve">This wealth indicator may be useful to Identify poor households in middle income countries. It could be interesting for F2F surveys, to be used as baseline reference for follow-up surveys. </t>
        </is>
      </c>
      <c r="T52" s="132">
        <f>1</f>
        <v/>
      </c>
      <c r="U52" s="133" t="n"/>
      <c r="W52" s="194" t="inlineStr">
        <is>
          <t>no</t>
        </is>
      </c>
      <c r="X52" s="726" t="n"/>
      <c r="AA52" s="735" t="n">
        <v>16.95780372619629</v>
      </c>
      <c r="AB52" s="735">
        <f>IF(AA52="","",AA52*T52)</f>
        <v/>
      </c>
      <c r="AC52" s="133" t="inlineStr"/>
    </row>
    <row r="53" ht="389.5" customFormat="1" customHeight="1" s="183">
      <c r="A53" s="145">
        <f>A52+1</f>
        <v/>
      </c>
      <c r="B53" s="320" t="inlineStr">
        <is>
          <t>hh_asset_transp</t>
        </is>
      </c>
      <c r="C53" s="336" t="inlineStr">
        <is>
          <t>hh_asset_transp_
1) hh_asset_transp_bici
2) hh_asset_transp_cart
3) hh_asset_transp_boatmotor
4) hh_asset_transp_boatnomotor
5) hh_asset_transp_motorbike
6) hh_asset_transp_car
7) hh_asset_transp_van
8) hh_asset_transp_other
9) hh_asset_transp_none
10) hh_asset_transp_dk
11) hh_asset_transp_ref</t>
        </is>
      </c>
      <c r="D53" s="334" t="inlineStr">
        <is>
          <t>Do you or any member of your household own any of the following transportation assets? 
[OPERATOR: MULTIPLE RESPONSES POSSIBLE. READ ANSWER OPTIONS OUT LOUD.]
1)Bicycle
2)Cart [animal drawn]
3)Boat with an engine [inboard or outboard]
4)Unmotorized boat [e.g. canoe]
5)Motorbike / scooter / auto rickshaw
6)Car
7)Van or small truck
8)Other motor vehicle
9)None of the above
10)DON'T KNOW
11)REFUSED</t>
        </is>
      </c>
      <c r="E53" s="186">
        <f>LEN(D53)</f>
        <v/>
      </c>
      <c r="F53" s="337" t="inlineStr">
        <is>
          <t>Est-ce que vous ou un membre de votre ménage possède un des véhicules suivants? 
[OPÉRATEUR / OPÉRATRICE : PLUSIEURS RÉPONSES POSSIBLES. LIRE LES OPTIONS DE RÉPONSE À HAUTE VOIX.]
1)Bicyclette
2)Chariot [tiré par un animal]
3)Bateau avec moteur [in-bord ou hors-bord]
4)Bateau non motorisé [par ex. canoë]
5)Moto/scooter/pousse-pousse
6)Voiture
7)Fourgonnette ou petit camion
8)Autre véhicule motorisé
9)Aucun des véhicules proposés
10)NE SAIT PAS
11)REFUSÉ</t>
        </is>
      </c>
      <c r="G53" s="186">
        <f>LEN(F53)</f>
        <v/>
      </c>
      <c r="H53" s="160" t="inlineStr">
        <is>
          <t>Wewe au mwanakaya yeyote anamiliki mojawapo ya mali muna fuataka usafiri?
[OPERATOR: MAJIBU MENGI YANAWEZEKANA. SOMA CHAGUO YA MAJIBU KWA SAUTI.]
1)Baiskeli
2)Mkokoteni [wanyama waliochorwa]
3)Mashua yenye injini [injini ndani au injini nje]
4)Mashua isiyo na injini [kwa mfano - [mashua [canon]
5)pikipiki/Skuta/pikipiki ya kukodisha
6)Gari
7)Gari ndogo au Lori dogo
8)Gari la injini nyingine
9)Hakuna kati ya hapo juu
10)SIJUE
11)KUKATALA</t>
        </is>
      </c>
      <c r="I53" s="186">
        <f>LEN(H53)</f>
        <v/>
      </c>
      <c r="J53" s="322" t="inlineStr">
        <is>
          <t>Select All That Apply</t>
        </is>
      </c>
      <c r="K53" s="186" t="inlineStr">
        <is>
          <t>NA</t>
        </is>
      </c>
      <c r="L53" s="186" t="inlineStr">
        <is>
          <t>NA</t>
        </is>
      </c>
      <c r="M53" s="186" t="inlineStr">
        <is>
          <t>Form Type - Checklist
9,10,11 = IsNone</t>
        </is>
      </c>
      <c r="N53" s="152" t="inlineStr">
        <is>
          <t>1)hh_asset_transp_bici
2)hh_asset_transp_cart
3)hh_asset_transp_boatmotor
4)hh_asset_transp_boatnomotor
5)hh_asset_transp_motorbike
6)hh_asset_transp_car
7)hh_asset_transp_van
8)hh_asset_transp_other
9)hh_asset_transp_none
10)hh_asset_transp_dk
11)hh_asset_transp_ref</t>
        </is>
      </c>
      <c r="O53" s="185" t="inlineStr">
        <is>
          <t>1-11 =resp_residencetype</t>
        </is>
      </c>
      <c r="P53" s="323" t="n"/>
      <c r="Q53" s="324" t="inlineStr">
        <is>
          <t>For any response, go to [next question]</t>
        </is>
      </c>
      <c r="R53" s="152" t="inlineStr"/>
      <c r="S53" s="182" t="inlineStr">
        <is>
          <t xml:space="preserve">This wealth indicator may be useful to Identify poor households in middle income countries. It could be interesting for F2F surveys, to be used as baseline reference for follow-up surveys. </t>
        </is>
      </c>
      <c r="T53" s="132">
        <f>1</f>
        <v/>
      </c>
      <c r="U53" s="133" t="n"/>
      <c r="W53" s="194" t="inlineStr">
        <is>
          <t>no</t>
        </is>
      </c>
      <c r="X53" s="726" t="n"/>
      <c r="AA53" s="735" t="n">
        <v>11.02202892303467</v>
      </c>
      <c r="AB53" s="735">
        <f>IF(AA53="","",AA53*T53)</f>
        <v/>
      </c>
      <c r="AC53" s="133" t="inlineStr"/>
    </row>
    <row r="54" ht="409.4" customFormat="1" customHeight="1" s="183" thickBot="1">
      <c r="A54" s="145">
        <f>A53+1</f>
        <v/>
      </c>
      <c r="B54" s="338" t="inlineStr">
        <is>
          <t>resp_residencetype</t>
        </is>
      </c>
      <c r="C54" s="338" t="inlineStr">
        <is>
          <t>resp_residencetype</t>
        </is>
      </c>
      <c r="D54" s="339" t="inlineStr">
        <is>
          <t>How would you describe your residence status? Are you a... 
[OPERATOR: READ OUT THE OPTIONS. SINGLE RESPONSE.]
[HINT: IF RESPONDENT IS ONLY AWAY FROM THE HOUSEHOLD FOR SHORT SEASONAL WORK (&lt;6 MONTHS) OR TRANSHUMANCE, MAKE SURE TO REFER TO THEIR HOUSEHOLD WHERE THEY TYPICALLY ARE LOCATED.]
1)Permanent resident - You have been living in your village / town for longer than two years and this is what you consider your habitual residence
2)Returnee - You have only come back to this residence in the last two years after having been forced to move to another location having fled conflict or natural disaster 
3)Internally displaced person [IDP] - You were forced to flee your village or town because of conflict or natural disaster and you are now an internally displaced person in your current place of residence
4)Refugee - you were forced to flee your country because of conflict or natural disaster and you are now a refugee in your current place of residence
5)DON'T KNOW
6)REFUSED</t>
        </is>
      </c>
      <c r="E54" s="340">
        <f>LEN(D54)</f>
        <v/>
      </c>
      <c r="F54" s="341" t="inlineStr">
        <is>
          <t>Comment décririez-vous votre statut de résidence? Êtes-vous un(e)... 
[OPÉRATEUR/OPÉRATRICE: LIRE LES OPTIONS, RÉPONSE UNIQUE].
[CONSEIL: SI LA PERSONNE INTERROGÉE N'EST ÉLOIGNÉE DU FOYER QUE POUR UN TRAVAIL SAISONNIER DE COURTE DURÉE (&lt;6 MOIS) OU POUR LA TRANSHUMANCE,  FAIRE RÉFÉRENCE AU FOYER OÙ ELLE VIT HABITUELLEMENT].
1)Résident[e] permanent[e] - vous vivez dans votre village/ville depuis plus de deux ans et vous le/la considérez comme votre lieu de résidence habituel
2)Personne retournée - vous êtes revenu dans votre lieu de résidence au cours des deux dernières années après avoir été contraint de vous déplacer pour fuir un conflit ou une catastrophe naturelle [si le retour a eu lieu il y a plus de deux ans/ le répondant est considéré comme un résident permanent
3)Personne déplacée à l'intérieur de son pays - vous avez été forcé de fuir votre village ou votre ville en raison d'un conflit ou d'une catastrophe naturelle et/ dans votre lieu de résidence actuel/ vous êtes une personne déplacée à l'intérieur de son propre pays
4)Réfugié - vous avez été forcé de fuir votre pays en raison d'un conflit ou d'une catastrophe naturelle et/ dans votre lieu de résidence actuel/ vous êtes un réfugié
5)NE SAIT PAS
6)REFUSÉ</t>
        </is>
      </c>
      <c r="G54" s="340">
        <f>LEN(F54)</f>
        <v/>
      </c>
      <c r="H54" s="342" t="inlineStr">
        <is>
          <t xml:space="preserve">Je, unaweza kuelezeaje hali yako ya ukaaji? Je, wewe ni...
[OPERATOR: SOMA CHAGUO, MAJIBU MOJA].
[KIDOKEZO: IWAPO MHOJIWA YUPO MBALI NA NYUMBANI TU KWA KAZI YA MUDA MFUPI (&lt; MIEZI 6) AU KWA AJILI YA KUPELEKA, REJEA NYUMBANI WANAPOISHI KAWAIDA].
1) Mkazi wa kudumu - umeishi katika kijiji/mji wako kwa zaidi ya miaka miwili na unaona kuwa ni makazi yako ya kawaida.
2) Mrejeshwaji - ulirudi kwenye makazi yako ndani ya miaka miwili iliyopita baada ya kulazimishwa kuhama kutoroka migogoro au maafa ya asili [ikiwa kurudi kulifanyika zaidi ya miaka miwili iliyopita/ mhojiwa anachukuliwa kuwa mkazi wa kudumu.
3) Mkimbizi wa ndani - umelazimika kukimbia kijiji au mji wako kwa sababu ya migogoro au maafa ya asili na/ katika makazi yako ya sasa / wewe ni mkimbizi wa ndani.
4) Mkimbizi - umelazimika kuikimbia nchi yako kwa sababu ya migogoro au maafa ya asili na/ katika makazi yako ya sasa/ wewe ni mkimbizi.
5) SIJUE
6) KUKATALA
</t>
        </is>
      </c>
      <c r="I54" s="340">
        <f>LEN(H54)</f>
        <v/>
      </c>
      <c r="J54" s="338" t="inlineStr">
        <is>
          <t>Single Choice</t>
        </is>
      </c>
      <c r="K54" s="338" t="inlineStr">
        <is>
          <t>NA</t>
        </is>
      </c>
      <c r="L54" s="338" t="inlineStr">
        <is>
          <t>NA</t>
        </is>
      </c>
      <c r="M54" s="681" t="inlineStr">
        <is>
          <t>Form Type - Buttons
IsDemographic - resp_residencetype</t>
        </is>
      </c>
      <c r="N54" s="343" t="inlineStr">
        <is>
          <t>1)hh_residencecomp_permresident
2)hh_residencecomp_returnee
3)hh_residencecomp_idp
4)hh_residencecomp_refugee
5)hh_residencecomp_dk
6)hh_residencecomp_ref</t>
        </is>
      </c>
      <c r="O54" s="344" t="inlineStr">
        <is>
          <t>1 = hh_residencecomp
2-4 = hh_arrivaltime
5-6 = hh_shelter</t>
        </is>
      </c>
      <c r="P54" s="345" t="inlineStr">
        <is>
          <t>GeoPoll [5/6/2025]. Added the definitions of each residence status that are present in other FAO tools for countries including Haiti. Kindly advise if ok/responsive. 
FAO: Perfect thanks</t>
        </is>
      </c>
      <c r="Q54" s="346" t="inlineStr">
        <is>
          <t>If response is "Returnee", "IDP" or "Refugee", go to hh_arrivaltime. If response is "Permanent resident", skip to hh_residencecomp. For "Don't know" or "Refused", move to hh_shelter.</t>
        </is>
      </c>
      <c r="R54" s="152" t="inlineStr"/>
      <c r="S54" s="347" t="n"/>
      <c r="T54" s="132" t="n"/>
      <c r="U54" s="133" t="n"/>
      <c r="W54" s="194" t="inlineStr">
        <is>
          <t>yes</t>
        </is>
      </c>
      <c r="X54" s="726" t="n"/>
      <c r="AA54" s="735" t="n"/>
      <c r="AB54" s="735" t="n"/>
      <c r="AC54" s="133" t="inlineStr"/>
    </row>
    <row r="55" ht="105" customFormat="1" customHeight="1" s="183">
      <c r="A55" s="145">
        <f>A54+1</f>
        <v/>
      </c>
      <c r="B55" s="156" t="inlineStr">
        <is>
          <t>hh_arrivaltime</t>
        </is>
      </c>
      <c r="C55" s="348" t="inlineStr">
        <is>
          <t>hh_arrivaltime</t>
        </is>
      </c>
      <c r="D55" s="349" t="inlineStr">
        <is>
          <t>How long ago did you arrive in this place?
[OPERATOR: INDICATE THE NUMBER OF MONTHS. YOU MAY NEED TO CALCULATE THIS. ENTER 888 FOR DON'T KNOW &amp; 999 FOR REFUSED.]</t>
        </is>
      </c>
      <c r="E55" s="188">
        <f>LEN(D55)</f>
        <v/>
      </c>
      <c r="F55" s="350" t="inlineStr">
        <is>
          <t>Depuis quand vivez-vous dans ce lieu?
[OPÉRATEUR/OPÉRATRICE: INDIQUER LE NOMBRE DE MOIS, QU'IL FAUDRA PEUT-ETRE CALCULER. SAISIR 888 POUR «NE SAIT PAS» ET 999 POUR «REFUSÉ».]</t>
        </is>
      </c>
      <c r="G55" s="188">
        <f>LEN(F55)</f>
        <v/>
      </c>
      <c r="H55" s="160" t="inlineStr">
        <is>
          <t xml:space="preserve">Umeishi mahali hapa kwa muda gani?
[OPERATOR: ONYESHA IDADI YA MIEZI INAYOWEZA KUHITAJI KUHESABIWA. INGIA 888 KWA "SIJUE" NA 999 KWA "KUKATALA."]
</t>
        </is>
      </c>
      <c r="I55" s="188">
        <f>LEN(H55)</f>
        <v/>
      </c>
      <c r="J55" s="283" t="inlineStr">
        <is>
          <t>Range</t>
        </is>
      </c>
      <c r="K55" s="283" t="inlineStr">
        <is>
          <t>NA</t>
        </is>
      </c>
      <c r="L55" s="283" t="inlineStr">
        <is>
          <t>NA</t>
        </is>
      </c>
      <c r="M55" s="156" t="inlineStr">
        <is>
          <t>Form Type - TextBox</t>
        </is>
      </c>
      <c r="N55" s="156" t="inlineStr">
        <is>
          <t>NA</t>
        </is>
      </c>
      <c r="O55" s="299" t="inlineStr">
        <is>
          <t>0-100 = hh_displacementfreq
888-888 = hh_displacementfreq
999-999 = hh_displacementfreq</t>
        </is>
      </c>
      <c r="P55" s="351" t="n"/>
      <c r="Q55" s="352" t="inlineStr">
        <is>
          <t>For any response, go to hh_displacementfreq.</t>
        </is>
      </c>
      <c r="R55" s="152" t="inlineStr"/>
      <c r="S55" s="347" t="n"/>
      <c r="T55" s="132" t="n"/>
      <c r="U55" s="133" t="n"/>
      <c r="W55" s="194" t="inlineStr">
        <is>
          <t>yes</t>
        </is>
      </c>
      <c r="X55" s="726" t="n"/>
      <c r="AA55" s="735" t="n"/>
      <c r="AB55" s="735" t="n"/>
      <c r="AC55" s="133" t="inlineStr"/>
    </row>
    <row r="56" ht="185" customFormat="1" customHeight="1" s="183">
      <c r="A56" s="145">
        <f>A55+1</f>
        <v/>
      </c>
      <c r="B56" s="282" t="inlineStr">
        <is>
          <t>hh_displacementfreq</t>
        </is>
      </c>
      <c r="C56" s="282" t="inlineStr">
        <is>
          <t>hh_displacementfreq</t>
        </is>
      </c>
      <c r="D56" s="334" t="inlineStr">
        <is>
          <t>How many times have you [respondent] been forced to move due to conflict, insecurity or disaster?
[OPERATOR: ENTER 888 FOR DON'T KNOW &amp; 999 FOR REFUSED.]</t>
        </is>
      </c>
      <c r="E56" s="186">
        <f>LEN(D56)</f>
        <v/>
      </c>
      <c r="F56" s="337" t="inlineStr">
        <is>
          <t>Combien de fois avez-vous [le répondant] été contraint de déménager en raison d'un conflit, de l'insécurité ou d'une catastrophe?
[OPÉRATEUR/OPÉRATRICE: SAISIR 888 POUR «NE SAIT PAS» ET 999 POUR «REFUSÉ».]</t>
        </is>
      </c>
      <c r="G56" s="186">
        <f>LEN(F56)</f>
        <v/>
      </c>
      <c r="H56" s="160" t="inlineStr">
        <is>
          <t xml:space="preserve">Je, ni mara ngapi wewe [mhojiwa] umelazimika kuhama kwa sababu ya migogoro, ukosefu wa usalama au maafa tangu ulipohamishwa kwa mara ya kwanza?
[OPERATOR: PEMBEJEO 888 KWA "SIJUE" NA 999 KWA "ALIYEKUKATALA".]
</t>
        </is>
      </c>
      <c r="I56" s="186">
        <f>LEN(H56)</f>
        <v/>
      </c>
      <c r="J56" s="283" t="inlineStr">
        <is>
          <t>Range</t>
        </is>
      </c>
      <c r="K56" s="282" t="inlineStr">
        <is>
          <t>NA</t>
        </is>
      </c>
      <c r="L56" s="282" t="inlineStr">
        <is>
          <t>NA</t>
        </is>
      </c>
      <c r="M56" s="282" t="inlineStr">
        <is>
          <t>Form Type - TextBox</t>
        </is>
      </c>
      <c r="N56" s="282" t="inlineStr">
        <is>
          <t>NA</t>
        </is>
      </c>
      <c r="O56" s="185" t="inlineStr">
        <is>
          <t>0-100 = hh_disp_impact
888-888 = hh_disp_impact
999-999 = hh_disp_impact</t>
        </is>
      </c>
      <c r="P56" s="353" t="inlineStr">
        <is>
          <t>GeoPoll [5/6/2025]. Due to the skip patterns, should the minimum eligible response be 1, or is 0 a logical response?
FAO: Change can be made. Thanks for pointing this out. Skip patterm will be 1-100</t>
        </is>
      </c>
      <c r="Q56" s="352" t="inlineStr">
        <is>
          <t>For any response, go to hh_residencecomp.</t>
        </is>
      </c>
      <c r="R56" s="152" t="inlineStr"/>
      <c r="S56" s="347" t="n"/>
      <c r="T56" s="132" t="n"/>
      <c r="U56" s="133" t="n"/>
      <c r="W56" s="194" t="inlineStr">
        <is>
          <t>yes</t>
        </is>
      </c>
      <c r="X56" s="726" t="n"/>
      <c r="AA56" s="735" t="n"/>
      <c r="AB56" s="735" t="n"/>
      <c r="AC56" s="133" t="inlineStr"/>
    </row>
    <row r="57" ht="409.5" customFormat="1" customHeight="1" s="183">
      <c r="A57" s="145">
        <f>A56+1</f>
        <v/>
      </c>
      <c r="B57" s="498" t="inlineStr">
        <is>
          <t>hh_disp_impact</t>
        </is>
      </c>
      <c r="C57" s="354" t="inlineStr">
        <is>
          <t>hh_disp_impact
1)hh_disp_imp_livelihood
2)hh_disp_imp_housing
3)hh_disp_imp_edu
4)hh_disp_imp_health
5)hh_disp_imp_supportnet
6)hh_disp_imp_mentalhealth
7)hh_disp_imp_community
8)hh_disp_imp_inc_cost
9)hh_disp_imp_essentialserv
10)hh_disp_imp_safety
11)hh_disp_imp_other
12)hh_disp_imp_none
13)hh_disp_imp_dk
14)hh_disp_imp_ref</t>
        </is>
      </c>
      <c r="D57" s="355" t="inlineStr">
        <is>
          <t>What have been the most significant impacts of displacement on your household?
[OPERATION: UP TO THREE RESPONSES ALLOWED.]
1)Loss of income/ livelihood or productive assets
2)Difficulty accessing adequate housing
3)Limited access to education for children
4)Limited access to healthcare
5)Separation from family members or support networks
6)Increased stress or mental health challenges
7)Loss of broader community or social connections
8)Increased cost of living
9)Reduced access to essential services [water/ electricity/ transport]
10)Safety or security concerns
11)Other [specify]
12)No significant impact felt
13)DON'T KNOW
14)REFUSED</t>
        </is>
      </c>
      <c r="E57" s="186">
        <f>LEN(D57)</f>
        <v/>
      </c>
      <c r="F57" s="337" t="inlineStr">
        <is>
          <t>Quels ont été les impacts les plus importants du déplacement sur votre ménage ?
[OPÉRATEUR/OPÉRATRICE : JUSQU'À TROIS RÉPONSES POSSIBLES].
1)Perte de revenus/ de moyens de subsistance ou de biens de production
2)Difficultés d'accès à un logement adéquat
3)Accès limité à l'éducation pour les enfants
4)Accès limité aux soins de santé
5)Séparation des membres de la famille ou des réseaux de soutien
6)Augmentation du stress ou des problèmes de santé mentale
7)Perte de liens communautaires ou sociaux
8)Augmentation du coût de la vie
9)Accès réduit aux services essentiels [eau/ électricité/ transport]
10)Problèmes de sécurité
11)Autre [précisez]
12)Aucun impact ressenti
13)NE SAIT PAS
14)REFUS</t>
        </is>
      </c>
      <c r="G57" s="186">
        <f>LEN(F57)</f>
        <v/>
      </c>
      <c r="H57" s="160" t="inlineStr">
        <is>
          <t xml:space="preserve">Je, ni athari gani kuu za kuhama kwa kaya yako?
[OPERATOR: HADI MAJIBU MATATU YANAWEZEKANA].
1) Upotevu wa mapato/ riziki au mali za uzalishaji
2) Ugumu wa kupata makazi ya kutosha
3) Upatikanaji mdogo wa elimu kwa watoto
4) Upatikanaji mdogo wa huduma za afya
5) Kutengana na wanafamilia au mitandao ya usaidizi
6) Kuongezeka kwa matatizo au matatizo ya afya ya akili
7) Kupoteza uhusiano wa kijamii au kijamii
8) Kuongezeka kwa gharama ya maisha
9) Kupunguza upatikanaji wa huduma muhimu [maji/umeme/usafiri]
10) Masuala ya usalama
11) Nyingine [taja]
12) Hakuna athari inayoonekana
13) SIJUE
14) KUKATAA
</t>
        </is>
      </c>
      <c r="I57" s="186">
        <f>LEN(H57)</f>
        <v/>
      </c>
      <c r="J57" s="356" t="inlineStr">
        <is>
          <t>Open Ended-Select All That Apply</t>
        </is>
      </c>
      <c r="K57" s="357" t="inlineStr">
        <is>
          <t>NA</t>
        </is>
      </c>
      <c r="L57" s="158" t="inlineStr">
        <is>
          <t>NA</t>
        </is>
      </c>
      <c r="M57" s="354" t="inlineStr">
        <is>
          <t>Form Type - Checklist
12,13,14 = IsNone
MinAns = 1
MaxAns = 3</t>
        </is>
      </c>
      <c r="N57" s="358" t="inlineStr">
        <is>
          <t>1)hh_disp_imp_livelihood
2)hh_disp_imp_housing
3)hh_disp_imp_edu
4)hh_disp_imp_health
5)hh_disp_imp_supportnet
6)hh_disp_imp_mentalhealth
7)hh_disp_imp_community
8)hh_disp_imp_inc_cost
9)hh_disp_imp_essentialserv
10)hh_disp_imp_safety
11)hh_disp_imp_other
12)hh_disp_imp_none
13)hh_disp_imp_dk
14)hh_disp_imp_ref</t>
        </is>
      </c>
      <c r="O57" s="359" t="inlineStr">
        <is>
          <t>1-14 =hh_residencecomp</t>
        </is>
      </c>
      <c r="P57" s="323" t="inlineStr">
        <is>
          <t xml:space="preserve">GeoPoll [5/6/2025]. Given up to three responses are allowed, slightly modified phrasing on the English side to reference "impacts" as plural. Kindly advise if this update is ok and we will proceed to make adjustments to French and Swahili.
FAO: ok </t>
        </is>
      </c>
      <c r="Q57" s="352" t="inlineStr">
        <is>
          <t>For any response, go to income_main or optional question.</t>
        </is>
      </c>
      <c r="R57" s="152" t="inlineStr"/>
      <c r="S57" s="347" t="n"/>
      <c r="T57" s="132" t="n"/>
      <c r="U57" s="133" t="n"/>
      <c r="W57" s="194" t="inlineStr"/>
      <c r="X57" s="726" t="n"/>
      <c r="AA57" s="735" t="n"/>
      <c r="AB57" s="735" t="n"/>
      <c r="AC57" s="133" t="inlineStr"/>
    </row>
    <row r="58" ht="186.65" customFormat="1" customHeight="1" s="183">
      <c r="A58" s="145">
        <f>A57+1</f>
        <v/>
      </c>
      <c r="B58" s="282" t="inlineStr">
        <is>
          <t>hh_residencecomp</t>
        </is>
      </c>
      <c r="C58" s="360" t="inlineStr">
        <is>
          <t>hh_residencecomp
1)hh_residencecomp_none
2)hh_residencecomp_permresident
3)hh_residencecomp_returnee
4)hh_residencecomp_idp
5)hh_residencecomp_refugee
6)hh_residencecomp_dk
7)hh_residencecomp_ref</t>
        </is>
      </c>
      <c r="D58" s="349" t="inlineStr">
        <is>
          <t>Does your household include members with a different status type than the one you reported? And if so, which one(s)?
[OPERATOR: MULTIPLE RESPONSES POSSIBLE. SELECT ALL THAT APPLY.]
1)No other status
2)DON'T KNOW
3)REFUSED</t>
        </is>
      </c>
      <c r="E58" s="186">
        <f>LEN(D58)</f>
        <v/>
      </c>
      <c r="F58" s="337" t="inlineStr">
        <is>
          <t>Votre ménage comprend-il des membres dont le statut de résidence est différent du votre ? Si oui, quels sont ces statuts ?
[OPÉRATEUR/OPÉRATRICE: PLUSIEURS RÉPONSES POSSIBLES. SÉLECTIONNER TOUTES CELLES QUI S'APPLIQUENT].
1)Aucun autre statut
2)NE SAIT PAS
3)REFUSÉ</t>
        </is>
      </c>
      <c r="G58" s="186">
        <f>LEN(F58)</f>
        <v/>
      </c>
      <c r="H58" s="160" t="inlineStr">
        <is>
          <t xml:space="preserve">Je, kaya yako inajumuisha watu ambao hali yao ya makazi ni tofauti na yako? Ikiwa ndio, hali hizi ni zipi?
[OPERATOR: MAJIBU KADHAA YANAWEZEKANA. CHAGUA YOTE YANAYOTUMIKA].
1)Hakuna hali nyingine
2)SIJUE
3)KUKATALA
</t>
        </is>
      </c>
      <c r="I58" s="186">
        <f>LEN(H58)</f>
        <v/>
      </c>
      <c r="J58" s="282" t="inlineStr">
        <is>
          <t>Select All That Apply</t>
        </is>
      </c>
      <c r="K58" s="282" t="inlineStr">
        <is>
          <t>NA</t>
        </is>
      </c>
      <c r="L58" s="282" t="inlineStr">
        <is>
          <t>NA</t>
        </is>
      </c>
      <c r="M58" s="283" t="inlineStr">
        <is>
          <t>Form Type - Checklist
Included unselected "resp_residencetype"
1,2,3= IsNone</t>
        </is>
      </c>
      <c r="N58" s="361" t="inlineStr">
        <is>
          <t>1)hh_residencecomp_none
2)hh_residencecomp_dk
3)hh_residencecomp_ref</t>
        </is>
      </c>
      <c r="O58" s="362" t="inlineStr">
        <is>
          <t>Dynamic = hh_site
1-3 = hh_site</t>
        </is>
      </c>
      <c r="P58" s="363" t="n"/>
      <c r="Q58" s="364" t="inlineStr">
        <is>
          <t>For any response, go to income_main or optional question.</t>
        </is>
      </c>
      <c r="R58" s="152" t="inlineStr"/>
      <c r="S58" s="347" t="n"/>
      <c r="T58" s="132" t="n"/>
      <c r="U58" s="133" t="n"/>
      <c r="W58" s="194" t="inlineStr">
        <is>
          <t>yes</t>
        </is>
      </c>
      <c r="X58" s="726" t="n"/>
      <c r="AA58" s="735" t="n"/>
      <c r="AB58" s="735" t="n"/>
      <c r="AC58" s="133" t="inlineStr"/>
    </row>
    <row r="59" ht="409.5" customFormat="1" customHeight="1" s="183">
      <c r="A59" s="145">
        <f>A58+1</f>
        <v/>
      </c>
      <c r="B59" s="282" t="inlineStr">
        <is>
          <t>hh_site</t>
        </is>
      </c>
      <c r="C59" s="282" t="inlineStr">
        <is>
          <t>hh_site</t>
        </is>
      </c>
      <c r="D59" s="334" t="inlineStr">
        <is>
          <t>Which of the following best describes where you live? 
[OPERATOR: READ ANSWERS OUT LOUD. SINGLE RESPONSE.]
1)Formal camp or settlement
2)Informal camp or settlement
3)Outside of a camp or settlement with a host family
4)Outside of a camp or settlement on my own
5)DON'T KNOW
6)REFUSED</t>
        </is>
      </c>
      <c r="E59" s="186">
        <f>LEN(D59)</f>
        <v/>
      </c>
      <c r="F59" s="337" t="inlineStr">
        <is>
          <t>Laquelle de ces propositions décrit le mieux l'endroit où vous vivez? 
[OPÉRATEUR/OPÉRATRICE: LIRE LES RÉPONSES À HAUTE VOIX. UNE SEULE RÉPONSE POSSIBLE].
1)Camp ou campement formel
2)Camp ou campement informel
3)En dehors d'un camp ou d'un campement dans une famille d'accueil
4)En dehors d'un camp ou d'un campement seul[e]
5)NE SAIT PAS
6)REFUSÉ</t>
        </is>
      </c>
      <c r="G59" s="186">
        <f>LEN(F59)</f>
        <v/>
      </c>
      <c r="H59" s="160" t="inlineStr">
        <is>
          <t xml:space="preserve">Ni ipi kati ya hizi inaelezea vyema zaidi unapoishi?
[OPERATOR: SOMA MAJIBU KWA SAUTI. JIBU MOJA TU LINAWEZEKANA].
1)Kambi rasmi au kambi
2)Kambi isiyo rasmi au kambi
3)Nje ya kambi au kambi-na familia mwenyeji.
4)Nje ya kambi au kambi - peke yake
5)SIJUE
6)KUKATALA
</t>
        </is>
      </c>
      <c r="I59" s="186">
        <f>LEN(H59)</f>
        <v/>
      </c>
      <c r="J59" s="282" t="inlineStr">
        <is>
          <t>Single Choice</t>
        </is>
      </c>
      <c r="K59" s="282" t="inlineStr">
        <is>
          <t>NA</t>
        </is>
      </c>
      <c r="L59" s="677" t="inlineStr">
        <is>
          <t>Send if "resp_residencetype" "Equals" "Internally displaced person [IDP] - You were forced to flee your village or town because of conflict or natural disaster and you are now an internally displaced person in your current place of residence" Or "resp_residencetype" "Equals" "Returnee - You have only come back to this residence in the last two years after having been forced to move to another location having fled conflict or natural disaster" Or "resp_residencetype" "Equals" "Refugee - you were forced to flee your country because of conflict or natural disaster and you are now a refugee in your current place of residence" if not satisfied go to "hh_shelter"</t>
        </is>
      </c>
      <c r="M59" s="282" t="inlineStr">
        <is>
          <t>Form Type - Buttons</t>
        </is>
      </c>
      <c r="N59" s="282" t="inlineStr">
        <is>
          <t>NA</t>
        </is>
      </c>
      <c r="O59" s="192" t="inlineStr">
        <is>
          <t>1-6 = hh_shelter</t>
        </is>
      </c>
      <c r="P59" s="365" t="n"/>
      <c r="Q59" s="364" t="inlineStr">
        <is>
          <t>For any response, go to income_main or optional question.</t>
        </is>
      </c>
      <c r="R59" s="152" t="inlineStr"/>
      <c r="S59" s="347" t="n"/>
      <c r="T59" s="132" t="n"/>
      <c r="U59" s="133" t="n"/>
      <c r="W59" s="194" t="inlineStr"/>
      <c r="X59" s="726" t="n"/>
      <c r="AA59" s="735" t="n"/>
      <c r="AB59" s="735" t="n"/>
      <c r="AC59" s="133" t="inlineStr"/>
    </row>
    <row r="60" ht="315" customFormat="1" customHeight="1" s="183">
      <c r="A60" s="145">
        <f>A59+1</f>
        <v/>
      </c>
      <c r="B60" s="282" t="inlineStr">
        <is>
          <t>hh_shelter</t>
        </is>
      </c>
      <c r="C60" s="282" t="inlineStr">
        <is>
          <t>hh_shelter</t>
        </is>
      </c>
      <c r="D60" s="334" t="inlineStr">
        <is>
          <t>What kind of shelter is your household living in?
[OPERATOR: SINGLE RESPONSE.]
1)Apartment/house- good condition
2)Apartment/house- damaged/destroyed/ bad condition
3)Hotel/motel/short term rental
4)Unfinished or abandoned building
5)Tent/makeshift shelter
6)Mud or block structure
7)Container/caravan
8)Public building or collective shelter
9)Other shelter [eg garage/ farm building etc]
10)DON'T KNOW
11)REFUSED</t>
        </is>
      </c>
      <c r="E60" s="186">
        <f>LEN(D60)</f>
        <v/>
      </c>
      <c r="F60" s="337" t="inlineStr">
        <is>
          <t>Dans quel type d'abri vit votre ménage?
[OPÉRATEUR/OPÉRATRICE: RÉPONSE UNIQUE].
1)Appartement/maison en bon état
2)Appartement/maison endommagé/détruit/ en mauvais état
3)Hôtel/motel/location à court terme
4)Bâtiment inachevé ou abandonné
5)Tente/abri de fortune
6)Structure faite de boue ou de blocs
7)Conteneur/caravane
8)Bâtiment public ou abri collectif
9)Autre abri [garage/ bâtiment agricole etc.]
10)NE SAIT PAS
11)REFUSÉ</t>
        </is>
      </c>
      <c r="G60" s="186">
        <f>LEN(F60)</f>
        <v/>
      </c>
      <c r="H60" s="160" t="inlineStr">
        <is>
          <t>Je, kaya yako inaishi katika makazi ya aina gani?
[OPERATOR: JIBU MOJA].
1)Ghorofa/nyumba katika hali nzuri
2)Ghorofa/nyumba iliyoharibika/kuharibika-katika hali mbaya
3)Hoteli/moteli/kukodisha kwa muda mfupi
4)Jengo ambalo halijakamilika au kutelekezwa
5)Hema/makazi ya kujitengenezea
6)Muundo uliotengenezwa kwa matope au vitalu
7)Kontena/ msafara
8)Hadhara jengo au makazi ya pamoja
9)Makazi mengine [gereji/jengo la kilimo/n.k.]
10)SIJUE
11)KUKATALA</t>
        </is>
      </c>
      <c r="I60" s="186">
        <f>LEN(H60)</f>
        <v/>
      </c>
      <c r="J60" s="282" t="inlineStr">
        <is>
          <t>Single Choice</t>
        </is>
      </c>
      <c r="K60" s="282" t="inlineStr">
        <is>
          <t>NA</t>
        </is>
      </c>
      <c r="L60" s="282" t="inlineStr">
        <is>
          <t>NA</t>
        </is>
      </c>
      <c r="M60" s="282" t="inlineStr">
        <is>
          <t>Form Type - Buttons</t>
        </is>
      </c>
      <c r="N60" s="282" t="inlineStr">
        <is>
          <t>NA</t>
        </is>
      </c>
      <c r="O60" s="192" t="inlineStr">
        <is>
          <t>1-11 = hh_predisp_agricactivity</t>
        </is>
      </c>
      <c r="P60" s="365" t="n"/>
      <c r="Q60" s="364" t="inlineStr">
        <is>
          <t>For any response, go to income_main or optional question.</t>
        </is>
      </c>
      <c r="R60" s="152" t="inlineStr"/>
      <c r="S60" s="347" t="n"/>
      <c r="T60" s="132" t="n"/>
      <c r="U60" s="133" t="n"/>
      <c r="W60" s="194" t="inlineStr"/>
      <c r="X60" s="726" t="n"/>
      <c r="AA60" s="735" t="n"/>
      <c r="AB60" s="735" t="n"/>
      <c r="AC60" s="133" t="inlineStr"/>
    </row>
    <row r="61" ht="409.5" customFormat="1" customHeight="1" s="183">
      <c r="A61" s="145">
        <f>A60+1</f>
        <v/>
      </c>
      <c r="B61" s="282" t="inlineStr">
        <is>
          <t>hh_predisp_agricactivity</t>
        </is>
      </c>
      <c r="C61" s="366" t="inlineStr">
        <is>
          <t>hh_predisp_agricactivity</t>
        </is>
      </c>
      <c r="D61" s="334" t="inlineStr">
        <is>
          <t>Did you or other displaced persons in your household engage in agricultural activities prior to being displaced?
[OPERATOR: SINGLE RESPONSE.]
1)YES
2)NO
3)DON'T KNOW
4)REFUSED</t>
        </is>
      </c>
      <c r="E61" s="186">
        <f>LEN(D61)</f>
        <v/>
      </c>
      <c r="F61" s="337" t="inlineStr">
        <is>
          <t>Avez-vous, vous ou d'autres membres déplacés de votre ménage, été impliqué dans des activités agricoles avant votre déplacement ?
[OPÉRATEUR/OPÉRATRICE: RÉPONSE UNIQUE].
1)OUI
2)NON
3)NE SAIT PAS
4)REFUSÉ</t>
        </is>
      </c>
      <c r="G61" s="186">
        <f>LEN(F61)</f>
        <v/>
      </c>
      <c r="H61" s="160" t="inlineStr">
        <is>
          <t>Je, wewe au wanajamii wenzako mlijihusisha na shughuli za kilimo kabla ya kuhamia hapa?
[OPERATOR: JIBU MOJA.]
1)NDIYO
2)HAPANA
3)SIJUE
4)KUKATALA</t>
        </is>
      </c>
      <c r="I61" s="186">
        <f>LEN(H61)</f>
        <v/>
      </c>
      <c r="J61" s="282" t="inlineStr">
        <is>
          <t>Single Choice</t>
        </is>
      </c>
      <c r="K61" s="282" t="inlineStr">
        <is>
          <t>NA</t>
        </is>
      </c>
      <c r="L61" s="678" t="inlineStr">
        <is>
          <t>Send if "resp_residencetype" "Equals" "Internally displaced person [IDP] - You were forced to flee your village or town because of conflict or natural disaster and you are now an internally displaced person in your current place of residence" Or "resp_residencetype" "Equals" "Returnee - You have only come back to this residence in the last two years after having been forced to move to another location having fled conflict or natural disaster" Or "resp_residencetype" "Equals" "Refugee - you were forced to flee your country because of conflict or natural disaster and you are now a refugee in your current place of residence" Or "hh_residencecomp" "Contains" "Refugee - you were forced to flee your country because of conflict or natural disaster and you are now a refugee in your current place of residence" if not satisfied go to "hh_agri_plotaccess"</t>
        </is>
      </c>
      <c r="M61" s="282" t="inlineStr">
        <is>
          <t>Form Type - Buttons</t>
        </is>
      </c>
      <c r="N61" s="367" t="inlineStr">
        <is>
          <t>NA</t>
        </is>
      </c>
      <c r="O61" s="185" t="inlineStr">
        <is>
          <t>1 = hh_predisp_agricactivity_type
2-4 = hh_agri_plotaccess</t>
        </is>
      </c>
      <c r="P61" s="323" t="n"/>
      <c r="Q61" s="364" t="inlineStr">
        <is>
          <t>If "Yes", go to hh_predisp_agricactivity_type; otherwise, go to income_main or optional question.</t>
        </is>
      </c>
      <c r="R61" s="152" t="inlineStr"/>
      <c r="S61" s="347" t="n"/>
      <c r="T61" s="132" t="n"/>
      <c r="U61" s="133" t="n"/>
      <c r="W61" s="194" t="inlineStr"/>
      <c r="X61" s="726" t="n"/>
      <c r="AA61" s="735" t="n"/>
      <c r="AB61" s="735" t="n"/>
      <c r="AC61" s="133" t="inlineStr"/>
    </row>
    <row r="62" ht="189" customFormat="1" customHeight="1" s="183">
      <c r="A62" s="145">
        <f>A61+1</f>
        <v/>
      </c>
      <c r="B62" s="369" t="inlineStr">
        <is>
          <t>hh_predisp_agricactivity_type</t>
        </is>
      </c>
      <c r="C62" s="368" t="inlineStr">
        <is>
          <t>hh_predisp_agricactivity_type
1)hh_predisp_crpprod
2)hh_predisp_lsprod
3)hh_predisp_fishprod
4)hh_predisp_dk
5)hh_predisp_ref</t>
        </is>
      </c>
      <c r="D62" s="334" t="inlineStr">
        <is>
          <t>Can you or anyone in your household access land or water to grow food, raise animals, or raise/catch fish?
[OPERATOR: SINGLE RESPONSE.]
1)YES
2)NO
3)DON'T KNOW
4)REFUSED</t>
        </is>
      </c>
      <c r="E62" s="188">
        <f>LEN(D62)</f>
        <v/>
      </c>
      <c r="F62" s="350" t="inlineStr">
        <is>
          <t>Est-ce que vous ou quelqu'un de votre ménage peut avoir accès à la terre ou à l'eau pour les cultures, élever des animaux ou élever/pêcher des poissons ?
[OPÉRATEUR/OPÉRATRICE: RÉPONSE UNIQUE].
1)OUI
2)NON
3)NE SAIT PAS
4)REFUSÉ</t>
        </is>
      </c>
      <c r="G62" s="186">
        <f>LEN(F62)</f>
        <v/>
      </c>
      <c r="H62" s="160" t="inlineStr">
        <is>
          <t>Je, wewe au mtu yeyote katika kaya yako anaweza kupata ardhi au maji kwa ajili ya kupanda mazao, kufuga wanyama, kufuga/kuvua samaki?
[OPERATOR: JIBU MOJA.]
1)NDIYO
2)HAPANA
3)SIJUE
4)KUKATALA</t>
        </is>
      </c>
      <c r="I62" s="186">
        <f>LEN(H62)</f>
        <v/>
      </c>
      <c r="J62" s="282" t="inlineStr">
        <is>
          <t>Single Choice</t>
        </is>
      </c>
      <c r="K62" s="346" t="inlineStr">
        <is>
          <t>NA</t>
        </is>
      </c>
      <c r="L62" s="364" t="inlineStr">
        <is>
          <t>NA</t>
        </is>
      </c>
      <c r="M62" s="369" t="inlineStr">
        <is>
          <t>Form Type - Buttons</t>
        </is>
      </c>
      <c r="N62" s="368" t="inlineStr">
        <is>
          <t>NA</t>
        </is>
      </c>
      <c r="O62" s="679" t="inlineStr">
        <is>
          <t>1 =income_main
2 = hh_plotaccess
3-4 = income_main</t>
        </is>
      </c>
      <c r="P62" s="682" t="n"/>
      <c r="Q62" s="364" t="inlineStr">
        <is>
          <t>For any response, go to income_main or optional question.</t>
        </is>
      </c>
      <c r="R62" s="152" t="inlineStr"/>
      <c r="S62" s="347" t="n"/>
      <c r="T62" s="132" t="n"/>
      <c r="U62" s="133" t="n"/>
      <c r="W62" s="194" t="inlineStr"/>
      <c r="X62" s="726" t="n"/>
      <c r="AA62" s="735" t="n"/>
      <c r="AB62" s="735" t="n"/>
      <c r="AC62" s="133" t="inlineStr"/>
    </row>
    <row r="63" ht="252.5" customFormat="1" customHeight="1" s="183" thickBot="1">
      <c r="A63" s="145">
        <f>A62+1</f>
        <v/>
      </c>
      <c r="B63" s="369" t="inlineStr">
        <is>
          <t>hh_agri_plotaccess</t>
        </is>
      </c>
      <c r="C63" s="370" t="inlineStr">
        <is>
          <t>hh_agri_plotaccess</t>
        </is>
      </c>
      <c r="D63" s="371" t="inlineStr">
        <is>
          <t>Can you or anyone in your household access land or water to grow food, raise animals, or raise/catch fish?
[OPERATOR: SINGLE RESPONSE.]
1)YES
2)NO
3)DON'T KNOW
4)REFUSED</t>
        </is>
      </c>
      <c r="E63" s="321">
        <f>LEN(D63)</f>
        <v/>
      </c>
      <c r="F63" s="372" t="inlineStr">
        <is>
          <t>Est-ce que vous ou quelqu'un de votre ménage peut avoir accès à la terre ou à l'eau pour les cultures, élever des animaux ou élever/pêcher des poissons ?
[OPÉRATEUR/OPÉRATRICE: RÉPONSE UNIQUE].
1)OUI
2)NON
3)NE SAIT PAS
4)REFUSÉ</t>
        </is>
      </c>
      <c r="G63" s="321">
        <f>LEN(F63)</f>
        <v/>
      </c>
      <c r="H63" s="160" t="inlineStr">
        <is>
          <t>Je, wewe au mtu yeyote katika kaya yako anaweza kupata ardhi au maji kwa ajili ya kupanda mazao, kufuga wanyama, kufuga/kuvua samaki?
[OPERATOR: JIBU MOJA.]
1)NDIYO
2)HAPANA
3)SIJUE
4)KUKATALA</t>
        </is>
      </c>
      <c r="I63" s="321">
        <f>LEN(H63)</f>
        <v/>
      </c>
      <c r="J63" s="369" t="inlineStr">
        <is>
          <t>Single Choice</t>
        </is>
      </c>
      <c r="K63" s="369" t="inlineStr">
        <is>
          <t>NA</t>
        </is>
      </c>
      <c r="L63" s="680" t="inlineStr">
        <is>
          <t>Send if "hh_predisp_agricactivity" "Equals" "YES" Or "hh_agricactivity" "Equals" "Yes - crop production" Or "hh_agricactivity" "Equals" "Yes - livestock production" Or "hh_agricactivity" "Equals" "Yes - both crop and livestock production" Or "hh_fish" "Equals" "YES" if not satisfied go to "hh_plotaccess"</t>
        </is>
      </c>
      <c r="M63" s="369" t="inlineStr">
        <is>
          <t>Form Type - Buttons</t>
        </is>
      </c>
      <c r="N63" s="368" t="inlineStr">
        <is>
          <t>NA</t>
        </is>
      </c>
      <c r="O63" s="679" t="inlineStr">
        <is>
          <t>1 =income_main
2 = hh_plotaccess
3-4 = income_main</t>
        </is>
      </c>
      <c r="P63" s="373" t="n"/>
      <c r="Q63" s="362" t="inlineStr">
        <is>
          <t>If "NO", go to hh_plotaccess. Otherwise, go to income_main or optional question.</t>
        </is>
      </c>
      <c r="R63" s="374" t="inlineStr"/>
      <c r="S63" s="347" t="n"/>
      <c r="T63" s="132" t="n"/>
      <c r="U63" s="133" t="n"/>
      <c r="W63" s="194" t="inlineStr"/>
      <c r="X63" s="726" t="n"/>
      <c r="AA63" s="735" t="n"/>
      <c r="AB63" s="735" t="n"/>
      <c r="AC63" s="133" t="inlineStr"/>
    </row>
    <row r="64" ht="285.65" customFormat="1" customHeight="1" s="387" thickBot="1">
      <c r="A64" s="145">
        <f>A63+1</f>
        <v/>
      </c>
      <c r="B64" s="379" t="inlineStr">
        <is>
          <t>hh_plotaccess</t>
        </is>
      </c>
      <c r="C64" s="375" t="inlineStr">
        <is>
          <t>hh_plotaccess
1)hh_plotaccess_high_costs
2)hh_plotaccess_distance
3)hh_plotaccess_unsafe_insec
4)hh_plotaccess_unsafe_infra
5)hh_plotaccess_scarcity
6)hh_plotaccess_authorities
7)hh_plotaccess_poor_resource
8)crp_plotaccess_other
9)crp_plotaccess_dk
10)crp_plotaccess_ref</t>
        </is>
      </c>
      <c r="D64" s="376" t="inlineStr">
        <is>
          <t>Why are you unable to access land or water for agricultural, livestock or fishing?
[OPERATOR: MULTIPLE RESPONSES POSSIBLE.]
1)Too expensive to rent or buy
2)Too remote or far away
3)Access to the area is unsafe due to insecurity
4)Access roads and infrastructure is in poor condition
5)Scarcity - there is no land or water available
6)Authorities [formal or customary] do not allow us to access land or water
7)Land or water is degraded or infertile 
8)Other [specify]
9)DON’T KNOW
10)REFUSED</t>
        </is>
      </c>
      <c r="E64" s="377">
        <f>LEN(D64)</f>
        <v/>
      </c>
      <c r="F64" s="378" t="inlineStr">
        <is>
          <t xml:space="preserve">Pourquoi n'avez-vous pas accès à la terre ou à l'eau pour l'agriculture, l'élevage ou la pêche ?
[OPÉRATEUR : PLUSIEURS RÉPONSES POSSIBLES].
1)Location ou achat trop cher
2)Trop éloigné
3)L'accès à la zone n'est pas sûr en raison de l'insécurité
4)Les routes d'accès et les infrastructures sont en mauvais état
5)Pénurie - il n'y a pas de terre ou d'eau disponible
6)Les autorités [officielles ou coutumières] ne nous autorisent pas à accéder à la terre ou à l'eau
7)La terre ou l'eau est dégradée ou infertile 
8)Autre [préciser]
9)NE SAIT PAS
10)REFUSÉ
</t>
        </is>
      </c>
      <c r="G64" s="377">
        <f>LEN(F64)</f>
        <v/>
      </c>
      <c r="H64" s="160" t="inlineStr">
        <is>
          <t xml:space="preserve">Kwa nini huna ardhi au maji kwa ajili ya kilimo, ufugaji wa mifugo au uvuvi?
[OPERATOR: MAJIBU MENGI YANAWEZEKANA].
1) Kukodisha au kununua ghali sana
2) Mbali sana
3) Upatikanaji wa eneo si salama kutokana na ukosefu wa usalama
4) Barabara za kuingia na miundombinu iko katika hali mbaya
5) Uhaba - hakuna ardhi au maji yanayopatikana
6) Mamlaka [rasmi au kimila] hazituruhusu kupata ardhi au maji
7) Ardhi au maji yameharibika au hayana rutuba
8) Nyingine [taja]
9) SIJUE
10) KUKATALA
</t>
        </is>
      </c>
      <c r="I64" s="377">
        <f>LEN(H64)</f>
        <v/>
      </c>
      <c r="J64" s="379" t="inlineStr">
        <is>
          <t>Open Ended-Select All That Apply</t>
        </is>
      </c>
      <c r="K64" s="379" t="inlineStr">
        <is>
          <t>NA</t>
        </is>
      </c>
      <c r="L64" s="379" t="inlineStr">
        <is>
          <t>NA</t>
        </is>
      </c>
      <c r="M64" s="379" t="inlineStr">
        <is>
          <t>Form Type - Checklist
9,10 = IsNone</t>
        </is>
      </c>
      <c r="N64" s="375" t="inlineStr">
        <is>
          <t>1)hh_plotaccess_high_costs
2)hh_plotaccess_distance
3)hh_plotaccess_unsafe_insec
4)hh_plotaccess_unsafe_infra
5)hh_plotaccess_scarcity
6)hh_plotaccess_authorities
7)hh_plotaccess_poor_resource
8)crp_plotaccess_other
9)crp_plotaccess_dk
10)crp_plotaccess_ref</t>
        </is>
      </c>
      <c r="O64" s="380" t="inlineStr">
        <is>
          <t>1-10 = income_main</t>
        </is>
      </c>
      <c r="P64" s="381" t="n"/>
      <c r="Q64" s="382" t="inlineStr">
        <is>
          <t>For any response, go to income_main or optional question.</t>
        </is>
      </c>
      <c r="R64" s="383" t="inlineStr"/>
      <c r="S64" s="384" t="n"/>
      <c r="T64" s="385" t="n"/>
      <c r="U64" s="386" t="n"/>
      <c r="W64" s="388" t="inlineStr"/>
      <c r="X64" s="389" t="n"/>
      <c r="AA64" s="741" t="n"/>
      <c r="AB64" s="741" t="n"/>
      <c r="AC64" s="386" t="inlineStr"/>
    </row>
    <row r="65" ht="21.5" customFormat="1" customHeight="1" s="207" thickBot="1">
      <c r="A65" s="710" t="inlineStr">
        <is>
          <t>C. INCOME SOURCES, LIVELIHOOD AND SHOCKS</t>
        </is>
      </c>
      <c r="B65" s="732" t="n"/>
      <c r="C65" s="732" t="n"/>
      <c r="D65" s="732" t="n"/>
      <c r="E65" s="732" t="n"/>
      <c r="F65" s="732" t="n"/>
      <c r="G65" s="732" t="n"/>
      <c r="H65" s="732" t="n"/>
      <c r="I65" s="732" t="n"/>
      <c r="J65" s="732" t="n"/>
      <c r="K65" s="732" t="n"/>
      <c r="L65" s="732" t="n"/>
      <c r="M65" s="732" t="n"/>
      <c r="N65" s="732" t="n"/>
      <c r="O65" s="732" t="n"/>
      <c r="P65" s="732" t="n"/>
      <c r="Q65" s="732" t="n"/>
      <c r="R65" s="732" t="n"/>
      <c r="S65" s="733" t="n"/>
      <c r="T65" s="205" t="n"/>
      <c r="U65" s="206" t="n"/>
      <c r="W65" s="208" t="n"/>
      <c r="X65" s="209" t="n"/>
      <c r="AA65" s="734" t="n"/>
      <c r="AB65" s="734">
        <f>IF(AA65="","",AA65*T65)</f>
        <v/>
      </c>
      <c r="AC65" s="206">
        <f>IF(W65="yes",AB65,"")</f>
        <v/>
      </c>
    </row>
    <row r="66" ht="409.5" customFormat="1" customHeight="1" s="183">
      <c r="A66" s="145">
        <f>A64+1</f>
        <v/>
      </c>
      <c r="B66" s="146" t="inlineStr">
        <is>
          <t>income_main</t>
        </is>
      </c>
      <c r="C66" s="156" t="inlineStr">
        <is>
          <t>income_main</t>
        </is>
      </c>
      <c r="D66" s="391" t="inlineStr">
        <is>
          <t>What was your household's main source of income in the past 3 months?
[OPERATOR: SINGLE RESPONSE. REFUSED OPTION SHOULD BE AVOIDED AS MUCH AS POSSIBLE.]
1)Production and sale of staple crops
2)Production and sale of vegetable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income source in the last 3 months and used exclusively savings / debt
20)REFUSED</t>
        </is>
      </c>
      <c r="E66" s="148">
        <f>LEN(D66)</f>
        <v/>
      </c>
      <c r="F66" s="392" t="inlineStr">
        <is>
          <t>Quelle était la principale source de revenus de votre ménage au cours des trois derniers mois?
[OPÉRATEUR/OPÉRATRICE: RÉPONSE UNIQUE. L'OPTION «REFUSÉ» DOIT ÊTRE, AUTANT QUE POSSIBLE, ÉVITÉE.]
1)Production et vente de cultures vivrières
2)Production et vente de légumes ou de fruits 
3)Production et vente de cultures de rente
4)Production et vente de bétail ou de produits animaux
5)Production et vente de miel ou de produits apicoles
6)Production et vente de poisson ou de produits aquatiques 
7)Collecte et vente de produits forestiers ou de brousse
8)Commerce agricole EXCLUANT les producteurs [formel ou informel]
9)Salaire journalier dans une exploitation et autres emplois occasionnels dans le secteur agricole
10)Emploi stable dans le secteur agricole 
11)Indépendant non-agricole ou profession libérale / médecin / architecte / avocat / y compris restaurant
12)Salaire journalier hors exploitation et autres emplois occasionnels non agricoles
13)Emploi stable dans le secteur non-agricole
14)Emploi public 
15)Revenu non tiré du travail / Charité
16)Revenu non tiré du travail / Transferts sociaux/ pension/ aide humanitaire
17)Revenu non tiré du travail / Envois de fonds des migrants
18)Revenu non tiré du travail / Revenu d'autres loyers
19)Aucune source de revenus au cours des trois derniers mois et recours exclusif à l'épargne / création de dettes
20)REFUSÉ</t>
        </is>
      </c>
      <c r="G66" s="148">
        <f>LEN(F66)</f>
        <v/>
      </c>
      <c r="H66" s="160" t="inlineStr">
        <is>
          <t>Ni nini kilikuwa chanzo kikuu cha mapato ya kaya yako katika kipindi cha miezi 3 iliyopita?
[OPERATOR: JIBU MOJA. CHAGUO LILILOKUKATALA LINAPASWA KUEPUKWA KADIRI IWEZEKANAVYO.]
1)Uzalishaji na uuzaji wa mazao ya msingi
2)Uzalishaji na uuzaji wa mboga mboga au matunda
3)Uzalishaji na uuzaji wa mazao ya fedha
4)Uzalishaji na uuzaji wa mifugo au bidhaa za mifugo 
5)Uzalishaji na uuzaji wa asali au mazao ya nyuki
6)Uzalishaji na uuzaji wa samaki au bidhaa za majini
7)Ukusanyaji na uuzaji wa mazao ya misitu au misitu
8)Biashara ya kilimo BILA KUWAHITIMIZA wazalishaji [rasmi au isiyo rasmi]
9)Mshahara wa kila siku kwenye mashamba na ajira yingine  za kawaida katika sekta ya kilimo
10)Ajira imara katika sekta ya kilimo
11)Kazi isiyo ya kilimo au taaluma ya huria / daktari / mbunifu / mwanasheria / pamoja na mgahawa
12)Mshahara wa kila siku nje ya shamba na ajira yingine  za kawaida zisizo za kilimo
13)Ajira imara katika sekta isiyo ya kilimo
14)Ajira za umma
15)Mapato yasiyotokana na kazi / Hisabati
16)Mapato yasiyotokana na kazi / Uhamisho wa ustawi / pensheni / misaada ya kibinadamu
17)Mapato yasiyotokana na kazi/Pesa
18)Mapato yasiyotokana na kazi / Mapato kutoka kwa kodi zingine
19)Hakuna chanzo cha mapato katika miezi 3 iliyopita na imetumia akiba/deni pekee
20)KUKATALA"</t>
        </is>
      </c>
      <c r="I66" s="148">
        <f>LEN(H66)</f>
        <v/>
      </c>
      <c r="J66" s="156" t="inlineStr">
        <is>
          <t>Single Choice</t>
        </is>
      </c>
      <c r="K66" s="148" t="inlineStr">
        <is>
          <t>NA</t>
        </is>
      </c>
      <c r="L66" s="148" t="inlineStr">
        <is>
          <t>NA</t>
        </is>
      </c>
      <c r="M66" s="148" t="inlineStr">
        <is>
          <t>Form Type - Buttons
IsDemographic income_main</t>
        </is>
      </c>
      <c r="N66" s="149" t="inlineStr">
        <is>
          <t>NA</t>
        </is>
      </c>
      <c r="O66" s="150" t="inlineStr">
        <is>
          <t>1-3 = income_main_crop_check
4 = income_main_ls_check 
5 = income_main_amount
6 = income_main_fish_check 
7-18 = income_main_amount
19-20 = shock</t>
        </is>
      </c>
      <c r="P66" s="345" t="n"/>
      <c r="Q66" s="393" t="inlineStr">
        <is>
          <t>if options #1-3 selected go to income_main_crop_check 
if options #4 selected go to income_main_ls_check 
if options #6 selected go to income_main_fish_check
if options #5, 7-18 selected, go to [income_main_comp OR optional question] 
if options #19-20 selected, go to shock</t>
        </is>
      </c>
      <c r="R66" s="394" t="inlineStr"/>
      <c r="S66" s="327" t="n"/>
      <c r="T66" s="205">
        <f>1</f>
        <v/>
      </c>
      <c r="U66" s="133" t="n"/>
      <c r="W66" s="208" t="inlineStr">
        <is>
          <t>yes</t>
        </is>
      </c>
      <c r="X66" s="726" t="n"/>
      <c r="AA66" s="734" t="n">
        <v>31.88833427429199</v>
      </c>
      <c r="AB66" s="734">
        <f>IF(AA66="","",AA66*T66)</f>
        <v/>
      </c>
      <c r="AC66" s="133" t="inlineStr"/>
    </row>
    <row r="67" ht="189" customFormat="1" customHeight="1" s="183">
      <c r="A67" s="145">
        <f>A66+1</f>
        <v/>
      </c>
      <c r="B67" s="146" t="inlineStr">
        <is>
          <t>income_main_crop_check</t>
        </is>
      </c>
      <c r="C67" s="146" t="inlineStr">
        <is>
          <t>income_main_crop_check</t>
        </is>
      </c>
      <c r="D67" s="162" t="inlineStr">
        <is>
          <t>Are the crops sold also produced by you or anyone in your household?
[OPERATOR: SINGLE RESPONSE.]
1)YES
2)NO
3)DON'T KNOW
4)REFUSED</t>
        </is>
      </c>
      <c r="E67" s="148">
        <f>LEN(D67)</f>
        <v/>
      </c>
      <c r="F67" s="395" t="inlineStr">
        <is>
          <t>Les cultures vendues sont-elles également produites par vous ou quelqu'un de votre ménage?
[OPÉRATEUR/OPÉRATRICE: RÉPONSE UNIQUE.]
1)OUI
2)NON
3)NE SAIT PAS
4)REFUSÉ</t>
        </is>
      </c>
      <c r="G67" s="148">
        <f>LEN(F67)</f>
        <v/>
      </c>
      <c r="H67" s="160" t="inlineStr">
        <is>
          <t>Je, mazao yanayouzwa pia yamezalishwa na wewe au mtu yeyote katika famille yako?
[OPERATOR: JIBU MOJA.]
1)NDIYO
2)HAPANA
3)SIJUE
4)KUKATALA</t>
        </is>
      </c>
      <c r="I67" s="148">
        <f>LEN(H67)</f>
        <v/>
      </c>
      <c r="J67" s="156" t="inlineStr">
        <is>
          <t>Single Choice</t>
        </is>
      </c>
      <c r="K67" s="148" t="inlineStr">
        <is>
          <t>NA</t>
        </is>
      </c>
      <c r="L67" s="148" t="inlineStr">
        <is>
          <t>NA</t>
        </is>
      </c>
      <c r="M67" s="148" t="inlineStr">
        <is>
          <t>Form Type - Buttons</t>
        </is>
      </c>
      <c r="N67" s="149" t="inlineStr">
        <is>
          <t>NA</t>
        </is>
      </c>
      <c r="O67" s="150" t="inlineStr">
        <is>
          <t>1-4 = income_main_amount</t>
        </is>
      </c>
      <c r="P67" s="151" t="n"/>
      <c r="Q67" s="393" t="inlineStr">
        <is>
          <t>if income_main_crop_check = 1-4, go to [income_main_comp OR optional question]</t>
        </is>
      </c>
      <c r="R67" s="396" t="inlineStr"/>
      <c r="S67" s="327" t="n"/>
      <c r="T67" s="205">
        <f>1</f>
        <v/>
      </c>
      <c r="U67" s="133" t="n"/>
      <c r="W67" s="208" t="inlineStr">
        <is>
          <t>yes</t>
        </is>
      </c>
      <c r="X67" s="726" t="n"/>
      <c r="AA67" s="734" t="n">
        <v>8</v>
      </c>
      <c r="AB67" s="734">
        <f>IF(AA67="","",AA67*T67)</f>
        <v/>
      </c>
      <c r="AC67" s="133" t="inlineStr"/>
    </row>
    <row r="68" ht="189" customFormat="1" customHeight="1" s="183">
      <c r="A68" s="145">
        <f>A67+1</f>
        <v/>
      </c>
      <c r="B68" s="146" t="inlineStr">
        <is>
          <t>income_main_ls_check</t>
        </is>
      </c>
      <c r="C68" s="146" t="inlineStr">
        <is>
          <t>income_main_ls_check</t>
        </is>
      </c>
      <c r="D68" s="397" t="inlineStr">
        <is>
          <t>Are the livestock or livestock products sold also produced by you or anyone in your household?
[OPERATOR: SINGLE RESPONSE.]
1)YES
2)NO
3)DON'T KNOW
4)REFUSED</t>
        </is>
      </c>
      <c r="E68" s="148">
        <f>LEN(D68)</f>
        <v/>
      </c>
      <c r="F68" s="395" t="inlineStr">
        <is>
          <t>Le bétail ou les produits du bétail vendus sont-ils également produits par vous ou quelqu'un de votre ménage?
[OPÉRATEUR/OPÉRATRICE: RÉPONSE UNIQUE.]
1)OUI
2)NON
3)NE SAIT PAS
4)REFUSÉ</t>
        </is>
      </c>
      <c r="G68" s="148">
        <f>LEN(F68)</f>
        <v/>
      </c>
      <c r="H68" s="160" t="inlineStr">
        <is>
          <t>Je, mifugo au bidhaa za mifugo zinazouzwa pia zimezalishwa na wewe au mtu yeyote katika famille yako?
[OPERATOR: JIBU MOJA.]
1)NDIYO
2)HAPANA
3)SIJUE
4)KUKATALA</t>
        </is>
      </c>
      <c r="I68" s="148">
        <f>LEN(H68)</f>
        <v/>
      </c>
      <c r="J68" s="156" t="inlineStr">
        <is>
          <t>Single Choice</t>
        </is>
      </c>
      <c r="K68" s="148" t="inlineStr">
        <is>
          <t>NA</t>
        </is>
      </c>
      <c r="L68" s="148" t="inlineStr">
        <is>
          <t>NA</t>
        </is>
      </c>
      <c r="M68" s="148" t="inlineStr">
        <is>
          <t>Form Type - Buttons</t>
        </is>
      </c>
      <c r="N68" s="149" t="inlineStr">
        <is>
          <t>NA</t>
        </is>
      </c>
      <c r="O68" s="150" t="inlineStr">
        <is>
          <t>1-4 = income_main_amount</t>
        </is>
      </c>
      <c r="P68" s="151" t="n"/>
      <c r="Q68" s="393" t="inlineStr">
        <is>
          <t>if income_main_ls_check = 1-4, go to [income_main_comp OR optional question]</t>
        </is>
      </c>
      <c r="R68" s="396" t="inlineStr"/>
      <c r="S68" s="327" t="n"/>
      <c r="T68" s="205">
        <f>1</f>
        <v/>
      </c>
      <c r="U68" s="133" t="n"/>
      <c r="W68" s="208" t="inlineStr">
        <is>
          <t>yes</t>
        </is>
      </c>
      <c r="X68" s="726" t="n"/>
      <c r="AA68" s="734" t="n">
        <v>8</v>
      </c>
      <c r="AB68" s="734">
        <f>IF(AA68="","",AA68*T68)</f>
        <v/>
      </c>
      <c r="AC68" s="133" t="inlineStr"/>
    </row>
    <row r="69" ht="189" customFormat="1" customHeight="1" s="183">
      <c r="A69" s="145">
        <f>A68+1</f>
        <v/>
      </c>
      <c r="B69" s="146" t="inlineStr">
        <is>
          <t>income_main_fish_check</t>
        </is>
      </c>
      <c r="C69" s="146" t="inlineStr">
        <is>
          <t>income_main_fish_check</t>
        </is>
      </c>
      <c r="D69" s="162" t="inlineStr">
        <is>
          <t>Are the fish or aquatic products sold also captured/harvested by you or anyone in your household?
[OPERATOR: SINGLE RESPONSE.]
1)YES
2)NO
3)DON'T KNOW
4)REFUSED</t>
        </is>
      </c>
      <c r="E69" s="148">
        <f>LEN(D69)</f>
        <v/>
      </c>
      <c r="F69" s="395" t="inlineStr">
        <is>
          <t>Le poisson ou les produits aquatiques vendus sont-ils également capturés/récoltés par vous ou un membre de votre ménage?
[OPÉRATEUR/OPÉRATRICE: RÉPONSE UNIQUE.]
1)OUI
2)NON
3)NE SAIT PAS
4)REFUSÉ</t>
        </is>
      </c>
      <c r="G69" s="148">
        <f>LEN(F69)</f>
        <v/>
      </c>
      <c r="H69" s="160" t="inlineStr">
        <is>
          <t>Je, samaki au bidhaa za majini zinazouzwa pia zimevuliwa/kuvunwa na wewe au mtu yeyote katika famille yako?
[OPERATOR: JIBU MOJA.]
1)NDIYO
2)HAPANA
3)SIJUE
4)KUKATALA</t>
        </is>
      </c>
      <c r="I69" s="148">
        <f>LEN(H69)</f>
        <v/>
      </c>
      <c r="J69" s="156" t="inlineStr">
        <is>
          <t>Single Choice</t>
        </is>
      </c>
      <c r="K69" s="148" t="inlineStr">
        <is>
          <t>NA</t>
        </is>
      </c>
      <c r="L69" s="148" t="inlineStr">
        <is>
          <t>NA</t>
        </is>
      </c>
      <c r="M69" s="148" t="inlineStr">
        <is>
          <t>Form Type - Buttons</t>
        </is>
      </c>
      <c r="N69" s="149" t="inlineStr">
        <is>
          <t>NA</t>
        </is>
      </c>
      <c r="O69" s="150" t="inlineStr">
        <is>
          <t>1-4 = income_main_amount</t>
        </is>
      </c>
      <c r="P69" s="151" t="n"/>
      <c r="Q69" s="393" t="inlineStr">
        <is>
          <t>if income_main_fish_check = 1-4, go to [income_main_comp OR optional question]</t>
        </is>
      </c>
      <c r="R69" s="396" t="inlineStr"/>
      <c r="S69" s="327" t="n"/>
      <c r="T69" s="205">
        <f>1</f>
        <v/>
      </c>
      <c r="U69" s="133" t="n"/>
      <c r="W69" s="208" t="inlineStr">
        <is>
          <t>yes</t>
        </is>
      </c>
      <c r="X69" s="726" t="n"/>
      <c r="AA69" s="734" t="n">
        <v>8</v>
      </c>
      <c r="AB69" s="734">
        <f>IF(AA69="","",AA69*T69)</f>
        <v/>
      </c>
      <c r="AC69" s="133" t="inlineStr"/>
    </row>
    <row r="70" ht="188" customFormat="1" customHeight="1" s="183">
      <c r="A70" s="145">
        <f>A69+1</f>
        <v/>
      </c>
      <c r="B70" s="320" t="inlineStr">
        <is>
          <t>income_main_amount</t>
        </is>
      </c>
      <c r="C70" s="184" t="inlineStr">
        <is>
          <t>income_main_amount</t>
        </is>
      </c>
      <c r="D70" s="185" t="inlineStr">
        <is>
          <t>How much was earned [in CDF] from your main income source, {income_main}, in the past 3 months ?
[OPERATOR: MAKE SURE THE INFORMATION IS RECORDED IN THE CORRECT CURRENCY. ENTER 88888888 FOR DON'T KNOW AND 99999999 FOR REFUSED.]</t>
        </is>
      </c>
      <c r="E70" s="186">
        <f>LEN(D70)</f>
        <v/>
      </c>
      <c r="F70" s="179" t="inlineStr">
        <is>
          <t>Quelle somme [en CDF] a rapporté votre principale source de revenus, {income_main}, au cours des trois derniers mois?
[OPÉRATEUR/OPÉRATRICE: VÉRIFIER QUE LA RÉPONSE EST ENREGISTRÉE DANS LA BONNE DEVISE. SAISIR 88888888 POUR «NE SAIT PAS» ET 99999999 POUR «REFUSÉ».]</t>
        </is>
      </c>
      <c r="G70" s="186">
        <f>LEN(F70)</f>
        <v/>
      </c>
      <c r="H70" s="160" t="inlineStr">
        <is>
          <t>Ni kiasi gani kilipatikana [katika CDF] kutoka kwa chanzo chako kikuu cha mapato, {income_main}, katika kipindi cha miezi 3 iliyopita ?
[OPERATOR: HAKIKISHA HABARI IMEREKODIWA KWA SARAFU SAHIHI. INGIA 888888888 KWA SIJUE NA 999999999 KWA KUKATALA.]</t>
        </is>
      </c>
      <c r="I70" s="186">
        <f>LEN(H70)</f>
        <v/>
      </c>
      <c r="J70" s="186" t="inlineStr">
        <is>
          <t>Range</t>
        </is>
      </c>
      <c r="K70" s="186" t="inlineStr">
        <is>
          <t>NA</t>
        </is>
      </c>
      <c r="L70" s="186" t="inlineStr">
        <is>
          <t>NA</t>
        </is>
      </c>
      <c r="M70" s="186" t="inlineStr">
        <is>
          <t>Form Type - TextBox</t>
        </is>
      </c>
      <c r="N70" s="152" t="inlineStr">
        <is>
          <t>NA</t>
        </is>
      </c>
      <c r="O70" s="190" t="inlineStr">
        <is>
          <t>10000 - 2000000 =income_main_gender
2000001 - 30000000 = income_main_amount_conf
88888888-88888888 =income_main_gender
99999999-99999999 = income_main_gender</t>
        </is>
      </c>
      <c r="P70" s="191" t="inlineStr">
        <is>
          <t>GeoPoll [5/6/2025]. Would suggest updating the minimum to 10000 (instead of 0) and updating maximum to 30000000 for all income questions. Kindly advise if responsive. 
FAO= ok thanks</t>
        </is>
      </c>
      <c r="Q70" s="398" t="inlineStr">
        <is>
          <t>If the income amount is over the threshold set in "Additional information", the respondent will be asked to confirm with income_main_amount_conf. Otherwise, go to income_main_comp or optional question.</t>
        </is>
      </c>
      <c r="R70" s="398" t="inlineStr"/>
      <c r="S70" s="718" t="inlineStr">
        <is>
          <t>We recommend using this pair of questions together.</t>
        </is>
      </c>
      <c r="T70" s="132">
        <f>1</f>
        <v/>
      </c>
      <c r="U70" s="133" t="n"/>
      <c r="W70" s="194" t="inlineStr">
        <is>
          <t>no</t>
        </is>
      </c>
      <c r="X70" s="726" t="n"/>
      <c r="AA70" s="735" t="n">
        <v>31.96376609802246</v>
      </c>
      <c r="AB70" s="735">
        <f>IF(AA70="","",AA70*T70)</f>
        <v/>
      </c>
      <c r="AC70" s="133" t="inlineStr"/>
    </row>
    <row r="71" ht="189" customFormat="1" customHeight="1" s="304">
      <c r="A71" s="145">
        <f>A70+1</f>
        <v/>
      </c>
      <c r="B71" s="399" t="inlineStr">
        <is>
          <t>income_main_amount_conf</t>
        </is>
      </c>
      <c r="C71" s="399" t="inlineStr">
        <is>
          <t>income_main_amount_conf</t>
        </is>
      </c>
      <c r="D71" s="400" t="inlineStr">
        <is>
          <t>Can you confirm the amount of income you just stated is correct?
[OPERATOR: IF THE AMOUNT EARNED FROM THIS INCOME SOURCE OVER THE PAST 3 MONTH IS INDEED OVER 2000000, CLICK ON CONTINUE. OTHERWISE, GO BACK AND CHANGE THE AMOUNT ENTERED.]
1)CONTINUE</t>
        </is>
      </c>
      <c r="E71" s="401">
        <f>LEN(D71)</f>
        <v/>
      </c>
      <c r="F71" s="402" t="inlineStr">
        <is>
          <t>Pouvez-vous confirmer que le montant que vous venez de déclarer est correct?
[OPÉRATEUR/OPÉRATRICE: SI LE MONTANT ISSU DE CETTE SOURCE DE REVENU AU COURS DES TROIS DERNIERS MOIS EST SUPÉRIEUR AU 2000000, CLIQUER SUR CONTINUER. SINON, REVENIR EN ARRIÈRE ET MODIFIER LE MONTANT SAISI.]
1)CONTINUER</t>
        </is>
      </c>
      <c r="G71" s="401">
        <f>LEN(F71)</f>
        <v/>
      </c>
      <c r="H71" s="160" t="inlineStr">
        <is>
          <t>Unaweza kuthibitisha kiasi cha mapato ulichosema ni sahihi?
[OPERATOR: IWAPO KIASI KILICHOCHUKUA KUTOKA KWA CHANZO HIKI CHA MAPATO KATIKA MIEZI 3 ILIYOPITA NI ZAIDI YA 2000000,  ENDELESHA. VINGINEVYO, RUDI NYUMA NA KUBADILI KIASI ILICHOINGIWA.]
1)ENDELEA</t>
        </is>
      </c>
      <c r="I71" s="401">
        <f>LEN(H71)</f>
        <v/>
      </c>
      <c r="J71" s="403" t="inlineStr">
        <is>
          <t>Single Choice</t>
        </is>
      </c>
      <c r="K71" s="296" t="inlineStr">
        <is>
          <t>NA</t>
        </is>
      </c>
      <c r="L71" s="296" t="inlineStr">
        <is>
          <t>NA</t>
        </is>
      </c>
      <c r="M71" s="296" t="inlineStr">
        <is>
          <t>Form Type - Buttons</t>
        </is>
      </c>
      <c r="N71" s="298" t="inlineStr">
        <is>
          <t>NA</t>
        </is>
      </c>
      <c r="O71" s="404" t="inlineStr">
        <is>
          <t>1 = income_main_gender</t>
        </is>
      </c>
      <c r="P71" s="405" t="n"/>
      <c r="Q71" s="406" t="inlineStr">
        <is>
          <t>if income_main_amount_conf = 1, go to income_main_comp or optional question</t>
        </is>
      </c>
      <c r="R71" s="407" t="inlineStr"/>
      <c r="S71" s="740" t="n"/>
      <c r="T71" s="408">
        <f>1</f>
        <v/>
      </c>
      <c r="U71" s="303" t="n"/>
      <c r="W71" s="409" t="inlineStr">
        <is>
          <t>no</t>
        </is>
      </c>
      <c r="X71" s="306" t="n"/>
      <c r="AA71" s="742" t="n">
        <v>2.227367401123047</v>
      </c>
      <c r="AB71" s="742">
        <f>IF(AA71="","",AA71*T71)</f>
        <v/>
      </c>
      <c r="AC71" s="303" t="inlineStr"/>
    </row>
    <row r="72" ht="210" customFormat="1" customHeight="1" s="304">
      <c r="A72" s="145">
        <f>A71+1</f>
        <v/>
      </c>
      <c r="B72" s="411" t="inlineStr">
        <is>
          <t>income_main_gender</t>
        </is>
      </c>
      <c r="C72" s="411" t="inlineStr">
        <is>
          <t>income_main_gender</t>
        </is>
      </c>
      <c r="D72" s="412" t="inlineStr">
        <is>
          <t>What is the gender of the household member[s] generating income from this source? 
[OPERATOR: SINGLE RESPONSE.]
1)Male
2)Female
3)Joint [both male &amp; female]
4)DON'T KNOW
5)REFUSED</t>
        </is>
      </c>
      <c r="E72" s="296">
        <f>LEN(D72)</f>
        <v/>
      </c>
      <c r="F72" s="402" t="inlineStr">
        <is>
          <t>Quel est le sexe du ou des membres du ménage qui génèrent des revenus de cette source? 
[OPÉRATEUR/OPÉRATRICE: RÉPONSE UNIQUE].
1)Homme
2)Femme
3)Mixte [homme et femme]
4)NE SAIT PAS
5)REFUSÉ</t>
        </is>
      </c>
      <c r="G72" s="401">
        <f>LEN(F72)</f>
        <v/>
      </c>
      <c r="H72" s="160" t="inlineStr">
        <is>
          <t>Je, ni jinsia gani ya wanakaya wanaozalisha mapato kutoka kwa chanzo hiki?_x000D_
_x000D_
[OPERATOR: JIBU MOJA.]_x000D_
_x000D_
1)Mwanaume_x000D_
2)Mwanamke_x000D_
3)Viungo [wote wa kiume na wa kike]_x000D_
4)SIJUE_x000D_
5)KUKATALA</t>
        </is>
      </c>
      <c r="I72" s="401">
        <f>LEN(H72)</f>
        <v/>
      </c>
      <c r="J72" s="294" t="inlineStr">
        <is>
          <t>Single Choice</t>
        </is>
      </c>
      <c r="K72" s="296" t="inlineStr">
        <is>
          <t>NA</t>
        </is>
      </c>
      <c r="L72" s="296" t="inlineStr">
        <is>
          <t>NA</t>
        </is>
      </c>
      <c r="M72" s="296" t="inlineStr">
        <is>
          <t>Form Type - Buttons</t>
        </is>
      </c>
      <c r="N72" s="298" t="inlineStr">
        <is>
          <t>NA</t>
        </is>
      </c>
      <c r="O72" s="404" t="inlineStr">
        <is>
          <t>1-5 = income_main_control</t>
        </is>
      </c>
      <c r="P72" s="405" t="n"/>
      <c r="Q72" s="407" t="inlineStr">
        <is>
          <t>if income_main_gender = 1-5, go to income_main_comp or optional question</t>
        </is>
      </c>
      <c r="R72" s="407" t="inlineStr"/>
      <c r="S72" s="301" t="n"/>
      <c r="T72" s="408">
        <f>1</f>
        <v/>
      </c>
      <c r="U72" s="303" t="n"/>
      <c r="W72" s="409" t="inlineStr">
        <is>
          <t>no</t>
        </is>
      </c>
      <c r="X72" s="306" t="n"/>
      <c r="AA72" s="742" t="n">
        <v>4.787401676177979</v>
      </c>
      <c r="AB72" s="742">
        <f>IF(AA72="","",AA72*T72)</f>
        <v/>
      </c>
      <c r="AC72" s="303" t="inlineStr"/>
    </row>
    <row r="73" ht="189" customFormat="1" customHeight="1" s="304">
      <c r="A73" s="145">
        <f>A72+1</f>
        <v/>
      </c>
      <c r="B73" s="670" t="inlineStr">
        <is>
          <t>income_main_control</t>
        </is>
      </c>
      <c r="C73" s="399" t="inlineStr">
        <is>
          <t>income_main_control</t>
        </is>
      </c>
      <c r="D73" s="413" t="inlineStr">
        <is>
          <t>Who controls the revenue that is earned from this source? 
[OPERATOR: SINGLE RESPONSE.]
1)Male household member[s]
2)Female household member[s]
3)Joint household members [both female &amp; male]
4)DON'T KNOW
5)REFUSED</t>
        </is>
      </c>
      <c r="E73" s="414">
        <f>LEN(D73)</f>
        <v/>
      </c>
      <c r="F73" s="415" t="inlineStr">
        <is>
          <t>Qui contrôle les revenus qui proviennent de cette source? 
[OPÉRATEUR/OPÉRATRICE: RÉPONSE UNIQUE].
1)Membre[s] masculin[s] du ménage
2)Membre[s] féminin[s] du ménage
3)Membres du ménage conjointement [femme et homme]
4)NE SAIT PAS
5)REFUSÉ</t>
        </is>
      </c>
      <c r="G73" s="401">
        <f>LEN(F73)</f>
        <v/>
      </c>
      <c r="H73" s="160" t="inlineStr">
        <is>
          <t>Nani anadhibiti mapato yanayopatikana kutokana na chanzo hiki?
[OPERATOR: JIBU MOJA.]
1)Mwanafamilia wa kiume
2)Wanakaya wa kike
3)Wanakaya wa pamoja [wanaume na wanawake]
4)SIJUE
5)KUKATALA</t>
        </is>
      </c>
      <c r="I73" s="401">
        <f>LEN(H73)</f>
        <v/>
      </c>
      <c r="J73" s="416" t="inlineStr">
        <is>
          <t>Single Choice</t>
        </is>
      </c>
      <c r="K73" s="401" t="inlineStr">
        <is>
          <t>NA</t>
        </is>
      </c>
      <c r="L73" s="401" t="inlineStr">
        <is>
          <t>NA</t>
        </is>
      </c>
      <c r="M73" s="401" t="inlineStr">
        <is>
          <t>Form Type - Buttons</t>
        </is>
      </c>
      <c r="N73" s="298" t="inlineStr">
        <is>
          <t>NA</t>
        </is>
      </c>
      <c r="O73" s="400" t="inlineStr">
        <is>
          <t>1-5 = income_main_comp</t>
        </is>
      </c>
      <c r="P73" s="417" t="n"/>
      <c r="Q73" s="418" t="inlineStr">
        <is>
          <t>if income_main_control = 1-5, go to income_main_comp</t>
        </is>
      </c>
      <c r="R73" s="419" t="inlineStr"/>
      <c r="S73" s="420" t="n"/>
      <c r="T73" s="408">
        <f>1</f>
        <v/>
      </c>
      <c r="U73" s="303" t="n"/>
      <c r="V73" s="421" t="n"/>
      <c r="W73" s="409" t="inlineStr">
        <is>
          <t>no</t>
        </is>
      </c>
      <c r="X73" s="306" t="n"/>
      <c r="Y73" s="421" t="n"/>
      <c r="Z73" s="421" t="n"/>
      <c r="AA73" s="742" t="n">
        <v>20.91836738586426</v>
      </c>
      <c r="AB73" s="742">
        <f>IF(AA73="","",AA73*T73)</f>
        <v/>
      </c>
      <c r="AC73" s="303" t="inlineStr"/>
      <c r="AD73" s="421" t="n"/>
      <c r="AE73" s="421" t="n"/>
      <c r="AF73" s="421" t="n"/>
      <c r="AG73" s="421" t="n"/>
      <c r="AH73" s="421" t="n"/>
      <c r="AI73" s="421" t="n"/>
      <c r="AJ73" s="421" t="n"/>
      <c r="AK73" s="421" t="n"/>
      <c r="AL73" s="421" t="n"/>
      <c r="AM73" s="421" t="n"/>
      <c r="AN73" s="421" t="n"/>
      <c r="AO73" s="421" t="n"/>
      <c r="AP73" s="421" t="n"/>
      <c r="AQ73" s="421" t="n"/>
      <c r="AR73" s="421" t="n"/>
      <c r="AS73" s="421" t="n"/>
      <c r="AT73" s="421" t="n"/>
      <c r="AU73" s="421" t="n"/>
      <c r="AV73" s="421" t="n"/>
      <c r="AW73" s="421" t="n"/>
      <c r="AX73" s="421" t="n"/>
      <c r="AY73" s="421" t="n"/>
      <c r="AZ73" s="421" t="n"/>
      <c r="BA73" s="421" t="n"/>
      <c r="BB73" s="421" t="n"/>
      <c r="BC73" s="421" t="n"/>
      <c r="BD73" s="421" t="n"/>
      <c r="BE73" s="421" t="n"/>
      <c r="BF73" s="421" t="n"/>
      <c r="BG73" s="421" t="n"/>
      <c r="BH73" s="421" t="n"/>
      <c r="BI73" s="421" t="n"/>
      <c r="BJ73" s="421" t="n"/>
      <c r="BK73" s="421" t="n"/>
      <c r="BL73" s="421" t="n"/>
      <c r="BM73" s="421" t="n"/>
      <c r="BN73" s="421" t="n"/>
      <c r="BO73" s="421" t="n"/>
      <c r="BP73" s="421" t="n"/>
      <c r="BQ73" s="421" t="n"/>
      <c r="BR73" s="421" t="n"/>
      <c r="BS73" s="421" t="n"/>
      <c r="BT73" s="421" t="n"/>
      <c r="BU73" s="421" t="n"/>
      <c r="BV73" s="421" t="n"/>
      <c r="BW73" s="421" t="n"/>
      <c r="BX73" s="421" t="n"/>
      <c r="BY73" s="421" t="n"/>
      <c r="BZ73" s="421" t="n"/>
      <c r="CA73" s="421" t="n"/>
      <c r="CB73" s="421" t="n"/>
      <c r="CC73" s="421" t="n"/>
      <c r="CD73" s="421" t="n"/>
      <c r="CE73" s="421" t="n"/>
      <c r="CF73" s="421" t="n"/>
      <c r="CG73" s="421" t="n"/>
      <c r="CH73" s="421" t="n"/>
      <c r="CI73" s="421" t="n"/>
      <c r="CJ73" s="421" t="n"/>
      <c r="CK73" s="421" t="n"/>
      <c r="CL73" s="421" t="n"/>
      <c r="CM73" s="421" t="n"/>
      <c r="CN73" s="421" t="n"/>
      <c r="CO73" s="421" t="n"/>
      <c r="CP73" s="421" t="n"/>
      <c r="CQ73" s="421" t="n"/>
      <c r="CR73" s="421" t="n"/>
      <c r="CS73" s="421" t="n"/>
      <c r="CT73" s="421" t="n"/>
      <c r="CU73" s="421" t="n"/>
      <c r="CV73" s="421" t="n"/>
      <c r="CW73" s="421" t="n"/>
      <c r="CX73" s="421" t="n"/>
      <c r="CY73" s="421" t="n"/>
      <c r="CZ73" s="421" t="n"/>
      <c r="DA73" s="421" t="n"/>
      <c r="DB73" s="421" t="n"/>
      <c r="DC73" s="421" t="n"/>
      <c r="DD73" s="421" t="n"/>
      <c r="DE73" s="421" t="n"/>
      <c r="DF73" s="421" t="n"/>
      <c r="DG73" s="421" t="n"/>
      <c r="DH73" s="421" t="n"/>
      <c r="DI73" s="421" t="n"/>
      <c r="DJ73" s="421" t="n"/>
      <c r="DK73" s="421" t="n"/>
      <c r="DL73" s="421" t="n"/>
      <c r="DM73" s="421" t="n"/>
      <c r="DN73" s="421" t="n"/>
      <c r="DO73" s="421" t="n"/>
      <c r="DP73" s="421" t="n"/>
      <c r="DQ73" s="421" t="n"/>
      <c r="DR73" s="421" t="n"/>
      <c r="DS73" s="421" t="n"/>
      <c r="DT73" s="421" t="n"/>
      <c r="DU73" s="421" t="n"/>
      <c r="DV73" s="421" t="n"/>
      <c r="DW73" s="421" t="n"/>
      <c r="DX73" s="421" t="n"/>
      <c r="DY73" s="421" t="n"/>
      <c r="DZ73" s="421" t="n"/>
      <c r="EA73" s="421" t="n"/>
      <c r="EB73" s="421" t="n"/>
      <c r="EC73" s="421" t="n"/>
      <c r="ED73" s="421" t="n"/>
      <c r="EE73" s="421" t="n"/>
      <c r="EF73" s="421" t="n"/>
      <c r="EG73" s="421" t="n"/>
      <c r="EH73" s="421" t="n"/>
      <c r="EI73" s="421" t="n"/>
      <c r="EJ73" s="421" t="n"/>
      <c r="EK73" s="421" t="n"/>
      <c r="EL73" s="421" t="n"/>
      <c r="EM73" s="421" t="n"/>
      <c r="EN73" s="421" t="n"/>
      <c r="EO73" s="421" t="n"/>
      <c r="EP73" s="421" t="n"/>
      <c r="EQ73" s="421" t="n"/>
      <c r="ER73" s="421" t="n"/>
      <c r="ES73" s="421" t="n"/>
      <c r="ET73" s="421" t="n"/>
      <c r="EU73" s="421" t="n"/>
      <c r="EV73" s="421" t="n"/>
      <c r="EW73" s="421" t="n"/>
      <c r="EX73" s="421" t="n"/>
      <c r="EY73" s="421" t="n"/>
      <c r="EZ73" s="421" t="n"/>
      <c r="FA73" s="421" t="n"/>
      <c r="FB73" s="421" t="n"/>
      <c r="FC73" s="421" t="n"/>
      <c r="FD73" s="421" t="n"/>
      <c r="FE73" s="421" t="n"/>
      <c r="FF73" s="421" t="n"/>
      <c r="FG73" s="421" t="n"/>
      <c r="FH73" s="421" t="n"/>
      <c r="FI73" s="421" t="n"/>
      <c r="FJ73" s="421" t="n"/>
      <c r="FK73" s="421" t="n"/>
      <c r="FL73" s="421" t="n"/>
      <c r="FM73" s="421" t="n"/>
      <c r="FN73" s="421" t="n"/>
      <c r="FO73" s="421" t="n"/>
      <c r="FP73" s="421" t="n"/>
      <c r="FQ73" s="421" t="n"/>
      <c r="FR73" s="421" t="n"/>
      <c r="FS73" s="421" t="n"/>
      <c r="FT73" s="421" t="n"/>
      <c r="FU73" s="421" t="n"/>
      <c r="FV73" s="421" t="n"/>
      <c r="FW73" s="421" t="n"/>
      <c r="FX73" s="421" t="n"/>
      <c r="FY73" s="421" t="n"/>
      <c r="FZ73" s="421" t="n"/>
      <c r="GA73" s="421" t="n"/>
      <c r="GB73" s="421" t="n"/>
      <c r="GC73" s="421" t="n"/>
      <c r="GD73" s="421" t="n"/>
      <c r="GE73" s="421" t="n"/>
      <c r="GF73" s="421" t="n"/>
      <c r="GG73" s="421" t="n"/>
      <c r="GH73" s="421" t="n"/>
      <c r="GI73" s="421" t="n"/>
      <c r="GJ73" s="421" t="n"/>
      <c r="GK73" s="421" t="n"/>
      <c r="GL73" s="421" t="n"/>
      <c r="GM73" s="421" t="n"/>
      <c r="GN73" s="421" t="n"/>
      <c r="GO73" s="421" t="n"/>
      <c r="GP73" s="421" t="n"/>
      <c r="GQ73" s="421" t="n"/>
      <c r="GR73" s="421" t="n"/>
      <c r="GS73" s="421" t="n"/>
      <c r="GT73" s="421" t="n"/>
      <c r="GU73" s="421" t="n"/>
      <c r="GV73" s="421" t="n"/>
      <c r="GW73" s="421" t="n"/>
      <c r="GX73" s="421" t="n"/>
      <c r="GY73" s="421" t="n"/>
      <c r="GZ73" s="421" t="n"/>
      <c r="HA73" s="421" t="n"/>
      <c r="HB73" s="421" t="n"/>
      <c r="HC73" s="421" t="n"/>
      <c r="HD73" s="421" t="n"/>
      <c r="HE73" s="421" t="n"/>
      <c r="HF73" s="421" t="n"/>
      <c r="HG73" s="421" t="n"/>
      <c r="HH73" s="421" t="n"/>
      <c r="HI73" s="421" t="n"/>
      <c r="HJ73" s="421" t="n"/>
      <c r="HK73" s="421" t="n"/>
      <c r="HL73" s="421" t="n"/>
      <c r="HM73" s="421" t="n"/>
      <c r="HN73" s="421" t="n"/>
      <c r="HO73" s="421" t="n"/>
      <c r="HP73" s="421" t="n"/>
      <c r="HQ73" s="421" t="n"/>
      <c r="HR73" s="421" t="n"/>
      <c r="HS73" s="421" t="n"/>
      <c r="HT73" s="421" t="n"/>
      <c r="HU73" s="421" t="n"/>
      <c r="HV73" s="421" t="n"/>
      <c r="HW73" s="421" t="n"/>
      <c r="HX73" s="421" t="n"/>
      <c r="HY73" s="421" t="n"/>
      <c r="HZ73" s="421" t="n"/>
      <c r="IA73" s="421" t="n"/>
      <c r="IB73" s="421" t="n"/>
      <c r="IC73" s="421" t="n"/>
      <c r="ID73" s="421" t="n"/>
      <c r="IE73" s="421" t="n"/>
      <c r="IF73" s="421" t="n"/>
      <c r="IG73" s="421" t="n"/>
      <c r="IH73" s="421" t="n"/>
      <c r="II73" s="421" t="n"/>
      <c r="IJ73" s="421" t="n"/>
      <c r="IK73" s="421" t="n"/>
      <c r="IL73" s="421" t="n"/>
      <c r="IM73" s="421" t="n"/>
      <c r="IN73" s="421" t="n"/>
      <c r="IO73" s="421" t="n"/>
      <c r="IP73" s="421" t="n"/>
      <c r="IQ73" s="421" t="n"/>
      <c r="IR73" s="421" t="n"/>
      <c r="IS73" s="421" t="n"/>
      <c r="IT73" s="421" t="n"/>
      <c r="IU73" s="421" t="n"/>
      <c r="IV73" s="421" t="n"/>
      <c r="IW73" s="421" t="n"/>
      <c r="IX73" s="421" t="n"/>
      <c r="IY73" s="421" t="n"/>
      <c r="IZ73" s="421" t="n"/>
      <c r="JA73" s="421" t="n"/>
      <c r="JB73" s="421" t="n"/>
      <c r="JC73" s="421" t="n"/>
      <c r="JD73" s="421" t="n"/>
      <c r="JE73" s="421" t="n"/>
      <c r="JF73" s="421" t="n"/>
      <c r="JG73" s="421" t="n"/>
      <c r="JH73" s="421" t="n"/>
      <c r="JI73" s="421" t="n"/>
      <c r="JJ73" s="421" t="n"/>
      <c r="JK73" s="421" t="n"/>
      <c r="JL73" s="421" t="n"/>
      <c r="JM73" s="421" t="n"/>
      <c r="JN73" s="421" t="n"/>
      <c r="JO73" s="421" t="n"/>
      <c r="JP73" s="421" t="n"/>
      <c r="JQ73" s="421" t="n"/>
      <c r="JR73" s="421" t="n"/>
      <c r="JS73" s="421" t="n"/>
      <c r="JT73" s="421" t="n"/>
      <c r="JU73" s="421" t="n"/>
      <c r="JV73" s="421" t="n"/>
      <c r="JW73" s="421" t="n"/>
      <c r="JX73" s="421" t="n"/>
      <c r="JY73" s="421" t="n"/>
      <c r="JZ73" s="421" t="n"/>
      <c r="KA73" s="421" t="n"/>
      <c r="KB73" s="421" t="n"/>
      <c r="KC73" s="421" t="n"/>
      <c r="KD73" s="421" t="n"/>
      <c r="KE73" s="421" t="n"/>
      <c r="KF73" s="421" t="n"/>
      <c r="KG73" s="421" t="n"/>
      <c r="KH73" s="421" t="n"/>
      <c r="KI73" s="421" t="n"/>
      <c r="KJ73" s="421" t="n"/>
      <c r="KK73" s="421" t="n"/>
      <c r="KL73" s="421" t="n"/>
      <c r="KM73" s="421" t="n"/>
      <c r="KN73" s="421" t="n"/>
      <c r="KO73" s="421" t="n"/>
      <c r="KP73" s="421" t="n"/>
      <c r="KQ73" s="421" t="n"/>
      <c r="KR73" s="421" t="n"/>
      <c r="KS73" s="421" t="n"/>
      <c r="KT73" s="421" t="n"/>
      <c r="KU73" s="421" t="n"/>
      <c r="KV73" s="421" t="n"/>
      <c r="KW73" s="421" t="n"/>
      <c r="KX73" s="421" t="n"/>
      <c r="KY73" s="421" t="n"/>
      <c r="KZ73" s="421" t="n"/>
      <c r="LA73" s="421" t="n"/>
      <c r="LB73" s="421" t="n"/>
      <c r="LC73" s="421" t="n"/>
      <c r="LD73" s="421" t="n"/>
      <c r="LE73" s="421" t="n"/>
      <c r="LF73" s="421" t="n"/>
      <c r="LG73" s="421" t="n"/>
      <c r="LH73" s="421" t="n"/>
      <c r="LI73" s="421" t="n"/>
      <c r="LJ73" s="421" t="n"/>
      <c r="LK73" s="421" t="n"/>
      <c r="LL73" s="421" t="n"/>
      <c r="LM73" s="421" t="n"/>
      <c r="LN73" s="421" t="n"/>
      <c r="LO73" s="421" t="n"/>
      <c r="LP73" s="421" t="n"/>
      <c r="LQ73" s="421" t="n"/>
      <c r="LR73" s="421" t="n"/>
      <c r="LS73" s="421" t="n"/>
      <c r="LT73" s="421" t="n"/>
      <c r="LU73" s="421" t="n"/>
      <c r="LV73" s="421" t="n"/>
      <c r="LW73" s="421" t="n"/>
      <c r="LX73" s="421" t="n"/>
      <c r="LY73" s="421" t="n"/>
      <c r="LZ73" s="421" t="n"/>
      <c r="MA73" s="421" t="n"/>
      <c r="MB73" s="421" t="n"/>
      <c r="MC73" s="421" t="n"/>
      <c r="MD73" s="421" t="n"/>
      <c r="ME73" s="421" t="n"/>
      <c r="MF73" s="421" t="n"/>
      <c r="MG73" s="421" t="n"/>
      <c r="MH73" s="421" t="n"/>
      <c r="MI73" s="421" t="n"/>
      <c r="MJ73" s="421" t="n"/>
      <c r="MK73" s="421" t="n"/>
      <c r="ML73" s="421" t="n"/>
      <c r="MM73" s="421" t="n"/>
      <c r="MN73" s="421" t="n"/>
      <c r="MO73" s="421" t="n"/>
      <c r="MP73" s="421" t="n"/>
      <c r="MQ73" s="421" t="n"/>
      <c r="MR73" s="421" t="n"/>
      <c r="MS73" s="421" t="n"/>
      <c r="MT73" s="421" t="n"/>
      <c r="MU73" s="421" t="n"/>
      <c r="MV73" s="421" t="n"/>
      <c r="MW73" s="421" t="n"/>
      <c r="MX73" s="421" t="n"/>
      <c r="MY73" s="421" t="n"/>
      <c r="MZ73" s="421" t="n"/>
      <c r="NA73" s="421" t="n"/>
      <c r="NB73" s="421" t="n"/>
      <c r="NC73" s="421" t="n"/>
      <c r="ND73" s="421" t="n"/>
      <c r="NE73" s="421" t="n"/>
      <c r="NF73" s="421" t="n"/>
      <c r="NG73" s="421" t="n"/>
      <c r="NH73" s="421" t="n"/>
      <c r="NI73" s="421" t="n"/>
      <c r="NJ73" s="421" t="n"/>
      <c r="NK73" s="421" t="n"/>
      <c r="NL73" s="421" t="n"/>
      <c r="NM73" s="421" t="n"/>
      <c r="NN73" s="421" t="n"/>
      <c r="NO73" s="421" t="n"/>
      <c r="NP73" s="421" t="n"/>
      <c r="NQ73" s="421" t="n"/>
      <c r="NR73" s="421" t="n"/>
      <c r="NS73" s="421" t="n"/>
      <c r="NT73" s="421" t="n"/>
      <c r="NU73" s="421" t="n"/>
      <c r="NV73" s="421" t="n"/>
      <c r="NW73" s="421" t="n"/>
      <c r="NX73" s="421" t="n"/>
      <c r="NY73" s="421" t="n"/>
      <c r="NZ73" s="421" t="n"/>
      <c r="OA73" s="421" t="n"/>
      <c r="OB73" s="421" t="n"/>
      <c r="OC73" s="421" t="n"/>
      <c r="OD73" s="421" t="n"/>
      <c r="OE73" s="421" t="n"/>
      <c r="OF73" s="421" t="n"/>
      <c r="OG73" s="421" t="n"/>
      <c r="OH73" s="421" t="n"/>
      <c r="OI73" s="421" t="n"/>
      <c r="OJ73" s="421" t="n"/>
      <c r="OK73" s="421" t="n"/>
      <c r="OL73" s="421" t="n"/>
      <c r="OM73" s="421" t="n"/>
      <c r="ON73" s="421" t="n"/>
      <c r="OO73" s="421" t="n"/>
      <c r="OP73" s="421" t="n"/>
      <c r="OQ73" s="421" t="n"/>
      <c r="OR73" s="421" t="n"/>
      <c r="OS73" s="421" t="n"/>
      <c r="OT73" s="421" t="n"/>
      <c r="OU73" s="421" t="n"/>
      <c r="OV73" s="421" t="n"/>
      <c r="OW73" s="421" t="n"/>
      <c r="OX73" s="421" t="n"/>
      <c r="OY73" s="421" t="n"/>
      <c r="OZ73" s="421" t="n"/>
      <c r="PA73" s="421" t="n"/>
      <c r="PB73" s="421" t="n"/>
      <c r="PC73" s="421" t="n"/>
      <c r="PD73" s="421" t="n"/>
      <c r="PE73" s="421" t="n"/>
      <c r="PF73" s="421" t="n"/>
      <c r="PG73" s="421" t="n"/>
      <c r="PH73" s="421" t="n"/>
      <c r="PI73" s="421" t="n"/>
      <c r="PJ73" s="421" t="n"/>
      <c r="PK73" s="421" t="n"/>
      <c r="PL73" s="421" t="n"/>
      <c r="PM73" s="421" t="n"/>
      <c r="PN73" s="421" t="n"/>
      <c r="PO73" s="421" t="n"/>
      <c r="PP73" s="421" t="n"/>
      <c r="PQ73" s="421" t="n"/>
      <c r="PR73" s="421" t="n"/>
      <c r="PS73" s="421" t="n"/>
      <c r="PT73" s="421" t="n"/>
      <c r="PU73" s="421" t="n"/>
      <c r="PV73" s="421" t="n"/>
      <c r="PW73" s="421" t="n"/>
      <c r="PX73" s="421" t="n"/>
      <c r="PY73" s="421" t="n"/>
      <c r="PZ73" s="421" t="n"/>
      <c r="QA73" s="421" t="n"/>
      <c r="QB73" s="421" t="n"/>
      <c r="QC73" s="421" t="n"/>
      <c r="QD73" s="421" t="n"/>
      <c r="QE73" s="421" t="n"/>
      <c r="QF73" s="421" t="n"/>
      <c r="QG73" s="421" t="n"/>
      <c r="QH73" s="421" t="n"/>
      <c r="QI73" s="421" t="n"/>
      <c r="QJ73" s="421" t="n"/>
      <c r="QK73" s="421" t="n"/>
      <c r="QL73" s="421" t="n"/>
      <c r="QM73" s="421" t="n"/>
      <c r="QN73" s="421" t="n"/>
      <c r="QO73" s="421" t="n"/>
      <c r="QP73" s="421" t="n"/>
      <c r="QQ73" s="421" t="n"/>
      <c r="QR73" s="421" t="n"/>
      <c r="QS73" s="421" t="n"/>
      <c r="QT73" s="421" t="n"/>
      <c r="QU73" s="421" t="n"/>
      <c r="QV73" s="421" t="n"/>
      <c r="QW73" s="421" t="n"/>
      <c r="QX73" s="421" t="n"/>
      <c r="QY73" s="421" t="n"/>
      <c r="QZ73" s="421" t="n"/>
      <c r="RA73" s="421" t="n"/>
      <c r="RB73" s="421" t="n"/>
      <c r="RC73" s="421" t="n"/>
      <c r="RD73" s="421" t="n"/>
      <c r="RE73" s="421" t="n"/>
      <c r="RF73" s="421" t="n"/>
      <c r="RG73" s="421" t="n"/>
      <c r="RH73" s="421" t="n"/>
      <c r="RI73" s="421" t="n"/>
      <c r="RJ73" s="421" t="n"/>
      <c r="RK73" s="421" t="n"/>
      <c r="RL73" s="421" t="n"/>
      <c r="RM73" s="421" t="n"/>
      <c r="RN73" s="421" t="n"/>
      <c r="RO73" s="421" t="n"/>
      <c r="RP73" s="421" t="n"/>
      <c r="RQ73" s="421" t="n"/>
      <c r="RR73" s="421" t="n"/>
      <c r="RS73" s="421" t="n"/>
      <c r="RT73" s="421" t="n"/>
      <c r="RU73" s="421" t="n"/>
      <c r="RV73" s="421" t="n"/>
      <c r="RW73" s="421" t="n"/>
      <c r="RX73" s="421" t="n"/>
      <c r="RY73" s="421" t="n"/>
      <c r="RZ73" s="421" t="n"/>
      <c r="SA73" s="421" t="n"/>
      <c r="SB73" s="421" t="n"/>
      <c r="SC73" s="421" t="n"/>
      <c r="SD73" s="421" t="n"/>
      <c r="SE73" s="421" t="n"/>
      <c r="SF73" s="421" t="n"/>
      <c r="SG73" s="421" t="n"/>
      <c r="SH73" s="421" t="n"/>
      <c r="SI73" s="421" t="n"/>
      <c r="SJ73" s="421" t="n"/>
      <c r="SK73" s="421" t="n"/>
      <c r="SL73" s="421" t="n"/>
      <c r="SM73" s="421" t="n"/>
      <c r="SN73" s="421" t="n"/>
      <c r="SO73" s="421" t="n"/>
      <c r="SP73" s="421" t="n"/>
      <c r="SQ73" s="421" t="n"/>
      <c r="SR73" s="421" t="n"/>
      <c r="SS73" s="421" t="n"/>
      <c r="ST73" s="421" t="n"/>
      <c r="SU73" s="421" t="n"/>
      <c r="SV73" s="421" t="n"/>
      <c r="SW73" s="421" t="n"/>
      <c r="SX73" s="421" t="n"/>
      <c r="SY73" s="421" t="n"/>
      <c r="SZ73" s="421" t="n"/>
      <c r="TA73" s="421" t="n"/>
      <c r="TB73" s="421" t="n"/>
      <c r="TC73" s="421" t="n"/>
      <c r="TD73" s="421" t="n"/>
      <c r="TE73" s="421" t="n"/>
      <c r="TF73" s="421" t="n"/>
      <c r="TG73" s="421" t="n"/>
      <c r="TH73" s="421" t="n"/>
      <c r="TI73" s="421" t="n"/>
      <c r="TJ73" s="421" t="n"/>
      <c r="TK73" s="421" t="n"/>
      <c r="TL73" s="421" t="n"/>
      <c r="TM73" s="421" t="n"/>
      <c r="TN73" s="421" t="n"/>
      <c r="TO73" s="421" t="n"/>
      <c r="TP73" s="421" t="n"/>
      <c r="TQ73" s="421" t="n"/>
      <c r="TR73" s="421" t="n"/>
      <c r="TS73" s="421" t="n"/>
      <c r="TT73" s="421" t="n"/>
      <c r="TU73" s="421" t="n"/>
      <c r="TV73" s="421" t="n"/>
      <c r="TW73" s="421" t="n"/>
      <c r="TX73" s="421" t="n"/>
      <c r="TY73" s="421" t="n"/>
      <c r="TZ73" s="421" t="n"/>
      <c r="UA73" s="421" t="n"/>
      <c r="UB73" s="421" t="n"/>
      <c r="UC73" s="421" t="n"/>
      <c r="UD73" s="421" t="n"/>
      <c r="UE73" s="421" t="n"/>
      <c r="UF73" s="421" t="n"/>
      <c r="UG73" s="421" t="n"/>
      <c r="UH73" s="421" t="n"/>
      <c r="UI73" s="421" t="n"/>
      <c r="UJ73" s="421" t="n"/>
      <c r="UK73" s="421" t="n"/>
      <c r="UL73" s="421" t="n"/>
      <c r="UM73" s="421" t="n"/>
      <c r="UN73" s="421" t="n"/>
      <c r="UO73" s="421" t="n"/>
      <c r="UP73" s="421" t="n"/>
      <c r="UQ73" s="421" t="n"/>
      <c r="UR73" s="421" t="n"/>
      <c r="US73" s="421" t="n"/>
      <c r="UT73" s="421" t="n"/>
      <c r="UU73" s="421" t="n"/>
      <c r="UV73" s="421" t="n"/>
      <c r="UW73" s="421" t="n"/>
      <c r="UX73" s="421" t="n"/>
      <c r="UY73" s="421" t="n"/>
      <c r="UZ73" s="421" t="n"/>
      <c r="VA73" s="421" t="n"/>
      <c r="VB73" s="421" t="n"/>
      <c r="VC73" s="421" t="n"/>
      <c r="VD73" s="421" t="n"/>
      <c r="VE73" s="421" t="n"/>
      <c r="VF73" s="421" t="n"/>
      <c r="VG73" s="421" t="n"/>
      <c r="VH73" s="421" t="n"/>
      <c r="VI73" s="421" t="n"/>
      <c r="VJ73" s="421" t="n"/>
      <c r="VK73" s="421" t="n"/>
      <c r="VL73" s="421" t="n"/>
      <c r="VM73" s="421" t="n"/>
      <c r="VN73" s="421" t="n"/>
      <c r="VO73" s="421" t="n"/>
      <c r="VP73" s="421" t="n"/>
      <c r="VQ73" s="421" t="n"/>
      <c r="VR73" s="421" t="n"/>
      <c r="VS73" s="421" t="n"/>
      <c r="VT73" s="421" t="n"/>
      <c r="VU73" s="421" t="n"/>
      <c r="VV73" s="421" t="n"/>
      <c r="VW73" s="421" t="n"/>
      <c r="VX73" s="421" t="n"/>
      <c r="VY73" s="421" t="n"/>
      <c r="VZ73" s="421" t="n"/>
      <c r="WA73" s="421" t="n"/>
      <c r="WB73" s="421" t="n"/>
      <c r="WC73" s="421" t="n"/>
      <c r="WD73" s="421" t="n"/>
      <c r="WE73" s="421" t="n"/>
      <c r="WF73" s="421" t="n"/>
      <c r="WG73" s="421" t="n"/>
      <c r="WH73" s="421" t="n"/>
      <c r="WI73" s="421" t="n"/>
      <c r="WJ73" s="421" t="n"/>
      <c r="WK73" s="421" t="n"/>
      <c r="WL73" s="421" t="n"/>
      <c r="WM73" s="421" t="n"/>
      <c r="WN73" s="421" t="n"/>
      <c r="WO73" s="421" t="n"/>
      <c r="WP73" s="421" t="n"/>
      <c r="WQ73" s="421" t="n"/>
      <c r="WR73" s="421" t="n"/>
      <c r="WS73" s="421" t="n"/>
      <c r="WT73" s="421" t="n"/>
      <c r="WU73" s="421" t="n"/>
      <c r="WV73" s="421" t="n"/>
      <c r="WW73" s="421" t="n"/>
      <c r="WX73" s="421" t="n"/>
      <c r="WY73" s="421" t="n"/>
      <c r="WZ73" s="421" t="n"/>
      <c r="XA73" s="421" t="n"/>
      <c r="XB73" s="421" t="n"/>
      <c r="XC73" s="421" t="n"/>
      <c r="XD73" s="421" t="n"/>
      <c r="XE73" s="421" t="n"/>
      <c r="XF73" s="421" t="n"/>
      <c r="XG73" s="421" t="n"/>
      <c r="XH73" s="421" t="n"/>
      <c r="XI73" s="421" t="n"/>
      <c r="XJ73" s="421" t="n"/>
      <c r="XK73" s="421" t="n"/>
      <c r="XL73" s="421" t="n"/>
      <c r="XM73" s="421" t="n"/>
      <c r="XN73" s="421" t="n"/>
      <c r="XO73" s="421" t="n"/>
      <c r="XP73" s="421" t="n"/>
      <c r="XQ73" s="421" t="n"/>
      <c r="XR73" s="421" t="n"/>
      <c r="XS73" s="421" t="n"/>
      <c r="XT73" s="421" t="n"/>
      <c r="XU73" s="421" t="n"/>
      <c r="XV73" s="421" t="n"/>
      <c r="XW73" s="421" t="n"/>
      <c r="XX73" s="421" t="n"/>
      <c r="XY73" s="421" t="n"/>
      <c r="XZ73" s="421" t="n"/>
      <c r="YA73" s="421" t="n"/>
      <c r="YB73" s="421" t="n"/>
      <c r="YC73" s="421" t="n"/>
      <c r="YD73" s="421" t="n"/>
      <c r="YE73" s="421" t="n"/>
      <c r="YF73" s="421" t="n"/>
      <c r="YG73" s="421" t="n"/>
      <c r="YH73" s="421" t="n"/>
      <c r="YI73" s="421" t="n"/>
      <c r="YJ73" s="421" t="n"/>
      <c r="YK73" s="421" t="n"/>
      <c r="YL73" s="421" t="n"/>
      <c r="YM73" s="421" t="n"/>
      <c r="YN73" s="421" t="n"/>
      <c r="YO73" s="421" t="n"/>
      <c r="YP73" s="421" t="n"/>
      <c r="YQ73" s="421" t="n"/>
      <c r="YR73" s="421" t="n"/>
      <c r="YS73" s="421" t="n"/>
      <c r="YT73" s="421" t="n"/>
      <c r="YU73" s="421" t="n"/>
      <c r="YV73" s="421" t="n"/>
      <c r="YW73" s="421" t="n"/>
      <c r="YX73" s="421" t="n"/>
      <c r="YY73" s="421" t="n"/>
      <c r="YZ73" s="421" t="n"/>
      <c r="ZA73" s="421" t="n"/>
      <c r="ZB73" s="421" t="n"/>
      <c r="ZC73" s="421" t="n"/>
      <c r="ZD73" s="421" t="n"/>
      <c r="ZE73" s="421" t="n"/>
      <c r="ZF73" s="421" t="n"/>
      <c r="ZG73" s="421" t="n"/>
      <c r="ZH73" s="421" t="n"/>
      <c r="ZI73" s="421" t="n"/>
      <c r="ZJ73" s="421" t="n"/>
      <c r="ZK73" s="421" t="n"/>
      <c r="ZL73" s="421" t="n"/>
      <c r="ZM73" s="421" t="n"/>
      <c r="ZN73" s="421" t="n"/>
      <c r="ZO73" s="421" t="n"/>
      <c r="ZP73" s="421" t="n"/>
      <c r="ZQ73" s="421" t="n"/>
      <c r="ZR73" s="421" t="n"/>
      <c r="ZS73" s="421" t="n"/>
      <c r="ZT73" s="421" t="n"/>
      <c r="ZU73" s="421" t="n"/>
      <c r="ZV73" s="421" t="n"/>
      <c r="ZW73" s="421" t="n"/>
      <c r="ZX73" s="421" t="n"/>
      <c r="ZY73" s="421" t="n"/>
      <c r="ZZ73" s="421" t="n"/>
      <c r="AAA73" s="421" t="n"/>
      <c r="AAB73" s="421" t="n"/>
      <c r="AAC73" s="421" t="n"/>
      <c r="AAD73" s="421" t="n"/>
      <c r="AAE73" s="421" t="n"/>
      <c r="AAF73" s="421" t="n"/>
      <c r="AAG73" s="421" t="n"/>
      <c r="AAH73" s="421" t="n"/>
      <c r="AAI73" s="421" t="n"/>
      <c r="AAJ73" s="421" t="n"/>
      <c r="AAK73" s="421" t="n"/>
      <c r="AAL73" s="421" t="n"/>
      <c r="AAM73" s="421" t="n"/>
      <c r="AAN73" s="421" t="n"/>
      <c r="AAO73" s="421" t="n"/>
      <c r="AAP73" s="421" t="n"/>
      <c r="AAQ73" s="421" t="n"/>
      <c r="AAR73" s="421" t="n"/>
      <c r="AAS73" s="421" t="n"/>
      <c r="AAT73" s="421" t="n"/>
      <c r="AAU73" s="421" t="n"/>
      <c r="AAV73" s="421" t="n"/>
      <c r="AAW73" s="421" t="n"/>
      <c r="AAX73" s="421" t="n"/>
      <c r="AAY73" s="421" t="n"/>
      <c r="AAZ73" s="421" t="n"/>
      <c r="ABA73" s="421" t="n"/>
      <c r="ABB73" s="421" t="n"/>
      <c r="ABC73" s="421" t="n"/>
      <c r="ABD73" s="421" t="n"/>
      <c r="ABE73" s="421" t="n"/>
      <c r="ABF73" s="421" t="n"/>
      <c r="ABG73" s="421" t="n"/>
      <c r="ABH73" s="421" t="n"/>
      <c r="ABI73" s="421" t="n"/>
      <c r="ABJ73" s="421" t="n"/>
      <c r="ABK73" s="421" t="n"/>
      <c r="ABL73" s="421" t="n"/>
      <c r="ABM73" s="421" t="n"/>
      <c r="ABN73" s="421" t="n"/>
      <c r="ABO73" s="421" t="n"/>
      <c r="ABP73" s="421" t="n"/>
      <c r="ABQ73" s="421" t="n"/>
      <c r="ABR73" s="421" t="n"/>
      <c r="ABS73" s="421" t="n"/>
      <c r="ABT73" s="421" t="n"/>
      <c r="ABU73" s="421" t="n"/>
      <c r="ABV73" s="421" t="n"/>
      <c r="ABW73" s="421" t="n"/>
      <c r="ABX73" s="421" t="n"/>
      <c r="ABY73" s="421" t="n"/>
      <c r="ABZ73" s="421" t="n"/>
      <c r="ACA73" s="421" t="n"/>
      <c r="ACB73" s="421" t="n"/>
      <c r="ACC73" s="421" t="n"/>
      <c r="ACD73" s="421" t="n"/>
      <c r="ACE73" s="421" t="n"/>
      <c r="ACF73" s="421" t="n"/>
      <c r="ACG73" s="421" t="n"/>
      <c r="ACH73" s="421" t="n"/>
      <c r="ACI73" s="421" t="n"/>
      <c r="ACJ73" s="421" t="n"/>
      <c r="ACK73" s="421" t="n"/>
      <c r="ACL73" s="421" t="n"/>
      <c r="ACM73" s="421" t="n"/>
      <c r="ACN73" s="421" t="n"/>
      <c r="ACO73" s="421" t="n"/>
      <c r="ACP73" s="421" t="n"/>
      <c r="ACQ73" s="421" t="n"/>
      <c r="ACR73" s="421" t="n"/>
      <c r="ACS73" s="421" t="n"/>
      <c r="ACT73" s="421" t="n"/>
      <c r="ACU73" s="421" t="n"/>
      <c r="ACV73" s="421" t="n"/>
      <c r="ACW73" s="421" t="n"/>
      <c r="ACX73" s="421" t="n"/>
      <c r="ACY73" s="421" t="n"/>
      <c r="ACZ73" s="421" t="n"/>
      <c r="ADA73" s="421" t="n"/>
      <c r="ADB73" s="421" t="n"/>
      <c r="ADC73" s="421" t="n"/>
      <c r="ADD73" s="421" t="n"/>
      <c r="ADE73" s="421" t="n"/>
      <c r="ADF73" s="421" t="n"/>
      <c r="ADG73" s="421" t="n"/>
      <c r="ADH73" s="421" t="n"/>
      <c r="ADI73" s="421" t="n"/>
      <c r="ADJ73" s="421" t="n"/>
      <c r="ADK73" s="421" t="n"/>
      <c r="ADL73" s="421" t="n"/>
      <c r="ADM73" s="421" t="n"/>
      <c r="ADN73" s="421" t="n"/>
      <c r="ADO73" s="421" t="n"/>
      <c r="ADP73" s="421" t="n"/>
      <c r="ADQ73" s="421" t="n"/>
      <c r="ADR73" s="421" t="n"/>
      <c r="ADS73" s="421" t="n"/>
      <c r="ADT73" s="421" t="n"/>
      <c r="ADU73" s="421" t="n"/>
      <c r="ADV73" s="421" t="n"/>
      <c r="ADW73" s="421" t="n"/>
      <c r="ADX73" s="421" t="n"/>
      <c r="ADY73" s="421" t="n"/>
      <c r="ADZ73" s="421" t="n"/>
      <c r="AEA73" s="421" t="n"/>
      <c r="AEB73" s="421" t="n"/>
      <c r="AEC73" s="421" t="n"/>
      <c r="AED73" s="421" t="n"/>
      <c r="AEE73" s="421" t="n"/>
      <c r="AEF73" s="421" t="n"/>
      <c r="AEG73" s="421" t="n"/>
      <c r="AEH73" s="421" t="n"/>
      <c r="AEI73" s="421" t="n"/>
      <c r="AEJ73" s="421" t="n"/>
      <c r="AEK73" s="421" t="n"/>
      <c r="AEL73" s="421" t="n"/>
      <c r="AEM73" s="421" t="n"/>
      <c r="AEN73" s="421" t="n"/>
      <c r="AEO73" s="421" t="n"/>
      <c r="AEP73" s="421" t="n"/>
      <c r="AEQ73" s="421" t="n"/>
      <c r="AER73" s="421" t="n"/>
      <c r="AES73" s="421" t="n"/>
      <c r="AET73" s="421" t="n"/>
      <c r="AEU73" s="421" t="n"/>
      <c r="AEV73" s="421" t="n"/>
      <c r="AEW73" s="421" t="n"/>
      <c r="AEX73" s="421" t="n"/>
      <c r="AEY73" s="421" t="n"/>
      <c r="AEZ73" s="421" t="n"/>
      <c r="AFA73" s="421" t="n"/>
      <c r="AFB73" s="421" t="n"/>
      <c r="AFC73" s="421" t="n"/>
      <c r="AFD73" s="421" t="n"/>
      <c r="AFE73" s="421" t="n"/>
      <c r="AFF73" s="421" t="n"/>
      <c r="AFG73" s="421" t="n"/>
      <c r="AFH73" s="421" t="n"/>
      <c r="AFI73" s="421" t="n"/>
      <c r="AFJ73" s="421" t="n"/>
      <c r="AFK73" s="421" t="n"/>
      <c r="AFL73" s="421" t="n"/>
      <c r="AFM73" s="421" t="n"/>
      <c r="AFN73" s="421" t="n"/>
      <c r="AFO73" s="421" t="n"/>
      <c r="AFP73" s="421" t="n"/>
      <c r="AFQ73" s="421" t="n"/>
      <c r="AFR73" s="421" t="n"/>
      <c r="AFS73" s="421" t="n"/>
      <c r="AFT73" s="421" t="n"/>
      <c r="AFU73" s="421" t="n"/>
      <c r="AFV73" s="421" t="n"/>
      <c r="AFW73" s="421" t="n"/>
      <c r="AFX73" s="421" t="n"/>
      <c r="AFY73" s="421" t="n"/>
      <c r="AFZ73" s="421" t="n"/>
      <c r="AGA73" s="421" t="n"/>
      <c r="AGB73" s="421" t="n"/>
      <c r="AGC73" s="421" t="n"/>
      <c r="AGD73" s="421" t="n"/>
      <c r="AGE73" s="421" t="n"/>
      <c r="AGF73" s="421" t="n"/>
      <c r="AGG73" s="421" t="n"/>
      <c r="AGH73" s="421" t="n"/>
      <c r="AGI73" s="421" t="n"/>
      <c r="AGJ73" s="421" t="n"/>
      <c r="AGK73" s="421" t="n"/>
      <c r="AGL73" s="421" t="n"/>
      <c r="AGM73" s="421" t="n"/>
      <c r="AGN73" s="421" t="n"/>
      <c r="AGO73" s="421" t="n"/>
      <c r="AGP73" s="421" t="n"/>
      <c r="AGQ73" s="421" t="n"/>
      <c r="AGR73" s="421" t="n"/>
      <c r="AGS73" s="421" t="n"/>
      <c r="AGT73" s="421" t="n"/>
      <c r="AGU73" s="421" t="n"/>
      <c r="AGV73" s="421" t="n"/>
      <c r="AGW73" s="421" t="n"/>
      <c r="AGX73" s="421" t="n"/>
      <c r="AGY73" s="421" t="n"/>
      <c r="AGZ73" s="421" t="n"/>
      <c r="AHA73" s="421" t="n"/>
      <c r="AHB73" s="421" t="n"/>
      <c r="AHC73" s="421" t="n"/>
      <c r="AHD73" s="421" t="n"/>
      <c r="AHE73" s="421" t="n"/>
      <c r="AHF73" s="421" t="n"/>
      <c r="AHG73" s="421" t="n"/>
      <c r="AHH73" s="421" t="n"/>
      <c r="AHI73" s="421" t="n"/>
      <c r="AHJ73" s="421" t="n"/>
      <c r="AHK73" s="421" t="n"/>
      <c r="AHL73" s="421" t="n"/>
      <c r="AHM73" s="421" t="n"/>
      <c r="AHN73" s="421" t="n"/>
      <c r="AHO73" s="421" t="n"/>
      <c r="AHP73" s="421" t="n"/>
      <c r="AHQ73" s="421" t="n"/>
      <c r="AHR73" s="421" t="n"/>
      <c r="AHS73" s="421" t="n"/>
      <c r="AHT73" s="421" t="n"/>
      <c r="AHU73" s="421" t="n"/>
      <c r="AHV73" s="421" t="n"/>
      <c r="AHW73" s="421" t="n"/>
      <c r="AHX73" s="421" t="n"/>
      <c r="AHY73" s="421" t="n"/>
      <c r="AHZ73" s="421" t="n"/>
      <c r="AIA73" s="421" t="n"/>
      <c r="AIB73" s="421" t="n"/>
      <c r="AIC73" s="421" t="n"/>
      <c r="AID73" s="421" t="n"/>
      <c r="AIE73" s="421" t="n"/>
      <c r="AIF73" s="421" t="n"/>
      <c r="AIG73" s="421" t="n"/>
      <c r="AIH73" s="421" t="n"/>
      <c r="AII73" s="421" t="n"/>
      <c r="AIJ73" s="421" t="n"/>
      <c r="AIK73" s="421" t="n"/>
      <c r="AIL73" s="421" t="n"/>
      <c r="AIM73" s="421" t="n"/>
      <c r="AIN73" s="421" t="n"/>
      <c r="AIO73" s="421" t="n"/>
      <c r="AIP73" s="421" t="n"/>
      <c r="AIQ73" s="421" t="n"/>
      <c r="AIR73" s="421" t="n"/>
      <c r="AIS73" s="421" t="n"/>
      <c r="AIT73" s="421" t="n"/>
      <c r="AIU73" s="421" t="n"/>
      <c r="AIV73" s="421" t="n"/>
      <c r="AIW73" s="421" t="n"/>
      <c r="AIX73" s="421" t="n"/>
      <c r="AIY73" s="421" t="n"/>
      <c r="AIZ73" s="421" t="n"/>
      <c r="AJA73" s="421" t="n"/>
      <c r="AJB73" s="421" t="n"/>
      <c r="AJC73" s="421" t="n"/>
      <c r="AJD73" s="421" t="n"/>
      <c r="AJE73" s="421" t="n"/>
      <c r="AJF73" s="421" t="n"/>
      <c r="AJG73" s="421" t="n"/>
      <c r="AJH73" s="421" t="n"/>
      <c r="AJI73" s="421" t="n"/>
      <c r="AJJ73" s="421" t="n"/>
      <c r="AJK73" s="421" t="n"/>
      <c r="AJL73" s="421" t="n"/>
      <c r="AJM73" s="421" t="n"/>
      <c r="AJN73" s="421" t="n"/>
      <c r="AJO73" s="421" t="n"/>
      <c r="AJP73" s="421" t="n"/>
      <c r="AJQ73" s="421" t="n"/>
      <c r="AJR73" s="421" t="n"/>
      <c r="AJS73" s="421" t="n"/>
      <c r="AJT73" s="421" t="n"/>
      <c r="AJU73" s="421" t="n"/>
      <c r="AJV73" s="421" t="n"/>
      <c r="AJW73" s="421" t="n"/>
      <c r="AJX73" s="421" t="n"/>
      <c r="AJY73" s="421" t="n"/>
      <c r="AJZ73" s="421" t="n"/>
      <c r="AKA73" s="421" t="n"/>
      <c r="AKB73" s="421" t="n"/>
      <c r="AKC73" s="421" t="n"/>
      <c r="AKD73" s="421" t="n"/>
      <c r="AKE73" s="421" t="n"/>
      <c r="AKF73" s="421" t="n"/>
      <c r="AKG73" s="421" t="n"/>
      <c r="AKH73" s="421" t="n"/>
      <c r="AKI73" s="421" t="n"/>
      <c r="AKJ73" s="421" t="n"/>
      <c r="AKK73" s="421" t="n"/>
      <c r="AKL73" s="421" t="n"/>
      <c r="AKM73" s="421" t="n"/>
      <c r="AKN73" s="421" t="n"/>
      <c r="AKO73" s="421" t="n"/>
      <c r="AKP73" s="421" t="n"/>
      <c r="AKQ73" s="421" t="n"/>
      <c r="AKR73" s="421" t="n"/>
      <c r="AKS73" s="421" t="n"/>
      <c r="AKT73" s="421" t="n"/>
      <c r="AKU73" s="421" t="n"/>
      <c r="AKV73" s="421" t="n"/>
      <c r="AKW73" s="421" t="n"/>
      <c r="AKX73" s="421" t="n"/>
      <c r="AKY73" s="421" t="n"/>
      <c r="AKZ73" s="421" t="n"/>
      <c r="ALA73" s="421" t="n"/>
      <c r="ALB73" s="421" t="n"/>
      <c r="ALC73" s="421" t="n"/>
      <c r="ALD73" s="421" t="n"/>
      <c r="ALE73" s="421" t="n"/>
      <c r="ALF73" s="421" t="n"/>
      <c r="ALG73" s="421" t="n"/>
      <c r="ALH73" s="421" t="n"/>
      <c r="ALI73" s="421" t="n"/>
      <c r="ALJ73" s="421" t="n"/>
      <c r="ALK73" s="421" t="n"/>
      <c r="ALL73" s="421" t="n"/>
      <c r="ALM73" s="421" t="n"/>
      <c r="ALN73" s="421" t="n"/>
      <c r="ALO73" s="421" t="n"/>
      <c r="ALP73" s="421" t="n"/>
      <c r="ALQ73" s="421" t="n"/>
      <c r="ALR73" s="421" t="n"/>
      <c r="ALS73" s="421" t="n"/>
      <c r="ALT73" s="421" t="n"/>
      <c r="ALU73" s="421" t="n"/>
      <c r="ALV73" s="421" t="n"/>
      <c r="ALW73" s="421" t="n"/>
      <c r="ALX73" s="421" t="n"/>
      <c r="ALY73" s="421" t="n"/>
      <c r="ALZ73" s="421" t="n"/>
      <c r="AMA73" s="421" t="n"/>
      <c r="AMB73" s="421" t="n"/>
      <c r="AMC73" s="421" t="n"/>
      <c r="AMD73" s="421" t="n"/>
      <c r="AME73" s="421" t="n"/>
      <c r="AMF73" s="421" t="n"/>
      <c r="AMG73" s="421" t="n"/>
      <c r="AMH73" s="421" t="n"/>
      <c r="AMI73" s="421" t="n"/>
      <c r="AMJ73" s="421" t="n"/>
      <c r="AMK73" s="421" t="n"/>
      <c r="AML73" s="421" t="n"/>
      <c r="AMM73" s="421" t="n"/>
      <c r="AMN73" s="421" t="n"/>
      <c r="AMO73" s="421" t="n"/>
      <c r="AMP73" s="421" t="n"/>
      <c r="AMQ73" s="421" t="n"/>
      <c r="AMR73" s="421" t="n"/>
      <c r="AMS73" s="421" t="n"/>
      <c r="AMT73" s="421" t="n"/>
      <c r="AMU73" s="421" t="n"/>
      <c r="AMV73" s="421" t="n"/>
      <c r="AMW73" s="421" t="n"/>
      <c r="AMX73" s="421" t="n"/>
      <c r="AMY73" s="421" t="n"/>
      <c r="AMZ73" s="421" t="n"/>
      <c r="ANA73" s="421" t="n"/>
      <c r="ANB73" s="421" t="n"/>
      <c r="ANC73" s="421" t="n"/>
      <c r="AND73" s="421" t="n"/>
      <c r="ANE73" s="421" t="n"/>
      <c r="ANF73" s="421" t="n"/>
      <c r="ANG73" s="421" t="n"/>
      <c r="ANH73" s="421" t="n"/>
      <c r="ANI73" s="421" t="n"/>
      <c r="ANJ73" s="421" t="n"/>
      <c r="ANK73" s="421" t="n"/>
      <c r="ANL73" s="421" t="n"/>
      <c r="ANM73" s="421" t="n"/>
      <c r="ANN73" s="421" t="n"/>
      <c r="ANO73" s="421" t="n"/>
      <c r="ANP73" s="421" t="n"/>
      <c r="ANQ73" s="421" t="n"/>
      <c r="ANR73" s="421" t="n"/>
      <c r="ANS73" s="421" t="n"/>
      <c r="ANT73" s="421" t="n"/>
      <c r="ANU73" s="421" t="n"/>
      <c r="ANV73" s="421" t="n"/>
      <c r="ANW73" s="421" t="n"/>
      <c r="ANX73" s="421" t="n"/>
      <c r="ANY73" s="421" t="n"/>
      <c r="ANZ73" s="421" t="n"/>
      <c r="AOA73" s="421" t="n"/>
      <c r="AOB73" s="421" t="n"/>
      <c r="AOC73" s="421" t="n"/>
      <c r="AOD73" s="421" t="n"/>
      <c r="AOE73" s="421" t="n"/>
      <c r="AOF73" s="421" t="n"/>
      <c r="AOG73" s="421" t="n"/>
      <c r="AOH73" s="421" t="n"/>
      <c r="AOI73" s="421" t="n"/>
      <c r="AOJ73" s="421" t="n"/>
      <c r="AOK73" s="421" t="n"/>
      <c r="AOL73" s="421" t="n"/>
      <c r="AOM73" s="421" t="n"/>
      <c r="AON73" s="421" t="n"/>
      <c r="AOO73" s="421" t="n"/>
      <c r="AOP73" s="421" t="n"/>
      <c r="AOQ73" s="421" t="n"/>
      <c r="AOR73" s="421" t="n"/>
      <c r="AOS73" s="421" t="n"/>
      <c r="AOT73" s="421" t="n"/>
      <c r="AOU73" s="421" t="n"/>
      <c r="AOV73" s="421" t="n"/>
      <c r="AOW73" s="421" t="n"/>
      <c r="AOX73" s="421" t="n"/>
      <c r="AOY73" s="421" t="n"/>
      <c r="AOZ73" s="421" t="n"/>
      <c r="APA73" s="421" t="n"/>
      <c r="APB73" s="421" t="n"/>
      <c r="APC73" s="421" t="n"/>
      <c r="APD73" s="421" t="n"/>
      <c r="APE73" s="421" t="n"/>
      <c r="APF73" s="421" t="n"/>
      <c r="APG73" s="421" t="n"/>
      <c r="APH73" s="421" t="n"/>
      <c r="API73" s="421" t="n"/>
      <c r="APJ73" s="421" t="n"/>
      <c r="APK73" s="421" t="n"/>
      <c r="APL73" s="421" t="n"/>
      <c r="APM73" s="421" t="n"/>
      <c r="APN73" s="421" t="n"/>
      <c r="APO73" s="421" t="n"/>
      <c r="APP73" s="421" t="n"/>
      <c r="APQ73" s="421" t="n"/>
      <c r="APR73" s="421" t="n"/>
      <c r="APS73" s="421" t="n"/>
      <c r="APT73" s="421" t="n"/>
      <c r="APU73" s="421" t="n"/>
      <c r="APV73" s="421" t="n"/>
      <c r="APW73" s="421" t="n"/>
      <c r="APX73" s="421" t="n"/>
      <c r="APY73" s="421" t="n"/>
      <c r="APZ73" s="421" t="n"/>
      <c r="AQA73" s="421" t="n"/>
      <c r="AQB73" s="421" t="n"/>
      <c r="AQC73" s="421" t="n"/>
      <c r="AQD73" s="421" t="n"/>
      <c r="AQE73" s="421" t="n"/>
      <c r="AQF73" s="421" t="n"/>
      <c r="AQG73" s="421" t="n"/>
      <c r="AQH73" s="421" t="n"/>
      <c r="AQI73" s="421" t="n"/>
      <c r="AQJ73" s="421" t="n"/>
      <c r="AQK73" s="421" t="n"/>
      <c r="AQL73" s="421" t="n"/>
      <c r="AQM73" s="421" t="n"/>
      <c r="AQN73" s="421" t="n"/>
      <c r="AQO73" s="421" t="n"/>
      <c r="AQP73" s="421" t="n"/>
      <c r="AQQ73" s="421" t="n"/>
      <c r="AQR73" s="421" t="n"/>
      <c r="AQS73" s="421" t="n"/>
      <c r="AQT73" s="421" t="n"/>
      <c r="AQU73" s="421" t="n"/>
      <c r="AQV73" s="421" t="n"/>
      <c r="AQW73" s="421" t="n"/>
      <c r="AQX73" s="421" t="n"/>
      <c r="AQY73" s="421" t="n"/>
      <c r="AQZ73" s="421" t="n"/>
      <c r="ARA73" s="421" t="n"/>
      <c r="ARB73" s="421" t="n"/>
      <c r="ARC73" s="421" t="n"/>
      <c r="ARD73" s="421" t="n"/>
      <c r="ARE73" s="421" t="n"/>
      <c r="ARF73" s="421" t="n"/>
      <c r="ARG73" s="421" t="n"/>
      <c r="ARH73" s="421" t="n"/>
      <c r="ARI73" s="421" t="n"/>
      <c r="ARJ73" s="421" t="n"/>
      <c r="ARK73" s="421" t="n"/>
      <c r="ARL73" s="421" t="n"/>
      <c r="ARM73" s="421" t="n"/>
      <c r="ARN73" s="421" t="n"/>
      <c r="ARO73" s="421" t="n"/>
      <c r="ARP73" s="421" t="n"/>
      <c r="ARQ73" s="421" t="n"/>
      <c r="ARR73" s="421" t="n"/>
      <c r="ARS73" s="421" t="n"/>
      <c r="ART73" s="421" t="n"/>
      <c r="ARU73" s="421" t="n"/>
      <c r="ARV73" s="421" t="n"/>
      <c r="ARW73" s="421" t="n"/>
      <c r="ARX73" s="421" t="n"/>
      <c r="ARY73" s="421" t="n"/>
      <c r="ARZ73" s="421" t="n"/>
      <c r="ASA73" s="421" t="n"/>
      <c r="ASB73" s="421" t="n"/>
      <c r="ASC73" s="421" t="n"/>
      <c r="ASD73" s="421" t="n"/>
      <c r="ASE73" s="421" t="n"/>
      <c r="ASF73" s="421" t="n"/>
      <c r="ASG73" s="421" t="n"/>
      <c r="ASH73" s="421" t="n"/>
      <c r="ASI73" s="421" t="n"/>
      <c r="ASJ73" s="421" t="n"/>
      <c r="ASK73" s="421" t="n"/>
      <c r="ASL73" s="421" t="n"/>
      <c r="ASM73" s="421" t="n"/>
      <c r="ASN73" s="421" t="n"/>
      <c r="ASO73" s="421" t="n"/>
      <c r="ASP73" s="421" t="n"/>
      <c r="ASQ73" s="421" t="n"/>
      <c r="ASR73" s="421" t="n"/>
      <c r="ASS73" s="421" t="n"/>
      <c r="AST73" s="421" t="n"/>
      <c r="ASU73" s="421" t="n"/>
      <c r="ASV73" s="421" t="n"/>
      <c r="ASW73" s="421" t="n"/>
      <c r="ASX73" s="421" t="n"/>
      <c r="ASY73" s="421" t="n"/>
      <c r="ASZ73" s="421" t="n"/>
      <c r="ATA73" s="421" t="n"/>
      <c r="ATB73" s="421" t="n"/>
      <c r="ATC73" s="421" t="n"/>
      <c r="ATD73" s="421" t="n"/>
      <c r="ATE73" s="421" t="n"/>
      <c r="ATF73" s="421" t="n"/>
      <c r="ATG73" s="421" t="n"/>
      <c r="ATH73" s="421" t="n"/>
      <c r="ATI73" s="421" t="n"/>
      <c r="ATJ73" s="421" t="n"/>
      <c r="ATK73" s="421" t="n"/>
      <c r="ATL73" s="421" t="n"/>
      <c r="ATM73" s="421" t="n"/>
      <c r="ATN73" s="421" t="n"/>
      <c r="ATO73" s="421" t="n"/>
      <c r="ATP73" s="421" t="n"/>
      <c r="ATQ73" s="421" t="n"/>
      <c r="ATR73" s="421" t="n"/>
      <c r="ATS73" s="421" t="n"/>
      <c r="ATT73" s="421" t="n"/>
      <c r="ATU73" s="421" t="n"/>
      <c r="ATV73" s="421" t="n"/>
      <c r="ATW73" s="421" t="n"/>
      <c r="ATX73" s="421" t="n"/>
      <c r="ATY73" s="421" t="n"/>
      <c r="ATZ73" s="421" t="n"/>
      <c r="AUA73" s="421" t="n"/>
      <c r="AUB73" s="421" t="n"/>
      <c r="AUC73" s="421" t="n"/>
      <c r="AUD73" s="421" t="n"/>
      <c r="AUE73" s="421" t="n"/>
      <c r="AUF73" s="421" t="n"/>
      <c r="AUG73" s="421" t="n"/>
      <c r="AUH73" s="421" t="n"/>
      <c r="AUI73" s="421" t="n"/>
      <c r="AUJ73" s="421" t="n"/>
      <c r="AUK73" s="421" t="n"/>
      <c r="AUL73" s="421" t="n"/>
      <c r="AUM73" s="421" t="n"/>
      <c r="AUN73" s="421" t="n"/>
      <c r="AUO73" s="421" t="n"/>
      <c r="AUP73" s="421" t="n"/>
      <c r="AUQ73" s="421" t="n"/>
      <c r="AUR73" s="421" t="n"/>
      <c r="AUS73" s="421" t="n"/>
      <c r="AUT73" s="421" t="n"/>
      <c r="AUU73" s="421" t="n"/>
      <c r="AUV73" s="421" t="n"/>
      <c r="AUW73" s="421" t="n"/>
      <c r="AUX73" s="421" t="n"/>
      <c r="AUY73" s="421" t="n"/>
      <c r="AUZ73" s="421" t="n"/>
      <c r="AVA73" s="421" t="n"/>
      <c r="AVB73" s="421" t="n"/>
      <c r="AVC73" s="421" t="n"/>
      <c r="AVD73" s="421" t="n"/>
      <c r="AVE73" s="421" t="n"/>
      <c r="AVF73" s="421" t="n"/>
      <c r="AVG73" s="421" t="n"/>
      <c r="AVH73" s="421" t="n"/>
      <c r="AVI73" s="421" t="n"/>
      <c r="AVJ73" s="421" t="n"/>
      <c r="AVK73" s="421" t="n"/>
      <c r="AVL73" s="421" t="n"/>
      <c r="AVM73" s="421" t="n"/>
      <c r="AVN73" s="421" t="n"/>
      <c r="AVO73" s="421" t="n"/>
      <c r="AVP73" s="421" t="n"/>
      <c r="AVQ73" s="421" t="n"/>
      <c r="AVR73" s="421" t="n"/>
      <c r="AVS73" s="421" t="n"/>
      <c r="AVT73" s="421" t="n"/>
      <c r="AVU73" s="421" t="n"/>
      <c r="AVV73" s="421" t="n"/>
      <c r="AVW73" s="421" t="n"/>
      <c r="AVX73" s="421" t="n"/>
      <c r="AVY73" s="421" t="n"/>
      <c r="AVZ73" s="421" t="n"/>
      <c r="AWA73" s="421" t="n"/>
      <c r="AWB73" s="421" t="n"/>
      <c r="AWC73" s="421" t="n"/>
      <c r="AWD73" s="421" t="n"/>
      <c r="AWE73" s="421" t="n"/>
      <c r="AWF73" s="421" t="n"/>
      <c r="AWG73" s="421" t="n"/>
      <c r="AWH73" s="421" t="n"/>
      <c r="AWI73" s="421" t="n"/>
      <c r="AWJ73" s="421" t="n"/>
      <c r="AWK73" s="421" t="n"/>
      <c r="AWL73" s="421" t="n"/>
      <c r="AWM73" s="421" t="n"/>
      <c r="AWN73" s="421" t="n"/>
      <c r="AWO73" s="421" t="n"/>
      <c r="AWP73" s="421" t="n"/>
      <c r="AWQ73" s="421" t="n"/>
      <c r="AWR73" s="421" t="n"/>
      <c r="AWS73" s="421" t="n"/>
      <c r="AWT73" s="421" t="n"/>
      <c r="AWU73" s="421" t="n"/>
      <c r="AWV73" s="421" t="n"/>
      <c r="AWW73" s="421" t="n"/>
      <c r="AWX73" s="421" t="n"/>
      <c r="AWY73" s="421" t="n"/>
      <c r="AWZ73" s="421" t="n"/>
      <c r="AXA73" s="421" t="n"/>
      <c r="AXB73" s="421" t="n"/>
      <c r="AXC73" s="421" t="n"/>
      <c r="AXD73" s="421" t="n"/>
      <c r="AXE73" s="421" t="n"/>
      <c r="AXF73" s="421" t="n"/>
      <c r="AXG73" s="421" t="n"/>
      <c r="AXH73" s="421" t="n"/>
      <c r="AXI73" s="421" t="n"/>
      <c r="AXJ73" s="421" t="n"/>
      <c r="AXK73" s="421" t="n"/>
      <c r="AXL73" s="421" t="n"/>
      <c r="AXM73" s="421" t="n"/>
      <c r="AXN73" s="421" t="n"/>
      <c r="AXO73" s="421" t="n"/>
      <c r="AXP73" s="421" t="n"/>
      <c r="AXQ73" s="421" t="n"/>
      <c r="AXR73" s="421" t="n"/>
      <c r="AXS73" s="421" t="n"/>
      <c r="AXT73" s="421" t="n"/>
      <c r="AXU73" s="421" t="n"/>
      <c r="AXV73" s="421" t="n"/>
      <c r="AXW73" s="421" t="n"/>
      <c r="AXX73" s="421" t="n"/>
      <c r="AXY73" s="421" t="n"/>
      <c r="AXZ73" s="421" t="n"/>
      <c r="AYA73" s="421" t="n"/>
      <c r="AYB73" s="421" t="n"/>
      <c r="AYC73" s="421" t="n"/>
      <c r="AYD73" s="421" t="n"/>
      <c r="AYE73" s="421" t="n"/>
      <c r="AYF73" s="421" t="n"/>
      <c r="AYG73" s="421" t="n"/>
      <c r="AYH73" s="421" t="n"/>
      <c r="AYI73" s="421" t="n"/>
      <c r="AYJ73" s="421" t="n"/>
      <c r="AYK73" s="421" t="n"/>
      <c r="AYL73" s="421" t="n"/>
      <c r="AYM73" s="421" t="n"/>
      <c r="AYN73" s="421" t="n"/>
      <c r="AYO73" s="421" t="n"/>
      <c r="AYP73" s="421" t="n"/>
      <c r="AYQ73" s="421" t="n"/>
      <c r="AYR73" s="421" t="n"/>
      <c r="AYS73" s="421" t="n"/>
      <c r="AYT73" s="421" t="n"/>
      <c r="AYU73" s="421" t="n"/>
      <c r="AYV73" s="421" t="n"/>
      <c r="AYW73" s="421" t="n"/>
      <c r="AYX73" s="421" t="n"/>
      <c r="AYY73" s="421" t="n"/>
      <c r="AYZ73" s="421" t="n"/>
      <c r="AZA73" s="421" t="n"/>
      <c r="AZB73" s="421" t="n"/>
      <c r="AZC73" s="421" t="n"/>
      <c r="AZD73" s="421" t="n"/>
      <c r="AZE73" s="421" t="n"/>
      <c r="AZF73" s="421" t="n"/>
      <c r="AZG73" s="421" t="n"/>
      <c r="AZH73" s="421" t="n"/>
      <c r="AZI73" s="421" t="n"/>
      <c r="AZJ73" s="421" t="n"/>
      <c r="AZK73" s="421" t="n"/>
      <c r="AZL73" s="421" t="n"/>
      <c r="AZM73" s="421" t="n"/>
      <c r="AZN73" s="421" t="n"/>
      <c r="AZO73" s="421" t="n"/>
      <c r="AZP73" s="421" t="n"/>
      <c r="AZQ73" s="421" t="n"/>
      <c r="AZR73" s="421" t="n"/>
      <c r="AZS73" s="421" t="n"/>
      <c r="AZT73" s="421" t="n"/>
      <c r="AZU73" s="421" t="n"/>
      <c r="AZV73" s="421" t="n"/>
      <c r="AZW73" s="421" t="n"/>
      <c r="AZX73" s="421" t="n"/>
      <c r="AZY73" s="421" t="n"/>
      <c r="AZZ73" s="421" t="n"/>
      <c r="BAA73" s="421" t="n"/>
      <c r="BAB73" s="421" t="n"/>
      <c r="BAC73" s="421" t="n"/>
      <c r="BAD73" s="421" t="n"/>
      <c r="BAE73" s="421" t="n"/>
      <c r="BAF73" s="421" t="n"/>
      <c r="BAG73" s="421" t="n"/>
      <c r="BAH73" s="421" t="n"/>
      <c r="BAI73" s="421" t="n"/>
      <c r="BAJ73" s="421" t="n"/>
      <c r="BAK73" s="421" t="n"/>
      <c r="BAL73" s="421" t="n"/>
      <c r="BAM73" s="421" t="n"/>
      <c r="BAN73" s="421" t="n"/>
      <c r="BAO73" s="421" t="n"/>
      <c r="BAP73" s="421" t="n"/>
      <c r="BAQ73" s="421" t="n"/>
      <c r="BAR73" s="421" t="n"/>
      <c r="BAS73" s="421" t="n"/>
      <c r="BAT73" s="421" t="n"/>
      <c r="BAU73" s="421" t="n"/>
      <c r="BAV73" s="421" t="n"/>
      <c r="BAW73" s="421" t="n"/>
      <c r="BAX73" s="421" t="n"/>
      <c r="BAY73" s="421" t="n"/>
      <c r="BAZ73" s="421" t="n"/>
      <c r="BBA73" s="421" t="n"/>
      <c r="BBB73" s="421" t="n"/>
      <c r="BBC73" s="421" t="n"/>
      <c r="BBD73" s="421" t="n"/>
      <c r="BBE73" s="421" t="n"/>
      <c r="BBF73" s="421" t="n"/>
      <c r="BBG73" s="421" t="n"/>
      <c r="BBH73" s="421" t="n"/>
      <c r="BBI73" s="421" t="n"/>
      <c r="BBJ73" s="421" t="n"/>
      <c r="BBK73" s="421" t="n"/>
      <c r="BBL73" s="421" t="n"/>
      <c r="BBM73" s="421" t="n"/>
      <c r="BBN73" s="421" t="n"/>
      <c r="BBO73" s="421" t="n"/>
      <c r="BBP73" s="421" t="n"/>
      <c r="BBQ73" s="421" t="n"/>
      <c r="BBR73" s="421" t="n"/>
      <c r="BBS73" s="421" t="n"/>
      <c r="BBT73" s="421" t="n"/>
      <c r="BBU73" s="421" t="n"/>
      <c r="BBV73" s="421" t="n"/>
      <c r="BBW73" s="421" t="n"/>
      <c r="BBX73" s="421" t="n"/>
      <c r="BBY73" s="421" t="n"/>
      <c r="BBZ73" s="421" t="n"/>
      <c r="BCA73" s="421" t="n"/>
      <c r="BCB73" s="421" t="n"/>
      <c r="BCC73" s="421" t="n"/>
      <c r="BCD73" s="421" t="n"/>
      <c r="BCE73" s="421" t="n"/>
      <c r="BCF73" s="421" t="n"/>
      <c r="BCG73" s="421" t="n"/>
      <c r="BCH73" s="421" t="n"/>
      <c r="BCI73" s="421" t="n"/>
      <c r="BCJ73" s="421" t="n"/>
      <c r="BCK73" s="421" t="n"/>
      <c r="BCL73" s="421" t="n"/>
      <c r="BCM73" s="421" t="n"/>
      <c r="BCN73" s="421" t="n"/>
      <c r="BCO73" s="421" t="n"/>
      <c r="BCP73" s="421" t="n"/>
      <c r="BCQ73" s="421" t="n"/>
      <c r="BCR73" s="421" t="n"/>
      <c r="BCS73" s="421" t="n"/>
      <c r="BCT73" s="421" t="n"/>
      <c r="BCU73" s="421" t="n"/>
      <c r="BCV73" s="421" t="n"/>
      <c r="BCW73" s="421" t="n"/>
      <c r="BCX73" s="421" t="n"/>
      <c r="BCY73" s="421" t="n"/>
      <c r="BCZ73" s="421" t="n"/>
      <c r="BDA73" s="421" t="n"/>
      <c r="BDB73" s="421" t="n"/>
      <c r="BDC73" s="421" t="n"/>
      <c r="BDD73" s="421" t="n"/>
      <c r="BDE73" s="421" t="n"/>
      <c r="BDF73" s="421" t="n"/>
      <c r="BDG73" s="421" t="n"/>
      <c r="BDH73" s="421" t="n"/>
      <c r="BDI73" s="421" t="n"/>
      <c r="BDJ73" s="421" t="n"/>
      <c r="BDK73" s="421" t="n"/>
      <c r="BDL73" s="421" t="n"/>
      <c r="BDM73" s="421" t="n"/>
      <c r="BDN73" s="421" t="n"/>
      <c r="BDO73" s="421" t="n"/>
      <c r="BDP73" s="421" t="n"/>
      <c r="BDQ73" s="421" t="n"/>
      <c r="BDR73" s="421" t="n"/>
      <c r="BDS73" s="421" t="n"/>
      <c r="BDT73" s="421" t="n"/>
      <c r="BDU73" s="421" t="n"/>
      <c r="BDV73" s="421" t="n"/>
      <c r="BDW73" s="421" t="n"/>
      <c r="BDX73" s="421" t="n"/>
      <c r="BDY73" s="421" t="n"/>
      <c r="BDZ73" s="421" t="n"/>
      <c r="BEA73" s="421" t="n"/>
      <c r="BEB73" s="421" t="n"/>
      <c r="BEC73" s="421" t="n"/>
      <c r="BED73" s="421" t="n"/>
      <c r="BEE73" s="421" t="n"/>
      <c r="BEF73" s="421" t="n"/>
      <c r="BEG73" s="421" t="n"/>
      <c r="BEH73" s="421" t="n"/>
      <c r="BEI73" s="421" t="n"/>
      <c r="BEJ73" s="421" t="n"/>
      <c r="BEK73" s="421" t="n"/>
      <c r="BEL73" s="421" t="n"/>
      <c r="BEM73" s="421" t="n"/>
      <c r="BEN73" s="421" t="n"/>
      <c r="BEO73" s="421" t="n"/>
      <c r="BEP73" s="421" t="n"/>
      <c r="BEQ73" s="421" t="n"/>
      <c r="BER73" s="421" t="n"/>
      <c r="BES73" s="421" t="n"/>
      <c r="BET73" s="421" t="n"/>
      <c r="BEU73" s="421" t="n"/>
      <c r="BEV73" s="421" t="n"/>
      <c r="BEW73" s="421" t="n"/>
      <c r="BEX73" s="421" t="n"/>
      <c r="BEY73" s="421" t="n"/>
      <c r="BEZ73" s="421" t="n"/>
      <c r="BFA73" s="421" t="n"/>
      <c r="BFB73" s="421" t="n"/>
      <c r="BFC73" s="421" t="n"/>
      <c r="BFD73" s="421" t="n"/>
      <c r="BFE73" s="421" t="n"/>
      <c r="BFF73" s="421" t="n"/>
      <c r="BFG73" s="421" t="n"/>
      <c r="BFH73" s="421" t="n"/>
      <c r="BFI73" s="421" t="n"/>
      <c r="BFJ73" s="421" t="n"/>
      <c r="BFK73" s="421" t="n"/>
      <c r="BFL73" s="421" t="n"/>
      <c r="BFM73" s="421" t="n"/>
      <c r="BFN73" s="421" t="n"/>
      <c r="BFO73" s="421" t="n"/>
      <c r="BFP73" s="421" t="n"/>
      <c r="BFQ73" s="421" t="n"/>
      <c r="BFR73" s="421" t="n"/>
      <c r="BFS73" s="421" t="n"/>
      <c r="BFT73" s="421" t="n"/>
      <c r="BFU73" s="421" t="n"/>
      <c r="BFV73" s="421" t="n"/>
      <c r="BFW73" s="421" t="n"/>
      <c r="BFX73" s="421" t="n"/>
      <c r="BFY73" s="421" t="n"/>
      <c r="BFZ73" s="421" t="n"/>
      <c r="BGA73" s="421" t="n"/>
      <c r="BGB73" s="421" t="n"/>
      <c r="BGC73" s="421" t="n"/>
      <c r="BGD73" s="421" t="n"/>
      <c r="BGE73" s="421" t="n"/>
      <c r="BGF73" s="421" t="n"/>
      <c r="BGG73" s="421" t="n"/>
      <c r="BGH73" s="421" t="n"/>
      <c r="BGI73" s="421" t="n"/>
      <c r="BGJ73" s="421" t="n"/>
      <c r="BGK73" s="421" t="n"/>
      <c r="BGL73" s="421" t="n"/>
      <c r="BGM73" s="421" t="n"/>
      <c r="BGN73" s="421" t="n"/>
      <c r="BGO73" s="421" t="n"/>
      <c r="BGP73" s="421" t="n"/>
      <c r="BGQ73" s="421" t="n"/>
      <c r="BGR73" s="421" t="n"/>
      <c r="BGS73" s="421" t="n"/>
      <c r="BGT73" s="421" t="n"/>
      <c r="BGU73" s="421" t="n"/>
      <c r="BGV73" s="421" t="n"/>
      <c r="BGW73" s="421" t="n"/>
      <c r="BGX73" s="421" t="n"/>
      <c r="BGY73" s="421" t="n"/>
      <c r="BGZ73" s="421" t="n"/>
      <c r="BHA73" s="421" t="n"/>
      <c r="BHB73" s="421" t="n"/>
      <c r="BHC73" s="421" t="n"/>
      <c r="BHD73" s="421" t="n"/>
      <c r="BHE73" s="421" t="n"/>
      <c r="BHF73" s="421" t="n"/>
      <c r="BHG73" s="421" t="n"/>
      <c r="BHH73" s="421" t="n"/>
      <c r="BHI73" s="421" t="n"/>
      <c r="BHJ73" s="421" t="n"/>
      <c r="BHK73" s="421" t="n"/>
      <c r="BHL73" s="421" t="n"/>
      <c r="BHM73" s="421" t="n"/>
      <c r="BHN73" s="421" t="n"/>
      <c r="BHO73" s="421" t="n"/>
      <c r="BHP73" s="421" t="n"/>
      <c r="BHQ73" s="421" t="n"/>
      <c r="BHR73" s="421" t="n"/>
      <c r="BHS73" s="421" t="n"/>
      <c r="BHT73" s="421" t="n"/>
      <c r="BHU73" s="421" t="n"/>
      <c r="BHV73" s="421" t="n"/>
      <c r="BHW73" s="421" t="n"/>
      <c r="BHX73" s="421" t="n"/>
      <c r="BHY73" s="421" t="n"/>
      <c r="BHZ73" s="421" t="n"/>
      <c r="BIA73" s="421" t="n"/>
      <c r="BIB73" s="421" t="n"/>
      <c r="BIC73" s="421" t="n"/>
      <c r="BID73" s="421" t="n"/>
      <c r="BIE73" s="421" t="n"/>
      <c r="BIF73" s="421" t="n"/>
      <c r="BIG73" s="421" t="n"/>
      <c r="BIH73" s="421" t="n"/>
      <c r="BII73" s="421" t="n"/>
      <c r="BIJ73" s="421" t="n"/>
      <c r="BIK73" s="421" t="n"/>
      <c r="BIL73" s="421" t="n"/>
      <c r="BIM73" s="421" t="n"/>
      <c r="BIN73" s="421" t="n"/>
      <c r="BIO73" s="421" t="n"/>
      <c r="BIP73" s="421" t="n"/>
      <c r="BIQ73" s="421" t="n"/>
      <c r="BIR73" s="421" t="n"/>
      <c r="BIS73" s="421" t="n"/>
      <c r="BIT73" s="421" t="n"/>
      <c r="BIU73" s="421" t="n"/>
      <c r="BIV73" s="421" t="n"/>
      <c r="BIW73" s="421" t="n"/>
      <c r="BIX73" s="421" t="n"/>
      <c r="BIY73" s="421" t="n"/>
      <c r="BIZ73" s="421" t="n"/>
      <c r="BJA73" s="421" t="n"/>
      <c r="BJB73" s="421" t="n"/>
      <c r="BJC73" s="421" t="n"/>
      <c r="BJD73" s="421" t="n"/>
      <c r="BJE73" s="421" t="n"/>
      <c r="BJF73" s="421" t="n"/>
      <c r="BJG73" s="421" t="n"/>
      <c r="BJH73" s="421" t="n"/>
      <c r="BJI73" s="421" t="n"/>
      <c r="BJJ73" s="421" t="n"/>
      <c r="BJK73" s="421" t="n"/>
      <c r="BJL73" s="421" t="n"/>
      <c r="BJM73" s="421" t="n"/>
      <c r="BJN73" s="421" t="n"/>
      <c r="BJO73" s="421" t="n"/>
      <c r="BJP73" s="421" t="n"/>
      <c r="BJQ73" s="421" t="n"/>
      <c r="BJR73" s="421" t="n"/>
      <c r="BJS73" s="421" t="n"/>
      <c r="BJT73" s="421" t="n"/>
      <c r="BJU73" s="421" t="n"/>
      <c r="BJV73" s="421" t="n"/>
      <c r="BJW73" s="421" t="n"/>
      <c r="BJX73" s="421" t="n"/>
      <c r="BJY73" s="421" t="n"/>
      <c r="BJZ73" s="421" t="n"/>
      <c r="BKA73" s="421" t="n"/>
      <c r="BKB73" s="421" t="n"/>
      <c r="BKC73" s="421" t="n"/>
      <c r="BKD73" s="421" t="n"/>
      <c r="BKE73" s="421" t="n"/>
      <c r="BKF73" s="421" t="n"/>
      <c r="BKG73" s="421" t="n"/>
      <c r="BKH73" s="421" t="n"/>
      <c r="BKI73" s="421" t="n"/>
      <c r="BKJ73" s="421" t="n"/>
      <c r="BKK73" s="421" t="n"/>
      <c r="BKL73" s="421" t="n"/>
      <c r="BKM73" s="421" t="n"/>
      <c r="BKN73" s="421" t="n"/>
      <c r="BKO73" s="421" t="n"/>
      <c r="BKP73" s="421" t="n"/>
      <c r="BKQ73" s="421" t="n"/>
      <c r="BKR73" s="421" t="n"/>
      <c r="BKS73" s="421" t="n"/>
      <c r="BKT73" s="421" t="n"/>
      <c r="BKU73" s="421" t="n"/>
      <c r="BKV73" s="421" t="n"/>
      <c r="BKW73" s="421" t="n"/>
      <c r="BKX73" s="421" t="n"/>
      <c r="BKY73" s="421" t="n"/>
      <c r="BKZ73" s="421" t="n"/>
      <c r="BLA73" s="421" t="n"/>
      <c r="BLB73" s="421" t="n"/>
      <c r="BLC73" s="421" t="n"/>
      <c r="BLD73" s="421" t="n"/>
      <c r="BLE73" s="421" t="n"/>
      <c r="BLF73" s="421" t="n"/>
      <c r="BLG73" s="421" t="n"/>
      <c r="BLH73" s="421" t="n"/>
      <c r="BLI73" s="421" t="n"/>
      <c r="BLJ73" s="421" t="n"/>
      <c r="BLK73" s="421" t="n"/>
      <c r="BLL73" s="421" t="n"/>
      <c r="BLM73" s="421" t="n"/>
      <c r="BLN73" s="421" t="n"/>
      <c r="BLO73" s="421" t="n"/>
      <c r="BLP73" s="421" t="n"/>
      <c r="BLQ73" s="421" t="n"/>
      <c r="BLR73" s="421" t="n"/>
      <c r="BLS73" s="421" t="n"/>
      <c r="BLT73" s="421" t="n"/>
      <c r="BLU73" s="421" t="n"/>
      <c r="BLV73" s="421" t="n"/>
      <c r="BLW73" s="421" t="n"/>
      <c r="BLX73" s="421" t="n"/>
      <c r="BLY73" s="421" t="n"/>
      <c r="BLZ73" s="421" t="n"/>
      <c r="BMA73" s="421" t="n"/>
      <c r="BMB73" s="421" t="n"/>
      <c r="BMC73" s="421" t="n"/>
      <c r="BMD73" s="421" t="n"/>
      <c r="BME73" s="421" t="n"/>
      <c r="BMF73" s="421" t="n"/>
      <c r="BMG73" s="421" t="n"/>
      <c r="BMH73" s="421" t="n"/>
      <c r="BMI73" s="421" t="n"/>
      <c r="BMJ73" s="421" t="n"/>
      <c r="BMK73" s="421" t="n"/>
      <c r="BML73" s="421" t="n"/>
      <c r="BMM73" s="421" t="n"/>
      <c r="BMN73" s="421" t="n"/>
      <c r="BMO73" s="421" t="n"/>
      <c r="BMP73" s="421" t="n"/>
      <c r="BMQ73" s="421" t="n"/>
      <c r="BMR73" s="421" t="n"/>
      <c r="BMS73" s="421" t="n"/>
      <c r="BMT73" s="421" t="n"/>
      <c r="BMU73" s="421" t="n"/>
      <c r="BMV73" s="421" t="n"/>
      <c r="BMW73" s="421" t="n"/>
      <c r="BMX73" s="421" t="n"/>
      <c r="BMY73" s="421" t="n"/>
      <c r="BMZ73" s="421" t="n"/>
      <c r="BNA73" s="421" t="n"/>
      <c r="BNB73" s="421" t="n"/>
      <c r="BNC73" s="421" t="n"/>
      <c r="BND73" s="421" t="n"/>
      <c r="BNE73" s="421" t="n"/>
      <c r="BNF73" s="421" t="n"/>
      <c r="BNG73" s="421" t="n"/>
      <c r="BNH73" s="421" t="n"/>
      <c r="BNI73" s="421" t="n"/>
      <c r="BNJ73" s="421" t="n"/>
      <c r="BNK73" s="421" t="n"/>
      <c r="BNL73" s="421" t="n"/>
      <c r="BNM73" s="421" t="n"/>
      <c r="BNN73" s="421" t="n"/>
      <c r="BNO73" s="421" t="n"/>
      <c r="BNP73" s="421" t="n"/>
      <c r="BNQ73" s="421" t="n"/>
      <c r="BNR73" s="421" t="n"/>
      <c r="BNS73" s="421" t="n"/>
      <c r="BNT73" s="421" t="n"/>
      <c r="BNU73" s="421" t="n"/>
      <c r="BNV73" s="421" t="n"/>
      <c r="BNW73" s="421" t="n"/>
      <c r="BNX73" s="421" t="n"/>
      <c r="BNY73" s="421" t="n"/>
      <c r="BNZ73" s="421" t="n"/>
      <c r="BOA73" s="421" t="n"/>
      <c r="BOB73" s="421" t="n"/>
      <c r="BOC73" s="421" t="n"/>
      <c r="BOD73" s="421" t="n"/>
      <c r="BOE73" s="421" t="n"/>
      <c r="BOF73" s="421" t="n"/>
      <c r="BOG73" s="421" t="n"/>
      <c r="BOH73" s="421" t="n"/>
      <c r="BOI73" s="421" t="n"/>
      <c r="BOJ73" s="421" t="n"/>
      <c r="BOK73" s="421" t="n"/>
      <c r="BOL73" s="421" t="n"/>
      <c r="BOM73" s="421" t="n"/>
      <c r="BON73" s="421" t="n"/>
      <c r="BOO73" s="421" t="n"/>
      <c r="BOP73" s="421" t="n"/>
      <c r="BOQ73" s="421" t="n"/>
      <c r="BOR73" s="421" t="n"/>
      <c r="BOS73" s="421" t="n"/>
      <c r="BOT73" s="421" t="n"/>
      <c r="BOU73" s="421" t="n"/>
      <c r="BOV73" s="421" t="n"/>
      <c r="BOW73" s="421" t="n"/>
      <c r="BOX73" s="421" t="n"/>
      <c r="BOY73" s="421" t="n"/>
      <c r="BOZ73" s="421" t="n"/>
      <c r="BPA73" s="421" t="n"/>
      <c r="BPB73" s="421" t="n"/>
      <c r="BPC73" s="421" t="n"/>
      <c r="BPD73" s="421" t="n"/>
      <c r="BPE73" s="421" t="n"/>
      <c r="BPF73" s="421" t="n"/>
      <c r="BPG73" s="421" t="n"/>
      <c r="BPH73" s="421" t="n"/>
      <c r="BPI73" s="421" t="n"/>
      <c r="BPJ73" s="421" t="n"/>
      <c r="BPK73" s="421" t="n"/>
      <c r="BPL73" s="421" t="n"/>
      <c r="BPM73" s="421" t="n"/>
      <c r="BPN73" s="421" t="n"/>
      <c r="BPO73" s="421" t="n"/>
      <c r="BPP73" s="421" t="n"/>
      <c r="BPQ73" s="421" t="n"/>
      <c r="BPR73" s="421" t="n"/>
      <c r="BPS73" s="421" t="n"/>
      <c r="BPT73" s="421" t="n"/>
      <c r="BPU73" s="421" t="n"/>
      <c r="BPV73" s="421" t="n"/>
      <c r="BPW73" s="421" t="n"/>
      <c r="BPX73" s="421" t="n"/>
      <c r="BPY73" s="421" t="n"/>
      <c r="BPZ73" s="421" t="n"/>
      <c r="BQA73" s="421" t="n"/>
      <c r="BQB73" s="421" t="n"/>
      <c r="BQC73" s="421" t="n"/>
      <c r="BQD73" s="421" t="n"/>
      <c r="BQE73" s="421" t="n"/>
      <c r="BQF73" s="421" t="n"/>
      <c r="BQG73" s="421" t="n"/>
      <c r="BQH73" s="421" t="n"/>
      <c r="BQI73" s="421" t="n"/>
      <c r="BQJ73" s="421" t="n"/>
      <c r="BQK73" s="421" t="n"/>
      <c r="BQL73" s="421" t="n"/>
      <c r="BQM73" s="421" t="n"/>
      <c r="BQN73" s="421" t="n"/>
      <c r="BQO73" s="421" t="n"/>
      <c r="BQP73" s="421" t="n"/>
      <c r="BQQ73" s="421" t="n"/>
      <c r="BQR73" s="421" t="n"/>
      <c r="BQS73" s="421" t="n"/>
      <c r="BQT73" s="421" t="n"/>
      <c r="BQU73" s="421" t="n"/>
      <c r="BQV73" s="421" t="n"/>
      <c r="BQW73" s="421" t="n"/>
      <c r="BQX73" s="421" t="n"/>
      <c r="BQY73" s="421" t="n"/>
      <c r="BQZ73" s="421" t="n"/>
      <c r="BRA73" s="421" t="n"/>
      <c r="BRB73" s="421" t="n"/>
      <c r="BRC73" s="421" t="n"/>
      <c r="BRD73" s="421" t="n"/>
      <c r="BRE73" s="421" t="n"/>
      <c r="BRF73" s="421" t="n"/>
      <c r="BRG73" s="421" t="n"/>
      <c r="BRH73" s="421" t="n"/>
      <c r="BRI73" s="421" t="n"/>
      <c r="BRJ73" s="421" t="n"/>
      <c r="BRK73" s="421" t="n"/>
      <c r="BRL73" s="421" t="n"/>
      <c r="BRM73" s="421" t="n"/>
      <c r="BRN73" s="421" t="n"/>
      <c r="BRO73" s="421" t="n"/>
      <c r="BRP73" s="421" t="n"/>
      <c r="BRQ73" s="421" t="n"/>
      <c r="BRR73" s="421" t="n"/>
      <c r="BRS73" s="421" t="n"/>
      <c r="BRT73" s="421" t="n"/>
      <c r="BRU73" s="421" t="n"/>
      <c r="BRV73" s="421" t="n"/>
      <c r="BRW73" s="421" t="n"/>
      <c r="BRX73" s="421" t="n"/>
      <c r="BRY73" s="421" t="n"/>
      <c r="BRZ73" s="421" t="n"/>
      <c r="BSA73" s="421" t="n"/>
      <c r="BSB73" s="421" t="n"/>
      <c r="BSC73" s="421" t="n"/>
      <c r="BSD73" s="421" t="n"/>
      <c r="BSE73" s="421" t="n"/>
      <c r="BSF73" s="421" t="n"/>
      <c r="BSG73" s="421" t="n"/>
      <c r="BSH73" s="421" t="n"/>
      <c r="BSI73" s="421" t="n"/>
      <c r="BSJ73" s="421" t="n"/>
      <c r="BSK73" s="421" t="n"/>
      <c r="BSL73" s="421" t="n"/>
      <c r="BSM73" s="421" t="n"/>
      <c r="BSN73" s="421" t="n"/>
      <c r="BSO73" s="421" t="n"/>
      <c r="BSP73" s="421" t="n"/>
      <c r="BSQ73" s="421" t="n"/>
      <c r="BSR73" s="421" t="n"/>
      <c r="BSS73" s="421" t="n"/>
      <c r="BST73" s="421" t="n"/>
      <c r="BSU73" s="421" t="n"/>
      <c r="BSV73" s="421" t="n"/>
      <c r="BSW73" s="421" t="n"/>
      <c r="BSX73" s="421" t="n"/>
      <c r="BSY73" s="421" t="n"/>
      <c r="BSZ73" s="421" t="n"/>
      <c r="BTA73" s="421" t="n"/>
      <c r="BTB73" s="421" t="n"/>
      <c r="BTC73" s="421" t="n"/>
      <c r="BTD73" s="421" t="n"/>
      <c r="BTE73" s="421" t="n"/>
      <c r="BTF73" s="421" t="n"/>
      <c r="BTG73" s="421" t="n"/>
      <c r="BTH73" s="421" t="n"/>
      <c r="BTI73" s="421" t="n"/>
      <c r="BTJ73" s="421" t="n"/>
      <c r="BTK73" s="421" t="n"/>
      <c r="BTL73" s="421" t="n"/>
      <c r="BTM73" s="421" t="n"/>
      <c r="BTN73" s="421" t="n"/>
      <c r="BTO73" s="421" t="n"/>
      <c r="BTP73" s="421" t="n"/>
      <c r="BTQ73" s="421" t="n"/>
      <c r="BTR73" s="421" t="n"/>
      <c r="BTS73" s="421" t="n"/>
      <c r="BTT73" s="421" t="n"/>
      <c r="BTU73" s="421" t="n"/>
      <c r="BTV73" s="421" t="n"/>
      <c r="BTW73" s="421" t="n"/>
      <c r="BTX73" s="421" t="n"/>
      <c r="BTY73" s="421" t="n"/>
      <c r="BTZ73" s="421" t="n"/>
      <c r="BUA73" s="421" t="n"/>
      <c r="BUB73" s="421" t="n"/>
      <c r="BUC73" s="421" t="n"/>
      <c r="BUD73" s="421" t="n"/>
      <c r="BUE73" s="421" t="n"/>
      <c r="BUF73" s="421" t="n"/>
      <c r="BUG73" s="421" t="n"/>
      <c r="BUH73" s="421" t="n"/>
      <c r="BUI73" s="421" t="n"/>
      <c r="BUJ73" s="421" t="n"/>
      <c r="BUK73" s="421" t="n"/>
      <c r="BUL73" s="421" t="n"/>
      <c r="BUM73" s="421" t="n"/>
      <c r="BUN73" s="421" t="n"/>
      <c r="BUO73" s="421" t="n"/>
      <c r="BUP73" s="421" t="n"/>
      <c r="BUQ73" s="421" t="n"/>
      <c r="BUR73" s="421" t="n"/>
      <c r="BUS73" s="421" t="n"/>
      <c r="BUT73" s="421" t="n"/>
      <c r="BUU73" s="421" t="n"/>
      <c r="BUV73" s="421" t="n"/>
      <c r="BUW73" s="421" t="n"/>
      <c r="BUX73" s="421" t="n"/>
      <c r="BUY73" s="421" t="n"/>
      <c r="BUZ73" s="421" t="n"/>
      <c r="BVA73" s="421" t="n"/>
      <c r="BVB73" s="421" t="n"/>
      <c r="BVC73" s="421" t="n"/>
      <c r="BVD73" s="421" t="n"/>
      <c r="BVE73" s="421" t="n"/>
      <c r="BVF73" s="421" t="n"/>
      <c r="BVG73" s="421" t="n"/>
      <c r="BVH73" s="421" t="n"/>
      <c r="BVI73" s="421" t="n"/>
      <c r="BVJ73" s="421" t="n"/>
      <c r="BVK73" s="421" t="n"/>
      <c r="BVL73" s="421" t="n"/>
      <c r="BVM73" s="421" t="n"/>
      <c r="BVN73" s="421" t="n"/>
      <c r="BVO73" s="421" t="n"/>
      <c r="BVP73" s="421" t="n"/>
      <c r="BVQ73" s="421" t="n"/>
      <c r="BVR73" s="421" t="n"/>
      <c r="BVS73" s="421" t="n"/>
      <c r="BVT73" s="421" t="n"/>
      <c r="BVU73" s="421" t="n"/>
      <c r="BVV73" s="421" t="n"/>
      <c r="BVW73" s="421" t="n"/>
      <c r="BVX73" s="421" t="n"/>
      <c r="BVY73" s="421" t="n"/>
      <c r="BVZ73" s="421" t="n"/>
      <c r="BWA73" s="421" t="n"/>
      <c r="BWB73" s="421" t="n"/>
      <c r="BWC73" s="421" t="n"/>
      <c r="BWD73" s="421" t="n"/>
      <c r="BWE73" s="421" t="n"/>
      <c r="BWF73" s="421" t="n"/>
      <c r="BWG73" s="421" t="n"/>
      <c r="BWH73" s="421" t="n"/>
      <c r="BWI73" s="421" t="n"/>
      <c r="BWJ73" s="421" t="n"/>
      <c r="BWK73" s="421" t="n"/>
      <c r="BWL73" s="421" t="n"/>
      <c r="BWM73" s="421" t="n"/>
      <c r="BWN73" s="421" t="n"/>
      <c r="BWO73" s="421" t="n"/>
      <c r="BWP73" s="421" t="n"/>
      <c r="BWQ73" s="421" t="n"/>
      <c r="BWR73" s="421" t="n"/>
      <c r="BWS73" s="421" t="n"/>
      <c r="BWT73" s="421" t="n"/>
      <c r="BWU73" s="421" t="n"/>
      <c r="BWV73" s="421" t="n"/>
      <c r="BWW73" s="421" t="n"/>
      <c r="BWX73" s="421" t="n"/>
      <c r="BWY73" s="421" t="n"/>
      <c r="BWZ73" s="421" t="n"/>
      <c r="BXA73" s="421" t="n"/>
      <c r="BXB73" s="421" t="n"/>
      <c r="BXC73" s="421" t="n"/>
      <c r="BXD73" s="421" t="n"/>
      <c r="BXE73" s="421" t="n"/>
      <c r="BXF73" s="421" t="n"/>
      <c r="BXG73" s="421" t="n"/>
      <c r="BXH73" s="421" t="n"/>
      <c r="BXI73" s="421" t="n"/>
      <c r="BXJ73" s="421" t="n"/>
      <c r="BXK73" s="421" t="n"/>
      <c r="BXL73" s="421" t="n"/>
      <c r="BXM73" s="421" t="n"/>
      <c r="BXN73" s="421" t="n"/>
      <c r="BXO73" s="421" t="n"/>
      <c r="BXP73" s="421" t="n"/>
      <c r="BXQ73" s="421" t="n"/>
      <c r="BXR73" s="421" t="n"/>
      <c r="BXS73" s="421" t="n"/>
      <c r="BXT73" s="421" t="n"/>
      <c r="BXU73" s="421" t="n"/>
      <c r="BXV73" s="421" t="n"/>
      <c r="BXW73" s="421" t="n"/>
      <c r="BXX73" s="421" t="n"/>
      <c r="BXY73" s="421" t="n"/>
      <c r="BXZ73" s="421" t="n"/>
      <c r="BYA73" s="421" t="n"/>
      <c r="BYB73" s="421" t="n"/>
      <c r="BYC73" s="421" t="n"/>
      <c r="BYD73" s="421" t="n"/>
      <c r="BYE73" s="421" t="n"/>
      <c r="BYF73" s="421" t="n"/>
      <c r="BYG73" s="421" t="n"/>
      <c r="BYH73" s="421" t="n"/>
      <c r="BYI73" s="421" t="n"/>
      <c r="BYJ73" s="421" t="n"/>
      <c r="BYK73" s="421" t="n"/>
      <c r="BYL73" s="421" t="n"/>
      <c r="BYM73" s="421" t="n"/>
      <c r="BYN73" s="421" t="n"/>
      <c r="BYO73" s="421" t="n"/>
      <c r="BYP73" s="421" t="n"/>
      <c r="BYQ73" s="421" t="n"/>
      <c r="BYR73" s="421" t="n"/>
      <c r="BYS73" s="421" t="n"/>
      <c r="BYT73" s="421" t="n"/>
      <c r="BYU73" s="421" t="n"/>
      <c r="BYV73" s="421" t="n"/>
      <c r="BYW73" s="421" t="n"/>
      <c r="BYX73" s="421" t="n"/>
      <c r="BYY73" s="421" t="n"/>
      <c r="BYZ73" s="421" t="n"/>
      <c r="BZA73" s="421" t="n"/>
      <c r="BZB73" s="421" t="n"/>
      <c r="BZC73" s="421" t="n"/>
      <c r="BZD73" s="421" t="n"/>
      <c r="BZE73" s="421" t="n"/>
      <c r="BZF73" s="421" t="n"/>
      <c r="BZG73" s="421" t="n"/>
      <c r="BZH73" s="421" t="n"/>
      <c r="BZI73" s="421" t="n"/>
      <c r="BZJ73" s="421" t="n"/>
      <c r="BZK73" s="421" t="n"/>
      <c r="BZL73" s="421" t="n"/>
      <c r="BZM73" s="421" t="n"/>
      <c r="BZN73" s="421" t="n"/>
      <c r="BZO73" s="421" t="n"/>
      <c r="BZP73" s="421" t="n"/>
      <c r="BZQ73" s="421" t="n"/>
      <c r="BZR73" s="421" t="n"/>
      <c r="BZS73" s="421" t="n"/>
      <c r="BZT73" s="421" t="n"/>
      <c r="BZU73" s="421" t="n"/>
      <c r="BZV73" s="421" t="n"/>
      <c r="BZW73" s="421" t="n"/>
      <c r="BZX73" s="421" t="n"/>
      <c r="BZY73" s="421" t="n"/>
      <c r="BZZ73" s="421" t="n"/>
      <c r="CAA73" s="421" t="n"/>
      <c r="CAB73" s="421" t="n"/>
      <c r="CAC73" s="421" t="n"/>
      <c r="CAD73" s="421" t="n"/>
      <c r="CAE73" s="421" t="n"/>
      <c r="CAF73" s="421" t="n"/>
      <c r="CAG73" s="421" t="n"/>
      <c r="CAH73" s="421" t="n"/>
      <c r="CAI73" s="421" t="n"/>
      <c r="CAJ73" s="421" t="n"/>
      <c r="CAK73" s="421" t="n"/>
      <c r="CAL73" s="421" t="n"/>
      <c r="CAM73" s="421" t="n"/>
      <c r="CAN73" s="421" t="n"/>
      <c r="CAO73" s="421" t="n"/>
      <c r="CAP73" s="421" t="n"/>
      <c r="CAQ73" s="421" t="n"/>
      <c r="CAR73" s="421" t="n"/>
      <c r="CAS73" s="421" t="n"/>
      <c r="CAT73" s="421" t="n"/>
      <c r="CAU73" s="421" t="n"/>
      <c r="CAV73" s="421" t="n"/>
      <c r="CAW73" s="421" t="n"/>
      <c r="CAX73" s="421" t="n"/>
      <c r="CAY73" s="421" t="n"/>
      <c r="CAZ73" s="421" t="n"/>
      <c r="CBA73" s="421" t="n"/>
      <c r="CBB73" s="421" t="n"/>
      <c r="CBC73" s="421" t="n"/>
      <c r="CBD73" s="421" t="n"/>
      <c r="CBE73" s="421" t="n"/>
      <c r="CBF73" s="421" t="n"/>
      <c r="CBG73" s="421" t="n"/>
      <c r="CBH73" s="421" t="n"/>
      <c r="CBI73" s="421" t="n"/>
      <c r="CBJ73" s="421" t="n"/>
      <c r="CBK73" s="421" t="n"/>
      <c r="CBL73" s="421" t="n"/>
      <c r="CBM73" s="421" t="n"/>
      <c r="CBN73" s="421" t="n"/>
      <c r="CBO73" s="421" t="n"/>
      <c r="CBP73" s="421" t="n"/>
      <c r="CBQ73" s="421" t="n"/>
      <c r="CBR73" s="421" t="n"/>
      <c r="CBS73" s="421" t="n"/>
      <c r="CBT73" s="421" t="n"/>
      <c r="CBU73" s="421" t="n"/>
      <c r="CBV73" s="421" t="n"/>
      <c r="CBW73" s="421" t="n"/>
      <c r="CBX73" s="421" t="n"/>
      <c r="CBY73" s="421" t="n"/>
      <c r="CBZ73" s="421" t="n"/>
      <c r="CCA73" s="421" t="n"/>
      <c r="CCB73" s="421" t="n"/>
      <c r="CCC73" s="421" t="n"/>
      <c r="CCD73" s="421" t="n"/>
      <c r="CCE73" s="421" t="n"/>
      <c r="CCF73" s="421" t="n"/>
      <c r="CCG73" s="421" t="n"/>
      <c r="CCH73" s="421" t="n"/>
      <c r="CCI73" s="421" t="n"/>
      <c r="CCJ73" s="421" t="n"/>
      <c r="CCK73" s="421" t="n"/>
      <c r="CCL73" s="421" t="n"/>
      <c r="CCM73" s="421" t="n"/>
      <c r="CCN73" s="421" t="n"/>
      <c r="CCO73" s="421" t="n"/>
      <c r="CCP73" s="421" t="n"/>
      <c r="CCQ73" s="421" t="n"/>
      <c r="CCR73" s="421" t="n"/>
      <c r="CCS73" s="421" t="n"/>
      <c r="CCT73" s="421" t="n"/>
      <c r="CCU73" s="421" t="n"/>
      <c r="CCV73" s="421" t="n"/>
      <c r="CCW73" s="421" t="n"/>
      <c r="CCX73" s="421" t="n"/>
      <c r="CCY73" s="421" t="n"/>
      <c r="CCZ73" s="421" t="n"/>
      <c r="CDA73" s="421" t="n"/>
      <c r="CDB73" s="421" t="n"/>
      <c r="CDC73" s="421" t="n"/>
      <c r="CDD73" s="421" t="n"/>
      <c r="CDE73" s="421" t="n"/>
      <c r="CDF73" s="421" t="n"/>
      <c r="CDG73" s="421" t="n"/>
      <c r="CDH73" s="421" t="n"/>
      <c r="CDI73" s="421" t="n"/>
      <c r="CDJ73" s="421" t="n"/>
      <c r="CDK73" s="421" t="n"/>
      <c r="CDL73" s="421" t="n"/>
      <c r="CDM73" s="421" t="n"/>
      <c r="CDN73" s="421" t="n"/>
      <c r="CDO73" s="421" t="n"/>
      <c r="CDP73" s="421" t="n"/>
      <c r="CDQ73" s="421" t="n"/>
      <c r="CDR73" s="421" t="n"/>
      <c r="CDS73" s="421" t="n"/>
      <c r="CDT73" s="421" t="n"/>
      <c r="CDU73" s="421" t="n"/>
      <c r="CDV73" s="421" t="n"/>
      <c r="CDW73" s="421" t="n"/>
      <c r="CDX73" s="421" t="n"/>
      <c r="CDY73" s="421" t="n"/>
      <c r="CDZ73" s="421" t="n"/>
      <c r="CEA73" s="421" t="n"/>
      <c r="CEB73" s="421" t="n"/>
      <c r="CEC73" s="421" t="n"/>
      <c r="CED73" s="421" t="n"/>
      <c r="CEE73" s="421" t="n"/>
      <c r="CEF73" s="421" t="n"/>
      <c r="CEG73" s="421" t="n"/>
      <c r="CEH73" s="421" t="n"/>
      <c r="CEI73" s="421" t="n"/>
      <c r="CEJ73" s="421" t="n"/>
      <c r="CEK73" s="421" t="n"/>
      <c r="CEL73" s="421" t="n"/>
      <c r="CEM73" s="421" t="n"/>
      <c r="CEN73" s="421" t="n"/>
      <c r="CEO73" s="421" t="n"/>
      <c r="CEP73" s="421" t="n"/>
      <c r="CEQ73" s="421" t="n"/>
      <c r="CER73" s="421" t="n"/>
      <c r="CES73" s="421" t="n"/>
      <c r="CET73" s="421" t="n"/>
      <c r="CEU73" s="421" t="n"/>
      <c r="CEV73" s="421" t="n"/>
      <c r="CEW73" s="421" t="n"/>
      <c r="CEX73" s="421" t="n"/>
      <c r="CEY73" s="421" t="n"/>
      <c r="CEZ73" s="421" t="n"/>
      <c r="CFA73" s="421" t="n"/>
      <c r="CFB73" s="421" t="n"/>
      <c r="CFC73" s="421" t="n"/>
      <c r="CFD73" s="421" t="n"/>
      <c r="CFE73" s="421" t="n"/>
      <c r="CFF73" s="421" t="n"/>
      <c r="CFG73" s="421" t="n"/>
      <c r="CFH73" s="421" t="n"/>
      <c r="CFI73" s="421" t="n"/>
      <c r="CFJ73" s="421" t="n"/>
      <c r="CFK73" s="421" t="n"/>
      <c r="CFL73" s="421" t="n"/>
      <c r="CFM73" s="421" t="n"/>
      <c r="CFN73" s="421" t="n"/>
      <c r="CFO73" s="421" t="n"/>
      <c r="CFP73" s="421" t="n"/>
      <c r="CFQ73" s="421" t="n"/>
      <c r="CFR73" s="421" t="n"/>
      <c r="CFS73" s="421" t="n"/>
      <c r="CFT73" s="421" t="n"/>
      <c r="CFU73" s="421" t="n"/>
      <c r="CFV73" s="421" t="n"/>
      <c r="CFW73" s="421" t="n"/>
      <c r="CFX73" s="421" t="n"/>
      <c r="CFY73" s="421" t="n"/>
      <c r="CFZ73" s="421" t="n"/>
      <c r="CGA73" s="421" t="n"/>
      <c r="CGB73" s="421" t="n"/>
      <c r="CGC73" s="421" t="n"/>
      <c r="CGD73" s="421" t="n"/>
      <c r="CGE73" s="421" t="n"/>
      <c r="CGF73" s="421" t="n"/>
      <c r="CGG73" s="421" t="n"/>
      <c r="CGH73" s="421" t="n"/>
      <c r="CGI73" s="421" t="n"/>
      <c r="CGJ73" s="421" t="n"/>
      <c r="CGK73" s="421" t="n"/>
      <c r="CGL73" s="421" t="n"/>
      <c r="CGM73" s="421" t="n"/>
      <c r="CGN73" s="421" t="n"/>
      <c r="CGO73" s="421" t="n"/>
      <c r="CGP73" s="421" t="n"/>
      <c r="CGQ73" s="421" t="n"/>
      <c r="CGR73" s="421" t="n"/>
      <c r="CGS73" s="421" t="n"/>
      <c r="CGT73" s="421" t="n"/>
      <c r="CGU73" s="421" t="n"/>
      <c r="CGV73" s="421" t="n"/>
      <c r="CGW73" s="421" t="n"/>
      <c r="CGX73" s="421" t="n"/>
      <c r="CGY73" s="421" t="n"/>
      <c r="CGZ73" s="421" t="n"/>
      <c r="CHA73" s="421" t="n"/>
      <c r="CHB73" s="421" t="n"/>
      <c r="CHC73" s="421" t="n"/>
      <c r="CHD73" s="421" t="n"/>
      <c r="CHE73" s="421" t="n"/>
      <c r="CHF73" s="421" t="n"/>
      <c r="CHG73" s="421" t="n"/>
      <c r="CHH73" s="421" t="n"/>
      <c r="CHI73" s="421" t="n"/>
      <c r="CHJ73" s="421" t="n"/>
      <c r="CHK73" s="421" t="n"/>
      <c r="CHL73" s="421" t="n"/>
      <c r="CHM73" s="421" t="n"/>
      <c r="CHN73" s="421" t="n"/>
      <c r="CHO73" s="421" t="n"/>
      <c r="CHP73" s="421" t="n"/>
      <c r="CHQ73" s="421" t="n"/>
      <c r="CHR73" s="421" t="n"/>
      <c r="CHS73" s="421" t="n"/>
      <c r="CHT73" s="421" t="n"/>
      <c r="CHU73" s="421" t="n"/>
      <c r="CHV73" s="421" t="n"/>
      <c r="CHW73" s="421" t="n"/>
      <c r="CHX73" s="421" t="n"/>
      <c r="CHY73" s="421" t="n"/>
      <c r="CHZ73" s="421" t="n"/>
      <c r="CIA73" s="421" t="n"/>
      <c r="CIB73" s="421" t="n"/>
      <c r="CIC73" s="421" t="n"/>
      <c r="CID73" s="421" t="n"/>
      <c r="CIE73" s="421" t="n"/>
      <c r="CIF73" s="421" t="n"/>
      <c r="CIG73" s="421" t="n"/>
      <c r="CIH73" s="421" t="n"/>
      <c r="CII73" s="421" t="n"/>
      <c r="CIJ73" s="421" t="n"/>
      <c r="CIK73" s="421" t="n"/>
      <c r="CIL73" s="421" t="n"/>
      <c r="CIM73" s="421" t="n"/>
      <c r="CIN73" s="421" t="n"/>
      <c r="CIO73" s="421" t="n"/>
      <c r="CIP73" s="421" t="n"/>
      <c r="CIQ73" s="421" t="n"/>
      <c r="CIR73" s="421" t="n"/>
      <c r="CIS73" s="421" t="n"/>
      <c r="CIT73" s="421" t="n"/>
      <c r="CIU73" s="421" t="n"/>
      <c r="CIV73" s="421" t="n"/>
      <c r="CIW73" s="421" t="n"/>
      <c r="CIX73" s="421" t="n"/>
      <c r="CIY73" s="421" t="n"/>
      <c r="CIZ73" s="421" t="n"/>
      <c r="CJA73" s="421" t="n"/>
      <c r="CJB73" s="421" t="n"/>
      <c r="CJC73" s="421" t="n"/>
      <c r="CJD73" s="421" t="n"/>
      <c r="CJE73" s="421" t="n"/>
      <c r="CJF73" s="421" t="n"/>
      <c r="CJG73" s="421" t="n"/>
      <c r="CJH73" s="421" t="n"/>
      <c r="CJI73" s="421" t="n"/>
      <c r="CJJ73" s="421" t="n"/>
      <c r="CJK73" s="421" t="n"/>
      <c r="CJL73" s="421" t="n"/>
      <c r="CJM73" s="421" t="n"/>
      <c r="CJN73" s="421" t="n"/>
      <c r="CJO73" s="421" t="n"/>
      <c r="CJP73" s="421" t="n"/>
      <c r="CJQ73" s="421" t="n"/>
      <c r="CJR73" s="421" t="n"/>
      <c r="CJS73" s="421" t="n"/>
      <c r="CJT73" s="421" t="n"/>
      <c r="CJU73" s="421" t="n"/>
      <c r="CJV73" s="421" t="n"/>
      <c r="CJW73" s="421" t="n"/>
      <c r="CJX73" s="421" t="n"/>
      <c r="CJY73" s="421" t="n"/>
      <c r="CJZ73" s="421" t="n"/>
      <c r="CKA73" s="421" t="n"/>
      <c r="CKB73" s="421" t="n"/>
      <c r="CKC73" s="421" t="n"/>
      <c r="CKD73" s="421" t="n"/>
      <c r="CKE73" s="421" t="n"/>
      <c r="CKF73" s="421" t="n"/>
      <c r="CKG73" s="421" t="n"/>
      <c r="CKH73" s="421" t="n"/>
      <c r="CKI73" s="421" t="n"/>
      <c r="CKJ73" s="421" t="n"/>
      <c r="CKK73" s="421" t="n"/>
      <c r="CKL73" s="421" t="n"/>
      <c r="CKM73" s="421" t="n"/>
      <c r="CKN73" s="421" t="n"/>
      <c r="CKO73" s="421" t="n"/>
      <c r="CKP73" s="421" t="n"/>
      <c r="CKQ73" s="421" t="n"/>
      <c r="CKR73" s="421" t="n"/>
      <c r="CKS73" s="421" t="n"/>
      <c r="CKT73" s="421" t="n"/>
      <c r="CKU73" s="421" t="n"/>
      <c r="CKV73" s="421" t="n"/>
      <c r="CKW73" s="421" t="n"/>
      <c r="CKX73" s="421" t="n"/>
      <c r="CKY73" s="421" t="n"/>
      <c r="CKZ73" s="421" t="n"/>
      <c r="CLA73" s="421" t="n"/>
      <c r="CLB73" s="421" t="n"/>
      <c r="CLC73" s="421" t="n"/>
      <c r="CLD73" s="421" t="n"/>
      <c r="CLE73" s="421" t="n"/>
      <c r="CLF73" s="421" t="n"/>
      <c r="CLG73" s="421" t="n"/>
      <c r="CLH73" s="421" t="n"/>
      <c r="CLI73" s="421" t="n"/>
      <c r="CLJ73" s="421" t="n"/>
      <c r="CLK73" s="421" t="n"/>
      <c r="CLL73" s="421" t="n"/>
      <c r="CLM73" s="421" t="n"/>
      <c r="CLN73" s="421" t="n"/>
      <c r="CLO73" s="421" t="n"/>
      <c r="CLP73" s="421" t="n"/>
      <c r="CLQ73" s="421" t="n"/>
      <c r="CLR73" s="421" t="n"/>
      <c r="CLS73" s="421" t="n"/>
      <c r="CLT73" s="421" t="n"/>
      <c r="CLU73" s="421" t="n"/>
      <c r="CLV73" s="421" t="n"/>
      <c r="CLW73" s="421" t="n"/>
      <c r="CLX73" s="421" t="n"/>
      <c r="CLY73" s="421" t="n"/>
      <c r="CLZ73" s="421" t="n"/>
      <c r="CMA73" s="421" t="n"/>
      <c r="CMB73" s="421" t="n"/>
      <c r="CMC73" s="421" t="n"/>
      <c r="CMD73" s="421" t="n"/>
      <c r="CME73" s="421" t="n"/>
      <c r="CMF73" s="421" t="n"/>
      <c r="CMG73" s="421" t="n"/>
      <c r="CMH73" s="421" t="n"/>
      <c r="CMI73" s="421" t="n"/>
      <c r="CMJ73" s="421" t="n"/>
      <c r="CMK73" s="421" t="n"/>
      <c r="CML73" s="421" t="n"/>
      <c r="CMM73" s="421" t="n"/>
      <c r="CMN73" s="421" t="n"/>
      <c r="CMO73" s="421" t="n"/>
      <c r="CMP73" s="421" t="n"/>
      <c r="CMQ73" s="421" t="n"/>
      <c r="CMR73" s="421" t="n"/>
      <c r="CMS73" s="421" t="n"/>
      <c r="CMT73" s="421" t="n"/>
      <c r="CMU73" s="421" t="n"/>
      <c r="CMV73" s="421" t="n"/>
      <c r="CMW73" s="421" t="n"/>
      <c r="CMX73" s="421" t="n"/>
      <c r="CMY73" s="421" t="n"/>
      <c r="CMZ73" s="421" t="n"/>
      <c r="CNA73" s="421" t="n"/>
      <c r="CNB73" s="421" t="n"/>
      <c r="CNC73" s="421" t="n"/>
      <c r="CND73" s="421" t="n"/>
      <c r="CNE73" s="421" t="n"/>
      <c r="CNF73" s="421" t="n"/>
      <c r="CNG73" s="421" t="n"/>
      <c r="CNH73" s="421" t="n"/>
      <c r="CNI73" s="421" t="n"/>
      <c r="CNJ73" s="421" t="n"/>
      <c r="CNK73" s="421" t="n"/>
      <c r="CNL73" s="421" t="n"/>
      <c r="CNM73" s="421" t="n"/>
      <c r="CNN73" s="421" t="n"/>
      <c r="CNO73" s="421" t="n"/>
      <c r="CNP73" s="421" t="n"/>
      <c r="CNQ73" s="421" t="n"/>
      <c r="CNR73" s="421" t="n"/>
      <c r="CNS73" s="421" t="n"/>
      <c r="CNT73" s="421" t="n"/>
      <c r="CNU73" s="421" t="n"/>
      <c r="CNV73" s="421" t="n"/>
      <c r="CNW73" s="421" t="n"/>
      <c r="CNX73" s="421" t="n"/>
      <c r="CNY73" s="421" t="n"/>
      <c r="CNZ73" s="421" t="n"/>
      <c r="COA73" s="421" t="n"/>
      <c r="COB73" s="421" t="n"/>
      <c r="COC73" s="421" t="n"/>
      <c r="COD73" s="421" t="n"/>
      <c r="COE73" s="421" t="n"/>
      <c r="COF73" s="421" t="n"/>
      <c r="COG73" s="421" t="n"/>
      <c r="COH73" s="421" t="n"/>
      <c r="COI73" s="421" t="n"/>
      <c r="COJ73" s="421" t="n"/>
      <c r="COK73" s="421" t="n"/>
      <c r="COL73" s="421" t="n"/>
      <c r="COM73" s="421" t="n"/>
      <c r="CON73" s="421" t="n"/>
      <c r="COO73" s="421" t="n"/>
      <c r="COP73" s="421" t="n"/>
      <c r="COQ73" s="421" t="n"/>
      <c r="COR73" s="421" t="n"/>
      <c r="COS73" s="421" t="n"/>
      <c r="COT73" s="421" t="n"/>
      <c r="COU73" s="421" t="n"/>
      <c r="COV73" s="421" t="n"/>
      <c r="COW73" s="421" t="n"/>
      <c r="COX73" s="421" t="n"/>
      <c r="COY73" s="421" t="n"/>
      <c r="COZ73" s="421" t="n"/>
      <c r="CPA73" s="421" t="n"/>
      <c r="CPB73" s="421" t="n"/>
      <c r="CPC73" s="421" t="n"/>
      <c r="CPD73" s="421" t="n"/>
      <c r="CPE73" s="421" t="n"/>
      <c r="CPF73" s="421" t="n"/>
      <c r="CPG73" s="421" t="n"/>
      <c r="CPH73" s="421" t="n"/>
      <c r="CPI73" s="421" t="n"/>
      <c r="CPJ73" s="421" t="n"/>
      <c r="CPK73" s="421" t="n"/>
      <c r="CPL73" s="421" t="n"/>
      <c r="CPM73" s="421" t="n"/>
      <c r="CPN73" s="421" t="n"/>
      <c r="CPO73" s="421" t="n"/>
      <c r="CPP73" s="421" t="n"/>
      <c r="CPQ73" s="421" t="n"/>
      <c r="CPR73" s="421" t="n"/>
      <c r="CPS73" s="421" t="n"/>
      <c r="CPT73" s="421" t="n"/>
      <c r="CPU73" s="421" t="n"/>
      <c r="CPV73" s="421" t="n"/>
      <c r="CPW73" s="421" t="n"/>
      <c r="CPX73" s="421" t="n"/>
      <c r="CPY73" s="421" t="n"/>
      <c r="CPZ73" s="421" t="n"/>
      <c r="CQA73" s="421" t="n"/>
      <c r="CQB73" s="421" t="n"/>
      <c r="CQC73" s="421" t="n"/>
      <c r="CQD73" s="421" t="n"/>
      <c r="CQE73" s="421" t="n"/>
      <c r="CQF73" s="421" t="n"/>
      <c r="CQG73" s="421" t="n"/>
      <c r="CQH73" s="421" t="n"/>
      <c r="CQI73" s="421" t="n"/>
      <c r="CQJ73" s="421" t="n"/>
      <c r="CQK73" s="421" t="n"/>
      <c r="CQL73" s="421" t="n"/>
      <c r="CQM73" s="421" t="n"/>
      <c r="CQN73" s="421" t="n"/>
      <c r="CQO73" s="421" t="n"/>
      <c r="CQP73" s="421" t="n"/>
      <c r="CQQ73" s="421" t="n"/>
      <c r="CQR73" s="421" t="n"/>
      <c r="CQS73" s="421" t="n"/>
      <c r="CQT73" s="421" t="n"/>
      <c r="CQU73" s="421" t="n"/>
      <c r="CQV73" s="421" t="n"/>
      <c r="CQW73" s="421" t="n"/>
      <c r="CQX73" s="421" t="n"/>
      <c r="CQY73" s="421" t="n"/>
      <c r="CQZ73" s="421" t="n"/>
      <c r="CRA73" s="421" t="n"/>
      <c r="CRB73" s="421" t="n"/>
      <c r="CRC73" s="421" t="n"/>
      <c r="CRD73" s="421" t="n"/>
      <c r="CRE73" s="421" t="n"/>
      <c r="CRF73" s="421" t="n"/>
      <c r="CRG73" s="421" t="n"/>
      <c r="CRH73" s="421" t="n"/>
      <c r="CRI73" s="421" t="n"/>
      <c r="CRJ73" s="421" t="n"/>
      <c r="CRK73" s="421" t="n"/>
      <c r="CRL73" s="421" t="n"/>
      <c r="CRM73" s="421" t="n"/>
      <c r="CRN73" s="421" t="n"/>
      <c r="CRO73" s="421" t="n"/>
      <c r="CRP73" s="421" t="n"/>
      <c r="CRQ73" s="421" t="n"/>
      <c r="CRR73" s="421" t="n"/>
      <c r="CRS73" s="421" t="n"/>
      <c r="CRT73" s="421" t="n"/>
      <c r="CRU73" s="421" t="n"/>
      <c r="CRV73" s="421" t="n"/>
      <c r="CRW73" s="421" t="n"/>
      <c r="CRX73" s="421" t="n"/>
      <c r="CRY73" s="421" t="n"/>
      <c r="CRZ73" s="421" t="n"/>
      <c r="CSA73" s="421" t="n"/>
      <c r="CSB73" s="421" t="n"/>
      <c r="CSC73" s="421" t="n"/>
      <c r="CSD73" s="421" t="n"/>
      <c r="CSE73" s="421" t="n"/>
      <c r="CSF73" s="421" t="n"/>
      <c r="CSG73" s="421" t="n"/>
      <c r="CSH73" s="421" t="n"/>
      <c r="CSI73" s="421" t="n"/>
      <c r="CSJ73" s="421" t="n"/>
      <c r="CSK73" s="421" t="n"/>
      <c r="CSL73" s="421" t="n"/>
      <c r="CSM73" s="421" t="n"/>
      <c r="CSN73" s="421" t="n"/>
      <c r="CSO73" s="421" t="n"/>
      <c r="CSP73" s="421" t="n"/>
      <c r="CSQ73" s="421" t="n"/>
      <c r="CSR73" s="421" t="n"/>
      <c r="CSS73" s="421" t="n"/>
      <c r="CST73" s="421" t="n"/>
      <c r="CSU73" s="421" t="n"/>
      <c r="CSV73" s="421" t="n"/>
      <c r="CSW73" s="421" t="n"/>
      <c r="CSX73" s="421" t="n"/>
      <c r="CSY73" s="421" t="n"/>
      <c r="CSZ73" s="421" t="n"/>
      <c r="CTA73" s="421" t="n"/>
      <c r="CTB73" s="421" t="n"/>
      <c r="CTC73" s="421" t="n"/>
      <c r="CTD73" s="421" t="n"/>
      <c r="CTE73" s="421" t="n"/>
      <c r="CTF73" s="421" t="n"/>
      <c r="CTG73" s="421" t="n"/>
      <c r="CTH73" s="421" t="n"/>
      <c r="CTI73" s="421" t="n"/>
      <c r="CTJ73" s="421" t="n"/>
      <c r="CTK73" s="421" t="n"/>
      <c r="CTL73" s="421" t="n"/>
      <c r="CTM73" s="421" t="n"/>
      <c r="CTN73" s="421" t="n"/>
      <c r="CTO73" s="421" t="n"/>
      <c r="CTP73" s="421" t="n"/>
      <c r="CTQ73" s="421" t="n"/>
      <c r="CTR73" s="421" t="n"/>
      <c r="CTS73" s="421" t="n"/>
      <c r="CTT73" s="421" t="n"/>
      <c r="CTU73" s="421" t="n"/>
      <c r="CTV73" s="421" t="n"/>
      <c r="CTW73" s="421" t="n"/>
      <c r="CTX73" s="421" t="n"/>
      <c r="CTY73" s="421" t="n"/>
      <c r="CTZ73" s="421" t="n"/>
      <c r="CUA73" s="421" t="n"/>
      <c r="CUB73" s="421" t="n"/>
      <c r="CUC73" s="421" t="n"/>
      <c r="CUD73" s="421" t="n"/>
      <c r="CUE73" s="421" t="n"/>
      <c r="CUF73" s="421" t="n"/>
      <c r="CUG73" s="421" t="n"/>
      <c r="CUH73" s="421" t="n"/>
      <c r="CUI73" s="421" t="n"/>
      <c r="CUJ73" s="421" t="n"/>
      <c r="CUK73" s="421" t="n"/>
      <c r="CUL73" s="421" t="n"/>
      <c r="CUM73" s="421" t="n"/>
      <c r="CUN73" s="421" t="n"/>
      <c r="CUO73" s="421" t="n"/>
      <c r="CUP73" s="421" t="n"/>
      <c r="CUQ73" s="421" t="n"/>
      <c r="CUR73" s="421" t="n"/>
      <c r="CUS73" s="421" t="n"/>
      <c r="CUT73" s="421" t="n"/>
      <c r="CUU73" s="421" t="n"/>
      <c r="CUV73" s="421" t="n"/>
      <c r="CUW73" s="421" t="n"/>
      <c r="CUX73" s="421" t="n"/>
      <c r="CUY73" s="421" t="n"/>
      <c r="CUZ73" s="421" t="n"/>
      <c r="CVA73" s="421" t="n"/>
      <c r="CVB73" s="421" t="n"/>
      <c r="CVC73" s="421" t="n"/>
      <c r="CVD73" s="421" t="n"/>
      <c r="CVE73" s="421" t="n"/>
      <c r="CVF73" s="421" t="n"/>
      <c r="CVG73" s="421" t="n"/>
      <c r="CVH73" s="421" t="n"/>
      <c r="CVI73" s="421" t="n"/>
      <c r="CVJ73" s="421" t="n"/>
      <c r="CVK73" s="421" t="n"/>
      <c r="CVL73" s="421" t="n"/>
      <c r="CVM73" s="421" t="n"/>
      <c r="CVN73" s="421" t="n"/>
      <c r="CVO73" s="421" t="n"/>
      <c r="CVP73" s="421" t="n"/>
      <c r="CVQ73" s="421" t="n"/>
      <c r="CVR73" s="421" t="n"/>
      <c r="CVS73" s="421" t="n"/>
      <c r="CVT73" s="421" t="n"/>
      <c r="CVU73" s="421" t="n"/>
      <c r="CVV73" s="421" t="n"/>
      <c r="CVW73" s="421" t="n"/>
      <c r="CVX73" s="421" t="n"/>
      <c r="CVY73" s="421" t="n"/>
      <c r="CVZ73" s="421" t="n"/>
      <c r="CWA73" s="421" t="n"/>
      <c r="CWB73" s="421" t="n"/>
      <c r="CWC73" s="421" t="n"/>
      <c r="CWD73" s="421" t="n"/>
      <c r="CWE73" s="421" t="n"/>
      <c r="CWF73" s="421" t="n"/>
      <c r="CWG73" s="421" t="n"/>
      <c r="CWH73" s="421" t="n"/>
      <c r="CWI73" s="421" t="n"/>
      <c r="CWJ73" s="421" t="n"/>
      <c r="CWK73" s="421" t="n"/>
      <c r="CWL73" s="421" t="n"/>
      <c r="CWM73" s="421" t="n"/>
      <c r="CWN73" s="421" t="n"/>
      <c r="CWO73" s="421" t="n"/>
      <c r="CWP73" s="421" t="n"/>
      <c r="CWQ73" s="421" t="n"/>
      <c r="CWR73" s="421" t="n"/>
      <c r="CWS73" s="421" t="n"/>
      <c r="CWT73" s="421" t="n"/>
      <c r="CWU73" s="421" t="n"/>
      <c r="CWV73" s="421" t="n"/>
      <c r="CWW73" s="421" t="n"/>
      <c r="CWX73" s="421" t="n"/>
      <c r="CWY73" s="421" t="n"/>
      <c r="CWZ73" s="421" t="n"/>
      <c r="CXA73" s="421" t="n"/>
      <c r="CXB73" s="421" t="n"/>
      <c r="CXC73" s="421" t="n"/>
      <c r="CXD73" s="421" t="n"/>
      <c r="CXE73" s="421" t="n"/>
      <c r="CXF73" s="421" t="n"/>
      <c r="CXG73" s="421" t="n"/>
      <c r="CXH73" s="421" t="n"/>
      <c r="CXI73" s="421" t="n"/>
      <c r="CXJ73" s="421" t="n"/>
      <c r="CXK73" s="421" t="n"/>
      <c r="CXL73" s="421" t="n"/>
      <c r="CXM73" s="421" t="n"/>
      <c r="CXN73" s="421" t="n"/>
      <c r="CXO73" s="421" t="n"/>
      <c r="CXP73" s="421" t="n"/>
      <c r="CXQ73" s="421" t="n"/>
      <c r="CXR73" s="421" t="n"/>
      <c r="CXS73" s="421" t="n"/>
      <c r="CXT73" s="421" t="n"/>
      <c r="CXU73" s="421" t="n"/>
      <c r="CXV73" s="421" t="n"/>
      <c r="CXW73" s="421" t="n"/>
      <c r="CXX73" s="421" t="n"/>
      <c r="CXY73" s="421" t="n"/>
      <c r="CXZ73" s="421" t="n"/>
      <c r="CYA73" s="421" t="n"/>
      <c r="CYB73" s="421" t="n"/>
      <c r="CYC73" s="421" t="n"/>
      <c r="CYD73" s="421" t="n"/>
      <c r="CYE73" s="421" t="n"/>
      <c r="CYF73" s="421" t="n"/>
      <c r="CYG73" s="421" t="n"/>
      <c r="CYH73" s="421" t="n"/>
      <c r="CYI73" s="421" t="n"/>
      <c r="CYJ73" s="421" t="n"/>
      <c r="CYK73" s="421" t="n"/>
      <c r="CYL73" s="421" t="n"/>
      <c r="CYM73" s="421" t="n"/>
      <c r="CYN73" s="421" t="n"/>
      <c r="CYO73" s="421" t="n"/>
      <c r="CYP73" s="421" t="n"/>
      <c r="CYQ73" s="421" t="n"/>
      <c r="CYR73" s="421" t="n"/>
      <c r="CYS73" s="421" t="n"/>
      <c r="CYT73" s="421" t="n"/>
      <c r="CYU73" s="421" t="n"/>
      <c r="CYV73" s="421" t="n"/>
      <c r="CYW73" s="421" t="n"/>
      <c r="CYX73" s="421" t="n"/>
      <c r="CYY73" s="421" t="n"/>
      <c r="CYZ73" s="421" t="n"/>
      <c r="CZA73" s="421" t="n"/>
      <c r="CZB73" s="421" t="n"/>
      <c r="CZC73" s="421" t="n"/>
      <c r="CZD73" s="421" t="n"/>
      <c r="CZE73" s="421" t="n"/>
      <c r="CZF73" s="421" t="n"/>
      <c r="CZG73" s="421" t="n"/>
      <c r="CZH73" s="421" t="n"/>
      <c r="CZI73" s="421" t="n"/>
      <c r="CZJ73" s="421" t="n"/>
      <c r="CZK73" s="421" t="n"/>
      <c r="CZL73" s="421" t="n"/>
      <c r="CZM73" s="421" t="n"/>
      <c r="CZN73" s="421" t="n"/>
      <c r="CZO73" s="421" t="n"/>
      <c r="CZP73" s="421" t="n"/>
      <c r="CZQ73" s="421" t="n"/>
      <c r="CZR73" s="421" t="n"/>
      <c r="CZS73" s="421" t="n"/>
      <c r="CZT73" s="421" t="n"/>
      <c r="CZU73" s="421" t="n"/>
      <c r="CZV73" s="421" t="n"/>
      <c r="CZW73" s="421" t="n"/>
      <c r="CZX73" s="421" t="n"/>
      <c r="CZY73" s="421" t="n"/>
      <c r="CZZ73" s="421" t="n"/>
      <c r="DAA73" s="421" t="n"/>
      <c r="DAB73" s="421" t="n"/>
      <c r="DAC73" s="421" t="n"/>
      <c r="DAD73" s="421" t="n"/>
      <c r="DAE73" s="421" t="n"/>
      <c r="DAF73" s="421" t="n"/>
      <c r="DAG73" s="421" t="n"/>
      <c r="DAH73" s="421" t="n"/>
      <c r="DAI73" s="421" t="n"/>
      <c r="DAJ73" s="421" t="n"/>
      <c r="DAK73" s="421" t="n"/>
      <c r="DAL73" s="421" t="n"/>
      <c r="DAM73" s="421" t="n"/>
      <c r="DAN73" s="421" t="n"/>
      <c r="DAO73" s="421" t="n"/>
      <c r="DAP73" s="421" t="n"/>
      <c r="DAQ73" s="421" t="n"/>
      <c r="DAR73" s="421" t="n"/>
      <c r="DAS73" s="421" t="n"/>
      <c r="DAT73" s="421" t="n"/>
      <c r="DAU73" s="421" t="n"/>
      <c r="DAV73" s="421" t="n"/>
      <c r="DAW73" s="421" t="n"/>
      <c r="DAX73" s="421" t="n"/>
      <c r="DAY73" s="421" t="n"/>
      <c r="DAZ73" s="421" t="n"/>
      <c r="DBA73" s="421" t="n"/>
      <c r="DBB73" s="421" t="n"/>
      <c r="DBC73" s="421" t="n"/>
      <c r="DBD73" s="421" t="n"/>
      <c r="DBE73" s="421" t="n"/>
      <c r="DBF73" s="421" t="n"/>
      <c r="DBG73" s="421" t="n"/>
      <c r="DBH73" s="421" t="n"/>
      <c r="DBI73" s="421" t="n"/>
      <c r="DBJ73" s="421" t="n"/>
      <c r="DBK73" s="421" t="n"/>
      <c r="DBL73" s="421" t="n"/>
      <c r="DBM73" s="421" t="n"/>
      <c r="DBN73" s="421" t="n"/>
      <c r="DBO73" s="421" t="n"/>
      <c r="DBP73" s="421" t="n"/>
      <c r="DBQ73" s="421" t="n"/>
      <c r="DBR73" s="421" t="n"/>
      <c r="DBS73" s="421" t="n"/>
      <c r="DBT73" s="421" t="n"/>
      <c r="DBU73" s="421" t="n"/>
      <c r="DBV73" s="421" t="n"/>
      <c r="DBW73" s="421" t="n"/>
      <c r="DBX73" s="421" t="n"/>
      <c r="DBY73" s="421" t="n"/>
      <c r="DBZ73" s="421" t="n"/>
      <c r="DCA73" s="421" t="n"/>
      <c r="DCB73" s="421" t="n"/>
      <c r="DCC73" s="421" t="n"/>
      <c r="DCD73" s="421" t="n"/>
      <c r="DCE73" s="421" t="n"/>
      <c r="DCF73" s="421" t="n"/>
      <c r="DCG73" s="421" t="n"/>
      <c r="DCH73" s="421" t="n"/>
      <c r="DCI73" s="421" t="n"/>
      <c r="DCJ73" s="421" t="n"/>
      <c r="DCK73" s="421" t="n"/>
      <c r="DCL73" s="421" t="n"/>
      <c r="DCM73" s="421" t="n"/>
      <c r="DCN73" s="421" t="n"/>
      <c r="DCO73" s="421" t="n"/>
      <c r="DCP73" s="421" t="n"/>
      <c r="DCQ73" s="421" t="n"/>
      <c r="DCR73" s="421" t="n"/>
      <c r="DCS73" s="421" t="n"/>
      <c r="DCT73" s="421" t="n"/>
      <c r="DCU73" s="421" t="n"/>
      <c r="DCV73" s="421" t="n"/>
      <c r="DCW73" s="421" t="n"/>
      <c r="DCX73" s="421" t="n"/>
      <c r="DCY73" s="421" t="n"/>
      <c r="DCZ73" s="421" t="n"/>
      <c r="DDA73" s="421" t="n"/>
      <c r="DDB73" s="421" t="n"/>
      <c r="DDC73" s="421" t="n"/>
      <c r="DDD73" s="421" t="n"/>
      <c r="DDE73" s="421" t="n"/>
      <c r="DDF73" s="421" t="n"/>
      <c r="DDG73" s="421" t="n"/>
      <c r="DDH73" s="421" t="n"/>
      <c r="DDI73" s="421" t="n"/>
      <c r="DDJ73" s="421" t="n"/>
      <c r="DDK73" s="421" t="n"/>
      <c r="DDL73" s="421" t="n"/>
      <c r="DDM73" s="421" t="n"/>
      <c r="DDN73" s="421" t="n"/>
      <c r="DDO73" s="421" t="n"/>
      <c r="DDP73" s="421" t="n"/>
      <c r="DDQ73" s="421" t="n"/>
      <c r="DDR73" s="421" t="n"/>
      <c r="DDS73" s="421" t="n"/>
      <c r="DDT73" s="421" t="n"/>
      <c r="DDU73" s="421" t="n"/>
      <c r="DDV73" s="421" t="n"/>
      <c r="DDW73" s="421" t="n"/>
      <c r="DDX73" s="421" t="n"/>
      <c r="DDY73" s="421" t="n"/>
      <c r="DDZ73" s="421" t="n"/>
      <c r="DEA73" s="421" t="n"/>
      <c r="DEB73" s="421" t="n"/>
      <c r="DEC73" s="421" t="n"/>
      <c r="DED73" s="421" t="n"/>
      <c r="DEE73" s="421" t="n"/>
      <c r="DEF73" s="421" t="n"/>
      <c r="DEG73" s="421" t="n"/>
      <c r="DEH73" s="421" t="n"/>
      <c r="DEI73" s="421" t="n"/>
      <c r="DEJ73" s="421" t="n"/>
      <c r="DEK73" s="421" t="n"/>
      <c r="DEL73" s="421" t="n"/>
      <c r="DEM73" s="421" t="n"/>
      <c r="DEN73" s="421" t="n"/>
      <c r="DEO73" s="421" t="n"/>
      <c r="DEP73" s="421" t="n"/>
      <c r="DEQ73" s="421" t="n"/>
      <c r="DER73" s="421" t="n"/>
      <c r="DES73" s="421" t="n"/>
      <c r="DET73" s="421" t="n"/>
      <c r="DEU73" s="421" t="n"/>
      <c r="DEV73" s="421" t="n"/>
      <c r="DEW73" s="421" t="n"/>
      <c r="DEX73" s="421" t="n"/>
      <c r="DEY73" s="421" t="n"/>
      <c r="DEZ73" s="421" t="n"/>
      <c r="DFA73" s="421" t="n"/>
      <c r="DFB73" s="421" t="n"/>
      <c r="DFC73" s="421" t="n"/>
      <c r="DFD73" s="421" t="n"/>
      <c r="DFE73" s="421" t="n"/>
      <c r="DFF73" s="421" t="n"/>
      <c r="DFG73" s="421" t="n"/>
      <c r="DFH73" s="421" t="n"/>
      <c r="DFI73" s="421" t="n"/>
      <c r="DFJ73" s="421" t="n"/>
      <c r="DFK73" s="421" t="n"/>
      <c r="DFL73" s="421" t="n"/>
      <c r="DFM73" s="421" t="n"/>
      <c r="DFN73" s="421" t="n"/>
      <c r="DFO73" s="421" t="n"/>
      <c r="DFP73" s="421" t="n"/>
      <c r="DFQ73" s="421" t="n"/>
      <c r="DFR73" s="421" t="n"/>
      <c r="DFS73" s="421" t="n"/>
      <c r="DFT73" s="421" t="n"/>
      <c r="DFU73" s="421" t="n"/>
      <c r="DFV73" s="421" t="n"/>
      <c r="DFW73" s="421" t="n"/>
      <c r="DFX73" s="421" t="n"/>
      <c r="DFY73" s="421" t="n"/>
      <c r="DFZ73" s="421" t="n"/>
      <c r="DGA73" s="421" t="n"/>
      <c r="DGB73" s="421" t="n"/>
      <c r="DGC73" s="421" t="n"/>
      <c r="DGD73" s="421" t="n"/>
      <c r="DGE73" s="421" t="n"/>
      <c r="DGF73" s="421" t="n"/>
      <c r="DGG73" s="421" t="n"/>
      <c r="DGH73" s="421" t="n"/>
      <c r="DGI73" s="421" t="n"/>
      <c r="DGJ73" s="421" t="n"/>
      <c r="DGK73" s="421" t="n"/>
      <c r="DGL73" s="421" t="n"/>
      <c r="DGM73" s="421" t="n"/>
      <c r="DGN73" s="421" t="n"/>
      <c r="DGO73" s="421" t="n"/>
      <c r="DGP73" s="421" t="n"/>
      <c r="DGQ73" s="421" t="n"/>
      <c r="DGR73" s="421" t="n"/>
      <c r="DGS73" s="421" t="n"/>
      <c r="DGT73" s="421" t="n"/>
      <c r="DGU73" s="421" t="n"/>
      <c r="DGV73" s="421" t="n"/>
      <c r="DGW73" s="421" t="n"/>
      <c r="DGX73" s="421" t="n"/>
      <c r="DGY73" s="421" t="n"/>
      <c r="DGZ73" s="421" t="n"/>
      <c r="DHA73" s="421" t="n"/>
      <c r="DHB73" s="421" t="n"/>
      <c r="DHC73" s="421" t="n"/>
      <c r="DHD73" s="421" t="n"/>
      <c r="DHE73" s="421" t="n"/>
      <c r="DHF73" s="421" t="n"/>
      <c r="DHG73" s="421" t="n"/>
      <c r="DHH73" s="421" t="n"/>
      <c r="DHI73" s="421" t="n"/>
      <c r="DHJ73" s="421" t="n"/>
      <c r="DHK73" s="421" t="n"/>
      <c r="DHL73" s="421" t="n"/>
      <c r="DHM73" s="421" t="n"/>
      <c r="DHN73" s="421" t="n"/>
      <c r="DHO73" s="421" t="n"/>
      <c r="DHP73" s="421" t="n"/>
      <c r="DHQ73" s="421" t="n"/>
      <c r="DHR73" s="421" t="n"/>
      <c r="DHS73" s="421" t="n"/>
      <c r="DHT73" s="421" t="n"/>
      <c r="DHU73" s="421" t="n"/>
      <c r="DHV73" s="421" t="n"/>
      <c r="DHW73" s="421" t="n"/>
      <c r="DHX73" s="421" t="n"/>
      <c r="DHY73" s="421" t="n"/>
      <c r="DHZ73" s="421" t="n"/>
      <c r="DIA73" s="421" t="n"/>
      <c r="DIB73" s="421" t="n"/>
      <c r="DIC73" s="421" t="n"/>
      <c r="DID73" s="421" t="n"/>
      <c r="DIE73" s="421" t="n"/>
      <c r="DIF73" s="421" t="n"/>
      <c r="DIG73" s="421" t="n"/>
      <c r="DIH73" s="421" t="n"/>
      <c r="DII73" s="421" t="n"/>
      <c r="DIJ73" s="421" t="n"/>
      <c r="DIK73" s="421" t="n"/>
      <c r="DIL73" s="421" t="n"/>
      <c r="DIM73" s="421" t="n"/>
      <c r="DIN73" s="421" t="n"/>
      <c r="DIO73" s="421" t="n"/>
      <c r="DIP73" s="421" t="n"/>
      <c r="DIQ73" s="421" t="n"/>
      <c r="DIR73" s="421" t="n"/>
      <c r="DIS73" s="421" t="n"/>
      <c r="DIT73" s="421" t="n"/>
      <c r="DIU73" s="421" t="n"/>
      <c r="DIV73" s="421" t="n"/>
      <c r="DIW73" s="421" t="n"/>
      <c r="DIX73" s="421" t="n"/>
      <c r="DIY73" s="421" t="n"/>
      <c r="DIZ73" s="421" t="n"/>
      <c r="DJA73" s="421" t="n"/>
      <c r="DJB73" s="421" t="n"/>
      <c r="DJC73" s="421" t="n"/>
      <c r="DJD73" s="421" t="n"/>
      <c r="DJE73" s="421" t="n"/>
      <c r="DJF73" s="421" t="n"/>
      <c r="DJG73" s="421" t="n"/>
      <c r="DJH73" s="421" t="n"/>
      <c r="DJI73" s="421" t="n"/>
      <c r="DJJ73" s="421" t="n"/>
      <c r="DJK73" s="421" t="n"/>
      <c r="DJL73" s="421" t="n"/>
      <c r="DJM73" s="421" t="n"/>
      <c r="DJN73" s="421" t="n"/>
      <c r="DJO73" s="421" t="n"/>
      <c r="DJP73" s="421" t="n"/>
      <c r="DJQ73" s="421" t="n"/>
      <c r="DJR73" s="421" t="n"/>
      <c r="DJS73" s="421" t="n"/>
      <c r="DJT73" s="421" t="n"/>
      <c r="DJU73" s="421" t="n"/>
      <c r="DJV73" s="421" t="n"/>
      <c r="DJW73" s="421" t="n"/>
      <c r="DJX73" s="421" t="n"/>
      <c r="DJY73" s="421" t="n"/>
      <c r="DJZ73" s="421" t="n"/>
      <c r="DKA73" s="421" t="n"/>
      <c r="DKB73" s="421" t="n"/>
      <c r="DKC73" s="421" t="n"/>
      <c r="DKD73" s="421" t="n"/>
      <c r="DKE73" s="421" t="n"/>
      <c r="DKF73" s="421" t="n"/>
      <c r="DKG73" s="421" t="n"/>
      <c r="DKH73" s="421" t="n"/>
      <c r="DKI73" s="421" t="n"/>
      <c r="DKJ73" s="421" t="n"/>
      <c r="DKK73" s="421" t="n"/>
      <c r="DKL73" s="421" t="n"/>
      <c r="DKM73" s="421" t="n"/>
      <c r="DKN73" s="421" t="n"/>
      <c r="DKO73" s="421" t="n"/>
      <c r="DKP73" s="421" t="n"/>
      <c r="DKQ73" s="421" t="n"/>
      <c r="DKR73" s="421" t="n"/>
      <c r="DKS73" s="421" t="n"/>
      <c r="DKT73" s="421" t="n"/>
      <c r="DKU73" s="421" t="n"/>
      <c r="DKV73" s="421" t="n"/>
      <c r="DKW73" s="421" t="n"/>
      <c r="DKX73" s="421" t="n"/>
      <c r="DKY73" s="421" t="n"/>
      <c r="DKZ73" s="421" t="n"/>
      <c r="DLA73" s="421" t="n"/>
      <c r="DLB73" s="421" t="n"/>
      <c r="DLC73" s="421" t="n"/>
      <c r="DLD73" s="421" t="n"/>
      <c r="DLE73" s="421" t="n"/>
      <c r="DLF73" s="421" t="n"/>
      <c r="DLG73" s="421" t="n"/>
      <c r="DLH73" s="421" t="n"/>
      <c r="DLI73" s="421" t="n"/>
      <c r="DLJ73" s="421" t="n"/>
      <c r="DLK73" s="421" t="n"/>
      <c r="DLL73" s="421" t="n"/>
      <c r="DLM73" s="421" t="n"/>
      <c r="DLN73" s="421" t="n"/>
      <c r="DLO73" s="421" t="n"/>
      <c r="DLP73" s="421" t="n"/>
      <c r="DLQ73" s="421" t="n"/>
      <c r="DLR73" s="421" t="n"/>
      <c r="DLS73" s="421" t="n"/>
      <c r="DLT73" s="421" t="n"/>
      <c r="DLU73" s="421" t="n"/>
      <c r="DLV73" s="421" t="n"/>
      <c r="DLW73" s="421" t="n"/>
      <c r="DLX73" s="421" t="n"/>
      <c r="DLY73" s="421" t="n"/>
      <c r="DLZ73" s="421" t="n"/>
      <c r="DMA73" s="421" t="n"/>
      <c r="DMB73" s="421" t="n"/>
      <c r="DMC73" s="421" t="n"/>
      <c r="DMD73" s="421" t="n"/>
      <c r="DME73" s="421" t="n"/>
      <c r="DMF73" s="421" t="n"/>
      <c r="DMG73" s="421" t="n"/>
      <c r="DMH73" s="421" t="n"/>
      <c r="DMI73" s="421" t="n"/>
      <c r="DMJ73" s="421" t="n"/>
      <c r="DMK73" s="421" t="n"/>
      <c r="DML73" s="421" t="n"/>
      <c r="DMM73" s="421" t="n"/>
      <c r="DMN73" s="421" t="n"/>
      <c r="DMO73" s="421" t="n"/>
      <c r="DMP73" s="421" t="n"/>
      <c r="DMQ73" s="421" t="n"/>
      <c r="DMR73" s="421" t="n"/>
      <c r="DMS73" s="421" t="n"/>
      <c r="DMT73" s="421" t="n"/>
      <c r="DMU73" s="421" t="n"/>
      <c r="DMV73" s="421" t="n"/>
      <c r="DMW73" s="421" t="n"/>
      <c r="DMX73" s="421" t="n"/>
      <c r="DMY73" s="421" t="n"/>
      <c r="DMZ73" s="421" t="n"/>
      <c r="DNA73" s="421" t="n"/>
      <c r="DNB73" s="421" t="n"/>
      <c r="DNC73" s="421" t="n"/>
      <c r="DND73" s="421" t="n"/>
      <c r="DNE73" s="421" t="n"/>
      <c r="DNF73" s="421" t="n"/>
      <c r="DNG73" s="421" t="n"/>
      <c r="DNH73" s="421" t="n"/>
      <c r="DNI73" s="421" t="n"/>
      <c r="DNJ73" s="421" t="n"/>
      <c r="DNK73" s="421" t="n"/>
      <c r="DNL73" s="421" t="n"/>
      <c r="DNM73" s="421" t="n"/>
      <c r="DNN73" s="421" t="n"/>
      <c r="DNO73" s="421" t="n"/>
      <c r="DNP73" s="421" t="n"/>
      <c r="DNQ73" s="421" t="n"/>
      <c r="DNR73" s="421" t="n"/>
      <c r="DNS73" s="421" t="n"/>
      <c r="DNT73" s="421" t="n"/>
      <c r="DNU73" s="421" t="n"/>
      <c r="DNV73" s="421" t="n"/>
      <c r="DNW73" s="421" t="n"/>
      <c r="DNX73" s="421" t="n"/>
      <c r="DNY73" s="421" t="n"/>
      <c r="DNZ73" s="421" t="n"/>
      <c r="DOA73" s="421" t="n"/>
      <c r="DOB73" s="421" t="n"/>
      <c r="DOC73" s="421" t="n"/>
      <c r="DOD73" s="421" t="n"/>
      <c r="DOE73" s="421" t="n"/>
      <c r="DOF73" s="421" t="n"/>
      <c r="DOG73" s="421" t="n"/>
      <c r="DOH73" s="421" t="n"/>
      <c r="DOI73" s="421" t="n"/>
      <c r="DOJ73" s="421" t="n"/>
      <c r="DOK73" s="421" t="n"/>
      <c r="DOL73" s="421" t="n"/>
      <c r="DOM73" s="421" t="n"/>
      <c r="DON73" s="421" t="n"/>
      <c r="DOO73" s="421" t="n"/>
      <c r="DOP73" s="421" t="n"/>
      <c r="DOQ73" s="421" t="n"/>
      <c r="DOR73" s="421" t="n"/>
      <c r="DOS73" s="421" t="n"/>
      <c r="DOT73" s="421" t="n"/>
      <c r="DOU73" s="421" t="n"/>
      <c r="DOV73" s="421" t="n"/>
      <c r="DOW73" s="421" t="n"/>
      <c r="DOX73" s="421" t="n"/>
      <c r="DOY73" s="421" t="n"/>
      <c r="DOZ73" s="421" t="n"/>
      <c r="DPA73" s="421" t="n"/>
      <c r="DPB73" s="421" t="n"/>
      <c r="DPC73" s="421" t="n"/>
      <c r="DPD73" s="421" t="n"/>
      <c r="DPE73" s="421" t="n"/>
      <c r="DPF73" s="421" t="n"/>
      <c r="DPG73" s="421" t="n"/>
      <c r="DPH73" s="421" t="n"/>
      <c r="DPI73" s="421" t="n"/>
      <c r="DPJ73" s="421" t="n"/>
      <c r="DPK73" s="421" t="n"/>
      <c r="DPL73" s="421" t="n"/>
      <c r="DPM73" s="421" t="n"/>
      <c r="DPN73" s="421" t="n"/>
      <c r="DPO73" s="421" t="n"/>
      <c r="DPP73" s="421" t="n"/>
      <c r="DPQ73" s="421" t="n"/>
      <c r="DPR73" s="421" t="n"/>
      <c r="DPS73" s="421" t="n"/>
      <c r="DPT73" s="421" t="n"/>
      <c r="DPU73" s="421" t="n"/>
      <c r="DPV73" s="421" t="n"/>
      <c r="DPW73" s="421" t="n"/>
      <c r="DPX73" s="421" t="n"/>
      <c r="DPY73" s="421" t="n"/>
      <c r="DPZ73" s="421" t="n"/>
      <c r="DQA73" s="421" t="n"/>
      <c r="DQB73" s="421" t="n"/>
      <c r="DQC73" s="421" t="n"/>
      <c r="DQD73" s="421" t="n"/>
      <c r="DQE73" s="421" t="n"/>
      <c r="DQF73" s="421" t="n"/>
      <c r="DQG73" s="421" t="n"/>
      <c r="DQH73" s="421" t="n"/>
      <c r="DQI73" s="421" t="n"/>
      <c r="DQJ73" s="421" t="n"/>
      <c r="DQK73" s="421" t="n"/>
      <c r="DQL73" s="421" t="n"/>
      <c r="DQM73" s="421" t="n"/>
      <c r="DQN73" s="421" t="n"/>
      <c r="DQO73" s="421" t="n"/>
      <c r="DQP73" s="421" t="n"/>
      <c r="DQQ73" s="421" t="n"/>
      <c r="DQR73" s="421" t="n"/>
      <c r="DQS73" s="421" t="n"/>
      <c r="DQT73" s="421" t="n"/>
      <c r="DQU73" s="421" t="n"/>
      <c r="DQV73" s="421" t="n"/>
      <c r="DQW73" s="421" t="n"/>
      <c r="DQX73" s="421" t="n"/>
      <c r="DQY73" s="421" t="n"/>
      <c r="DQZ73" s="421" t="n"/>
      <c r="DRA73" s="421" t="n"/>
      <c r="DRB73" s="421" t="n"/>
      <c r="DRC73" s="421" t="n"/>
      <c r="DRD73" s="421" t="n"/>
      <c r="DRE73" s="421" t="n"/>
      <c r="DRF73" s="421" t="n"/>
      <c r="DRG73" s="421" t="n"/>
      <c r="DRH73" s="421" t="n"/>
      <c r="DRI73" s="421" t="n"/>
      <c r="DRJ73" s="421" t="n"/>
      <c r="DRK73" s="421" t="n"/>
      <c r="DRL73" s="421" t="n"/>
      <c r="DRM73" s="421" t="n"/>
      <c r="DRN73" s="421" t="n"/>
      <c r="DRO73" s="421" t="n"/>
      <c r="DRP73" s="421" t="n"/>
      <c r="DRQ73" s="421" t="n"/>
      <c r="DRR73" s="421" t="n"/>
      <c r="DRS73" s="421" t="n"/>
      <c r="DRT73" s="421" t="n"/>
      <c r="DRU73" s="421" t="n"/>
      <c r="DRV73" s="421" t="n"/>
      <c r="DRW73" s="421" t="n"/>
      <c r="DRX73" s="421" t="n"/>
      <c r="DRY73" s="421" t="n"/>
      <c r="DRZ73" s="421" t="n"/>
      <c r="DSA73" s="421" t="n"/>
      <c r="DSB73" s="421" t="n"/>
      <c r="DSC73" s="421" t="n"/>
      <c r="DSD73" s="421" t="n"/>
      <c r="DSE73" s="421" t="n"/>
      <c r="DSF73" s="421" t="n"/>
      <c r="DSG73" s="421" t="n"/>
      <c r="DSH73" s="421" t="n"/>
      <c r="DSI73" s="421" t="n"/>
      <c r="DSJ73" s="421" t="n"/>
      <c r="DSK73" s="421" t="n"/>
      <c r="DSL73" s="421" t="n"/>
      <c r="DSM73" s="421" t="n"/>
      <c r="DSN73" s="421" t="n"/>
      <c r="DSO73" s="421" t="n"/>
      <c r="DSP73" s="421" t="n"/>
      <c r="DSQ73" s="421" t="n"/>
      <c r="DSR73" s="421" t="n"/>
      <c r="DSS73" s="421" t="n"/>
      <c r="DST73" s="421" t="n"/>
      <c r="DSU73" s="421" t="n"/>
      <c r="DSV73" s="421" t="n"/>
      <c r="DSW73" s="421" t="n"/>
      <c r="DSX73" s="421" t="n"/>
      <c r="DSY73" s="421" t="n"/>
      <c r="DSZ73" s="421" t="n"/>
      <c r="DTA73" s="421" t="n"/>
      <c r="DTB73" s="421" t="n"/>
      <c r="DTC73" s="421" t="n"/>
      <c r="DTD73" s="421" t="n"/>
      <c r="DTE73" s="421" t="n"/>
      <c r="DTF73" s="421" t="n"/>
      <c r="DTG73" s="421" t="n"/>
      <c r="DTH73" s="421" t="n"/>
      <c r="DTI73" s="421" t="n"/>
      <c r="DTJ73" s="421" t="n"/>
      <c r="DTK73" s="421" t="n"/>
      <c r="DTL73" s="421" t="n"/>
      <c r="DTM73" s="421" t="n"/>
      <c r="DTN73" s="421" t="n"/>
      <c r="DTO73" s="421" t="n"/>
      <c r="DTP73" s="421" t="n"/>
      <c r="DTQ73" s="421" t="n"/>
      <c r="DTR73" s="421" t="n"/>
      <c r="DTS73" s="421" t="n"/>
      <c r="DTT73" s="421" t="n"/>
      <c r="DTU73" s="421" t="n"/>
      <c r="DTV73" s="421" t="n"/>
      <c r="DTW73" s="421" t="n"/>
      <c r="DTX73" s="421" t="n"/>
      <c r="DTY73" s="421" t="n"/>
      <c r="DTZ73" s="421" t="n"/>
      <c r="DUA73" s="421" t="n"/>
      <c r="DUB73" s="421" t="n"/>
      <c r="DUC73" s="421" t="n"/>
      <c r="DUD73" s="421" t="n"/>
      <c r="DUE73" s="421" t="n"/>
      <c r="DUF73" s="421" t="n"/>
      <c r="DUG73" s="421" t="n"/>
      <c r="DUH73" s="421" t="n"/>
      <c r="DUI73" s="421" t="n"/>
      <c r="DUJ73" s="421" t="n"/>
      <c r="DUK73" s="421" t="n"/>
      <c r="DUL73" s="421" t="n"/>
      <c r="DUM73" s="421" t="n"/>
      <c r="DUN73" s="421" t="n"/>
      <c r="DUO73" s="421" t="n"/>
      <c r="DUP73" s="421" t="n"/>
      <c r="DUQ73" s="421" t="n"/>
      <c r="DUR73" s="421" t="n"/>
      <c r="DUS73" s="421" t="n"/>
      <c r="DUT73" s="421" t="n"/>
      <c r="DUU73" s="421" t="n"/>
      <c r="DUV73" s="421" t="n"/>
      <c r="DUW73" s="421" t="n"/>
      <c r="DUX73" s="421" t="n"/>
      <c r="DUY73" s="421" t="n"/>
      <c r="DUZ73" s="421" t="n"/>
      <c r="DVA73" s="421" t="n"/>
      <c r="DVB73" s="421" t="n"/>
      <c r="DVC73" s="421" t="n"/>
      <c r="DVD73" s="421" t="n"/>
      <c r="DVE73" s="421" t="n"/>
      <c r="DVF73" s="421" t="n"/>
      <c r="DVG73" s="421" t="n"/>
      <c r="DVH73" s="421" t="n"/>
      <c r="DVI73" s="421" t="n"/>
      <c r="DVJ73" s="421" t="n"/>
      <c r="DVK73" s="421" t="n"/>
      <c r="DVL73" s="421" t="n"/>
      <c r="DVM73" s="421" t="n"/>
      <c r="DVN73" s="421" t="n"/>
      <c r="DVO73" s="421" t="n"/>
      <c r="DVP73" s="421" t="n"/>
      <c r="DVQ73" s="421" t="n"/>
      <c r="DVR73" s="421" t="n"/>
      <c r="DVS73" s="421" t="n"/>
      <c r="DVT73" s="421" t="n"/>
      <c r="DVU73" s="421" t="n"/>
      <c r="DVV73" s="421" t="n"/>
      <c r="DVW73" s="421" t="n"/>
      <c r="DVX73" s="421" t="n"/>
      <c r="DVY73" s="421" t="n"/>
      <c r="DVZ73" s="421" t="n"/>
      <c r="DWA73" s="421" t="n"/>
      <c r="DWB73" s="421" t="n"/>
      <c r="DWC73" s="421" t="n"/>
      <c r="DWD73" s="421" t="n"/>
      <c r="DWE73" s="421" t="n"/>
      <c r="DWF73" s="421" t="n"/>
      <c r="DWG73" s="421" t="n"/>
      <c r="DWH73" s="421" t="n"/>
      <c r="DWI73" s="421" t="n"/>
      <c r="DWJ73" s="421" t="n"/>
      <c r="DWK73" s="421" t="n"/>
      <c r="DWL73" s="421" t="n"/>
      <c r="DWM73" s="421" t="n"/>
      <c r="DWN73" s="421" t="n"/>
      <c r="DWO73" s="421" t="n"/>
      <c r="DWP73" s="421" t="n"/>
      <c r="DWQ73" s="421" t="n"/>
      <c r="DWR73" s="421" t="n"/>
      <c r="DWS73" s="421" t="n"/>
      <c r="DWT73" s="421" t="n"/>
      <c r="DWU73" s="421" t="n"/>
      <c r="DWV73" s="421" t="n"/>
      <c r="DWW73" s="421" t="n"/>
      <c r="DWX73" s="421" t="n"/>
      <c r="DWY73" s="421" t="n"/>
      <c r="DWZ73" s="421" t="n"/>
      <c r="DXA73" s="421" t="n"/>
      <c r="DXB73" s="421" t="n"/>
      <c r="DXC73" s="421" t="n"/>
      <c r="DXD73" s="421" t="n"/>
      <c r="DXE73" s="421" t="n"/>
      <c r="DXF73" s="421" t="n"/>
      <c r="DXG73" s="421" t="n"/>
      <c r="DXH73" s="421" t="n"/>
      <c r="DXI73" s="421" t="n"/>
      <c r="DXJ73" s="421" t="n"/>
      <c r="DXK73" s="421" t="n"/>
      <c r="DXL73" s="421" t="n"/>
      <c r="DXM73" s="421" t="n"/>
      <c r="DXN73" s="421" t="n"/>
      <c r="DXO73" s="421" t="n"/>
      <c r="DXP73" s="421" t="n"/>
      <c r="DXQ73" s="421" t="n"/>
      <c r="DXR73" s="421" t="n"/>
      <c r="DXS73" s="421" t="n"/>
      <c r="DXT73" s="421" t="n"/>
      <c r="DXU73" s="421" t="n"/>
      <c r="DXV73" s="421" t="n"/>
      <c r="DXW73" s="421" t="n"/>
      <c r="DXX73" s="421" t="n"/>
      <c r="DXY73" s="421" t="n"/>
      <c r="DXZ73" s="421" t="n"/>
      <c r="DYA73" s="421" t="n"/>
      <c r="DYB73" s="421" t="n"/>
      <c r="DYC73" s="421" t="n"/>
      <c r="DYD73" s="421" t="n"/>
      <c r="DYE73" s="421" t="n"/>
      <c r="DYF73" s="421" t="n"/>
      <c r="DYG73" s="421" t="n"/>
      <c r="DYH73" s="421" t="n"/>
      <c r="DYI73" s="421" t="n"/>
      <c r="DYJ73" s="421" t="n"/>
      <c r="DYK73" s="421" t="n"/>
      <c r="DYL73" s="421" t="n"/>
      <c r="DYM73" s="421" t="n"/>
      <c r="DYN73" s="421" t="n"/>
      <c r="DYO73" s="421" t="n"/>
      <c r="DYP73" s="421" t="n"/>
      <c r="DYQ73" s="421" t="n"/>
      <c r="DYR73" s="421" t="n"/>
      <c r="DYS73" s="421" t="n"/>
      <c r="DYT73" s="421" t="n"/>
      <c r="DYU73" s="421" t="n"/>
      <c r="DYV73" s="421" t="n"/>
      <c r="DYW73" s="421" t="n"/>
      <c r="DYX73" s="421" t="n"/>
      <c r="DYY73" s="421" t="n"/>
      <c r="DYZ73" s="421" t="n"/>
      <c r="DZA73" s="421" t="n"/>
      <c r="DZB73" s="421" t="n"/>
      <c r="DZC73" s="421" t="n"/>
      <c r="DZD73" s="421" t="n"/>
      <c r="DZE73" s="421" t="n"/>
      <c r="DZF73" s="421" t="n"/>
      <c r="DZG73" s="421" t="n"/>
      <c r="DZH73" s="421" t="n"/>
      <c r="DZI73" s="421" t="n"/>
      <c r="DZJ73" s="421" t="n"/>
      <c r="DZK73" s="421" t="n"/>
      <c r="DZL73" s="421" t="n"/>
      <c r="DZM73" s="421" t="n"/>
      <c r="DZN73" s="421" t="n"/>
      <c r="DZO73" s="421" t="n"/>
      <c r="DZP73" s="421" t="n"/>
      <c r="DZQ73" s="421" t="n"/>
      <c r="DZR73" s="421" t="n"/>
      <c r="DZS73" s="421" t="n"/>
      <c r="DZT73" s="421" t="n"/>
      <c r="DZU73" s="421" t="n"/>
      <c r="DZV73" s="421" t="n"/>
      <c r="DZW73" s="421" t="n"/>
      <c r="DZX73" s="421" t="n"/>
      <c r="DZY73" s="421" t="n"/>
      <c r="DZZ73" s="421" t="n"/>
      <c r="EAA73" s="421" t="n"/>
      <c r="EAB73" s="421" t="n"/>
      <c r="EAC73" s="421" t="n"/>
      <c r="EAD73" s="421" t="n"/>
      <c r="EAE73" s="421" t="n"/>
      <c r="EAF73" s="421" t="n"/>
      <c r="EAG73" s="421" t="n"/>
      <c r="EAH73" s="421" t="n"/>
      <c r="EAI73" s="421" t="n"/>
      <c r="EAJ73" s="421" t="n"/>
      <c r="EAK73" s="421" t="n"/>
      <c r="EAL73" s="421" t="n"/>
      <c r="EAM73" s="421" t="n"/>
      <c r="EAN73" s="421" t="n"/>
      <c r="EAO73" s="421" t="n"/>
      <c r="EAP73" s="421" t="n"/>
      <c r="EAQ73" s="421" t="n"/>
      <c r="EAR73" s="421" t="n"/>
      <c r="EAS73" s="421" t="n"/>
      <c r="EAT73" s="421" t="n"/>
      <c r="EAU73" s="421" t="n"/>
      <c r="EAV73" s="421" t="n"/>
      <c r="EAW73" s="421" t="n"/>
      <c r="EAX73" s="421" t="n"/>
      <c r="EAY73" s="421" t="n"/>
      <c r="EAZ73" s="421" t="n"/>
      <c r="EBA73" s="421" t="n"/>
      <c r="EBB73" s="421" t="n"/>
      <c r="EBC73" s="421" t="n"/>
      <c r="EBD73" s="421" t="n"/>
      <c r="EBE73" s="421" t="n"/>
      <c r="EBF73" s="421" t="n"/>
      <c r="EBG73" s="421" t="n"/>
      <c r="EBH73" s="421" t="n"/>
      <c r="EBI73" s="421" t="n"/>
      <c r="EBJ73" s="421" t="n"/>
      <c r="EBK73" s="421" t="n"/>
      <c r="EBL73" s="421" t="n"/>
      <c r="EBM73" s="421" t="n"/>
      <c r="EBN73" s="421" t="n"/>
      <c r="EBO73" s="421" t="n"/>
      <c r="EBP73" s="421" t="n"/>
      <c r="EBQ73" s="421" t="n"/>
      <c r="EBR73" s="421" t="n"/>
      <c r="EBS73" s="421" t="n"/>
      <c r="EBT73" s="421" t="n"/>
      <c r="EBU73" s="421" t="n"/>
      <c r="EBV73" s="421" t="n"/>
      <c r="EBW73" s="421" t="n"/>
      <c r="EBX73" s="421" t="n"/>
      <c r="EBY73" s="421" t="n"/>
      <c r="EBZ73" s="421" t="n"/>
      <c r="ECA73" s="421" t="n"/>
      <c r="ECB73" s="421" t="n"/>
      <c r="ECC73" s="421" t="n"/>
      <c r="ECD73" s="421" t="n"/>
      <c r="ECE73" s="421" t="n"/>
      <c r="ECF73" s="421" t="n"/>
      <c r="ECG73" s="421" t="n"/>
      <c r="ECH73" s="421" t="n"/>
      <c r="ECI73" s="421" t="n"/>
      <c r="ECJ73" s="421" t="n"/>
      <c r="ECK73" s="421" t="n"/>
      <c r="ECL73" s="421" t="n"/>
      <c r="ECM73" s="421" t="n"/>
      <c r="ECN73" s="421" t="n"/>
      <c r="ECO73" s="421" t="n"/>
      <c r="ECP73" s="421" t="n"/>
      <c r="ECQ73" s="421" t="n"/>
      <c r="ECR73" s="421" t="n"/>
      <c r="ECS73" s="421" t="n"/>
      <c r="ECT73" s="421" t="n"/>
      <c r="ECU73" s="421" t="n"/>
      <c r="ECV73" s="421" t="n"/>
      <c r="ECW73" s="421" t="n"/>
      <c r="ECX73" s="421" t="n"/>
      <c r="ECY73" s="421" t="n"/>
      <c r="ECZ73" s="421" t="n"/>
      <c r="EDA73" s="421" t="n"/>
      <c r="EDB73" s="421" t="n"/>
      <c r="EDC73" s="421" t="n"/>
      <c r="EDD73" s="421" t="n"/>
      <c r="EDE73" s="421" t="n"/>
      <c r="EDF73" s="421" t="n"/>
      <c r="EDG73" s="421" t="n"/>
      <c r="EDH73" s="421" t="n"/>
      <c r="EDI73" s="421" t="n"/>
      <c r="EDJ73" s="421" t="n"/>
      <c r="EDK73" s="421" t="n"/>
      <c r="EDL73" s="421" t="n"/>
      <c r="EDM73" s="421" t="n"/>
      <c r="EDN73" s="421" t="n"/>
      <c r="EDO73" s="421" t="n"/>
      <c r="EDP73" s="421" t="n"/>
      <c r="EDQ73" s="421" t="n"/>
      <c r="EDR73" s="421" t="n"/>
      <c r="EDS73" s="421" t="n"/>
      <c r="EDT73" s="421" t="n"/>
      <c r="EDU73" s="421" t="n"/>
      <c r="EDV73" s="421" t="n"/>
      <c r="EDW73" s="421" t="n"/>
      <c r="EDX73" s="421" t="n"/>
      <c r="EDY73" s="421" t="n"/>
      <c r="EDZ73" s="421" t="n"/>
      <c r="EEA73" s="421" t="n"/>
      <c r="EEB73" s="421" t="n"/>
      <c r="EEC73" s="421" t="n"/>
      <c r="EED73" s="421" t="n"/>
      <c r="EEE73" s="421" t="n"/>
      <c r="EEF73" s="421" t="n"/>
      <c r="EEG73" s="421" t="n"/>
      <c r="EEH73" s="421" t="n"/>
      <c r="EEI73" s="421" t="n"/>
      <c r="EEJ73" s="421" t="n"/>
      <c r="EEK73" s="421" t="n"/>
      <c r="EEL73" s="421" t="n"/>
      <c r="EEM73" s="421" t="n"/>
      <c r="EEN73" s="421" t="n"/>
      <c r="EEO73" s="421" t="n"/>
      <c r="EEP73" s="421" t="n"/>
      <c r="EEQ73" s="421" t="n"/>
      <c r="EER73" s="421" t="n"/>
      <c r="EES73" s="421" t="n"/>
      <c r="EET73" s="421" t="n"/>
      <c r="EEU73" s="421" t="n"/>
      <c r="EEV73" s="421" t="n"/>
      <c r="EEW73" s="421" t="n"/>
      <c r="EEX73" s="421" t="n"/>
      <c r="EEY73" s="421" t="n"/>
      <c r="EEZ73" s="421" t="n"/>
      <c r="EFA73" s="421" t="n"/>
      <c r="EFB73" s="421" t="n"/>
      <c r="EFC73" s="421" t="n"/>
      <c r="EFD73" s="421" t="n"/>
      <c r="EFE73" s="421" t="n"/>
      <c r="EFF73" s="421" t="n"/>
      <c r="EFG73" s="421" t="n"/>
      <c r="EFH73" s="421" t="n"/>
      <c r="EFI73" s="421" t="n"/>
      <c r="EFJ73" s="421" t="n"/>
      <c r="EFK73" s="421" t="n"/>
      <c r="EFL73" s="421" t="n"/>
      <c r="EFM73" s="421" t="n"/>
      <c r="EFN73" s="421" t="n"/>
      <c r="EFO73" s="421" t="n"/>
      <c r="EFP73" s="421" t="n"/>
      <c r="EFQ73" s="421" t="n"/>
      <c r="EFR73" s="421" t="n"/>
      <c r="EFS73" s="421" t="n"/>
      <c r="EFT73" s="421" t="n"/>
      <c r="EFU73" s="421" t="n"/>
      <c r="EFV73" s="421" t="n"/>
      <c r="EFW73" s="421" t="n"/>
      <c r="EFX73" s="421" t="n"/>
      <c r="EFY73" s="421" t="n"/>
      <c r="EFZ73" s="421" t="n"/>
      <c r="EGA73" s="421" t="n"/>
      <c r="EGB73" s="421" t="n"/>
      <c r="EGC73" s="421" t="n"/>
      <c r="EGD73" s="421" t="n"/>
      <c r="EGE73" s="421" t="n"/>
      <c r="EGF73" s="421" t="n"/>
      <c r="EGG73" s="421" t="n"/>
      <c r="EGH73" s="421" t="n"/>
      <c r="EGI73" s="421" t="n"/>
      <c r="EGJ73" s="421" t="n"/>
      <c r="EGK73" s="421" t="n"/>
      <c r="EGL73" s="421" t="n"/>
      <c r="EGM73" s="421" t="n"/>
      <c r="EGN73" s="421" t="n"/>
      <c r="EGO73" s="421" t="n"/>
      <c r="EGP73" s="421" t="n"/>
      <c r="EGQ73" s="421" t="n"/>
      <c r="EGR73" s="421" t="n"/>
      <c r="EGS73" s="421" t="n"/>
      <c r="EGT73" s="421" t="n"/>
      <c r="EGU73" s="421" t="n"/>
      <c r="EGV73" s="421" t="n"/>
      <c r="EGW73" s="421" t="n"/>
      <c r="EGX73" s="421" t="n"/>
      <c r="EGY73" s="421" t="n"/>
      <c r="EGZ73" s="421" t="n"/>
      <c r="EHA73" s="421" t="n"/>
      <c r="EHB73" s="421" t="n"/>
      <c r="EHC73" s="421" t="n"/>
      <c r="EHD73" s="421" t="n"/>
      <c r="EHE73" s="421" t="n"/>
      <c r="EHF73" s="421" t="n"/>
      <c r="EHG73" s="421" t="n"/>
      <c r="EHH73" s="421" t="n"/>
      <c r="EHI73" s="421" t="n"/>
      <c r="EHJ73" s="421" t="n"/>
      <c r="EHK73" s="421" t="n"/>
      <c r="EHL73" s="421" t="n"/>
      <c r="EHM73" s="421" t="n"/>
      <c r="EHN73" s="421" t="n"/>
      <c r="EHO73" s="421" t="n"/>
      <c r="EHP73" s="421" t="n"/>
      <c r="EHQ73" s="421" t="n"/>
      <c r="EHR73" s="421" t="n"/>
      <c r="EHS73" s="421" t="n"/>
      <c r="EHT73" s="421" t="n"/>
      <c r="EHU73" s="421" t="n"/>
      <c r="EHV73" s="421" t="n"/>
      <c r="EHW73" s="421" t="n"/>
      <c r="EHX73" s="421" t="n"/>
      <c r="EHY73" s="421" t="n"/>
      <c r="EHZ73" s="421" t="n"/>
      <c r="EIA73" s="421" t="n"/>
      <c r="EIB73" s="421" t="n"/>
      <c r="EIC73" s="421" t="n"/>
      <c r="EID73" s="421" t="n"/>
      <c r="EIE73" s="421" t="n"/>
      <c r="EIF73" s="421" t="n"/>
      <c r="EIG73" s="421" t="n"/>
      <c r="EIH73" s="421" t="n"/>
      <c r="EII73" s="421" t="n"/>
      <c r="EIJ73" s="421" t="n"/>
      <c r="EIK73" s="421" t="n"/>
      <c r="EIL73" s="421" t="n"/>
      <c r="EIM73" s="421" t="n"/>
      <c r="EIN73" s="421" t="n"/>
      <c r="EIO73" s="421" t="n"/>
      <c r="EIP73" s="421" t="n"/>
      <c r="EIQ73" s="421" t="n"/>
      <c r="EIR73" s="421" t="n"/>
      <c r="EIS73" s="421" t="n"/>
      <c r="EIT73" s="421" t="n"/>
      <c r="EIU73" s="421" t="n"/>
      <c r="EIV73" s="421" t="n"/>
      <c r="EIW73" s="421" t="n"/>
      <c r="EIX73" s="421" t="n"/>
      <c r="EIY73" s="421" t="n"/>
      <c r="EIZ73" s="421" t="n"/>
      <c r="EJA73" s="421" t="n"/>
      <c r="EJB73" s="421" t="n"/>
      <c r="EJC73" s="421" t="n"/>
      <c r="EJD73" s="421" t="n"/>
      <c r="EJE73" s="421" t="n"/>
      <c r="EJF73" s="421" t="n"/>
      <c r="EJG73" s="421" t="n"/>
      <c r="EJH73" s="421" t="n"/>
      <c r="EJI73" s="421" t="n"/>
      <c r="EJJ73" s="421" t="n"/>
      <c r="EJK73" s="421" t="n"/>
      <c r="EJL73" s="421" t="n"/>
      <c r="EJM73" s="421" t="n"/>
      <c r="EJN73" s="421" t="n"/>
      <c r="EJO73" s="421" t="n"/>
      <c r="EJP73" s="421" t="n"/>
      <c r="EJQ73" s="421" t="n"/>
      <c r="EJR73" s="421" t="n"/>
      <c r="EJS73" s="421" t="n"/>
      <c r="EJT73" s="421" t="n"/>
      <c r="EJU73" s="421" t="n"/>
      <c r="EJV73" s="421" t="n"/>
      <c r="EJW73" s="421" t="n"/>
      <c r="EJX73" s="421" t="n"/>
      <c r="EJY73" s="421" t="n"/>
      <c r="EJZ73" s="421" t="n"/>
      <c r="EKA73" s="421" t="n"/>
      <c r="EKB73" s="421" t="n"/>
      <c r="EKC73" s="421" t="n"/>
      <c r="EKD73" s="421" t="n"/>
      <c r="EKE73" s="421" t="n"/>
      <c r="EKF73" s="421" t="n"/>
      <c r="EKG73" s="421" t="n"/>
      <c r="EKH73" s="421" t="n"/>
      <c r="EKI73" s="421" t="n"/>
      <c r="EKJ73" s="421" t="n"/>
      <c r="EKK73" s="421" t="n"/>
      <c r="EKL73" s="421" t="n"/>
      <c r="EKM73" s="421" t="n"/>
      <c r="EKN73" s="421" t="n"/>
      <c r="EKO73" s="421" t="n"/>
      <c r="EKP73" s="421" t="n"/>
      <c r="EKQ73" s="421" t="n"/>
      <c r="EKR73" s="421" t="n"/>
      <c r="EKS73" s="421" t="n"/>
      <c r="EKT73" s="421" t="n"/>
      <c r="EKU73" s="421" t="n"/>
      <c r="EKV73" s="421" t="n"/>
      <c r="EKW73" s="421" t="n"/>
      <c r="EKX73" s="421" t="n"/>
      <c r="EKY73" s="421" t="n"/>
      <c r="EKZ73" s="421" t="n"/>
      <c r="ELA73" s="421" t="n"/>
      <c r="ELB73" s="421" t="n"/>
      <c r="ELC73" s="421" t="n"/>
      <c r="ELD73" s="421" t="n"/>
      <c r="ELE73" s="421" t="n"/>
      <c r="ELF73" s="421" t="n"/>
      <c r="ELG73" s="421" t="n"/>
      <c r="ELH73" s="421" t="n"/>
      <c r="ELI73" s="421" t="n"/>
      <c r="ELJ73" s="421" t="n"/>
      <c r="ELK73" s="421" t="n"/>
      <c r="ELL73" s="421" t="n"/>
      <c r="ELM73" s="421" t="n"/>
      <c r="ELN73" s="421" t="n"/>
      <c r="ELO73" s="421" t="n"/>
      <c r="ELP73" s="421" t="n"/>
      <c r="ELQ73" s="421" t="n"/>
      <c r="ELR73" s="421" t="n"/>
      <c r="ELS73" s="421" t="n"/>
      <c r="ELT73" s="421" t="n"/>
      <c r="ELU73" s="421" t="n"/>
      <c r="ELV73" s="421" t="n"/>
      <c r="ELW73" s="421" t="n"/>
      <c r="ELX73" s="421" t="n"/>
      <c r="ELY73" s="421" t="n"/>
      <c r="ELZ73" s="421" t="n"/>
      <c r="EMA73" s="421" t="n"/>
      <c r="EMB73" s="421" t="n"/>
      <c r="EMC73" s="421" t="n"/>
      <c r="EMD73" s="421" t="n"/>
      <c r="EME73" s="421" t="n"/>
      <c r="EMF73" s="421" t="n"/>
      <c r="EMG73" s="421" t="n"/>
      <c r="EMH73" s="421" t="n"/>
      <c r="EMI73" s="421" t="n"/>
      <c r="EMJ73" s="421" t="n"/>
      <c r="EMK73" s="421" t="n"/>
      <c r="EML73" s="421" t="n"/>
      <c r="EMM73" s="421" t="n"/>
      <c r="EMN73" s="421" t="n"/>
      <c r="EMO73" s="421" t="n"/>
      <c r="EMP73" s="421" t="n"/>
      <c r="EMQ73" s="421" t="n"/>
      <c r="EMR73" s="421" t="n"/>
      <c r="EMS73" s="421" t="n"/>
      <c r="EMT73" s="421" t="n"/>
      <c r="EMU73" s="421" t="n"/>
      <c r="EMV73" s="421" t="n"/>
      <c r="EMW73" s="421" t="n"/>
      <c r="EMX73" s="421" t="n"/>
      <c r="EMY73" s="421" t="n"/>
      <c r="EMZ73" s="421" t="n"/>
      <c r="ENA73" s="421" t="n"/>
      <c r="ENB73" s="421" t="n"/>
      <c r="ENC73" s="421" t="n"/>
      <c r="END73" s="421" t="n"/>
      <c r="ENE73" s="421" t="n"/>
      <c r="ENF73" s="421" t="n"/>
      <c r="ENG73" s="421" t="n"/>
      <c r="ENH73" s="421" t="n"/>
      <c r="ENI73" s="421" t="n"/>
      <c r="ENJ73" s="421" t="n"/>
      <c r="ENK73" s="421" t="n"/>
      <c r="ENL73" s="421" t="n"/>
      <c r="ENM73" s="421" t="n"/>
      <c r="ENN73" s="421" t="n"/>
      <c r="ENO73" s="421" t="n"/>
      <c r="ENP73" s="421" t="n"/>
      <c r="ENQ73" s="421" t="n"/>
      <c r="ENR73" s="421" t="n"/>
      <c r="ENS73" s="421" t="n"/>
      <c r="ENT73" s="421" t="n"/>
      <c r="ENU73" s="421" t="n"/>
      <c r="ENV73" s="421" t="n"/>
      <c r="ENW73" s="421" t="n"/>
      <c r="ENX73" s="421" t="n"/>
      <c r="ENY73" s="421" t="n"/>
      <c r="ENZ73" s="421" t="n"/>
      <c r="EOA73" s="421" t="n"/>
      <c r="EOB73" s="421" t="n"/>
      <c r="EOC73" s="421" t="n"/>
      <c r="EOD73" s="421" t="n"/>
      <c r="EOE73" s="421" t="n"/>
      <c r="EOF73" s="421" t="n"/>
      <c r="EOG73" s="421" t="n"/>
      <c r="EOH73" s="421" t="n"/>
      <c r="EOI73" s="421" t="n"/>
      <c r="EOJ73" s="421" t="n"/>
      <c r="EOK73" s="421" t="n"/>
      <c r="EOL73" s="421" t="n"/>
      <c r="EOM73" s="421" t="n"/>
      <c r="EON73" s="421" t="n"/>
      <c r="EOO73" s="421" t="n"/>
      <c r="EOP73" s="421" t="n"/>
      <c r="EOQ73" s="421" t="n"/>
      <c r="EOR73" s="421" t="n"/>
      <c r="EOS73" s="421" t="n"/>
      <c r="EOT73" s="421" t="n"/>
      <c r="EOU73" s="421" t="n"/>
      <c r="EOV73" s="421" t="n"/>
      <c r="EOW73" s="421" t="n"/>
      <c r="EOX73" s="421" t="n"/>
      <c r="EOY73" s="421" t="n"/>
      <c r="EOZ73" s="421" t="n"/>
      <c r="EPA73" s="421" t="n"/>
      <c r="EPB73" s="421" t="n"/>
      <c r="EPC73" s="421" t="n"/>
      <c r="EPD73" s="421" t="n"/>
      <c r="EPE73" s="421" t="n"/>
      <c r="EPF73" s="421" t="n"/>
      <c r="EPG73" s="421" t="n"/>
      <c r="EPH73" s="421" t="n"/>
      <c r="EPI73" s="421" t="n"/>
      <c r="EPJ73" s="421" t="n"/>
      <c r="EPK73" s="421" t="n"/>
      <c r="EPL73" s="421" t="n"/>
      <c r="EPM73" s="421" t="n"/>
      <c r="EPN73" s="421" t="n"/>
      <c r="EPO73" s="421" t="n"/>
      <c r="EPP73" s="421" t="n"/>
      <c r="EPQ73" s="421" t="n"/>
      <c r="EPR73" s="421" t="n"/>
      <c r="EPS73" s="421" t="n"/>
      <c r="EPT73" s="421" t="n"/>
      <c r="EPU73" s="421" t="n"/>
      <c r="EPV73" s="421" t="n"/>
      <c r="EPW73" s="421" t="n"/>
      <c r="EPX73" s="421" t="n"/>
      <c r="EPY73" s="421" t="n"/>
      <c r="EPZ73" s="421" t="n"/>
      <c r="EQA73" s="421" t="n"/>
      <c r="EQB73" s="421" t="n"/>
      <c r="EQC73" s="421" t="n"/>
      <c r="EQD73" s="421" t="n"/>
      <c r="EQE73" s="421" t="n"/>
      <c r="EQF73" s="421" t="n"/>
      <c r="EQG73" s="421" t="n"/>
      <c r="EQH73" s="421" t="n"/>
      <c r="EQI73" s="421" t="n"/>
      <c r="EQJ73" s="421" t="n"/>
      <c r="EQK73" s="421" t="n"/>
      <c r="EQL73" s="421" t="n"/>
      <c r="EQM73" s="421" t="n"/>
      <c r="EQN73" s="421" t="n"/>
      <c r="EQO73" s="421" t="n"/>
      <c r="EQP73" s="421" t="n"/>
      <c r="EQQ73" s="421" t="n"/>
      <c r="EQR73" s="421" t="n"/>
      <c r="EQS73" s="421" t="n"/>
      <c r="EQT73" s="421" t="n"/>
      <c r="EQU73" s="421" t="n"/>
      <c r="EQV73" s="421" t="n"/>
      <c r="EQW73" s="421" t="n"/>
      <c r="EQX73" s="421" t="n"/>
      <c r="EQY73" s="421" t="n"/>
      <c r="EQZ73" s="421" t="n"/>
      <c r="ERA73" s="421" t="n"/>
      <c r="ERB73" s="421" t="n"/>
      <c r="ERC73" s="421" t="n"/>
      <c r="ERD73" s="421" t="n"/>
      <c r="ERE73" s="421" t="n"/>
      <c r="ERF73" s="421" t="n"/>
      <c r="ERG73" s="421" t="n"/>
      <c r="ERH73" s="421" t="n"/>
      <c r="ERI73" s="421" t="n"/>
      <c r="ERJ73" s="421" t="n"/>
      <c r="ERK73" s="421" t="n"/>
      <c r="ERL73" s="421" t="n"/>
      <c r="ERM73" s="421" t="n"/>
      <c r="ERN73" s="421" t="n"/>
      <c r="ERO73" s="421" t="n"/>
      <c r="ERP73" s="421" t="n"/>
      <c r="ERQ73" s="421" t="n"/>
      <c r="ERR73" s="421" t="n"/>
      <c r="ERS73" s="421" t="n"/>
      <c r="ERT73" s="421" t="n"/>
      <c r="ERU73" s="421" t="n"/>
      <c r="ERV73" s="421" t="n"/>
      <c r="ERW73" s="421" t="n"/>
      <c r="ERX73" s="421" t="n"/>
      <c r="ERY73" s="421" t="n"/>
      <c r="ERZ73" s="421" t="n"/>
      <c r="ESA73" s="421" t="n"/>
      <c r="ESB73" s="421" t="n"/>
      <c r="ESC73" s="421" t="n"/>
      <c r="ESD73" s="421" t="n"/>
      <c r="ESE73" s="421" t="n"/>
      <c r="ESF73" s="421" t="n"/>
      <c r="ESG73" s="421" t="n"/>
      <c r="ESH73" s="421" t="n"/>
      <c r="ESI73" s="421" t="n"/>
      <c r="ESJ73" s="421" t="n"/>
      <c r="ESK73" s="421" t="n"/>
      <c r="ESL73" s="421" t="n"/>
      <c r="ESM73" s="421" t="n"/>
      <c r="ESN73" s="421" t="n"/>
      <c r="ESO73" s="421" t="n"/>
      <c r="ESP73" s="421" t="n"/>
      <c r="ESQ73" s="421" t="n"/>
      <c r="ESR73" s="421" t="n"/>
      <c r="ESS73" s="421" t="n"/>
      <c r="EST73" s="421" t="n"/>
      <c r="ESU73" s="421" t="n"/>
      <c r="ESV73" s="421" t="n"/>
      <c r="ESW73" s="421" t="n"/>
      <c r="ESX73" s="421" t="n"/>
      <c r="ESY73" s="421" t="n"/>
      <c r="ESZ73" s="421" t="n"/>
      <c r="ETA73" s="421" t="n"/>
      <c r="ETB73" s="421" t="n"/>
      <c r="ETC73" s="421" t="n"/>
      <c r="ETD73" s="421" t="n"/>
      <c r="ETE73" s="421" t="n"/>
      <c r="ETF73" s="421" t="n"/>
      <c r="ETG73" s="421" t="n"/>
      <c r="ETH73" s="421" t="n"/>
      <c r="ETI73" s="421" t="n"/>
      <c r="ETJ73" s="421" t="n"/>
      <c r="ETK73" s="421" t="n"/>
      <c r="ETL73" s="421" t="n"/>
      <c r="ETM73" s="421" t="n"/>
      <c r="ETN73" s="421" t="n"/>
      <c r="ETO73" s="421" t="n"/>
      <c r="ETP73" s="421" t="n"/>
      <c r="ETQ73" s="421" t="n"/>
      <c r="ETR73" s="421" t="n"/>
      <c r="ETS73" s="421" t="n"/>
      <c r="ETT73" s="421" t="n"/>
      <c r="ETU73" s="421" t="n"/>
      <c r="ETV73" s="421" t="n"/>
      <c r="ETW73" s="421" t="n"/>
      <c r="ETX73" s="421" t="n"/>
      <c r="ETY73" s="421" t="n"/>
      <c r="ETZ73" s="421" t="n"/>
      <c r="EUA73" s="421" t="n"/>
      <c r="EUB73" s="421" t="n"/>
      <c r="EUC73" s="421" t="n"/>
      <c r="EUD73" s="421" t="n"/>
      <c r="EUE73" s="421" t="n"/>
      <c r="EUF73" s="421" t="n"/>
      <c r="EUG73" s="421" t="n"/>
      <c r="EUH73" s="421" t="n"/>
      <c r="EUI73" s="421" t="n"/>
      <c r="EUJ73" s="421" t="n"/>
      <c r="EUK73" s="421" t="n"/>
      <c r="EUL73" s="421" t="n"/>
      <c r="EUM73" s="421" t="n"/>
      <c r="EUN73" s="421" t="n"/>
      <c r="EUO73" s="421" t="n"/>
      <c r="EUP73" s="421" t="n"/>
      <c r="EUQ73" s="421" t="n"/>
      <c r="EUR73" s="421" t="n"/>
      <c r="EUS73" s="421" t="n"/>
      <c r="EUT73" s="421" t="n"/>
      <c r="EUU73" s="421" t="n"/>
      <c r="EUV73" s="421" t="n"/>
      <c r="EUW73" s="421" t="n"/>
      <c r="EUX73" s="421" t="n"/>
      <c r="EUY73" s="421" t="n"/>
      <c r="EUZ73" s="421" t="n"/>
      <c r="EVA73" s="421" t="n"/>
      <c r="EVB73" s="421" t="n"/>
      <c r="EVC73" s="421" t="n"/>
      <c r="EVD73" s="421" t="n"/>
      <c r="EVE73" s="421" t="n"/>
      <c r="EVF73" s="421" t="n"/>
      <c r="EVG73" s="421" t="n"/>
      <c r="EVH73" s="421" t="n"/>
      <c r="EVI73" s="421" t="n"/>
      <c r="EVJ73" s="421" t="n"/>
      <c r="EVK73" s="421" t="n"/>
      <c r="EVL73" s="421" t="n"/>
      <c r="EVM73" s="421" t="n"/>
      <c r="EVN73" s="421" t="n"/>
      <c r="EVO73" s="421" t="n"/>
      <c r="EVP73" s="421" t="n"/>
      <c r="EVQ73" s="421" t="n"/>
      <c r="EVR73" s="421" t="n"/>
      <c r="EVS73" s="421" t="n"/>
      <c r="EVT73" s="421" t="n"/>
      <c r="EVU73" s="421" t="n"/>
      <c r="EVV73" s="421" t="n"/>
      <c r="EVW73" s="421" t="n"/>
      <c r="EVX73" s="421" t="n"/>
      <c r="EVY73" s="421" t="n"/>
      <c r="EVZ73" s="421" t="n"/>
      <c r="EWA73" s="421" t="n"/>
      <c r="EWB73" s="421" t="n"/>
      <c r="EWC73" s="421" t="n"/>
      <c r="EWD73" s="421" t="n"/>
      <c r="EWE73" s="421" t="n"/>
      <c r="EWF73" s="421" t="n"/>
      <c r="EWG73" s="421" t="n"/>
      <c r="EWH73" s="421" t="n"/>
      <c r="EWI73" s="421" t="n"/>
      <c r="EWJ73" s="421" t="n"/>
      <c r="EWK73" s="421" t="n"/>
      <c r="EWL73" s="421" t="n"/>
      <c r="EWM73" s="421" t="n"/>
      <c r="EWN73" s="421" t="n"/>
      <c r="EWO73" s="421" t="n"/>
      <c r="EWP73" s="421" t="n"/>
      <c r="EWQ73" s="421" t="n"/>
      <c r="EWR73" s="421" t="n"/>
      <c r="EWS73" s="421" t="n"/>
      <c r="EWT73" s="421" t="n"/>
      <c r="EWU73" s="421" t="n"/>
      <c r="EWV73" s="421" t="n"/>
      <c r="EWW73" s="421" t="n"/>
      <c r="EWX73" s="421" t="n"/>
      <c r="EWY73" s="421" t="n"/>
      <c r="EWZ73" s="421" t="n"/>
      <c r="EXA73" s="421" t="n"/>
      <c r="EXB73" s="421" t="n"/>
      <c r="EXC73" s="421" t="n"/>
      <c r="EXD73" s="421" t="n"/>
      <c r="EXE73" s="421" t="n"/>
      <c r="EXF73" s="421" t="n"/>
      <c r="EXG73" s="421" t="n"/>
      <c r="EXH73" s="421" t="n"/>
      <c r="EXI73" s="421" t="n"/>
      <c r="EXJ73" s="421" t="n"/>
      <c r="EXK73" s="421" t="n"/>
      <c r="EXL73" s="421" t="n"/>
      <c r="EXM73" s="421" t="n"/>
      <c r="EXN73" s="421" t="n"/>
      <c r="EXO73" s="421" t="n"/>
      <c r="EXP73" s="421" t="n"/>
      <c r="EXQ73" s="421" t="n"/>
      <c r="EXR73" s="421" t="n"/>
      <c r="EXS73" s="421" t="n"/>
      <c r="EXT73" s="421" t="n"/>
      <c r="EXU73" s="421" t="n"/>
      <c r="EXV73" s="421" t="n"/>
      <c r="EXW73" s="421" t="n"/>
      <c r="EXX73" s="421" t="n"/>
      <c r="EXY73" s="421" t="n"/>
      <c r="EXZ73" s="421" t="n"/>
      <c r="EYA73" s="421" t="n"/>
      <c r="EYB73" s="421" t="n"/>
      <c r="EYC73" s="421" t="n"/>
      <c r="EYD73" s="421" t="n"/>
      <c r="EYE73" s="421" t="n"/>
      <c r="EYF73" s="421" t="n"/>
      <c r="EYG73" s="421" t="n"/>
      <c r="EYH73" s="421" t="n"/>
      <c r="EYI73" s="421" t="n"/>
      <c r="EYJ73" s="421" t="n"/>
      <c r="EYK73" s="421" t="n"/>
      <c r="EYL73" s="421" t="n"/>
      <c r="EYM73" s="421" t="n"/>
      <c r="EYN73" s="421" t="n"/>
      <c r="EYO73" s="421" t="n"/>
      <c r="EYP73" s="421" t="n"/>
      <c r="EYQ73" s="421" t="n"/>
      <c r="EYR73" s="421" t="n"/>
      <c r="EYS73" s="421" t="n"/>
      <c r="EYT73" s="421" t="n"/>
      <c r="EYU73" s="421" t="n"/>
      <c r="EYV73" s="421" t="n"/>
      <c r="EYW73" s="421" t="n"/>
      <c r="EYX73" s="421" t="n"/>
      <c r="EYY73" s="421" t="n"/>
      <c r="EYZ73" s="421" t="n"/>
      <c r="EZA73" s="421" t="n"/>
      <c r="EZB73" s="421" t="n"/>
      <c r="EZC73" s="421" t="n"/>
      <c r="EZD73" s="421" t="n"/>
      <c r="EZE73" s="421" t="n"/>
      <c r="EZF73" s="421" t="n"/>
      <c r="EZG73" s="421" t="n"/>
      <c r="EZH73" s="421" t="n"/>
      <c r="EZI73" s="421" t="n"/>
      <c r="EZJ73" s="421" t="n"/>
      <c r="EZK73" s="421" t="n"/>
      <c r="EZL73" s="421" t="n"/>
      <c r="EZM73" s="421" t="n"/>
      <c r="EZN73" s="421" t="n"/>
      <c r="EZO73" s="421" t="n"/>
      <c r="EZP73" s="421" t="n"/>
      <c r="EZQ73" s="421" t="n"/>
      <c r="EZR73" s="421" t="n"/>
      <c r="EZS73" s="421" t="n"/>
      <c r="EZT73" s="421" t="n"/>
      <c r="EZU73" s="421" t="n"/>
      <c r="EZV73" s="421" t="n"/>
      <c r="EZW73" s="421" t="n"/>
      <c r="EZX73" s="421" t="n"/>
      <c r="EZY73" s="421" t="n"/>
      <c r="EZZ73" s="421" t="n"/>
      <c r="FAA73" s="421" t="n"/>
      <c r="FAB73" s="421" t="n"/>
      <c r="FAC73" s="421" t="n"/>
      <c r="FAD73" s="421" t="n"/>
      <c r="FAE73" s="421" t="n"/>
      <c r="FAF73" s="421" t="n"/>
      <c r="FAG73" s="421" t="n"/>
      <c r="FAH73" s="421" t="n"/>
      <c r="FAI73" s="421" t="n"/>
      <c r="FAJ73" s="421" t="n"/>
      <c r="FAK73" s="421" t="n"/>
      <c r="FAL73" s="421" t="n"/>
      <c r="FAM73" s="421" t="n"/>
      <c r="FAN73" s="421" t="n"/>
      <c r="FAO73" s="421" t="n"/>
      <c r="FAP73" s="421" t="n"/>
      <c r="FAQ73" s="421" t="n"/>
      <c r="FAR73" s="421" t="n"/>
      <c r="FAS73" s="421" t="n"/>
      <c r="FAT73" s="421" t="n"/>
      <c r="FAU73" s="421" t="n"/>
      <c r="FAV73" s="421" t="n"/>
      <c r="FAW73" s="421" t="n"/>
      <c r="FAX73" s="421" t="n"/>
      <c r="FAY73" s="421" t="n"/>
      <c r="FAZ73" s="421" t="n"/>
      <c r="FBA73" s="421" t="n"/>
      <c r="FBB73" s="421" t="n"/>
      <c r="FBC73" s="421" t="n"/>
      <c r="FBD73" s="421" t="n"/>
      <c r="FBE73" s="421" t="n"/>
      <c r="FBF73" s="421" t="n"/>
      <c r="FBG73" s="421" t="n"/>
      <c r="FBH73" s="421" t="n"/>
      <c r="FBI73" s="421" t="n"/>
      <c r="FBJ73" s="421" t="n"/>
      <c r="FBK73" s="421" t="n"/>
      <c r="FBL73" s="421" t="n"/>
      <c r="FBM73" s="421" t="n"/>
      <c r="FBN73" s="421" t="n"/>
      <c r="FBO73" s="421" t="n"/>
      <c r="FBP73" s="421" t="n"/>
      <c r="FBQ73" s="421" t="n"/>
      <c r="FBR73" s="421" t="n"/>
      <c r="FBS73" s="421" t="n"/>
      <c r="FBT73" s="421" t="n"/>
      <c r="FBU73" s="421" t="n"/>
      <c r="FBV73" s="421" t="n"/>
      <c r="FBW73" s="421" t="n"/>
      <c r="FBX73" s="421" t="n"/>
      <c r="FBY73" s="421" t="n"/>
      <c r="FBZ73" s="421" t="n"/>
      <c r="FCA73" s="421" t="n"/>
      <c r="FCB73" s="421" t="n"/>
      <c r="FCC73" s="421" t="n"/>
      <c r="FCD73" s="421" t="n"/>
      <c r="FCE73" s="421" t="n"/>
      <c r="FCF73" s="421" t="n"/>
      <c r="FCG73" s="421" t="n"/>
      <c r="FCH73" s="421" t="n"/>
      <c r="FCI73" s="421" t="n"/>
      <c r="FCJ73" s="421" t="n"/>
      <c r="FCK73" s="421" t="n"/>
      <c r="FCL73" s="421" t="n"/>
      <c r="FCM73" s="421" t="n"/>
      <c r="FCN73" s="421" t="n"/>
      <c r="FCO73" s="421" t="n"/>
      <c r="FCP73" s="421" t="n"/>
      <c r="FCQ73" s="421" t="n"/>
      <c r="FCR73" s="421" t="n"/>
      <c r="FCS73" s="421" t="n"/>
      <c r="FCT73" s="421" t="n"/>
      <c r="FCU73" s="421" t="n"/>
      <c r="FCV73" s="421" t="n"/>
      <c r="FCW73" s="421" t="n"/>
      <c r="FCX73" s="421" t="n"/>
      <c r="FCY73" s="421" t="n"/>
      <c r="FCZ73" s="421" t="n"/>
      <c r="FDA73" s="421" t="n"/>
      <c r="FDB73" s="421" t="n"/>
      <c r="FDC73" s="421" t="n"/>
      <c r="FDD73" s="421" t="n"/>
      <c r="FDE73" s="421" t="n"/>
      <c r="FDF73" s="421" t="n"/>
      <c r="FDG73" s="421" t="n"/>
      <c r="FDH73" s="421" t="n"/>
      <c r="FDI73" s="421" t="n"/>
      <c r="FDJ73" s="421" t="n"/>
      <c r="FDK73" s="421" t="n"/>
      <c r="FDL73" s="421" t="n"/>
      <c r="FDM73" s="421" t="n"/>
      <c r="FDN73" s="421" t="n"/>
      <c r="FDO73" s="421" t="n"/>
      <c r="FDP73" s="421" t="n"/>
      <c r="FDQ73" s="421" t="n"/>
      <c r="FDR73" s="421" t="n"/>
      <c r="FDS73" s="421" t="n"/>
      <c r="FDT73" s="421" t="n"/>
      <c r="FDU73" s="421" t="n"/>
      <c r="FDV73" s="421" t="n"/>
      <c r="FDW73" s="421" t="n"/>
      <c r="FDX73" s="421" t="n"/>
      <c r="FDY73" s="421" t="n"/>
      <c r="FDZ73" s="421" t="n"/>
      <c r="FEA73" s="421" t="n"/>
      <c r="FEB73" s="421" t="n"/>
      <c r="FEC73" s="421" t="n"/>
      <c r="FED73" s="421" t="n"/>
      <c r="FEE73" s="421" t="n"/>
      <c r="FEF73" s="421" t="n"/>
      <c r="FEG73" s="421" t="n"/>
      <c r="FEH73" s="421" t="n"/>
      <c r="FEI73" s="421" t="n"/>
      <c r="FEJ73" s="421" t="n"/>
      <c r="FEK73" s="421" t="n"/>
      <c r="FEL73" s="421" t="n"/>
      <c r="FEM73" s="421" t="n"/>
      <c r="FEN73" s="421" t="n"/>
      <c r="FEO73" s="421" t="n"/>
      <c r="FEP73" s="421" t="n"/>
      <c r="FEQ73" s="421" t="n"/>
      <c r="FER73" s="421" t="n"/>
      <c r="FES73" s="421" t="n"/>
      <c r="FET73" s="421" t="n"/>
      <c r="FEU73" s="421" t="n"/>
      <c r="FEV73" s="421" t="n"/>
      <c r="FEW73" s="421" t="n"/>
      <c r="FEX73" s="421" t="n"/>
      <c r="FEY73" s="421" t="n"/>
      <c r="FEZ73" s="421" t="n"/>
      <c r="FFA73" s="421" t="n"/>
      <c r="FFB73" s="421" t="n"/>
      <c r="FFC73" s="421" t="n"/>
      <c r="FFD73" s="421" t="n"/>
      <c r="FFE73" s="421" t="n"/>
      <c r="FFF73" s="421" t="n"/>
      <c r="FFG73" s="421" t="n"/>
      <c r="FFH73" s="421" t="n"/>
      <c r="FFI73" s="421" t="n"/>
      <c r="FFJ73" s="421" t="n"/>
      <c r="FFK73" s="421" t="n"/>
      <c r="FFL73" s="421" t="n"/>
      <c r="FFM73" s="421" t="n"/>
      <c r="FFN73" s="421" t="n"/>
      <c r="FFO73" s="421" t="n"/>
      <c r="FFP73" s="421" t="n"/>
      <c r="FFQ73" s="421" t="n"/>
      <c r="FFR73" s="421" t="n"/>
      <c r="FFS73" s="421" t="n"/>
      <c r="FFT73" s="421" t="n"/>
      <c r="FFU73" s="421" t="n"/>
      <c r="FFV73" s="421" t="n"/>
      <c r="FFW73" s="421" t="n"/>
      <c r="FFX73" s="421" t="n"/>
      <c r="FFY73" s="421" t="n"/>
      <c r="FFZ73" s="421" t="n"/>
      <c r="FGA73" s="421" t="n"/>
      <c r="FGB73" s="421" t="n"/>
      <c r="FGC73" s="421" t="n"/>
      <c r="FGD73" s="421" t="n"/>
      <c r="FGE73" s="421" t="n"/>
      <c r="FGF73" s="421" t="n"/>
      <c r="FGG73" s="421" t="n"/>
      <c r="FGH73" s="421" t="n"/>
      <c r="FGI73" s="421" t="n"/>
      <c r="FGJ73" s="421" t="n"/>
      <c r="FGK73" s="421" t="n"/>
      <c r="FGL73" s="421" t="n"/>
      <c r="FGM73" s="421" t="n"/>
      <c r="FGN73" s="421" t="n"/>
      <c r="FGO73" s="421" t="n"/>
      <c r="FGP73" s="421" t="n"/>
      <c r="FGQ73" s="421" t="n"/>
      <c r="FGR73" s="421" t="n"/>
      <c r="FGS73" s="421" t="n"/>
      <c r="FGT73" s="421" t="n"/>
      <c r="FGU73" s="421" t="n"/>
      <c r="FGV73" s="421" t="n"/>
      <c r="FGW73" s="421" t="n"/>
      <c r="FGX73" s="421" t="n"/>
      <c r="FGY73" s="421" t="n"/>
      <c r="FGZ73" s="421" t="n"/>
      <c r="FHA73" s="421" t="n"/>
      <c r="FHB73" s="421" t="n"/>
      <c r="FHC73" s="421" t="n"/>
      <c r="FHD73" s="421" t="n"/>
      <c r="FHE73" s="421" t="n"/>
      <c r="FHF73" s="421" t="n"/>
      <c r="FHG73" s="421" t="n"/>
      <c r="FHH73" s="421" t="n"/>
      <c r="FHI73" s="421" t="n"/>
      <c r="FHJ73" s="421" t="n"/>
      <c r="FHK73" s="421" t="n"/>
      <c r="FHL73" s="421" t="n"/>
      <c r="FHM73" s="421" t="n"/>
      <c r="FHN73" s="421" t="n"/>
      <c r="FHO73" s="421" t="n"/>
      <c r="FHP73" s="421" t="n"/>
      <c r="FHQ73" s="421" t="n"/>
      <c r="FHR73" s="421" t="n"/>
      <c r="FHS73" s="421" t="n"/>
      <c r="FHT73" s="421" t="n"/>
      <c r="FHU73" s="421" t="n"/>
      <c r="FHV73" s="421" t="n"/>
      <c r="FHW73" s="421" t="n"/>
      <c r="FHX73" s="421" t="n"/>
      <c r="FHY73" s="421" t="n"/>
      <c r="FHZ73" s="421" t="n"/>
      <c r="FIA73" s="421" t="n"/>
      <c r="FIB73" s="421" t="n"/>
      <c r="FIC73" s="421" t="n"/>
      <c r="FID73" s="421" t="n"/>
      <c r="FIE73" s="421" t="n"/>
      <c r="FIF73" s="421" t="n"/>
      <c r="FIG73" s="421" t="n"/>
      <c r="FIH73" s="421" t="n"/>
      <c r="FII73" s="421" t="n"/>
      <c r="FIJ73" s="421" t="n"/>
      <c r="FIK73" s="421" t="n"/>
      <c r="FIL73" s="421" t="n"/>
      <c r="FIM73" s="421" t="n"/>
      <c r="FIN73" s="421" t="n"/>
      <c r="FIO73" s="421" t="n"/>
      <c r="FIP73" s="421" t="n"/>
      <c r="FIQ73" s="421" t="n"/>
      <c r="FIR73" s="421" t="n"/>
      <c r="FIS73" s="421" t="n"/>
      <c r="FIT73" s="421" t="n"/>
      <c r="FIU73" s="421" t="n"/>
      <c r="FIV73" s="421" t="n"/>
      <c r="FIW73" s="421" t="n"/>
      <c r="FIX73" s="421" t="n"/>
      <c r="FIY73" s="421" t="n"/>
      <c r="FIZ73" s="421" t="n"/>
      <c r="FJA73" s="421" t="n"/>
      <c r="FJB73" s="421" t="n"/>
      <c r="FJC73" s="421" t="n"/>
      <c r="FJD73" s="421" t="n"/>
      <c r="FJE73" s="421" t="n"/>
      <c r="FJF73" s="421" t="n"/>
      <c r="FJG73" s="421" t="n"/>
      <c r="FJH73" s="421" t="n"/>
      <c r="FJI73" s="421" t="n"/>
      <c r="FJJ73" s="421" t="n"/>
      <c r="FJK73" s="421" t="n"/>
      <c r="FJL73" s="421" t="n"/>
      <c r="FJM73" s="421" t="n"/>
      <c r="FJN73" s="421" t="n"/>
      <c r="FJO73" s="421" t="n"/>
      <c r="FJP73" s="421" t="n"/>
      <c r="FJQ73" s="421" t="n"/>
      <c r="FJR73" s="421" t="n"/>
      <c r="FJS73" s="421" t="n"/>
      <c r="FJT73" s="421" t="n"/>
      <c r="FJU73" s="421" t="n"/>
      <c r="FJV73" s="421" t="n"/>
      <c r="FJW73" s="421" t="n"/>
      <c r="FJX73" s="421" t="n"/>
      <c r="FJY73" s="421" t="n"/>
      <c r="FJZ73" s="421" t="n"/>
      <c r="FKA73" s="421" t="n"/>
      <c r="FKB73" s="421" t="n"/>
      <c r="FKC73" s="421" t="n"/>
      <c r="FKD73" s="421" t="n"/>
      <c r="FKE73" s="421" t="n"/>
      <c r="FKF73" s="421" t="n"/>
      <c r="FKG73" s="421" t="n"/>
      <c r="FKH73" s="421" t="n"/>
      <c r="FKI73" s="421" t="n"/>
      <c r="FKJ73" s="421" t="n"/>
      <c r="FKK73" s="421" t="n"/>
      <c r="FKL73" s="421" t="n"/>
      <c r="FKM73" s="421" t="n"/>
      <c r="FKN73" s="421" t="n"/>
      <c r="FKO73" s="421" t="n"/>
      <c r="FKP73" s="421" t="n"/>
      <c r="FKQ73" s="421" t="n"/>
      <c r="FKR73" s="421" t="n"/>
      <c r="FKS73" s="421" t="n"/>
      <c r="FKT73" s="421" t="n"/>
      <c r="FKU73" s="421" t="n"/>
      <c r="FKV73" s="421" t="n"/>
      <c r="FKW73" s="421" t="n"/>
      <c r="FKX73" s="421" t="n"/>
      <c r="FKY73" s="421" t="n"/>
      <c r="FKZ73" s="421" t="n"/>
      <c r="FLA73" s="421" t="n"/>
      <c r="FLB73" s="421" t="n"/>
      <c r="FLC73" s="421" t="n"/>
      <c r="FLD73" s="421" t="n"/>
      <c r="FLE73" s="421" t="n"/>
      <c r="FLF73" s="421" t="n"/>
      <c r="FLG73" s="421" t="n"/>
      <c r="FLH73" s="421" t="n"/>
      <c r="FLI73" s="421" t="n"/>
      <c r="FLJ73" s="421" t="n"/>
      <c r="FLK73" s="421" t="n"/>
      <c r="FLL73" s="421" t="n"/>
      <c r="FLM73" s="421" t="n"/>
      <c r="FLN73" s="421" t="n"/>
      <c r="FLO73" s="421" t="n"/>
      <c r="FLP73" s="421" t="n"/>
      <c r="FLQ73" s="421" t="n"/>
      <c r="FLR73" s="421" t="n"/>
      <c r="FLS73" s="421" t="n"/>
      <c r="FLT73" s="421" t="n"/>
      <c r="FLU73" s="421" t="n"/>
      <c r="FLV73" s="421" t="n"/>
      <c r="FLW73" s="421" t="n"/>
      <c r="FLX73" s="421" t="n"/>
      <c r="FLY73" s="421" t="n"/>
      <c r="FLZ73" s="421" t="n"/>
      <c r="FMA73" s="421" t="n"/>
      <c r="FMB73" s="421" t="n"/>
      <c r="FMC73" s="421" t="n"/>
      <c r="FMD73" s="421" t="n"/>
      <c r="FME73" s="421" t="n"/>
      <c r="FMF73" s="421" t="n"/>
      <c r="FMG73" s="421" t="n"/>
      <c r="FMH73" s="421" t="n"/>
      <c r="FMI73" s="421" t="n"/>
      <c r="FMJ73" s="421" t="n"/>
      <c r="FMK73" s="421" t="n"/>
      <c r="FML73" s="421" t="n"/>
      <c r="FMM73" s="421" t="n"/>
      <c r="FMN73" s="421" t="n"/>
      <c r="FMO73" s="421" t="n"/>
      <c r="FMP73" s="421" t="n"/>
      <c r="FMQ73" s="421" t="n"/>
      <c r="FMR73" s="421" t="n"/>
      <c r="FMS73" s="421" t="n"/>
      <c r="FMT73" s="421" t="n"/>
      <c r="FMU73" s="421" t="n"/>
      <c r="FMV73" s="421" t="n"/>
      <c r="FMW73" s="421" t="n"/>
      <c r="FMX73" s="421" t="n"/>
      <c r="FMY73" s="421" t="n"/>
      <c r="FMZ73" s="421" t="n"/>
      <c r="FNA73" s="421" t="n"/>
      <c r="FNB73" s="421" t="n"/>
      <c r="FNC73" s="421" t="n"/>
      <c r="FND73" s="421" t="n"/>
      <c r="FNE73" s="421" t="n"/>
      <c r="FNF73" s="421" t="n"/>
      <c r="FNG73" s="421" t="n"/>
      <c r="FNH73" s="421" t="n"/>
      <c r="FNI73" s="421" t="n"/>
      <c r="FNJ73" s="421" t="n"/>
      <c r="FNK73" s="421" t="n"/>
      <c r="FNL73" s="421" t="n"/>
      <c r="FNM73" s="421" t="n"/>
      <c r="FNN73" s="421" t="n"/>
      <c r="FNO73" s="421" t="n"/>
      <c r="FNP73" s="421" t="n"/>
      <c r="FNQ73" s="421" t="n"/>
      <c r="FNR73" s="421" t="n"/>
      <c r="FNS73" s="421" t="n"/>
      <c r="FNT73" s="421" t="n"/>
      <c r="FNU73" s="421" t="n"/>
      <c r="FNV73" s="421" t="n"/>
      <c r="FNW73" s="421" t="n"/>
      <c r="FNX73" s="421" t="n"/>
      <c r="FNY73" s="421" t="n"/>
      <c r="FNZ73" s="421" t="n"/>
      <c r="FOA73" s="421" t="n"/>
      <c r="FOB73" s="421" t="n"/>
      <c r="FOC73" s="421" t="n"/>
      <c r="FOD73" s="421" t="n"/>
      <c r="FOE73" s="421" t="n"/>
      <c r="FOF73" s="421" t="n"/>
      <c r="FOG73" s="421" t="n"/>
      <c r="FOH73" s="421" t="n"/>
      <c r="FOI73" s="421" t="n"/>
      <c r="FOJ73" s="421" t="n"/>
      <c r="FOK73" s="421" t="n"/>
      <c r="FOL73" s="421" t="n"/>
      <c r="FOM73" s="421" t="n"/>
      <c r="FON73" s="421" t="n"/>
      <c r="FOO73" s="421" t="n"/>
      <c r="FOP73" s="421" t="n"/>
      <c r="FOQ73" s="421" t="n"/>
      <c r="FOR73" s="421" t="n"/>
      <c r="FOS73" s="421" t="n"/>
      <c r="FOT73" s="421" t="n"/>
      <c r="FOU73" s="421" t="n"/>
      <c r="FOV73" s="421" t="n"/>
      <c r="FOW73" s="421" t="n"/>
      <c r="FOX73" s="421" t="n"/>
      <c r="FOY73" s="421" t="n"/>
      <c r="FOZ73" s="421" t="n"/>
      <c r="FPA73" s="421" t="n"/>
      <c r="FPB73" s="421" t="n"/>
      <c r="FPC73" s="421" t="n"/>
      <c r="FPD73" s="421" t="n"/>
      <c r="FPE73" s="421" t="n"/>
      <c r="FPF73" s="421" t="n"/>
      <c r="FPG73" s="421" t="n"/>
      <c r="FPH73" s="421" t="n"/>
      <c r="FPI73" s="421" t="n"/>
      <c r="FPJ73" s="421" t="n"/>
      <c r="FPK73" s="421" t="n"/>
      <c r="FPL73" s="421" t="n"/>
      <c r="FPM73" s="421" t="n"/>
      <c r="FPN73" s="421" t="n"/>
      <c r="FPO73" s="421" t="n"/>
      <c r="FPP73" s="421" t="n"/>
      <c r="FPQ73" s="421" t="n"/>
      <c r="FPR73" s="421" t="n"/>
      <c r="FPS73" s="421" t="n"/>
      <c r="FPT73" s="421" t="n"/>
      <c r="FPU73" s="421" t="n"/>
      <c r="FPV73" s="421" t="n"/>
      <c r="FPW73" s="421" t="n"/>
      <c r="FPX73" s="421" t="n"/>
      <c r="FPY73" s="421" t="n"/>
      <c r="FPZ73" s="421" t="n"/>
      <c r="FQA73" s="421" t="n"/>
      <c r="FQB73" s="421" t="n"/>
      <c r="FQC73" s="421" t="n"/>
      <c r="FQD73" s="421" t="n"/>
      <c r="FQE73" s="421" t="n"/>
      <c r="FQF73" s="421" t="n"/>
      <c r="FQG73" s="421" t="n"/>
      <c r="FQH73" s="421" t="n"/>
      <c r="FQI73" s="421" t="n"/>
      <c r="FQJ73" s="421" t="n"/>
      <c r="FQK73" s="421" t="n"/>
      <c r="FQL73" s="421" t="n"/>
      <c r="FQM73" s="421" t="n"/>
      <c r="FQN73" s="421" t="n"/>
      <c r="FQO73" s="421" t="n"/>
      <c r="FQP73" s="421" t="n"/>
      <c r="FQQ73" s="421" t="n"/>
      <c r="FQR73" s="421" t="n"/>
      <c r="FQS73" s="421" t="n"/>
      <c r="FQT73" s="421" t="n"/>
      <c r="FQU73" s="421" t="n"/>
      <c r="FQV73" s="421" t="n"/>
      <c r="FQW73" s="421" t="n"/>
      <c r="FQX73" s="421" t="n"/>
      <c r="FQY73" s="421" t="n"/>
      <c r="FQZ73" s="421" t="n"/>
      <c r="FRA73" s="421" t="n"/>
      <c r="FRB73" s="421" t="n"/>
      <c r="FRC73" s="421" t="n"/>
      <c r="FRD73" s="421" t="n"/>
      <c r="FRE73" s="421" t="n"/>
      <c r="FRF73" s="421" t="n"/>
      <c r="FRG73" s="421" t="n"/>
      <c r="FRH73" s="421" t="n"/>
      <c r="FRI73" s="421" t="n"/>
      <c r="FRJ73" s="421" t="n"/>
      <c r="FRK73" s="421" t="n"/>
      <c r="FRL73" s="421" t="n"/>
      <c r="FRM73" s="421" t="n"/>
      <c r="FRN73" s="421" t="n"/>
      <c r="FRO73" s="421" t="n"/>
      <c r="FRP73" s="421" t="n"/>
      <c r="FRQ73" s="421" t="n"/>
      <c r="FRR73" s="421" t="n"/>
      <c r="FRS73" s="421" t="n"/>
      <c r="FRT73" s="421" t="n"/>
      <c r="FRU73" s="421" t="n"/>
      <c r="FRV73" s="421" t="n"/>
      <c r="FRW73" s="421" t="n"/>
      <c r="FRX73" s="421" t="n"/>
      <c r="FRY73" s="421" t="n"/>
      <c r="FRZ73" s="421" t="n"/>
      <c r="FSA73" s="421" t="n"/>
      <c r="FSB73" s="421" t="n"/>
      <c r="FSC73" s="421" t="n"/>
      <c r="FSD73" s="421" t="n"/>
      <c r="FSE73" s="421" t="n"/>
      <c r="FSF73" s="421" t="n"/>
      <c r="FSG73" s="421" t="n"/>
      <c r="FSH73" s="421" t="n"/>
      <c r="FSI73" s="421" t="n"/>
      <c r="FSJ73" s="421" t="n"/>
      <c r="FSK73" s="421" t="n"/>
      <c r="FSL73" s="421" t="n"/>
      <c r="FSM73" s="421" t="n"/>
      <c r="FSN73" s="421" t="n"/>
      <c r="FSO73" s="421" t="n"/>
      <c r="FSP73" s="421" t="n"/>
      <c r="FSQ73" s="421" t="n"/>
      <c r="FSR73" s="421" t="n"/>
      <c r="FSS73" s="421" t="n"/>
      <c r="FST73" s="421" t="n"/>
      <c r="FSU73" s="421" t="n"/>
      <c r="FSV73" s="421" t="n"/>
      <c r="FSW73" s="421" t="n"/>
      <c r="FSX73" s="421" t="n"/>
      <c r="FSY73" s="421" t="n"/>
      <c r="FSZ73" s="421" t="n"/>
      <c r="FTA73" s="421" t="n"/>
      <c r="FTB73" s="421" t="n"/>
      <c r="FTC73" s="421" t="n"/>
      <c r="FTD73" s="421" t="n"/>
      <c r="FTE73" s="421" t="n"/>
      <c r="FTF73" s="421" t="n"/>
      <c r="FTG73" s="421" t="n"/>
      <c r="FTH73" s="421" t="n"/>
      <c r="FTI73" s="421" t="n"/>
      <c r="FTJ73" s="421" t="n"/>
      <c r="FTK73" s="421" t="n"/>
      <c r="FTL73" s="421" t="n"/>
      <c r="FTM73" s="421" t="n"/>
      <c r="FTN73" s="421" t="n"/>
      <c r="FTO73" s="421" t="n"/>
      <c r="FTP73" s="421" t="n"/>
      <c r="FTQ73" s="421" t="n"/>
      <c r="FTR73" s="421" t="n"/>
      <c r="FTS73" s="421" t="n"/>
      <c r="FTT73" s="421" t="n"/>
      <c r="FTU73" s="421" t="n"/>
      <c r="FTV73" s="421" t="n"/>
      <c r="FTW73" s="421" t="n"/>
      <c r="FTX73" s="421" t="n"/>
      <c r="FTY73" s="421" t="n"/>
      <c r="FTZ73" s="421" t="n"/>
      <c r="FUA73" s="421" t="n"/>
      <c r="FUB73" s="421" t="n"/>
      <c r="FUC73" s="421" t="n"/>
      <c r="FUD73" s="421" t="n"/>
      <c r="FUE73" s="421" t="n"/>
      <c r="FUF73" s="421" t="n"/>
      <c r="FUG73" s="421" t="n"/>
      <c r="FUH73" s="421" t="n"/>
      <c r="FUI73" s="421" t="n"/>
      <c r="FUJ73" s="421" t="n"/>
      <c r="FUK73" s="421" t="n"/>
      <c r="FUL73" s="421" t="n"/>
      <c r="FUM73" s="421" t="n"/>
      <c r="FUN73" s="421" t="n"/>
      <c r="FUO73" s="421" t="n"/>
      <c r="FUP73" s="421" t="n"/>
      <c r="FUQ73" s="421" t="n"/>
      <c r="FUR73" s="421" t="n"/>
      <c r="FUS73" s="421" t="n"/>
      <c r="FUT73" s="421" t="n"/>
      <c r="FUU73" s="421" t="n"/>
      <c r="FUV73" s="421" t="n"/>
      <c r="FUW73" s="421" t="n"/>
      <c r="FUX73" s="421" t="n"/>
      <c r="FUY73" s="421" t="n"/>
      <c r="FUZ73" s="421" t="n"/>
      <c r="FVA73" s="421" t="n"/>
      <c r="FVB73" s="421" t="n"/>
      <c r="FVC73" s="421" t="n"/>
      <c r="FVD73" s="421" t="n"/>
      <c r="FVE73" s="421" t="n"/>
      <c r="FVF73" s="421" t="n"/>
      <c r="FVG73" s="421" t="n"/>
      <c r="FVH73" s="421" t="n"/>
      <c r="FVI73" s="421" t="n"/>
      <c r="FVJ73" s="421" t="n"/>
      <c r="FVK73" s="421" t="n"/>
      <c r="FVL73" s="421" t="n"/>
      <c r="FVM73" s="421" t="n"/>
      <c r="FVN73" s="421" t="n"/>
      <c r="FVO73" s="421" t="n"/>
      <c r="FVP73" s="421" t="n"/>
      <c r="FVQ73" s="421" t="n"/>
      <c r="FVR73" s="421" t="n"/>
      <c r="FVS73" s="421" t="n"/>
      <c r="FVT73" s="421" t="n"/>
      <c r="FVU73" s="421" t="n"/>
      <c r="FVV73" s="421" t="n"/>
      <c r="FVW73" s="421" t="n"/>
      <c r="FVX73" s="421" t="n"/>
      <c r="FVY73" s="421" t="n"/>
      <c r="FVZ73" s="421" t="n"/>
      <c r="FWA73" s="421" t="n"/>
      <c r="FWB73" s="421" t="n"/>
      <c r="FWC73" s="421" t="n"/>
      <c r="FWD73" s="421" t="n"/>
      <c r="FWE73" s="421" t="n"/>
      <c r="FWF73" s="421" t="n"/>
      <c r="FWG73" s="421" t="n"/>
      <c r="FWH73" s="421" t="n"/>
      <c r="FWI73" s="421" t="n"/>
      <c r="FWJ73" s="421" t="n"/>
      <c r="FWK73" s="421" t="n"/>
      <c r="FWL73" s="421" t="n"/>
      <c r="FWM73" s="421" t="n"/>
      <c r="FWN73" s="421" t="n"/>
      <c r="FWO73" s="421" t="n"/>
      <c r="FWP73" s="421" t="n"/>
      <c r="FWQ73" s="421" t="n"/>
      <c r="FWR73" s="421" t="n"/>
      <c r="FWS73" s="421" t="n"/>
      <c r="FWT73" s="421" t="n"/>
      <c r="FWU73" s="421" t="n"/>
      <c r="FWV73" s="421" t="n"/>
      <c r="FWW73" s="421" t="n"/>
      <c r="FWX73" s="421" t="n"/>
      <c r="FWY73" s="421" t="n"/>
      <c r="FWZ73" s="421" t="n"/>
      <c r="FXA73" s="421" t="n"/>
      <c r="FXB73" s="421" t="n"/>
      <c r="FXC73" s="421" t="n"/>
      <c r="FXD73" s="421" t="n"/>
      <c r="FXE73" s="421" t="n"/>
      <c r="FXF73" s="421" t="n"/>
      <c r="FXG73" s="421" t="n"/>
      <c r="FXH73" s="421" t="n"/>
      <c r="FXI73" s="421" t="n"/>
      <c r="FXJ73" s="421" t="n"/>
      <c r="FXK73" s="421" t="n"/>
      <c r="FXL73" s="421" t="n"/>
      <c r="FXM73" s="421" t="n"/>
      <c r="FXN73" s="421" t="n"/>
      <c r="FXO73" s="421" t="n"/>
      <c r="FXP73" s="421" t="n"/>
      <c r="FXQ73" s="421" t="n"/>
      <c r="FXR73" s="421" t="n"/>
      <c r="FXS73" s="421" t="n"/>
      <c r="FXT73" s="421" t="n"/>
      <c r="FXU73" s="421" t="n"/>
      <c r="FXV73" s="421" t="n"/>
      <c r="FXW73" s="421" t="n"/>
      <c r="FXX73" s="421" t="n"/>
      <c r="FXY73" s="421" t="n"/>
      <c r="FXZ73" s="421" t="n"/>
      <c r="FYA73" s="421" t="n"/>
      <c r="FYB73" s="421" t="n"/>
      <c r="FYC73" s="421" t="n"/>
      <c r="FYD73" s="421" t="n"/>
      <c r="FYE73" s="421" t="n"/>
      <c r="FYF73" s="421" t="n"/>
      <c r="FYG73" s="421" t="n"/>
      <c r="FYH73" s="421" t="n"/>
      <c r="FYI73" s="421" t="n"/>
      <c r="FYJ73" s="421" t="n"/>
      <c r="FYK73" s="421" t="n"/>
      <c r="FYL73" s="421" t="n"/>
      <c r="FYM73" s="421" t="n"/>
      <c r="FYN73" s="421" t="n"/>
      <c r="FYO73" s="421" t="n"/>
      <c r="FYP73" s="421" t="n"/>
      <c r="FYQ73" s="421" t="n"/>
      <c r="FYR73" s="421" t="n"/>
      <c r="FYS73" s="421" t="n"/>
      <c r="FYT73" s="421" t="n"/>
      <c r="FYU73" s="421" t="n"/>
      <c r="FYV73" s="421" t="n"/>
      <c r="FYW73" s="421" t="n"/>
      <c r="FYX73" s="421" t="n"/>
      <c r="FYY73" s="421" t="n"/>
      <c r="FYZ73" s="421" t="n"/>
      <c r="FZA73" s="421" t="n"/>
      <c r="FZB73" s="421" t="n"/>
      <c r="FZC73" s="421" t="n"/>
      <c r="FZD73" s="421" t="n"/>
      <c r="FZE73" s="421" t="n"/>
      <c r="FZF73" s="421" t="n"/>
      <c r="FZG73" s="421" t="n"/>
      <c r="FZH73" s="421" t="n"/>
      <c r="FZI73" s="421" t="n"/>
      <c r="FZJ73" s="421" t="n"/>
      <c r="FZK73" s="421" t="n"/>
      <c r="FZL73" s="421" t="n"/>
      <c r="FZM73" s="421" t="n"/>
      <c r="FZN73" s="421" t="n"/>
      <c r="FZO73" s="421" t="n"/>
      <c r="FZP73" s="421" t="n"/>
      <c r="FZQ73" s="421" t="n"/>
      <c r="FZR73" s="421" t="n"/>
      <c r="FZS73" s="421" t="n"/>
      <c r="FZT73" s="421" t="n"/>
      <c r="FZU73" s="421" t="n"/>
      <c r="FZV73" s="421" t="n"/>
      <c r="FZW73" s="421" t="n"/>
      <c r="FZX73" s="421" t="n"/>
      <c r="FZY73" s="421" t="n"/>
      <c r="FZZ73" s="421" t="n"/>
      <c r="GAA73" s="421" t="n"/>
      <c r="GAB73" s="421" t="n"/>
      <c r="GAC73" s="421" t="n"/>
      <c r="GAD73" s="421" t="n"/>
      <c r="GAE73" s="421" t="n"/>
      <c r="GAF73" s="421" t="n"/>
      <c r="GAG73" s="421" t="n"/>
      <c r="GAH73" s="421" t="n"/>
      <c r="GAI73" s="421" t="n"/>
      <c r="GAJ73" s="421" t="n"/>
      <c r="GAK73" s="421" t="n"/>
      <c r="GAL73" s="421" t="n"/>
      <c r="GAM73" s="421" t="n"/>
      <c r="GAN73" s="421" t="n"/>
      <c r="GAO73" s="421" t="n"/>
      <c r="GAP73" s="421" t="n"/>
      <c r="GAQ73" s="421" t="n"/>
      <c r="GAR73" s="421" t="n"/>
      <c r="GAS73" s="421" t="n"/>
      <c r="GAT73" s="421" t="n"/>
      <c r="GAU73" s="421" t="n"/>
      <c r="GAV73" s="421" t="n"/>
      <c r="GAW73" s="421" t="n"/>
      <c r="GAX73" s="421" t="n"/>
      <c r="GAY73" s="421" t="n"/>
      <c r="GAZ73" s="421" t="n"/>
      <c r="GBA73" s="421" t="n"/>
      <c r="GBB73" s="421" t="n"/>
      <c r="GBC73" s="421" t="n"/>
      <c r="GBD73" s="421" t="n"/>
      <c r="GBE73" s="421" t="n"/>
      <c r="GBF73" s="421" t="n"/>
      <c r="GBG73" s="421" t="n"/>
      <c r="GBH73" s="421" t="n"/>
      <c r="GBI73" s="421" t="n"/>
      <c r="GBJ73" s="421" t="n"/>
      <c r="GBK73" s="421" t="n"/>
      <c r="GBL73" s="421" t="n"/>
      <c r="GBM73" s="421" t="n"/>
      <c r="GBN73" s="421" t="n"/>
      <c r="GBO73" s="421" t="n"/>
      <c r="GBP73" s="421" t="n"/>
      <c r="GBQ73" s="421" t="n"/>
      <c r="GBR73" s="421" t="n"/>
      <c r="GBS73" s="421" t="n"/>
      <c r="GBT73" s="421" t="n"/>
      <c r="GBU73" s="421" t="n"/>
      <c r="GBV73" s="421" t="n"/>
      <c r="GBW73" s="421" t="n"/>
      <c r="GBX73" s="421" t="n"/>
      <c r="GBY73" s="421" t="n"/>
      <c r="GBZ73" s="421" t="n"/>
      <c r="GCA73" s="421" t="n"/>
      <c r="GCB73" s="421" t="n"/>
      <c r="GCC73" s="421" t="n"/>
      <c r="GCD73" s="421" t="n"/>
      <c r="GCE73" s="421" t="n"/>
      <c r="GCF73" s="421" t="n"/>
      <c r="GCG73" s="421" t="n"/>
      <c r="GCH73" s="421" t="n"/>
      <c r="GCI73" s="421" t="n"/>
      <c r="GCJ73" s="421" t="n"/>
      <c r="GCK73" s="421" t="n"/>
      <c r="GCL73" s="421" t="n"/>
      <c r="GCM73" s="421" t="n"/>
      <c r="GCN73" s="421" t="n"/>
      <c r="GCO73" s="421" t="n"/>
      <c r="GCP73" s="421" t="n"/>
      <c r="GCQ73" s="421" t="n"/>
      <c r="GCR73" s="421" t="n"/>
      <c r="GCS73" s="421" t="n"/>
      <c r="GCT73" s="421" t="n"/>
      <c r="GCU73" s="421" t="n"/>
      <c r="GCV73" s="421" t="n"/>
      <c r="GCW73" s="421" t="n"/>
      <c r="GCX73" s="421" t="n"/>
      <c r="GCY73" s="421" t="n"/>
      <c r="GCZ73" s="421" t="n"/>
      <c r="GDA73" s="421" t="n"/>
      <c r="GDB73" s="421" t="n"/>
      <c r="GDC73" s="421" t="n"/>
      <c r="GDD73" s="421" t="n"/>
      <c r="GDE73" s="421" t="n"/>
      <c r="GDF73" s="421" t="n"/>
      <c r="GDG73" s="421" t="n"/>
      <c r="GDH73" s="421" t="n"/>
      <c r="GDI73" s="421" t="n"/>
      <c r="GDJ73" s="421" t="n"/>
      <c r="GDK73" s="421" t="n"/>
      <c r="GDL73" s="421" t="n"/>
      <c r="GDM73" s="421" t="n"/>
      <c r="GDN73" s="421" t="n"/>
      <c r="GDO73" s="421" t="n"/>
      <c r="GDP73" s="421" t="n"/>
      <c r="GDQ73" s="421" t="n"/>
      <c r="GDR73" s="421" t="n"/>
      <c r="GDS73" s="421" t="n"/>
      <c r="GDT73" s="421" t="n"/>
      <c r="GDU73" s="421" t="n"/>
      <c r="GDV73" s="421" t="n"/>
      <c r="GDW73" s="421" t="n"/>
      <c r="GDX73" s="421" t="n"/>
      <c r="GDY73" s="421" t="n"/>
      <c r="GDZ73" s="421" t="n"/>
      <c r="GEA73" s="421" t="n"/>
      <c r="GEB73" s="421" t="n"/>
      <c r="GEC73" s="421" t="n"/>
      <c r="GED73" s="421" t="n"/>
      <c r="GEE73" s="421" t="n"/>
      <c r="GEF73" s="421" t="n"/>
      <c r="GEG73" s="421" t="n"/>
      <c r="GEH73" s="421" t="n"/>
      <c r="GEI73" s="421" t="n"/>
      <c r="GEJ73" s="421" t="n"/>
      <c r="GEK73" s="421" t="n"/>
      <c r="GEL73" s="421" t="n"/>
      <c r="GEM73" s="421" t="n"/>
      <c r="GEN73" s="421" t="n"/>
      <c r="GEO73" s="421" t="n"/>
      <c r="GEP73" s="421" t="n"/>
      <c r="GEQ73" s="421" t="n"/>
      <c r="GER73" s="421" t="n"/>
      <c r="GES73" s="421" t="n"/>
      <c r="GET73" s="421" t="n"/>
      <c r="GEU73" s="421" t="n"/>
      <c r="GEV73" s="421" t="n"/>
      <c r="GEW73" s="421" t="n"/>
      <c r="GEX73" s="421" t="n"/>
      <c r="GEY73" s="421" t="n"/>
      <c r="GEZ73" s="421" t="n"/>
      <c r="GFA73" s="421" t="n"/>
      <c r="GFB73" s="421" t="n"/>
      <c r="GFC73" s="421" t="n"/>
      <c r="GFD73" s="421" t="n"/>
      <c r="GFE73" s="421" t="n"/>
      <c r="GFF73" s="421" t="n"/>
      <c r="GFG73" s="421" t="n"/>
      <c r="GFH73" s="421" t="n"/>
      <c r="GFI73" s="421" t="n"/>
      <c r="GFJ73" s="421" t="n"/>
      <c r="GFK73" s="421" t="n"/>
      <c r="GFL73" s="421" t="n"/>
      <c r="GFM73" s="421" t="n"/>
      <c r="GFN73" s="421" t="n"/>
      <c r="GFO73" s="421" t="n"/>
      <c r="GFP73" s="421" t="n"/>
      <c r="GFQ73" s="421" t="n"/>
      <c r="GFR73" s="421" t="n"/>
      <c r="GFS73" s="421" t="n"/>
      <c r="GFT73" s="421" t="n"/>
      <c r="GFU73" s="421" t="n"/>
      <c r="GFV73" s="421" t="n"/>
      <c r="GFW73" s="421" t="n"/>
      <c r="GFX73" s="421" t="n"/>
      <c r="GFY73" s="421" t="n"/>
      <c r="GFZ73" s="421" t="n"/>
      <c r="GGA73" s="421" t="n"/>
      <c r="GGB73" s="421" t="n"/>
      <c r="GGC73" s="421" t="n"/>
      <c r="GGD73" s="421" t="n"/>
      <c r="GGE73" s="421" t="n"/>
      <c r="GGF73" s="421" t="n"/>
      <c r="GGG73" s="421" t="n"/>
      <c r="GGH73" s="421" t="n"/>
      <c r="GGI73" s="421" t="n"/>
      <c r="GGJ73" s="421" t="n"/>
      <c r="GGK73" s="421" t="n"/>
      <c r="GGL73" s="421" t="n"/>
      <c r="GGM73" s="421" t="n"/>
      <c r="GGN73" s="421" t="n"/>
      <c r="GGO73" s="421" t="n"/>
      <c r="GGP73" s="421" t="n"/>
      <c r="GGQ73" s="421" t="n"/>
      <c r="GGR73" s="421" t="n"/>
      <c r="GGS73" s="421" t="n"/>
      <c r="GGT73" s="421" t="n"/>
      <c r="GGU73" s="421" t="n"/>
      <c r="GGV73" s="421" t="n"/>
      <c r="GGW73" s="421" t="n"/>
      <c r="GGX73" s="421" t="n"/>
      <c r="GGY73" s="421" t="n"/>
      <c r="GGZ73" s="421" t="n"/>
      <c r="GHA73" s="421" t="n"/>
      <c r="GHB73" s="421" t="n"/>
      <c r="GHC73" s="421" t="n"/>
      <c r="GHD73" s="421" t="n"/>
      <c r="GHE73" s="421" t="n"/>
      <c r="GHF73" s="421" t="n"/>
      <c r="GHG73" s="421" t="n"/>
      <c r="GHH73" s="421" t="n"/>
      <c r="GHI73" s="421" t="n"/>
      <c r="GHJ73" s="421" t="n"/>
      <c r="GHK73" s="421" t="n"/>
      <c r="GHL73" s="421" t="n"/>
      <c r="GHM73" s="421" t="n"/>
      <c r="GHN73" s="421" t="n"/>
      <c r="GHO73" s="421" t="n"/>
      <c r="GHP73" s="421" t="n"/>
      <c r="GHQ73" s="421" t="n"/>
      <c r="GHR73" s="421" t="n"/>
      <c r="GHS73" s="421" t="n"/>
      <c r="GHT73" s="421" t="n"/>
      <c r="GHU73" s="421" t="n"/>
      <c r="GHV73" s="421" t="n"/>
      <c r="GHW73" s="421" t="n"/>
      <c r="GHX73" s="421" t="n"/>
      <c r="GHY73" s="421" t="n"/>
      <c r="GHZ73" s="421" t="n"/>
      <c r="GIA73" s="421" t="n"/>
      <c r="GIB73" s="421" t="n"/>
      <c r="GIC73" s="421" t="n"/>
      <c r="GID73" s="421" t="n"/>
      <c r="GIE73" s="421" t="n"/>
      <c r="GIF73" s="421" t="n"/>
      <c r="GIG73" s="421" t="n"/>
      <c r="GIH73" s="421" t="n"/>
      <c r="GII73" s="421" t="n"/>
      <c r="GIJ73" s="421" t="n"/>
      <c r="GIK73" s="421" t="n"/>
      <c r="GIL73" s="421" t="n"/>
      <c r="GIM73" s="421" t="n"/>
      <c r="GIN73" s="421" t="n"/>
      <c r="GIO73" s="421" t="n"/>
      <c r="GIP73" s="421" t="n"/>
      <c r="GIQ73" s="421" t="n"/>
      <c r="GIR73" s="421" t="n"/>
      <c r="GIS73" s="421" t="n"/>
      <c r="GIT73" s="421" t="n"/>
      <c r="GIU73" s="421" t="n"/>
      <c r="GIV73" s="421" t="n"/>
      <c r="GIW73" s="421" t="n"/>
      <c r="GIX73" s="421" t="n"/>
      <c r="GIY73" s="421" t="n"/>
      <c r="GIZ73" s="421" t="n"/>
      <c r="GJA73" s="421" t="n"/>
      <c r="GJB73" s="421" t="n"/>
      <c r="GJC73" s="421" t="n"/>
      <c r="GJD73" s="421" t="n"/>
      <c r="GJE73" s="421" t="n"/>
      <c r="GJF73" s="421" t="n"/>
      <c r="GJG73" s="421" t="n"/>
      <c r="GJH73" s="421" t="n"/>
      <c r="GJI73" s="421" t="n"/>
      <c r="GJJ73" s="421" t="n"/>
      <c r="GJK73" s="421" t="n"/>
      <c r="GJL73" s="421" t="n"/>
      <c r="GJM73" s="421" t="n"/>
      <c r="GJN73" s="421" t="n"/>
      <c r="GJO73" s="421" t="n"/>
      <c r="GJP73" s="421" t="n"/>
      <c r="GJQ73" s="421" t="n"/>
      <c r="GJR73" s="421" t="n"/>
      <c r="GJS73" s="421" t="n"/>
      <c r="GJT73" s="421" t="n"/>
      <c r="GJU73" s="421" t="n"/>
      <c r="GJV73" s="421" t="n"/>
      <c r="GJW73" s="421" t="n"/>
      <c r="GJX73" s="421" t="n"/>
      <c r="GJY73" s="421" t="n"/>
      <c r="GJZ73" s="421" t="n"/>
      <c r="GKA73" s="421" t="n"/>
      <c r="GKB73" s="421" t="n"/>
      <c r="GKC73" s="421" t="n"/>
      <c r="GKD73" s="421" t="n"/>
      <c r="GKE73" s="421" t="n"/>
      <c r="GKF73" s="421" t="n"/>
      <c r="GKG73" s="421" t="n"/>
      <c r="GKH73" s="421" t="n"/>
      <c r="GKI73" s="421" t="n"/>
      <c r="GKJ73" s="421" t="n"/>
      <c r="GKK73" s="421" t="n"/>
      <c r="GKL73" s="421" t="n"/>
      <c r="GKM73" s="421" t="n"/>
      <c r="GKN73" s="421" t="n"/>
      <c r="GKO73" s="421" t="n"/>
      <c r="GKP73" s="421" t="n"/>
      <c r="GKQ73" s="421" t="n"/>
      <c r="GKR73" s="421" t="n"/>
      <c r="GKS73" s="421" t="n"/>
      <c r="GKT73" s="421" t="n"/>
      <c r="GKU73" s="421" t="n"/>
      <c r="GKV73" s="421" t="n"/>
      <c r="GKW73" s="421" t="n"/>
      <c r="GKX73" s="421" t="n"/>
      <c r="GKY73" s="421" t="n"/>
      <c r="GKZ73" s="421" t="n"/>
      <c r="GLA73" s="421" t="n"/>
      <c r="GLB73" s="421" t="n"/>
      <c r="GLC73" s="421" t="n"/>
      <c r="GLD73" s="421" t="n"/>
      <c r="GLE73" s="421" t="n"/>
      <c r="GLF73" s="421" t="n"/>
      <c r="GLG73" s="421" t="n"/>
      <c r="GLH73" s="421" t="n"/>
      <c r="GLI73" s="421" t="n"/>
      <c r="GLJ73" s="421" t="n"/>
      <c r="GLK73" s="421" t="n"/>
      <c r="GLL73" s="421" t="n"/>
      <c r="GLM73" s="421" t="n"/>
      <c r="GLN73" s="421" t="n"/>
      <c r="GLO73" s="421" t="n"/>
      <c r="GLP73" s="421" t="n"/>
      <c r="GLQ73" s="421" t="n"/>
      <c r="GLR73" s="421" t="n"/>
      <c r="GLS73" s="421" t="n"/>
      <c r="GLT73" s="421" t="n"/>
      <c r="GLU73" s="421" t="n"/>
      <c r="GLV73" s="421" t="n"/>
      <c r="GLW73" s="421" t="n"/>
      <c r="GLX73" s="421" t="n"/>
      <c r="GLY73" s="421" t="n"/>
      <c r="GLZ73" s="421" t="n"/>
      <c r="GMA73" s="421" t="n"/>
      <c r="GMB73" s="421" t="n"/>
      <c r="GMC73" s="421" t="n"/>
      <c r="GMD73" s="421" t="n"/>
      <c r="GME73" s="421" t="n"/>
      <c r="GMF73" s="421" t="n"/>
      <c r="GMG73" s="421" t="n"/>
      <c r="GMH73" s="421" t="n"/>
      <c r="GMI73" s="421" t="n"/>
      <c r="GMJ73" s="421" t="n"/>
      <c r="GMK73" s="421" t="n"/>
      <c r="GML73" s="421" t="n"/>
      <c r="GMM73" s="421" t="n"/>
      <c r="GMN73" s="421" t="n"/>
      <c r="GMO73" s="421" t="n"/>
      <c r="GMP73" s="421" t="n"/>
      <c r="GMQ73" s="421" t="n"/>
      <c r="GMR73" s="421" t="n"/>
      <c r="GMS73" s="421" t="n"/>
      <c r="GMT73" s="421" t="n"/>
      <c r="GMU73" s="421" t="n"/>
      <c r="GMV73" s="421" t="n"/>
      <c r="GMW73" s="421" t="n"/>
      <c r="GMX73" s="421" t="n"/>
      <c r="GMY73" s="421" t="n"/>
      <c r="GMZ73" s="421" t="n"/>
      <c r="GNA73" s="421" t="n"/>
      <c r="GNB73" s="421" t="n"/>
      <c r="GNC73" s="421" t="n"/>
      <c r="GND73" s="421" t="n"/>
      <c r="GNE73" s="421" t="n"/>
      <c r="GNF73" s="421" t="n"/>
      <c r="GNG73" s="421" t="n"/>
      <c r="GNH73" s="421" t="n"/>
      <c r="GNI73" s="421" t="n"/>
      <c r="GNJ73" s="421" t="n"/>
      <c r="GNK73" s="421" t="n"/>
      <c r="GNL73" s="421" t="n"/>
      <c r="GNM73" s="421" t="n"/>
      <c r="GNN73" s="421" t="n"/>
      <c r="GNO73" s="421" t="n"/>
      <c r="GNP73" s="421" t="n"/>
      <c r="GNQ73" s="421" t="n"/>
      <c r="GNR73" s="421" t="n"/>
      <c r="GNS73" s="421" t="n"/>
      <c r="GNT73" s="421" t="n"/>
      <c r="GNU73" s="421" t="n"/>
      <c r="GNV73" s="421" t="n"/>
      <c r="GNW73" s="421" t="n"/>
      <c r="GNX73" s="421" t="n"/>
      <c r="GNY73" s="421" t="n"/>
      <c r="GNZ73" s="421" t="n"/>
      <c r="GOA73" s="421" t="n"/>
      <c r="GOB73" s="421" t="n"/>
      <c r="GOC73" s="421" t="n"/>
      <c r="GOD73" s="421" t="n"/>
      <c r="GOE73" s="421" t="n"/>
      <c r="GOF73" s="421" t="n"/>
      <c r="GOG73" s="421" t="n"/>
      <c r="GOH73" s="421" t="n"/>
      <c r="GOI73" s="421" t="n"/>
      <c r="GOJ73" s="421" t="n"/>
      <c r="GOK73" s="421" t="n"/>
      <c r="GOL73" s="421" t="n"/>
      <c r="GOM73" s="421" t="n"/>
      <c r="GON73" s="421" t="n"/>
      <c r="GOO73" s="421" t="n"/>
      <c r="GOP73" s="421" t="n"/>
      <c r="GOQ73" s="421" t="n"/>
      <c r="GOR73" s="421" t="n"/>
      <c r="GOS73" s="421" t="n"/>
      <c r="GOT73" s="421" t="n"/>
      <c r="GOU73" s="421" t="n"/>
      <c r="GOV73" s="421" t="n"/>
      <c r="GOW73" s="421" t="n"/>
      <c r="GOX73" s="421" t="n"/>
      <c r="GOY73" s="421" t="n"/>
      <c r="GOZ73" s="421" t="n"/>
      <c r="GPA73" s="421" t="n"/>
      <c r="GPB73" s="421" t="n"/>
      <c r="GPC73" s="421" t="n"/>
      <c r="GPD73" s="421" t="n"/>
      <c r="GPE73" s="421" t="n"/>
      <c r="GPF73" s="421" t="n"/>
      <c r="GPG73" s="421" t="n"/>
      <c r="GPH73" s="421" t="n"/>
      <c r="GPI73" s="421" t="n"/>
      <c r="GPJ73" s="421" t="n"/>
      <c r="GPK73" s="421" t="n"/>
      <c r="GPL73" s="421" t="n"/>
      <c r="GPM73" s="421" t="n"/>
      <c r="GPN73" s="421" t="n"/>
      <c r="GPO73" s="421" t="n"/>
      <c r="GPP73" s="421" t="n"/>
      <c r="GPQ73" s="421" t="n"/>
      <c r="GPR73" s="421" t="n"/>
      <c r="GPS73" s="421" t="n"/>
      <c r="GPT73" s="421" t="n"/>
      <c r="GPU73" s="421" t="n"/>
      <c r="GPV73" s="421" t="n"/>
      <c r="GPW73" s="421" t="n"/>
      <c r="GPX73" s="421" t="n"/>
      <c r="GPY73" s="421" t="n"/>
      <c r="GPZ73" s="421" t="n"/>
      <c r="GQA73" s="421" t="n"/>
      <c r="GQB73" s="421" t="n"/>
      <c r="GQC73" s="421" t="n"/>
      <c r="GQD73" s="421" t="n"/>
      <c r="GQE73" s="421" t="n"/>
      <c r="GQF73" s="421" t="n"/>
      <c r="GQG73" s="421" t="n"/>
      <c r="GQH73" s="421" t="n"/>
      <c r="GQI73" s="421" t="n"/>
      <c r="GQJ73" s="421" t="n"/>
      <c r="GQK73" s="421" t="n"/>
      <c r="GQL73" s="421" t="n"/>
      <c r="GQM73" s="421" t="n"/>
      <c r="GQN73" s="421" t="n"/>
      <c r="GQO73" s="421" t="n"/>
      <c r="GQP73" s="421" t="n"/>
      <c r="GQQ73" s="421" t="n"/>
      <c r="GQR73" s="421" t="n"/>
      <c r="GQS73" s="421" t="n"/>
      <c r="GQT73" s="421" t="n"/>
      <c r="GQU73" s="421" t="n"/>
      <c r="GQV73" s="421" t="n"/>
      <c r="GQW73" s="421" t="n"/>
      <c r="GQX73" s="421" t="n"/>
      <c r="GQY73" s="421" t="n"/>
      <c r="GQZ73" s="421" t="n"/>
      <c r="GRA73" s="421" t="n"/>
      <c r="GRB73" s="421" t="n"/>
      <c r="GRC73" s="421" t="n"/>
      <c r="GRD73" s="421" t="n"/>
      <c r="GRE73" s="421" t="n"/>
      <c r="GRF73" s="421" t="n"/>
      <c r="GRG73" s="421" t="n"/>
      <c r="GRH73" s="421" t="n"/>
      <c r="GRI73" s="421" t="n"/>
      <c r="GRJ73" s="421" t="n"/>
      <c r="GRK73" s="421" t="n"/>
      <c r="GRL73" s="421" t="n"/>
      <c r="GRM73" s="421" t="n"/>
      <c r="GRN73" s="421" t="n"/>
      <c r="GRO73" s="421" t="n"/>
      <c r="GRP73" s="421" t="n"/>
      <c r="GRQ73" s="421" t="n"/>
      <c r="GRR73" s="421" t="n"/>
      <c r="GRS73" s="421" t="n"/>
      <c r="GRT73" s="421" t="n"/>
      <c r="GRU73" s="421" t="n"/>
      <c r="GRV73" s="421" t="n"/>
      <c r="GRW73" s="421" t="n"/>
      <c r="GRX73" s="421" t="n"/>
      <c r="GRY73" s="421" t="n"/>
      <c r="GRZ73" s="421" t="n"/>
      <c r="GSA73" s="421" t="n"/>
      <c r="GSB73" s="421" t="n"/>
      <c r="GSC73" s="421" t="n"/>
      <c r="GSD73" s="421" t="n"/>
      <c r="GSE73" s="421" t="n"/>
      <c r="GSF73" s="421" t="n"/>
      <c r="GSG73" s="421" t="n"/>
      <c r="GSH73" s="421" t="n"/>
      <c r="GSI73" s="421" t="n"/>
      <c r="GSJ73" s="421" t="n"/>
      <c r="GSK73" s="421" t="n"/>
      <c r="GSL73" s="421" t="n"/>
      <c r="GSM73" s="421" t="n"/>
      <c r="GSN73" s="421" t="n"/>
      <c r="GSO73" s="421" t="n"/>
      <c r="GSP73" s="421" t="n"/>
      <c r="GSQ73" s="421" t="n"/>
      <c r="GSR73" s="421" t="n"/>
      <c r="GSS73" s="421" t="n"/>
      <c r="GST73" s="421" t="n"/>
      <c r="GSU73" s="421" t="n"/>
      <c r="GSV73" s="421" t="n"/>
      <c r="GSW73" s="421" t="n"/>
      <c r="GSX73" s="421" t="n"/>
      <c r="GSY73" s="421" t="n"/>
      <c r="GSZ73" s="421" t="n"/>
      <c r="GTA73" s="421" t="n"/>
      <c r="GTB73" s="421" t="n"/>
      <c r="GTC73" s="421" t="n"/>
      <c r="GTD73" s="421" t="n"/>
      <c r="GTE73" s="421" t="n"/>
      <c r="GTF73" s="421" t="n"/>
      <c r="GTG73" s="421" t="n"/>
      <c r="GTH73" s="421" t="n"/>
      <c r="GTI73" s="421" t="n"/>
      <c r="GTJ73" s="421" t="n"/>
      <c r="GTK73" s="421" t="n"/>
      <c r="GTL73" s="421" t="n"/>
      <c r="GTM73" s="421" t="n"/>
      <c r="GTN73" s="421" t="n"/>
      <c r="GTO73" s="421" t="n"/>
      <c r="GTP73" s="421" t="n"/>
      <c r="GTQ73" s="421" t="n"/>
      <c r="GTR73" s="421" t="n"/>
      <c r="GTS73" s="421" t="n"/>
      <c r="GTT73" s="421" t="n"/>
      <c r="GTU73" s="421" t="n"/>
      <c r="GTV73" s="421" t="n"/>
      <c r="GTW73" s="421" t="n"/>
      <c r="GTX73" s="421" t="n"/>
      <c r="GTY73" s="421" t="n"/>
      <c r="GTZ73" s="421" t="n"/>
      <c r="GUA73" s="421" t="n"/>
      <c r="GUB73" s="421" t="n"/>
      <c r="GUC73" s="421" t="n"/>
      <c r="GUD73" s="421" t="n"/>
      <c r="GUE73" s="421" t="n"/>
      <c r="GUF73" s="421" t="n"/>
      <c r="GUG73" s="421" t="n"/>
      <c r="GUH73" s="421" t="n"/>
      <c r="GUI73" s="421" t="n"/>
      <c r="GUJ73" s="421" t="n"/>
      <c r="GUK73" s="421" t="n"/>
      <c r="GUL73" s="421" t="n"/>
      <c r="GUM73" s="421" t="n"/>
      <c r="GUN73" s="421" t="n"/>
      <c r="GUO73" s="421" t="n"/>
      <c r="GUP73" s="421" t="n"/>
      <c r="GUQ73" s="421" t="n"/>
      <c r="GUR73" s="421" t="n"/>
      <c r="GUS73" s="421" t="n"/>
      <c r="GUT73" s="421" t="n"/>
      <c r="GUU73" s="421" t="n"/>
      <c r="GUV73" s="421" t="n"/>
      <c r="GUW73" s="421" t="n"/>
      <c r="GUX73" s="421" t="n"/>
      <c r="GUY73" s="421" t="n"/>
      <c r="GUZ73" s="421" t="n"/>
      <c r="GVA73" s="421" t="n"/>
      <c r="GVB73" s="421" t="n"/>
      <c r="GVC73" s="421" t="n"/>
      <c r="GVD73" s="421" t="n"/>
      <c r="GVE73" s="421" t="n"/>
      <c r="GVF73" s="421" t="n"/>
      <c r="GVG73" s="421" t="n"/>
      <c r="GVH73" s="421" t="n"/>
      <c r="GVI73" s="421" t="n"/>
      <c r="GVJ73" s="421" t="n"/>
      <c r="GVK73" s="421" t="n"/>
      <c r="GVL73" s="421" t="n"/>
      <c r="GVM73" s="421" t="n"/>
      <c r="GVN73" s="421" t="n"/>
      <c r="GVO73" s="421" t="n"/>
      <c r="GVP73" s="421" t="n"/>
      <c r="GVQ73" s="421" t="n"/>
      <c r="GVR73" s="421" t="n"/>
      <c r="GVS73" s="421" t="n"/>
      <c r="GVT73" s="421" t="n"/>
      <c r="GVU73" s="421" t="n"/>
      <c r="GVV73" s="421" t="n"/>
      <c r="GVW73" s="421" t="n"/>
      <c r="GVX73" s="421" t="n"/>
      <c r="GVY73" s="421" t="n"/>
      <c r="GVZ73" s="421" t="n"/>
      <c r="GWA73" s="421" t="n"/>
      <c r="GWB73" s="421" t="n"/>
      <c r="GWC73" s="421" t="n"/>
      <c r="GWD73" s="421" t="n"/>
      <c r="GWE73" s="421" t="n"/>
      <c r="GWF73" s="421" t="n"/>
      <c r="GWG73" s="421" t="n"/>
      <c r="GWH73" s="421" t="n"/>
      <c r="GWI73" s="421" t="n"/>
      <c r="GWJ73" s="421" t="n"/>
      <c r="GWK73" s="421" t="n"/>
      <c r="GWL73" s="421" t="n"/>
      <c r="GWM73" s="421" t="n"/>
      <c r="GWN73" s="421" t="n"/>
      <c r="GWO73" s="421" t="n"/>
      <c r="GWP73" s="421" t="n"/>
      <c r="GWQ73" s="421" t="n"/>
      <c r="GWR73" s="421" t="n"/>
      <c r="GWS73" s="421" t="n"/>
      <c r="GWT73" s="421" t="n"/>
      <c r="GWU73" s="421" t="n"/>
      <c r="GWV73" s="421" t="n"/>
      <c r="GWW73" s="421" t="n"/>
      <c r="GWX73" s="421" t="n"/>
      <c r="GWY73" s="421" t="n"/>
      <c r="GWZ73" s="421" t="n"/>
      <c r="GXA73" s="421" t="n"/>
      <c r="GXB73" s="421" t="n"/>
      <c r="GXC73" s="421" t="n"/>
      <c r="GXD73" s="421" t="n"/>
      <c r="GXE73" s="421" t="n"/>
      <c r="GXF73" s="421" t="n"/>
      <c r="GXG73" s="421" t="n"/>
      <c r="GXH73" s="421" t="n"/>
      <c r="GXI73" s="421" t="n"/>
      <c r="GXJ73" s="421" t="n"/>
      <c r="GXK73" s="421" t="n"/>
      <c r="GXL73" s="421" t="n"/>
      <c r="GXM73" s="421" t="n"/>
      <c r="GXN73" s="421" t="n"/>
      <c r="GXO73" s="421" t="n"/>
      <c r="GXP73" s="421" t="n"/>
      <c r="GXQ73" s="421" t="n"/>
      <c r="GXR73" s="421" t="n"/>
      <c r="GXS73" s="421" t="n"/>
      <c r="GXT73" s="421" t="n"/>
      <c r="GXU73" s="421" t="n"/>
      <c r="GXV73" s="421" t="n"/>
      <c r="GXW73" s="421" t="n"/>
      <c r="GXX73" s="421" t="n"/>
      <c r="GXY73" s="421" t="n"/>
      <c r="GXZ73" s="421" t="n"/>
      <c r="GYA73" s="421" t="n"/>
      <c r="GYB73" s="421" t="n"/>
      <c r="GYC73" s="421" t="n"/>
      <c r="GYD73" s="421" t="n"/>
      <c r="GYE73" s="421" t="n"/>
      <c r="GYF73" s="421" t="n"/>
      <c r="GYG73" s="421" t="n"/>
      <c r="GYH73" s="421" t="n"/>
      <c r="GYI73" s="421" t="n"/>
      <c r="GYJ73" s="421" t="n"/>
      <c r="GYK73" s="421" t="n"/>
      <c r="GYL73" s="421" t="n"/>
      <c r="GYM73" s="421" t="n"/>
      <c r="GYN73" s="421" t="n"/>
      <c r="GYO73" s="421" t="n"/>
      <c r="GYP73" s="421" t="n"/>
      <c r="GYQ73" s="421" t="n"/>
      <c r="GYR73" s="421" t="n"/>
      <c r="GYS73" s="421" t="n"/>
      <c r="GYT73" s="421" t="n"/>
      <c r="GYU73" s="421" t="n"/>
      <c r="GYV73" s="421" t="n"/>
      <c r="GYW73" s="421" t="n"/>
      <c r="GYX73" s="421" t="n"/>
      <c r="GYY73" s="421" t="n"/>
      <c r="GYZ73" s="421" t="n"/>
      <c r="GZA73" s="421" t="n"/>
      <c r="GZB73" s="421" t="n"/>
      <c r="GZC73" s="421" t="n"/>
      <c r="GZD73" s="421" t="n"/>
      <c r="GZE73" s="421" t="n"/>
      <c r="GZF73" s="421" t="n"/>
      <c r="GZG73" s="421" t="n"/>
      <c r="GZH73" s="421" t="n"/>
      <c r="GZI73" s="421" t="n"/>
      <c r="GZJ73" s="421" t="n"/>
      <c r="GZK73" s="421" t="n"/>
      <c r="GZL73" s="421" t="n"/>
      <c r="GZM73" s="421" t="n"/>
      <c r="GZN73" s="421" t="n"/>
      <c r="GZO73" s="421" t="n"/>
      <c r="GZP73" s="421" t="n"/>
      <c r="GZQ73" s="421" t="n"/>
      <c r="GZR73" s="421" t="n"/>
      <c r="GZS73" s="421" t="n"/>
      <c r="GZT73" s="421" t="n"/>
      <c r="GZU73" s="421" t="n"/>
      <c r="GZV73" s="421" t="n"/>
      <c r="GZW73" s="421" t="n"/>
      <c r="GZX73" s="421" t="n"/>
      <c r="GZY73" s="421" t="n"/>
      <c r="GZZ73" s="421" t="n"/>
      <c r="HAA73" s="421" t="n"/>
      <c r="HAB73" s="421" t="n"/>
      <c r="HAC73" s="421" t="n"/>
      <c r="HAD73" s="421" t="n"/>
      <c r="HAE73" s="421" t="n"/>
      <c r="HAF73" s="421" t="n"/>
      <c r="HAG73" s="421" t="n"/>
      <c r="HAH73" s="421" t="n"/>
      <c r="HAI73" s="421" t="n"/>
      <c r="HAJ73" s="421" t="n"/>
      <c r="HAK73" s="421" t="n"/>
      <c r="HAL73" s="421" t="n"/>
      <c r="HAM73" s="421" t="n"/>
      <c r="HAN73" s="421" t="n"/>
      <c r="HAO73" s="421" t="n"/>
      <c r="HAP73" s="421" t="n"/>
      <c r="HAQ73" s="421" t="n"/>
      <c r="HAR73" s="421" t="n"/>
      <c r="HAS73" s="421" t="n"/>
      <c r="HAT73" s="421" t="n"/>
      <c r="HAU73" s="421" t="n"/>
      <c r="HAV73" s="421" t="n"/>
      <c r="HAW73" s="421" t="n"/>
      <c r="HAX73" s="421" t="n"/>
      <c r="HAY73" s="421" t="n"/>
      <c r="HAZ73" s="421" t="n"/>
      <c r="HBA73" s="421" t="n"/>
      <c r="HBB73" s="421" t="n"/>
      <c r="HBC73" s="421" t="n"/>
      <c r="HBD73" s="421" t="n"/>
      <c r="HBE73" s="421" t="n"/>
      <c r="HBF73" s="421" t="n"/>
      <c r="HBG73" s="421" t="n"/>
      <c r="HBH73" s="421" t="n"/>
      <c r="HBI73" s="421" t="n"/>
      <c r="HBJ73" s="421" t="n"/>
      <c r="HBK73" s="421" t="n"/>
      <c r="HBL73" s="421" t="n"/>
      <c r="HBM73" s="421" t="n"/>
      <c r="HBN73" s="421" t="n"/>
      <c r="HBO73" s="421" t="n"/>
      <c r="HBP73" s="421" t="n"/>
      <c r="HBQ73" s="421" t="n"/>
      <c r="HBR73" s="421" t="n"/>
      <c r="HBS73" s="421" t="n"/>
      <c r="HBT73" s="421" t="n"/>
      <c r="HBU73" s="421" t="n"/>
      <c r="HBV73" s="421" t="n"/>
      <c r="HBW73" s="421" t="n"/>
      <c r="HBX73" s="421" t="n"/>
      <c r="HBY73" s="421" t="n"/>
      <c r="HBZ73" s="421" t="n"/>
      <c r="HCA73" s="421" t="n"/>
      <c r="HCB73" s="421" t="n"/>
      <c r="HCC73" s="421" t="n"/>
      <c r="HCD73" s="421" t="n"/>
      <c r="HCE73" s="421" t="n"/>
      <c r="HCF73" s="421" t="n"/>
      <c r="HCG73" s="421" t="n"/>
      <c r="HCH73" s="421" t="n"/>
      <c r="HCI73" s="421" t="n"/>
      <c r="HCJ73" s="421" t="n"/>
      <c r="HCK73" s="421" t="n"/>
      <c r="HCL73" s="421" t="n"/>
      <c r="HCM73" s="421" t="n"/>
      <c r="HCN73" s="421" t="n"/>
      <c r="HCO73" s="421" t="n"/>
      <c r="HCP73" s="421" t="n"/>
      <c r="HCQ73" s="421" t="n"/>
      <c r="HCR73" s="421" t="n"/>
      <c r="HCS73" s="421" t="n"/>
      <c r="HCT73" s="421" t="n"/>
      <c r="HCU73" s="421" t="n"/>
      <c r="HCV73" s="421" t="n"/>
      <c r="HCW73" s="421" t="n"/>
      <c r="HCX73" s="421" t="n"/>
      <c r="HCY73" s="421" t="n"/>
      <c r="HCZ73" s="421" t="n"/>
      <c r="HDA73" s="421" t="n"/>
      <c r="HDB73" s="421" t="n"/>
      <c r="HDC73" s="421" t="n"/>
      <c r="HDD73" s="421" t="n"/>
      <c r="HDE73" s="421" t="n"/>
      <c r="HDF73" s="421" t="n"/>
      <c r="HDG73" s="421" t="n"/>
      <c r="HDH73" s="421" t="n"/>
      <c r="HDI73" s="421" t="n"/>
      <c r="HDJ73" s="421" t="n"/>
      <c r="HDK73" s="421" t="n"/>
      <c r="HDL73" s="421" t="n"/>
      <c r="HDM73" s="421" t="n"/>
      <c r="HDN73" s="421" t="n"/>
      <c r="HDO73" s="421" t="n"/>
      <c r="HDP73" s="421" t="n"/>
      <c r="HDQ73" s="421" t="n"/>
      <c r="HDR73" s="421" t="n"/>
      <c r="HDS73" s="421" t="n"/>
      <c r="HDT73" s="421" t="n"/>
      <c r="HDU73" s="421" t="n"/>
      <c r="HDV73" s="421" t="n"/>
      <c r="HDW73" s="421" t="n"/>
      <c r="HDX73" s="421" t="n"/>
      <c r="HDY73" s="421" t="n"/>
      <c r="HDZ73" s="421" t="n"/>
      <c r="HEA73" s="421" t="n"/>
      <c r="HEB73" s="421" t="n"/>
      <c r="HEC73" s="421" t="n"/>
      <c r="HED73" s="421" t="n"/>
      <c r="HEE73" s="421" t="n"/>
      <c r="HEF73" s="421" t="n"/>
      <c r="HEG73" s="421" t="n"/>
      <c r="HEH73" s="421" t="n"/>
      <c r="HEI73" s="421" t="n"/>
      <c r="HEJ73" s="421" t="n"/>
      <c r="HEK73" s="421" t="n"/>
      <c r="HEL73" s="421" t="n"/>
      <c r="HEM73" s="421" t="n"/>
      <c r="HEN73" s="421" t="n"/>
      <c r="HEO73" s="421" t="n"/>
      <c r="HEP73" s="421" t="n"/>
      <c r="HEQ73" s="421" t="n"/>
      <c r="HER73" s="421" t="n"/>
      <c r="HES73" s="421" t="n"/>
      <c r="HET73" s="421" t="n"/>
      <c r="HEU73" s="421" t="n"/>
      <c r="HEV73" s="421" t="n"/>
      <c r="HEW73" s="421" t="n"/>
      <c r="HEX73" s="421" t="n"/>
      <c r="HEY73" s="421" t="n"/>
      <c r="HEZ73" s="421" t="n"/>
      <c r="HFA73" s="421" t="n"/>
      <c r="HFB73" s="421" t="n"/>
      <c r="HFC73" s="421" t="n"/>
      <c r="HFD73" s="421" t="n"/>
      <c r="HFE73" s="421" t="n"/>
      <c r="HFF73" s="421" t="n"/>
      <c r="HFG73" s="421" t="n"/>
      <c r="HFH73" s="421" t="n"/>
      <c r="HFI73" s="421" t="n"/>
      <c r="HFJ73" s="421" t="n"/>
      <c r="HFK73" s="421" t="n"/>
      <c r="HFL73" s="421" t="n"/>
      <c r="HFM73" s="421" t="n"/>
      <c r="HFN73" s="421" t="n"/>
      <c r="HFO73" s="421" t="n"/>
      <c r="HFP73" s="421" t="n"/>
      <c r="HFQ73" s="421" t="n"/>
      <c r="HFR73" s="421" t="n"/>
      <c r="HFS73" s="421" t="n"/>
      <c r="HFT73" s="421" t="n"/>
      <c r="HFU73" s="421" t="n"/>
      <c r="HFV73" s="421" t="n"/>
      <c r="HFW73" s="421" t="n"/>
      <c r="HFX73" s="421" t="n"/>
      <c r="HFY73" s="421" t="n"/>
      <c r="HFZ73" s="421" t="n"/>
      <c r="HGA73" s="421" t="n"/>
      <c r="HGB73" s="421" t="n"/>
      <c r="HGC73" s="421" t="n"/>
      <c r="HGD73" s="421" t="n"/>
      <c r="HGE73" s="421" t="n"/>
      <c r="HGF73" s="421" t="n"/>
      <c r="HGG73" s="421" t="n"/>
      <c r="HGH73" s="421" t="n"/>
      <c r="HGI73" s="421" t="n"/>
      <c r="HGJ73" s="421" t="n"/>
      <c r="HGK73" s="421" t="n"/>
      <c r="HGL73" s="421" t="n"/>
      <c r="HGM73" s="421" t="n"/>
      <c r="HGN73" s="421" t="n"/>
      <c r="HGO73" s="421" t="n"/>
      <c r="HGP73" s="421" t="n"/>
      <c r="HGQ73" s="421" t="n"/>
      <c r="HGR73" s="421" t="n"/>
      <c r="HGS73" s="421" t="n"/>
      <c r="HGT73" s="421" t="n"/>
      <c r="HGU73" s="421" t="n"/>
      <c r="HGV73" s="421" t="n"/>
      <c r="HGW73" s="421" t="n"/>
      <c r="HGX73" s="421" t="n"/>
      <c r="HGY73" s="421" t="n"/>
      <c r="HGZ73" s="421" t="n"/>
      <c r="HHA73" s="421" t="n"/>
      <c r="HHB73" s="421" t="n"/>
      <c r="HHC73" s="421" t="n"/>
      <c r="HHD73" s="421" t="n"/>
      <c r="HHE73" s="421" t="n"/>
      <c r="HHF73" s="421" t="n"/>
      <c r="HHG73" s="421" t="n"/>
      <c r="HHH73" s="421" t="n"/>
      <c r="HHI73" s="421" t="n"/>
      <c r="HHJ73" s="421" t="n"/>
      <c r="HHK73" s="421" t="n"/>
      <c r="HHL73" s="421" t="n"/>
      <c r="HHM73" s="421" t="n"/>
      <c r="HHN73" s="421" t="n"/>
      <c r="HHO73" s="421" t="n"/>
      <c r="HHP73" s="421" t="n"/>
      <c r="HHQ73" s="421" t="n"/>
      <c r="HHR73" s="421" t="n"/>
      <c r="HHS73" s="421" t="n"/>
      <c r="HHT73" s="421" t="n"/>
      <c r="HHU73" s="421" t="n"/>
      <c r="HHV73" s="421" t="n"/>
      <c r="HHW73" s="421" t="n"/>
      <c r="HHX73" s="421" t="n"/>
      <c r="HHY73" s="421" t="n"/>
      <c r="HHZ73" s="421" t="n"/>
      <c r="HIA73" s="421" t="n"/>
      <c r="HIB73" s="421" t="n"/>
      <c r="HIC73" s="421" t="n"/>
      <c r="HID73" s="421" t="n"/>
      <c r="HIE73" s="421" t="n"/>
      <c r="HIF73" s="421" t="n"/>
      <c r="HIG73" s="421" t="n"/>
      <c r="HIH73" s="421" t="n"/>
      <c r="HII73" s="421" t="n"/>
      <c r="HIJ73" s="421" t="n"/>
      <c r="HIK73" s="421" t="n"/>
      <c r="HIL73" s="421" t="n"/>
      <c r="HIM73" s="421" t="n"/>
      <c r="HIN73" s="421" t="n"/>
      <c r="HIO73" s="421" t="n"/>
      <c r="HIP73" s="421" t="n"/>
      <c r="HIQ73" s="421" t="n"/>
      <c r="HIR73" s="421" t="n"/>
      <c r="HIS73" s="421" t="n"/>
      <c r="HIT73" s="421" t="n"/>
      <c r="HIU73" s="421" t="n"/>
      <c r="HIV73" s="421" t="n"/>
      <c r="HIW73" s="421" t="n"/>
      <c r="HIX73" s="421" t="n"/>
      <c r="HIY73" s="421" t="n"/>
      <c r="HIZ73" s="421" t="n"/>
      <c r="HJA73" s="421" t="n"/>
      <c r="HJB73" s="421" t="n"/>
      <c r="HJC73" s="421" t="n"/>
      <c r="HJD73" s="421" t="n"/>
      <c r="HJE73" s="421" t="n"/>
      <c r="HJF73" s="421" t="n"/>
      <c r="HJG73" s="421" t="n"/>
      <c r="HJH73" s="421" t="n"/>
      <c r="HJI73" s="421" t="n"/>
      <c r="HJJ73" s="421" t="n"/>
      <c r="HJK73" s="421" t="n"/>
      <c r="HJL73" s="421" t="n"/>
      <c r="HJM73" s="421" t="n"/>
      <c r="HJN73" s="421" t="n"/>
      <c r="HJO73" s="421" t="n"/>
      <c r="HJP73" s="421" t="n"/>
      <c r="HJQ73" s="421" t="n"/>
      <c r="HJR73" s="421" t="n"/>
      <c r="HJS73" s="421" t="n"/>
      <c r="HJT73" s="421" t="n"/>
      <c r="HJU73" s="421" t="n"/>
      <c r="HJV73" s="421" t="n"/>
      <c r="HJW73" s="421" t="n"/>
      <c r="HJX73" s="421" t="n"/>
      <c r="HJY73" s="421" t="n"/>
      <c r="HJZ73" s="421" t="n"/>
      <c r="HKA73" s="421" t="n"/>
      <c r="HKB73" s="421" t="n"/>
      <c r="HKC73" s="421" t="n"/>
      <c r="HKD73" s="421" t="n"/>
      <c r="HKE73" s="421" t="n"/>
      <c r="HKF73" s="421" t="n"/>
      <c r="HKG73" s="421" t="n"/>
      <c r="HKH73" s="421" t="n"/>
      <c r="HKI73" s="421" t="n"/>
      <c r="HKJ73" s="421" t="n"/>
      <c r="HKK73" s="421" t="n"/>
      <c r="HKL73" s="421" t="n"/>
      <c r="HKM73" s="421" t="n"/>
      <c r="HKN73" s="421" t="n"/>
      <c r="HKO73" s="421" t="n"/>
      <c r="HKP73" s="421" t="n"/>
      <c r="HKQ73" s="421" t="n"/>
      <c r="HKR73" s="421" t="n"/>
      <c r="HKS73" s="421" t="n"/>
      <c r="HKT73" s="421" t="n"/>
      <c r="HKU73" s="421" t="n"/>
      <c r="HKV73" s="421" t="n"/>
      <c r="HKW73" s="421" t="n"/>
      <c r="HKX73" s="421" t="n"/>
      <c r="HKY73" s="421" t="n"/>
      <c r="HKZ73" s="421" t="n"/>
      <c r="HLA73" s="421" t="n"/>
      <c r="HLB73" s="421" t="n"/>
      <c r="HLC73" s="421" t="n"/>
      <c r="HLD73" s="421" t="n"/>
      <c r="HLE73" s="421" t="n"/>
      <c r="HLF73" s="421" t="n"/>
      <c r="HLG73" s="421" t="n"/>
      <c r="HLH73" s="421" t="n"/>
      <c r="HLI73" s="421" t="n"/>
      <c r="HLJ73" s="421" t="n"/>
      <c r="HLK73" s="421" t="n"/>
      <c r="HLL73" s="421" t="n"/>
      <c r="HLM73" s="421" t="n"/>
      <c r="HLN73" s="421" t="n"/>
      <c r="HLO73" s="421" t="n"/>
      <c r="HLP73" s="421" t="n"/>
      <c r="HLQ73" s="421" t="n"/>
      <c r="HLR73" s="421" t="n"/>
      <c r="HLS73" s="421" t="n"/>
      <c r="HLT73" s="421" t="n"/>
      <c r="HLU73" s="421" t="n"/>
      <c r="HLV73" s="421" t="n"/>
      <c r="HLW73" s="421" t="n"/>
      <c r="HLX73" s="421" t="n"/>
      <c r="HLY73" s="421" t="n"/>
      <c r="HLZ73" s="421" t="n"/>
      <c r="HMA73" s="421" t="n"/>
      <c r="HMB73" s="421" t="n"/>
      <c r="HMC73" s="421" t="n"/>
      <c r="HMD73" s="421" t="n"/>
      <c r="HME73" s="421" t="n"/>
      <c r="HMF73" s="421" t="n"/>
      <c r="HMG73" s="421" t="n"/>
      <c r="HMH73" s="421" t="n"/>
      <c r="HMI73" s="421" t="n"/>
      <c r="HMJ73" s="421" t="n"/>
      <c r="HMK73" s="421" t="n"/>
      <c r="HML73" s="421" t="n"/>
      <c r="HMM73" s="421" t="n"/>
      <c r="HMN73" s="421" t="n"/>
      <c r="HMO73" s="421" t="n"/>
      <c r="HMP73" s="421" t="n"/>
      <c r="HMQ73" s="421" t="n"/>
      <c r="HMR73" s="421" t="n"/>
      <c r="HMS73" s="421" t="n"/>
      <c r="HMT73" s="421" t="n"/>
      <c r="HMU73" s="421" t="n"/>
      <c r="HMV73" s="421" t="n"/>
      <c r="HMW73" s="421" t="n"/>
      <c r="HMX73" s="421" t="n"/>
      <c r="HMY73" s="421" t="n"/>
      <c r="HMZ73" s="421" t="n"/>
      <c r="HNA73" s="421" t="n"/>
      <c r="HNB73" s="421" t="n"/>
      <c r="HNC73" s="421" t="n"/>
      <c r="HND73" s="421" t="n"/>
      <c r="HNE73" s="421" t="n"/>
      <c r="HNF73" s="421" t="n"/>
      <c r="HNG73" s="421" t="n"/>
      <c r="HNH73" s="421" t="n"/>
      <c r="HNI73" s="421" t="n"/>
      <c r="HNJ73" s="421" t="n"/>
      <c r="HNK73" s="421" t="n"/>
      <c r="HNL73" s="421" t="n"/>
      <c r="HNM73" s="421" t="n"/>
      <c r="HNN73" s="421" t="n"/>
      <c r="HNO73" s="421" t="n"/>
      <c r="HNP73" s="421" t="n"/>
      <c r="HNQ73" s="421" t="n"/>
      <c r="HNR73" s="421" t="n"/>
      <c r="HNS73" s="421" t="n"/>
      <c r="HNT73" s="421" t="n"/>
      <c r="HNU73" s="421" t="n"/>
      <c r="HNV73" s="421" t="n"/>
      <c r="HNW73" s="421" t="n"/>
      <c r="HNX73" s="421" t="n"/>
      <c r="HNY73" s="421" t="n"/>
      <c r="HNZ73" s="421" t="n"/>
      <c r="HOA73" s="421" t="n"/>
      <c r="HOB73" s="421" t="n"/>
      <c r="HOC73" s="421" t="n"/>
      <c r="HOD73" s="421" t="n"/>
      <c r="HOE73" s="421" t="n"/>
      <c r="HOF73" s="421" t="n"/>
      <c r="HOG73" s="421" t="n"/>
      <c r="HOH73" s="421" t="n"/>
      <c r="HOI73" s="421" t="n"/>
      <c r="HOJ73" s="421" t="n"/>
      <c r="HOK73" s="421" t="n"/>
      <c r="HOL73" s="421" t="n"/>
      <c r="HOM73" s="421" t="n"/>
      <c r="HON73" s="421" t="n"/>
      <c r="HOO73" s="421" t="n"/>
      <c r="HOP73" s="421" t="n"/>
      <c r="HOQ73" s="421" t="n"/>
      <c r="HOR73" s="421" t="n"/>
      <c r="HOS73" s="421" t="n"/>
      <c r="HOT73" s="421" t="n"/>
      <c r="HOU73" s="421" t="n"/>
      <c r="HOV73" s="421" t="n"/>
      <c r="HOW73" s="421" t="n"/>
      <c r="HOX73" s="421" t="n"/>
      <c r="HOY73" s="421" t="n"/>
      <c r="HOZ73" s="421" t="n"/>
      <c r="HPA73" s="421" t="n"/>
      <c r="HPB73" s="421" t="n"/>
      <c r="HPC73" s="421" t="n"/>
      <c r="HPD73" s="421" t="n"/>
      <c r="HPE73" s="421" t="n"/>
      <c r="HPF73" s="421" t="n"/>
      <c r="HPG73" s="421" t="n"/>
      <c r="HPH73" s="421" t="n"/>
      <c r="HPI73" s="421" t="n"/>
      <c r="HPJ73" s="421" t="n"/>
      <c r="HPK73" s="421" t="n"/>
      <c r="HPL73" s="421" t="n"/>
      <c r="HPM73" s="421" t="n"/>
      <c r="HPN73" s="421" t="n"/>
      <c r="HPO73" s="421" t="n"/>
      <c r="HPP73" s="421" t="n"/>
      <c r="HPQ73" s="421" t="n"/>
      <c r="HPR73" s="421" t="n"/>
      <c r="HPS73" s="421" t="n"/>
      <c r="HPT73" s="421" t="n"/>
      <c r="HPU73" s="421" t="n"/>
      <c r="HPV73" s="421" t="n"/>
      <c r="HPW73" s="421" t="n"/>
      <c r="HPX73" s="421" t="n"/>
      <c r="HPY73" s="421" t="n"/>
      <c r="HPZ73" s="421" t="n"/>
      <c r="HQA73" s="421" t="n"/>
      <c r="HQB73" s="421" t="n"/>
      <c r="HQC73" s="421" t="n"/>
      <c r="HQD73" s="421" t="n"/>
      <c r="HQE73" s="421" t="n"/>
      <c r="HQF73" s="421" t="n"/>
      <c r="HQG73" s="421" t="n"/>
      <c r="HQH73" s="421" t="n"/>
      <c r="HQI73" s="421" t="n"/>
      <c r="HQJ73" s="421" t="n"/>
      <c r="HQK73" s="421" t="n"/>
      <c r="HQL73" s="421" t="n"/>
      <c r="HQM73" s="421" t="n"/>
      <c r="HQN73" s="421" t="n"/>
      <c r="HQO73" s="421" t="n"/>
      <c r="HQP73" s="421" t="n"/>
      <c r="HQQ73" s="421" t="n"/>
      <c r="HQR73" s="421" t="n"/>
      <c r="HQS73" s="421" t="n"/>
      <c r="HQT73" s="421" t="n"/>
      <c r="HQU73" s="421" t="n"/>
      <c r="HQV73" s="421" t="n"/>
      <c r="HQW73" s="421" t="n"/>
      <c r="HQX73" s="421" t="n"/>
      <c r="HQY73" s="421" t="n"/>
      <c r="HQZ73" s="421" t="n"/>
      <c r="HRA73" s="421" t="n"/>
      <c r="HRB73" s="421" t="n"/>
      <c r="HRC73" s="421" t="n"/>
      <c r="HRD73" s="421" t="n"/>
      <c r="HRE73" s="421" t="n"/>
      <c r="HRF73" s="421" t="n"/>
      <c r="HRG73" s="421" t="n"/>
      <c r="HRH73" s="421" t="n"/>
      <c r="HRI73" s="421" t="n"/>
      <c r="HRJ73" s="421" t="n"/>
      <c r="HRK73" s="421" t="n"/>
      <c r="HRL73" s="421" t="n"/>
      <c r="HRM73" s="421" t="n"/>
      <c r="HRN73" s="421" t="n"/>
      <c r="HRO73" s="421" t="n"/>
      <c r="HRP73" s="421" t="n"/>
      <c r="HRQ73" s="421" t="n"/>
      <c r="HRR73" s="421" t="n"/>
      <c r="HRS73" s="421" t="n"/>
      <c r="HRT73" s="421" t="n"/>
      <c r="HRU73" s="421" t="n"/>
      <c r="HRV73" s="421" t="n"/>
      <c r="HRW73" s="421" t="n"/>
      <c r="HRX73" s="421" t="n"/>
      <c r="HRY73" s="421" t="n"/>
      <c r="HRZ73" s="421" t="n"/>
      <c r="HSA73" s="421" t="n"/>
      <c r="HSB73" s="421" t="n"/>
      <c r="HSC73" s="421" t="n"/>
      <c r="HSD73" s="421" t="n"/>
      <c r="HSE73" s="421" t="n"/>
      <c r="HSF73" s="421" t="n"/>
      <c r="HSG73" s="421" t="n"/>
      <c r="HSH73" s="421" t="n"/>
      <c r="HSI73" s="421" t="n"/>
      <c r="HSJ73" s="421" t="n"/>
      <c r="HSK73" s="421" t="n"/>
      <c r="HSL73" s="421" t="n"/>
      <c r="HSM73" s="421" t="n"/>
      <c r="HSN73" s="421" t="n"/>
      <c r="HSO73" s="421" t="n"/>
      <c r="HSP73" s="421" t="n"/>
      <c r="HSQ73" s="421" t="n"/>
      <c r="HSR73" s="421" t="n"/>
      <c r="HSS73" s="421" t="n"/>
      <c r="HST73" s="421" t="n"/>
      <c r="HSU73" s="421" t="n"/>
      <c r="HSV73" s="421" t="n"/>
      <c r="HSW73" s="421" t="n"/>
      <c r="HSX73" s="421" t="n"/>
      <c r="HSY73" s="421" t="n"/>
      <c r="HSZ73" s="421" t="n"/>
      <c r="HTA73" s="421" t="n"/>
      <c r="HTB73" s="421" t="n"/>
      <c r="HTC73" s="421" t="n"/>
      <c r="HTD73" s="421" t="n"/>
      <c r="HTE73" s="421" t="n"/>
      <c r="HTF73" s="421" t="n"/>
      <c r="HTG73" s="421" t="n"/>
      <c r="HTH73" s="421" t="n"/>
      <c r="HTI73" s="421" t="n"/>
      <c r="HTJ73" s="421" t="n"/>
      <c r="HTK73" s="421" t="n"/>
      <c r="HTL73" s="421" t="n"/>
      <c r="HTM73" s="421" t="n"/>
      <c r="HTN73" s="421" t="n"/>
      <c r="HTO73" s="421" t="n"/>
      <c r="HTP73" s="421" t="n"/>
      <c r="HTQ73" s="421" t="n"/>
      <c r="HTR73" s="421" t="n"/>
      <c r="HTS73" s="421" t="n"/>
      <c r="HTT73" s="421" t="n"/>
      <c r="HTU73" s="421" t="n"/>
      <c r="HTV73" s="421" t="n"/>
      <c r="HTW73" s="421" t="n"/>
      <c r="HTX73" s="421" t="n"/>
      <c r="HTY73" s="421" t="n"/>
      <c r="HTZ73" s="421" t="n"/>
      <c r="HUA73" s="421" t="n"/>
      <c r="HUB73" s="421" t="n"/>
      <c r="HUC73" s="421" t="n"/>
      <c r="HUD73" s="421" t="n"/>
      <c r="HUE73" s="421" t="n"/>
      <c r="HUF73" s="421" t="n"/>
      <c r="HUG73" s="421" t="n"/>
      <c r="HUH73" s="421" t="n"/>
      <c r="HUI73" s="421" t="n"/>
      <c r="HUJ73" s="421" t="n"/>
      <c r="HUK73" s="421" t="n"/>
      <c r="HUL73" s="421" t="n"/>
      <c r="HUM73" s="421" t="n"/>
      <c r="HUN73" s="421" t="n"/>
      <c r="HUO73" s="421" t="n"/>
      <c r="HUP73" s="421" t="n"/>
      <c r="HUQ73" s="421" t="n"/>
      <c r="HUR73" s="421" t="n"/>
      <c r="HUS73" s="421" t="n"/>
      <c r="HUT73" s="421" t="n"/>
      <c r="HUU73" s="421" t="n"/>
      <c r="HUV73" s="421" t="n"/>
      <c r="HUW73" s="421" t="n"/>
      <c r="HUX73" s="421" t="n"/>
      <c r="HUY73" s="421" t="n"/>
      <c r="HUZ73" s="421" t="n"/>
      <c r="HVA73" s="421" t="n"/>
      <c r="HVB73" s="421" t="n"/>
      <c r="HVC73" s="421" t="n"/>
      <c r="HVD73" s="421" t="n"/>
      <c r="HVE73" s="421" t="n"/>
      <c r="HVF73" s="421" t="n"/>
      <c r="HVG73" s="421" t="n"/>
      <c r="HVH73" s="421" t="n"/>
      <c r="HVI73" s="421" t="n"/>
      <c r="HVJ73" s="421" t="n"/>
      <c r="HVK73" s="421" t="n"/>
      <c r="HVL73" s="421" t="n"/>
      <c r="HVM73" s="421" t="n"/>
      <c r="HVN73" s="421" t="n"/>
      <c r="HVO73" s="421" t="n"/>
      <c r="HVP73" s="421" t="n"/>
      <c r="HVQ73" s="421" t="n"/>
      <c r="HVR73" s="421" t="n"/>
      <c r="HVS73" s="421" t="n"/>
      <c r="HVT73" s="421" t="n"/>
      <c r="HVU73" s="421" t="n"/>
      <c r="HVV73" s="421" t="n"/>
      <c r="HVW73" s="421" t="n"/>
      <c r="HVX73" s="421" t="n"/>
      <c r="HVY73" s="421" t="n"/>
      <c r="HVZ73" s="421" t="n"/>
      <c r="HWA73" s="421" t="n"/>
      <c r="HWB73" s="421" t="n"/>
      <c r="HWC73" s="421" t="n"/>
      <c r="HWD73" s="421" t="n"/>
      <c r="HWE73" s="421" t="n"/>
      <c r="HWF73" s="421" t="n"/>
      <c r="HWG73" s="421" t="n"/>
      <c r="HWH73" s="421" t="n"/>
      <c r="HWI73" s="421" t="n"/>
      <c r="HWJ73" s="421" t="n"/>
      <c r="HWK73" s="421" t="n"/>
      <c r="HWL73" s="421" t="n"/>
      <c r="HWM73" s="421" t="n"/>
      <c r="HWN73" s="421" t="n"/>
      <c r="HWO73" s="421" t="n"/>
      <c r="HWP73" s="421" t="n"/>
      <c r="HWQ73" s="421" t="n"/>
      <c r="HWR73" s="421" t="n"/>
      <c r="HWS73" s="421" t="n"/>
      <c r="HWT73" s="421" t="n"/>
      <c r="HWU73" s="421" t="n"/>
      <c r="HWV73" s="421" t="n"/>
      <c r="HWW73" s="421" t="n"/>
      <c r="HWX73" s="421" t="n"/>
      <c r="HWY73" s="421" t="n"/>
      <c r="HWZ73" s="421" t="n"/>
      <c r="HXA73" s="421" t="n"/>
      <c r="HXB73" s="421" t="n"/>
      <c r="HXC73" s="421" t="n"/>
      <c r="HXD73" s="421" t="n"/>
      <c r="HXE73" s="421" t="n"/>
      <c r="HXF73" s="421" t="n"/>
      <c r="HXG73" s="421" t="n"/>
      <c r="HXH73" s="421" t="n"/>
      <c r="HXI73" s="421" t="n"/>
      <c r="HXJ73" s="421" t="n"/>
      <c r="HXK73" s="421" t="n"/>
      <c r="HXL73" s="421" t="n"/>
      <c r="HXM73" s="421" t="n"/>
      <c r="HXN73" s="421" t="n"/>
      <c r="HXO73" s="421" t="n"/>
      <c r="HXP73" s="421" t="n"/>
      <c r="HXQ73" s="421" t="n"/>
      <c r="HXR73" s="421" t="n"/>
      <c r="HXS73" s="421" t="n"/>
      <c r="HXT73" s="421" t="n"/>
      <c r="HXU73" s="421" t="n"/>
      <c r="HXV73" s="421" t="n"/>
      <c r="HXW73" s="421" t="n"/>
      <c r="HXX73" s="421" t="n"/>
      <c r="HXY73" s="421" t="n"/>
      <c r="HXZ73" s="421" t="n"/>
      <c r="HYA73" s="421" t="n"/>
      <c r="HYB73" s="421" t="n"/>
      <c r="HYC73" s="421" t="n"/>
      <c r="HYD73" s="421" t="n"/>
      <c r="HYE73" s="421" t="n"/>
      <c r="HYF73" s="421" t="n"/>
      <c r="HYG73" s="421" t="n"/>
      <c r="HYH73" s="421" t="n"/>
      <c r="HYI73" s="421" t="n"/>
      <c r="HYJ73" s="421" t="n"/>
      <c r="HYK73" s="421" t="n"/>
      <c r="HYL73" s="421" t="n"/>
      <c r="HYM73" s="421" t="n"/>
      <c r="HYN73" s="421" t="n"/>
      <c r="HYO73" s="421" t="n"/>
      <c r="HYP73" s="421" t="n"/>
      <c r="HYQ73" s="421" t="n"/>
      <c r="HYR73" s="421" t="n"/>
      <c r="HYS73" s="421" t="n"/>
      <c r="HYT73" s="421" t="n"/>
      <c r="HYU73" s="421" t="n"/>
      <c r="HYV73" s="421" t="n"/>
      <c r="HYW73" s="421" t="n"/>
      <c r="HYX73" s="421" t="n"/>
      <c r="HYY73" s="421" t="n"/>
      <c r="HYZ73" s="421" t="n"/>
      <c r="HZA73" s="421" t="n"/>
      <c r="HZB73" s="421" t="n"/>
      <c r="HZC73" s="421" t="n"/>
      <c r="HZD73" s="421" t="n"/>
      <c r="HZE73" s="421" t="n"/>
      <c r="HZF73" s="421" t="n"/>
      <c r="HZG73" s="421" t="n"/>
      <c r="HZH73" s="421" t="n"/>
      <c r="HZI73" s="421" t="n"/>
      <c r="HZJ73" s="421" t="n"/>
      <c r="HZK73" s="421" t="n"/>
      <c r="HZL73" s="421" t="n"/>
      <c r="HZM73" s="421" t="n"/>
      <c r="HZN73" s="421" t="n"/>
      <c r="HZO73" s="421" t="n"/>
      <c r="HZP73" s="421" t="n"/>
      <c r="HZQ73" s="421" t="n"/>
      <c r="HZR73" s="421" t="n"/>
      <c r="HZS73" s="421" t="n"/>
      <c r="HZT73" s="421" t="n"/>
      <c r="HZU73" s="421" t="n"/>
      <c r="HZV73" s="421" t="n"/>
      <c r="HZW73" s="421" t="n"/>
      <c r="HZX73" s="421" t="n"/>
      <c r="HZY73" s="421" t="n"/>
      <c r="HZZ73" s="421" t="n"/>
      <c r="IAA73" s="421" t="n"/>
      <c r="IAB73" s="421" t="n"/>
      <c r="IAC73" s="421" t="n"/>
      <c r="IAD73" s="421" t="n"/>
      <c r="IAE73" s="421" t="n"/>
      <c r="IAF73" s="421" t="n"/>
      <c r="IAG73" s="421" t="n"/>
      <c r="IAH73" s="421" t="n"/>
      <c r="IAI73" s="421" t="n"/>
      <c r="IAJ73" s="421" t="n"/>
      <c r="IAK73" s="421" t="n"/>
      <c r="IAL73" s="421" t="n"/>
      <c r="IAM73" s="421" t="n"/>
      <c r="IAN73" s="421" t="n"/>
      <c r="IAO73" s="421" t="n"/>
      <c r="IAP73" s="421" t="n"/>
      <c r="IAQ73" s="421" t="n"/>
      <c r="IAR73" s="421" t="n"/>
      <c r="IAS73" s="421" t="n"/>
      <c r="IAT73" s="421" t="n"/>
      <c r="IAU73" s="421" t="n"/>
      <c r="IAV73" s="421" t="n"/>
      <c r="IAW73" s="421" t="n"/>
      <c r="IAX73" s="421" t="n"/>
      <c r="IAY73" s="421" t="n"/>
      <c r="IAZ73" s="421" t="n"/>
      <c r="IBA73" s="421" t="n"/>
      <c r="IBB73" s="421" t="n"/>
      <c r="IBC73" s="421" t="n"/>
      <c r="IBD73" s="421" t="n"/>
      <c r="IBE73" s="421" t="n"/>
      <c r="IBF73" s="421" t="n"/>
      <c r="IBG73" s="421" t="n"/>
      <c r="IBH73" s="421" t="n"/>
      <c r="IBI73" s="421" t="n"/>
      <c r="IBJ73" s="421" t="n"/>
      <c r="IBK73" s="421" t="n"/>
      <c r="IBL73" s="421" t="n"/>
      <c r="IBM73" s="421" t="n"/>
      <c r="IBN73" s="421" t="n"/>
      <c r="IBO73" s="421" t="n"/>
      <c r="IBP73" s="421" t="n"/>
      <c r="IBQ73" s="421" t="n"/>
      <c r="IBR73" s="421" t="n"/>
      <c r="IBS73" s="421" t="n"/>
      <c r="IBT73" s="421" t="n"/>
      <c r="IBU73" s="421" t="n"/>
      <c r="IBV73" s="421" t="n"/>
      <c r="IBW73" s="421" t="n"/>
      <c r="IBX73" s="421" t="n"/>
      <c r="IBY73" s="421" t="n"/>
      <c r="IBZ73" s="421" t="n"/>
      <c r="ICA73" s="421" t="n"/>
      <c r="ICB73" s="421" t="n"/>
      <c r="ICC73" s="421" t="n"/>
      <c r="ICD73" s="421" t="n"/>
      <c r="ICE73" s="421" t="n"/>
      <c r="ICF73" s="421" t="n"/>
      <c r="ICG73" s="421" t="n"/>
      <c r="ICH73" s="421" t="n"/>
      <c r="ICI73" s="421" t="n"/>
      <c r="ICJ73" s="421" t="n"/>
      <c r="ICK73" s="421" t="n"/>
      <c r="ICL73" s="421" t="n"/>
      <c r="ICM73" s="421" t="n"/>
      <c r="ICN73" s="421" t="n"/>
      <c r="ICO73" s="421" t="n"/>
      <c r="ICP73" s="421" t="n"/>
      <c r="ICQ73" s="421" t="n"/>
      <c r="ICR73" s="421" t="n"/>
      <c r="ICS73" s="421" t="n"/>
      <c r="ICT73" s="421" t="n"/>
      <c r="ICU73" s="421" t="n"/>
      <c r="ICV73" s="421" t="n"/>
      <c r="ICW73" s="421" t="n"/>
      <c r="ICX73" s="421" t="n"/>
      <c r="ICY73" s="421" t="n"/>
      <c r="ICZ73" s="421" t="n"/>
      <c r="IDA73" s="421" t="n"/>
      <c r="IDB73" s="421" t="n"/>
      <c r="IDC73" s="421" t="n"/>
      <c r="IDD73" s="421" t="n"/>
      <c r="IDE73" s="421" t="n"/>
      <c r="IDF73" s="421" t="n"/>
      <c r="IDG73" s="421" t="n"/>
      <c r="IDH73" s="421" t="n"/>
      <c r="IDI73" s="421" t="n"/>
      <c r="IDJ73" s="421" t="n"/>
      <c r="IDK73" s="421" t="n"/>
      <c r="IDL73" s="421" t="n"/>
      <c r="IDM73" s="421" t="n"/>
      <c r="IDN73" s="421" t="n"/>
      <c r="IDO73" s="421" t="n"/>
      <c r="IDP73" s="421" t="n"/>
      <c r="IDQ73" s="421" t="n"/>
      <c r="IDR73" s="421" t="n"/>
      <c r="IDS73" s="421" t="n"/>
      <c r="IDT73" s="421" t="n"/>
      <c r="IDU73" s="421" t="n"/>
      <c r="IDV73" s="421" t="n"/>
      <c r="IDW73" s="421" t="n"/>
      <c r="IDX73" s="421" t="n"/>
      <c r="IDY73" s="421" t="n"/>
      <c r="IDZ73" s="421" t="n"/>
      <c r="IEA73" s="421" t="n"/>
      <c r="IEB73" s="421" t="n"/>
      <c r="IEC73" s="421" t="n"/>
      <c r="IED73" s="421" t="n"/>
      <c r="IEE73" s="421" t="n"/>
      <c r="IEF73" s="421" t="n"/>
      <c r="IEG73" s="421" t="n"/>
      <c r="IEH73" s="421" t="n"/>
      <c r="IEI73" s="421" t="n"/>
      <c r="IEJ73" s="421" t="n"/>
      <c r="IEK73" s="421" t="n"/>
      <c r="IEL73" s="421" t="n"/>
      <c r="IEM73" s="421" t="n"/>
      <c r="IEN73" s="421" t="n"/>
      <c r="IEO73" s="421" t="n"/>
      <c r="IEP73" s="421" t="n"/>
      <c r="IEQ73" s="421" t="n"/>
      <c r="IER73" s="421" t="n"/>
      <c r="IES73" s="421" t="n"/>
      <c r="IET73" s="421" t="n"/>
      <c r="IEU73" s="421" t="n"/>
      <c r="IEV73" s="421" t="n"/>
      <c r="IEW73" s="421" t="n"/>
      <c r="IEX73" s="421" t="n"/>
      <c r="IEY73" s="421" t="n"/>
      <c r="IEZ73" s="421" t="n"/>
      <c r="IFA73" s="421" t="n"/>
      <c r="IFB73" s="421" t="n"/>
      <c r="IFC73" s="421" t="n"/>
      <c r="IFD73" s="421" t="n"/>
      <c r="IFE73" s="421" t="n"/>
      <c r="IFF73" s="421" t="n"/>
      <c r="IFG73" s="421" t="n"/>
      <c r="IFH73" s="421" t="n"/>
      <c r="IFI73" s="421" t="n"/>
      <c r="IFJ73" s="421" t="n"/>
      <c r="IFK73" s="421" t="n"/>
      <c r="IFL73" s="421" t="n"/>
      <c r="IFM73" s="421" t="n"/>
      <c r="IFN73" s="421" t="n"/>
      <c r="IFO73" s="421" t="n"/>
      <c r="IFP73" s="421" t="n"/>
      <c r="IFQ73" s="421" t="n"/>
      <c r="IFR73" s="421" t="n"/>
      <c r="IFS73" s="421" t="n"/>
      <c r="IFT73" s="421" t="n"/>
      <c r="IFU73" s="421" t="n"/>
      <c r="IFV73" s="421" t="n"/>
      <c r="IFW73" s="421" t="n"/>
      <c r="IFX73" s="421" t="n"/>
      <c r="IFY73" s="421" t="n"/>
      <c r="IFZ73" s="421" t="n"/>
      <c r="IGA73" s="421" t="n"/>
      <c r="IGB73" s="421" t="n"/>
      <c r="IGC73" s="421" t="n"/>
      <c r="IGD73" s="421" t="n"/>
      <c r="IGE73" s="421" t="n"/>
      <c r="IGF73" s="421" t="n"/>
      <c r="IGG73" s="421" t="n"/>
      <c r="IGH73" s="421" t="n"/>
      <c r="IGI73" s="421" t="n"/>
      <c r="IGJ73" s="421" t="n"/>
      <c r="IGK73" s="421" t="n"/>
      <c r="IGL73" s="421" t="n"/>
      <c r="IGM73" s="421" t="n"/>
      <c r="IGN73" s="421" t="n"/>
      <c r="IGO73" s="421" t="n"/>
      <c r="IGP73" s="421" t="n"/>
      <c r="IGQ73" s="421" t="n"/>
      <c r="IGR73" s="421" t="n"/>
      <c r="IGS73" s="421" t="n"/>
      <c r="IGT73" s="421" t="n"/>
      <c r="IGU73" s="421" t="n"/>
      <c r="IGV73" s="421" t="n"/>
      <c r="IGW73" s="421" t="n"/>
      <c r="IGX73" s="421" t="n"/>
      <c r="IGY73" s="421" t="n"/>
      <c r="IGZ73" s="421" t="n"/>
      <c r="IHA73" s="421" t="n"/>
      <c r="IHB73" s="421" t="n"/>
      <c r="IHC73" s="421" t="n"/>
      <c r="IHD73" s="421" t="n"/>
      <c r="IHE73" s="421" t="n"/>
      <c r="IHF73" s="421" t="n"/>
      <c r="IHG73" s="421" t="n"/>
      <c r="IHH73" s="421" t="n"/>
      <c r="IHI73" s="421" t="n"/>
      <c r="IHJ73" s="421" t="n"/>
      <c r="IHK73" s="421" t="n"/>
      <c r="IHL73" s="421" t="n"/>
      <c r="IHM73" s="421" t="n"/>
      <c r="IHN73" s="421" t="n"/>
      <c r="IHO73" s="421" t="n"/>
      <c r="IHP73" s="421" t="n"/>
      <c r="IHQ73" s="421" t="n"/>
      <c r="IHR73" s="421" t="n"/>
      <c r="IHS73" s="421" t="n"/>
      <c r="IHT73" s="421" t="n"/>
      <c r="IHU73" s="421" t="n"/>
      <c r="IHV73" s="421" t="n"/>
      <c r="IHW73" s="421" t="n"/>
      <c r="IHX73" s="421" t="n"/>
      <c r="IHY73" s="421" t="n"/>
      <c r="IHZ73" s="421" t="n"/>
      <c r="IIA73" s="421" t="n"/>
      <c r="IIB73" s="421" t="n"/>
      <c r="IIC73" s="421" t="n"/>
      <c r="IID73" s="421" t="n"/>
      <c r="IIE73" s="421" t="n"/>
      <c r="IIF73" s="421" t="n"/>
      <c r="IIG73" s="421" t="n"/>
      <c r="IIH73" s="421" t="n"/>
      <c r="III73" s="421" t="n"/>
      <c r="IIJ73" s="421" t="n"/>
      <c r="IIK73" s="421" t="n"/>
      <c r="IIL73" s="421" t="n"/>
      <c r="IIM73" s="421" t="n"/>
      <c r="IIN73" s="421" t="n"/>
      <c r="IIO73" s="421" t="n"/>
      <c r="IIP73" s="421" t="n"/>
      <c r="IIQ73" s="421" t="n"/>
      <c r="IIR73" s="421" t="n"/>
      <c r="IIS73" s="421" t="n"/>
      <c r="IIT73" s="421" t="n"/>
      <c r="IIU73" s="421" t="n"/>
      <c r="IIV73" s="421" t="n"/>
      <c r="IIW73" s="421" t="n"/>
      <c r="IIX73" s="421" t="n"/>
      <c r="IIY73" s="421" t="n"/>
      <c r="IIZ73" s="421" t="n"/>
      <c r="IJA73" s="421" t="n"/>
      <c r="IJB73" s="421" t="n"/>
      <c r="IJC73" s="421" t="n"/>
      <c r="IJD73" s="421" t="n"/>
      <c r="IJE73" s="421" t="n"/>
      <c r="IJF73" s="421" t="n"/>
      <c r="IJG73" s="421" t="n"/>
      <c r="IJH73" s="421" t="n"/>
      <c r="IJI73" s="421" t="n"/>
      <c r="IJJ73" s="421" t="n"/>
      <c r="IJK73" s="421" t="n"/>
      <c r="IJL73" s="421" t="n"/>
      <c r="IJM73" s="421" t="n"/>
      <c r="IJN73" s="421" t="n"/>
      <c r="IJO73" s="421" t="n"/>
      <c r="IJP73" s="421" t="n"/>
      <c r="IJQ73" s="421" t="n"/>
      <c r="IJR73" s="421" t="n"/>
      <c r="IJS73" s="421" t="n"/>
      <c r="IJT73" s="421" t="n"/>
      <c r="IJU73" s="421" t="n"/>
      <c r="IJV73" s="421" t="n"/>
      <c r="IJW73" s="421" t="n"/>
      <c r="IJX73" s="421" t="n"/>
      <c r="IJY73" s="421" t="n"/>
      <c r="IJZ73" s="421" t="n"/>
      <c r="IKA73" s="421" t="n"/>
      <c r="IKB73" s="421" t="n"/>
      <c r="IKC73" s="421" t="n"/>
      <c r="IKD73" s="421" t="n"/>
      <c r="IKE73" s="421" t="n"/>
      <c r="IKF73" s="421" t="n"/>
      <c r="IKG73" s="421" t="n"/>
      <c r="IKH73" s="421" t="n"/>
      <c r="IKI73" s="421" t="n"/>
      <c r="IKJ73" s="421" t="n"/>
      <c r="IKK73" s="421" t="n"/>
      <c r="IKL73" s="421" t="n"/>
      <c r="IKM73" s="421" t="n"/>
      <c r="IKN73" s="421" t="n"/>
      <c r="IKO73" s="421" t="n"/>
      <c r="IKP73" s="421" t="n"/>
      <c r="IKQ73" s="421" t="n"/>
      <c r="IKR73" s="421" t="n"/>
      <c r="IKS73" s="421" t="n"/>
      <c r="IKT73" s="421" t="n"/>
      <c r="IKU73" s="421" t="n"/>
      <c r="IKV73" s="421" t="n"/>
      <c r="IKW73" s="421" t="n"/>
      <c r="IKX73" s="421" t="n"/>
      <c r="IKY73" s="421" t="n"/>
      <c r="IKZ73" s="421" t="n"/>
      <c r="ILA73" s="421" t="n"/>
      <c r="ILB73" s="421" t="n"/>
      <c r="ILC73" s="421" t="n"/>
      <c r="ILD73" s="421" t="n"/>
      <c r="ILE73" s="421" t="n"/>
      <c r="ILF73" s="421" t="n"/>
      <c r="ILG73" s="421" t="n"/>
      <c r="ILH73" s="421" t="n"/>
      <c r="ILI73" s="421" t="n"/>
      <c r="ILJ73" s="421" t="n"/>
      <c r="ILK73" s="421" t="n"/>
      <c r="ILL73" s="421" t="n"/>
      <c r="ILM73" s="421" t="n"/>
      <c r="ILN73" s="421" t="n"/>
      <c r="ILO73" s="421" t="n"/>
      <c r="ILP73" s="421" t="n"/>
      <c r="ILQ73" s="421" t="n"/>
      <c r="ILR73" s="421" t="n"/>
      <c r="ILS73" s="421" t="n"/>
      <c r="ILT73" s="421" t="n"/>
      <c r="ILU73" s="421" t="n"/>
      <c r="ILV73" s="421" t="n"/>
      <c r="ILW73" s="421" t="n"/>
      <c r="ILX73" s="421" t="n"/>
      <c r="ILY73" s="421" t="n"/>
      <c r="ILZ73" s="421" t="n"/>
      <c r="IMA73" s="421" t="n"/>
      <c r="IMB73" s="421" t="n"/>
      <c r="IMC73" s="421" t="n"/>
      <c r="IMD73" s="421" t="n"/>
      <c r="IME73" s="421" t="n"/>
      <c r="IMF73" s="421" t="n"/>
      <c r="IMG73" s="421" t="n"/>
      <c r="IMH73" s="421" t="n"/>
      <c r="IMI73" s="421" t="n"/>
      <c r="IMJ73" s="421" t="n"/>
      <c r="IMK73" s="421" t="n"/>
      <c r="IML73" s="421" t="n"/>
      <c r="IMM73" s="421" t="n"/>
      <c r="IMN73" s="421" t="n"/>
      <c r="IMO73" s="421" t="n"/>
      <c r="IMP73" s="421" t="n"/>
      <c r="IMQ73" s="421" t="n"/>
      <c r="IMR73" s="421" t="n"/>
      <c r="IMS73" s="421" t="n"/>
      <c r="IMT73" s="421" t="n"/>
      <c r="IMU73" s="421" t="n"/>
      <c r="IMV73" s="421" t="n"/>
      <c r="IMW73" s="421" t="n"/>
      <c r="IMX73" s="421" t="n"/>
      <c r="IMY73" s="421" t="n"/>
      <c r="IMZ73" s="421" t="n"/>
      <c r="INA73" s="421" t="n"/>
      <c r="INB73" s="421" t="n"/>
      <c r="INC73" s="421" t="n"/>
      <c r="IND73" s="421" t="n"/>
      <c r="INE73" s="421" t="n"/>
      <c r="INF73" s="421" t="n"/>
      <c r="ING73" s="421" t="n"/>
      <c r="INH73" s="421" t="n"/>
      <c r="INI73" s="421" t="n"/>
      <c r="INJ73" s="421" t="n"/>
      <c r="INK73" s="421" t="n"/>
      <c r="INL73" s="421" t="n"/>
      <c r="INM73" s="421" t="n"/>
      <c r="INN73" s="421" t="n"/>
      <c r="INO73" s="421" t="n"/>
      <c r="INP73" s="421" t="n"/>
      <c r="INQ73" s="421" t="n"/>
      <c r="INR73" s="421" t="n"/>
      <c r="INS73" s="421" t="n"/>
      <c r="INT73" s="421" t="n"/>
      <c r="INU73" s="421" t="n"/>
      <c r="INV73" s="421" t="n"/>
      <c r="INW73" s="421" t="n"/>
      <c r="INX73" s="421" t="n"/>
      <c r="INY73" s="421" t="n"/>
      <c r="INZ73" s="421" t="n"/>
      <c r="IOA73" s="421" t="n"/>
      <c r="IOB73" s="421" t="n"/>
      <c r="IOC73" s="421" t="n"/>
      <c r="IOD73" s="421" t="n"/>
      <c r="IOE73" s="421" t="n"/>
      <c r="IOF73" s="421" t="n"/>
      <c r="IOG73" s="421" t="n"/>
      <c r="IOH73" s="421" t="n"/>
      <c r="IOI73" s="421" t="n"/>
      <c r="IOJ73" s="421" t="n"/>
      <c r="IOK73" s="421" t="n"/>
      <c r="IOL73" s="421" t="n"/>
      <c r="IOM73" s="421" t="n"/>
      <c r="ION73" s="421" t="n"/>
      <c r="IOO73" s="421" t="n"/>
      <c r="IOP73" s="421" t="n"/>
      <c r="IOQ73" s="421" t="n"/>
      <c r="IOR73" s="421" t="n"/>
      <c r="IOS73" s="421" t="n"/>
      <c r="IOT73" s="421" t="n"/>
      <c r="IOU73" s="421" t="n"/>
      <c r="IOV73" s="421" t="n"/>
      <c r="IOW73" s="421" t="n"/>
      <c r="IOX73" s="421" t="n"/>
      <c r="IOY73" s="421" t="n"/>
      <c r="IOZ73" s="421" t="n"/>
      <c r="IPA73" s="421" t="n"/>
      <c r="IPB73" s="421" t="n"/>
      <c r="IPC73" s="421" t="n"/>
      <c r="IPD73" s="421" t="n"/>
      <c r="IPE73" s="421" t="n"/>
      <c r="IPF73" s="421" t="n"/>
      <c r="IPG73" s="421" t="n"/>
      <c r="IPH73" s="421" t="n"/>
      <c r="IPI73" s="421" t="n"/>
      <c r="IPJ73" s="421" t="n"/>
      <c r="IPK73" s="421" t="n"/>
      <c r="IPL73" s="421" t="n"/>
      <c r="IPM73" s="421" t="n"/>
      <c r="IPN73" s="421" t="n"/>
      <c r="IPO73" s="421" t="n"/>
      <c r="IPP73" s="421" t="n"/>
      <c r="IPQ73" s="421" t="n"/>
      <c r="IPR73" s="421" t="n"/>
      <c r="IPS73" s="421" t="n"/>
      <c r="IPT73" s="421" t="n"/>
      <c r="IPU73" s="421" t="n"/>
      <c r="IPV73" s="421" t="n"/>
      <c r="IPW73" s="421" t="n"/>
      <c r="IPX73" s="421" t="n"/>
      <c r="IPY73" s="421" t="n"/>
      <c r="IPZ73" s="421" t="n"/>
      <c r="IQA73" s="421" t="n"/>
      <c r="IQB73" s="421" t="n"/>
      <c r="IQC73" s="421" t="n"/>
      <c r="IQD73" s="421" t="n"/>
      <c r="IQE73" s="421" t="n"/>
      <c r="IQF73" s="421" t="n"/>
      <c r="IQG73" s="421" t="n"/>
      <c r="IQH73" s="421" t="n"/>
      <c r="IQI73" s="421" t="n"/>
      <c r="IQJ73" s="421" t="n"/>
      <c r="IQK73" s="421" t="n"/>
      <c r="IQL73" s="421" t="n"/>
      <c r="IQM73" s="421" t="n"/>
      <c r="IQN73" s="421" t="n"/>
      <c r="IQO73" s="421" t="n"/>
      <c r="IQP73" s="421" t="n"/>
      <c r="IQQ73" s="421" t="n"/>
      <c r="IQR73" s="421" t="n"/>
      <c r="IQS73" s="421" t="n"/>
      <c r="IQT73" s="421" t="n"/>
      <c r="IQU73" s="421" t="n"/>
      <c r="IQV73" s="421" t="n"/>
      <c r="IQW73" s="421" t="n"/>
      <c r="IQX73" s="421" t="n"/>
      <c r="IQY73" s="421" t="n"/>
      <c r="IQZ73" s="421" t="n"/>
      <c r="IRA73" s="421" t="n"/>
      <c r="IRB73" s="421" t="n"/>
      <c r="IRC73" s="421" t="n"/>
      <c r="IRD73" s="421" t="n"/>
      <c r="IRE73" s="421" t="n"/>
      <c r="IRF73" s="421" t="n"/>
      <c r="IRG73" s="421" t="n"/>
      <c r="IRH73" s="421" t="n"/>
      <c r="IRI73" s="421" t="n"/>
      <c r="IRJ73" s="421" t="n"/>
      <c r="IRK73" s="421" t="n"/>
      <c r="IRL73" s="421" t="n"/>
      <c r="IRM73" s="421" t="n"/>
      <c r="IRN73" s="421" t="n"/>
      <c r="IRO73" s="421" t="n"/>
      <c r="IRP73" s="421" t="n"/>
      <c r="IRQ73" s="421" t="n"/>
      <c r="IRR73" s="421" t="n"/>
      <c r="IRS73" s="421" t="n"/>
      <c r="IRT73" s="421" t="n"/>
      <c r="IRU73" s="421" t="n"/>
      <c r="IRV73" s="421" t="n"/>
      <c r="IRW73" s="421" t="n"/>
      <c r="IRX73" s="421" t="n"/>
      <c r="IRY73" s="421" t="n"/>
      <c r="IRZ73" s="421" t="n"/>
      <c r="ISA73" s="421" t="n"/>
      <c r="ISB73" s="421" t="n"/>
      <c r="ISC73" s="421" t="n"/>
      <c r="ISD73" s="421" t="n"/>
      <c r="ISE73" s="421" t="n"/>
      <c r="ISF73" s="421" t="n"/>
      <c r="ISG73" s="421" t="n"/>
      <c r="ISH73" s="421" t="n"/>
      <c r="ISI73" s="421" t="n"/>
      <c r="ISJ73" s="421" t="n"/>
      <c r="ISK73" s="421" t="n"/>
      <c r="ISL73" s="421" t="n"/>
      <c r="ISM73" s="421" t="n"/>
      <c r="ISN73" s="421" t="n"/>
      <c r="ISO73" s="421" t="n"/>
      <c r="ISP73" s="421" t="n"/>
      <c r="ISQ73" s="421" t="n"/>
      <c r="ISR73" s="421" t="n"/>
      <c r="ISS73" s="421" t="n"/>
      <c r="IST73" s="421" t="n"/>
      <c r="ISU73" s="421" t="n"/>
      <c r="ISV73" s="421" t="n"/>
      <c r="ISW73" s="421" t="n"/>
      <c r="ISX73" s="421" t="n"/>
      <c r="ISY73" s="421" t="n"/>
      <c r="ISZ73" s="421" t="n"/>
      <c r="ITA73" s="421" t="n"/>
      <c r="ITB73" s="421" t="n"/>
      <c r="ITC73" s="421" t="n"/>
      <c r="ITD73" s="421" t="n"/>
      <c r="ITE73" s="421" t="n"/>
      <c r="ITF73" s="421" t="n"/>
      <c r="ITG73" s="421" t="n"/>
      <c r="ITH73" s="421" t="n"/>
      <c r="ITI73" s="421" t="n"/>
      <c r="ITJ73" s="421" t="n"/>
      <c r="ITK73" s="421" t="n"/>
      <c r="ITL73" s="421" t="n"/>
      <c r="ITM73" s="421" t="n"/>
      <c r="ITN73" s="421" t="n"/>
      <c r="ITO73" s="421" t="n"/>
      <c r="ITP73" s="421" t="n"/>
      <c r="ITQ73" s="421" t="n"/>
      <c r="ITR73" s="421" t="n"/>
      <c r="ITS73" s="421" t="n"/>
      <c r="ITT73" s="421" t="n"/>
      <c r="ITU73" s="421" t="n"/>
      <c r="ITV73" s="421" t="n"/>
      <c r="ITW73" s="421" t="n"/>
      <c r="ITX73" s="421" t="n"/>
      <c r="ITY73" s="421" t="n"/>
      <c r="ITZ73" s="421" t="n"/>
      <c r="IUA73" s="421" t="n"/>
      <c r="IUB73" s="421" t="n"/>
      <c r="IUC73" s="421" t="n"/>
      <c r="IUD73" s="421" t="n"/>
      <c r="IUE73" s="421" t="n"/>
      <c r="IUF73" s="421" t="n"/>
      <c r="IUG73" s="421" t="n"/>
      <c r="IUH73" s="421" t="n"/>
      <c r="IUI73" s="421" t="n"/>
      <c r="IUJ73" s="421" t="n"/>
      <c r="IUK73" s="421" t="n"/>
      <c r="IUL73" s="421" t="n"/>
      <c r="IUM73" s="421" t="n"/>
      <c r="IUN73" s="421" t="n"/>
      <c r="IUO73" s="421" t="n"/>
      <c r="IUP73" s="421" t="n"/>
      <c r="IUQ73" s="421" t="n"/>
      <c r="IUR73" s="421" t="n"/>
      <c r="IUS73" s="421" t="n"/>
      <c r="IUT73" s="421" t="n"/>
      <c r="IUU73" s="421" t="n"/>
      <c r="IUV73" s="421" t="n"/>
      <c r="IUW73" s="421" t="n"/>
      <c r="IUX73" s="421" t="n"/>
      <c r="IUY73" s="421" t="n"/>
      <c r="IUZ73" s="421" t="n"/>
      <c r="IVA73" s="421" t="n"/>
      <c r="IVB73" s="421" t="n"/>
      <c r="IVC73" s="421" t="n"/>
      <c r="IVD73" s="421" t="n"/>
      <c r="IVE73" s="421" t="n"/>
      <c r="IVF73" s="421" t="n"/>
      <c r="IVG73" s="421" t="n"/>
      <c r="IVH73" s="421" t="n"/>
      <c r="IVI73" s="421" t="n"/>
      <c r="IVJ73" s="421" t="n"/>
      <c r="IVK73" s="421" t="n"/>
      <c r="IVL73" s="421" t="n"/>
      <c r="IVM73" s="421" t="n"/>
      <c r="IVN73" s="421" t="n"/>
      <c r="IVO73" s="421" t="n"/>
      <c r="IVP73" s="421" t="n"/>
      <c r="IVQ73" s="421" t="n"/>
      <c r="IVR73" s="421" t="n"/>
      <c r="IVS73" s="421" t="n"/>
      <c r="IVT73" s="421" t="n"/>
      <c r="IVU73" s="421" t="n"/>
      <c r="IVV73" s="421" t="n"/>
      <c r="IVW73" s="421" t="n"/>
      <c r="IVX73" s="421" t="n"/>
      <c r="IVY73" s="421" t="n"/>
      <c r="IVZ73" s="421" t="n"/>
      <c r="IWA73" s="421" t="n"/>
      <c r="IWB73" s="421" t="n"/>
      <c r="IWC73" s="421" t="n"/>
      <c r="IWD73" s="421" t="n"/>
      <c r="IWE73" s="421" t="n"/>
      <c r="IWF73" s="421" t="n"/>
      <c r="IWG73" s="421" t="n"/>
      <c r="IWH73" s="421" t="n"/>
      <c r="IWI73" s="421" t="n"/>
      <c r="IWJ73" s="421" t="n"/>
      <c r="IWK73" s="421" t="n"/>
      <c r="IWL73" s="421" t="n"/>
      <c r="IWM73" s="421" t="n"/>
      <c r="IWN73" s="421" t="n"/>
      <c r="IWO73" s="421" t="n"/>
      <c r="IWP73" s="421" t="n"/>
      <c r="IWQ73" s="421" t="n"/>
      <c r="IWR73" s="421" t="n"/>
      <c r="IWS73" s="421" t="n"/>
      <c r="IWT73" s="421" t="n"/>
      <c r="IWU73" s="421" t="n"/>
      <c r="IWV73" s="421" t="n"/>
      <c r="IWW73" s="421" t="n"/>
      <c r="IWX73" s="421" t="n"/>
      <c r="IWY73" s="421" t="n"/>
      <c r="IWZ73" s="421" t="n"/>
      <c r="IXA73" s="421" t="n"/>
      <c r="IXB73" s="421" t="n"/>
      <c r="IXC73" s="421" t="n"/>
      <c r="IXD73" s="421" t="n"/>
      <c r="IXE73" s="421" t="n"/>
      <c r="IXF73" s="421" t="n"/>
      <c r="IXG73" s="421" t="n"/>
      <c r="IXH73" s="421" t="n"/>
      <c r="IXI73" s="421" t="n"/>
      <c r="IXJ73" s="421" t="n"/>
      <c r="IXK73" s="421" t="n"/>
      <c r="IXL73" s="421" t="n"/>
      <c r="IXM73" s="421" t="n"/>
      <c r="IXN73" s="421" t="n"/>
      <c r="IXO73" s="421" t="n"/>
      <c r="IXP73" s="421" t="n"/>
      <c r="IXQ73" s="421" t="n"/>
      <c r="IXR73" s="421" t="n"/>
      <c r="IXS73" s="421" t="n"/>
      <c r="IXT73" s="421" t="n"/>
      <c r="IXU73" s="421" t="n"/>
      <c r="IXV73" s="421" t="n"/>
      <c r="IXW73" s="421" t="n"/>
      <c r="IXX73" s="421" t="n"/>
      <c r="IXY73" s="421" t="n"/>
      <c r="IXZ73" s="421" t="n"/>
      <c r="IYA73" s="421" t="n"/>
      <c r="IYB73" s="421" t="n"/>
      <c r="IYC73" s="421" t="n"/>
      <c r="IYD73" s="421" t="n"/>
      <c r="IYE73" s="421" t="n"/>
      <c r="IYF73" s="421" t="n"/>
      <c r="IYG73" s="421" t="n"/>
      <c r="IYH73" s="421" t="n"/>
      <c r="IYI73" s="421" t="n"/>
      <c r="IYJ73" s="421" t="n"/>
      <c r="IYK73" s="421" t="n"/>
      <c r="IYL73" s="421" t="n"/>
      <c r="IYM73" s="421" t="n"/>
      <c r="IYN73" s="421" t="n"/>
      <c r="IYO73" s="421" t="n"/>
      <c r="IYP73" s="421" t="n"/>
      <c r="IYQ73" s="421" t="n"/>
      <c r="IYR73" s="421" t="n"/>
      <c r="IYS73" s="421" t="n"/>
      <c r="IYT73" s="421" t="n"/>
      <c r="IYU73" s="421" t="n"/>
      <c r="IYV73" s="421" t="n"/>
      <c r="IYW73" s="421" t="n"/>
      <c r="IYX73" s="421" t="n"/>
      <c r="IYY73" s="421" t="n"/>
      <c r="IYZ73" s="421" t="n"/>
      <c r="IZA73" s="421" t="n"/>
      <c r="IZB73" s="421" t="n"/>
      <c r="IZC73" s="421" t="n"/>
      <c r="IZD73" s="421" t="n"/>
      <c r="IZE73" s="421" t="n"/>
      <c r="IZF73" s="421" t="n"/>
      <c r="IZG73" s="421" t="n"/>
      <c r="IZH73" s="421" t="n"/>
      <c r="IZI73" s="421" t="n"/>
      <c r="IZJ73" s="421" t="n"/>
      <c r="IZK73" s="421" t="n"/>
      <c r="IZL73" s="421" t="n"/>
      <c r="IZM73" s="421" t="n"/>
      <c r="IZN73" s="421" t="n"/>
      <c r="IZO73" s="421" t="n"/>
      <c r="IZP73" s="421" t="n"/>
      <c r="IZQ73" s="421" t="n"/>
      <c r="IZR73" s="421" t="n"/>
      <c r="IZS73" s="421" t="n"/>
      <c r="IZT73" s="421" t="n"/>
      <c r="IZU73" s="421" t="n"/>
      <c r="IZV73" s="421" t="n"/>
      <c r="IZW73" s="421" t="n"/>
      <c r="IZX73" s="421" t="n"/>
      <c r="IZY73" s="421" t="n"/>
      <c r="IZZ73" s="421" t="n"/>
      <c r="JAA73" s="421" t="n"/>
      <c r="JAB73" s="421" t="n"/>
      <c r="JAC73" s="421" t="n"/>
      <c r="JAD73" s="421" t="n"/>
      <c r="JAE73" s="421" t="n"/>
      <c r="JAF73" s="421" t="n"/>
      <c r="JAG73" s="421" t="n"/>
      <c r="JAH73" s="421" t="n"/>
      <c r="JAI73" s="421" t="n"/>
      <c r="JAJ73" s="421" t="n"/>
      <c r="JAK73" s="421" t="n"/>
      <c r="JAL73" s="421" t="n"/>
      <c r="JAM73" s="421" t="n"/>
      <c r="JAN73" s="421" t="n"/>
      <c r="JAO73" s="421" t="n"/>
      <c r="JAP73" s="421" t="n"/>
      <c r="JAQ73" s="421" t="n"/>
      <c r="JAR73" s="421" t="n"/>
      <c r="JAS73" s="421" t="n"/>
      <c r="JAT73" s="421" t="n"/>
      <c r="JAU73" s="421" t="n"/>
      <c r="JAV73" s="421" t="n"/>
      <c r="JAW73" s="421" t="n"/>
      <c r="JAX73" s="421" t="n"/>
      <c r="JAY73" s="421" t="n"/>
      <c r="JAZ73" s="421" t="n"/>
      <c r="JBA73" s="421" t="n"/>
      <c r="JBB73" s="421" t="n"/>
      <c r="JBC73" s="421" t="n"/>
      <c r="JBD73" s="421" t="n"/>
      <c r="JBE73" s="421" t="n"/>
      <c r="JBF73" s="421" t="n"/>
      <c r="JBG73" s="421" t="n"/>
      <c r="JBH73" s="421" t="n"/>
      <c r="JBI73" s="421" t="n"/>
      <c r="JBJ73" s="421" t="n"/>
      <c r="JBK73" s="421" t="n"/>
      <c r="JBL73" s="421" t="n"/>
      <c r="JBM73" s="421" t="n"/>
      <c r="JBN73" s="421" t="n"/>
      <c r="JBO73" s="421" t="n"/>
      <c r="JBP73" s="421" t="n"/>
      <c r="JBQ73" s="421" t="n"/>
      <c r="JBR73" s="421" t="n"/>
      <c r="JBS73" s="421" t="n"/>
      <c r="JBT73" s="421" t="n"/>
      <c r="JBU73" s="421" t="n"/>
      <c r="JBV73" s="421" t="n"/>
      <c r="JBW73" s="421" t="n"/>
      <c r="JBX73" s="421" t="n"/>
      <c r="JBY73" s="421" t="n"/>
      <c r="JBZ73" s="421" t="n"/>
      <c r="JCA73" s="421" t="n"/>
      <c r="JCB73" s="421" t="n"/>
      <c r="JCC73" s="421" t="n"/>
      <c r="JCD73" s="421" t="n"/>
      <c r="JCE73" s="421" t="n"/>
      <c r="JCF73" s="421" t="n"/>
      <c r="JCG73" s="421" t="n"/>
      <c r="JCH73" s="421" t="n"/>
      <c r="JCI73" s="421" t="n"/>
      <c r="JCJ73" s="421" t="n"/>
      <c r="JCK73" s="421" t="n"/>
      <c r="JCL73" s="421" t="n"/>
      <c r="JCM73" s="421" t="n"/>
      <c r="JCN73" s="421" t="n"/>
      <c r="JCO73" s="421" t="n"/>
      <c r="JCP73" s="421" t="n"/>
      <c r="JCQ73" s="421" t="n"/>
      <c r="JCR73" s="421" t="n"/>
      <c r="JCS73" s="421" t="n"/>
      <c r="JCT73" s="421" t="n"/>
      <c r="JCU73" s="421" t="n"/>
      <c r="JCV73" s="421" t="n"/>
      <c r="JCW73" s="421" t="n"/>
      <c r="JCX73" s="421" t="n"/>
      <c r="JCY73" s="421" t="n"/>
      <c r="JCZ73" s="421" t="n"/>
      <c r="JDA73" s="421" t="n"/>
      <c r="JDB73" s="421" t="n"/>
      <c r="JDC73" s="421" t="n"/>
      <c r="JDD73" s="421" t="n"/>
      <c r="JDE73" s="421" t="n"/>
      <c r="JDF73" s="421" t="n"/>
      <c r="JDG73" s="421" t="n"/>
      <c r="JDH73" s="421" t="n"/>
      <c r="JDI73" s="421" t="n"/>
      <c r="JDJ73" s="421" t="n"/>
      <c r="JDK73" s="421" t="n"/>
      <c r="JDL73" s="421" t="n"/>
      <c r="JDM73" s="421" t="n"/>
      <c r="JDN73" s="421" t="n"/>
      <c r="JDO73" s="421" t="n"/>
      <c r="JDP73" s="421" t="n"/>
      <c r="JDQ73" s="421" t="n"/>
      <c r="JDR73" s="421" t="n"/>
      <c r="JDS73" s="421" t="n"/>
      <c r="JDT73" s="421" t="n"/>
      <c r="JDU73" s="421" t="n"/>
      <c r="JDV73" s="421" t="n"/>
      <c r="JDW73" s="421" t="n"/>
      <c r="JDX73" s="421" t="n"/>
      <c r="JDY73" s="421" t="n"/>
      <c r="JDZ73" s="421" t="n"/>
      <c r="JEA73" s="421" t="n"/>
      <c r="JEB73" s="421" t="n"/>
      <c r="JEC73" s="421" t="n"/>
      <c r="JED73" s="421" t="n"/>
      <c r="JEE73" s="421" t="n"/>
      <c r="JEF73" s="421" t="n"/>
      <c r="JEG73" s="421" t="n"/>
      <c r="JEH73" s="421" t="n"/>
      <c r="JEI73" s="421" t="n"/>
      <c r="JEJ73" s="421" t="n"/>
      <c r="JEK73" s="421" t="n"/>
      <c r="JEL73" s="421" t="n"/>
      <c r="JEM73" s="421" t="n"/>
      <c r="JEN73" s="421" t="n"/>
      <c r="JEO73" s="421" t="n"/>
      <c r="JEP73" s="421" t="n"/>
      <c r="JEQ73" s="421" t="n"/>
      <c r="JER73" s="421" t="n"/>
      <c r="JES73" s="421" t="n"/>
      <c r="JET73" s="421" t="n"/>
      <c r="JEU73" s="421" t="n"/>
      <c r="JEV73" s="421" t="n"/>
      <c r="JEW73" s="421" t="n"/>
      <c r="JEX73" s="421" t="n"/>
      <c r="JEY73" s="421" t="n"/>
      <c r="JEZ73" s="421" t="n"/>
      <c r="JFA73" s="421" t="n"/>
      <c r="JFB73" s="421" t="n"/>
      <c r="JFC73" s="421" t="n"/>
      <c r="JFD73" s="421" t="n"/>
      <c r="JFE73" s="421" t="n"/>
      <c r="JFF73" s="421" t="n"/>
      <c r="JFG73" s="421" t="n"/>
      <c r="JFH73" s="421" t="n"/>
      <c r="JFI73" s="421" t="n"/>
      <c r="JFJ73" s="421" t="n"/>
      <c r="JFK73" s="421" t="n"/>
      <c r="JFL73" s="421" t="n"/>
      <c r="JFM73" s="421" t="n"/>
      <c r="JFN73" s="421" t="n"/>
      <c r="JFO73" s="421" t="n"/>
      <c r="JFP73" s="421" t="n"/>
      <c r="JFQ73" s="421" t="n"/>
      <c r="JFR73" s="421" t="n"/>
      <c r="JFS73" s="421" t="n"/>
      <c r="JFT73" s="421" t="n"/>
      <c r="JFU73" s="421" t="n"/>
      <c r="JFV73" s="421" t="n"/>
      <c r="JFW73" s="421" t="n"/>
      <c r="JFX73" s="421" t="n"/>
      <c r="JFY73" s="421" t="n"/>
      <c r="JFZ73" s="421" t="n"/>
      <c r="JGA73" s="421" t="n"/>
      <c r="JGB73" s="421" t="n"/>
      <c r="JGC73" s="421" t="n"/>
      <c r="JGD73" s="421" t="n"/>
      <c r="JGE73" s="421" t="n"/>
      <c r="JGF73" s="421" t="n"/>
      <c r="JGG73" s="421" t="n"/>
      <c r="JGH73" s="421" t="n"/>
      <c r="JGI73" s="421" t="n"/>
      <c r="JGJ73" s="421" t="n"/>
      <c r="JGK73" s="421" t="n"/>
      <c r="JGL73" s="421" t="n"/>
      <c r="JGM73" s="421" t="n"/>
      <c r="JGN73" s="421" t="n"/>
      <c r="JGO73" s="421" t="n"/>
      <c r="JGP73" s="421" t="n"/>
      <c r="JGQ73" s="421" t="n"/>
      <c r="JGR73" s="421" t="n"/>
      <c r="JGS73" s="421" t="n"/>
      <c r="JGT73" s="421" t="n"/>
      <c r="JGU73" s="421" t="n"/>
      <c r="JGV73" s="421" t="n"/>
      <c r="JGW73" s="421" t="n"/>
      <c r="JGX73" s="421" t="n"/>
      <c r="JGY73" s="421" t="n"/>
      <c r="JGZ73" s="421" t="n"/>
      <c r="JHA73" s="421" t="n"/>
      <c r="JHB73" s="421" t="n"/>
      <c r="JHC73" s="421" t="n"/>
      <c r="JHD73" s="421" t="n"/>
      <c r="JHE73" s="421" t="n"/>
      <c r="JHF73" s="421" t="n"/>
      <c r="JHG73" s="421" t="n"/>
      <c r="JHH73" s="421" t="n"/>
      <c r="JHI73" s="421" t="n"/>
      <c r="JHJ73" s="421" t="n"/>
      <c r="JHK73" s="421" t="n"/>
      <c r="JHL73" s="421" t="n"/>
      <c r="JHM73" s="421" t="n"/>
      <c r="JHN73" s="421" t="n"/>
      <c r="JHO73" s="421" t="n"/>
      <c r="JHP73" s="421" t="n"/>
      <c r="JHQ73" s="421" t="n"/>
      <c r="JHR73" s="421" t="n"/>
      <c r="JHS73" s="421" t="n"/>
      <c r="JHT73" s="421" t="n"/>
      <c r="JHU73" s="421" t="n"/>
      <c r="JHV73" s="421" t="n"/>
      <c r="JHW73" s="421" t="n"/>
      <c r="JHX73" s="421" t="n"/>
      <c r="JHY73" s="421" t="n"/>
      <c r="JHZ73" s="421" t="n"/>
      <c r="JIA73" s="421" t="n"/>
      <c r="JIB73" s="421" t="n"/>
      <c r="JIC73" s="421" t="n"/>
      <c r="JID73" s="421" t="n"/>
      <c r="JIE73" s="421" t="n"/>
      <c r="JIF73" s="421" t="n"/>
      <c r="JIG73" s="421" t="n"/>
      <c r="JIH73" s="421" t="n"/>
      <c r="JII73" s="421" t="n"/>
      <c r="JIJ73" s="421" t="n"/>
      <c r="JIK73" s="421" t="n"/>
      <c r="JIL73" s="421" t="n"/>
      <c r="JIM73" s="421" t="n"/>
      <c r="JIN73" s="421" t="n"/>
      <c r="JIO73" s="421" t="n"/>
      <c r="JIP73" s="421" t="n"/>
      <c r="JIQ73" s="421" t="n"/>
      <c r="JIR73" s="421" t="n"/>
      <c r="JIS73" s="421" t="n"/>
      <c r="JIT73" s="421" t="n"/>
      <c r="JIU73" s="421" t="n"/>
      <c r="JIV73" s="421" t="n"/>
      <c r="JIW73" s="421" t="n"/>
      <c r="JIX73" s="421" t="n"/>
      <c r="JIY73" s="421" t="n"/>
      <c r="JIZ73" s="421" t="n"/>
      <c r="JJA73" s="421" t="n"/>
      <c r="JJB73" s="421" t="n"/>
      <c r="JJC73" s="421" t="n"/>
      <c r="JJD73" s="421" t="n"/>
      <c r="JJE73" s="421" t="n"/>
      <c r="JJF73" s="421" t="n"/>
      <c r="JJG73" s="421" t="n"/>
      <c r="JJH73" s="421" t="n"/>
      <c r="JJI73" s="421" t="n"/>
      <c r="JJJ73" s="421" t="n"/>
      <c r="JJK73" s="421" t="n"/>
      <c r="JJL73" s="421" t="n"/>
      <c r="JJM73" s="421" t="n"/>
      <c r="JJN73" s="421" t="n"/>
      <c r="JJO73" s="421" t="n"/>
      <c r="JJP73" s="421" t="n"/>
      <c r="JJQ73" s="421" t="n"/>
      <c r="JJR73" s="421" t="n"/>
      <c r="JJS73" s="421" t="n"/>
      <c r="JJT73" s="421" t="n"/>
      <c r="JJU73" s="421" t="n"/>
      <c r="JJV73" s="421" t="n"/>
      <c r="JJW73" s="421" t="n"/>
      <c r="JJX73" s="421" t="n"/>
      <c r="JJY73" s="421" t="n"/>
      <c r="JJZ73" s="421" t="n"/>
      <c r="JKA73" s="421" t="n"/>
      <c r="JKB73" s="421" t="n"/>
      <c r="JKC73" s="421" t="n"/>
      <c r="JKD73" s="421" t="n"/>
      <c r="JKE73" s="421" t="n"/>
      <c r="JKF73" s="421" t="n"/>
      <c r="JKG73" s="421" t="n"/>
      <c r="JKH73" s="421" t="n"/>
      <c r="JKI73" s="421" t="n"/>
      <c r="JKJ73" s="421" t="n"/>
      <c r="JKK73" s="421" t="n"/>
      <c r="JKL73" s="421" t="n"/>
      <c r="JKM73" s="421" t="n"/>
      <c r="JKN73" s="421" t="n"/>
      <c r="JKO73" s="421" t="n"/>
      <c r="JKP73" s="421" t="n"/>
      <c r="JKQ73" s="421" t="n"/>
      <c r="JKR73" s="421" t="n"/>
      <c r="JKS73" s="421" t="n"/>
      <c r="JKT73" s="421" t="n"/>
      <c r="JKU73" s="421" t="n"/>
      <c r="JKV73" s="421" t="n"/>
      <c r="JKW73" s="421" t="n"/>
      <c r="JKX73" s="421" t="n"/>
      <c r="JKY73" s="421" t="n"/>
      <c r="JKZ73" s="421" t="n"/>
      <c r="JLA73" s="421" t="n"/>
      <c r="JLB73" s="421" t="n"/>
      <c r="JLC73" s="421" t="n"/>
      <c r="JLD73" s="421" t="n"/>
      <c r="JLE73" s="421" t="n"/>
      <c r="JLF73" s="421" t="n"/>
      <c r="JLG73" s="421" t="n"/>
      <c r="JLH73" s="421" t="n"/>
      <c r="JLI73" s="421" t="n"/>
      <c r="JLJ73" s="421" t="n"/>
      <c r="JLK73" s="421" t="n"/>
      <c r="JLL73" s="421" t="n"/>
      <c r="JLM73" s="421" t="n"/>
      <c r="JLN73" s="421" t="n"/>
      <c r="JLO73" s="421" t="n"/>
      <c r="JLP73" s="421" t="n"/>
      <c r="JLQ73" s="421" t="n"/>
      <c r="JLR73" s="421" t="n"/>
      <c r="JLS73" s="421" t="n"/>
      <c r="JLT73" s="421" t="n"/>
      <c r="JLU73" s="421" t="n"/>
      <c r="JLV73" s="421" t="n"/>
      <c r="JLW73" s="421" t="n"/>
      <c r="JLX73" s="421" t="n"/>
      <c r="JLY73" s="421" t="n"/>
      <c r="JLZ73" s="421" t="n"/>
      <c r="JMA73" s="421" t="n"/>
      <c r="JMB73" s="421" t="n"/>
      <c r="JMC73" s="421" t="n"/>
      <c r="JMD73" s="421" t="n"/>
      <c r="JME73" s="421" t="n"/>
      <c r="JMF73" s="421" t="n"/>
      <c r="JMG73" s="421" t="n"/>
      <c r="JMH73" s="421" t="n"/>
      <c r="JMI73" s="421" t="n"/>
      <c r="JMJ73" s="421" t="n"/>
      <c r="JMK73" s="421" t="n"/>
      <c r="JML73" s="421" t="n"/>
      <c r="JMM73" s="421" t="n"/>
      <c r="JMN73" s="421" t="n"/>
      <c r="JMO73" s="421" t="n"/>
      <c r="JMP73" s="421" t="n"/>
      <c r="JMQ73" s="421" t="n"/>
      <c r="JMR73" s="421" t="n"/>
      <c r="JMS73" s="421" t="n"/>
      <c r="JMT73" s="421" t="n"/>
      <c r="JMU73" s="421" t="n"/>
      <c r="JMV73" s="421" t="n"/>
      <c r="JMW73" s="421" t="n"/>
      <c r="JMX73" s="421" t="n"/>
      <c r="JMY73" s="421" t="n"/>
      <c r="JMZ73" s="421" t="n"/>
      <c r="JNA73" s="421" t="n"/>
      <c r="JNB73" s="421" t="n"/>
      <c r="JNC73" s="421" t="n"/>
      <c r="JND73" s="421" t="n"/>
      <c r="JNE73" s="421" t="n"/>
      <c r="JNF73" s="421" t="n"/>
      <c r="JNG73" s="421" t="n"/>
      <c r="JNH73" s="421" t="n"/>
      <c r="JNI73" s="421" t="n"/>
      <c r="JNJ73" s="421" t="n"/>
      <c r="JNK73" s="421" t="n"/>
      <c r="JNL73" s="421" t="n"/>
      <c r="JNM73" s="421" t="n"/>
      <c r="JNN73" s="421" t="n"/>
      <c r="JNO73" s="421" t="n"/>
      <c r="JNP73" s="421" t="n"/>
      <c r="JNQ73" s="421" t="n"/>
      <c r="JNR73" s="421" t="n"/>
      <c r="JNS73" s="421" t="n"/>
      <c r="JNT73" s="421" t="n"/>
      <c r="JNU73" s="421" t="n"/>
      <c r="JNV73" s="421" t="n"/>
      <c r="JNW73" s="421" t="n"/>
      <c r="JNX73" s="421" t="n"/>
      <c r="JNY73" s="421" t="n"/>
      <c r="JNZ73" s="421" t="n"/>
      <c r="JOA73" s="421" t="n"/>
      <c r="JOB73" s="421" t="n"/>
      <c r="JOC73" s="421" t="n"/>
      <c r="JOD73" s="421" t="n"/>
      <c r="JOE73" s="421" t="n"/>
      <c r="JOF73" s="421" t="n"/>
      <c r="JOG73" s="421" t="n"/>
      <c r="JOH73" s="421" t="n"/>
      <c r="JOI73" s="421" t="n"/>
      <c r="JOJ73" s="421" t="n"/>
      <c r="JOK73" s="421" t="n"/>
      <c r="JOL73" s="421" t="n"/>
      <c r="JOM73" s="421" t="n"/>
      <c r="JON73" s="421" t="n"/>
      <c r="JOO73" s="421" t="n"/>
      <c r="JOP73" s="421" t="n"/>
      <c r="JOQ73" s="421" t="n"/>
      <c r="JOR73" s="421" t="n"/>
      <c r="JOS73" s="421" t="n"/>
      <c r="JOT73" s="421" t="n"/>
      <c r="JOU73" s="421" t="n"/>
      <c r="JOV73" s="421" t="n"/>
      <c r="JOW73" s="421" t="n"/>
      <c r="JOX73" s="421" t="n"/>
      <c r="JOY73" s="421" t="n"/>
      <c r="JOZ73" s="421" t="n"/>
      <c r="JPA73" s="421" t="n"/>
      <c r="JPB73" s="421" t="n"/>
      <c r="JPC73" s="421" t="n"/>
      <c r="JPD73" s="421" t="n"/>
      <c r="JPE73" s="421" t="n"/>
      <c r="JPF73" s="421" t="n"/>
      <c r="JPG73" s="421" t="n"/>
      <c r="JPH73" s="421" t="n"/>
      <c r="JPI73" s="421" t="n"/>
      <c r="JPJ73" s="421" t="n"/>
      <c r="JPK73" s="421" t="n"/>
      <c r="JPL73" s="421" t="n"/>
      <c r="JPM73" s="421" t="n"/>
      <c r="JPN73" s="421" t="n"/>
      <c r="JPO73" s="421" t="n"/>
      <c r="JPP73" s="421" t="n"/>
      <c r="JPQ73" s="421" t="n"/>
      <c r="JPR73" s="421" t="n"/>
      <c r="JPS73" s="421" t="n"/>
      <c r="JPT73" s="421" t="n"/>
      <c r="JPU73" s="421" t="n"/>
      <c r="JPV73" s="421" t="n"/>
      <c r="JPW73" s="421" t="n"/>
      <c r="JPX73" s="421" t="n"/>
      <c r="JPY73" s="421" t="n"/>
      <c r="JPZ73" s="421" t="n"/>
      <c r="JQA73" s="421" t="n"/>
      <c r="JQB73" s="421" t="n"/>
      <c r="JQC73" s="421" t="n"/>
      <c r="JQD73" s="421" t="n"/>
      <c r="JQE73" s="421" t="n"/>
      <c r="JQF73" s="421" t="n"/>
      <c r="JQG73" s="421" t="n"/>
      <c r="JQH73" s="421" t="n"/>
      <c r="JQI73" s="421" t="n"/>
      <c r="JQJ73" s="421" t="n"/>
      <c r="JQK73" s="421" t="n"/>
      <c r="JQL73" s="421" t="n"/>
      <c r="JQM73" s="421" t="n"/>
      <c r="JQN73" s="421" t="n"/>
      <c r="JQO73" s="421" t="n"/>
      <c r="JQP73" s="421" t="n"/>
      <c r="JQQ73" s="421" t="n"/>
      <c r="JQR73" s="421" t="n"/>
      <c r="JQS73" s="421" t="n"/>
      <c r="JQT73" s="421" t="n"/>
      <c r="JQU73" s="421" t="n"/>
      <c r="JQV73" s="421" t="n"/>
      <c r="JQW73" s="421" t="n"/>
      <c r="JQX73" s="421" t="n"/>
      <c r="JQY73" s="421" t="n"/>
      <c r="JQZ73" s="421" t="n"/>
      <c r="JRA73" s="421" t="n"/>
      <c r="JRB73" s="421" t="n"/>
      <c r="JRC73" s="421" t="n"/>
      <c r="JRD73" s="421" t="n"/>
      <c r="JRE73" s="421" t="n"/>
      <c r="JRF73" s="421" t="n"/>
      <c r="JRG73" s="421" t="n"/>
      <c r="JRH73" s="421" t="n"/>
      <c r="JRI73" s="421" t="n"/>
      <c r="JRJ73" s="421" t="n"/>
      <c r="JRK73" s="421" t="n"/>
      <c r="JRL73" s="421" t="n"/>
      <c r="JRM73" s="421" t="n"/>
      <c r="JRN73" s="421" t="n"/>
      <c r="JRO73" s="421" t="n"/>
      <c r="JRP73" s="421" t="n"/>
      <c r="JRQ73" s="421" t="n"/>
      <c r="JRR73" s="421" t="n"/>
      <c r="JRS73" s="421" t="n"/>
      <c r="JRT73" s="421" t="n"/>
      <c r="JRU73" s="421" t="n"/>
      <c r="JRV73" s="421" t="n"/>
      <c r="JRW73" s="421" t="n"/>
      <c r="JRX73" s="421" t="n"/>
      <c r="JRY73" s="421" t="n"/>
      <c r="JRZ73" s="421" t="n"/>
      <c r="JSA73" s="421" t="n"/>
      <c r="JSB73" s="421" t="n"/>
      <c r="JSC73" s="421" t="n"/>
      <c r="JSD73" s="421" t="n"/>
      <c r="JSE73" s="421" t="n"/>
      <c r="JSF73" s="421" t="n"/>
      <c r="JSG73" s="421" t="n"/>
      <c r="JSH73" s="421" t="n"/>
      <c r="JSI73" s="421" t="n"/>
      <c r="JSJ73" s="421" t="n"/>
      <c r="JSK73" s="421" t="n"/>
      <c r="JSL73" s="421" t="n"/>
      <c r="JSM73" s="421" t="n"/>
      <c r="JSN73" s="421" t="n"/>
      <c r="JSO73" s="421" t="n"/>
      <c r="JSP73" s="421" t="n"/>
      <c r="JSQ73" s="421" t="n"/>
      <c r="JSR73" s="421" t="n"/>
      <c r="JSS73" s="421" t="n"/>
      <c r="JST73" s="421" t="n"/>
      <c r="JSU73" s="421" t="n"/>
      <c r="JSV73" s="421" t="n"/>
      <c r="JSW73" s="421" t="n"/>
      <c r="JSX73" s="421" t="n"/>
      <c r="JSY73" s="421" t="n"/>
      <c r="JSZ73" s="421" t="n"/>
      <c r="JTA73" s="421" t="n"/>
      <c r="JTB73" s="421" t="n"/>
      <c r="JTC73" s="421" t="n"/>
      <c r="JTD73" s="421" t="n"/>
      <c r="JTE73" s="421" t="n"/>
      <c r="JTF73" s="421" t="n"/>
      <c r="JTG73" s="421" t="n"/>
      <c r="JTH73" s="421" t="n"/>
      <c r="JTI73" s="421" t="n"/>
      <c r="JTJ73" s="421" t="n"/>
      <c r="JTK73" s="421" t="n"/>
      <c r="JTL73" s="421" t="n"/>
      <c r="JTM73" s="421" t="n"/>
      <c r="JTN73" s="421" t="n"/>
      <c r="JTO73" s="421" t="n"/>
      <c r="JTP73" s="421" t="n"/>
      <c r="JTQ73" s="421" t="n"/>
      <c r="JTR73" s="421" t="n"/>
      <c r="JTS73" s="421" t="n"/>
      <c r="JTT73" s="421" t="n"/>
      <c r="JTU73" s="421" t="n"/>
      <c r="JTV73" s="421" t="n"/>
      <c r="JTW73" s="421" t="n"/>
      <c r="JTX73" s="421" t="n"/>
      <c r="JTY73" s="421" t="n"/>
      <c r="JTZ73" s="421" t="n"/>
      <c r="JUA73" s="421" t="n"/>
      <c r="JUB73" s="421" t="n"/>
      <c r="JUC73" s="421" t="n"/>
      <c r="JUD73" s="421" t="n"/>
      <c r="JUE73" s="421" t="n"/>
      <c r="JUF73" s="421" t="n"/>
      <c r="JUG73" s="421" t="n"/>
      <c r="JUH73" s="421" t="n"/>
      <c r="JUI73" s="421" t="n"/>
      <c r="JUJ73" s="421" t="n"/>
      <c r="JUK73" s="421" t="n"/>
      <c r="JUL73" s="421" t="n"/>
      <c r="JUM73" s="421" t="n"/>
      <c r="JUN73" s="421" t="n"/>
      <c r="JUO73" s="421" t="n"/>
      <c r="JUP73" s="421" t="n"/>
      <c r="JUQ73" s="421" t="n"/>
      <c r="JUR73" s="421" t="n"/>
      <c r="JUS73" s="421" t="n"/>
      <c r="JUT73" s="421" t="n"/>
      <c r="JUU73" s="421" t="n"/>
      <c r="JUV73" s="421" t="n"/>
      <c r="JUW73" s="421" t="n"/>
      <c r="JUX73" s="421" t="n"/>
      <c r="JUY73" s="421" t="n"/>
      <c r="JUZ73" s="421" t="n"/>
      <c r="JVA73" s="421" t="n"/>
      <c r="JVB73" s="421" t="n"/>
      <c r="JVC73" s="421" t="n"/>
      <c r="JVD73" s="421" t="n"/>
      <c r="JVE73" s="421" t="n"/>
      <c r="JVF73" s="421" t="n"/>
      <c r="JVG73" s="421" t="n"/>
      <c r="JVH73" s="421" t="n"/>
      <c r="JVI73" s="421" t="n"/>
      <c r="JVJ73" s="421" t="n"/>
      <c r="JVK73" s="421" t="n"/>
      <c r="JVL73" s="421" t="n"/>
      <c r="JVM73" s="421" t="n"/>
      <c r="JVN73" s="421" t="n"/>
      <c r="JVO73" s="421" t="n"/>
      <c r="JVP73" s="421" t="n"/>
      <c r="JVQ73" s="421" t="n"/>
      <c r="JVR73" s="421" t="n"/>
      <c r="JVS73" s="421" t="n"/>
      <c r="JVT73" s="421" t="n"/>
      <c r="JVU73" s="421" t="n"/>
      <c r="JVV73" s="421" t="n"/>
      <c r="JVW73" s="421" t="n"/>
      <c r="JVX73" s="421" t="n"/>
      <c r="JVY73" s="421" t="n"/>
      <c r="JVZ73" s="421" t="n"/>
      <c r="JWA73" s="421" t="n"/>
      <c r="JWB73" s="421" t="n"/>
      <c r="JWC73" s="421" t="n"/>
      <c r="JWD73" s="421" t="n"/>
      <c r="JWE73" s="421" t="n"/>
      <c r="JWF73" s="421" t="n"/>
      <c r="JWG73" s="421" t="n"/>
      <c r="JWH73" s="421" t="n"/>
      <c r="JWI73" s="421" t="n"/>
      <c r="JWJ73" s="421" t="n"/>
      <c r="JWK73" s="421" t="n"/>
      <c r="JWL73" s="421" t="n"/>
      <c r="JWM73" s="421" t="n"/>
      <c r="JWN73" s="421" t="n"/>
      <c r="JWO73" s="421" t="n"/>
      <c r="JWP73" s="421" t="n"/>
      <c r="JWQ73" s="421" t="n"/>
      <c r="JWR73" s="421" t="n"/>
      <c r="JWS73" s="421" t="n"/>
      <c r="JWT73" s="421" t="n"/>
      <c r="JWU73" s="421" t="n"/>
      <c r="JWV73" s="421" t="n"/>
      <c r="JWW73" s="421" t="n"/>
      <c r="JWX73" s="421" t="n"/>
      <c r="JWY73" s="421" t="n"/>
      <c r="JWZ73" s="421" t="n"/>
      <c r="JXA73" s="421" t="n"/>
      <c r="JXB73" s="421" t="n"/>
      <c r="JXC73" s="421" t="n"/>
      <c r="JXD73" s="421" t="n"/>
      <c r="JXE73" s="421" t="n"/>
      <c r="JXF73" s="421" t="n"/>
      <c r="JXG73" s="421" t="n"/>
      <c r="JXH73" s="421" t="n"/>
      <c r="JXI73" s="421" t="n"/>
      <c r="JXJ73" s="421" t="n"/>
      <c r="JXK73" s="421" t="n"/>
      <c r="JXL73" s="421" t="n"/>
      <c r="JXM73" s="421" t="n"/>
      <c r="JXN73" s="421" t="n"/>
      <c r="JXO73" s="421" t="n"/>
      <c r="JXP73" s="421" t="n"/>
      <c r="JXQ73" s="421" t="n"/>
      <c r="JXR73" s="421" t="n"/>
      <c r="JXS73" s="421" t="n"/>
      <c r="JXT73" s="421" t="n"/>
      <c r="JXU73" s="421" t="n"/>
      <c r="JXV73" s="421" t="n"/>
      <c r="JXW73" s="421" t="n"/>
      <c r="JXX73" s="421" t="n"/>
      <c r="JXY73" s="421" t="n"/>
      <c r="JXZ73" s="421" t="n"/>
      <c r="JYA73" s="421" t="n"/>
      <c r="JYB73" s="421" t="n"/>
      <c r="JYC73" s="421" t="n"/>
      <c r="JYD73" s="421" t="n"/>
      <c r="JYE73" s="421" t="n"/>
      <c r="JYF73" s="421" t="n"/>
      <c r="JYG73" s="421" t="n"/>
      <c r="JYH73" s="421" t="n"/>
      <c r="JYI73" s="421" t="n"/>
      <c r="JYJ73" s="421" t="n"/>
      <c r="JYK73" s="421" t="n"/>
      <c r="JYL73" s="421" t="n"/>
      <c r="JYM73" s="421" t="n"/>
      <c r="JYN73" s="421" t="n"/>
      <c r="JYO73" s="421" t="n"/>
      <c r="JYP73" s="421" t="n"/>
      <c r="JYQ73" s="421" t="n"/>
      <c r="JYR73" s="421" t="n"/>
      <c r="JYS73" s="421" t="n"/>
      <c r="JYT73" s="421" t="n"/>
      <c r="JYU73" s="421" t="n"/>
      <c r="JYV73" s="421" t="n"/>
      <c r="JYW73" s="421" t="n"/>
      <c r="JYX73" s="421" t="n"/>
      <c r="JYY73" s="421" t="n"/>
      <c r="JYZ73" s="421" t="n"/>
      <c r="JZA73" s="421" t="n"/>
      <c r="JZB73" s="421" t="n"/>
      <c r="JZC73" s="421" t="n"/>
      <c r="JZD73" s="421" t="n"/>
      <c r="JZE73" s="421" t="n"/>
      <c r="JZF73" s="421" t="n"/>
      <c r="JZG73" s="421" t="n"/>
      <c r="JZH73" s="421" t="n"/>
      <c r="JZI73" s="421" t="n"/>
      <c r="JZJ73" s="421" t="n"/>
      <c r="JZK73" s="421" t="n"/>
      <c r="JZL73" s="421" t="n"/>
      <c r="JZM73" s="421" t="n"/>
      <c r="JZN73" s="421" t="n"/>
      <c r="JZO73" s="421" t="n"/>
      <c r="JZP73" s="421" t="n"/>
      <c r="JZQ73" s="421" t="n"/>
      <c r="JZR73" s="421" t="n"/>
      <c r="JZS73" s="421" t="n"/>
      <c r="JZT73" s="421" t="n"/>
      <c r="JZU73" s="421" t="n"/>
      <c r="JZV73" s="421" t="n"/>
      <c r="JZW73" s="421" t="n"/>
      <c r="JZX73" s="421" t="n"/>
      <c r="JZY73" s="421" t="n"/>
      <c r="JZZ73" s="421" t="n"/>
      <c r="KAA73" s="421" t="n"/>
      <c r="KAB73" s="421" t="n"/>
      <c r="KAC73" s="421" t="n"/>
      <c r="KAD73" s="421" t="n"/>
      <c r="KAE73" s="421" t="n"/>
      <c r="KAF73" s="421" t="n"/>
      <c r="KAG73" s="421" t="n"/>
      <c r="KAH73" s="421" t="n"/>
      <c r="KAI73" s="421" t="n"/>
      <c r="KAJ73" s="421" t="n"/>
      <c r="KAK73" s="421" t="n"/>
      <c r="KAL73" s="421" t="n"/>
      <c r="KAM73" s="421" t="n"/>
      <c r="KAN73" s="421" t="n"/>
      <c r="KAO73" s="421" t="n"/>
      <c r="KAP73" s="421" t="n"/>
      <c r="KAQ73" s="421" t="n"/>
      <c r="KAR73" s="421" t="n"/>
      <c r="KAS73" s="421" t="n"/>
      <c r="KAT73" s="421" t="n"/>
      <c r="KAU73" s="421" t="n"/>
      <c r="KAV73" s="421" t="n"/>
      <c r="KAW73" s="421" t="n"/>
      <c r="KAX73" s="421" t="n"/>
      <c r="KAY73" s="421" t="n"/>
      <c r="KAZ73" s="421" t="n"/>
      <c r="KBA73" s="421" t="n"/>
      <c r="KBB73" s="421" t="n"/>
      <c r="KBC73" s="421" t="n"/>
      <c r="KBD73" s="421" t="n"/>
      <c r="KBE73" s="421" t="n"/>
      <c r="KBF73" s="421" t="n"/>
      <c r="KBG73" s="421" t="n"/>
      <c r="KBH73" s="421" t="n"/>
      <c r="KBI73" s="421" t="n"/>
      <c r="KBJ73" s="421" t="n"/>
      <c r="KBK73" s="421" t="n"/>
      <c r="KBL73" s="421" t="n"/>
      <c r="KBM73" s="421" t="n"/>
      <c r="KBN73" s="421" t="n"/>
      <c r="KBO73" s="421" t="n"/>
      <c r="KBP73" s="421" t="n"/>
      <c r="KBQ73" s="421" t="n"/>
      <c r="KBR73" s="421" t="n"/>
      <c r="KBS73" s="421" t="n"/>
      <c r="KBT73" s="421" t="n"/>
      <c r="KBU73" s="421" t="n"/>
      <c r="KBV73" s="421" t="n"/>
      <c r="KBW73" s="421" t="n"/>
      <c r="KBX73" s="421" t="n"/>
      <c r="KBY73" s="421" t="n"/>
      <c r="KBZ73" s="421" t="n"/>
      <c r="KCA73" s="421" t="n"/>
      <c r="KCB73" s="421" t="n"/>
      <c r="KCC73" s="421" t="n"/>
      <c r="KCD73" s="421" t="n"/>
      <c r="KCE73" s="421" t="n"/>
      <c r="KCF73" s="421" t="n"/>
      <c r="KCG73" s="421" t="n"/>
      <c r="KCH73" s="421" t="n"/>
      <c r="KCI73" s="421" t="n"/>
      <c r="KCJ73" s="421" t="n"/>
      <c r="KCK73" s="421" t="n"/>
      <c r="KCL73" s="421" t="n"/>
      <c r="KCM73" s="421" t="n"/>
      <c r="KCN73" s="421" t="n"/>
      <c r="KCO73" s="421" t="n"/>
      <c r="KCP73" s="421" t="n"/>
      <c r="KCQ73" s="421" t="n"/>
      <c r="KCR73" s="421" t="n"/>
      <c r="KCS73" s="421" t="n"/>
      <c r="KCT73" s="421" t="n"/>
      <c r="KCU73" s="421" t="n"/>
      <c r="KCV73" s="421" t="n"/>
      <c r="KCW73" s="421" t="n"/>
      <c r="KCX73" s="421" t="n"/>
      <c r="KCY73" s="421" t="n"/>
      <c r="KCZ73" s="421" t="n"/>
      <c r="KDA73" s="421" t="n"/>
      <c r="KDB73" s="421" t="n"/>
      <c r="KDC73" s="421" t="n"/>
      <c r="KDD73" s="421" t="n"/>
      <c r="KDE73" s="421" t="n"/>
      <c r="KDF73" s="421" t="n"/>
      <c r="KDG73" s="421" t="n"/>
      <c r="KDH73" s="421" t="n"/>
      <c r="KDI73" s="421" t="n"/>
      <c r="KDJ73" s="421" t="n"/>
      <c r="KDK73" s="421" t="n"/>
      <c r="KDL73" s="421" t="n"/>
      <c r="KDM73" s="421" t="n"/>
      <c r="KDN73" s="421" t="n"/>
      <c r="KDO73" s="421" t="n"/>
      <c r="KDP73" s="421" t="n"/>
      <c r="KDQ73" s="421" t="n"/>
      <c r="KDR73" s="421" t="n"/>
      <c r="KDS73" s="421" t="n"/>
      <c r="KDT73" s="421" t="n"/>
      <c r="KDU73" s="421" t="n"/>
      <c r="KDV73" s="421" t="n"/>
      <c r="KDW73" s="421" t="n"/>
      <c r="KDX73" s="421" t="n"/>
      <c r="KDY73" s="421" t="n"/>
      <c r="KDZ73" s="421" t="n"/>
      <c r="KEA73" s="421" t="n"/>
      <c r="KEB73" s="421" t="n"/>
      <c r="KEC73" s="421" t="n"/>
      <c r="KED73" s="421" t="n"/>
      <c r="KEE73" s="421" t="n"/>
      <c r="KEF73" s="421" t="n"/>
      <c r="KEG73" s="421" t="n"/>
      <c r="KEH73" s="421" t="n"/>
      <c r="KEI73" s="421" t="n"/>
      <c r="KEJ73" s="421" t="n"/>
      <c r="KEK73" s="421" t="n"/>
      <c r="KEL73" s="421" t="n"/>
      <c r="KEM73" s="421" t="n"/>
      <c r="KEN73" s="421" t="n"/>
      <c r="KEO73" s="421" t="n"/>
      <c r="KEP73" s="421" t="n"/>
      <c r="KEQ73" s="421" t="n"/>
      <c r="KER73" s="421" t="n"/>
      <c r="KES73" s="421" t="n"/>
      <c r="KET73" s="421" t="n"/>
      <c r="KEU73" s="421" t="n"/>
      <c r="KEV73" s="421" t="n"/>
      <c r="KEW73" s="421" t="n"/>
      <c r="KEX73" s="421" t="n"/>
      <c r="KEY73" s="421" t="n"/>
      <c r="KEZ73" s="421" t="n"/>
      <c r="KFA73" s="421" t="n"/>
      <c r="KFB73" s="421" t="n"/>
      <c r="KFC73" s="421" t="n"/>
      <c r="KFD73" s="421" t="n"/>
      <c r="KFE73" s="421" t="n"/>
      <c r="KFF73" s="421" t="n"/>
      <c r="KFG73" s="421" t="n"/>
      <c r="KFH73" s="421" t="n"/>
      <c r="KFI73" s="421" t="n"/>
      <c r="KFJ73" s="421" t="n"/>
      <c r="KFK73" s="421" t="n"/>
      <c r="KFL73" s="421" t="n"/>
      <c r="KFM73" s="421" t="n"/>
      <c r="KFN73" s="421" t="n"/>
      <c r="KFO73" s="421" t="n"/>
      <c r="KFP73" s="421" t="n"/>
      <c r="KFQ73" s="421" t="n"/>
      <c r="KFR73" s="421" t="n"/>
      <c r="KFS73" s="421" t="n"/>
      <c r="KFT73" s="421" t="n"/>
      <c r="KFU73" s="421" t="n"/>
      <c r="KFV73" s="421" t="n"/>
      <c r="KFW73" s="421" t="n"/>
      <c r="KFX73" s="421" t="n"/>
      <c r="KFY73" s="421" t="n"/>
      <c r="KFZ73" s="421" t="n"/>
      <c r="KGA73" s="421" t="n"/>
      <c r="KGB73" s="421" t="n"/>
      <c r="KGC73" s="421" t="n"/>
      <c r="KGD73" s="421" t="n"/>
      <c r="KGE73" s="421" t="n"/>
      <c r="KGF73" s="421" t="n"/>
      <c r="KGG73" s="421" t="n"/>
      <c r="KGH73" s="421" t="n"/>
      <c r="KGI73" s="421" t="n"/>
      <c r="KGJ73" s="421" t="n"/>
      <c r="KGK73" s="421" t="n"/>
      <c r="KGL73" s="421" t="n"/>
      <c r="KGM73" s="421" t="n"/>
      <c r="KGN73" s="421" t="n"/>
      <c r="KGO73" s="421" t="n"/>
      <c r="KGP73" s="421" t="n"/>
      <c r="KGQ73" s="421" t="n"/>
      <c r="KGR73" s="421" t="n"/>
      <c r="KGS73" s="421" t="n"/>
      <c r="KGT73" s="421" t="n"/>
      <c r="KGU73" s="421" t="n"/>
      <c r="KGV73" s="421" t="n"/>
      <c r="KGW73" s="421" t="n"/>
      <c r="KGX73" s="421" t="n"/>
      <c r="KGY73" s="421" t="n"/>
      <c r="KGZ73" s="421" t="n"/>
      <c r="KHA73" s="421" t="n"/>
      <c r="KHB73" s="421" t="n"/>
      <c r="KHC73" s="421" t="n"/>
      <c r="KHD73" s="421" t="n"/>
      <c r="KHE73" s="421" t="n"/>
      <c r="KHF73" s="421" t="n"/>
      <c r="KHG73" s="421" t="n"/>
      <c r="KHH73" s="421" t="n"/>
      <c r="KHI73" s="421" t="n"/>
      <c r="KHJ73" s="421" t="n"/>
      <c r="KHK73" s="421" t="n"/>
      <c r="KHL73" s="421" t="n"/>
      <c r="KHM73" s="421" t="n"/>
      <c r="KHN73" s="421" t="n"/>
      <c r="KHO73" s="421" t="n"/>
      <c r="KHP73" s="421" t="n"/>
      <c r="KHQ73" s="421" t="n"/>
      <c r="KHR73" s="421" t="n"/>
      <c r="KHS73" s="421" t="n"/>
      <c r="KHT73" s="421" t="n"/>
      <c r="KHU73" s="421" t="n"/>
      <c r="KHV73" s="421" t="n"/>
      <c r="KHW73" s="421" t="n"/>
      <c r="KHX73" s="421" t="n"/>
      <c r="KHY73" s="421" t="n"/>
      <c r="KHZ73" s="421" t="n"/>
      <c r="KIA73" s="421" t="n"/>
      <c r="KIB73" s="421" t="n"/>
      <c r="KIC73" s="421" t="n"/>
      <c r="KID73" s="421" t="n"/>
      <c r="KIE73" s="421" t="n"/>
      <c r="KIF73" s="421" t="n"/>
      <c r="KIG73" s="421" t="n"/>
      <c r="KIH73" s="421" t="n"/>
      <c r="KII73" s="421" t="n"/>
      <c r="KIJ73" s="421" t="n"/>
      <c r="KIK73" s="421" t="n"/>
      <c r="KIL73" s="421" t="n"/>
      <c r="KIM73" s="421" t="n"/>
      <c r="KIN73" s="421" t="n"/>
      <c r="KIO73" s="421" t="n"/>
      <c r="KIP73" s="421" t="n"/>
      <c r="KIQ73" s="421" t="n"/>
      <c r="KIR73" s="421" t="n"/>
      <c r="KIS73" s="421" t="n"/>
      <c r="KIT73" s="421" t="n"/>
      <c r="KIU73" s="421" t="n"/>
      <c r="KIV73" s="421" t="n"/>
      <c r="KIW73" s="421" t="n"/>
      <c r="KIX73" s="421" t="n"/>
      <c r="KIY73" s="421" t="n"/>
      <c r="KIZ73" s="421" t="n"/>
      <c r="KJA73" s="421" t="n"/>
      <c r="KJB73" s="421" t="n"/>
      <c r="KJC73" s="421" t="n"/>
      <c r="KJD73" s="421" t="n"/>
      <c r="KJE73" s="421" t="n"/>
      <c r="KJF73" s="421" t="n"/>
      <c r="KJG73" s="421" t="n"/>
      <c r="KJH73" s="421" t="n"/>
      <c r="KJI73" s="421" t="n"/>
      <c r="KJJ73" s="421" t="n"/>
      <c r="KJK73" s="421" t="n"/>
      <c r="KJL73" s="421" t="n"/>
      <c r="KJM73" s="421" t="n"/>
      <c r="KJN73" s="421" t="n"/>
      <c r="KJO73" s="421" t="n"/>
      <c r="KJP73" s="421" t="n"/>
      <c r="KJQ73" s="421" t="n"/>
      <c r="KJR73" s="421" t="n"/>
      <c r="KJS73" s="421" t="n"/>
      <c r="KJT73" s="421" t="n"/>
      <c r="KJU73" s="421" t="n"/>
      <c r="KJV73" s="421" t="n"/>
      <c r="KJW73" s="421" t="n"/>
      <c r="KJX73" s="421" t="n"/>
      <c r="KJY73" s="421" t="n"/>
      <c r="KJZ73" s="421" t="n"/>
      <c r="KKA73" s="421" t="n"/>
      <c r="KKB73" s="421" t="n"/>
      <c r="KKC73" s="421" t="n"/>
      <c r="KKD73" s="421" t="n"/>
      <c r="KKE73" s="421" t="n"/>
      <c r="KKF73" s="421" t="n"/>
      <c r="KKG73" s="421" t="n"/>
      <c r="KKH73" s="421" t="n"/>
      <c r="KKI73" s="421" t="n"/>
      <c r="KKJ73" s="421" t="n"/>
      <c r="KKK73" s="421" t="n"/>
      <c r="KKL73" s="421" t="n"/>
      <c r="KKM73" s="421" t="n"/>
      <c r="KKN73" s="421" t="n"/>
      <c r="KKO73" s="421" t="n"/>
      <c r="KKP73" s="421" t="n"/>
      <c r="KKQ73" s="421" t="n"/>
      <c r="KKR73" s="421" t="n"/>
      <c r="KKS73" s="421" t="n"/>
      <c r="KKT73" s="421" t="n"/>
      <c r="KKU73" s="421" t="n"/>
      <c r="KKV73" s="421" t="n"/>
      <c r="KKW73" s="421" t="n"/>
      <c r="KKX73" s="421" t="n"/>
      <c r="KKY73" s="421" t="n"/>
      <c r="KKZ73" s="421" t="n"/>
      <c r="KLA73" s="421" t="n"/>
      <c r="KLB73" s="421" t="n"/>
      <c r="KLC73" s="421" t="n"/>
      <c r="KLD73" s="421" t="n"/>
      <c r="KLE73" s="421" t="n"/>
      <c r="KLF73" s="421" t="n"/>
      <c r="KLG73" s="421" t="n"/>
      <c r="KLH73" s="421" t="n"/>
      <c r="KLI73" s="421" t="n"/>
      <c r="KLJ73" s="421" t="n"/>
      <c r="KLK73" s="421" t="n"/>
      <c r="KLL73" s="421" t="n"/>
      <c r="KLM73" s="421" t="n"/>
      <c r="KLN73" s="421" t="n"/>
      <c r="KLO73" s="421" t="n"/>
      <c r="KLP73" s="421" t="n"/>
      <c r="KLQ73" s="421" t="n"/>
      <c r="KLR73" s="421" t="n"/>
      <c r="KLS73" s="421" t="n"/>
      <c r="KLT73" s="421" t="n"/>
      <c r="KLU73" s="421" t="n"/>
      <c r="KLV73" s="421" t="n"/>
      <c r="KLW73" s="421" t="n"/>
      <c r="KLX73" s="421" t="n"/>
      <c r="KLY73" s="421" t="n"/>
      <c r="KLZ73" s="421" t="n"/>
      <c r="KMA73" s="421" t="n"/>
      <c r="KMB73" s="421" t="n"/>
      <c r="KMC73" s="421" t="n"/>
      <c r="KMD73" s="421" t="n"/>
      <c r="KME73" s="421" t="n"/>
      <c r="KMF73" s="421" t="n"/>
      <c r="KMG73" s="421" t="n"/>
      <c r="KMH73" s="421" t="n"/>
      <c r="KMI73" s="421" t="n"/>
      <c r="KMJ73" s="421" t="n"/>
      <c r="KMK73" s="421" t="n"/>
      <c r="KML73" s="421" t="n"/>
      <c r="KMM73" s="421" t="n"/>
      <c r="KMN73" s="421" t="n"/>
      <c r="KMO73" s="421" t="n"/>
      <c r="KMP73" s="421" t="n"/>
      <c r="KMQ73" s="421" t="n"/>
      <c r="KMR73" s="421" t="n"/>
      <c r="KMS73" s="421" t="n"/>
      <c r="KMT73" s="421" t="n"/>
      <c r="KMU73" s="421" t="n"/>
      <c r="KMV73" s="421" t="n"/>
      <c r="KMW73" s="421" t="n"/>
      <c r="KMX73" s="421" t="n"/>
      <c r="KMY73" s="421" t="n"/>
      <c r="KMZ73" s="421" t="n"/>
      <c r="KNA73" s="421" t="n"/>
      <c r="KNB73" s="421" t="n"/>
      <c r="KNC73" s="421" t="n"/>
      <c r="KND73" s="421" t="n"/>
      <c r="KNE73" s="421" t="n"/>
      <c r="KNF73" s="421" t="n"/>
      <c r="KNG73" s="421" t="n"/>
      <c r="KNH73" s="421" t="n"/>
      <c r="KNI73" s="421" t="n"/>
      <c r="KNJ73" s="421" t="n"/>
      <c r="KNK73" s="421" t="n"/>
      <c r="KNL73" s="421" t="n"/>
      <c r="KNM73" s="421" t="n"/>
      <c r="KNN73" s="421" t="n"/>
      <c r="KNO73" s="421" t="n"/>
      <c r="KNP73" s="421" t="n"/>
      <c r="KNQ73" s="421" t="n"/>
      <c r="KNR73" s="421" t="n"/>
      <c r="KNS73" s="421" t="n"/>
      <c r="KNT73" s="421" t="n"/>
      <c r="KNU73" s="421" t="n"/>
      <c r="KNV73" s="421" t="n"/>
      <c r="KNW73" s="421" t="n"/>
      <c r="KNX73" s="421" t="n"/>
      <c r="KNY73" s="421" t="n"/>
      <c r="KNZ73" s="421" t="n"/>
      <c r="KOA73" s="421" t="n"/>
      <c r="KOB73" s="421" t="n"/>
      <c r="KOC73" s="421" t="n"/>
      <c r="KOD73" s="421" t="n"/>
      <c r="KOE73" s="421" t="n"/>
      <c r="KOF73" s="421" t="n"/>
      <c r="KOG73" s="421" t="n"/>
      <c r="KOH73" s="421" t="n"/>
      <c r="KOI73" s="421" t="n"/>
      <c r="KOJ73" s="421" t="n"/>
      <c r="KOK73" s="421" t="n"/>
      <c r="KOL73" s="421" t="n"/>
      <c r="KOM73" s="421" t="n"/>
      <c r="KON73" s="421" t="n"/>
      <c r="KOO73" s="421" t="n"/>
      <c r="KOP73" s="421" t="n"/>
      <c r="KOQ73" s="421" t="n"/>
      <c r="KOR73" s="421" t="n"/>
      <c r="KOS73" s="421" t="n"/>
      <c r="KOT73" s="421" t="n"/>
      <c r="KOU73" s="421" t="n"/>
      <c r="KOV73" s="421" t="n"/>
      <c r="KOW73" s="421" t="n"/>
      <c r="KOX73" s="421" t="n"/>
      <c r="KOY73" s="421" t="n"/>
      <c r="KOZ73" s="421" t="n"/>
      <c r="KPA73" s="421" t="n"/>
      <c r="KPB73" s="421" t="n"/>
      <c r="KPC73" s="421" t="n"/>
      <c r="KPD73" s="421" t="n"/>
      <c r="KPE73" s="421" t="n"/>
      <c r="KPF73" s="421" t="n"/>
      <c r="KPG73" s="421" t="n"/>
      <c r="KPH73" s="421" t="n"/>
      <c r="KPI73" s="421" t="n"/>
      <c r="KPJ73" s="421" t="n"/>
      <c r="KPK73" s="421" t="n"/>
      <c r="KPL73" s="421" t="n"/>
      <c r="KPM73" s="421" t="n"/>
      <c r="KPN73" s="421" t="n"/>
      <c r="KPO73" s="421" t="n"/>
      <c r="KPP73" s="421" t="n"/>
      <c r="KPQ73" s="421" t="n"/>
      <c r="KPR73" s="421" t="n"/>
      <c r="KPS73" s="421" t="n"/>
      <c r="KPT73" s="421" t="n"/>
      <c r="KPU73" s="421" t="n"/>
      <c r="KPV73" s="421" t="n"/>
      <c r="KPW73" s="421" t="n"/>
      <c r="KPX73" s="421" t="n"/>
      <c r="KPY73" s="421" t="n"/>
      <c r="KPZ73" s="421" t="n"/>
      <c r="KQA73" s="421" t="n"/>
      <c r="KQB73" s="421" t="n"/>
      <c r="KQC73" s="421" t="n"/>
      <c r="KQD73" s="421" t="n"/>
      <c r="KQE73" s="421" t="n"/>
      <c r="KQF73" s="421" t="n"/>
      <c r="KQG73" s="421" t="n"/>
      <c r="KQH73" s="421" t="n"/>
      <c r="KQI73" s="421" t="n"/>
      <c r="KQJ73" s="421" t="n"/>
      <c r="KQK73" s="421" t="n"/>
      <c r="KQL73" s="421" t="n"/>
      <c r="KQM73" s="421" t="n"/>
      <c r="KQN73" s="421" t="n"/>
      <c r="KQO73" s="421" t="n"/>
      <c r="KQP73" s="421" t="n"/>
      <c r="KQQ73" s="421" t="n"/>
      <c r="KQR73" s="421" t="n"/>
      <c r="KQS73" s="421" t="n"/>
      <c r="KQT73" s="421" t="n"/>
      <c r="KQU73" s="421" t="n"/>
      <c r="KQV73" s="421" t="n"/>
      <c r="KQW73" s="421" t="n"/>
      <c r="KQX73" s="421" t="n"/>
      <c r="KQY73" s="421" t="n"/>
      <c r="KQZ73" s="421" t="n"/>
      <c r="KRA73" s="421" t="n"/>
      <c r="KRB73" s="421" t="n"/>
      <c r="KRC73" s="421" t="n"/>
      <c r="KRD73" s="421" t="n"/>
      <c r="KRE73" s="421" t="n"/>
      <c r="KRF73" s="421" t="n"/>
      <c r="KRG73" s="421" t="n"/>
      <c r="KRH73" s="421" t="n"/>
      <c r="KRI73" s="421" t="n"/>
      <c r="KRJ73" s="421" t="n"/>
      <c r="KRK73" s="421" t="n"/>
      <c r="KRL73" s="421" t="n"/>
      <c r="KRM73" s="421" t="n"/>
      <c r="KRN73" s="421" t="n"/>
      <c r="KRO73" s="421" t="n"/>
      <c r="KRP73" s="421" t="n"/>
      <c r="KRQ73" s="421" t="n"/>
      <c r="KRR73" s="421" t="n"/>
      <c r="KRS73" s="421" t="n"/>
      <c r="KRT73" s="421" t="n"/>
      <c r="KRU73" s="421" t="n"/>
      <c r="KRV73" s="421" t="n"/>
      <c r="KRW73" s="421" t="n"/>
      <c r="KRX73" s="421" t="n"/>
      <c r="KRY73" s="421" t="n"/>
      <c r="KRZ73" s="421" t="n"/>
      <c r="KSA73" s="421" t="n"/>
      <c r="KSB73" s="421" t="n"/>
      <c r="KSC73" s="421" t="n"/>
      <c r="KSD73" s="421" t="n"/>
      <c r="KSE73" s="421" t="n"/>
      <c r="KSF73" s="421" t="n"/>
      <c r="KSG73" s="421" t="n"/>
      <c r="KSH73" s="421" t="n"/>
      <c r="KSI73" s="421" t="n"/>
      <c r="KSJ73" s="421" t="n"/>
      <c r="KSK73" s="421" t="n"/>
      <c r="KSL73" s="421" t="n"/>
      <c r="KSM73" s="421" t="n"/>
      <c r="KSN73" s="421" t="n"/>
      <c r="KSO73" s="421" t="n"/>
      <c r="KSP73" s="421" t="n"/>
      <c r="KSQ73" s="421" t="n"/>
      <c r="KSR73" s="421" t="n"/>
      <c r="KSS73" s="421" t="n"/>
      <c r="KST73" s="421" t="n"/>
      <c r="KSU73" s="421" t="n"/>
      <c r="KSV73" s="421" t="n"/>
      <c r="KSW73" s="421" t="n"/>
      <c r="KSX73" s="421" t="n"/>
      <c r="KSY73" s="421" t="n"/>
      <c r="KSZ73" s="421" t="n"/>
      <c r="KTA73" s="421" t="n"/>
      <c r="KTB73" s="421" t="n"/>
      <c r="KTC73" s="421" t="n"/>
      <c r="KTD73" s="421" t="n"/>
      <c r="KTE73" s="421" t="n"/>
      <c r="KTF73" s="421" t="n"/>
      <c r="KTG73" s="421" t="n"/>
      <c r="KTH73" s="421" t="n"/>
      <c r="KTI73" s="421" t="n"/>
      <c r="KTJ73" s="421" t="n"/>
      <c r="KTK73" s="421" t="n"/>
      <c r="KTL73" s="421" t="n"/>
      <c r="KTM73" s="421" t="n"/>
      <c r="KTN73" s="421" t="n"/>
      <c r="KTO73" s="421" t="n"/>
      <c r="KTP73" s="421" t="n"/>
      <c r="KTQ73" s="421" t="n"/>
      <c r="KTR73" s="421" t="n"/>
      <c r="KTS73" s="421" t="n"/>
      <c r="KTT73" s="421" t="n"/>
      <c r="KTU73" s="421" t="n"/>
      <c r="KTV73" s="421" t="n"/>
      <c r="KTW73" s="421" t="n"/>
      <c r="KTX73" s="421" t="n"/>
      <c r="KTY73" s="421" t="n"/>
      <c r="KTZ73" s="421" t="n"/>
      <c r="KUA73" s="421" t="n"/>
      <c r="KUB73" s="421" t="n"/>
      <c r="KUC73" s="421" t="n"/>
      <c r="KUD73" s="421" t="n"/>
      <c r="KUE73" s="421" t="n"/>
      <c r="KUF73" s="421" t="n"/>
      <c r="KUG73" s="421" t="n"/>
      <c r="KUH73" s="421" t="n"/>
      <c r="KUI73" s="421" t="n"/>
      <c r="KUJ73" s="421" t="n"/>
      <c r="KUK73" s="421" t="n"/>
      <c r="KUL73" s="421" t="n"/>
      <c r="KUM73" s="421" t="n"/>
      <c r="KUN73" s="421" t="n"/>
      <c r="KUO73" s="421" t="n"/>
      <c r="KUP73" s="421" t="n"/>
      <c r="KUQ73" s="421" t="n"/>
      <c r="KUR73" s="421" t="n"/>
      <c r="KUS73" s="421" t="n"/>
      <c r="KUT73" s="421" t="n"/>
      <c r="KUU73" s="421" t="n"/>
      <c r="KUV73" s="421" t="n"/>
      <c r="KUW73" s="421" t="n"/>
      <c r="KUX73" s="421" t="n"/>
      <c r="KUY73" s="421" t="n"/>
      <c r="KUZ73" s="421" t="n"/>
      <c r="KVA73" s="421" t="n"/>
      <c r="KVB73" s="421" t="n"/>
      <c r="KVC73" s="421" t="n"/>
      <c r="KVD73" s="421" t="n"/>
      <c r="KVE73" s="421" t="n"/>
      <c r="KVF73" s="421" t="n"/>
      <c r="KVG73" s="421" t="n"/>
      <c r="KVH73" s="421" t="n"/>
      <c r="KVI73" s="421" t="n"/>
      <c r="KVJ73" s="421" t="n"/>
      <c r="KVK73" s="421" t="n"/>
      <c r="KVL73" s="421" t="n"/>
      <c r="KVM73" s="421" t="n"/>
      <c r="KVN73" s="421" t="n"/>
      <c r="KVO73" s="421" t="n"/>
      <c r="KVP73" s="421" t="n"/>
      <c r="KVQ73" s="421" t="n"/>
      <c r="KVR73" s="421" t="n"/>
      <c r="KVS73" s="421" t="n"/>
      <c r="KVT73" s="421" t="n"/>
      <c r="KVU73" s="421" t="n"/>
      <c r="KVV73" s="421" t="n"/>
      <c r="KVW73" s="421" t="n"/>
      <c r="KVX73" s="421" t="n"/>
      <c r="KVY73" s="421" t="n"/>
      <c r="KVZ73" s="421" t="n"/>
      <c r="KWA73" s="421" t="n"/>
      <c r="KWB73" s="421" t="n"/>
      <c r="KWC73" s="421" t="n"/>
      <c r="KWD73" s="421" t="n"/>
      <c r="KWE73" s="421" t="n"/>
      <c r="KWF73" s="421" t="n"/>
      <c r="KWG73" s="421" t="n"/>
      <c r="KWH73" s="421" t="n"/>
      <c r="KWI73" s="421" t="n"/>
      <c r="KWJ73" s="421" t="n"/>
      <c r="KWK73" s="421" t="n"/>
      <c r="KWL73" s="421" t="n"/>
      <c r="KWM73" s="421" t="n"/>
      <c r="KWN73" s="421" t="n"/>
      <c r="KWO73" s="421" t="n"/>
      <c r="KWP73" s="421" t="n"/>
      <c r="KWQ73" s="421" t="n"/>
      <c r="KWR73" s="421" t="n"/>
      <c r="KWS73" s="421" t="n"/>
      <c r="KWT73" s="421" t="n"/>
      <c r="KWU73" s="421" t="n"/>
      <c r="KWV73" s="421" t="n"/>
      <c r="KWW73" s="421" t="n"/>
      <c r="KWX73" s="421" t="n"/>
      <c r="KWY73" s="421" t="n"/>
      <c r="KWZ73" s="421" t="n"/>
      <c r="KXA73" s="421" t="n"/>
      <c r="KXB73" s="421" t="n"/>
      <c r="KXC73" s="421" t="n"/>
      <c r="KXD73" s="421" t="n"/>
      <c r="KXE73" s="421" t="n"/>
      <c r="KXF73" s="421" t="n"/>
      <c r="KXG73" s="421" t="n"/>
      <c r="KXH73" s="421" t="n"/>
      <c r="KXI73" s="421" t="n"/>
      <c r="KXJ73" s="421" t="n"/>
      <c r="KXK73" s="421" t="n"/>
      <c r="KXL73" s="421" t="n"/>
      <c r="KXM73" s="421" t="n"/>
      <c r="KXN73" s="421" t="n"/>
      <c r="KXO73" s="421" t="n"/>
      <c r="KXP73" s="421" t="n"/>
      <c r="KXQ73" s="421" t="n"/>
      <c r="KXR73" s="421" t="n"/>
      <c r="KXS73" s="421" t="n"/>
      <c r="KXT73" s="421" t="n"/>
      <c r="KXU73" s="421" t="n"/>
      <c r="KXV73" s="421" t="n"/>
      <c r="KXW73" s="421" t="n"/>
      <c r="KXX73" s="421" t="n"/>
      <c r="KXY73" s="421" t="n"/>
      <c r="KXZ73" s="421" t="n"/>
      <c r="KYA73" s="421" t="n"/>
      <c r="KYB73" s="421" t="n"/>
      <c r="KYC73" s="421" t="n"/>
      <c r="KYD73" s="421" t="n"/>
      <c r="KYE73" s="421" t="n"/>
      <c r="KYF73" s="421" t="n"/>
      <c r="KYG73" s="421" t="n"/>
      <c r="KYH73" s="421" t="n"/>
      <c r="KYI73" s="421" t="n"/>
      <c r="KYJ73" s="421" t="n"/>
      <c r="KYK73" s="421" t="n"/>
      <c r="KYL73" s="421" t="n"/>
      <c r="KYM73" s="421" t="n"/>
      <c r="KYN73" s="421" t="n"/>
      <c r="KYO73" s="421" t="n"/>
      <c r="KYP73" s="421" t="n"/>
      <c r="KYQ73" s="421" t="n"/>
      <c r="KYR73" s="421" t="n"/>
      <c r="KYS73" s="421" t="n"/>
      <c r="KYT73" s="421" t="n"/>
      <c r="KYU73" s="421" t="n"/>
      <c r="KYV73" s="421" t="n"/>
      <c r="KYW73" s="421" t="n"/>
      <c r="KYX73" s="421" t="n"/>
      <c r="KYY73" s="421" t="n"/>
      <c r="KYZ73" s="421" t="n"/>
      <c r="KZA73" s="421" t="n"/>
      <c r="KZB73" s="421" t="n"/>
      <c r="KZC73" s="421" t="n"/>
      <c r="KZD73" s="421" t="n"/>
      <c r="KZE73" s="421" t="n"/>
      <c r="KZF73" s="421" t="n"/>
      <c r="KZG73" s="421" t="n"/>
      <c r="KZH73" s="421" t="n"/>
      <c r="KZI73" s="421" t="n"/>
      <c r="KZJ73" s="421" t="n"/>
      <c r="KZK73" s="421" t="n"/>
      <c r="KZL73" s="421" t="n"/>
      <c r="KZM73" s="421" t="n"/>
      <c r="KZN73" s="421" t="n"/>
      <c r="KZO73" s="421" t="n"/>
      <c r="KZP73" s="421" t="n"/>
      <c r="KZQ73" s="421" t="n"/>
      <c r="KZR73" s="421" t="n"/>
      <c r="KZS73" s="421" t="n"/>
      <c r="KZT73" s="421" t="n"/>
      <c r="KZU73" s="421" t="n"/>
      <c r="KZV73" s="421" t="n"/>
      <c r="KZW73" s="421" t="n"/>
      <c r="KZX73" s="421" t="n"/>
      <c r="KZY73" s="421" t="n"/>
      <c r="KZZ73" s="421" t="n"/>
      <c r="LAA73" s="421" t="n"/>
      <c r="LAB73" s="421" t="n"/>
      <c r="LAC73" s="421" t="n"/>
      <c r="LAD73" s="421" t="n"/>
      <c r="LAE73" s="421" t="n"/>
      <c r="LAF73" s="421" t="n"/>
      <c r="LAG73" s="421" t="n"/>
      <c r="LAH73" s="421" t="n"/>
      <c r="LAI73" s="421" t="n"/>
      <c r="LAJ73" s="421" t="n"/>
      <c r="LAK73" s="421" t="n"/>
      <c r="LAL73" s="421" t="n"/>
      <c r="LAM73" s="421" t="n"/>
      <c r="LAN73" s="421" t="n"/>
      <c r="LAO73" s="421" t="n"/>
      <c r="LAP73" s="421" t="n"/>
      <c r="LAQ73" s="421" t="n"/>
      <c r="LAR73" s="421" t="n"/>
      <c r="LAS73" s="421" t="n"/>
      <c r="LAT73" s="421" t="n"/>
      <c r="LAU73" s="421" t="n"/>
      <c r="LAV73" s="421" t="n"/>
      <c r="LAW73" s="421" t="n"/>
      <c r="LAX73" s="421" t="n"/>
      <c r="LAY73" s="421" t="n"/>
      <c r="LAZ73" s="421" t="n"/>
      <c r="LBA73" s="421" t="n"/>
      <c r="LBB73" s="421" t="n"/>
      <c r="LBC73" s="421" t="n"/>
      <c r="LBD73" s="421" t="n"/>
      <c r="LBE73" s="421" t="n"/>
      <c r="LBF73" s="421" t="n"/>
      <c r="LBG73" s="421" t="n"/>
      <c r="LBH73" s="421" t="n"/>
      <c r="LBI73" s="421" t="n"/>
      <c r="LBJ73" s="421" t="n"/>
      <c r="LBK73" s="421" t="n"/>
      <c r="LBL73" s="421" t="n"/>
      <c r="LBM73" s="421" t="n"/>
      <c r="LBN73" s="421" t="n"/>
      <c r="LBO73" s="421" t="n"/>
      <c r="LBP73" s="421" t="n"/>
      <c r="LBQ73" s="421" t="n"/>
      <c r="LBR73" s="421" t="n"/>
      <c r="LBS73" s="421" t="n"/>
      <c r="LBT73" s="421" t="n"/>
      <c r="LBU73" s="421" t="n"/>
      <c r="LBV73" s="421" t="n"/>
      <c r="LBW73" s="421" t="n"/>
      <c r="LBX73" s="421" t="n"/>
      <c r="LBY73" s="421" t="n"/>
      <c r="LBZ73" s="421" t="n"/>
      <c r="LCA73" s="421" t="n"/>
      <c r="LCB73" s="421" t="n"/>
      <c r="LCC73" s="421" t="n"/>
      <c r="LCD73" s="421" t="n"/>
      <c r="LCE73" s="421" t="n"/>
      <c r="LCF73" s="421" t="n"/>
      <c r="LCG73" s="421" t="n"/>
      <c r="LCH73" s="421" t="n"/>
      <c r="LCI73" s="421" t="n"/>
      <c r="LCJ73" s="421" t="n"/>
      <c r="LCK73" s="421" t="n"/>
      <c r="LCL73" s="421" t="n"/>
      <c r="LCM73" s="421" t="n"/>
      <c r="LCN73" s="421" t="n"/>
      <c r="LCO73" s="421" t="n"/>
      <c r="LCP73" s="421" t="n"/>
      <c r="LCQ73" s="421" t="n"/>
      <c r="LCR73" s="421" t="n"/>
      <c r="LCS73" s="421" t="n"/>
      <c r="LCT73" s="421" t="n"/>
      <c r="LCU73" s="421" t="n"/>
      <c r="LCV73" s="421" t="n"/>
      <c r="LCW73" s="421" t="n"/>
      <c r="LCX73" s="421" t="n"/>
      <c r="LCY73" s="421" t="n"/>
      <c r="LCZ73" s="421" t="n"/>
      <c r="LDA73" s="421" t="n"/>
      <c r="LDB73" s="421" t="n"/>
      <c r="LDC73" s="421" t="n"/>
      <c r="LDD73" s="421" t="n"/>
      <c r="LDE73" s="421" t="n"/>
      <c r="LDF73" s="421" t="n"/>
      <c r="LDG73" s="421" t="n"/>
      <c r="LDH73" s="421" t="n"/>
      <c r="LDI73" s="421" t="n"/>
      <c r="LDJ73" s="421" t="n"/>
      <c r="LDK73" s="421" t="n"/>
      <c r="LDL73" s="421" t="n"/>
      <c r="LDM73" s="421" t="n"/>
      <c r="LDN73" s="421" t="n"/>
      <c r="LDO73" s="421" t="n"/>
      <c r="LDP73" s="421" t="n"/>
      <c r="LDQ73" s="421" t="n"/>
      <c r="LDR73" s="421" t="n"/>
      <c r="LDS73" s="421" t="n"/>
      <c r="LDT73" s="421" t="n"/>
      <c r="LDU73" s="421" t="n"/>
      <c r="LDV73" s="421" t="n"/>
      <c r="LDW73" s="421" t="n"/>
      <c r="LDX73" s="421" t="n"/>
      <c r="LDY73" s="421" t="n"/>
      <c r="LDZ73" s="421" t="n"/>
      <c r="LEA73" s="421" t="n"/>
      <c r="LEB73" s="421" t="n"/>
      <c r="LEC73" s="421" t="n"/>
      <c r="LED73" s="421" t="n"/>
      <c r="LEE73" s="421" t="n"/>
      <c r="LEF73" s="421" t="n"/>
      <c r="LEG73" s="421" t="n"/>
      <c r="LEH73" s="421" t="n"/>
      <c r="LEI73" s="421" t="n"/>
      <c r="LEJ73" s="421" t="n"/>
      <c r="LEK73" s="421" t="n"/>
      <c r="LEL73" s="421" t="n"/>
      <c r="LEM73" s="421" t="n"/>
      <c r="LEN73" s="421" t="n"/>
      <c r="LEO73" s="421" t="n"/>
      <c r="LEP73" s="421" t="n"/>
      <c r="LEQ73" s="421" t="n"/>
      <c r="LER73" s="421" t="n"/>
      <c r="LES73" s="421" t="n"/>
      <c r="LET73" s="421" t="n"/>
      <c r="LEU73" s="421" t="n"/>
      <c r="LEV73" s="421" t="n"/>
      <c r="LEW73" s="421" t="n"/>
      <c r="LEX73" s="421" t="n"/>
      <c r="LEY73" s="421" t="n"/>
      <c r="LEZ73" s="421" t="n"/>
      <c r="LFA73" s="421" t="n"/>
      <c r="LFB73" s="421" t="n"/>
      <c r="LFC73" s="421" t="n"/>
      <c r="LFD73" s="421" t="n"/>
      <c r="LFE73" s="421" t="n"/>
      <c r="LFF73" s="421" t="n"/>
      <c r="LFG73" s="421" t="n"/>
      <c r="LFH73" s="421" t="n"/>
      <c r="LFI73" s="421" t="n"/>
      <c r="LFJ73" s="421" t="n"/>
      <c r="LFK73" s="421" t="n"/>
      <c r="LFL73" s="421" t="n"/>
      <c r="LFM73" s="421" t="n"/>
      <c r="LFN73" s="421" t="n"/>
      <c r="LFO73" s="421" t="n"/>
      <c r="LFP73" s="421" t="n"/>
      <c r="LFQ73" s="421" t="n"/>
      <c r="LFR73" s="421" t="n"/>
      <c r="LFS73" s="421" t="n"/>
      <c r="LFT73" s="421" t="n"/>
      <c r="LFU73" s="421" t="n"/>
      <c r="LFV73" s="421" t="n"/>
      <c r="LFW73" s="421" t="n"/>
      <c r="LFX73" s="421" t="n"/>
      <c r="LFY73" s="421" t="n"/>
      <c r="LFZ73" s="421" t="n"/>
      <c r="LGA73" s="421" t="n"/>
      <c r="LGB73" s="421" t="n"/>
      <c r="LGC73" s="421" t="n"/>
      <c r="LGD73" s="421" t="n"/>
      <c r="LGE73" s="421" t="n"/>
      <c r="LGF73" s="421" t="n"/>
      <c r="LGG73" s="421" t="n"/>
      <c r="LGH73" s="421" t="n"/>
      <c r="LGI73" s="421" t="n"/>
      <c r="LGJ73" s="421" t="n"/>
      <c r="LGK73" s="421" t="n"/>
      <c r="LGL73" s="421" t="n"/>
      <c r="LGM73" s="421" t="n"/>
      <c r="LGN73" s="421" t="n"/>
      <c r="LGO73" s="421" t="n"/>
      <c r="LGP73" s="421" t="n"/>
      <c r="LGQ73" s="421" t="n"/>
      <c r="LGR73" s="421" t="n"/>
      <c r="LGS73" s="421" t="n"/>
      <c r="LGT73" s="421" t="n"/>
      <c r="LGU73" s="421" t="n"/>
      <c r="LGV73" s="421" t="n"/>
      <c r="LGW73" s="421" t="n"/>
      <c r="LGX73" s="421" t="n"/>
      <c r="LGY73" s="421" t="n"/>
      <c r="LGZ73" s="421" t="n"/>
      <c r="LHA73" s="421" t="n"/>
      <c r="LHB73" s="421" t="n"/>
      <c r="LHC73" s="421" t="n"/>
      <c r="LHD73" s="421" t="n"/>
      <c r="LHE73" s="421" t="n"/>
      <c r="LHF73" s="421" t="n"/>
      <c r="LHG73" s="421" t="n"/>
      <c r="LHH73" s="421" t="n"/>
      <c r="LHI73" s="421" t="n"/>
      <c r="LHJ73" s="421" t="n"/>
      <c r="LHK73" s="421" t="n"/>
      <c r="LHL73" s="421" t="n"/>
      <c r="LHM73" s="421" t="n"/>
      <c r="LHN73" s="421" t="n"/>
      <c r="LHO73" s="421" t="n"/>
      <c r="LHP73" s="421" t="n"/>
      <c r="LHQ73" s="421" t="n"/>
      <c r="LHR73" s="421" t="n"/>
      <c r="LHS73" s="421" t="n"/>
      <c r="LHT73" s="421" t="n"/>
      <c r="LHU73" s="421" t="n"/>
      <c r="LHV73" s="421" t="n"/>
      <c r="LHW73" s="421" t="n"/>
      <c r="LHX73" s="421" t="n"/>
      <c r="LHY73" s="421" t="n"/>
      <c r="LHZ73" s="421" t="n"/>
      <c r="LIA73" s="421" t="n"/>
      <c r="LIB73" s="421" t="n"/>
      <c r="LIC73" s="421" t="n"/>
      <c r="LID73" s="421" t="n"/>
      <c r="LIE73" s="421" t="n"/>
      <c r="LIF73" s="421" t="n"/>
      <c r="LIG73" s="421" t="n"/>
      <c r="LIH73" s="421" t="n"/>
      <c r="LII73" s="421" t="n"/>
      <c r="LIJ73" s="421" t="n"/>
      <c r="LIK73" s="421" t="n"/>
      <c r="LIL73" s="421" t="n"/>
      <c r="LIM73" s="421" t="n"/>
      <c r="LIN73" s="421" t="n"/>
      <c r="LIO73" s="421" t="n"/>
      <c r="LIP73" s="421" t="n"/>
      <c r="LIQ73" s="421" t="n"/>
      <c r="LIR73" s="421" t="n"/>
      <c r="LIS73" s="421" t="n"/>
      <c r="LIT73" s="421" t="n"/>
      <c r="LIU73" s="421" t="n"/>
      <c r="LIV73" s="421" t="n"/>
      <c r="LIW73" s="421" t="n"/>
      <c r="LIX73" s="421" t="n"/>
      <c r="LIY73" s="421" t="n"/>
      <c r="LIZ73" s="421" t="n"/>
      <c r="LJA73" s="421" t="n"/>
      <c r="LJB73" s="421" t="n"/>
      <c r="LJC73" s="421" t="n"/>
      <c r="LJD73" s="421" t="n"/>
      <c r="LJE73" s="421" t="n"/>
      <c r="LJF73" s="421" t="n"/>
      <c r="LJG73" s="421" t="n"/>
      <c r="LJH73" s="421" t="n"/>
      <c r="LJI73" s="421" t="n"/>
      <c r="LJJ73" s="421" t="n"/>
      <c r="LJK73" s="421" t="n"/>
      <c r="LJL73" s="421" t="n"/>
      <c r="LJM73" s="421" t="n"/>
      <c r="LJN73" s="421" t="n"/>
      <c r="LJO73" s="421" t="n"/>
      <c r="LJP73" s="421" t="n"/>
      <c r="LJQ73" s="421" t="n"/>
      <c r="LJR73" s="421" t="n"/>
      <c r="LJS73" s="421" t="n"/>
      <c r="LJT73" s="421" t="n"/>
      <c r="LJU73" s="421" t="n"/>
      <c r="LJV73" s="421" t="n"/>
      <c r="LJW73" s="421" t="n"/>
      <c r="LJX73" s="421" t="n"/>
      <c r="LJY73" s="421" t="n"/>
      <c r="LJZ73" s="421" t="n"/>
      <c r="LKA73" s="421" t="n"/>
      <c r="LKB73" s="421" t="n"/>
      <c r="LKC73" s="421" t="n"/>
      <c r="LKD73" s="421" t="n"/>
      <c r="LKE73" s="421" t="n"/>
      <c r="LKF73" s="421" t="n"/>
      <c r="LKG73" s="421" t="n"/>
      <c r="LKH73" s="421" t="n"/>
      <c r="LKI73" s="421" t="n"/>
      <c r="LKJ73" s="421" t="n"/>
      <c r="LKK73" s="421" t="n"/>
      <c r="LKL73" s="421" t="n"/>
      <c r="LKM73" s="421" t="n"/>
      <c r="LKN73" s="421" t="n"/>
      <c r="LKO73" s="421" t="n"/>
      <c r="LKP73" s="421" t="n"/>
      <c r="LKQ73" s="421" t="n"/>
      <c r="LKR73" s="421" t="n"/>
      <c r="LKS73" s="421" t="n"/>
      <c r="LKT73" s="421" t="n"/>
      <c r="LKU73" s="421" t="n"/>
      <c r="LKV73" s="421" t="n"/>
      <c r="LKW73" s="421" t="n"/>
      <c r="LKX73" s="421" t="n"/>
      <c r="LKY73" s="421" t="n"/>
      <c r="LKZ73" s="421" t="n"/>
      <c r="LLA73" s="421" t="n"/>
      <c r="LLB73" s="421" t="n"/>
      <c r="LLC73" s="421" t="n"/>
      <c r="LLD73" s="421" t="n"/>
      <c r="LLE73" s="421" t="n"/>
      <c r="LLF73" s="421" t="n"/>
      <c r="LLG73" s="421" t="n"/>
      <c r="LLH73" s="421" t="n"/>
      <c r="LLI73" s="421" t="n"/>
      <c r="LLJ73" s="421" t="n"/>
      <c r="LLK73" s="421" t="n"/>
      <c r="LLL73" s="421" t="n"/>
      <c r="LLM73" s="421" t="n"/>
      <c r="LLN73" s="421" t="n"/>
      <c r="LLO73" s="421" t="n"/>
      <c r="LLP73" s="421" t="n"/>
      <c r="LLQ73" s="421" t="n"/>
      <c r="LLR73" s="421" t="n"/>
      <c r="LLS73" s="421" t="n"/>
      <c r="LLT73" s="421" t="n"/>
      <c r="LLU73" s="421" t="n"/>
      <c r="LLV73" s="421" t="n"/>
      <c r="LLW73" s="421" t="n"/>
      <c r="LLX73" s="421" t="n"/>
      <c r="LLY73" s="421" t="n"/>
      <c r="LLZ73" s="421" t="n"/>
      <c r="LMA73" s="421" t="n"/>
      <c r="LMB73" s="421" t="n"/>
      <c r="LMC73" s="421" t="n"/>
      <c r="LMD73" s="421" t="n"/>
      <c r="LME73" s="421" t="n"/>
      <c r="LMF73" s="421" t="n"/>
      <c r="LMG73" s="421" t="n"/>
      <c r="LMH73" s="421" t="n"/>
      <c r="LMI73" s="421" t="n"/>
      <c r="LMJ73" s="421" t="n"/>
      <c r="LMK73" s="421" t="n"/>
      <c r="LML73" s="421" t="n"/>
      <c r="LMM73" s="421" t="n"/>
      <c r="LMN73" s="421" t="n"/>
      <c r="LMO73" s="421" t="n"/>
      <c r="LMP73" s="421" t="n"/>
      <c r="LMQ73" s="421" t="n"/>
      <c r="LMR73" s="421" t="n"/>
      <c r="LMS73" s="421" t="n"/>
      <c r="LMT73" s="421" t="n"/>
      <c r="LMU73" s="421" t="n"/>
      <c r="LMV73" s="421" t="n"/>
      <c r="LMW73" s="421" t="n"/>
      <c r="LMX73" s="421" t="n"/>
      <c r="LMY73" s="421" t="n"/>
      <c r="LMZ73" s="421" t="n"/>
      <c r="LNA73" s="421" t="n"/>
      <c r="LNB73" s="421" t="n"/>
      <c r="LNC73" s="421" t="n"/>
      <c r="LND73" s="421" t="n"/>
      <c r="LNE73" s="421" t="n"/>
      <c r="LNF73" s="421" t="n"/>
      <c r="LNG73" s="421" t="n"/>
      <c r="LNH73" s="421" t="n"/>
      <c r="LNI73" s="421" t="n"/>
      <c r="LNJ73" s="421" t="n"/>
      <c r="LNK73" s="421" t="n"/>
      <c r="LNL73" s="421" t="n"/>
      <c r="LNM73" s="421" t="n"/>
      <c r="LNN73" s="421" t="n"/>
      <c r="LNO73" s="421" t="n"/>
      <c r="LNP73" s="421" t="n"/>
      <c r="LNQ73" s="421" t="n"/>
      <c r="LNR73" s="421" t="n"/>
      <c r="LNS73" s="421" t="n"/>
      <c r="LNT73" s="421" t="n"/>
      <c r="LNU73" s="421" t="n"/>
      <c r="LNV73" s="421" t="n"/>
      <c r="LNW73" s="421" t="n"/>
      <c r="LNX73" s="421" t="n"/>
      <c r="LNY73" s="421" t="n"/>
      <c r="LNZ73" s="421" t="n"/>
      <c r="LOA73" s="421" t="n"/>
      <c r="LOB73" s="421" t="n"/>
      <c r="LOC73" s="421" t="n"/>
      <c r="LOD73" s="421" t="n"/>
      <c r="LOE73" s="421" t="n"/>
      <c r="LOF73" s="421" t="n"/>
      <c r="LOG73" s="421" t="n"/>
      <c r="LOH73" s="421" t="n"/>
      <c r="LOI73" s="421" t="n"/>
      <c r="LOJ73" s="421" t="n"/>
      <c r="LOK73" s="421" t="n"/>
      <c r="LOL73" s="421" t="n"/>
      <c r="LOM73" s="421" t="n"/>
      <c r="LON73" s="421" t="n"/>
      <c r="LOO73" s="421" t="n"/>
      <c r="LOP73" s="421" t="n"/>
      <c r="LOQ73" s="421" t="n"/>
      <c r="LOR73" s="421" t="n"/>
      <c r="LOS73" s="421" t="n"/>
      <c r="LOT73" s="421" t="n"/>
      <c r="LOU73" s="421" t="n"/>
      <c r="LOV73" s="421" t="n"/>
      <c r="LOW73" s="421" t="n"/>
      <c r="LOX73" s="421" t="n"/>
      <c r="LOY73" s="421" t="n"/>
      <c r="LOZ73" s="421" t="n"/>
      <c r="LPA73" s="421" t="n"/>
      <c r="LPB73" s="421" t="n"/>
      <c r="LPC73" s="421" t="n"/>
      <c r="LPD73" s="421" t="n"/>
      <c r="LPE73" s="421" t="n"/>
      <c r="LPF73" s="421" t="n"/>
      <c r="LPG73" s="421" t="n"/>
      <c r="LPH73" s="421" t="n"/>
      <c r="LPI73" s="421" t="n"/>
      <c r="LPJ73" s="421" t="n"/>
      <c r="LPK73" s="421" t="n"/>
      <c r="LPL73" s="421" t="n"/>
      <c r="LPM73" s="421" t="n"/>
      <c r="LPN73" s="421" t="n"/>
      <c r="LPO73" s="421" t="n"/>
      <c r="LPP73" s="421" t="n"/>
      <c r="LPQ73" s="421" t="n"/>
      <c r="LPR73" s="421" t="n"/>
      <c r="LPS73" s="421" t="n"/>
      <c r="LPT73" s="421" t="n"/>
      <c r="LPU73" s="421" t="n"/>
      <c r="LPV73" s="421" t="n"/>
      <c r="LPW73" s="421" t="n"/>
      <c r="LPX73" s="421" t="n"/>
      <c r="LPY73" s="421" t="n"/>
      <c r="LPZ73" s="421" t="n"/>
      <c r="LQA73" s="421" t="n"/>
      <c r="LQB73" s="421" t="n"/>
      <c r="LQC73" s="421" t="n"/>
      <c r="LQD73" s="421" t="n"/>
      <c r="LQE73" s="421" t="n"/>
      <c r="LQF73" s="421" t="n"/>
      <c r="LQG73" s="421" t="n"/>
      <c r="LQH73" s="421" t="n"/>
      <c r="LQI73" s="421" t="n"/>
      <c r="LQJ73" s="421" t="n"/>
      <c r="LQK73" s="421" t="n"/>
      <c r="LQL73" s="421" t="n"/>
      <c r="LQM73" s="421" t="n"/>
      <c r="LQN73" s="421" t="n"/>
      <c r="LQO73" s="421" t="n"/>
      <c r="LQP73" s="421" t="n"/>
      <c r="LQQ73" s="421" t="n"/>
      <c r="LQR73" s="421" t="n"/>
      <c r="LQS73" s="421" t="n"/>
      <c r="LQT73" s="421" t="n"/>
      <c r="LQU73" s="421" t="n"/>
      <c r="LQV73" s="421" t="n"/>
      <c r="LQW73" s="421" t="n"/>
      <c r="LQX73" s="421" t="n"/>
      <c r="LQY73" s="421" t="n"/>
      <c r="LQZ73" s="421" t="n"/>
      <c r="LRA73" s="421" t="n"/>
      <c r="LRB73" s="421" t="n"/>
      <c r="LRC73" s="421" t="n"/>
      <c r="LRD73" s="421" t="n"/>
      <c r="LRE73" s="421" t="n"/>
      <c r="LRF73" s="421" t="n"/>
      <c r="LRG73" s="421" t="n"/>
      <c r="LRH73" s="421" t="n"/>
      <c r="LRI73" s="421" t="n"/>
      <c r="LRJ73" s="421" t="n"/>
      <c r="LRK73" s="421" t="n"/>
      <c r="LRL73" s="421" t="n"/>
      <c r="LRM73" s="421" t="n"/>
      <c r="LRN73" s="421" t="n"/>
      <c r="LRO73" s="421" t="n"/>
      <c r="LRP73" s="421" t="n"/>
      <c r="LRQ73" s="421" t="n"/>
      <c r="LRR73" s="421" t="n"/>
      <c r="LRS73" s="421" t="n"/>
      <c r="LRT73" s="421" t="n"/>
      <c r="LRU73" s="421" t="n"/>
      <c r="LRV73" s="421" t="n"/>
      <c r="LRW73" s="421" t="n"/>
      <c r="LRX73" s="421" t="n"/>
      <c r="LRY73" s="421" t="n"/>
      <c r="LRZ73" s="421" t="n"/>
      <c r="LSA73" s="421" t="n"/>
      <c r="LSB73" s="421" t="n"/>
      <c r="LSC73" s="421" t="n"/>
      <c r="LSD73" s="421" t="n"/>
      <c r="LSE73" s="421" t="n"/>
      <c r="LSF73" s="421" t="n"/>
      <c r="LSG73" s="421" t="n"/>
      <c r="LSH73" s="421" t="n"/>
      <c r="LSI73" s="421" t="n"/>
      <c r="LSJ73" s="421" t="n"/>
      <c r="LSK73" s="421" t="n"/>
      <c r="LSL73" s="421" t="n"/>
      <c r="LSM73" s="421" t="n"/>
      <c r="LSN73" s="421" t="n"/>
      <c r="LSO73" s="421" t="n"/>
      <c r="LSP73" s="421" t="n"/>
      <c r="LSQ73" s="421" t="n"/>
      <c r="LSR73" s="421" t="n"/>
      <c r="LSS73" s="421" t="n"/>
      <c r="LST73" s="421" t="n"/>
      <c r="LSU73" s="421" t="n"/>
      <c r="LSV73" s="421" t="n"/>
      <c r="LSW73" s="421" t="n"/>
      <c r="LSX73" s="421" t="n"/>
      <c r="LSY73" s="421" t="n"/>
      <c r="LSZ73" s="421" t="n"/>
      <c r="LTA73" s="421" t="n"/>
      <c r="LTB73" s="421" t="n"/>
      <c r="LTC73" s="421" t="n"/>
      <c r="LTD73" s="421" t="n"/>
      <c r="LTE73" s="421" t="n"/>
      <c r="LTF73" s="421" t="n"/>
      <c r="LTG73" s="421" t="n"/>
      <c r="LTH73" s="421" t="n"/>
      <c r="LTI73" s="421" t="n"/>
      <c r="LTJ73" s="421" t="n"/>
      <c r="LTK73" s="421" t="n"/>
      <c r="LTL73" s="421" t="n"/>
      <c r="LTM73" s="421" t="n"/>
      <c r="LTN73" s="421" t="n"/>
      <c r="LTO73" s="421" t="n"/>
      <c r="LTP73" s="421" t="n"/>
      <c r="LTQ73" s="421" t="n"/>
      <c r="LTR73" s="421" t="n"/>
      <c r="LTS73" s="421" t="n"/>
      <c r="LTT73" s="421" t="n"/>
      <c r="LTU73" s="421" t="n"/>
      <c r="LTV73" s="421" t="n"/>
      <c r="LTW73" s="421" t="n"/>
      <c r="LTX73" s="421" t="n"/>
      <c r="LTY73" s="421" t="n"/>
      <c r="LTZ73" s="421" t="n"/>
      <c r="LUA73" s="421" t="n"/>
      <c r="LUB73" s="421" t="n"/>
      <c r="LUC73" s="421" t="n"/>
      <c r="LUD73" s="421" t="n"/>
      <c r="LUE73" s="421" t="n"/>
      <c r="LUF73" s="421" t="n"/>
      <c r="LUG73" s="421" t="n"/>
      <c r="LUH73" s="421" t="n"/>
      <c r="LUI73" s="421" t="n"/>
      <c r="LUJ73" s="421" t="n"/>
      <c r="LUK73" s="421" t="n"/>
      <c r="LUL73" s="421" t="n"/>
      <c r="LUM73" s="421" t="n"/>
      <c r="LUN73" s="421" t="n"/>
      <c r="LUO73" s="421" t="n"/>
      <c r="LUP73" s="421" t="n"/>
      <c r="LUQ73" s="421" t="n"/>
      <c r="LUR73" s="421" t="n"/>
      <c r="LUS73" s="421" t="n"/>
      <c r="LUT73" s="421" t="n"/>
      <c r="LUU73" s="421" t="n"/>
      <c r="LUV73" s="421" t="n"/>
      <c r="LUW73" s="421" t="n"/>
      <c r="LUX73" s="421" t="n"/>
      <c r="LUY73" s="421" t="n"/>
      <c r="LUZ73" s="421" t="n"/>
      <c r="LVA73" s="421" t="n"/>
      <c r="LVB73" s="421" t="n"/>
      <c r="LVC73" s="421" t="n"/>
      <c r="LVD73" s="421" t="n"/>
      <c r="LVE73" s="421" t="n"/>
      <c r="LVF73" s="421" t="n"/>
      <c r="LVG73" s="421" t="n"/>
      <c r="LVH73" s="421" t="n"/>
      <c r="LVI73" s="421" t="n"/>
      <c r="LVJ73" s="421" t="n"/>
      <c r="LVK73" s="421" t="n"/>
      <c r="LVL73" s="421" t="n"/>
      <c r="LVM73" s="421" t="n"/>
      <c r="LVN73" s="421" t="n"/>
      <c r="LVO73" s="421" t="n"/>
      <c r="LVP73" s="421" t="n"/>
      <c r="LVQ73" s="421" t="n"/>
      <c r="LVR73" s="421" t="n"/>
      <c r="LVS73" s="421" t="n"/>
      <c r="LVT73" s="421" t="n"/>
      <c r="LVU73" s="421" t="n"/>
      <c r="LVV73" s="421" t="n"/>
      <c r="LVW73" s="421" t="n"/>
      <c r="LVX73" s="421" t="n"/>
      <c r="LVY73" s="421" t="n"/>
      <c r="LVZ73" s="421" t="n"/>
      <c r="LWA73" s="421" t="n"/>
      <c r="LWB73" s="421" t="n"/>
      <c r="LWC73" s="421" t="n"/>
      <c r="LWD73" s="421" t="n"/>
      <c r="LWE73" s="421" t="n"/>
      <c r="LWF73" s="421" t="n"/>
      <c r="LWG73" s="421" t="n"/>
      <c r="LWH73" s="421" t="n"/>
      <c r="LWI73" s="421" t="n"/>
      <c r="LWJ73" s="421" t="n"/>
      <c r="LWK73" s="421" t="n"/>
      <c r="LWL73" s="421" t="n"/>
      <c r="LWM73" s="421" t="n"/>
      <c r="LWN73" s="421" t="n"/>
      <c r="LWO73" s="421" t="n"/>
      <c r="LWP73" s="421" t="n"/>
      <c r="LWQ73" s="421" t="n"/>
      <c r="LWR73" s="421" t="n"/>
      <c r="LWS73" s="421" t="n"/>
      <c r="LWT73" s="421" t="n"/>
      <c r="LWU73" s="421" t="n"/>
      <c r="LWV73" s="421" t="n"/>
      <c r="LWW73" s="421" t="n"/>
      <c r="LWX73" s="421" t="n"/>
      <c r="LWY73" s="421" t="n"/>
      <c r="LWZ73" s="421" t="n"/>
      <c r="LXA73" s="421" t="n"/>
      <c r="LXB73" s="421" t="n"/>
      <c r="LXC73" s="421" t="n"/>
      <c r="LXD73" s="421" t="n"/>
      <c r="LXE73" s="421" t="n"/>
      <c r="LXF73" s="421" t="n"/>
      <c r="LXG73" s="421" t="n"/>
      <c r="LXH73" s="421" t="n"/>
      <c r="LXI73" s="421" t="n"/>
      <c r="LXJ73" s="421" t="n"/>
      <c r="LXK73" s="421" t="n"/>
      <c r="LXL73" s="421" t="n"/>
      <c r="LXM73" s="421" t="n"/>
      <c r="LXN73" s="421" t="n"/>
      <c r="LXO73" s="421" t="n"/>
      <c r="LXP73" s="421" t="n"/>
      <c r="LXQ73" s="421" t="n"/>
      <c r="LXR73" s="421" t="n"/>
      <c r="LXS73" s="421" t="n"/>
      <c r="LXT73" s="421" t="n"/>
      <c r="LXU73" s="421" t="n"/>
      <c r="LXV73" s="421" t="n"/>
      <c r="LXW73" s="421" t="n"/>
      <c r="LXX73" s="421" t="n"/>
      <c r="LXY73" s="421" t="n"/>
      <c r="LXZ73" s="421" t="n"/>
      <c r="LYA73" s="421" t="n"/>
      <c r="LYB73" s="421" t="n"/>
      <c r="LYC73" s="421" t="n"/>
      <c r="LYD73" s="421" t="n"/>
      <c r="LYE73" s="421" t="n"/>
      <c r="LYF73" s="421" t="n"/>
      <c r="LYG73" s="421" t="n"/>
      <c r="LYH73" s="421" t="n"/>
      <c r="LYI73" s="421" t="n"/>
      <c r="LYJ73" s="421" t="n"/>
      <c r="LYK73" s="421" t="n"/>
      <c r="LYL73" s="421" t="n"/>
      <c r="LYM73" s="421" t="n"/>
      <c r="LYN73" s="421" t="n"/>
      <c r="LYO73" s="421" t="n"/>
      <c r="LYP73" s="421" t="n"/>
      <c r="LYQ73" s="421" t="n"/>
      <c r="LYR73" s="421" t="n"/>
      <c r="LYS73" s="421" t="n"/>
      <c r="LYT73" s="421" t="n"/>
      <c r="LYU73" s="421" t="n"/>
      <c r="LYV73" s="421" t="n"/>
      <c r="LYW73" s="421" t="n"/>
      <c r="LYX73" s="421" t="n"/>
      <c r="LYY73" s="421" t="n"/>
      <c r="LYZ73" s="421" t="n"/>
      <c r="LZA73" s="421" t="n"/>
      <c r="LZB73" s="421" t="n"/>
      <c r="LZC73" s="421" t="n"/>
      <c r="LZD73" s="421" t="n"/>
      <c r="LZE73" s="421" t="n"/>
      <c r="LZF73" s="421" t="n"/>
      <c r="LZG73" s="421" t="n"/>
      <c r="LZH73" s="421" t="n"/>
      <c r="LZI73" s="421" t="n"/>
      <c r="LZJ73" s="421" t="n"/>
      <c r="LZK73" s="421" t="n"/>
      <c r="LZL73" s="421" t="n"/>
      <c r="LZM73" s="421" t="n"/>
      <c r="LZN73" s="421" t="n"/>
      <c r="LZO73" s="421" t="n"/>
      <c r="LZP73" s="421" t="n"/>
      <c r="LZQ73" s="421" t="n"/>
      <c r="LZR73" s="421" t="n"/>
      <c r="LZS73" s="421" t="n"/>
      <c r="LZT73" s="421" t="n"/>
      <c r="LZU73" s="421" t="n"/>
      <c r="LZV73" s="421" t="n"/>
      <c r="LZW73" s="421" t="n"/>
      <c r="LZX73" s="421" t="n"/>
      <c r="LZY73" s="421" t="n"/>
      <c r="LZZ73" s="421" t="n"/>
      <c r="MAA73" s="421" t="n"/>
      <c r="MAB73" s="421" t="n"/>
      <c r="MAC73" s="421" t="n"/>
      <c r="MAD73" s="421" t="n"/>
      <c r="MAE73" s="421" t="n"/>
      <c r="MAF73" s="421" t="n"/>
      <c r="MAG73" s="421" t="n"/>
      <c r="MAH73" s="421" t="n"/>
      <c r="MAI73" s="421" t="n"/>
      <c r="MAJ73" s="421" t="n"/>
      <c r="MAK73" s="421" t="n"/>
      <c r="MAL73" s="421" t="n"/>
      <c r="MAM73" s="421" t="n"/>
      <c r="MAN73" s="421" t="n"/>
      <c r="MAO73" s="421" t="n"/>
      <c r="MAP73" s="421" t="n"/>
      <c r="MAQ73" s="421" t="n"/>
      <c r="MAR73" s="421" t="n"/>
      <c r="MAS73" s="421" t="n"/>
      <c r="MAT73" s="421" t="n"/>
      <c r="MAU73" s="421" t="n"/>
      <c r="MAV73" s="421" t="n"/>
      <c r="MAW73" s="421" t="n"/>
      <c r="MAX73" s="421" t="n"/>
      <c r="MAY73" s="421" t="n"/>
      <c r="MAZ73" s="421" t="n"/>
      <c r="MBA73" s="421" t="n"/>
      <c r="MBB73" s="421" t="n"/>
      <c r="MBC73" s="421" t="n"/>
      <c r="MBD73" s="421" t="n"/>
      <c r="MBE73" s="421" t="n"/>
      <c r="MBF73" s="421" t="n"/>
      <c r="MBG73" s="421" t="n"/>
      <c r="MBH73" s="421" t="n"/>
      <c r="MBI73" s="421" t="n"/>
      <c r="MBJ73" s="421" t="n"/>
      <c r="MBK73" s="421" t="n"/>
      <c r="MBL73" s="421" t="n"/>
      <c r="MBM73" s="421" t="n"/>
      <c r="MBN73" s="421" t="n"/>
      <c r="MBO73" s="421" t="n"/>
      <c r="MBP73" s="421" t="n"/>
      <c r="MBQ73" s="421" t="n"/>
      <c r="MBR73" s="421" t="n"/>
      <c r="MBS73" s="421" t="n"/>
      <c r="MBT73" s="421" t="n"/>
      <c r="MBU73" s="421" t="n"/>
      <c r="MBV73" s="421" t="n"/>
      <c r="MBW73" s="421" t="n"/>
      <c r="MBX73" s="421" t="n"/>
      <c r="MBY73" s="421" t="n"/>
      <c r="MBZ73" s="421" t="n"/>
      <c r="MCA73" s="421" t="n"/>
      <c r="MCB73" s="421" t="n"/>
      <c r="MCC73" s="421" t="n"/>
      <c r="MCD73" s="421" t="n"/>
      <c r="MCE73" s="421" t="n"/>
      <c r="MCF73" s="421" t="n"/>
      <c r="MCG73" s="421" t="n"/>
      <c r="MCH73" s="421" t="n"/>
      <c r="MCI73" s="421" t="n"/>
      <c r="MCJ73" s="421" t="n"/>
      <c r="MCK73" s="421" t="n"/>
      <c r="MCL73" s="421" t="n"/>
      <c r="MCM73" s="421" t="n"/>
      <c r="MCN73" s="421" t="n"/>
      <c r="MCO73" s="421" t="n"/>
      <c r="MCP73" s="421" t="n"/>
      <c r="MCQ73" s="421" t="n"/>
      <c r="MCR73" s="421" t="n"/>
      <c r="MCS73" s="421" t="n"/>
      <c r="MCT73" s="421" t="n"/>
      <c r="MCU73" s="421" t="n"/>
      <c r="MCV73" s="421" t="n"/>
      <c r="MCW73" s="421" t="n"/>
      <c r="MCX73" s="421" t="n"/>
      <c r="MCY73" s="421" t="n"/>
      <c r="MCZ73" s="421" t="n"/>
      <c r="MDA73" s="421" t="n"/>
      <c r="MDB73" s="421" t="n"/>
      <c r="MDC73" s="421" t="n"/>
      <c r="MDD73" s="421" t="n"/>
      <c r="MDE73" s="421" t="n"/>
      <c r="MDF73" s="421" t="n"/>
      <c r="MDG73" s="421" t="n"/>
      <c r="MDH73" s="421" t="n"/>
      <c r="MDI73" s="421" t="n"/>
      <c r="MDJ73" s="421" t="n"/>
      <c r="MDK73" s="421" t="n"/>
      <c r="MDL73" s="421" t="n"/>
      <c r="MDM73" s="421" t="n"/>
      <c r="MDN73" s="421" t="n"/>
      <c r="MDO73" s="421" t="n"/>
      <c r="MDP73" s="421" t="n"/>
      <c r="MDQ73" s="421" t="n"/>
      <c r="MDR73" s="421" t="n"/>
      <c r="MDS73" s="421" t="n"/>
      <c r="MDT73" s="421" t="n"/>
      <c r="MDU73" s="421" t="n"/>
      <c r="MDV73" s="421" t="n"/>
      <c r="MDW73" s="421" t="n"/>
      <c r="MDX73" s="421" t="n"/>
      <c r="MDY73" s="421" t="n"/>
      <c r="MDZ73" s="421" t="n"/>
      <c r="MEA73" s="421" t="n"/>
      <c r="MEB73" s="421" t="n"/>
      <c r="MEC73" s="421" t="n"/>
      <c r="MED73" s="421" t="n"/>
      <c r="MEE73" s="421" t="n"/>
      <c r="MEF73" s="421" t="n"/>
      <c r="MEG73" s="421" t="n"/>
      <c r="MEH73" s="421" t="n"/>
      <c r="MEI73" s="421" t="n"/>
      <c r="MEJ73" s="421" t="n"/>
      <c r="MEK73" s="421" t="n"/>
      <c r="MEL73" s="421" t="n"/>
      <c r="MEM73" s="421" t="n"/>
      <c r="MEN73" s="421" t="n"/>
      <c r="MEO73" s="421" t="n"/>
      <c r="MEP73" s="421" t="n"/>
      <c r="MEQ73" s="421" t="n"/>
      <c r="MER73" s="421" t="n"/>
      <c r="MES73" s="421" t="n"/>
      <c r="MET73" s="421" t="n"/>
      <c r="MEU73" s="421" t="n"/>
      <c r="MEV73" s="421" t="n"/>
      <c r="MEW73" s="421" t="n"/>
      <c r="MEX73" s="421" t="n"/>
      <c r="MEY73" s="421" t="n"/>
      <c r="MEZ73" s="421" t="n"/>
      <c r="MFA73" s="421" t="n"/>
      <c r="MFB73" s="421" t="n"/>
      <c r="MFC73" s="421" t="n"/>
      <c r="MFD73" s="421" t="n"/>
      <c r="MFE73" s="421" t="n"/>
      <c r="MFF73" s="421" t="n"/>
      <c r="MFG73" s="421" t="n"/>
      <c r="MFH73" s="421" t="n"/>
      <c r="MFI73" s="421" t="n"/>
      <c r="MFJ73" s="421" t="n"/>
      <c r="MFK73" s="421" t="n"/>
      <c r="MFL73" s="421" t="n"/>
      <c r="MFM73" s="421" t="n"/>
      <c r="MFN73" s="421" t="n"/>
      <c r="MFO73" s="421" t="n"/>
      <c r="MFP73" s="421" t="n"/>
      <c r="MFQ73" s="421" t="n"/>
      <c r="MFR73" s="421" t="n"/>
      <c r="MFS73" s="421" t="n"/>
      <c r="MFT73" s="421" t="n"/>
      <c r="MFU73" s="421" t="n"/>
      <c r="MFV73" s="421" t="n"/>
      <c r="MFW73" s="421" t="n"/>
      <c r="MFX73" s="421" t="n"/>
      <c r="MFY73" s="421" t="n"/>
      <c r="MFZ73" s="421" t="n"/>
      <c r="MGA73" s="421" t="n"/>
      <c r="MGB73" s="421" t="n"/>
      <c r="MGC73" s="421" t="n"/>
      <c r="MGD73" s="421" t="n"/>
      <c r="MGE73" s="421" t="n"/>
      <c r="MGF73" s="421" t="n"/>
      <c r="MGG73" s="421" t="n"/>
      <c r="MGH73" s="421" t="n"/>
      <c r="MGI73" s="421" t="n"/>
      <c r="MGJ73" s="421" t="n"/>
      <c r="MGK73" s="421" t="n"/>
      <c r="MGL73" s="421" t="n"/>
      <c r="MGM73" s="421" t="n"/>
      <c r="MGN73" s="421" t="n"/>
      <c r="MGO73" s="421" t="n"/>
      <c r="MGP73" s="421" t="n"/>
      <c r="MGQ73" s="421" t="n"/>
      <c r="MGR73" s="421" t="n"/>
      <c r="MGS73" s="421" t="n"/>
      <c r="MGT73" s="421" t="n"/>
      <c r="MGU73" s="421" t="n"/>
      <c r="MGV73" s="421" t="n"/>
      <c r="MGW73" s="421" t="n"/>
      <c r="MGX73" s="421" t="n"/>
      <c r="MGY73" s="421" t="n"/>
      <c r="MGZ73" s="421" t="n"/>
      <c r="MHA73" s="421" t="n"/>
      <c r="MHB73" s="421" t="n"/>
      <c r="MHC73" s="421" t="n"/>
      <c r="MHD73" s="421" t="n"/>
      <c r="MHE73" s="421" t="n"/>
      <c r="MHF73" s="421" t="n"/>
      <c r="MHG73" s="421" t="n"/>
      <c r="MHH73" s="421" t="n"/>
      <c r="MHI73" s="421" t="n"/>
      <c r="MHJ73" s="421" t="n"/>
      <c r="MHK73" s="421" t="n"/>
      <c r="MHL73" s="421" t="n"/>
      <c r="MHM73" s="421" t="n"/>
      <c r="MHN73" s="421" t="n"/>
      <c r="MHO73" s="421" t="n"/>
      <c r="MHP73" s="421" t="n"/>
      <c r="MHQ73" s="421" t="n"/>
      <c r="MHR73" s="421" t="n"/>
      <c r="MHS73" s="421" t="n"/>
      <c r="MHT73" s="421" t="n"/>
      <c r="MHU73" s="421" t="n"/>
      <c r="MHV73" s="421" t="n"/>
      <c r="MHW73" s="421" t="n"/>
      <c r="MHX73" s="421" t="n"/>
      <c r="MHY73" s="421" t="n"/>
      <c r="MHZ73" s="421" t="n"/>
      <c r="MIA73" s="421" t="n"/>
      <c r="MIB73" s="421" t="n"/>
      <c r="MIC73" s="421" t="n"/>
      <c r="MID73" s="421" t="n"/>
      <c r="MIE73" s="421" t="n"/>
      <c r="MIF73" s="421" t="n"/>
      <c r="MIG73" s="421" t="n"/>
      <c r="MIH73" s="421" t="n"/>
      <c r="MII73" s="421" t="n"/>
      <c r="MIJ73" s="421" t="n"/>
      <c r="MIK73" s="421" t="n"/>
      <c r="MIL73" s="421" t="n"/>
      <c r="MIM73" s="421" t="n"/>
      <c r="MIN73" s="421" t="n"/>
      <c r="MIO73" s="421" t="n"/>
      <c r="MIP73" s="421" t="n"/>
      <c r="MIQ73" s="421" t="n"/>
      <c r="MIR73" s="421" t="n"/>
      <c r="MIS73" s="421" t="n"/>
      <c r="MIT73" s="421" t="n"/>
      <c r="MIU73" s="421" t="n"/>
      <c r="MIV73" s="421" t="n"/>
      <c r="MIW73" s="421" t="n"/>
      <c r="MIX73" s="421" t="n"/>
      <c r="MIY73" s="421" t="n"/>
      <c r="MIZ73" s="421" t="n"/>
      <c r="MJA73" s="421" t="n"/>
      <c r="MJB73" s="421" t="n"/>
      <c r="MJC73" s="421" t="n"/>
      <c r="MJD73" s="421" t="n"/>
      <c r="MJE73" s="421" t="n"/>
      <c r="MJF73" s="421" t="n"/>
      <c r="MJG73" s="421" t="n"/>
      <c r="MJH73" s="421" t="n"/>
      <c r="MJI73" s="421" t="n"/>
      <c r="MJJ73" s="421" t="n"/>
      <c r="MJK73" s="421" t="n"/>
      <c r="MJL73" s="421" t="n"/>
      <c r="MJM73" s="421" t="n"/>
      <c r="MJN73" s="421" t="n"/>
      <c r="MJO73" s="421" t="n"/>
      <c r="MJP73" s="421" t="n"/>
      <c r="MJQ73" s="421" t="n"/>
      <c r="MJR73" s="421" t="n"/>
      <c r="MJS73" s="421" t="n"/>
      <c r="MJT73" s="421" t="n"/>
      <c r="MJU73" s="421" t="n"/>
      <c r="MJV73" s="421" t="n"/>
      <c r="MJW73" s="421" t="n"/>
      <c r="MJX73" s="421" t="n"/>
      <c r="MJY73" s="421" t="n"/>
      <c r="MJZ73" s="421" t="n"/>
      <c r="MKA73" s="421" t="n"/>
      <c r="MKB73" s="421" t="n"/>
      <c r="MKC73" s="421" t="n"/>
      <c r="MKD73" s="421" t="n"/>
      <c r="MKE73" s="421" t="n"/>
      <c r="MKF73" s="421" t="n"/>
      <c r="MKG73" s="421" t="n"/>
      <c r="MKH73" s="421" t="n"/>
      <c r="MKI73" s="421" t="n"/>
      <c r="MKJ73" s="421" t="n"/>
      <c r="MKK73" s="421" t="n"/>
      <c r="MKL73" s="421" t="n"/>
      <c r="MKM73" s="421" t="n"/>
      <c r="MKN73" s="421" t="n"/>
      <c r="MKO73" s="421" t="n"/>
      <c r="MKP73" s="421" t="n"/>
      <c r="MKQ73" s="421" t="n"/>
      <c r="MKR73" s="421" t="n"/>
      <c r="MKS73" s="421" t="n"/>
      <c r="MKT73" s="421" t="n"/>
      <c r="MKU73" s="421" t="n"/>
      <c r="MKV73" s="421" t="n"/>
      <c r="MKW73" s="421" t="n"/>
      <c r="MKX73" s="421" t="n"/>
      <c r="MKY73" s="421" t="n"/>
      <c r="MKZ73" s="421" t="n"/>
      <c r="MLA73" s="421" t="n"/>
      <c r="MLB73" s="421" t="n"/>
      <c r="MLC73" s="421" t="n"/>
      <c r="MLD73" s="421" t="n"/>
      <c r="MLE73" s="421" t="n"/>
      <c r="MLF73" s="421" t="n"/>
      <c r="MLG73" s="421" t="n"/>
      <c r="MLH73" s="421" t="n"/>
      <c r="MLI73" s="421" t="n"/>
      <c r="MLJ73" s="421" t="n"/>
      <c r="MLK73" s="421" t="n"/>
      <c r="MLL73" s="421" t="n"/>
      <c r="MLM73" s="421" t="n"/>
      <c r="MLN73" s="421" t="n"/>
      <c r="MLO73" s="421" t="n"/>
      <c r="MLP73" s="421" t="n"/>
      <c r="MLQ73" s="421" t="n"/>
      <c r="MLR73" s="421" t="n"/>
      <c r="MLS73" s="421" t="n"/>
      <c r="MLT73" s="421" t="n"/>
      <c r="MLU73" s="421" t="n"/>
      <c r="MLV73" s="421" t="n"/>
      <c r="MLW73" s="421" t="n"/>
      <c r="MLX73" s="421" t="n"/>
      <c r="MLY73" s="421" t="n"/>
      <c r="MLZ73" s="421" t="n"/>
      <c r="MMA73" s="421" t="n"/>
      <c r="MMB73" s="421" t="n"/>
      <c r="MMC73" s="421" t="n"/>
      <c r="MMD73" s="421" t="n"/>
      <c r="MME73" s="421" t="n"/>
      <c r="MMF73" s="421" t="n"/>
      <c r="MMG73" s="421" t="n"/>
      <c r="MMH73" s="421" t="n"/>
      <c r="MMI73" s="421" t="n"/>
      <c r="MMJ73" s="421" t="n"/>
      <c r="MMK73" s="421" t="n"/>
      <c r="MML73" s="421" t="n"/>
      <c r="MMM73" s="421" t="n"/>
      <c r="MMN73" s="421" t="n"/>
      <c r="MMO73" s="421" t="n"/>
      <c r="MMP73" s="421" t="n"/>
      <c r="MMQ73" s="421" t="n"/>
      <c r="MMR73" s="421" t="n"/>
      <c r="MMS73" s="421" t="n"/>
      <c r="MMT73" s="421" t="n"/>
      <c r="MMU73" s="421" t="n"/>
      <c r="MMV73" s="421" t="n"/>
      <c r="MMW73" s="421" t="n"/>
      <c r="MMX73" s="421" t="n"/>
      <c r="MMY73" s="421" t="n"/>
      <c r="MMZ73" s="421" t="n"/>
      <c r="MNA73" s="421" t="n"/>
      <c r="MNB73" s="421" t="n"/>
      <c r="MNC73" s="421" t="n"/>
      <c r="MND73" s="421" t="n"/>
      <c r="MNE73" s="421" t="n"/>
      <c r="MNF73" s="421" t="n"/>
      <c r="MNG73" s="421" t="n"/>
      <c r="MNH73" s="421" t="n"/>
      <c r="MNI73" s="421" t="n"/>
      <c r="MNJ73" s="421" t="n"/>
      <c r="MNK73" s="421" t="n"/>
      <c r="MNL73" s="421" t="n"/>
      <c r="MNM73" s="421" t="n"/>
      <c r="MNN73" s="421" t="n"/>
      <c r="MNO73" s="421" t="n"/>
      <c r="MNP73" s="421" t="n"/>
      <c r="MNQ73" s="421" t="n"/>
      <c r="MNR73" s="421" t="n"/>
      <c r="MNS73" s="421" t="n"/>
      <c r="MNT73" s="421" t="n"/>
      <c r="MNU73" s="421" t="n"/>
      <c r="MNV73" s="421" t="n"/>
      <c r="MNW73" s="421" t="n"/>
      <c r="MNX73" s="421" t="n"/>
      <c r="MNY73" s="421" t="n"/>
      <c r="MNZ73" s="421" t="n"/>
      <c r="MOA73" s="421" t="n"/>
      <c r="MOB73" s="421" t="n"/>
      <c r="MOC73" s="421" t="n"/>
      <c r="MOD73" s="421" t="n"/>
      <c r="MOE73" s="421" t="n"/>
      <c r="MOF73" s="421" t="n"/>
      <c r="MOG73" s="421" t="n"/>
      <c r="MOH73" s="421" t="n"/>
      <c r="MOI73" s="421" t="n"/>
      <c r="MOJ73" s="421" t="n"/>
      <c r="MOK73" s="421" t="n"/>
      <c r="MOL73" s="421" t="n"/>
      <c r="MOM73" s="421" t="n"/>
      <c r="MON73" s="421" t="n"/>
      <c r="MOO73" s="421" t="n"/>
      <c r="MOP73" s="421" t="n"/>
      <c r="MOQ73" s="421" t="n"/>
      <c r="MOR73" s="421" t="n"/>
      <c r="MOS73" s="421" t="n"/>
      <c r="MOT73" s="421" t="n"/>
      <c r="MOU73" s="421" t="n"/>
      <c r="MOV73" s="421" t="n"/>
      <c r="MOW73" s="421" t="n"/>
      <c r="MOX73" s="421" t="n"/>
      <c r="MOY73" s="421" t="n"/>
      <c r="MOZ73" s="421" t="n"/>
      <c r="MPA73" s="421" t="n"/>
      <c r="MPB73" s="421" t="n"/>
      <c r="MPC73" s="421" t="n"/>
      <c r="MPD73" s="421" t="n"/>
      <c r="MPE73" s="421" t="n"/>
      <c r="MPF73" s="421" t="n"/>
      <c r="MPG73" s="421" t="n"/>
      <c r="MPH73" s="421" t="n"/>
      <c r="MPI73" s="421" t="n"/>
      <c r="MPJ73" s="421" t="n"/>
      <c r="MPK73" s="421" t="n"/>
      <c r="MPL73" s="421" t="n"/>
      <c r="MPM73" s="421" t="n"/>
      <c r="MPN73" s="421" t="n"/>
      <c r="MPO73" s="421" t="n"/>
      <c r="MPP73" s="421" t="n"/>
      <c r="MPQ73" s="421" t="n"/>
      <c r="MPR73" s="421" t="n"/>
      <c r="MPS73" s="421" t="n"/>
      <c r="MPT73" s="421" t="n"/>
      <c r="MPU73" s="421" t="n"/>
      <c r="MPV73" s="421" t="n"/>
      <c r="MPW73" s="421" t="n"/>
      <c r="MPX73" s="421" t="n"/>
      <c r="MPY73" s="421" t="n"/>
      <c r="MPZ73" s="421" t="n"/>
      <c r="MQA73" s="421" t="n"/>
      <c r="MQB73" s="421" t="n"/>
      <c r="MQC73" s="421" t="n"/>
      <c r="MQD73" s="421" t="n"/>
      <c r="MQE73" s="421" t="n"/>
      <c r="MQF73" s="421" t="n"/>
      <c r="MQG73" s="421" t="n"/>
      <c r="MQH73" s="421" t="n"/>
      <c r="MQI73" s="421" t="n"/>
      <c r="MQJ73" s="421" t="n"/>
      <c r="MQK73" s="421" t="n"/>
      <c r="MQL73" s="421" t="n"/>
      <c r="MQM73" s="421" t="n"/>
      <c r="MQN73" s="421" t="n"/>
      <c r="MQO73" s="421" t="n"/>
      <c r="MQP73" s="421" t="n"/>
      <c r="MQQ73" s="421" t="n"/>
      <c r="MQR73" s="421" t="n"/>
      <c r="MQS73" s="421" t="n"/>
      <c r="MQT73" s="421" t="n"/>
      <c r="MQU73" s="421" t="n"/>
      <c r="MQV73" s="421" t="n"/>
      <c r="MQW73" s="421" t="n"/>
      <c r="MQX73" s="421" t="n"/>
      <c r="MQY73" s="421" t="n"/>
      <c r="MQZ73" s="421" t="n"/>
      <c r="MRA73" s="421" t="n"/>
      <c r="MRB73" s="421" t="n"/>
      <c r="MRC73" s="421" t="n"/>
      <c r="MRD73" s="421" t="n"/>
      <c r="MRE73" s="421" t="n"/>
      <c r="MRF73" s="421" t="n"/>
      <c r="MRG73" s="421" t="n"/>
      <c r="MRH73" s="421" t="n"/>
      <c r="MRI73" s="421" t="n"/>
      <c r="MRJ73" s="421" t="n"/>
      <c r="MRK73" s="421" t="n"/>
      <c r="MRL73" s="421" t="n"/>
      <c r="MRM73" s="421" t="n"/>
      <c r="MRN73" s="421" t="n"/>
      <c r="MRO73" s="421" t="n"/>
      <c r="MRP73" s="421" t="n"/>
      <c r="MRQ73" s="421" t="n"/>
      <c r="MRR73" s="421" t="n"/>
      <c r="MRS73" s="421" t="n"/>
      <c r="MRT73" s="421" t="n"/>
      <c r="MRU73" s="421" t="n"/>
      <c r="MRV73" s="421" t="n"/>
      <c r="MRW73" s="421" t="n"/>
      <c r="MRX73" s="421" t="n"/>
      <c r="MRY73" s="421" t="n"/>
      <c r="MRZ73" s="421" t="n"/>
      <c r="MSA73" s="421" t="n"/>
      <c r="MSB73" s="421" t="n"/>
      <c r="MSC73" s="421" t="n"/>
      <c r="MSD73" s="421" t="n"/>
      <c r="MSE73" s="421" t="n"/>
      <c r="MSF73" s="421" t="n"/>
      <c r="MSG73" s="421" t="n"/>
      <c r="MSH73" s="421" t="n"/>
      <c r="MSI73" s="421" t="n"/>
      <c r="MSJ73" s="421" t="n"/>
      <c r="MSK73" s="421" t="n"/>
      <c r="MSL73" s="421" t="n"/>
      <c r="MSM73" s="421" t="n"/>
      <c r="MSN73" s="421" t="n"/>
      <c r="MSO73" s="421" t="n"/>
      <c r="MSP73" s="421" t="n"/>
      <c r="MSQ73" s="421" t="n"/>
      <c r="MSR73" s="421" t="n"/>
      <c r="MSS73" s="421" t="n"/>
      <c r="MST73" s="421" t="n"/>
      <c r="MSU73" s="421" t="n"/>
      <c r="MSV73" s="421" t="n"/>
      <c r="MSW73" s="421" t="n"/>
      <c r="MSX73" s="421" t="n"/>
      <c r="MSY73" s="421" t="n"/>
      <c r="MSZ73" s="421" t="n"/>
      <c r="MTA73" s="421" t="n"/>
      <c r="MTB73" s="421" t="n"/>
      <c r="MTC73" s="421" t="n"/>
      <c r="MTD73" s="421" t="n"/>
      <c r="MTE73" s="421" t="n"/>
      <c r="MTF73" s="421" t="n"/>
      <c r="MTG73" s="421" t="n"/>
      <c r="MTH73" s="421" t="n"/>
      <c r="MTI73" s="421" t="n"/>
      <c r="MTJ73" s="421" t="n"/>
      <c r="MTK73" s="421" t="n"/>
      <c r="MTL73" s="421" t="n"/>
      <c r="MTM73" s="421" t="n"/>
      <c r="MTN73" s="421" t="n"/>
      <c r="MTO73" s="421" t="n"/>
      <c r="MTP73" s="421" t="n"/>
      <c r="MTQ73" s="421" t="n"/>
      <c r="MTR73" s="421" t="n"/>
      <c r="MTS73" s="421" t="n"/>
      <c r="MTT73" s="421" t="n"/>
      <c r="MTU73" s="421" t="n"/>
      <c r="MTV73" s="421" t="n"/>
      <c r="MTW73" s="421" t="n"/>
      <c r="MTX73" s="421" t="n"/>
      <c r="MTY73" s="421" t="n"/>
      <c r="MTZ73" s="421" t="n"/>
      <c r="MUA73" s="421" t="n"/>
      <c r="MUB73" s="421" t="n"/>
      <c r="MUC73" s="421" t="n"/>
      <c r="MUD73" s="421" t="n"/>
      <c r="MUE73" s="421" t="n"/>
      <c r="MUF73" s="421" t="n"/>
      <c r="MUG73" s="421" t="n"/>
      <c r="MUH73" s="421" t="n"/>
      <c r="MUI73" s="421" t="n"/>
      <c r="MUJ73" s="421" t="n"/>
      <c r="MUK73" s="421" t="n"/>
      <c r="MUL73" s="421" t="n"/>
      <c r="MUM73" s="421" t="n"/>
      <c r="MUN73" s="421" t="n"/>
      <c r="MUO73" s="421" t="n"/>
      <c r="MUP73" s="421" t="n"/>
      <c r="MUQ73" s="421" t="n"/>
      <c r="MUR73" s="421" t="n"/>
      <c r="MUS73" s="421" t="n"/>
      <c r="MUT73" s="421" t="n"/>
      <c r="MUU73" s="421" t="n"/>
      <c r="MUV73" s="421" t="n"/>
      <c r="MUW73" s="421" t="n"/>
      <c r="MUX73" s="421" t="n"/>
      <c r="MUY73" s="421" t="n"/>
      <c r="MUZ73" s="421" t="n"/>
      <c r="MVA73" s="421" t="n"/>
      <c r="MVB73" s="421" t="n"/>
      <c r="MVC73" s="421" t="n"/>
      <c r="MVD73" s="421" t="n"/>
      <c r="MVE73" s="421" t="n"/>
      <c r="MVF73" s="421" t="n"/>
      <c r="MVG73" s="421" t="n"/>
      <c r="MVH73" s="421" t="n"/>
      <c r="MVI73" s="421" t="n"/>
      <c r="MVJ73" s="421" t="n"/>
      <c r="MVK73" s="421" t="n"/>
      <c r="MVL73" s="421" t="n"/>
      <c r="MVM73" s="421" t="n"/>
      <c r="MVN73" s="421" t="n"/>
      <c r="MVO73" s="421" t="n"/>
      <c r="MVP73" s="421" t="n"/>
      <c r="MVQ73" s="421" t="n"/>
      <c r="MVR73" s="421" t="n"/>
      <c r="MVS73" s="421" t="n"/>
      <c r="MVT73" s="421" t="n"/>
      <c r="MVU73" s="421" t="n"/>
      <c r="MVV73" s="421" t="n"/>
      <c r="MVW73" s="421" t="n"/>
      <c r="MVX73" s="421" t="n"/>
      <c r="MVY73" s="421" t="n"/>
      <c r="MVZ73" s="421" t="n"/>
      <c r="MWA73" s="421" t="n"/>
      <c r="MWB73" s="421" t="n"/>
      <c r="MWC73" s="421" t="n"/>
      <c r="MWD73" s="421" t="n"/>
      <c r="MWE73" s="421" t="n"/>
      <c r="MWF73" s="421" t="n"/>
      <c r="MWG73" s="421" t="n"/>
      <c r="MWH73" s="421" t="n"/>
      <c r="MWI73" s="421" t="n"/>
      <c r="MWJ73" s="421" t="n"/>
      <c r="MWK73" s="421" t="n"/>
      <c r="MWL73" s="421" t="n"/>
      <c r="MWM73" s="421" t="n"/>
      <c r="MWN73" s="421" t="n"/>
      <c r="MWO73" s="421" t="n"/>
      <c r="MWP73" s="421" t="n"/>
      <c r="MWQ73" s="421" t="n"/>
      <c r="MWR73" s="421" t="n"/>
      <c r="MWS73" s="421" t="n"/>
      <c r="MWT73" s="421" t="n"/>
      <c r="MWU73" s="421" t="n"/>
      <c r="MWV73" s="421" t="n"/>
      <c r="MWW73" s="421" t="n"/>
      <c r="MWX73" s="421" t="n"/>
      <c r="MWY73" s="421" t="n"/>
      <c r="MWZ73" s="421" t="n"/>
      <c r="MXA73" s="421" t="n"/>
      <c r="MXB73" s="421" t="n"/>
      <c r="MXC73" s="421" t="n"/>
      <c r="MXD73" s="421" t="n"/>
      <c r="MXE73" s="421" t="n"/>
      <c r="MXF73" s="421" t="n"/>
      <c r="MXG73" s="421" t="n"/>
      <c r="MXH73" s="421" t="n"/>
      <c r="MXI73" s="421" t="n"/>
      <c r="MXJ73" s="421" t="n"/>
      <c r="MXK73" s="421" t="n"/>
      <c r="MXL73" s="421" t="n"/>
      <c r="MXM73" s="421" t="n"/>
      <c r="MXN73" s="421" t="n"/>
      <c r="MXO73" s="421" t="n"/>
      <c r="MXP73" s="421" t="n"/>
      <c r="MXQ73" s="421" t="n"/>
      <c r="MXR73" s="421" t="n"/>
      <c r="MXS73" s="421" t="n"/>
      <c r="MXT73" s="421" t="n"/>
      <c r="MXU73" s="421" t="n"/>
      <c r="MXV73" s="421" t="n"/>
      <c r="MXW73" s="421" t="n"/>
      <c r="MXX73" s="421" t="n"/>
      <c r="MXY73" s="421" t="n"/>
      <c r="MXZ73" s="421" t="n"/>
      <c r="MYA73" s="421" t="n"/>
      <c r="MYB73" s="421" t="n"/>
      <c r="MYC73" s="421" t="n"/>
      <c r="MYD73" s="421" t="n"/>
      <c r="MYE73" s="421" t="n"/>
      <c r="MYF73" s="421" t="n"/>
      <c r="MYG73" s="421" t="n"/>
      <c r="MYH73" s="421" t="n"/>
      <c r="MYI73" s="421" t="n"/>
      <c r="MYJ73" s="421" t="n"/>
      <c r="MYK73" s="421" t="n"/>
      <c r="MYL73" s="421" t="n"/>
      <c r="MYM73" s="421" t="n"/>
      <c r="MYN73" s="421" t="n"/>
      <c r="MYO73" s="421" t="n"/>
      <c r="MYP73" s="421" t="n"/>
      <c r="MYQ73" s="421" t="n"/>
      <c r="MYR73" s="421" t="n"/>
      <c r="MYS73" s="421" t="n"/>
      <c r="MYT73" s="421" t="n"/>
      <c r="MYU73" s="421" t="n"/>
      <c r="MYV73" s="421" t="n"/>
      <c r="MYW73" s="421" t="n"/>
      <c r="MYX73" s="421" t="n"/>
      <c r="MYY73" s="421" t="n"/>
      <c r="MYZ73" s="421" t="n"/>
      <c r="MZA73" s="421" t="n"/>
      <c r="MZB73" s="421" t="n"/>
      <c r="MZC73" s="421" t="n"/>
      <c r="MZD73" s="421" t="n"/>
      <c r="MZE73" s="421" t="n"/>
      <c r="MZF73" s="421" t="n"/>
      <c r="MZG73" s="421" t="n"/>
      <c r="MZH73" s="421" t="n"/>
      <c r="MZI73" s="421" t="n"/>
      <c r="MZJ73" s="421" t="n"/>
      <c r="MZK73" s="421" t="n"/>
      <c r="MZL73" s="421" t="n"/>
      <c r="MZM73" s="421" t="n"/>
      <c r="MZN73" s="421" t="n"/>
      <c r="MZO73" s="421" t="n"/>
      <c r="MZP73" s="421" t="n"/>
      <c r="MZQ73" s="421" t="n"/>
      <c r="MZR73" s="421" t="n"/>
      <c r="MZS73" s="421" t="n"/>
      <c r="MZT73" s="421" t="n"/>
      <c r="MZU73" s="421" t="n"/>
      <c r="MZV73" s="421" t="n"/>
      <c r="MZW73" s="421" t="n"/>
      <c r="MZX73" s="421" t="n"/>
      <c r="MZY73" s="421" t="n"/>
      <c r="MZZ73" s="421" t="n"/>
      <c r="NAA73" s="421" t="n"/>
      <c r="NAB73" s="421" t="n"/>
      <c r="NAC73" s="421" t="n"/>
      <c r="NAD73" s="421" t="n"/>
      <c r="NAE73" s="421" t="n"/>
      <c r="NAF73" s="421" t="n"/>
      <c r="NAG73" s="421" t="n"/>
      <c r="NAH73" s="421" t="n"/>
      <c r="NAI73" s="421" t="n"/>
      <c r="NAJ73" s="421" t="n"/>
      <c r="NAK73" s="421" t="n"/>
      <c r="NAL73" s="421" t="n"/>
      <c r="NAM73" s="421" t="n"/>
      <c r="NAN73" s="421" t="n"/>
      <c r="NAO73" s="421" t="n"/>
      <c r="NAP73" s="421" t="n"/>
      <c r="NAQ73" s="421" t="n"/>
      <c r="NAR73" s="421" t="n"/>
      <c r="NAS73" s="421" t="n"/>
      <c r="NAT73" s="421" t="n"/>
      <c r="NAU73" s="421" t="n"/>
      <c r="NAV73" s="421" t="n"/>
      <c r="NAW73" s="421" t="n"/>
      <c r="NAX73" s="421" t="n"/>
      <c r="NAY73" s="421" t="n"/>
      <c r="NAZ73" s="421" t="n"/>
      <c r="NBA73" s="421" t="n"/>
      <c r="NBB73" s="421" t="n"/>
      <c r="NBC73" s="421" t="n"/>
      <c r="NBD73" s="421" t="n"/>
      <c r="NBE73" s="421" t="n"/>
      <c r="NBF73" s="421" t="n"/>
      <c r="NBG73" s="421" t="n"/>
      <c r="NBH73" s="421" t="n"/>
      <c r="NBI73" s="421" t="n"/>
      <c r="NBJ73" s="421" t="n"/>
      <c r="NBK73" s="421" t="n"/>
      <c r="NBL73" s="421" t="n"/>
      <c r="NBM73" s="421" t="n"/>
      <c r="NBN73" s="421" t="n"/>
      <c r="NBO73" s="421" t="n"/>
      <c r="NBP73" s="421" t="n"/>
      <c r="NBQ73" s="421" t="n"/>
      <c r="NBR73" s="421" t="n"/>
      <c r="NBS73" s="421" t="n"/>
      <c r="NBT73" s="421" t="n"/>
      <c r="NBU73" s="421" t="n"/>
      <c r="NBV73" s="421" t="n"/>
      <c r="NBW73" s="421" t="n"/>
      <c r="NBX73" s="421" t="n"/>
      <c r="NBY73" s="421" t="n"/>
      <c r="NBZ73" s="421" t="n"/>
      <c r="NCA73" s="421" t="n"/>
      <c r="NCB73" s="421" t="n"/>
      <c r="NCC73" s="421" t="n"/>
      <c r="NCD73" s="421" t="n"/>
      <c r="NCE73" s="421" t="n"/>
      <c r="NCF73" s="421" t="n"/>
      <c r="NCG73" s="421" t="n"/>
      <c r="NCH73" s="421" t="n"/>
      <c r="NCI73" s="421" t="n"/>
      <c r="NCJ73" s="421" t="n"/>
      <c r="NCK73" s="421" t="n"/>
      <c r="NCL73" s="421" t="n"/>
      <c r="NCM73" s="421" t="n"/>
      <c r="NCN73" s="421" t="n"/>
      <c r="NCO73" s="421" t="n"/>
      <c r="NCP73" s="421" t="n"/>
      <c r="NCQ73" s="421" t="n"/>
      <c r="NCR73" s="421" t="n"/>
      <c r="NCS73" s="421" t="n"/>
      <c r="NCT73" s="421" t="n"/>
      <c r="NCU73" s="421" t="n"/>
      <c r="NCV73" s="421" t="n"/>
      <c r="NCW73" s="421" t="n"/>
      <c r="NCX73" s="421" t="n"/>
      <c r="NCY73" s="421" t="n"/>
      <c r="NCZ73" s="421" t="n"/>
      <c r="NDA73" s="421" t="n"/>
      <c r="NDB73" s="421" t="n"/>
      <c r="NDC73" s="421" t="n"/>
      <c r="NDD73" s="421" t="n"/>
      <c r="NDE73" s="421" t="n"/>
      <c r="NDF73" s="421" t="n"/>
      <c r="NDG73" s="421" t="n"/>
      <c r="NDH73" s="421" t="n"/>
      <c r="NDI73" s="421" t="n"/>
      <c r="NDJ73" s="421" t="n"/>
      <c r="NDK73" s="421" t="n"/>
      <c r="NDL73" s="421" t="n"/>
      <c r="NDM73" s="421" t="n"/>
      <c r="NDN73" s="421" t="n"/>
      <c r="NDO73" s="421" t="n"/>
      <c r="NDP73" s="421" t="n"/>
      <c r="NDQ73" s="421" t="n"/>
      <c r="NDR73" s="421" t="n"/>
      <c r="NDS73" s="421" t="n"/>
      <c r="NDT73" s="421" t="n"/>
      <c r="NDU73" s="421" t="n"/>
      <c r="NDV73" s="421" t="n"/>
      <c r="NDW73" s="421" t="n"/>
      <c r="NDX73" s="421" t="n"/>
      <c r="NDY73" s="421" t="n"/>
      <c r="NDZ73" s="421" t="n"/>
      <c r="NEA73" s="421" t="n"/>
      <c r="NEB73" s="421" t="n"/>
      <c r="NEC73" s="421" t="n"/>
      <c r="NED73" s="421" t="n"/>
      <c r="NEE73" s="421" t="n"/>
      <c r="NEF73" s="421" t="n"/>
      <c r="NEG73" s="421" t="n"/>
      <c r="NEH73" s="421" t="n"/>
      <c r="NEI73" s="421" t="n"/>
      <c r="NEJ73" s="421" t="n"/>
      <c r="NEK73" s="421" t="n"/>
      <c r="NEL73" s="421" t="n"/>
      <c r="NEM73" s="421" t="n"/>
      <c r="NEN73" s="421" t="n"/>
      <c r="NEO73" s="421" t="n"/>
      <c r="NEP73" s="421" t="n"/>
      <c r="NEQ73" s="421" t="n"/>
      <c r="NER73" s="421" t="n"/>
      <c r="NES73" s="421" t="n"/>
      <c r="NET73" s="421" t="n"/>
      <c r="NEU73" s="421" t="n"/>
      <c r="NEV73" s="421" t="n"/>
      <c r="NEW73" s="421" t="n"/>
      <c r="NEX73" s="421" t="n"/>
      <c r="NEY73" s="421" t="n"/>
      <c r="NEZ73" s="421" t="n"/>
      <c r="NFA73" s="421" t="n"/>
      <c r="NFB73" s="421" t="n"/>
      <c r="NFC73" s="421" t="n"/>
      <c r="NFD73" s="421" t="n"/>
      <c r="NFE73" s="421" t="n"/>
      <c r="NFF73" s="421" t="n"/>
      <c r="NFG73" s="421" t="n"/>
      <c r="NFH73" s="421" t="n"/>
      <c r="NFI73" s="421" t="n"/>
      <c r="NFJ73" s="421" t="n"/>
      <c r="NFK73" s="421" t="n"/>
      <c r="NFL73" s="421" t="n"/>
      <c r="NFM73" s="421" t="n"/>
      <c r="NFN73" s="421" t="n"/>
      <c r="NFO73" s="421" t="n"/>
      <c r="NFP73" s="421" t="n"/>
      <c r="NFQ73" s="421" t="n"/>
      <c r="NFR73" s="421" t="n"/>
      <c r="NFS73" s="421" t="n"/>
      <c r="NFT73" s="421" t="n"/>
      <c r="NFU73" s="421" t="n"/>
      <c r="NFV73" s="421" t="n"/>
      <c r="NFW73" s="421" t="n"/>
      <c r="NFX73" s="421" t="n"/>
      <c r="NFY73" s="421" t="n"/>
      <c r="NFZ73" s="421" t="n"/>
      <c r="NGA73" s="421" t="n"/>
      <c r="NGB73" s="421" t="n"/>
      <c r="NGC73" s="421" t="n"/>
      <c r="NGD73" s="421" t="n"/>
      <c r="NGE73" s="421" t="n"/>
      <c r="NGF73" s="421" t="n"/>
      <c r="NGG73" s="421" t="n"/>
      <c r="NGH73" s="421" t="n"/>
      <c r="NGI73" s="421" t="n"/>
      <c r="NGJ73" s="421" t="n"/>
      <c r="NGK73" s="421" t="n"/>
      <c r="NGL73" s="421" t="n"/>
      <c r="NGM73" s="421" t="n"/>
      <c r="NGN73" s="421" t="n"/>
      <c r="NGO73" s="421" t="n"/>
      <c r="NGP73" s="421" t="n"/>
      <c r="NGQ73" s="421" t="n"/>
      <c r="NGR73" s="421" t="n"/>
      <c r="NGS73" s="421" t="n"/>
      <c r="NGT73" s="421" t="n"/>
      <c r="NGU73" s="421" t="n"/>
      <c r="NGV73" s="421" t="n"/>
      <c r="NGW73" s="421" t="n"/>
      <c r="NGX73" s="421" t="n"/>
      <c r="NGY73" s="421" t="n"/>
      <c r="NGZ73" s="421" t="n"/>
      <c r="NHA73" s="421" t="n"/>
      <c r="NHB73" s="421" t="n"/>
      <c r="NHC73" s="421" t="n"/>
      <c r="NHD73" s="421" t="n"/>
      <c r="NHE73" s="421" t="n"/>
      <c r="NHF73" s="421" t="n"/>
      <c r="NHG73" s="421" t="n"/>
      <c r="NHH73" s="421" t="n"/>
      <c r="NHI73" s="421" t="n"/>
      <c r="NHJ73" s="421" t="n"/>
      <c r="NHK73" s="421" t="n"/>
      <c r="NHL73" s="421" t="n"/>
      <c r="NHM73" s="421" t="n"/>
      <c r="NHN73" s="421" t="n"/>
      <c r="NHO73" s="421" t="n"/>
      <c r="NHP73" s="421" t="n"/>
      <c r="NHQ73" s="421" t="n"/>
      <c r="NHR73" s="421" t="n"/>
      <c r="NHS73" s="421" t="n"/>
      <c r="NHT73" s="421" t="n"/>
      <c r="NHU73" s="421" t="n"/>
      <c r="NHV73" s="421" t="n"/>
      <c r="NHW73" s="421" t="n"/>
      <c r="NHX73" s="421" t="n"/>
      <c r="NHY73" s="421" t="n"/>
      <c r="NHZ73" s="421" t="n"/>
      <c r="NIA73" s="421" t="n"/>
      <c r="NIB73" s="421" t="n"/>
      <c r="NIC73" s="421" t="n"/>
      <c r="NID73" s="421" t="n"/>
      <c r="NIE73" s="421" t="n"/>
      <c r="NIF73" s="421" t="n"/>
      <c r="NIG73" s="421" t="n"/>
      <c r="NIH73" s="421" t="n"/>
      <c r="NII73" s="421" t="n"/>
      <c r="NIJ73" s="421" t="n"/>
      <c r="NIK73" s="421" t="n"/>
      <c r="NIL73" s="421" t="n"/>
      <c r="NIM73" s="421" t="n"/>
      <c r="NIN73" s="421" t="n"/>
      <c r="NIO73" s="421" t="n"/>
      <c r="NIP73" s="421" t="n"/>
      <c r="NIQ73" s="421" t="n"/>
      <c r="NIR73" s="421" t="n"/>
      <c r="NIS73" s="421" t="n"/>
      <c r="NIT73" s="421" t="n"/>
      <c r="NIU73" s="421" t="n"/>
      <c r="NIV73" s="421" t="n"/>
      <c r="NIW73" s="421" t="n"/>
      <c r="NIX73" s="421" t="n"/>
      <c r="NIY73" s="421" t="n"/>
      <c r="NIZ73" s="421" t="n"/>
      <c r="NJA73" s="421" t="n"/>
      <c r="NJB73" s="421" t="n"/>
      <c r="NJC73" s="421" t="n"/>
      <c r="NJD73" s="421" t="n"/>
      <c r="NJE73" s="421" t="n"/>
      <c r="NJF73" s="421" t="n"/>
      <c r="NJG73" s="421" t="n"/>
      <c r="NJH73" s="421" t="n"/>
      <c r="NJI73" s="421" t="n"/>
      <c r="NJJ73" s="421" t="n"/>
      <c r="NJK73" s="421" t="n"/>
      <c r="NJL73" s="421" t="n"/>
      <c r="NJM73" s="421" t="n"/>
      <c r="NJN73" s="421" t="n"/>
      <c r="NJO73" s="421" t="n"/>
      <c r="NJP73" s="421" t="n"/>
      <c r="NJQ73" s="421" t="n"/>
      <c r="NJR73" s="421" t="n"/>
      <c r="NJS73" s="421" t="n"/>
      <c r="NJT73" s="421" t="n"/>
      <c r="NJU73" s="421" t="n"/>
      <c r="NJV73" s="421" t="n"/>
      <c r="NJW73" s="421" t="n"/>
      <c r="NJX73" s="421" t="n"/>
      <c r="NJY73" s="421" t="n"/>
      <c r="NJZ73" s="421" t="n"/>
      <c r="NKA73" s="421" t="n"/>
      <c r="NKB73" s="421" t="n"/>
      <c r="NKC73" s="421" t="n"/>
      <c r="NKD73" s="421" t="n"/>
      <c r="NKE73" s="421" t="n"/>
      <c r="NKF73" s="421" t="n"/>
      <c r="NKG73" s="421" t="n"/>
      <c r="NKH73" s="421" t="n"/>
      <c r="NKI73" s="421" t="n"/>
      <c r="NKJ73" s="421" t="n"/>
      <c r="NKK73" s="421" t="n"/>
      <c r="NKL73" s="421" t="n"/>
      <c r="NKM73" s="421" t="n"/>
      <c r="NKN73" s="421" t="n"/>
      <c r="NKO73" s="421" t="n"/>
      <c r="NKP73" s="421" t="n"/>
      <c r="NKQ73" s="421" t="n"/>
      <c r="NKR73" s="421" t="n"/>
      <c r="NKS73" s="421" t="n"/>
      <c r="NKT73" s="421" t="n"/>
      <c r="NKU73" s="421" t="n"/>
      <c r="NKV73" s="421" t="n"/>
      <c r="NKW73" s="421" t="n"/>
      <c r="NKX73" s="421" t="n"/>
      <c r="NKY73" s="421" t="n"/>
      <c r="NKZ73" s="421" t="n"/>
      <c r="NLA73" s="421" t="n"/>
      <c r="NLB73" s="421" t="n"/>
      <c r="NLC73" s="421" t="n"/>
      <c r="NLD73" s="421" t="n"/>
      <c r="NLE73" s="421" t="n"/>
      <c r="NLF73" s="421" t="n"/>
      <c r="NLG73" s="421" t="n"/>
      <c r="NLH73" s="421" t="n"/>
      <c r="NLI73" s="421" t="n"/>
      <c r="NLJ73" s="421" t="n"/>
      <c r="NLK73" s="421" t="n"/>
      <c r="NLL73" s="421" t="n"/>
      <c r="NLM73" s="421" t="n"/>
      <c r="NLN73" s="421" t="n"/>
      <c r="NLO73" s="421" t="n"/>
      <c r="NLP73" s="421" t="n"/>
      <c r="NLQ73" s="421" t="n"/>
      <c r="NLR73" s="421" t="n"/>
      <c r="NLS73" s="421" t="n"/>
      <c r="NLT73" s="421" t="n"/>
      <c r="NLU73" s="421" t="n"/>
      <c r="NLV73" s="421" t="n"/>
      <c r="NLW73" s="421" t="n"/>
      <c r="NLX73" s="421" t="n"/>
      <c r="NLY73" s="421" t="n"/>
      <c r="NLZ73" s="421" t="n"/>
      <c r="NMA73" s="421" t="n"/>
      <c r="NMB73" s="421" t="n"/>
      <c r="NMC73" s="421" t="n"/>
      <c r="NMD73" s="421" t="n"/>
      <c r="NME73" s="421" t="n"/>
      <c r="NMF73" s="421" t="n"/>
      <c r="NMG73" s="421" t="n"/>
      <c r="NMH73" s="421" t="n"/>
      <c r="NMI73" s="421" t="n"/>
      <c r="NMJ73" s="421" t="n"/>
      <c r="NMK73" s="421" t="n"/>
      <c r="NML73" s="421" t="n"/>
      <c r="NMM73" s="421" t="n"/>
      <c r="NMN73" s="421" t="n"/>
      <c r="NMO73" s="421" t="n"/>
      <c r="NMP73" s="421" t="n"/>
      <c r="NMQ73" s="421" t="n"/>
      <c r="NMR73" s="421" t="n"/>
      <c r="NMS73" s="421" t="n"/>
      <c r="NMT73" s="421" t="n"/>
      <c r="NMU73" s="421" t="n"/>
      <c r="NMV73" s="421" t="n"/>
      <c r="NMW73" s="421" t="n"/>
      <c r="NMX73" s="421" t="n"/>
      <c r="NMY73" s="421" t="n"/>
      <c r="NMZ73" s="421" t="n"/>
      <c r="NNA73" s="421" t="n"/>
      <c r="NNB73" s="421" t="n"/>
      <c r="NNC73" s="421" t="n"/>
      <c r="NND73" s="421" t="n"/>
      <c r="NNE73" s="421" t="n"/>
      <c r="NNF73" s="421" t="n"/>
      <c r="NNG73" s="421" t="n"/>
      <c r="NNH73" s="421" t="n"/>
      <c r="NNI73" s="421" t="n"/>
      <c r="NNJ73" s="421" t="n"/>
      <c r="NNK73" s="421" t="n"/>
      <c r="NNL73" s="421" t="n"/>
      <c r="NNM73" s="421" t="n"/>
      <c r="NNN73" s="421" t="n"/>
      <c r="NNO73" s="421" t="n"/>
      <c r="NNP73" s="421" t="n"/>
      <c r="NNQ73" s="421" t="n"/>
      <c r="NNR73" s="421" t="n"/>
      <c r="NNS73" s="421" t="n"/>
      <c r="NNT73" s="421" t="n"/>
      <c r="NNU73" s="421" t="n"/>
      <c r="NNV73" s="421" t="n"/>
      <c r="NNW73" s="421" t="n"/>
      <c r="NNX73" s="421" t="n"/>
      <c r="NNY73" s="421" t="n"/>
      <c r="NNZ73" s="421" t="n"/>
      <c r="NOA73" s="421" t="n"/>
      <c r="NOB73" s="421" t="n"/>
      <c r="NOC73" s="421" t="n"/>
      <c r="NOD73" s="421" t="n"/>
      <c r="NOE73" s="421" t="n"/>
      <c r="NOF73" s="421" t="n"/>
      <c r="NOG73" s="421" t="n"/>
      <c r="NOH73" s="421" t="n"/>
      <c r="NOI73" s="421" t="n"/>
      <c r="NOJ73" s="421" t="n"/>
      <c r="NOK73" s="421" t="n"/>
      <c r="NOL73" s="421" t="n"/>
      <c r="NOM73" s="421" t="n"/>
      <c r="NON73" s="421" t="n"/>
      <c r="NOO73" s="421" t="n"/>
      <c r="NOP73" s="421" t="n"/>
      <c r="NOQ73" s="421" t="n"/>
      <c r="NOR73" s="421" t="n"/>
      <c r="NOS73" s="421" t="n"/>
      <c r="NOT73" s="421" t="n"/>
      <c r="NOU73" s="421" t="n"/>
      <c r="NOV73" s="421" t="n"/>
      <c r="NOW73" s="421" t="n"/>
      <c r="NOX73" s="421" t="n"/>
      <c r="NOY73" s="421" t="n"/>
      <c r="NOZ73" s="421" t="n"/>
      <c r="NPA73" s="421" t="n"/>
      <c r="NPB73" s="421" t="n"/>
      <c r="NPC73" s="421" t="n"/>
      <c r="NPD73" s="421" t="n"/>
      <c r="NPE73" s="421" t="n"/>
      <c r="NPF73" s="421" t="n"/>
      <c r="NPG73" s="421" t="n"/>
      <c r="NPH73" s="421" t="n"/>
      <c r="NPI73" s="421" t="n"/>
      <c r="NPJ73" s="421" t="n"/>
      <c r="NPK73" s="421" t="n"/>
      <c r="NPL73" s="421" t="n"/>
      <c r="NPM73" s="421" t="n"/>
      <c r="NPN73" s="421" t="n"/>
      <c r="NPO73" s="421" t="n"/>
      <c r="NPP73" s="421" t="n"/>
      <c r="NPQ73" s="421" t="n"/>
      <c r="NPR73" s="421" t="n"/>
      <c r="NPS73" s="421" t="n"/>
      <c r="NPT73" s="421" t="n"/>
      <c r="NPU73" s="421" t="n"/>
      <c r="NPV73" s="421" t="n"/>
      <c r="NPW73" s="421" t="n"/>
      <c r="NPX73" s="421" t="n"/>
      <c r="NPY73" s="421" t="n"/>
      <c r="NPZ73" s="421" t="n"/>
      <c r="NQA73" s="421" t="n"/>
      <c r="NQB73" s="421" t="n"/>
      <c r="NQC73" s="421" t="n"/>
      <c r="NQD73" s="421" t="n"/>
      <c r="NQE73" s="421" t="n"/>
      <c r="NQF73" s="421" t="n"/>
      <c r="NQG73" s="421" t="n"/>
      <c r="NQH73" s="421" t="n"/>
      <c r="NQI73" s="421" t="n"/>
      <c r="NQJ73" s="421" t="n"/>
      <c r="NQK73" s="421" t="n"/>
      <c r="NQL73" s="421" t="n"/>
      <c r="NQM73" s="421" t="n"/>
      <c r="NQN73" s="421" t="n"/>
      <c r="NQO73" s="421" t="n"/>
      <c r="NQP73" s="421" t="n"/>
      <c r="NQQ73" s="421" t="n"/>
      <c r="NQR73" s="421" t="n"/>
      <c r="NQS73" s="421" t="n"/>
      <c r="NQT73" s="421" t="n"/>
      <c r="NQU73" s="421" t="n"/>
      <c r="NQV73" s="421" t="n"/>
      <c r="NQW73" s="421" t="n"/>
      <c r="NQX73" s="421" t="n"/>
      <c r="NQY73" s="421" t="n"/>
      <c r="NQZ73" s="421" t="n"/>
      <c r="NRA73" s="421" t="n"/>
      <c r="NRB73" s="421" t="n"/>
      <c r="NRC73" s="421" t="n"/>
      <c r="NRD73" s="421" t="n"/>
      <c r="NRE73" s="421" t="n"/>
      <c r="NRF73" s="421" t="n"/>
      <c r="NRG73" s="421" t="n"/>
      <c r="NRH73" s="421" t="n"/>
      <c r="NRI73" s="421" t="n"/>
      <c r="NRJ73" s="421" t="n"/>
      <c r="NRK73" s="421" t="n"/>
      <c r="NRL73" s="421" t="n"/>
      <c r="NRM73" s="421" t="n"/>
      <c r="NRN73" s="421" t="n"/>
      <c r="NRO73" s="421" t="n"/>
      <c r="NRP73" s="421" t="n"/>
      <c r="NRQ73" s="421" t="n"/>
      <c r="NRR73" s="421" t="n"/>
      <c r="NRS73" s="421" t="n"/>
      <c r="NRT73" s="421" t="n"/>
      <c r="NRU73" s="421" t="n"/>
      <c r="NRV73" s="421" t="n"/>
      <c r="NRW73" s="421" t="n"/>
      <c r="NRX73" s="421" t="n"/>
      <c r="NRY73" s="421" t="n"/>
      <c r="NRZ73" s="421" t="n"/>
      <c r="NSA73" s="421" t="n"/>
      <c r="NSB73" s="421" t="n"/>
      <c r="NSC73" s="421" t="n"/>
      <c r="NSD73" s="421" t="n"/>
      <c r="NSE73" s="421" t="n"/>
      <c r="NSF73" s="421" t="n"/>
      <c r="NSG73" s="421" t="n"/>
      <c r="NSH73" s="421" t="n"/>
      <c r="NSI73" s="421" t="n"/>
      <c r="NSJ73" s="421" t="n"/>
      <c r="NSK73" s="421" t="n"/>
      <c r="NSL73" s="421" t="n"/>
      <c r="NSM73" s="421" t="n"/>
      <c r="NSN73" s="421" t="n"/>
      <c r="NSO73" s="421" t="n"/>
      <c r="NSP73" s="421" t="n"/>
      <c r="NSQ73" s="421" t="n"/>
      <c r="NSR73" s="421" t="n"/>
      <c r="NSS73" s="421" t="n"/>
      <c r="NST73" s="421" t="n"/>
      <c r="NSU73" s="421" t="n"/>
      <c r="NSV73" s="421" t="n"/>
      <c r="NSW73" s="421" t="n"/>
      <c r="NSX73" s="421" t="n"/>
      <c r="NSY73" s="421" t="n"/>
      <c r="NSZ73" s="421" t="n"/>
      <c r="NTA73" s="421" t="n"/>
      <c r="NTB73" s="421" t="n"/>
      <c r="NTC73" s="421" t="n"/>
      <c r="NTD73" s="421" t="n"/>
      <c r="NTE73" s="421" t="n"/>
      <c r="NTF73" s="421" t="n"/>
      <c r="NTG73" s="421" t="n"/>
      <c r="NTH73" s="421" t="n"/>
      <c r="NTI73" s="421" t="n"/>
      <c r="NTJ73" s="421" t="n"/>
      <c r="NTK73" s="421" t="n"/>
      <c r="NTL73" s="421" t="n"/>
      <c r="NTM73" s="421" t="n"/>
      <c r="NTN73" s="421" t="n"/>
      <c r="NTO73" s="421" t="n"/>
      <c r="NTP73" s="421" t="n"/>
      <c r="NTQ73" s="421" t="n"/>
      <c r="NTR73" s="421" t="n"/>
      <c r="NTS73" s="421" t="n"/>
      <c r="NTT73" s="421" t="n"/>
      <c r="NTU73" s="421" t="n"/>
      <c r="NTV73" s="421" t="n"/>
      <c r="NTW73" s="421" t="n"/>
      <c r="NTX73" s="421" t="n"/>
      <c r="NTY73" s="421" t="n"/>
      <c r="NTZ73" s="421" t="n"/>
      <c r="NUA73" s="421" t="n"/>
      <c r="NUB73" s="421" t="n"/>
      <c r="NUC73" s="421" t="n"/>
      <c r="NUD73" s="421" t="n"/>
      <c r="NUE73" s="421" t="n"/>
      <c r="NUF73" s="421" t="n"/>
      <c r="NUG73" s="421" t="n"/>
      <c r="NUH73" s="421" t="n"/>
      <c r="NUI73" s="421" t="n"/>
      <c r="NUJ73" s="421" t="n"/>
      <c r="NUK73" s="421" t="n"/>
      <c r="NUL73" s="421" t="n"/>
      <c r="NUM73" s="421" t="n"/>
      <c r="NUN73" s="421" t="n"/>
      <c r="NUO73" s="421" t="n"/>
      <c r="NUP73" s="421" t="n"/>
      <c r="NUQ73" s="421" t="n"/>
      <c r="NUR73" s="421" t="n"/>
      <c r="NUS73" s="421" t="n"/>
      <c r="NUT73" s="421" t="n"/>
      <c r="NUU73" s="421" t="n"/>
      <c r="NUV73" s="421" t="n"/>
      <c r="NUW73" s="421" t="n"/>
      <c r="NUX73" s="421" t="n"/>
      <c r="NUY73" s="421" t="n"/>
      <c r="NUZ73" s="421" t="n"/>
      <c r="NVA73" s="421" t="n"/>
      <c r="NVB73" s="421" t="n"/>
      <c r="NVC73" s="421" t="n"/>
      <c r="NVD73" s="421" t="n"/>
      <c r="NVE73" s="421" t="n"/>
      <c r="NVF73" s="421" t="n"/>
      <c r="NVG73" s="421" t="n"/>
      <c r="NVH73" s="421" t="n"/>
      <c r="NVI73" s="421" t="n"/>
      <c r="NVJ73" s="421" t="n"/>
      <c r="NVK73" s="421" t="n"/>
      <c r="NVL73" s="421" t="n"/>
      <c r="NVM73" s="421" t="n"/>
      <c r="NVN73" s="421" t="n"/>
      <c r="NVO73" s="421" t="n"/>
      <c r="NVP73" s="421" t="n"/>
      <c r="NVQ73" s="421" t="n"/>
      <c r="NVR73" s="421" t="n"/>
      <c r="NVS73" s="421" t="n"/>
      <c r="NVT73" s="421" t="n"/>
      <c r="NVU73" s="421" t="n"/>
      <c r="NVV73" s="421" t="n"/>
      <c r="NVW73" s="421" t="n"/>
      <c r="NVX73" s="421" t="n"/>
      <c r="NVY73" s="421" t="n"/>
      <c r="NVZ73" s="421" t="n"/>
      <c r="NWA73" s="421" t="n"/>
      <c r="NWB73" s="421" t="n"/>
      <c r="NWC73" s="421" t="n"/>
      <c r="NWD73" s="421" t="n"/>
      <c r="NWE73" s="421" t="n"/>
      <c r="NWF73" s="421" t="n"/>
      <c r="NWG73" s="421" t="n"/>
      <c r="NWH73" s="421" t="n"/>
      <c r="NWI73" s="421" t="n"/>
      <c r="NWJ73" s="421" t="n"/>
      <c r="NWK73" s="421" t="n"/>
      <c r="NWL73" s="421" t="n"/>
      <c r="NWM73" s="421" t="n"/>
      <c r="NWN73" s="421" t="n"/>
      <c r="NWO73" s="421" t="n"/>
      <c r="NWP73" s="421" t="n"/>
      <c r="NWQ73" s="421" t="n"/>
      <c r="NWR73" s="421" t="n"/>
      <c r="NWS73" s="421" t="n"/>
      <c r="NWT73" s="421" t="n"/>
      <c r="NWU73" s="421" t="n"/>
      <c r="NWV73" s="421" t="n"/>
      <c r="NWW73" s="421" t="n"/>
      <c r="NWX73" s="421" t="n"/>
      <c r="NWY73" s="421" t="n"/>
      <c r="NWZ73" s="421" t="n"/>
      <c r="NXA73" s="421" t="n"/>
      <c r="NXB73" s="421" t="n"/>
      <c r="NXC73" s="421" t="n"/>
      <c r="NXD73" s="421" t="n"/>
      <c r="NXE73" s="421" t="n"/>
      <c r="NXF73" s="421" t="n"/>
      <c r="NXG73" s="421" t="n"/>
      <c r="NXH73" s="421" t="n"/>
      <c r="NXI73" s="421" t="n"/>
      <c r="NXJ73" s="421" t="n"/>
      <c r="NXK73" s="421" t="n"/>
      <c r="NXL73" s="421" t="n"/>
      <c r="NXM73" s="421" t="n"/>
      <c r="NXN73" s="421" t="n"/>
      <c r="NXO73" s="421" t="n"/>
      <c r="NXP73" s="421" t="n"/>
      <c r="NXQ73" s="421" t="n"/>
      <c r="NXR73" s="421" t="n"/>
      <c r="NXS73" s="421" t="n"/>
      <c r="NXT73" s="421" t="n"/>
      <c r="NXU73" s="421" t="n"/>
      <c r="NXV73" s="421" t="n"/>
      <c r="NXW73" s="421" t="n"/>
      <c r="NXX73" s="421" t="n"/>
      <c r="NXY73" s="421" t="n"/>
      <c r="NXZ73" s="421" t="n"/>
      <c r="NYA73" s="421" t="n"/>
      <c r="NYB73" s="421" t="n"/>
      <c r="NYC73" s="421" t="n"/>
      <c r="NYD73" s="421" t="n"/>
      <c r="NYE73" s="421" t="n"/>
      <c r="NYF73" s="421" t="n"/>
      <c r="NYG73" s="421" t="n"/>
      <c r="NYH73" s="421" t="n"/>
      <c r="NYI73" s="421" t="n"/>
      <c r="NYJ73" s="421" t="n"/>
      <c r="NYK73" s="421" t="n"/>
      <c r="NYL73" s="421" t="n"/>
      <c r="NYM73" s="421" t="n"/>
      <c r="NYN73" s="421" t="n"/>
      <c r="NYO73" s="421" t="n"/>
      <c r="NYP73" s="421" t="n"/>
      <c r="NYQ73" s="421" t="n"/>
      <c r="NYR73" s="421" t="n"/>
      <c r="NYS73" s="421" t="n"/>
      <c r="NYT73" s="421" t="n"/>
      <c r="NYU73" s="421" t="n"/>
      <c r="NYV73" s="421" t="n"/>
      <c r="NYW73" s="421" t="n"/>
      <c r="NYX73" s="421" t="n"/>
      <c r="NYY73" s="421" t="n"/>
      <c r="NYZ73" s="421" t="n"/>
      <c r="NZA73" s="421" t="n"/>
      <c r="NZB73" s="421" t="n"/>
      <c r="NZC73" s="421" t="n"/>
      <c r="NZD73" s="421" t="n"/>
      <c r="NZE73" s="421" t="n"/>
      <c r="NZF73" s="421" t="n"/>
      <c r="NZG73" s="421" t="n"/>
      <c r="NZH73" s="421" t="n"/>
      <c r="NZI73" s="421" t="n"/>
      <c r="NZJ73" s="421" t="n"/>
      <c r="NZK73" s="421" t="n"/>
      <c r="NZL73" s="421" t="n"/>
      <c r="NZM73" s="421" t="n"/>
      <c r="NZN73" s="421" t="n"/>
      <c r="NZO73" s="421" t="n"/>
      <c r="NZP73" s="421" t="n"/>
      <c r="NZQ73" s="421" t="n"/>
      <c r="NZR73" s="421" t="n"/>
      <c r="NZS73" s="421" t="n"/>
      <c r="NZT73" s="421" t="n"/>
      <c r="NZU73" s="421" t="n"/>
      <c r="NZV73" s="421" t="n"/>
      <c r="NZW73" s="421" t="n"/>
      <c r="NZX73" s="421" t="n"/>
      <c r="NZY73" s="421" t="n"/>
      <c r="NZZ73" s="421" t="n"/>
      <c r="OAA73" s="421" t="n"/>
      <c r="OAB73" s="421" t="n"/>
      <c r="OAC73" s="421" t="n"/>
      <c r="OAD73" s="421" t="n"/>
      <c r="OAE73" s="421" t="n"/>
      <c r="OAF73" s="421" t="n"/>
      <c r="OAG73" s="421" t="n"/>
      <c r="OAH73" s="421" t="n"/>
      <c r="OAI73" s="421" t="n"/>
      <c r="OAJ73" s="421" t="n"/>
      <c r="OAK73" s="421" t="n"/>
      <c r="OAL73" s="421" t="n"/>
      <c r="OAM73" s="421" t="n"/>
      <c r="OAN73" s="421" t="n"/>
      <c r="OAO73" s="421" t="n"/>
      <c r="OAP73" s="421" t="n"/>
      <c r="OAQ73" s="421" t="n"/>
      <c r="OAR73" s="421" t="n"/>
      <c r="OAS73" s="421" t="n"/>
      <c r="OAT73" s="421" t="n"/>
      <c r="OAU73" s="421" t="n"/>
      <c r="OAV73" s="421" t="n"/>
      <c r="OAW73" s="421" t="n"/>
      <c r="OAX73" s="421" t="n"/>
      <c r="OAY73" s="421" t="n"/>
      <c r="OAZ73" s="421" t="n"/>
      <c r="OBA73" s="421" t="n"/>
      <c r="OBB73" s="421" t="n"/>
      <c r="OBC73" s="421" t="n"/>
      <c r="OBD73" s="421" t="n"/>
      <c r="OBE73" s="421" t="n"/>
      <c r="OBF73" s="421" t="n"/>
      <c r="OBG73" s="421" t="n"/>
      <c r="OBH73" s="421" t="n"/>
      <c r="OBI73" s="421" t="n"/>
      <c r="OBJ73" s="421" t="n"/>
      <c r="OBK73" s="421" t="n"/>
      <c r="OBL73" s="421" t="n"/>
      <c r="OBM73" s="421" t="n"/>
      <c r="OBN73" s="421" t="n"/>
      <c r="OBO73" s="421" t="n"/>
      <c r="OBP73" s="421" t="n"/>
      <c r="OBQ73" s="421" t="n"/>
      <c r="OBR73" s="421" t="n"/>
      <c r="OBS73" s="421" t="n"/>
      <c r="OBT73" s="421" t="n"/>
      <c r="OBU73" s="421" t="n"/>
      <c r="OBV73" s="421" t="n"/>
      <c r="OBW73" s="421" t="n"/>
      <c r="OBX73" s="421" t="n"/>
      <c r="OBY73" s="421" t="n"/>
      <c r="OBZ73" s="421" t="n"/>
      <c r="OCA73" s="421" t="n"/>
      <c r="OCB73" s="421" t="n"/>
      <c r="OCC73" s="421" t="n"/>
      <c r="OCD73" s="421" t="n"/>
      <c r="OCE73" s="421" t="n"/>
      <c r="OCF73" s="421" t="n"/>
      <c r="OCG73" s="421" t="n"/>
      <c r="OCH73" s="421" t="n"/>
      <c r="OCI73" s="421" t="n"/>
      <c r="OCJ73" s="421" t="n"/>
      <c r="OCK73" s="421" t="n"/>
      <c r="OCL73" s="421" t="n"/>
      <c r="OCM73" s="421" t="n"/>
      <c r="OCN73" s="421" t="n"/>
      <c r="OCO73" s="421" t="n"/>
      <c r="OCP73" s="421" t="n"/>
      <c r="OCQ73" s="421" t="n"/>
      <c r="OCR73" s="421" t="n"/>
      <c r="OCS73" s="421" t="n"/>
      <c r="OCT73" s="421" t="n"/>
      <c r="OCU73" s="421" t="n"/>
      <c r="OCV73" s="421" t="n"/>
      <c r="OCW73" s="421" t="n"/>
      <c r="OCX73" s="421" t="n"/>
      <c r="OCY73" s="421" t="n"/>
      <c r="OCZ73" s="421" t="n"/>
      <c r="ODA73" s="421" t="n"/>
      <c r="ODB73" s="421" t="n"/>
      <c r="ODC73" s="421" t="n"/>
      <c r="ODD73" s="421" t="n"/>
      <c r="ODE73" s="421" t="n"/>
      <c r="ODF73" s="421" t="n"/>
      <c r="ODG73" s="421" t="n"/>
      <c r="ODH73" s="421" t="n"/>
      <c r="ODI73" s="421" t="n"/>
      <c r="ODJ73" s="421" t="n"/>
      <c r="ODK73" s="421" t="n"/>
      <c r="ODL73" s="421" t="n"/>
      <c r="ODM73" s="421" t="n"/>
      <c r="ODN73" s="421" t="n"/>
      <c r="ODO73" s="421" t="n"/>
      <c r="ODP73" s="421" t="n"/>
      <c r="ODQ73" s="421" t="n"/>
      <c r="ODR73" s="421" t="n"/>
      <c r="ODS73" s="421" t="n"/>
      <c r="ODT73" s="421" t="n"/>
      <c r="ODU73" s="421" t="n"/>
      <c r="ODV73" s="421" t="n"/>
      <c r="ODW73" s="421" t="n"/>
      <c r="ODX73" s="421" t="n"/>
      <c r="ODY73" s="421" t="n"/>
      <c r="ODZ73" s="421" t="n"/>
      <c r="OEA73" s="421" t="n"/>
      <c r="OEB73" s="421" t="n"/>
      <c r="OEC73" s="421" t="n"/>
      <c r="OED73" s="421" t="n"/>
      <c r="OEE73" s="421" t="n"/>
      <c r="OEF73" s="421" t="n"/>
      <c r="OEG73" s="421" t="n"/>
      <c r="OEH73" s="421" t="n"/>
      <c r="OEI73" s="421" t="n"/>
      <c r="OEJ73" s="421" t="n"/>
      <c r="OEK73" s="421" t="n"/>
      <c r="OEL73" s="421" t="n"/>
      <c r="OEM73" s="421" t="n"/>
      <c r="OEN73" s="421" t="n"/>
      <c r="OEO73" s="421" t="n"/>
      <c r="OEP73" s="421" t="n"/>
      <c r="OEQ73" s="421" t="n"/>
      <c r="OER73" s="421" t="n"/>
      <c r="OES73" s="421" t="n"/>
      <c r="OET73" s="421" t="n"/>
      <c r="OEU73" s="421" t="n"/>
      <c r="OEV73" s="421" t="n"/>
      <c r="OEW73" s="421" t="n"/>
      <c r="OEX73" s="421" t="n"/>
      <c r="OEY73" s="421" t="n"/>
      <c r="OEZ73" s="421" t="n"/>
      <c r="OFA73" s="421" t="n"/>
      <c r="OFB73" s="421" t="n"/>
      <c r="OFC73" s="421" t="n"/>
      <c r="OFD73" s="421" t="n"/>
      <c r="OFE73" s="421" t="n"/>
      <c r="OFF73" s="421" t="n"/>
      <c r="OFG73" s="421" t="n"/>
      <c r="OFH73" s="421" t="n"/>
      <c r="OFI73" s="421" t="n"/>
      <c r="OFJ73" s="421" t="n"/>
      <c r="OFK73" s="421" t="n"/>
      <c r="OFL73" s="421" t="n"/>
      <c r="OFM73" s="421" t="n"/>
      <c r="OFN73" s="421" t="n"/>
      <c r="OFO73" s="421" t="n"/>
      <c r="OFP73" s="421" t="n"/>
      <c r="OFQ73" s="421" t="n"/>
      <c r="OFR73" s="421" t="n"/>
      <c r="OFS73" s="421" t="n"/>
      <c r="OFT73" s="421" t="n"/>
      <c r="OFU73" s="421" t="n"/>
      <c r="OFV73" s="421" t="n"/>
      <c r="OFW73" s="421" t="n"/>
      <c r="OFX73" s="421" t="n"/>
      <c r="OFY73" s="421" t="n"/>
      <c r="OFZ73" s="421" t="n"/>
      <c r="OGA73" s="421" t="n"/>
      <c r="OGB73" s="421" t="n"/>
      <c r="OGC73" s="421" t="n"/>
      <c r="OGD73" s="421" t="n"/>
      <c r="OGE73" s="421" t="n"/>
      <c r="OGF73" s="421" t="n"/>
      <c r="OGG73" s="421" t="n"/>
      <c r="OGH73" s="421" t="n"/>
      <c r="OGI73" s="421" t="n"/>
      <c r="OGJ73" s="421" t="n"/>
      <c r="OGK73" s="421" t="n"/>
      <c r="OGL73" s="421" t="n"/>
      <c r="OGM73" s="421" t="n"/>
      <c r="OGN73" s="421" t="n"/>
      <c r="OGO73" s="421" t="n"/>
      <c r="OGP73" s="421" t="n"/>
      <c r="OGQ73" s="421" t="n"/>
      <c r="OGR73" s="421" t="n"/>
      <c r="OGS73" s="421" t="n"/>
      <c r="OGT73" s="421" t="n"/>
      <c r="OGU73" s="421" t="n"/>
      <c r="OGV73" s="421" t="n"/>
      <c r="OGW73" s="421" t="n"/>
      <c r="OGX73" s="421" t="n"/>
      <c r="OGY73" s="421" t="n"/>
      <c r="OGZ73" s="421" t="n"/>
      <c r="OHA73" s="421" t="n"/>
      <c r="OHB73" s="421" t="n"/>
      <c r="OHC73" s="421" t="n"/>
      <c r="OHD73" s="421" t="n"/>
      <c r="OHE73" s="421" t="n"/>
      <c r="OHF73" s="421" t="n"/>
      <c r="OHG73" s="421" t="n"/>
      <c r="OHH73" s="421" t="n"/>
      <c r="OHI73" s="421" t="n"/>
      <c r="OHJ73" s="421" t="n"/>
      <c r="OHK73" s="421" t="n"/>
      <c r="OHL73" s="421" t="n"/>
      <c r="OHM73" s="421" t="n"/>
      <c r="OHN73" s="421" t="n"/>
      <c r="OHO73" s="421" t="n"/>
      <c r="OHP73" s="421" t="n"/>
      <c r="OHQ73" s="421" t="n"/>
      <c r="OHR73" s="421" t="n"/>
      <c r="OHS73" s="421" t="n"/>
      <c r="OHT73" s="421" t="n"/>
      <c r="OHU73" s="421" t="n"/>
      <c r="OHV73" s="421" t="n"/>
      <c r="OHW73" s="421" t="n"/>
      <c r="OHX73" s="421" t="n"/>
      <c r="OHY73" s="421" t="n"/>
      <c r="OHZ73" s="421" t="n"/>
      <c r="OIA73" s="421" t="n"/>
      <c r="OIB73" s="421" t="n"/>
      <c r="OIC73" s="421" t="n"/>
      <c r="OID73" s="421" t="n"/>
      <c r="OIE73" s="421" t="n"/>
      <c r="OIF73" s="421" t="n"/>
      <c r="OIG73" s="421" t="n"/>
      <c r="OIH73" s="421" t="n"/>
      <c r="OII73" s="421" t="n"/>
      <c r="OIJ73" s="421" t="n"/>
      <c r="OIK73" s="421" t="n"/>
      <c r="OIL73" s="421" t="n"/>
      <c r="OIM73" s="421" t="n"/>
      <c r="OIN73" s="421" t="n"/>
      <c r="OIO73" s="421" t="n"/>
      <c r="OIP73" s="421" t="n"/>
      <c r="OIQ73" s="421" t="n"/>
      <c r="OIR73" s="421" t="n"/>
      <c r="OIS73" s="421" t="n"/>
      <c r="OIT73" s="421" t="n"/>
      <c r="OIU73" s="421" t="n"/>
      <c r="OIV73" s="421" t="n"/>
      <c r="OIW73" s="421" t="n"/>
      <c r="OIX73" s="421" t="n"/>
      <c r="OIY73" s="421" t="n"/>
      <c r="OIZ73" s="421" t="n"/>
      <c r="OJA73" s="421" t="n"/>
      <c r="OJB73" s="421" t="n"/>
      <c r="OJC73" s="421" t="n"/>
      <c r="OJD73" s="421" t="n"/>
      <c r="OJE73" s="421" t="n"/>
      <c r="OJF73" s="421" t="n"/>
      <c r="OJG73" s="421" t="n"/>
      <c r="OJH73" s="421" t="n"/>
      <c r="OJI73" s="421" t="n"/>
      <c r="OJJ73" s="421" t="n"/>
      <c r="OJK73" s="421" t="n"/>
      <c r="OJL73" s="421" t="n"/>
      <c r="OJM73" s="421" t="n"/>
      <c r="OJN73" s="421" t="n"/>
      <c r="OJO73" s="421" t="n"/>
      <c r="OJP73" s="421" t="n"/>
      <c r="OJQ73" s="421" t="n"/>
      <c r="OJR73" s="421" t="n"/>
      <c r="OJS73" s="421" t="n"/>
      <c r="OJT73" s="421" t="n"/>
      <c r="OJU73" s="421" t="n"/>
      <c r="OJV73" s="421" t="n"/>
      <c r="OJW73" s="421" t="n"/>
      <c r="OJX73" s="421" t="n"/>
      <c r="OJY73" s="421" t="n"/>
      <c r="OJZ73" s="421" t="n"/>
      <c r="OKA73" s="421" t="n"/>
      <c r="OKB73" s="421" t="n"/>
      <c r="OKC73" s="421" t="n"/>
      <c r="OKD73" s="421" t="n"/>
      <c r="OKE73" s="421" t="n"/>
      <c r="OKF73" s="421" t="n"/>
      <c r="OKG73" s="421" t="n"/>
      <c r="OKH73" s="421" t="n"/>
      <c r="OKI73" s="421" t="n"/>
      <c r="OKJ73" s="421" t="n"/>
      <c r="OKK73" s="421" t="n"/>
      <c r="OKL73" s="421" t="n"/>
      <c r="OKM73" s="421" t="n"/>
      <c r="OKN73" s="421" t="n"/>
      <c r="OKO73" s="421" t="n"/>
      <c r="OKP73" s="421" t="n"/>
      <c r="OKQ73" s="421" t="n"/>
      <c r="OKR73" s="421" t="n"/>
      <c r="OKS73" s="421" t="n"/>
      <c r="OKT73" s="421" t="n"/>
      <c r="OKU73" s="421" t="n"/>
      <c r="OKV73" s="421" t="n"/>
      <c r="OKW73" s="421" t="n"/>
      <c r="OKX73" s="421" t="n"/>
      <c r="OKY73" s="421" t="n"/>
      <c r="OKZ73" s="421" t="n"/>
      <c r="OLA73" s="421" t="n"/>
      <c r="OLB73" s="421" t="n"/>
      <c r="OLC73" s="421" t="n"/>
      <c r="OLD73" s="421" t="n"/>
      <c r="OLE73" s="421" t="n"/>
      <c r="OLF73" s="421" t="n"/>
      <c r="OLG73" s="421" t="n"/>
      <c r="OLH73" s="421" t="n"/>
      <c r="OLI73" s="421" t="n"/>
      <c r="OLJ73" s="421" t="n"/>
      <c r="OLK73" s="421" t="n"/>
      <c r="OLL73" s="421" t="n"/>
      <c r="OLM73" s="421" t="n"/>
      <c r="OLN73" s="421" t="n"/>
      <c r="OLO73" s="421" t="n"/>
      <c r="OLP73" s="421" t="n"/>
      <c r="OLQ73" s="421" t="n"/>
      <c r="OLR73" s="421" t="n"/>
      <c r="OLS73" s="421" t="n"/>
      <c r="OLT73" s="421" t="n"/>
      <c r="OLU73" s="421" t="n"/>
      <c r="OLV73" s="421" t="n"/>
      <c r="OLW73" s="421" t="n"/>
      <c r="OLX73" s="421" t="n"/>
      <c r="OLY73" s="421" t="n"/>
      <c r="OLZ73" s="421" t="n"/>
      <c r="OMA73" s="421" t="n"/>
      <c r="OMB73" s="421" t="n"/>
      <c r="OMC73" s="421" t="n"/>
      <c r="OMD73" s="421" t="n"/>
      <c r="OME73" s="421" t="n"/>
      <c r="OMF73" s="421" t="n"/>
      <c r="OMG73" s="421" t="n"/>
      <c r="OMH73" s="421" t="n"/>
      <c r="OMI73" s="421" t="n"/>
      <c r="OMJ73" s="421" t="n"/>
      <c r="OMK73" s="421" t="n"/>
      <c r="OML73" s="421" t="n"/>
      <c r="OMM73" s="421" t="n"/>
      <c r="OMN73" s="421" t="n"/>
      <c r="OMO73" s="421" t="n"/>
      <c r="OMP73" s="421" t="n"/>
      <c r="OMQ73" s="421" t="n"/>
      <c r="OMR73" s="421" t="n"/>
      <c r="OMS73" s="421" t="n"/>
      <c r="OMT73" s="421" t="n"/>
      <c r="OMU73" s="421" t="n"/>
      <c r="OMV73" s="421" t="n"/>
      <c r="OMW73" s="421" t="n"/>
      <c r="OMX73" s="421" t="n"/>
      <c r="OMY73" s="421" t="n"/>
      <c r="OMZ73" s="421" t="n"/>
      <c r="ONA73" s="421" t="n"/>
      <c r="ONB73" s="421" t="n"/>
      <c r="ONC73" s="421" t="n"/>
      <c r="OND73" s="421" t="n"/>
      <c r="ONE73" s="421" t="n"/>
      <c r="ONF73" s="421" t="n"/>
      <c r="ONG73" s="421" t="n"/>
      <c r="ONH73" s="421" t="n"/>
      <c r="ONI73" s="421" t="n"/>
      <c r="ONJ73" s="421" t="n"/>
      <c r="ONK73" s="421" t="n"/>
      <c r="ONL73" s="421" t="n"/>
      <c r="ONM73" s="421" t="n"/>
      <c r="ONN73" s="421" t="n"/>
      <c r="ONO73" s="421" t="n"/>
      <c r="ONP73" s="421" t="n"/>
      <c r="ONQ73" s="421" t="n"/>
      <c r="ONR73" s="421" t="n"/>
      <c r="ONS73" s="421" t="n"/>
      <c r="ONT73" s="421" t="n"/>
      <c r="ONU73" s="421" t="n"/>
      <c r="ONV73" s="421" t="n"/>
      <c r="ONW73" s="421" t="n"/>
      <c r="ONX73" s="421" t="n"/>
      <c r="ONY73" s="421" t="n"/>
      <c r="ONZ73" s="421" t="n"/>
      <c r="OOA73" s="421" t="n"/>
      <c r="OOB73" s="421" t="n"/>
      <c r="OOC73" s="421" t="n"/>
      <c r="OOD73" s="421" t="n"/>
      <c r="OOE73" s="421" t="n"/>
      <c r="OOF73" s="421" t="n"/>
      <c r="OOG73" s="421" t="n"/>
      <c r="OOH73" s="421" t="n"/>
      <c r="OOI73" s="421" t="n"/>
      <c r="OOJ73" s="421" t="n"/>
      <c r="OOK73" s="421" t="n"/>
      <c r="OOL73" s="421" t="n"/>
      <c r="OOM73" s="421" t="n"/>
      <c r="OON73" s="421" t="n"/>
      <c r="OOO73" s="421" t="n"/>
      <c r="OOP73" s="421" t="n"/>
      <c r="OOQ73" s="421" t="n"/>
      <c r="OOR73" s="421" t="n"/>
      <c r="OOS73" s="421" t="n"/>
      <c r="OOT73" s="421" t="n"/>
      <c r="OOU73" s="421" t="n"/>
      <c r="OOV73" s="421" t="n"/>
      <c r="OOW73" s="421" t="n"/>
      <c r="OOX73" s="421" t="n"/>
      <c r="OOY73" s="421" t="n"/>
      <c r="OOZ73" s="421" t="n"/>
      <c r="OPA73" s="421" t="n"/>
      <c r="OPB73" s="421" t="n"/>
      <c r="OPC73" s="421" t="n"/>
      <c r="OPD73" s="421" t="n"/>
      <c r="OPE73" s="421" t="n"/>
      <c r="OPF73" s="421" t="n"/>
      <c r="OPG73" s="421" t="n"/>
      <c r="OPH73" s="421" t="n"/>
      <c r="OPI73" s="421" t="n"/>
      <c r="OPJ73" s="421" t="n"/>
      <c r="OPK73" s="421" t="n"/>
      <c r="OPL73" s="421" t="n"/>
      <c r="OPM73" s="421" t="n"/>
      <c r="OPN73" s="421" t="n"/>
      <c r="OPO73" s="421" t="n"/>
      <c r="OPP73" s="421" t="n"/>
      <c r="OPQ73" s="421" t="n"/>
      <c r="OPR73" s="421" t="n"/>
      <c r="OPS73" s="421" t="n"/>
      <c r="OPT73" s="421" t="n"/>
      <c r="OPU73" s="421" t="n"/>
      <c r="OPV73" s="421" t="n"/>
      <c r="OPW73" s="421" t="n"/>
      <c r="OPX73" s="421" t="n"/>
      <c r="OPY73" s="421" t="n"/>
      <c r="OPZ73" s="421" t="n"/>
      <c r="OQA73" s="421" t="n"/>
      <c r="OQB73" s="421" t="n"/>
      <c r="OQC73" s="421" t="n"/>
      <c r="OQD73" s="421" t="n"/>
      <c r="OQE73" s="421" t="n"/>
      <c r="OQF73" s="421" t="n"/>
      <c r="OQG73" s="421" t="n"/>
      <c r="OQH73" s="421" t="n"/>
      <c r="OQI73" s="421" t="n"/>
      <c r="OQJ73" s="421" t="n"/>
      <c r="OQK73" s="421" t="n"/>
      <c r="OQL73" s="421" t="n"/>
      <c r="OQM73" s="421" t="n"/>
      <c r="OQN73" s="421" t="n"/>
      <c r="OQO73" s="421" t="n"/>
      <c r="OQP73" s="421" t="n"/>
      <c r="OQQ73" s="421" t="n"/>
      <c r="OQR73" s="421" t="n"/>
      <c r="OQS73" s="421" t="n"/>
      <c r="OQT73" s="421" t="n"/>
      <c r="OQU73" s="421" t="n"/>
      <c r="OQV73" s="421" t="n"/>
      <c r="OQW73" s="421" t="n"/>
      <c r="OQX73" s="421" t="n"/>
      <c r="OQY73" s="421" t="n"/>
      <c r="OQZ73" s="421" t="n"/>
      <c r="ORA73" s="421" t="n"/>
      <c r="ORB73" s="421" t="n"/>
      <c r="ORC73" s="421" t="n"/>
      <c r="ORD73" s="421" t="n"/>
      <c r="ORE73" s="421" t="n"/>
      <c r="ORF73" s="421" t="n"/>
      <c r="ORG73" s="421" t="n"/>
      <c r="ORH73" s="421" t="n"/>
      <c r="ORI73" s="421" t="n"/>
      <c r="ORJ73" s="421" t="n"/>
      <c r="ORK73" s="421" t="n"/>
      <c r="ORL73" s="421" t="n"/>
      <c r="ORM73" s="421" t="n"/>
      <c r="ORN73" s="421" t="n"/>
      <c r="ORO73" s="421" t="n"/>
      <c r="ORP73" s="421" t="n"/>
      <c r="ORQ73" s="421" t="n"/>
      <c r="ORR73" s="421" t="n"/>
      <c r="ORS73" s="421" t="n"/>
      <c r="ORT73" s="421" t="n"/>
      <c r="ORU73" s="421" t="n"/>
      <c r="ORV73" s="421" t="n"/>
      <c r="ORW73" s="421" t="n"/>
      <c r="ORX73" s="421" t="n"/>
      <c r="ORY73" s="421" t="n"/>
      <c r="ORZ73" s="421" t="n"/>
      <c r="OSA73" s="421" t="n"/>
      <c r="OSB73" s="421" t="n"/>
      <c r="OSC73" s="421" t="n"/>
      <c r="OSD73" s="421" t="n"/>
      <c r="OSE73" s="421" t="n"/>
      <c r="OSF73" s="421" t="n"/>
      <c r="OSG73" s="421" t="n"/>
      <c r="OSH73" s="421" t="n"/>
      <c r="OSI73" s="421" t="n"/>
      <c r="OSJ73" s="421" t="n"/>
      <c r="OSK73" s="421" t="n"/>
      <c r="OSL73" s="421" t="n"/>
      <c r="OSM73" s="421" t="n"/>
      <c r="OSN73" s="421" t="n"/>
      <c r="OSO73" s="421" t="n"/>
      <c r="OSP73" s="421" t="n"/>
      <c r="OSQ73" s="421" t="n"/>
      <c r="OSR73" s="421" t="n"/>
      <c r="OSS73" s="421" t="n"/>
      <c r="OST73" s="421" t="n"/>
      <c r="OSU73" s="421" t="n"/>
      <c r="OSV73" s="421" t="n"/>
      <c r="OSW73" s="421" t="n"/>
      <c r="OSX73" s="421" t="n"/>
      <c r="OSY73" s="421" t="n"/>
      <c r="OSZ73" s="421" t="n"/>
      <c r="OTA73" s="421" t="n"/>
      <c r="OTB73" s="421" t="n"/>
      <c r="OTC73" s="421" t="n"/>
      <c r="OTD73" s="421" t="n"/>
      <c r="OTE73" s="421" t="n"/>
      <c r="OTF73" s="421" t="n"/>
      <c r="OTG73" s="421" t="n"/>
      <c r="OTH73" s="421" t="n"/>
      <c r="OTI73" s="421" t="n"/>
      <c r="OTJ73" s="421" t="n"/>
      <c r="OTK73" s="421" t="n"/>
      <c r="OTL73" s="421" t="n"/>
      <c r="OTM73" s="421" t="n"/>
      <c r="OTN73" s="421" t="n"/>
      <c r="OTO73" s="421" t="n"/>
      <c r="OTP73" s="421" t="n"/>
      <c r="OTQ73" s="421" t="n"/>
      <c r="OTR73" s="421" t="n"/>
      <c r="OTS73" s="421" t="n"/>
      <c r="OTT73" s="421" t="n"/>
      <c r="OTU73" s="421" t="n"/>
      <c r="OTV73" s="421" t="n"/>
      <c r="OTW73" s="421" t="n"/>
      <c r="OTX73" s="421" t="n"/>
      <c r="OTY73" s="421" t="n"/>
      <c r="OTZ73" s="421" t="n"/>
      <c r="OUA73" s="421" t="n"/>
      <c r="OUB73" s="421" t="n"/>
      <c r="OUC73" s="421" t="n"/>
      <c r="OUD73" s="421" t="n"/>
      <c r="OUE73" s="421" t="n"/>
      <c r="OUF73" s="421" t="n"/>
      <c r="OUG73" s="421" t="n"/>
      <c r="OUH73" s="421" t="n"/>
      <c r="OUI73" s="421" t="n"/>
      <c r="OUJ73" s="421" t="n"/>
      <c r="OUK73" s="421" t="n"/>
      <c r="OUL73" s="421" t="n"/>
      <c r="OUM73" s="421" t="n"/>
      <c r="OUN73" s="421" t="n"/>
      <c r="OUO73" s="421" t="n"/>
      <c r="OUP73" s="421" t="n"/>
      <c r="OUQ73" s="421" t="n"/>
      <c r="OUR73" s="421" t="n"/>
      <c r="OUS73" s="421" t="n"/>
      <c r="OUT73" s="421" t="n"/>
      <c r="OUU73" s="421" t="n"/>
      <c r="OUV73" s="421" t="n"/>
      <c r="OUW73" s="421" t="n"/>
      <c r="OUX73" s="421" t="n"/>
      <c r="OUY73" s="421" t="n"/>
      <c r="OUZ73" s="421" t="n"/>
      <c r="OVA73" s="421" t="n"/>
      <c r="OVB73" s="421" t="n"/>
      <c r="OVC73" s="421" t="n"/>
      <c r="OVD73" s="421" t="n"/>
      <c r="OVE73" s="421" t="n"/>
      <c r="OVF73" s="421" t="n"/>
      <c r="OVG73" s="421" t="n"/>
      <c r="OVH73" s="421" t="n"/>
      <c r="OVI73" s="421" t="n"/>
      <c r="OVJ73" s="421" t="n"/>
      <c r="OVK73" s="421" t="n"/>
      <c r="OVL73" s="421" t="n"/>
      <c r="OVM73" s="421" t="n"/>
      <c r="OVN73" s="421" t="n"/>
      <c r="OVO73" s="421" t="n"/>
      <c r="OVP73" s="421" t="n"/>
      <c r="OVQ73" s="421" t="n"/>
      <c r="OVR73" s="421" t="n"/>
      <c r="OVS73" s="421" t="n"/>
      <c r="OVT73" s="421" t="n"/>
      <c r="OVU73" s="421" t="n"/>
      <c r="OVV73" s="421" t="n"/>
      <c r="OVW73" s="421" t="n"/>
      <c r="OVX73" s="421" t="n"/>
      <c r="OVY73" s="421" t="n"/>
      <c r="OVZ73" s="421" t="n"/>
      <c r="OWA73" s="421" t="n"/>
      <c r="OWB73" s="421" t="n"/>
      <c r="OWC73" s="421" t="n"/>
      <c r="OWD73" s="421" t="n"/>
      <c r="OWE73" s="421" t="n"/>
      <c r="OWF73" s="421" t="n"/>
      <c r="OWG73" s="421" t="n"/>
      <c r="OWH73" s="421" t="n"/>
      <c r="OWI73" s="421" t="n"/>
      <c r="OWJ73" s="421" t="n"/>
      <c r="OWK73" s="421" t="n"/>
      <c r="OWL73" s="421" t="n"/>
      <c r="OWM73" s="421" t="n"/>
      <c r="OWN73" s="421" t="n"/>
      <c r="OWO73" s="421" t="n"/>
      <c r="OWP73" s="421" t="n"/>
      <c r="OWQ73" s="421" t="n"/>
      <c r="OWR73" s="421" t="n"/>
      <c r="OWS73" s="421" t="n"/>
      <c r="OWT73" s="421" t="n"/>
      <c r="OWU73" s="421" t="n"/>
      <c r="OWV73" s="421" t="n"/>
      <c r="OWW73" s="421" t="n"/>
      <c r="OWX73" s="421" t="n"/>
      <c r="OWY73" s="421" t="n"/>
      <c r="OWZ73" s="421" t="n"/>
      <c r="OXA73" s="421" t="n"/>
      <c r="OXB73" s="421" t="n"/>
      <c r="OXC73" s="421" t="n"/>
      <c r="OXD73" s="421" t="n"/>
      <c r="OXE73" s="421" t="n"/>
      <c r="OXF73" s="421" t="n"/>
      <c r="OXG73" s="421" t="n"/>
      <c r="OXH73" s="421" t="n"/>
      <c r="OXI73" s="421" t="n"/>
      <c r="OXJ73" s="421" t="n"/>
      <c r="OXK73" s="421" t="n"/>
      <c r="OXL73" s="421" t="n"/>
      <c r="OXM73" s="421" t="n"/>
      <c r="OXN73" s="421" t="n"/>
      <c r="OXO73" s="421" t="n"/>
      <c r="OXP73" s="421" t="n"/>
      <c r="OXQ73" s="421" t="n"/>
      <c r="OXR73" s="421" t="n"/>
      <c r="OXS73" s="421" t="n"/>
      <c r="OXT73" s="421" t="n"/>
      <c r="OXU73" s="421" t="n"/>
      <c r="OXV73" s="421" t="n"/>
      <c r="OXW73" s="421" t="n"/>
      <c r="OXX73" s="421" t="n"/>
      <c r="OXY73" s="421" t="n"/>
      <c r="OXZ73" s="421" t="n"/>
      <c r="OYA73" s="421" t="n"/>
      <c r="OYB73" s="421" t="n"/>
      <c r="OYC73" s="421" t="n"/>
      <c r="OYD73" s="421" t="n"/>
      <c r="OYE73" s="421" t="n"/>
      <c r="OYF73" s="421" t="n"/>
      <c r="OYG73" s="421" t="n"/>
      <c r="OYH73" s="421" t="n"/>
      <c r="OYI73" s="421" t="n"/>
      <c r="OYJ73" s="421" t="n"/>
      <c r="OYK73" s="421" t="n"/>
      <c r="OYL73" s="421" t="n"/>
      <c r="OYM73" s="421" t="n"/>
      <c r="OYN73" s="421" t="n"/>
      <c r="OYO73" s="421" t="n"/>
      <c r="OYP73" s="421" t="n"/>
      <c r="OYQ73" s="421" t="n"/>
      <c r="OYR73" s="421" t="n"/>
      <c r="OYS73" s="421" t="n"/>
      <c r="OYT73" s="421" t="n"/>
      <c r="OYU73" s="421" t="n"/>
      <c r="OYV73" s="421" t="n"/>
      <c r="OYW73" s="421" t="n"/>
      <c r="OYX73" s="421" t="n"/>
      <c r="OYY73" s="421" t="n"/>
      <c r="OYZ73" s="421" t="n"/>
      <c r="OZA73" s="421" t="n"/>
      <c r="OZB73" s="421" t="n"/>
      <c r="OZC73" s="421" t="n"/>
      <c r="OZD73" s="421" t="n"/>
      <c r="OZE73" s="421" t="n"/>
      <c r="OZF73" s="421" t="n"/>
      <c r="OZG73" s="421" t="n"/>
      <c r="OZH73" s="421" t="n"/>
      <c r="OZI73" s="421" t="n"/>
      <c r="OZJ73" s="421" t="n"/>
      <c r="OZK73" s="421" t="n"/>
      <c r="OZL73" s="421" t="n"/>
      <c r="OZM73" s="421" t="n"/>
      <c r="OZN73" s="421" t="n"/>
      <c r="OZO73" s="421" t="n"/>
      <c r="OZP73" s="421" t="n"/>
      <c r="OZQ73" s="421" t="n"/>
      <c r="OZR73" s="421" t="n"/>
      <c r="OZS73" s="421" t="n"/>
      <c r="OZT73" s="421" t="n"/>
      <c r="OZU73" s="421" t="n"/>
      <c r="OZV73" s="421" t="n"/>
      <c r="OZW73" s="421" t="n"/>
      <c r="OZX73" s="421" t="n"/>
      <c r="OZY73" s="421" t="n"/>
      <c r="OZZ73" s="421" t="n"/>
      <c r="PAA73" s="421" t="n"/>
      <c r="PAB73" s="421" t="n"/>
      <c r="PAC73" s="421" t="n"/>
      <c r="PAD73" s="421" t="n"/>
      <c r="PAE73" s="421" t="n"/>
      <c r="PAF73" s="421" t="n"/>
      <c r="PAG73" s="421" t="n"/>
      <c r="PAH73" s="421" t="n"/>
      <c r="PAI73" s="421" t="n"/>
      <c r="PAJ73" s="421" t="n"/>
      <c r="PAK73" s="421" t="n"/>
      <c r="PAL73" s="421" t="n"/>
      <c r="PAM73" s="421" t="n"/>
      <c r="PAN73" s="421" t="n"/>
      <c r="PAO73" s="421" t="n"/>
      <c r="PAP73" s="421" t="n"/>
      <c r="PAQ73" s="421" t="n"/>
      <c r="PAR73" s="421" t="n"/>
      <c r="PAS73" s="421" t="n"/>
      <c r="PAT73" s="421" t="n"/>
      <c r="PAU73" s="421" t="n"/>
      <c r="PAV73" s="421" t="n"/>
      <c r="PAW73" s="421" t="n"/>
      <c r="PAX73" s="421" t="n"/>
      <c r="PAY73" s="421" t="n"/>
      <c r="PAZ73" s="421" t="n"/>
      <c r="PBA73" s="421" t="n"/>
      <c r="PBB73" s="421" t="n"/>
      <c r="PBC73" s="421" t="n"/>
      <c r="PBD73" s="421" t="n"/>
      <c r="PBE73" s="421" t="n"/>
      <c r="PBF73" s="421" t="n"/>
      <c r="PBG73" s="421" t="n"/>
      <c r="PBH73" s="421" t="n"/>
      <c r="PBI73" s="421" t="n"/>
      <c r="PBJ73" s="421" t="n"/>
      <c r="PBK73" s="421" t="n"/>
      <c r="PBL73" s="421" t="n"/>
      <c r="PBM73" s="421" t="n"/>
      <c r="PBN73" s="421" t="n"/>
      <c r="PBO73" s="421" t="n"/>
      <c r="PBP73" s="421" t="n"/>
      <c r="PBQ73" s="421" t="n"/>
      <c r="PBR73" s="421" t="n"/>
      <c r="PBS73" s="421" t="n"/>
      <c r="PBT73" s="421" t="n"/>
      <c r="PBU73" s="421" t="n"/>
      <c r="PBV73" s="421" t="n"/>
      <c r="PBW73" s="421" t="n"/>
      <c r="PBX73" s="421" t="n"/>
      <c r="PBY73" s="421" t="n"/>
      <c r="PBZ73" s="421" t="n"/>
      <c r="PCA73" s="421" t="n"/>
      <c r="PCB73" s="421" t="n"/>
      <c r="PCC73" s="421" t="n"/>
      <c r="PCD73" s="421" t="n"/>
      <c r="PCE73" s="421" t="n"/>
      <c r="PCF73" s="421" t="n"/>
      <c r="PCG73" s="421" t="n"/>
      <c r="PCH73" s="421" t="n"/>
      <c r="PCI73" s="421" t="n"/>
      <c r="PCJ73" s="421" t="n"/>
      <c r="PCK73" s="421" t="n"/>
      <c r="PCL73" s="421" t="n"/>
      <c r="PCM73" s="421" t="n"/>
      <c r="PCN73" s="421" t="n"/>
      <c r="PCO73" s="421" t="n"/>
      <c r="PCP73" s="421" t="n"/>
      <c r="PCQ73" s="421" t="n"/>
      <c r="PCR73" s="421" t="n"/>
      <c r="PCS73" s="421" t="n"/>
      <c r="PCT73" s="421" t="n"/>
      <c r="PCU73" s="421" t="n"/>
      <c r="PCV73" s="421" t="n"/>
      <c r="PCW73" s="421" t="n"/>
      <c r="PCX73" s="421" t="n"/>
      <c r="PCY73" s="421" t="n"/>
      <c r="PCZ73" s="421" t="n"/>
      <c r="PDA73" s="421" t="n"/>
      <c r="PDB73" s="421" t="n"/>
      <c r="PDC73" s="421" t="n"/>
      <c r="PDD73" s="421" t="n"/>
      <c r="PDE73" s="421" t="n"/>
      <c r="PDF73" s="421" t="n"/>
      <c r="PDG73" s="421" t="n"/>
      <c r="PDH73" s="421" t="n"/>
      <c r="PDI73" s="421" t="n"/>
      <c r="PDJ73" s="421" t="n"/>
      <c r="PDK73" s="421" t="n"/>
      <c r="PDL73" s="421" t="n"/>
      <c r="PDM73" s="421" t="n"/>
      <c r="PDN73" s="421" t="n"/>
      <c r="PDO73" s="421" t="n"/>
      <c r="PDP73" s="421" t="n"/>
      <c r="PDQ73" s="421" t="n"/>
      <c r="PDR73" s="421" t="n"/>
      <c r="PDS73" s="421" t="n"/>
      <c r="PDT73" s="421" t="n"/>
      <c r="PDU73" s="421" t="n"/>
      <c r="PDV73" s="421" t="n"/>
      <c r="PDW73" s="421" t="n"/>
      <c r="PDX73" s="421" t="n"/>
      <c r="PDY73" s="421" t="n"/>
      <c r="PDZ73" s="421" t="n"/>
      <c r="PEA73" s="421" t="n"/>
      <c r="PEB73" s="421" t="n"/>
      <c r="PEC73" s="421" t="n"/>
      <c r="PED73" s="421" t="n"/>
      <c r="PEE73" s="421" t="n"/>
      <c r="PEF73" s="421" t="n"/>
      <c r="PEG73" s="421" t="n"/>
      <c r="PEH73" s="421" t="n"/>
      <c r="PEI73" s="421" t="n"/>
      <c r="PEJ73" s="421" t="n"/>
      <c r="PEK73" s="421" t="n"/>
      <c r="PEL73" s="421" t="n"/>
      <c r="PEM73" s="421" t="n"/>
      <c r="PEN73" s="421" t="n"/>
      <c r="PEO73" s="421" t="n"/>
      <c r="PEP73" s="421" t="n"/>
      <c r="PEQ73" s="421" t="n"/>
      <c r="PER73" s="421" t="n"/>
      <c r="PES73" s="421" t="n"/>
      <c r="PET73" s="421" t="n"/>
      <c r="PEU73" s="421" t="n"/>
      <c r="PEV73" s="421" t="n"/>
      <c r="PEW73" s="421" t="n"/>
      <c r="PEX73" s="421" t="n"/>
      <c r="PEY73" s="421" t="n"/>
      <c r="PEZ73" s="421" t="n"/>
      <c r="PFA73" s="421" t="n"/>
      <c r="PFB73" s="421" t="n"/>
      <c r="PFC73" s="421" t="n"/>
      <c r="PFD73" s="421" t="n"/>
      <c r="PFE73" s="421" t="n"/>
      <c r="PFF73" s="421" t="n"/>
      <c r="PFG73" s="421" t="n"/>
      <c r="PFH73" s="421" t="n"/>
      <c r="PFI73" s="421" t="n"/>
      <c r="PFJ73" s="421" t="n"/>
      <c r="PFK73" s="421" t="n"/>
      <c r="PFL73" s="421" t="n"/>
      <c r="PFM73" s="421" t="n"/>
      <c r="PFN73" s="421" t="n"/>
      <c r="PFO73" s="421" t="n"/>
      <c r="PFP73" s="421" t="n"/>
      <c r="PFQ73" s="421" t="n"/>
      <c r="PFR73" s="421" t="n"/>
      <c r="PFS73" s="421" t="n"/>
      <c r="PFT73" s="421" t="n"/>
      <c r="PFU73" s="421" t="n"/>
      <c r="PFV73" s="421" t="n"/>
      <c r="PFW73" s="421" t="n"/>
      <c r="PFX73" s="421" t="n"/>
      <c r="PFY73" s="421" t="n"/>
      <c r="PFZ73" s="421" t="n"/>
      <c r="PGA73" s="421" t="n"/>
      <c r="PGB73" s="421" t="n"/>
      <c r="PGC73" s="421" t="n"/>
      <c r="PGD73" s="421" t="n"/>
      <c r="PGE73" s="421" t="n"/>
      <c r="PGF73" s="421" t="n"/>
      <c r="PGG73" s="421" t="n"/>
      <c r="PGH73" s="421" t="n"/>
      <c r="PGI73" s="421" t="n"/>
      <c r="PGJ73" s="421" t="n"/>
      <c r="PGK73" s="421" t="n"/>
      <c r="PGL73" s="421" t="n"/>
      <c r="PGM73" s="421" t="n"/>
      <c r="PGN73" s="421" t="n"/>
      <c r="PGO73" s="421" t="n"/>
      <c r="PGP73" s="421" t="n"/>
      <c r="PGQ73" s="421" t="n"/>
      <c r="PGR73" s="421" t="n"/>
      <c r="PGS73" s="421" t="n"/>
      <c r="PGT73" s="421" t="n"/>
      <c r="PGU73" s="421" t="n"/>
      <c r="PGV73" s="421" t="n"/>
      <c r="PGW73" s="421" t="n"/>
      <c r="PGX73" s="421" t="n"/>
      <c r="PGY73" s="421" t="n"/>
      <c r="PGZ73" s="421" t="n"/>
      <c r="PHA73" s="421" t="n"/>
      <c r="PHB73" s="421" t="n"/>
      <c r="PHC73" s="421" t="n"/>
      <c r="PHD73" s="421" t="n"/>
      <c r="PHE73" s="421" t="n"/>
      <c r="PHF73" s="421" t="n"/>
      <c r="PHG73" s="421" t="n"/>
      <c r="PHH73" s="421" t="n"/>
      <c r="PHI73" s="421" t="n"/>
      <c r="PHJ73" s="421" t="n"/>
      <c r="PHK73" s="421" t="n"/>
      <c r="PHL73" s="421" t="n"/>
      <c r="PHM73" s="421" t="n"/>
      <c r="PHN73" s="421" t="n"/>
      <c r="PHO73" s="421" t="n"/>
      <c r="PHP73" s="421" t="n"/>
      <c r="PHQ73" s="421" t="n"/>
      <c r="PHR73" s="421" t="n"/>
      <c r="PHS73" s="421" t="n"/>
      <c r="PHT73" s="421" t="n"/>
      <c r="PHU73" s="421" t="n"/>
      <c r="PHV73" s="421" t="n"/>
      <c r="PHW73" s="421" t="n"/>
      <c r="PHX73" s="421" t="n"/>
      <c r="PHY73" s="421" t="n"/>
      <c r="PHZ73" s="421" t="n"/>
      <c r="PIA73" s="421" t="n"/>
      <c r="PIB73" s="421" t="n"/>
      <c r="PIC73" s="421" t="n"/>
      <c r="PID73" s="421" t="n"/>
      <c r="PIE73" s="421" t="n"/>
      <c r="PIF73" s="421" t="n"/>
      <c r="PIG73" s="421" t="n"/>
      <c r="PIH73" s="421" t="n"/>
      <c r="PII73" s="421" t="n"/>
      <c r="PIJ73" s="421" t="n"/>
      <c r="PIK73" s="421" t="n"/>
      <c r="PIL73" s="421" t="n"/>
      <c r="PIM73" s="421" t="n"/>
      <c r="PIN73" s="421" t="n"/>
      <c r="PIO73" s="421" t="n"/>
      <c r="PIP73" s="421" t="n"/>
      <c r="PIQ73" s="421" t="n"/>
      <c r="PIR73" s="421" t="n"/>
      <c r="PIS73" s="421" t="n"/>
      <c r="PIT73" s="421" t="n"/>
      <c r="PIU73" s="421" t="n"/>
      <c r="PIV73" s="421" t="n"/>
      <c r="PIW73" s="421" t="n"/>
      <c r="PIX73" s="421" t="n"/>
      <c r="PIY73" s="421" t="n"/>
      <c r="PIZ73" s="421" t="n"/>
      <c r="PJA73" s="421" t="n"/>
      <c r="PJB73" s="421" t="n"/>
      <c r="PJC73" s="421" t="n"/>
      <c r="PJD73" s="421" t="n"/>
      <c r="PJE73" s="421" t="n"/>
      <c r="PJF73" s="421" t="n"/>
      <c r="PJG73" s="421" t="n"/>
      <c r="PJH73" s="421" t="n"/>
      <c r="PJI73" s="421" t="n"/>
      <c r="PJJ73" s="421" t="n"/>
      <c r="PJK73" s="421" t="n"/>
      <c r="PJL73" s="421" t="n"/>
      <c r="PJM73" s="421" t="n"/>
      <c r="PJN73" s="421" t="n"/>
      <c r="PJO73" s="421" t="n"/>
      <c r="PJP73" s="421" t="n"/>
      <c r="PJQ73" s="421" t="n"/>
      <c r="PJR73" s="421" t="n"/>
      <c r="PJS73" s="421" t="n"/>
      <c r="PJT73" s="421" t="n"/>
      <c r="PJU73" s="421" t="n"/>
      <c r="PJV73" s="421" t="n"/>
      <c r="PJW73" s="421" t="n"/>
      <c r="PJX73" s="421" t="n"/>
      <c r="PJY73" s="421" t="n"/>
      <c r="PJZ73" s="421" t="n"/>
      <c r="PKA73" s="421" t="n"/>
      <c r="PKB73" s="421" t="n"/>
      <c r="PKC73" s="421" t="n"/>
      <c r="PKD73" s="421" t="n"/>
      <c r="PKE73" s="421" t="n"/>
      <c r="PKF73" s="421" t="n"/>
      <c r="PKG73" s="421" t="n"/>
      <c r="PKH73" s="421" t="n"/>
      <c r="PKI73" s="421" t="n"/>
      <c r="PKJ73" s="421" t="n"/>
      <c r="PKK73" s="421" t="n"/>
      <c r="PKL73" s="421" t="n"/>
      <c r="PKM73" s="421" t="n"/>
      <c r="PKN73" s="421" t="n"/>
      <c r="PKO73" s="421" t="n"/>
      <c r="PKP73" s="421" t="n"/>
      <c r="PKQ73" s="421" t="n"/>
      <c r="PKR73" s="421" t="n"/>
      <c r="PKS73" s="421" t="n"/>
      <c r="PKT73" s="421" t="n"/>
      <c r="PKU73" s="421" t="n"/>
      <c r="PKV73" s="421" t="n"/>
      <c r="PKW73" s="421" t="n"/>
      <c r="PKX73" s="421" t="n"/>
      <c r="PKY73" s="421" t="n"/>
      <c r="PKZ73" s="421" t="n"/>
      <c r="PLA73" s="421" t="n"/>
      <c r="PLB73" s="421" t="n"/>
      <c r="PLC73" s="421" t="n"/>
      <c r="PLD73" s="421" t="n"/>
      <c r="PLE73" s="421" t="n"/>
      <c r="PLF73" s="421" t="n"/>
      <c r="PLG73" s="421" t="n"/>
      <c r="PLH73" s="421" t="n"/>
      <c r="PLI73" s="421" t="n"/>
      <c r="PLJ73" s="421" t="n"/>
      <c r="PLK73" s="421" t="n"/>
      <c r="PLL73" s="421" t="n"/>
      <c r="PLM73" s="421" t="n"/>
      <c r="PLN73" s="421" t="n"/>
      <c r="PLO73" s="421" t="n"/>
      <c r="PLP73" s="421" t="n"/>
      <c r="PLQ73" s="421" t="n"/>
      <c r="PLR73" s="421" t="n"/>
      <c r="PLS73" s="421" t="n"/>
      <c r="PLT73" s="421" t="n"/>
      <c r="PLU73" s="421" t="n"/>
      <c r="PLV73" s="421" t="n"/>
      <c r="PLW73" s="421" t="n"/>
      <c r="PLX73" s="421" t="n"/>
      <c r="PLY73" s="421" t="n"/>
      <c r="PLZ73" s="421" t="n"/>
      <c r="PMA73" s="421" t="n"/>
      <c r="PMB73" s="421" t="n"/>
      <c r="PMC73" s="421" t="n"/>
      <c r="PMD73" s="421" t="n"/>
      <c r="PME73" s="421" t="n"/>
      <c r="PMF73" s="421" t="n"/>
      <c r="PMG73" s="421" t="n"/>
      <c r="PMH73" s="421" t="n"/>
      <c r="PMI73" s="421" t="n"/>
      <c r="PMJ73" s="421" t="n"/>
      <c r="PMK73" s="421" t="n"/>
      <c r="PML73" s="421" t="n"/>
      <c r="PMM73" s="421" t="n"/>
      <c r="PMN73" s="421" t="n"/>
      <c r="PMO73" s="421" t="n"/>
      <c r="PMP73" s="421" t="n"/>
      <c r="PMQ73" s="421" t="n"/>
      <c r="PMR73" s="421" t="n"/>
      <c r="PMS73" s="421" t="n"/>
      <c r="PMT73" s="421" t="n"/>
      <c r="PMU73" s="421" t="n"/>
      <c r="PMV73" s="421" t="n"/>
      <c r="PMW73" s="421" t="n"/>
      <c r="PMX73" s="421" t="n"/>
      <c r="PMY73" s="421" t="n"/>
      <c r="PMZ73" s="421" t="n"/>
      <c r="PNA73" s="421" t="n"/>
      <c r="PNB73" s="421" t="n"/>
      <c r="PNC73" s="421" t="n"/>
      <c r="PND73" s="421" t="n"/>
      <c r="PNE73" s="421" t="n"/>
      <c r="PNF73" s="421" t="n"/>
      <c r="PNG73" s="421" t="n"/>
      <c r="PNH73" s="421" t="n"/>
      <c r="PNI73" s="421" t="n"/>
      <c r="PNJ73" s="421" t="n"/>
      <c r="PNK73" s="421" t="n"/>
      <c r="PNL73" s="421" t="n"/>
      <c r="PNM73" s="421" t="n"/>
      <c r="PNN73" s="421" t="n"/>
      <c r="PNO73" s="421" t="n"/>
      <c r="PNP73" s="421" t="n"/>
      <c r="PNQ73" s="421" t="n"/>
      <c r="PNR73" s="421" t="n"/>
      <c r="PNS73" s="421" t="n"/>
      <c r="PNT73" s="421" t="n"/>
      <c r="PNU73" s="421" t="n"/>
      <c r="PNV73" s="421" t="n"/>
      <c r="PNW73" s="421" t="n"/>
      <c r="PNX73" s="421" t="n"/>
      <c r="PNY73" s="421" t="n"/>
      <c r="PNZ73" s="421" t="n"/>
      <c r="POA73" s="421" t="n"/>
      <c r="POB73" s="421" t="n"/>
      <c r="POC73" s="421" t="n"/>
      <c r="POD73" s="421" t="n"/>
      <c r="POE73" s="421" t="n"/>
      <c r="POF73" s="421" t="n"/>
      <c r="POG73" s="421" t="n"/>
      <c r="POH73" s="421" t="n"/>
      <c r="POI73" s="421" t="n"/>
      <c r="POJ73" s="421" t="n"/>
      <c r="POK73" s="421" t="n"/>
      <c r="POL73" s="421" t="n"/>
      <c r="POM73" s="421" t="n"/>
      <c r="PON73" s="421" t="n"/>
      <c r="POO73" s="421" t="n"/>
      <c r="POP73" s="421" t="n"/>
      <c r="POQ73" s="421" t="n"/>
      <c r="POR73" s="421" t="n"/>
      <c r="POS73" s="421" t="n"/>
      <c r="POT73" s="421" t="n"/>
      <c r="POU73" s="421" t="n"/>
      <c r="POV73" s="421" t="n"/>
      <c r="POW73" s="421" t="n"/>
      <c r="POX73" s="421" t="n"/>
      <c r="POY73" s="421" t="n"/>
      <c r="POZ73" s="421" t="n"/>
      <c r="PPA73" s="421" t="n"/>
      <c r="PPB73" s="421" t="n"/>
      <c r="PPC73" s="421" t="n"/>
      <c r="PPD73" s="421" t="n"/>
      <c r="PPE73" s="421" t="n"/>
      <c r="PPF73" s="421" t="n"/>
      <c r="PPG73" s="421" t="n"/>
      <c r="PPH73" s="421" t="n"/>
      <c r="PPI73" s="421" t="n"/>
      <c r="PPJ73" s="421" t="n"/>
      <c r="PPK73" s="421" t="n"/>
      <c r="PPL73" s="421" t="n"/>
      <c r="PPM73" s="421" t="n"/>
      <c r="PPN73" s="421" t="n"/>
      <c r="PPO73" s="421" t="n"/>
      <c r="PPP73" s="421" t="n"/>
      <c r="PPQ73" s="421" t="n"/>
      <c r="PPR73" s="421" t="n"/>
      <c r="PPS73" s="421" t="n"/>
      <c r="PPT73" s="421" t="n"/>
      <c r="PPU73" s="421" t="n"/>
      <c r="PPV73" s="421" t="n"/>
      <c r="PPW73" s="421" t="n"/>
      <c r="PPX73" s="421" t="n"/>
      <c r="PPY73" s="421" t="n"/>
      <c r="PPZ73" s="421" t="n"/>
      <c r="PQA73" s="421" t="n"/>
      <c r="PQB73" s="421" t="n"/>
      <c r="PQC73" s="421" t="n"/>
      <c r="PQD73" s="421" t="n"/>
      <c r="PQE73" s="421" t="n"/>
      <c r="PQF73" s="421" t="n"/>
      <c r="PQG73" s="421" t="n"/>
      <c r="PQH73" s="421" t="n"/>
      <c r="PQI73" s="421" t="n"/>
      <c r="PQJ73" s="421" t="n"/>
      <c r="PQK73" s="421" t="n"/>
      <c r="PQL73" s="421" t="n"/>
      <c r="PQM73" s="421" t="n"/>
      <c r="PQN73" s="421" t="n"/>
      <c r="PQO73" s="421" t="n"/>
      <c r="PQP73" s="421" t="n"/>
      <c r="PQQ73" s="421" t="n"/>
      <c r="PQR73" s="421" t="n"/>
      <c r="PQS73" s="421" t="n"/>
      <c r="PQT73" s="421" t="n"/>
      <c r="PQU73" s="421" t="n"/>
      <c r="PQV73" s="421" t="n"/>
      <c r="PQW73" s="421" t="n"/>
      <c r="PQX73" s="421" t="n"/>
      <c r="PQY73" s="421" t="n"/>
      <c r="PQZ73" s="421" t="n"/>
      <c r="PRA73" s="421" t="n"/>
      <c r="PRB73" s="421" t="n"/>
      <c r="PRC73" s="421" t="n"/>
      <c r="PRD73" s="421" t="n"/>
      <c r="PRE73" s="421" t="n"/>
      <c r="PRF73" s="421" t="n"/>
      <c r="PRG73" s="421" t="n"/>
      <c r="PRH73" s="421" t="n"/>
      <c r="PRI73" s="421" t="n"/>
      <c r="PRJ73" s="421" t="n"/>
      <c r="PRK73" s="421" t="n"/>
      <c r="PRL73" s="421" t="n"/>
      <c r="PRM73" s="421" t="n"/>
      <c r="PRN73" s="421" t="n"/>
      <c r="PRO73" s="421" t="n"/>
      <c r="PRP73" s="421" t="n"/>
      <c r="PRQ73" s="421" t="n"/>
      <c r="PRR73" s="421" t="n"/>
      <c r="PRS73" s="421" t="n"/>
      <c r="PRT73" s="421" t="n"/>
      <c r="PRU73" s="421" t="n"/>
      <c r="PRV73" s="421" t="n"/>
      <c r="PRW73" s="421" t="n"/>
      <c r="PRX73" s="421" t="n"/>
      <c r="PRY73" s="421" t="n"/>
      <c r="PRZ73" s="421" t="n"/>
      <c r="PSA73" s="421" t="n"/>
      <c r="PSB73" s="421" t="n"/>
      <c r="PSC73" s="421" t="n"/>
      <c r="PSD73" s="421" t="n"/>
      <c r="PSE73" s="421" t="n"/>
      <c r="PSF73" s="421" t="n"/>
      <c r="PSG73" s="421" t="n"/>
      <c r="PSH73" s="421" t="n"/>
      <c r="PSI73" s="421" t="n"/>
      <c r="PSJ73" s="421" t="n"/>
      <c r="PSK73" s="421" t="n"/>
      <c r="PSL73" s="421" t="n"/>
      <c r="PSM73" s="421" t="n"/>
      <c r="PSN73" s="421" t="n"/>
      <c r="PSO73" s="421" t="n"/>
      <c r="PSP73" s="421" t="n"/>
      <c r="PSQ73" s="421" t="n"/>
      <c r="PSR73" s="421" t="n"/>
      <c r="PSS73" s="421" t="n"/>
      <c r="PST73" s="421" t="n"/>
      <c r="PSU73" s="421" t="n"/>
      <c r="PSV73" s="421" t="n"/>
      <c r="PSW73" s="421" t="n"/>
      <c r="PSX73" s="421" t="n"/>
      <c r="PSY73" s="421" t="n"/>
      <c r="PSZ73" s="421" t="n"/>
      <c r="PTA73" s="421" t="n"/>
      <c r="PTB73" s="421" t="n"/>
      <c r="PTC73" s="421" t="n"/>
      <c r="PTD73" s="421" t="n"/>
      <c r="PTE73" s="421" t="n"/>
      <c r="PTF73" s="421" t="n"/>
      <c r="PTG73" s="421" t="n"/>
      <c r="PTH73" s="421" t="n"/>
      <c r="PTI73" s="421" t="n"/>
      <c r="PTJ73" s="421" t="n"/>
      <c r="PTK73" s="421" t="n"/>
      <c r="PTL73" s="421" t="n"/>
      <c r="PTM73" s="421" t="n"/>
      <c r="PTN73" s="421" t="n"/>
      <c r="PTO73" s="421" t="n"/>
      <c r="PTP73" s="421" t="n"/>
      <c r="PTQ73" s="421" t="n"/>
      <c r="PTR73" s="421" t="n"/>
      <c r="PTS73" s="421" t="n"/>
      <c r="PTT73" s="421" t="n"/>
      <c r="PTU73" s="421" t="n"/>
      <c r="PTV73" s="421" t="n"/>
      <c r="PTW73" s="421" t="n"/>
      <c r="PTX73" s="421" t="n"/>
      <c r="PTY73" s="421" t="n"/>
      <c r="PTZ73" s="421" t="n"/>
      <c r="PUA73" s="421" t="n"/>
      <c r="PUB73" s="421" t="n"/>
      <c r="PUC73" s="421" t="n"/>
      <c r="PUD73" s="421" t="n"/>
      <c r="PUE73" s="421" t="n"/>
      <c r="PUF73" s="421" t="n"/>
      <c r="PUG73" s="421" t="n"/>
      <c r="PUH73" s="421" t="n"/>
      <c r="PUI73" s="421" t="n"/>
      <c r="PUJ73" s="421" t="n"/>
      <c r="PUK73" s="421" t="n"/>
      <c r="PUL73" s="421" t="n"/>
      <c r="PUM73" s="421" t="n"/>
      <c r="PUN73" s="421" t="n"/>
      <c r="PUO73" s="421" t="n"/>
      <c r="PUP73" s="421" t="n"/>
      <c r="PUQ73" s="421" t="n"/>
      <c r="PUR73" s="421" t="n"/>
      <c r="PUS73" s="421" t="n"/>
      <c r="PUT73" s="421" t="n"/>
      <c r="PUU73" s="421" t="n"/>
      <c r="PUV73" s="421" t="n"/>
      <c r="PUW73" s="421" t="n"/>
      <c r="PUX73" s="421" t="n"/>
      <c r="PUY73" s="421" t="n"/>
      <c r="PUZ73" s="421" t="n"/>
      <c r="PVA73" s="421" t="n"/>
      <c r="PVB73" s="421" t="n"/>
      <c r="PVC73" s="421" t="n"/>
      <c r="PVD73" s="421" t="n"/>
      <c r="PVE73" s="421" t="n"/>
      <c r="PVF73" s="421" t="n"/>
      <c r="PVG73" s="421" t="n"/>
      <c r="PVH73" s="421" t="n"/>
      <c r="PVI73" s="421" t="n"/>
      <c r="PVJ73" s="421" t="n"/>
      <c r="PVK73" s="421" t="n"/>
      <c r="PVL73" s="421" t="n"/>
      <c r="PVM73" s="421" t="n"/>
      <c r="PVN73" s="421" t="n"/>
      <c r="PVO73" s="421" t="n"/>
      <c r="PVP73" s="421" t="n"/>
      <c r="PVQ73" s="421" t="n"/>
      <c r="PVR73" s="421" t="n"/>
      <c r="PVS73" s="421" t="n"/>
      <c r="PVT73" s="421" t="n"/>
      <c r="PVU73" s="421" t="n"/>
      <c r="PVV73" s="421" t="n"/>
      <c r="PVW73" s="421" t="n"/>
      <c r="PVX73" s="421" t="n"/>
      <c r="PVY73" s="421" t="n"/>
      <c r="PVZ73" s="421" t="n"/>
      <c r="PWA73" s="421" t="n"/>
      <c r="PWB73" s="421" t="n"/>
      <c r="PWC73" s="421" t="n"/>
      <c r="PWD73" s="421" t="n"/>
      <c r="PWE73" s="421" t="n"/>
      <c r="PWF73" s="421" t="n"/>
      <c r="PWG73" s="421" t="n"/>
      <c r="PWH73" s="421" t="n"/>
      <c r="PWI73" s="421" t="n"/>
      <c r="PWJ73" s="421" t="n"/>
      <c r="PWK73" s="421" t="n"/>
      <c r="PWL73" s="421" t="n"/>
      <c r="PWM73" s="421" t="n"/>
      <c r="PWN73" s="421" t="n"/>
      <c r="PWO73" s="421" t="n"/>
      <c r="PWP73" s="421" t="n"/>
      <c r="PWQ73" s="421" t="n"/>
      <c r="PWR73" s="421" t="n"/>
      <c r="PWS73" s="421" t="n"/>
      <c r="PWT73" s="421" t="n"/>
      <c r="PWU73" s="421" t="n"/>
      <c r="PWV73" s="421" t="n"/>
      <c r="PWW73" s="421" t="n"/>
      <c r="PWX73" s="421" t="n"/>
      <c r="PWY73" s="421" t="n"/>
      <c r="PWZ73" s="421" t="n"/>
      <c r="PXA73" s="421" t="n"/>
      <c r="PXB73" s="421" t="n"/>
      <c r="PXC73" s="421" t="n"/>
      <c r="PXD73" s="421" t="n"/>
      <c r="PXE73" s="421" t="n"/>
      <c r="PXF73" s="421" t="n"/>
      <c r="PXG73" s="421" t="n"/>
      <c r="PXH73" s="421" t="n"/>
      <c r="PXI73" s="421" t="n"/>
      <c r="PXJ73" s="421" t="n"/>
      <c r="PXK73" s="421" t="n"/>
      <c r="PXL73" s="421" t="n"/>
      <c r="PXM73" s="421" t="n"/>
      <c r="PXN73" s="421" t="n"/>
      <c r="PXO73" s="421" t="n"/>
      <c r="PXP73" s="421" t="n"/>
      <c r="PXQ73" s="421" t="n"/>
      <c r="PXR73" s="421" t="n"/>
      <c r="PXS73" s="421" t="n"/>
      <c r="PXT73" s="421" t="n"/>
      <c r="PXU73" s="421" t="n"/>
      <c r="PXV73" s="421" t="n"/>
      <c r="PXW73" s="421" t="n"/>
      <c r="PXX73" s="421" t="n"/>
      <c r="PXY73" s="421" t="n"/>
      <c r="PXZ73" s="421" t="n"/>
      <c r="PYA73" s="421" t="n"/>
      <c r="PYB73" s="421" t="n"/>
      <c r="PYC73" s="421" t="n"/>
      <c r="PYD73" s="421" t="n"/>
      <c r="PYE73" s="421" t="n"/>
      <c r="PYF73" s="421" t="n"/>
      <c r="PYG73" s="421" t="n"/>
      <c r="PYH73" s="421" t="n"/>
      <c r="PYI73" s="421" t="n"/>
      <c r="PYJ73" s="421" t="n"/>
      <c r="PYK73" s="421" t="n"/>
      <c r="PYL73" s="421" t="n"/>
      <c r="PYM73" s="421" t="n"/>
      <c r="PYN73" s="421" t="n"/>
      <c r="PYO73" s="421" t="n"/>
      <c r="PYP73" s="421" t="n"/>
      <c r="PYQ73" s="421" t="n"/>
      <c r="PYR73" s="421" t="n"/>
      <c r="PYS73" s="421" t="n"/>
      <c r="PYT73" s="421" t="n"/>
      <c r="PYU73" s="421" t="n"/>
      <c r="PYV73" s="421" t="n"/>
      <c r="PYW73" s="421" t="n"/>
      <c r="PYX73" s="421" t="n"/>
      <c r="PYY73" s="421" t="n"/>
      <c r="PYZ73" s="421" t="n"/>
      <c r="PZA73" s="421" t="n"/>
      <c r="PZB73" s="421" t="n"/>
      <c r="PZC73" s="421" t="n"/>
      <c r="PZD73" s="421" t="n"/>
      <c r="PZE73" s="421" t="n"/>
      <c r="PZF73" s="421" t="n"/>
      <c r="PZG73" s="421" t="n"/>
      <c r="PZH73" s="421" t="n"/>
      <c r="PZI73" s="421" t="n"/>
      <c r="PZJ73" s="421" t="n"/>
      <c r="PZK73" s="421" t="n"/>
      <c r="PZL73" s="421" t="n"/>
      <c r="PZM73" s="421" t="n"/>
      <c r="PZN73" s="421" t="n"/>
      <c r="PZO73" s="421" t="n"/>
      <c r="PZP73" s="421" t="n"/>
      <c r="PZQ73" s="421" t="n"/>
      <c r="PZR73" s="421" t="n"/>
      <c r="PZS73" s="421" t="n"/>
      <c r="PZT73" s="421" t="n"/>
      <c r="PZU73" s="421" t="n"/>
      <c r="PZV73" s="421" t="n"/>
      <c r="PZW73" s="421" t="n"/>
      <c r="PZX73" s="421" t="n"/>
      <c r="PZY73" s="421" t="n"/>
      <c r="PZZ73" s="421" t="n"/>
      <c r="QAA73" s="421" t="n"/>
      <c r="QAB73" s="421" t="n"/>
      <c r="QAC73" s="421" t="n"/>
      <c r="QAD73" s="421" t="n"/>
      <c r="QAE73" s="421" t="n"/>
      <c r="QAF73" s="421" t="n"/>
      <c r="QAG73" s="421" t="n"/>
      <c r="QAH73" s="421" t="n"/>
      <c r="QAI73" s="421" t="n"/>
      <c r="QAJ73" s="421" t="n"/>
      <c r="QAK73" s="421" t="n"/>
      <c r="QAL73" s="421" t="n"/>
      <c r="QAM73" s="421" t="n"/>
      <c r="QAN73" s="421" t="n"/>
      <c r="QAO73" s="421" t="n"/>
      <c r="QAP73" s="421" t="n"/>
      <c r="QAQ73" s="421" t="n"/>
      <c r="QAR73" s="421" t="n"/>
      <c r="QAS73" s="421" t="n"/>
      <c r="QAT73" s="421" t="n"/>
      <c r="QAU73" s="421" t="n"/>
      <c r="QAV73" s="421" t="n"/>
      <c r="QAW73" s="421" t="n"/>
      <c r="QAX73" s="421" t="n"/>
      <c r="QAY73" s="421" t="n"/>
      <c r="QAZ73" s="421" t="n"/>
      <c r="QBA73" s="421" t="n"/>
      <c r="QBB73" s="421" t="n"/>
      <c r="QBC73" s="421" t="n"/>
      <c r="QBD73" s="421" t="n"/>
      <c r="QBE73" s="421" t="n"/>
      <c r="QBF73" s="421" t="n"/>
      <c r="QBG73" s="421" t="n"/>
      <c r="QBH73" s="421" t="n"/>
      <c r="QBI73" s="421" t="n"/>
      <c r="QBJ73" s="421" t="n"/>
      <c r="QBK73" s="421" t="n"/>
      <c r="QBL73" s="421" t="n"/>
      <c r="QBM73" s="421" t="n"/>
      <c r="QBN73" s="421" t="n"/>
      <c r="QBO73" s="421" t="n"/>
      <c r="QBP73" s="421" t="n"/>
      <c r="QBQ73" s="421" t="n"/>
      <c r="QBR73" s="421" t="n"/>
      <c r="QBS73" s="421" t="n"/>
      <c r="QBT73" s="421" t="n"/>
      <c r="QBU73" s="421" t="n"/>
      <c r="QBV73" s="421" t="n"/>
      <c r="QBW73" s="421" t="n"/>
      <c r="QBX73" s="421" t="n"/>
      <c r="QBY73" s="421" t="n"/>
      <c r="QBZ73" s="421" t="n"/>
      <c r="QCA73" s="421" t="n"/>
      <c r="QCB73" s="421" t="n"/>
      <c r="QCC73" s="421" t="n"/>
      <c r="QCD73" s="421" t="n"/>
      <c r="QCE73" s="421" t="n"/>
      <c r="QCF73" s="421" t="n"/>
      <c r="QCG73" s="421" t="n"/>
      <c r="QCH73" s="421" t="n"/>
      <c r="QCI73" s="421" t="n"/>
      <c r="QCJ73" s="421" t="n"/>
      <c r="QCK73" s="421" t="n"/>
      <c r="QCL73" s="421" t="n"/>
      <c r="QCM73" s="421" t="n"/>
      <c r="QCN73" s="421" t="n"/>
      <c r="QCO73" s="421" t="n"/>
      <c r="QCP73" s="421" t="n"/>
      <c r="QCQ73" s="421" t="n"/>
      <c r="QCR73" s="421" t="n"/>
      <c r="QCS73" s="421" t="n"/>
      <c r="QCT73" s="421" t="n"/>
      <c r="QCU73" s="421" t="n"/>
      <c r="QCV73" s="421" t="n"/>
      <c r="QCW73" s="421" t="n"/>
      <c r="QCX73" s="421" t="n"/>
      <c r="QCY73" s="421" t="n"/>
      <c r="QCZ73" s="421" t="n"/>
      <c r="QDA73" s="421" t="n"/>
      <c r="QDB73" s="421" t="n"/>
      <c r="QDC73" s="421" t="n"/>
      <c r="QDD73" s="421" t="n"/>
      <c r="QDE73" s="421" t="n"/>
      <c r="QDF73" s="421" t="n"/>
      <c r="QDG73" s="421" t="n"/>
      <c r="QDH73" s="421" t="n"/>
      <c r="QDI73" s="421" t="n"/>
      <c r="QDJ73" s="421" t="n"/>
      <c r="QDK73" s="421" t="n"/>
      <c r="QDL73" s="421" t="n"/>
      <c r="QDM73" s="421" t="n"/>
      <c r="QDN73" s="421" t="n"/>
      <c r="QDO73" s="421" t="n"/>
      <c r="QDP73" s="421" t="n"/>
      <c r="QDQ73" s="421" t="n"/>
      <c r="QDR73" s="421" t="n"/>
      <c r="QDS73" s="421" t="n"/>
      <c r="QDT73" s="421" t="n"/>
      <c r="QDU73" s="421" t="n"/>
      <c r="QDV73" s="421" t="n"/>
      <c r="QDW73" s="421" t="n"/>
      <c r="QDX73" s="421" t="n"/>
      <c r="QDY73" s="421" t="n"/>
      <c r="QDZ73" s="421" t="n"/>
      <c r="QEA73" s="421" t="n"/>
      <c r="QEB73" s="421" t="n"/>
      <c r="QEC73" s="421" t="n"/>
      <c r="QED73" s="421" t="n"/>
      <c r="QEE73" s="421" t="n"/>
      <c r="QEF73" s="421" t="n"/>
      <c r="QEG73" s="421" t="n"/>
      <c r="QEH73" s="421" t="n"/>
      <c r="QEI73" s="421" t="n"/>
      <c r="QEJ73" s="421" t="n"/>
      <c r="QEK73" s="421" t="n"/>
      <c r="QEL73" s="421" t="n"/>
      <c r="QEM73" s="421" t="n"/>
      <c r="QEN73" s="421" t="n"/>
      <c r="QEO73" s="421" t="n"/>
      <c r="QEP73" s="421" t="n"/>
      <c r="QEQ73" s="421" t="n"/>
      <c r="QER73" s="421" t="n"/>
      <c r="QES73" s="421" t="n"/>
      <c r="QET73" s="421" t="n"/>
      <c r="QEU73" s="421" t="n"/>
      <c r="QEV73" s="421" t="n"/>
      <c r="QEW73" s="421" t="n"/>
      <c r="QEX73" s="421" t="n"/>
      <c r="QEY73" s="421" t="n"/>
      <c r="QEZ73" s="421" t="n"/>
      <c r="QFA73" s="421" t="n"/>
      <c r="QFB73" s="421" t="n"/>
      <c r="QFC73" s="421" t="n"/>
      <c r="QFD73" s="421" t="n"/>
      <c r="QFE73" s="421" t="n"/>
      <c r="QFF73" s="421" t="n"/>
      <c r="QFG73" s="421" t="n"/>
      <c r="QFH73" s="421" t="n"/>
      <c r="QFI73" s="421" t="n"/>
      <c r="QFJ73" s="421" t="n"/>
      <c r="QFK73" s="421" t="n"/>
      <c r="QFL73" s="421" t="n"/>
      <c r="QFM73" s="421" t="n"/>
      <c r="QFN73" s="421" t="n"/>
      <c r="QFO73" s="421" t="n"/>
      <c r="QFP73" s="421" t="n"/>
      <c r="QFQ73" s="421" t="n"/>
      <c r="QFR73" s="421" t="n"/>
      <c r="QFS73" s="421" t="n"/>
      <c r="QFT73" s="421" t="n"/>
      <c r="QFU73" s="421" t="n"/>
      <c r="QFV73" s="421" t="n"/>
      <c r="QFW73" s="421" t="n"/>
      <c r="QFX73" s="421" t="n"/>
      <c r="QFY73" s="421" t="n"/>
      <c r="QFZ73" s="421" t="n"/>
      <c r="QGA73" s="421" t="n"/>
      <c r="QGB73" s="421" t="n"/>
      <c r="QGC73" s="421" t="n"/>
      <c r="QGD73" s="421" t="n"/>
      <c r="QGE73" s="421" t="n"/>
      <c r="QGF73" s="421" t="n"/>
      <c r="QGG73" s="421" t="n"/>
      <c r="QGH73" s="421" t="n"/>
      <c r="QGI73" s="421" t="n"/>
      <c r="QGJ73" s="421" t="n"/>
      <c r="QGK73" s="421" t="n"/>
      <c r="QGL73" s="421" t="n"/>
      <c r="QGM73" s="421" t="n"/>
      <c r="QGN73" s="421" t="n"/>
      <c r="QGO73" s="421" t="n"/>
      <c r="QGP73" s="421" t="n"/>
      <c r="QGQ73" s="421" t="n"/>
      <c r="QGR73" s="421" t="n"/>
      <c r="QGS73" s="421" t="n"/>
      <c r="QGT73" s="421" t="n"/>
      <c r="QGU73" s="421" t="n"/>
      <c r="QGV73" s="421" t="n"/>
      <c r="QGW73" s="421" t="n"/>
      <c r="QGX73" s="421" t="n"/>
      <c r="QGY73" s="421" t="n"/>
      <c r="QGZ73" s="421" t="n"/>
      <c r="QHA73" s="421" t="n"/>
      <c r="QHB73" s="421" t="n"/>
      <c r="QHC73" s="421" t="n"/>
      <c r="QHD73" s="421" t="n"/>
      <c r="QHE73" s="421" t="n"/>
      <c r="QHF73" s="421" t="n"/>
      <c r="QHG73" s="421" t="n"/>
      <c r="QHH73" s="421" t="n"/>
      <c r="QHI73" s="421" t="n"/>
      <c r="QHJ73" s="421" t="n"/>
      <c r="QHK73" s="421" t="n"/>
      <c r="QHL73" s="421" t="n"/>
      <c r="QHM73" s="421" t="n"/>
      <c r="QHN73" s="421" t="n"/>
      <c r="QHO73" s="421" t="n"/>
      <c r="QHP73" s="421" t="n"/>
      <c r="QHQ73" s="421" t="n"/>
      <c r="QHR73" s="421" t="n"/>
      <c r="QHS73" s="421" t="n"/>
      <c r="QHT73" s="421" t="n"/>
      <c r="QHU73" s="421" t="n"/>
      <c r="QHV73" s="421" t="n"/>
      <c r="QHW73" s="421" t="n"/>
      <c r="QHX73" s="421" t="n"/>
      <c r="QHY73" s="421" t="n"/>
      <c r="QHZ73" s="421" t="n"/>
      <c r="QIA73" s="421" t="n"/>
      <c r="QIB73" s="421" t="n"/>
      <c r="QIC73" s="421" t="n"/>
      <c r="QID73" s="421" t="n"/>
      <c r="QIE73" s="421" t="n"/>
      <c r="QIF73" s="421" t="n"/>
      <c r="QIG73" s="421" t="n"/>
      <c r="QIH73" s="421" t="n"/>
      <c r="QII73" s="421" t="n"/>
      <c r="QIJ73" s="421" t="n"/>
      <c r="QIK73" s="421" t="n"/>
      <c r="QIL73" s="421" t="n"/>
      <c r="QIM73" s="421" t="n"/>
      <c r="QIN73" s="421" t="n"/>
      <c r="QIO73" s="421" t="n"/>
      <c r="QIP73" s="421" t="n"/>
      <c r="QIQ73" s="421" t="n"/>
      <c r="QIR73" s="421" t="n"/>
      <c r="QIS73" s="421" t="n"/>
      <c r="QIT73" s="421" t="n"/>
      <c r="QIU73" s="421" t="n"/>
      <c r="QIV73" s="421" t="n"/>
      <c r="QIW73" s="421" t="n"/>
      <c r="QIX73" s="421" t="n"/>
      <c r="QIY73" s="421" t="n"/>
      <c r="QIZ73" s="421" t="n"/>
      <c r="QJA73" s="421" t="n"/>
      <c r="QJB73" s="421" t="n"/>
      <c r="QJC73" s="421" t="n"/>
      <c r="QJD73" s="421" t="n"/>
      <c r="QJE73" s="421" t="n"/>
      <c r="QJF73" s="421" t="n"/>
      <c r="QJG73" s="421" t="n"/>
      <c r="QJH73" s="421" t="n"/>
      <c r="QJI73" s="421" t="n"/>
      <c r="QJJ73" s="421" t="n"/>
      <c r="QJK73" s="421" t="n"/>
      <c r="QJL73" s="421" t="n"/>
      <c r="QJM73" s="421" t="n"/>
      <c r="QJN73" s="421" t="n"/>
      <c r="QJO73" s="421" t="n"/>
      <c r="QJP73" s="421" t="n"/>
      <c r="QJQ73" s="421" t="n"/>
      <c r="QJR73" s="421" t="n"/>
      <c r="QJS73" s="421" t="n"/>
      <c r="QJT73" s="421" t="n"/>
      <c r="QJU73" s="421" t="n"/>
      <c r="QJV73" s="421" t="n"/>
      <c r="QJW73" s="421" t="n"/>
      <c r="QJX73" s="421" t="n"/>
      <c r="QJY73" s="421" t="n"/>
      <c r="QJZ73" s="421" t="n"/>
      <c r="QKA73" s="421" t="n"/>
      <c r="QKB73" s="421" t="n"/>
      <c r="QKC73" s="421" t="n"/>
      <c r="QKD73" s="421" t="n"/>
      <c r="QKE73" s="421" t="n"/>
      <c r="QKF73" s="421" t="n"/>
      <c r="QKG73" s="421" t="n"/>
      <c r="QKH73" s="421" t="n"/>
      <c r="QKI73" s="421" t="n"/>
      <c r="QKJ73" s="421" t="n"/>
      <c r="QKK73" s="421" t="n"/>
      <c r="QKL73" s="421" t="n"/>
      <c r="QKM73" s="421" t="n"/>
      <c r="QKN73" s="421" t="n"/>
      <c r="QKO73" s="421" t="n"/>
      <c r="QKP73" s="421" t="n"/>
      <c r="QKQ73" s="421" t="n"/>
      <c r="QKR73" s="421" t="n"/>
      <c r="QKS73" s="421" t="n"/>
      <c r="QKT73" s="421" t="n"/>
      <c r="QKU73" s="421" t="n"/>
      <c r="QKV73" s="421" t="n"/>
      <c r="QKW73" s="421" t="n"/>
      <c r="QKX73" s="421" t="n"/>
      <c r="QKY73" s="421" t="n"/>
      <c r="QKZ73" s="421" t="n"/>
      <c r="QLA73" s="421" t="n"/>
      <c r="QLB73" s="421" t="n"/>
      <c r="QLC73" s="421" t="n"/>
      <c r="QLD73" s="421" t="n"/>
      <c r="QLE73" s="421" t="n"/>
      <c r="QLF73" s="421" t="n"/>
      <c r="QLG73" s="421" t="n"/>
      <c r="QLH73" s="421" t="n"/>
      <c r="QLI73" s="421" t="n"/>
      <c r="QLJ73" s="421" t="n"/>
      <c r="QLK73" s="421" t="n"/>
      <c r="QLL73" s="421" t="n"/>
      <c r="QLM73" s="421" t="n"/>
      <c r="QLN73" s="421" t="n"/>
      <c r="QLO73" s="421" t="n"/>
      <c r="QLP73" s="421" t="n"/>
      <c r="QLQ73" s="421" t="n"/>
      <c r="QLR73" s="421" t="n"/>
      <c r="QLS73" s="421" t="n"/>
      <c r="QLT73" s="421" t="n"/>
      <c r="QLU73" s="421" t="n"/>
      <c r="QLV73" s="421" t="n"/>
      <c r="QLW73" s="421" t="n"/>
      <c r="QLX73" s="421" t="n"/>
      <c r="QLY73" s="421" t="n"/>
      <c r="QLZ73" s="421" t="n"/>
      <c r="QMA73" s="421" t="n"/>
      <c r="QMB73" s="421" t="n"/>
      <c r="QMC73" s="421" t="n"/>
      <c r="QMD73" s="421" t="n"/>
      <c r="QME73" s="421" t="n"/>
      <c r="QMF73" s="421" t="n"/>
      <c r="QMG73" s="421" t="n"/>
      <c r="QMH73" s="421" t="n"/>
      <c r="QMI73" s="421" t="n"/>
      <c r="QMJ73" s="421" t="n"/>
      <c r="QMK73" s="421" t="n"/>
      <c r="QML73" s="421" t="n"/>
      <c r="QMM73" s="421" t="n"/>
      <c r="QMN73" s="421" t="n"/>
      <c r="QMO73" s="421" t="n"/>
      <c r="QMP73" s="421" t="n"/>
      <c r="QMQ73" s="421" t="n"/>
      <c r="QMR73" s="421" t="n"/>
      <c r="QMS73" s="421" t="n"/>
      <c r="QMT73" s="421" t="n"/>
      <c r="QMU73" s="421" t="n"/>
      <c r="QMV73" s="421" t="n"/>
      <c r="QMW73" s="421" t="n"/>
      <c r="QMX73" s="421" t="n"/>
      <c r="QMY73" s="421" t="n"/>
      <c r="QMZ73" s="421" t="n"/>
      <c r="QNA73" s="421" t="n"/>
      <c r="QNB73" s="421" t="n"/>
      <c r="QNC73" s="421" t="n"/>
      <c r="QND73" s="421" t="n"/>
      <c r="QNE73" s="421" t="n"/>
      <c r="QNF73" s="421" t="n"/>
      <c r="QNG73" s="421" t="n"/>
      <c r="QNH73" s="421" t="n"/>
      <c r="QNI73" s="421" t="n"/>
      <c r="QNJ73" s="421" t="n"/>
      <c r="QNK73" s="421" t="n"/>
      <c r="QNL73" s="421" t="n"/>
      <c r="QNM73" s="421" t="n"/>
      <c r="QNN73" s="421" t="n"/>
      <c r="QNO73" s="421" t="n"/>
      <c r="QNP73" s="421" t="n"/>
      <c r="QNQ73" s="421" t="n"/>
      <c r="QNR73" s="421" t="n"/>
      <c r="QNS73" s="421" t="n"/>
      <c r="QNT73" s="421" t="n"/>
      <c r="QNU73" s="421" t="n"/>
      <c r="QNV73" s="421" t="n"/>
      <c r="QNW73" s="421" t="n"/>
      <c r="QNX73" s="421" t="n"/>
      <c r="QNY73" s="421" t="n"/>
      <c r="QNZ73" s="421" t="n"/>
      <c r="QOA73" s="421" t="n"/>
      <c r="QOB73" s="421" t="n"/>
      <c r="QOC73" s="421" t="n"/>
      <c r="QOD73" s="421" t="n"/>
      <c r="QOE73" s="421" t="n"/>
      <c r="QOF73" s="421" t="n"/>
      <c r="QOG73" s="421" t="n"/>
      <c r="QOH73" s="421" t="n"/>
      <c r="QOI73" s="421" t="n"/>
      <c r="QOJ73" s="421" t="n"/>
      <c r="QOK73" s="421" t="n"/>
      <c r="QOL73" s="421" t="n"/>
      <c r="QOM73" s="421" t="n"/>
      <c r="QON73" s="421" t="n"/>
      <c r="QOO73" s="421" t="n"/>
      <c r="QOP73" s="421" t="n"/>
      <c r="QOQ73" s="421" t="n"/>
      <c r="QOR73" s="421" t="n"/>
      <c r="QOS73" s="421" t="n"/>
      <c r="QOT73" s="421" t="n"/>
      <c r="QOU73" s="421" t="n"/>
      <c r="QOV73" s="421" t="n"/>
      <c r="QOW73" s="421" t="n"/>
      <c r="QOX73" s="421" t="n"/>
      <c r="QOY73" s="421" t="n"/>
      <c r="QOZ73" s="421" t="n"/>
      <c r="QPA73" s="421" t="n"/>
      <c r="QPB73" s="421" t="n"/>
      <c r="QPC73" s="421" t="n"/>
      <c r="QPD73" s="421" t="n"/>
      <c r="QPE73" s="421" t="n"/>
      <c r="QPF73" s="421" t="n"/>
      <c r="QPG73" s="421" t="n"/>
      <c r="QPH73" s="421" t="n"/>
      <c r="QPI73" s="421" t="n"/>
      <c r="QPJ73" s="421" t="n"/>
      <c r="QPK73" s="421" t="n"/>
      <c r="QPL73" s="421" t="n"/>
      <c r="QPM73" s="421" t="n"/>
      <c r="QPN73" s="421" t="n"/>
      <c r="QPO73" s="421" t="n"/>
      <c r="QPP73" s="421" t="n"/>
      <c r="QPQ73" s="421" t="n"/>
      <c r="QPR73" s="421" t="n"/>
      <c r="QPS73" s="421" t="n"/>
      <c r="QPT73" s="421" t="n"/>
      <c r="QPU73" s="421" t="n"/>
      <c r="QPV73" s="421" t="n"/>
      <c r="QPW73" s="421" t="n"/>
      <c r="QPX73" s="421" t="n"/>
      <c r="QPY73" s="421" t="n"/>
      <c r="QPZ73" s="421" t="n"/>
      <c r="QQA73" s="421" t="n"/>
      <c r="QQB73" s="421" t="n"/>
      <c r="QQC73" s="421" t="n"/>
      <c r="QQD73" s="421" t="n"/>
      <c r="QQE73" s="421" t="n"/>
      <c r="QQF73" s="421" t="n"/>
      <c r="QQG73" s="421" t="n"/>
      <c r="QQH73" s="421" t="n"/>
      <c r="QQI73" s="421" t="n"/>
      <c r="QQJ73" s="421" t="n"/>
      <c r="QQK73" s="421" t="n"/>
      <c r="QQL73" s="421" t="n"/>
      <c r="QQM73" s="421" t="n"/>
      <c r="QQN73" s="421" t="n"/>
      <c r="QQO73" s="421" t="n"/>
      <c r="QQP73" s="421" t="n"/>
      <c r="QQQ73" s="421" t="n"/>
      <c r="QQR73" s="421" t="n"/>
      <c r="QQS73" s="421" t="n"/>
      <c r="QQT73" s="421" t="n"/>
      <c r="QQU73" s="421" t="n"/>
      <c r="QQV73" s="421" t="n"/>
      <c r="QQW73" s="421" t="n"/>
      <c r="QQX73" s="421" t="n"/>
      <c r="QQY73" s="421" t="n"/>
      <c r="QQZ73" s="421" t="n"/>
      <c r="QRA73" s="421" t="n"/>
      <c r="QRB73" s="421" t="n"/>
      <c r="QRC73" s="421" t="n"/>
      <c r="QRD73" s="421" t="n"/>
      <c r="QRE73" s="421" t="n"/>
      <c r="QRF73" s="421" t="n"/>
      <c r="QRG73" s="421" t="n"/>
      <c r="QRH73" s="421" t="n"/>
      <c r="QRI73" s="421" t="n"/>
      <c r="QRJ73" s="421" t="n"/>
      <c r="QRK73" s="421" t="n"/>
      <c r="QRL73" s="421" t="n"/>
      <c r="QRM73" s="421" t="n"/>
      <c r="QRN73" s="421" t="n"/>
      <c r="QRO73" s="421" t="n"/>
      <c r="QRP73" s="421" t="n"/>
      <c r="QRQ73" s="421" t="n"/>
      <c r="QRR73" s="421" t="n"/>
      <c r="QRS73" s="421" t="n"/>
      <c r="QRT73" s="421" t="n"/>
      <c r="QRU73" s="421" t="n"/>
      <c r="QRV73" s="421" t="n"/>
      <c r="QRW73" s="421" t="n"/>
      <c r="QRX73" s="421" t="n"/>
      <c r="QRY73" s="421" t="n"/>
      <c r="QRZ73" s="421" t="n"/>
      <c r="QSA73" s="421" t="n"/>
      <c r="QSB73" s="421" t="n"/>
      <c r="QSC73" s="421" t="n"/>
      <c r="QSD73" s="421" t="n"/>
      <c r="QSE73" s="421" t="n"/>
      <c r="QSF73" s="421" t="n"/>
      <c r="QSG73" s="421" t="n"/>
      <c r="QSH73" s="421" t="n"/>
      <c r="QSI73" s="421" t="n"/>
      <c r="QSJ73" s="421" t="n"/>
      <c r="QSK73" s="421" t="n"/>
      <c r="QSL73" s="421" t="n"/>
      <c r="QSM73" s="421" t="n"/>
      <c r="QSN73" s="421" t="n"/>
      <c r="QSO73" s="421" t="n"/>
      <c r="QSP73" s="421" t="n"/>
      <c r="QSQ73" s="421" t="n"/>
      <c r="QSR73" s="421" t="n"/>
      <c r="QSS73" s="421" t="n"/>
      <c r="QST73" s="421" t="n"/>
      <c r="QSU73" s="421" t="n"/>
      <c r="QSV73" s="421" t="n"/>
      <c r="QSW73" s="421" t="n"/>
      <c r="QSX73" s="421" t="n"/>
      <c r="QSY73" s="421" t="n"/>
      <c r="QSZ73" s="421" t="n"/>
      <c r="QTA73" s="421" t="n"/>
      <c r="QTB73" s="421" t="n"/>
      <c r="QTC73" s="421" t="n"/>
      <c r="QTD73" s="421" t="n"/>
      <c r="QTE73" s="421" t="n"/>
      <c r="QTF73" s="421" t="n"/>
      <c r="QTG73" s="421" t="n"/>
      <c r="QTH73" s="421" t="n"/>
      <c r="QTI73" s="421" t="n"/>
      <c r="QTJ73" s="421" t="n"/>
      <c r="QTK73" s="421" t="n"/>
      <c r="QTL73" s="421" t="n"/>
      <c r="QTM73" s="421" t="n"/>
      <c r="QTN73" s="421" t="n"/>
      <c r="QTO73" s="421" t="n"/>
      <c r="QTP73" s="421" t="n"/>
      <c r="QTQ73" s="421" t="n"/>
      <c r="QTR73" s="421" t="n"/>
      <c r="QTS73" s="421" t="n"/>
      <c r="QTT73" s="421" t="n"/>
      <c r="QTU73" s="421" t="n"/>
      <c r="QTV73" s="421" t="n"/>
      <c r="QTW73" s="421" t="n"/>
      <c r="QTX73" s="421" t="n"/>
      <c r="QTY73" s="421" t="n"/>
      <c r="QTZ73" s="421" t="n"/>
      <c r="QUA73" s="421" t="n"/>
      <c r="QUB73" s="421" t="n"/>
      <c r="QUC73" s="421" t="n"/>
      <c r="QUD73" s="421" t="n"/>
      <c r="QUE73" s="421" t="n"/>
      <c r="QUF73" s="421" t="n"/>
      <c r="QUG73" s="421" t="n"/>
      <c r="QUH73" s="421" t="n"/>
      <c r="QUI73" s="421" t="n"/>
      <c r="QUJ73" s="421" t="n"/>
      <c r="QUK73" s="421" t="n"/>
      <c r="QUL73" s="421" t="n"/>
      <c r="QUM73" s="421" t="n"/>
      <c r="QUN73" s="421" t="n"/>
      <c r="QUO73" s="421" t="n"/>
      <c r="QUP73" s="421" t="n"/>
      <c r="QUQ73" s="421" t="n"/>
      <c r="QUR73" s="421" t="n"/>
      <c r="QUS73" s="421" t="n"/>
      <c r="QUT73" s="421" t="n"/>
      <c r="QUU73" s="421" t="n"/>
      <c r="QUV73" s="421" t="n"/>
      <c r="QUW73" s="421" t="n"/>
      <c r="QUX73" s="421" t="n"/>
      <c r="QUY73" s="421" t="n"/>
      <c r="QUZ73" s="421" t="n"/>
      <c r="QVA73" s="421" t="n"/>
      <c r="QVB73" s="421" t="n"/>
      <c r="QVC73" s="421" t="n"/>
      <c r="QVD73" s="421" t="n"/>
      <c r="QVE73" s="421" t="n"/>
      <c r="QVF73" s="421" t="n"/>
      <c r="QVG73" s="421" t="n"/>
      <c r="QVH73" s="421" t="n"/>
      <c r="QVI73" s="421" t="n"/>
      <c r="QVJ73" s="421" t="n"/>
      <c r="QVK73" s="421" t="n"/>
      <c r="QVL73" s="421" t="n"/>
      <c r="QVM73" s="421" t="n"/>
      <c r="QVN73" s="421" t="n"/>
      <c r="QVO73" s="421" t="n"/>
      <c r="QVP73" s="421" t="n"/>
      <c r="QVQ73" s="421" t="n"/>
      <c r="QVR73" s="421" t="n"/>
      <c r="QVS73" s="421" t="n"/>
      <c r="QVT73" s="421" t="n"/>
      <c r="QVU73" s="421" t="n"/>
      <c r="QVV73" s="421" t="n"/>
      <c r="QVW73" s="421" t="n"/>
      <c r="QVX73" s="421" t="n"/>
      <c r="QVY73" s="421" t="n"/>
      <c r="QVZ73" s="421" t="n"/>
      <c r="QWA73" s="421" t="n"/>
      <c r="QWB73" s="421" t="n"/>
      <c r="QWC73" s="421" t="n"/>
      <c r="QWD73" s="421" t="n"/>
      <c r="QWE73" s="421" t="n"/>
      <c r="QWF73" s="421" t="n"/>
      <c r="QWG73" s="421" t="n"/>
      <c r="QWH73" s="421" t="n"/>
      <c r="QWI73" s="421" t="n"/>
      <c r="QWJ73" s="421" t="n"/>
      <c r="QWK73" s="421" t="n"/>
      <c r="QWL73" s="421" t="n"/>
      <c r="QWM73" s="421" t="n"/>
      <c r="QWN73" s="421" t="n"/>
      <c r="QWO73" s="421" t="n"/>
      <c r="QWP73" s="421" t="n"/>
      <c r="QWQ73" s="421" t="n"/>
      <c r="QWR73" s="421" t="n"/>
      <c r="QWS73" s="421" t="n"/>
      <c r="QWT73" s="421" t="n"/>
      <c r="QWU73" s="421" t="n"/>
      <c r="QWV73" s="421" t="n"/>
      <c r="QWW73" s="421" t="n"/>
      <c r="QWX73" s="421" t="n"/>
      <c r="QWY73" s="421" t="n"/>
      <c r="QWZ73" s="421" t="n"/>
      <c r="QXA73" s="421" t="n"/>
      <c r="QXB73" s="421" t="n"/>
      <c r="QXC73" s="421" t="n"/>
      <c r="QXD73" s="421" t="n"/>
      <c r="QXE73" s="421" t="n"/>
      <c r="QXF73" s="421" t="n"/>
      <c r="QXG73" s="421" t="n"/>
      <c r="QXH73" s="421" t="n"/>
      <c r="QXI73" s="421" t="n"/>
      <c r="QXJ73" s="421" t="n"/>
      <c r="QXK73" s="421" t="n"/>
      <c r="QXL73" s="421" t="n"/>
      <c r="QXM73" s="421" t="n"/>
      <c r="QXN73" s="421" t="n"/>
      <c r="QXO73" s="421" t="n"/>
      <c r="QXP73" s="421" t="n"/>
      <c r="QXQ73" s="421" t="n"/>
      <c r="QXR73" s="421" t="n"/>
      <c r="QXS73" s="421" t="n"/>
      <c r="QXT73" s="421" t="n"/>
      <c r="QXU73" s="421" t="n"/>
      <c r="QXV73" s="421" t="n"/>
      <c r="QXW73" s="421" t="n"/>
      <c r="QXX73" s="421" t="n"/>
      <c r="QXY73" s="421" t="n"/>
      <c r="QXZ73" s="421" t="n"/>
      <c r="QYA73" s="421" t="n"/>
      <c r="QYB73" s="421" t="n"/>
      <c r="QYC73" s="421" t="n"/>
      <c r="QYD73" s="421" t="n"/>
      <c r="QYE73" s="421" t="n"/>
      <c r="QYF73" s="421" t="n"/>
      <c r="QYG73" s="421" t="n"/>
      <c r="QYH73" s="421" t="n"/>
      <c r="QYI73" s="421" t="n"/>
      <c r="QYJ73" s="421" t="n"/>
      <c r="QYK73" s="421" t="n"/>
      <c r="QYL73" s="421" t="n"/>
      <c r="QYM73" s="421" t="n"/>
      <c r="QYN73" s="421" t="n"/>
      <c r="QYO73" s="421" t="n"/>
      <c r="QYP73" s="421" t="n"/>
      <c r="QYQ73" s="421" t="n"/>
      <c r="QYR73" s="421" t="n"/>
      <c r="QYS73" s="421" t="n"/>
      <c r="QYT73" s="421" t="n"/>
      <c r="QYU73" s="421" t="n"/>
      <c r="QYV73" s="421" t="n"/>
      <c r="QYW73" s="421" t="n"/>
      <c r="QYX73" s="421" t="n"/>
      <c r="QYY73" s="421" t="n"/>
      <c r="QYZ73" s="421" t="n"/>
      <c r="QZA73" s="421" t="n"/>
      <c r="QZB73" s="421" t="n"/>
      <c r="QZC73" s="421" t="n"/>
      <c r="QZD73" s="421" t="n"/>
      <c r="QZE73" s="421" t="n"/>
      <c r="QZF73" s="421" t="n"/>
      <c r="QZG73" s="421" t="n"/>
      <c r="QZH73" s="421" t="n"/>
      <c r="QZI73" s="421" t="n"/>
      <c r="QZJ73" s="421" t="n"/>
      <c r="QZK73" s="421" t="n"/>
      <c r="QZL73" s="421" t="n"/>
      <c r="QZM73" s="421" t="n"/>
      <c r="QZN73" s="421" t="n"/>
      <c r="QZO73" s="421" t="n"/>
      <c r="QZP73" s="421" t="n"/>
      <c r="QZQ73" s="421" t="n"/>
      <c r="QZR73" s="421" t="n"/>
      <c r="QZS73" s="421" t="n"/>
      <c r="QZT73" s="421" t="n"/>
      <c r="QZU73" s="421" t="n"/>
      <c r="QZV73" s="421" t="n"/>
      <c r="QZW73" s="421" t="n"/>
      <c r="QZX73" s="421" t="n"/>
      <c r="QZY73" s="421" t="n"/>
      <c r="QZZ73" s="421" t="n"/>
      <c r="RAA73" s="421" t="n"/>
      <c r="RAB73" s="421" t="n"/>
      <c r="RAC73" s="421" t="n"/>
      <c r="RAD73" s="421" t="n"/>
      <c r="RAE73" s="421" t="n"/>
      <c r="RAF73" s="421" t="n"/>
      <c r="RAG73" s="421" t="n"/>
      <c r="RAH73" s="421" t="n"/>
      <c r="RAI73" s="421" t="n"/>
      <c r="RAJ73" s="421" t="n"/>
      <c r="RAK73" s="421" t="n"/>
      <c r="RAL73" s="421" t="n"/>
      <c r="RAM73" s="421" t="n"/>
      <c r="RAN73" s="421" t="n"/>
      <c r="RAO73" s="421" t="n"/>
      <c r="RAP73" s="421" t="n"/>
      <c r="RAQ73" s="421" t="n"/>
      <c r="RAR73" s="421" t="n"/>
      <c r="RAS73" s="421" t="n"/>
      <c r="RAT73" s="421" t="n"/>
      <c r="RAU73" s="421" t="n"/>
      <c r="RAV73" s="421" t="n"/>
      <c r="RAW73" s="421" t="n"/>
      <c r="RAX73" s="421" t="n"/>
      <c r="RAY73" s="421" t="n"/>
      <c r="RAZ73" s="421" t="n"/>
      <c r="RBA73" s="421" t="n"/>
      <c r="RBB73" s="421" t="n"/>
      <c r="RBC73" s="421" t="n"/>
      <c r="RBD73" s="421" t="n"/>
      <c r="RBE73" s="421" t="n"/>
      <c r="RBF73" s="421" t="n"/>
      <c r="RBG73" s="421" t="n"/>
      <c r="RBH73" s="421" t="n"/>
      <c r="RBI73" s="421" t="n"/>
      <c r="RBJ73" s="421" t="n"/>
      <c r="RBK73" s="421" t="n"/>
      <c r="RBL73" s="421" t="n"/>
      <c r="RBM73" s="421" t="n"/>
      <c r="RBN73" s="421" t="n"/>
      <c r="RBO73" s="421" t="n"/>
      <c r="RBP73" s="421" t="n"/>
      <c r="RBQ73" s="421" t="n"/>
      <c r="RBR73" s="421" t="n"/>
      <c r="RBS73" s="421" t="n"/>
      <c r="RBT73" s="421" t="n"/>
      <c r="RBU73" s="421" t="n"/>
      <c r="RBV73" s="421" t="n"/>
      <c r="RBW73" s="421" t="n"/>
      <c r="RBX73" s="421" t="n"/>
      <c r="RBY73" s="421" t="n"/>
      <c r="RBZ73" s="421" t="n"/>
      <c r="RCA73" s="421" t="n"/>
      <c r="RCB73" s="421" t="n"/>
      <c r="RCC73" s="421" t="n"/>
      <c r="RCD73" s="421" t="n"/>
      <c r="RCE73" s="421" t="n"/>
      <c r="RCF73" s="421" t="n"/>
      <c r="RCG73" s="421" t="n"/>
      <c r="RCH73" s="421" t="n"/>
      <c r="RCI73" s="421" t="n"/>
      <c r="RCJ73" s="421" t="n"/>
      <c r="RCK73" s="421" t="n"/>
      <c r="RCL73" s="421" t="n"/>
      <c r="RCM73" s="421" t="n"/>
      <c r="RCN73" s="421" t="n"/>
      <c r="RCO73" s="421" t="n"/>
      <c r="RCP73" s="421" t="n"/>
      <c r="RCQ73" s="421" t="n"/>
      <c r="RCR73" s="421" t="n"/>
      <c r="RCS73" s="421" t="n"/>
      <c r="RCT73" s="421" t="n"/>
      <c r="RCU73" s="421" t="n"/>
      <c r="RCV73" s="421" t="n"/>
      <c r="RCW73" s="421" t="n"/>
      <c r="RCX73" s="421" t="n"/>
      <c r="RCY73" s="421" t="n"/>
      <c r="RCZ73" s="421" t="n"/>
      <c r="RDA73" s="421" t="n"/>
      <c r="RDB73" s="421" t="n"/>
      <c r="RDC73" s="421" t="n"/>
      <c r="RDD73" s="421" t="n"/>
      <c r="RDE73" s="421" t="n"/>
      <c r="RDF73" s="421" t="n"/>
      <c r="RDG73" s="421" t="n"/>
      <c r="RDH73" s="421" t="n"/>
      <c r="RDI73" s="421" t="n"/>
      <c r="RDJ73" s="421" t="n"/>
      <c r="RDK73" s="421" t="n"/>
      <c r="RDL73" s="421" t="n"/>
      <c r="RDM73" s="421" t="n"/>
      <c r="RDN73" s="421" t="n"/>
      <c r="RDO73" s="421" t="n"/>
      <c r="RDP73" s="421" t="n"/>
      <c r="RDQ73" s="421" t="n"/>
      <c r="RDR73" s="421" t="n"/>
      <c r="RDS73" s="421" t="n"/>
      <c r="RDT73" s="421" t="n"/>
      <c r="RDU73" s="421" t="n"/>
      <c r="RDV73" s="421" t="n"/>
      <c r="RDW73" s="421" t="n"/>
      <c r="RDX73" s="421" t="n"/>
      <c r="RDY73" s="421" t="n"/>
      <c r="RDZ73" s="421" t="n"/>
      <c r="REA73" s="421" t="n"/>
      <c r="REB73" s="421" t="n"/>
      <c r="REC73" s="421" t="n"/>
      <c r="RED73" s="421" t="n"/>
      <c r="REE73" s="421" t="n"/>
      <c r="REF73" s="421" t="n"/>
      <c r="REG73" s="421" t="n"/>
      <c r="REH73" s="421" t="n"/>
      <c r="REI73" s="421" t="n"/>
      <c r="REJ73" s="421" t="n"/>
      <c r="REK73" s="421" t="n"/>
      <c r="REL73" s="421" t="n"/>
      <c r="REM73" s="421" t="n"/>
      <c r="REN73" s="421" t="n"/>
      <c r="REO73" s="421" t="n"/>
      <c r="REP73" s="421" t="n"/>
      <c r="REQ73" s="421" t="n"/>
      <c r="RER73" s="421" t="n"/>
      <c r="RES73" s="421" t="n"/>
      <c r="RET73" s="421" t="n"/>
      <c r="REU73" s="421" t="n"/>
      <c r="REV73" s="421" t="n"/>
      <c r="REW73" s="421" t="n"/>
      <c r="REX73" s="421" t="n"/>
      <c r="REY73" s="421" t="n"/>
      <c r="REZ73" s="421" t="n"/>
      <c r="RFA73" s="421" t="n"/>
      <c r="RFB73" s="421" t="n"/>
      <c r="RFC73" s="421" t="n"/>
      <c r="RFD73" s="421" t="n"/>
      <c r="RFE73" s="421" t="n"/>
      <c r="RFF73" s="421" t="n"/>
      <c r="RFG73" s="421" t="n"/>
      <c r="RFH73" s="421" t="n"/>
      <c r="RFI73" s="421" t="n"/>
      <c r="RFJ73" s="421" t="n"/>
      <c r="RFK73" s="421" t="n"/>
      <c r="RFL73" s="421" t="n"/>
      <c r="RFM73" s="421" t="n"/>
      <c r="RFN73" s="421" t="n"/>
      <c r="RFO73" s="421" t="n"/>
      <c r="RFP73" s="421" t="n"/>
      <c r="RFQ73" s="421" t="n"/>
      <c r="RFR73" s="421" t="n"/>
      <c r="RFS73" s="421" t="n"/>
      <c r="RFT73" s="421" t="n"/>
      <c r="RFU73" s="421" t="n"/>
      <c r="RFV73" s="421" t="n"/>
      <c r="RFW73" s="421" t="n"/>
      <c r="RFX73" s="421" t="n"/>
      <c r="RFY73" s="421" t="n"/>
      <c r="RFZ73" s="421" t="n"/>
      <c r="RGA73" s="421" t="n"/>
      <c r="RGB73" s="421" t="n"/>
      <c r="RGC73" s="421" t="n"/>
      <c r="RGD73" s="421" t="n"/>
      <c r="RGE73" s="421" t="n"/>
      <c r="RGF73" s="421" t="n"/>
      <c r="RGG73" s="421" t="n"/>
      <c r="RGH73" s="421" t="n"/>
      <c r="RGI73" s="421" t="n"/>
      <c r="RGJ73" s="421" t="n"/>
      <c r="RGK73" s="421" t="n"/>
      <c r="RGL73" s="421" t="n"/>
      <c r="RGM73" s="421" t="n"/>
      <c r="RGN73" s="421" t="n"/>
      <c r="RGO73" s="421" t="n"/>
      <c r="RGP73" s="421" t="n"/>
      <c r="RGQ73" s="421" t="n"/>
      <c r="RGR73" s="421" t="n"/>
      <c r="RGS73" s="421" t="n"/>
      <c r="RGT73" s="421" t="n"/>
      <c r="RGU73" s="421" t="n"/>
      <c r="RGV73" s="421" t="n"/>
      <c r="RGW73" s="421" t="n"/>
      <c r="RGX73" s="421" t="n"/>
      <c r="RGY73" s="421" t="n"/>
      <c r="RGZ73" s="421" t="n"/>
      <c r="RHA73" s="421" t="n"/>
      <c r="RHB73" s="421" t="n"/>
      <c r="RHC73" s="421" t="n"/>
      <c r="RHD73" s="421" t="n"/>
      <c r="RHE73" s="421" t="n"/>
      <c r="RHF73" s="421" t="n"/>
      <c r="RHG73" s="421" t="n"/>
      <c r="RHH73" s="421" t="n"/>
      <c r="RHI73" s="421" t="n"/>
      <c r="RHJ73" s="421" t="n"/>
      <c r="RHK73" s="421" t="n"/>
      <c r="RHL73" s="421" t="n"/>
      <c r="RHM73" s="421" t="n"/>
      <c r="RHN73" s="421" t="n"/>
      <c r="RHO73" s="421" t="n"/>
      <c r="RHP73" s="421" t="n"/>
      <c r="RHQ73" s="421" t="n"/>
      <c r="RHR73" s="421" t="n"/>
      <c r="RHS73" s="421" t="n"/>
      <c r="RHT73" s="421" t="n"/>
      <c r="RHU73" s="421" t="n"/>
      <c r="RHV73" s="421" t="n"/>
      <c r="RHW73" s="421" t="n"/>
      <c r="RHX73" s="421" t="n"/>
      <c r="RHY73" s="421" t="n"/>
      <c r="RHZ73" s="421" t="n"/>
      <c r="RIA73" s="421" t="n"/>
      <c r="RIB73" s="421" t="n"/>
      <c r="RIC73" s="421" t="n"/>
      <c r="RID73" s="421" t="n"/>
      <c r="RIE73" s="421" t="n"/>
      <c r="RIF73" s="421" t="n"/>
      <c r="RIG73" s="421" t="n"/>
      <c r="RIH73" s="421" t="n"/>
      <c r="RII73" s="421" t="n"/>
      <c r="RIJ73" s="421" t="n"/>
      <c r="RIK73" s="421" t="n"/>
      <c r="RIL73" s="421" t="n"/>
      <c r="RIM73" s="421" t="n"/>
      <c r="RIN73" s="421" t="n"/>
      <c r="RIO73" s="421" t="n"/>
      <c r="RIP73" s="421" t="n"/>
      <c r="RIQ73" s="421" t="n"/>
      <c r="RIR73" s="421" t="n"/>
      <c r="RIS73" s="421" t="n"/>
      <c r="RIT73" s="421" t="n"/>
      <c r="RIU73" s="421" t="n"/>
      <c r="RIV73" s="421" t="n"/>
      <c r="RIW73" s="421" t="n"/>
      <c r="RIX73" s="421" t="n"/>
      <c r="RIY73" s="421" t="n"/>
      <c r="RIZ73" s="421" t="n"/>
      <c r="RJA73" s="421" t="n"/>
      <c r="RJB73" s="421" t="n"/>
      <c r="RJC73" s="421" t="n"/>
      <c r="RJD73" s="421" t="n"/>
      <c r="RJE73" s="421" t="n"/>
      <c r="RJF73" s="421" t="n"/>
      <c r="RJG73" s="421" t="n"/>
      <c r="RJH73" s="421" t="n"/>
      <c r="RJI73" s="421" t="n"/>
      <c r="RJJ73" s="421" t="n"/>
      <c r="RJK73" s="421" t="n"/>
      <c r="RJL73" s="421" t="n"/>
      <c r="RJM73" s="421" t="n"/>
      <c r="RJN73" s="421" t="n"/>
      <c r="RJO73" s="421" t="n"/>
      <c r="RJP73" s="421" t="n"/>
      <c r="RJQ73" s="421" t="n"/>
      <c r="RJR73" s="421" t="n"/>
      <c r="RJS73" s="421" t="n"/>
      <c r="RJT73" s="421" t="n"/>
      <c r="RJU73" s="421" t="n"/>
      <c r="RJV73" s="421" t="n"/>
      <c r="RJW73" s="421" t="n"/>
      <c r="RJX73" s="421" t="n"/>
      <c r="RJY73" s="421" t="n"/>
      <c r="RJZ73" s="421" t="n"/>
      <c r="RKA73" s="421" t="n"/>
      <c r="RKB73" s="421" t="n"/>
      <c r="RKC73" s="421" t="n"/>
      <c r="RKD73" s="421" t="n"/>
      <c r="RKE73" s="421" t="n"/>
      <c r="RKF73" s="421" t="n"/>
      <c r="RKG73" s="421" t="n"/>
      <c r="RKH73" s="421" t="n"/>
      <c r="RKI73" s="421" t="n"/>
      <c r="RKJ73" s="421" t="n"/>
      <c r="RKK73" s="421" t="n"/>
      <c r="RKL73" s="421" t="n"/>
      <c r="RKM73" s="421" t="n"/>
      <c r="RKN73" s="421" t="n"/>
      <c r="RKO73" s="421" t="n"/>
      <c r="RKP73" s="421" t="n"/>
      <c r="RKQ73" s="421" t="n"/>
      <c r="RKR73" s="421" t="n"/>
      <c r="RKS73" s="421" t="n"/>
      <c r="RKT73" s="421" t="n"/>
      <c r="RKU73" s="421" t="n"/>
      <c r="RKV73" s="421" t="n"/>
      <c r="RKW73" s="421" t="n"/>
      <c r="RKX73" s="421" t="n"/>
      <c r="RKY73" s="421" t="n"/>
      <c r="RKZ73" s="421" t="n"/>
      <c r="RLA73" s="421" t="n"/>
      <c r="RLB73" s="421" t="n"/>
      <c r="RLC73" s="421" t="n"/>
      <c r="RLD73" s="421" t="n"/>
      <c r="RLE73" s="421" t="n"/>
      <c r="RLF73" s="421" t="n"/>
      <c r="RLG73" s="421" t="n"/>
      <c r="RLH73" s="421" t="n"/>
      <c r="RLI73" s="421" t="n"/>
      <c r="RLJ73" s="421" t="n"/>
      <c r="RLK73" s="421" t="n"/>
      <c r="RLL73" s="421" t="n"/>
      <c r="RLM73" s="421" t="n"/>
      <c r="RLN73" s="421" t="n"/>
      <c r="RLO73" s="421" t="n"/>
      <c r="RLP73" s="421" t="n"/>
      <c r="RLQ73" s="421" t="n"/>
      <c r="RLR73" s="421" t="n"/>
      <c r="RLS73" s="421" t="n"/>
      <c r="RLT73" s="421" t="n"/>
      <c r="RLU73" s="421" t="n"/>
      <c r="RLV73" s="421" t="n"/>
      <c r="RLW73" s="421" t="n"/>
      <c r="RLX73" s="421" t="n"/>
      <c r="RLY73" s="421" t="n"/>
      <c r="RLZ73" s="421" t="n"/>
      <c r="RMA73" s="421" t="n"/>
      <c r="RMB73" s="421" t="n"/>
      <c r="RMC73" s="421" t="n"/>
      <c r="RMD73" s="421" t="n"/>
      <c r="RME73" s="421" t="n"/>
      <c r="RMF73" s="421" t="n"/>
      <c r="RMG73" s="421" t="n"/>
      <c r="RMH73" s="421" t="n"/>
      <c r="RMI73" s="421" t="n"/>
      <c r="RMJ73" s="421" t="n"/>
      <c r="RMK73" s="421" t="n"/>
      <c r="RML73" s="421" t="n"/>
      <c r="RMM73" s="421" t="n"/>
      <c r="RMN73" s="421" t="n"/>
      <c r="RMO73" s="421" t="n"/>
      <c r="RMP73" s="421" t="n"/>
      <c r="RMQ73" s="421" t="n"/>
      <c r="RMR73" s="421" t="n"/>
      <c r="RMS73" s="421" t="n"/>
      <c r="RMT73" s="421" t="n"/>
      <c r="RMU73" s="421" t="n"/>
      <c r="RMV73" s="421" t="n"/>
      <c r="RMW73" s="421" t="n"/>
      <c r="RMX73" s="421" t="n"/>
      <c r="RMY73" s="421" t="n"/>
      <c r="RMZ73" s="421" t="n"/>
      <c r="RNA73" s="421" t="n"/>
      <c r="RNB73" s="421" t="n"/>
      <c r="RNC73" s="421" t="n"/>
      <c r="RND73" s="421" t="n"/>
      <c r="RNE73" s="421" t="n"/>
      <c r="RNF73" s="421" t="n"/>
      <c r="RNG73" s="421" t="n"/>
      <c r="RNH73" s="421" t="n"/>
      <c r="RNI73" s="421" t="n"/>
      <c r="RNJ73" s="421" t="n"/>
      <c r="RNK73" s="421" t="n"/>
      <c r="RNL73" s="421" t="n"/>
      <c r="RNM73" s="421" t="n"/>
      <c r="RNN73" s="421" t="n"/>
      <c r="RNO73" s="421" t="n"/>
      <c r="RNP73" s="421" t="n"/>
      <c r="RNQ73" s="421" t="n"/>
      <c r="RNR73" s="421" t="n"/>
      <c r="RNS73" s="421" t="n"/>
      <c r="RNT73" s="421" t="n"/>
      <c r="RNU73" s="421" t="n"/>
      <c r="RNV73" s="421" t="n"/>
      <c r="RNW73" s="421" t="n"/>
      <c r="RNX73" s="421" t="n"/>
      <c r="RNY73" s="421" t="n"/>
      <c r="RNZ73" s="421" t="n"/>
      <c r="ROA73" s="421" t="n"/>
      <c r="ROB73" s="421" t="n"/>
      <c r="ROC73" s="421" t="n"/>
      <c r="ROD73" s="421" t="n"/>
      <c r="ROE73" s="421" t="n"/>
      <c r="ROF73" s="421" t="n"/>
      <c r="ROG73" s="421" t="n"/>
      <c r="ROH73" s="421" t="n"/>
      <c r="ROI73" s="421" t="n"/>
      <c r="ROJ73" s="421" t="n"/>
      <c r="ROK73" s="421" t="n"/>
      <c r="ROL73" s="421" t="n"/>
      <c r="ROM73" s="421" t="n"/>
      <c r="RON73" s="421" t="n"/>
      <c r="ROO73" s="421" t="n"/>
      <c r="ROP73" s="421" t="n"/>
      <c r="ROQ73" s="421" t="n"/>
      <c r="ROR73" s="421" t="n"/>
      <c r="ROS73" s="421" t="n"/>
      <c r="ROT73" s="421" t="n"/>
      <c r="ROU73" s="421" t="n"/>
      <c r="ROV73" s="421" t="n"/>
      <c r="ROW73" s="421" t="n"/>
      <c r="ROX73" s="421" t="n"/>
      <c r="ROY73" s="421" t="n"/>
      <c r="ROZ73" s="421" t="n"/>
      <c r="RPA73" s="421" t="n"/>
      <c r="RPB73" s="421" t="n"/>
      <c r="RPC73" s="421" t="n"/>
      <c r="RPD73" s="421" t="n"/>
      <c r="RPE73" s="421" t="n"/>
      <c r="RPF73" s="421" t="n"/>
      <c r="RPG73" s="421" t="n"/>
      <c r="RPH73" s="421" t="n"/>
      <c r="RPI73" s="421" t="n"/>
      <c r="RPJ73" s="421" t="n"/>
      <c r="RPK73" s="421" t="n"/>
      <c r="RPL73" s="421" t="n"/>
      <c r="RPM73" s="421" t="n"/>
      <c r="RPN73" s="421" t="n"/>
      <c r="RPO73" s="421" t="n"/>
      <c r="RPP73" s="421" t="n"/>
      <c r="RPQ73" s="421" t="n"/>
      <c r="RPR73" s="421" t="n"/>
      <c r="RPS73" s="421" t="n"/>
      <c r="RPT73" s="421" t="n"/>
      <c r="RPU73" s="421" t="n"/>
      <c r="RPV73" s="421" t="n"/>
      <c r="RPW73" s="421" t="n"/>
      <c r="RPX73" s="421" t="n"/>
      <c r="RPY73" s="421" t="n"/>
      <c r="RPZ73" s="421" t="n"/>
      <c r="RQA73" s="421" t="n"/>
      <c r="RQB73" s="421" t="n"/>
      <c r="RQC73" s="421" t="n"/>
      <c r="RQD73" s="421" t="n"/>
      <c r="RQE73" s="421" t="n"/>
      <c r="RQF73" s="421" t="n"/>
      <c r="RQG73" s="421" t="n"/>
      <c r="RQH73" s="421" t="n"/>
      <c r="RQI73" s="421" t="n"/>
      <c r="RQJ73" s="421" t="n"/>
      <c r="RQK73" s="421" t="n"/>
      <c r="RQL73" s="421" t="n"/>
      <c r="RQM73" s="421" t="n"/>
      <c r="RQN73" s="421" t="n"/>
      <c r="RQO73" s="421" t="n"/>
      <c r="RQP73" s="421" t="n"/>
      <c r="RQQ73" s="421" t="n"/>
      <c r="RQR73" s="421" t="n"/>
      <c r="RQS73" s="421" t="n"/>
      <c r="RQT73" s="421" t="n"/>
      <c r="RQU73" s="421" t="n"/>
      <c r="RQV73" s="421" t="n"/>
      <c r="RQW73" s="421" t="n"/>
      <c r="RQX73" s="421" t="n"/>
      <c r="RQY73" s="421" t="n"/>
      <c r="RQZ73" s="421" t="n"/>
      <c r="RRA73" s="421" t="n"/>
      <c r="RRB73" s="421" t="n"/>
      <c r="RRC73" s="421" t="n"/>
      <c r="RRD73" s="421" t="n"/>
      <c r="RRE73" s="421" t="n"/>
      <c r="RRF73" s="421" t="n"/>
      <c r="RRG73" s="421" t="n"/>
      <c r="RRH73" s="421" t="n"/>
      <c r="RRI73" s="421" t="n"/>
      <c r="RRJ73" s="421" t="n"/>
      <c r="RRK73" s="421" t="n"/>
      <c r="RRL73" s="421" t="n"/>
      <c r="RRM73" s="421" t="n"/>
      <c r="RRN73" s="421" t="n"/>
      <c r="RRO73" s="421" t="n"/>
      <c r="RRP73" s="421" t="n"/>
      <c r="RRQ73" s="421" t="n"/>
      <c r="RRR73" s="421" t="n"/>
      <c r="RRS73" s="421" t="n"/>
      <c r="RRT73" s="421" t="n"/>
      <c r="RRU73" s="421" t="n"/>
      <c r="RRV73" s="421" t="n"/>
      <c r="RRW73" s="421" t="n"/>
      <c r="RRX73" s="421" t="n"/>
      <c r="RRY73" s="421" t="n"/>
      <c r="RRZ73" s="421" t="n"/>
      <c r="RSA73" s="421" t="n"/>
      <c r="RSB73" s="421" t="n"/>
      <c r="RSC73" s="421" t="n"/>
      <c r="RSD73" s="421" t="n"/>
      <c r="RSE73" s="421" t="n"/>
      <c r="RSF73" s="421" t="n"/>
      <c r="RSG73" s="421" t="n"/>
      <c r="RSH73" s="421" t="n"/>
      <c r="RSI73" s="421" t="n"/>
      <c r="RSJ73" s="421" t="n"/>
      <c r="RSK73" s="421" t="n"/>
      <c r="RSL73" s="421" t="n"/>
      <c r="RSM73" s="421" t="n"/>
      <c r="RSN73" s="421" t="n"/>
      <c r="RSO73" s="421" t="n"/>
      <c r="RSP73" s="421" t="n"/>
      <c r="RSQ73" s="421" t="n"/>
      <c r="RSR73" s="421" t="n"/>
      <c r="RSS73" s="421" t="n"/>
      <c r="RST73" s="421" t="n"/>
      <c r="RSU73" s="421" t="n"/>
      <c r="RSV73" s="421" t="n"/>
      <c r="RSW73" s="421" t="n"/>
      <c r="RSX73" s="421" t="n"/>
      <c r="RSY73" s="421" t="n"/>
      <c r="RSZ73" s="421" t="n"/>
      <c r="RTA73" s="421" t="n"/>
      <c r="RTB73" s="421" t="n"/>
      <c r="RTC73" s="421" t="n"/>
      <c r="RTD73" s="421" t="n"/>
      <c r="RTE73" s="421" t="n"/>
      <c r="RTF73" s="421" t="n"/>
      <c r="RTG73" s="421" t="n"/>
      <c r="RTH73" s="421" t="n"/>
      <c r="RTI73" s="421" t="n"/>
      <c r="RTJ73" s="421" t="n"/>
      <c r="RTK73" s="421" t="n"/>
      <c r="RTL73" s="421" t="n"/>
      <c r="RTM73" s="421" t="n"/>
      <c r="RTN73" s="421" t="n"/>
      <c r="RTO73" s="421" t="n"/>
      <c r="RTP73" s="421" t="n"/>
      <c r="RTQ73" s="421" t="n"/>
      <c r="RTR73" s="421" t="n"/>
      <c r="RTS73" s="421" t="n"/>
      <c r="RTT73" s="421" t="n"/>
      <c r="RTU73" s="421" t="n"/>
      <c r="RTV73" s="421" t="n"/>
      <c r="RTW73" s="421" t="n"/>
      <c r="RTX73" s="421" t="n"/>
      <c r="RTY73" s="421" t="n"/>
      <c r="RTZ73" s="421" t="n"/>
      <c r="RUA73" s="421" t="n"/>
      <c r="RUB73" s="421" t="n"/>
      <c r="RUC73" s="421" t="n"/>
      <c r="RUD73" s="421" t="n"/>
      <c r="RUE73" s="421" t="n"/>
      <c r="RUF73" s="421" t="n"/>
      <c r="RUG73" s="421" t="n"/>
      <c r="RUH73" s="421" t="n"/>
      <c r="RUI73" s="421" t="n"/>
      <c r="RUJ73" s="421" t="n"/>
      <c r="RUK73" s="421" t="n"/>
      <c r="RUL73" s="421" t="n"/>
      <c r="RUM73" s="421" t="n"/>
      <c r="RUN73" s="421" t="n"/>
      <c r="RUO73" s="421" t="n"/>
      <c r="RUP73" s="421" t="n"/>
      <c r="RUQ73" s="421" t="n"/>
      <c r="RUR73" s="421" t="n"/>
      <c r="RUS73" s="421" t="n"/>
      <c r="RUT73" s="421" t="n"/>
      <c r="RUU73" s="421" t="n"/>
      <c r="RUV73" s="421" t="n"/>
      <c r="RUW73" s="421" t="n"/>
      <c r="RUX73" s="421" t="n"/>
      <c r="RUY73" s="421" t="n"/>
      <c r="RUZ73" s="421" t="n"/>
      <c r="RVA73" s="421" t="n"/>
      <c r="RVB73" s="421" t="n"/>
      <c r="RVC73" s="421" t="n"/>
      <c r="RVD73" s="421" t="n"/>
      <c r="RVE73" s="421" t="n"/>
      <c r="RVF73" s="421" t="n"/>
      <c r="RVG73" s="421" t="n"/>
      <c r="RVH73" s="421" t="n"/>
      <c r="RVI73" s="421" t="n"/>
      <c r="RVJ73" s="421" t="n"/>
      <c r="RVK73" s="421" t="n"/>
      <c r="RVL73" s="421" t="n"/>
      <c r="RVM73" s="421" t="n"/>
      <c r="RVN73" s="421" t="n"/>
      <c r="RVO73" s="421" t="n"/>
      <c r="RVP73" s="421" t="n"/>
      <c r="RVQ73" s="421" t="n"/>
      <c r="RVR73" s="421" t="n"/>
      <c r="RVS73" s="421" t="n"/>
      <c r="RVT73" s="421" t="n"/>
      <c r="RVU73" s="421" t="n"/>
      <c r="RVV73" s="421" t="n"/>
      <c r="RVW73" s="421" t="n"/>
      <c r="RVX73" s="421" t="n"/>
      <c r="RVY73" s="421" t="n"/>
      <c r="RVZ73" s="421" t="n"/>
      <c r="RWA73" s="421" t="n"/>
      <c r="RWB73" s="421" t="n"/>
      <c r="RWC73" s="421" t="n"/>
      <c r="RWD73" s="421" t="n"/>
      <c r="RWE73" s="421" t="n"/>
      <c r="RWF73" s="421" t="n"/>
      <c r="RWG73" s="421" t="n"/>
      <c r="RWH73" s="421" t="n"/>
      <c r="RWI73" s="421" t="n"/>
      <c r="RWJ73" s="421" t="n"/>
      <c r="RWK73" s="421" t="n"/>
      <c r="RWL73" s="421" t="n"/>
      <c r="RWM73" s="421" t="n"/>
      <c r="RWN73" s="421" t="n"/>
      <c r="RWO73" s="421" t="n"/>
      <c r="RWP73" s="421" t="n"/>
      <c r="RWQ73" s="421" t="n"/>
      <c r="RWR73" s="421" t="n"/>
      <c r="RWS73" s="421" t="n"/>
      <c r="RWT73" s="421" t="n"/>
      <c r="RWU73" s="421" t="n"/>
      <c r="RWV73" s="421" t="n"/>
      <c r="RWW73" s="421" t="n"/>
      <c r="RWX73" s="421" t="n"/>
      <c r="RWY73" s="421" t="n"/>
      <c r="RWZ73" s="421" t="n"/>
      <c r="RXA73" s="421" t="n"/>
      <c r="RXB73" s="421" t="n"/>
      <c r="RXC73" s="421" t="n"/>
      <c r="RXD73" s="421" t="n"/>
      <c r="RXE73" s="421" t="n"/>
      <c r="RXF73" s="421" t="n"/>
      <c r="RXG73" s="421" t="n"/>
      <c r="RXH73" s="421" t="n"/>
      <c r="RXI73" s="421" t="n"/>
      <c r="RXJ73" s="421" t="n"/>
      <c r="RXK73" s="421" t="n"/>
      <c r="RXL73" s="421" t="n"/>
      <c r="RXM73" s="421" t="n"/>
      <c r="RXN73" s="421" t="n"/>
      <c r="RXO73" s="421" t="n"/>
      <c r="RXP73" s="421" t="n"/>
      <c r="RXQ73" s="421" t="n"/>
      <c r="RXR73" s="421" t="n"/>
      <c r="RXS73" s="421" t="n"/>
      <c r="RXT73" s="421" t="n"/>
      <c r="RXU73" s="421" t="n"/>
      <c r="RXV73" s="421" t="n"/>
      <c r="RXW73" s="421" t="n"/>
      <c r="RXX73" s="421" t="n"/>
      <c r="RXY73" s="421" t="n"/>
      <c r="RXZ73" s="421" t="n"/>
      <c r="RYA73" s="421" t="n"/>
      <c r="RYB73" s="421" t="n"/>
      <c r="RYC73" s="421" t="n"/>
      <c r="RYD73" s="421" t="n"/>
      <c r="RYE73" s="421" t="n"/>
      <c r="RYF73" s="421" t="n"/>
      <c r="RYG73" s="421" t="n"/>
      <c r="RYH73" s="421" t="n"/>
      <c r="RYI73" s="421" t="n"/>
      <c r="RYJ73" s="421" t="n"/>
      <c r="RYK73" s="421" t="n"/>
      <c r="RYL73" s="421" t="n"/>
      <c r="RYM73" s="421" t="n"/>
      <c r="RYN73" s="421" t="n"/>
      <c r="RYO73" s="421" t="n"/>
      <c r="RYP73" s="421" t="n"/>
      <c r="RYQ73" s="421" t="n"/>
      <c r="RYR73" s="421" t="n"/>
      <c r="RYS73" s="421" t="n"/>
      <c r="RYT73" s="421" t="n"/>
      <c r="RYU73" s="421" t="n"/>
      <c r="RYV73" s="421" t="n"/>
      <c r="RYW73" s="421" t="n"/>
      <c r="RYX73" s="421" t="n"/>
      <c r="RYY73" s="421" t="n"/>
      <c r="RYZ73" s="421" t="n"/>
      <c r="RZA73" s="421" t="n"/>
      <c r="RZB73" s="421" t="n"/>
      <c r="RZC73" s="421" t="n"/>
      <c r="RZD73" s="421" t="n"/>
      <c r="RZE73" s="421" t="n"/>
      <c r="RZF73" s="421" t="n"/>
      <c r="RZG73" s="421" t="n"/>
      <c r="RZH73" s="421" t="n"/>
      <c r="RZI73" s="421" t="n"/>
      <c r="RZJ73" s="421" t="n"/>
      <c r="RZK73" s="421" t="n"/>
      <c r="RZL73" s="421" t="n"/>
      <c r="RZM73" s="421" t="n"/>
      <c r="RZN73" s="421" t="n"/>
      <c r="RZO73" s="421" t="n"/>
      <c r="RZP73" s="421" t="n"/>
      <c r="RZQ73" s="421" t="n"/>
      <c r="RZR73" s="421" t="n"/>
      <c r="RZS73" s="421" t="n"/>
      <c r="RZT73" s="421" t="n"/>
      <c r="RZU73" s="421" t="n"/>
      <c r="RZV73" s="421" t="n"/>
      <c r="RZW73" s="421" t="n"/>
      <c r="RZX73" s="421" t="n"/>
      <c r="RZY73" s="421" t="n"/>
      <c r="RZZ73" s="421" t="n"/>
      <c r="SAA73" s="421" t="n"/>
      <c r="SAB73" s="421" t="n"/>
      <c r="SAC73" s="421" t="n"/>
      <c r="SAD73" s="421" t="n"/>
      <c r="SAE73" s="421" t="n"/>
      <c r="SAF73" s="421" t="n"/>
      <c r="SAG73" s="421" t="n"/>
      <c r="SAH73" s="421" t="n"/>
      <c r="SAI73" s="421" t="n"/>
      <c r="SAJ73" s="421" t="n"/>
      <c r="SAK73" s="421" t="n"/>
      <c r="SAL73" s="421" t="n"/>
      <c r="SAM73" s="421" t="n"/>
      <c r="SAN73" s="421" t="n"/>
      <c r="SAO73" s="421" t="n"/>
      <c r="SAP73" s="421" t="n"/>
      <c r="SAQ73" s="421" t="n"/>
      <c r="SAR73" s="421" t="n"/>
      <c r="SAS73" s="421" t="n"/>
      <c r="SAT73" s="421" t="n"/>
      <c r="SAU73" s="421" t="n"/>
      <c r="SAV73" s="421" t="n"/>
      <c r="SAW73" s="421" t="n"/>
      <c r="SAX73" s="421" t="n"/>
      <c r="SAY73" s="421" t="n"/>
      <c r="SAZ73" s="421" t="n"/>
      <c r="SBA73" s="421" t="n"/>
      <c r="SBB73" s="421" t="n"/>
      <c r="SBC73" s="421" t="n"/>
      <c r="SBD73" s="421" t="n"/>
      <c r="SBE73" s="421" t="n"/>
      <c r="SBF73" s="421" t="n"/>
      <c r="SBG73" s="421" t="n"/>
      <c r="SBH73" s="421" t="n"/>
      <c r="SBI73" s="421" t="n"/>
      <c r="SBJ73" s="421" t="n"/>
      <c r="SBK73" s="421" t="n"/>
      <c r="SBL73" s="421" t="n"/>
      <c r="SBM73" s="421" t="n"/>
      <c r="SBN73" s="421" t="n"/>
      <c r="SBO73" s="421" t="n"/>
      <c r="SBP73" s="421" t="n"/>
      <c r="SBQ73" s="421" t="n"/>
      <c r="SBR73" s="421" t="n"/>
      <c r="SBS73" s="421" t="n"/>
      <c r="SBT73" s="421" t="n"/>
      <c r="SBU73" s="421" t="n"/>
      <c r="SBV73" s="421" t="n"/>
      <c r="SBW73" s="421" t="n"/>
      <c r="SBX73" s="421" t="n"/>
      <c r="SBY73" s="421" t="n"/>
      <c r="SBZ73" s="421" t="n"/>
      <c r="SCA73" s="421" t="n"/>
      <c r="SCB73" s="421" t="n"/>
      <c r="SCC73" s="421" t="n"/>
      <c r="SCD73" s="421" t="n"/>
      <c r="SCE73" s="421" t="n"/>
      <c r="SCF73" s="421" t="n"/>
      <c r="SCG73" s="421" t="n"/>
      <c r="SCH73" s="421" t="n"/>
      <c r="SCI73" s="421" t="n"/>
      <c r="SCJ73" s="421" t="n"/>
      <c r="SCK73" s="421" t="n"/>
      <c r="SCL73" s="421" t="n"/>
      <c r="SCM73" s="421" t="n"/>
      <c r="SCN73" s="421" t="n"/>
      <c r="SCO73" s="421" t="n"/>
      <c r="SCP73" s="421" t="n"/>
      <c r="SCQ73" s="421" t="n"/>
      <c r="SCR73" s="421" t="n"/>
      <c r="SCS73" s="421" t="n"/>
      <c r="SCT73" s="421" t="n"/>
      <c r="SCU73" s="421" t="n"/>
      <c r="SCV73" s="421" t="n"/>
      <c r="SCW73" s="421" t="n"/>
      <c r="SCX73" s="421" t="n"/>
      <c r="SCY73" s="421" t="n"/>
      <c r="SCZ73" s="421" t="n"/>
      <c r="SDA73" s="421" t="n"/>
      <c r="SDB73" s="421" t="n"/>
      <c r="SDC73" s="421" t="n"/>
      <c r="SDD73" s="421" t="n"/>
      <c r="SDE73" s="421" t="n"/>
      <c r="SDF73" s="421" t="n"/>
      <c r="SDG73" s="421" t="n"/>
      <c r="SDH73" s="421" t="n"/>
      <c r="SDI73" s="421" t="n"/>
      <c r="SDJ73" s="421" t="n"/>
      <c r="SDK73" s="421" t="n"/>
      <c r="SDL73" s="421" t="n"/>
      <c r="SDM73" s="421" t="n"/>
      <c r="SDN73" s="421" t="n"/>
      <c r="SDO73" s="421" t="n"/>
      <c r="SDP73" s="421" t="n"/>
      <c r="SDQ73" s="421" t="n"/>
      <c r="SDR73" s="421" t="n"/>
      <c r="SDS73" s="421" t="n"/>
      <c r="SDT73" s="421" t="n"/>
      <c r="SDU73" s="421" t="n"/>
      <c r="SDV73" s="421" t="n"/>
      <c r="SDW73" s="421" t="n"/>
      <c r="SDX73" s="421" t="n"/>
      <c r="SDY73" s="421" t="n"/>
      <c r="SDZ73" s="421" t="n"/>
      <c r="SEA73" s="421" t="n"/>
      <c r="SEB73" s="421" t="n"/>
      <c r="SEC73" s="421" t="n"/>
      <c r="SED73" s="421" t="n"/>
      <c r="SEE73" s="421" t="n"/>
      <c r="SEF73" s="421" t="n"/>
      <c r="SEG73" s="421" t="n"/>
      <c r="SEH73" s="421" t="n"/>
      <c r="SEI73" s="421" t="n"/>
      <c r="SEJ73" s="421" t="n"/>
      <c r="SEK73" s="421" t="n"/>
      <c r="SEL73" s="421" t="n"/>
      <c r="SEM73" s="421" t="n"/>
      <c r="SEN73" s="421" t="n"/>
      <c r="SEO73" s="421" t="n"/>
      <c r="SEP73" s="421" t="n"/>
      <c r="SEQ73" s="421" t="n"/>
      <c r="SER73" s="421" t="n"/>
      <c r="SES73" s="421" t="n"/>
      <c r="SET73" s="421" t="n"/>
      <c r="SEU73" s="421" t="n"/>
      <c r="SEV73" s="421" t="n"/>
      <c r="SEW73" s="421" t="n"/>
      <c r="SEX73" s="421" t="n"/>
      <c r="SEY73" s="421" t="n"/>
      <c r="SEZ73" s="421" t="n"/>
      <c r="SFA73" s="421" t="n"/>
      <c r="SFB73" s="421" t="n"/>
      <c r="SFC73" s="421" t="n"/>
      <c r="SFD73" s="421" t="n"/>
      <c r="SFE73" s="421" t="n"/>
      <c r="SFF73" s="421" t="n"/>
      <c r="SFG73" s="421" t="n"/>
      <c r="SFH73" s="421" t="n"/>
      <c r="SFI73" s="421" t="n"/>
      <c r="SFJ73" s="421" t="n"/>
      <c r="SFK73" s="421" t="n"/>
      <c r="SFL73" s="421" t="n"/>
      <c r="SFM73" s="421" t="n"/>
      <c r="SFN73" s="421" t="n"/>
      <c r="SFO73" s="421" t="n"/>
      <c r="SFP73" s="421" t="n"/>
      <c r="SFQ73" s="421" t="n"/>
      <c r="SFR73" s="421" t="n"/>
      <c r="SFS73" s="421" t="n"/>
      <c r="SFT73" s="421" t="n"/>
      <c r="SFU73" s="421" t="n"/>
      <c r="SFV73" s="421" t="n"/>
      <c r="SFW73" s="421" t="n"/>
      <c r="SFX73" s="421" t="n"/>
      <c r="SFY73" s="421" t="n"/>
      <c r="SFZ73" s="421" t="n"/>
      <c r="SGA73" s="421" t="n"/>
      <c r="SGB73" s="421" t="n"/>
      <c r="SGC73" s="421" t="n"/>
      <c r="SGD73" s="421" t="n"/>
      <c r="SGE73" s="421" t="n"/>
      <c r="SGF73" s="421" t="n"/>
      <c r="SGG73" s="421" t="n"/>
      <c r="SGH73" s="421" t="n"/>
      <c r="SGI73" s="421" t="n"/>
      <c r="SGJ73" s="421" t="n"/>
      <c r="SGK73" s="421" t="n"/>
      <c r="SGL73" s="421" t="n"/>
      <c r="SGM73" s="421" t="n"/>
      <c r="SGN73" s="421" t="n"/>
      <c r="SGO73" s="421" t="n"/>
      <c r="SGP73" s="421" t="n"/>
      <c r="SGQ73" s="421" t="n"/>
      <c r="SGR73" s="421" t="n"/>
      <c r="SGS73" s="421" t="n"/>
      <c r="SGT73" s="421" t="n"/>
      <c r="SGU73" s="421" t="n"/>
      <c r="SGV73" s="421" t="n"/>
      <c r="SGW73" s="421" t="n"/>
      <c r="SGX73" s="421" t="n"/>
      <c r="SGY73" s="421" t="n"/>
      <c r="SGZ73" s="421" t="n"/>
      <c r="SHA73" s="421" t="n"/>
      <c r="SHB73" s="421" t="n"/>
      <c r="SHC73" s="421" t="n"/>
      <c r="SHD73" s="421" t="n"/>
      <c r="SHE73" s="421" t="n"/>
      <c r="SHF73" s="421" t="n"/>
      <c r="SHG73" s="421" t="n"/>
      <c r="SHH73" s="421" t="n"/>
      <c r="SHI73" s="421" t="n"/>
      <c r="SHJ73" s="421" t="n"/>
      <c r="SHK73" s="421" t="n"/>
      <c r="SHL73" s="421" t="n"/>
      <c r="SHM73" s="421" t="n"/>
      <c r="SHN73" s="421" t="n"/>
      <c r="SHO73" s="421" t="n"/>
      <c r="SHP73" s="421" t="n"/>
      <c r="SHQ73" s="421" t="n"/>
      <c r="SHR73" s="421" t="n"/>
      <c r="SHS73" s="421" t="n"/>
      <c r="SHT73" s="421" t="n"/>
      <c r="SHU73" s="421" t="n"/>
      <c r="SHV73" s="421" t="n"/>
      <c r="SHW73" s="421" t="n"/>
      <c r="SHX73" s="421" t="n"/>
      <c r="SHY73" s="421" t="n"/>
      <c r="SHZ73" s="421" t="n"/>
      <c r="SIA73" s="421" t="n"/>
      <c r="SIB73" s="421" t="n"/>
      <c r="SIC73" s="421" t="n"/>
      <c r="SID73" s="421" t="n"/>
      <c r="SIE73" s="421" t="n"/>
      <c r="SIF73" s="421" t="n"/>
      <c r="SIG73" s="421" t="n"/>
      <c r="SIH73" s="421" t="n"/>
      <c r="SII73" s="421" t="n"/>
      <c r="SIJ73" s="421" t="n"/>
      <c r="SIK73" s="421" t="n"/>
      <c r="SIL73" s="421" t="n"/>
      <c r="SIM73" s="421" t="n"/>
      <c r="SIN73" s="421" t="n"/>
      <c r="SIO73" s="421" t="n"/>
      <c r="SIP73" s="421" t="n"/>
      <c r="SIQ73" s="421" t="n"/>
      <c r="SIR73" s="421" t="n"/>
      <c r="SIS73" s="421" t="n"/>
      <c r="SIT73" s="421" t="n"/>
      <c r="SIU73" s="421" t="n"/>
      <c r="SIV73" s="421" t="n"/>
      <c r="SIW73" s="421" t="n"/>
      <c r="SIX73" s="421" t="n"/>
      <c r="SIY73" s="421" t="n"/>
      <c r="SIZ73" s="421" t="n"/>
      <c r="SJA73" s="421" t="n"/>
      <c r="SJB73" s="421" t="n"/>
      <c r="SJC73" s="421" t="n"/>
      <c r="SJD73" s="421" t="n"/>
      <c r="SJE73" s="421" t="n"/>
      <c r="SJF73" s="421" t="n"/>
      <c r="SJG73" s="421" t="n"/>
      <c r="SJH73" s="421" t="n"/>
      <c r="SJI73" s="421" t="n"/>
      <c r="SJJ73" s="421" t="n"/>
      <c r="SJK73" s="421" t="n"/>
      <c r="SJL73" s="421" t="n"/>
      <c r="SJM73" s="421" t="n"/>
      <c r="SJN73" s="421" t="n"/>
      <c r="SJO73" s="421" t="n"/>
      <c r="SJP73" s="421" t="n"/>
      <c r="SJQ73" s="421" t="n"/>
      <c r="SJR73" s="421" t="n"/>
      <c r="SJS73" s="421" t="n"/>
      <c r="SJT73" s="421" t="n"/>
      <c r="SJU73" s="421" t="n"/>
      <c r="SJV73" s="421" t="n"/>
      <c r="SJW73" s="421" t="n"/>
      <c r="SJX73" s="421" t="n"/>
      <c r="SJY73" s="421" t="n"/>
      <c r="SJZ73" s="421" t="n"/>
      <c r="SKA73" s="421" t="n"/>
      <c r="SKB73" s="421" t="n"/>
      <c r="SKC73" s="421" t="n"/>
      <c r="SKD73" s="421" t="n"/>
      <c r="SKE73" s="421" t="n"/>
      <c r="SKF73" s="421" t="n"/>
      <c r="SKG73" s="421" t="n"/>
      <c r="SKH73" s="421" t="n"/>
      <c r="SKI73" s="421" t="n"/>
      <c r="SKJ73" s="421" t="n"/>
      <c r="SKK73" s="421" t="n"/>
      <c r="SKL73" s="421" t="n"/>
      <c r="SKM73" s="421" t="n"/>
      <c r="SKN73" s="421" t="n"/>
      <c r="SKO73" s="421" t="n"/>
      <c r="SKP73" s="421" t="n"/>
      <c r="SKQ73" s="421" t="n"/>
      <c r="SKR73" s="421" t="n"/>
      <c r="SKS73" s="421" t="n"/>
      <c r="SKT73" s="421" t="n"/>
      <c r="SKU73" s="421" t="n"/>
      <c r="SKV73" s="421" t="n"/>
      <c r="SKW73" s="421" t="n"/>
      <c r="SKX73" s="421" t="n"/>
      <c r="SKY73" s="421" t="n"/>
      <c r="SKZ73" s="421" t="n"/>
      <c r="SLA73" s="421" t="n"/>
      <c r="SLB73" s="421" t="n"/>
      <c r="SLC73" s="421" t="n"/>
      <c r="SLD73" s="421" t="n"/>
      <c r="SLE73" s="421" t="n"/>
      <c r="SLF73" s="421" t="n"/>
      <c r="SLG73" s="421" t="n"/>
      <c r="SLH73" s="421" t="n"/>
      <c r="SLI73" s="421" t="n"/>
      <c r="SLJ73" s="421" t="n"/>
      <c r="SLK73" s="421" t="n"/>
      <c r="SLL73" s="421" t="n"/>
      <c r="SLM73" s="421" t="n"/>
      <c r="SLN73" s="421" t="n"/>
      <c r="SLO73" s="421" t="n"/>
      <c r="SLP73" s="421" t="n"/>
      <c r="SLQ73" s="421" t="n"/>
      <c r="SLR73" s="421" t="n"/>
      <c r="SLS73" s="421" t="n"/>
      <c r="SLT73" s="421" t="n"/>
      <c r="SLU73" s="421" t="n"/>
      <c r="SLV73" s="421" t="n"/>
      <c r="SLW73" s="421" t="n"/>
      <c r="SLX73" s="421" t="n"/>
      <c r="SLY73" s="421" t="n"/>
      <c r="SLZ73" s="421" t="n"/>
      <c r="SMA73" s="421" t="n"/>
      <c r="SMB73" s="421" t="n"/>
      <c r="SMC73" s="421" t="n"/>
      <c r="SMD73" s="421" t="n"/>
      <c r="SME73" s="421" t="n"/>
      <c r="SMF73" s="421" t="n"/>
      <c r="SMG73" s="421" t="n"/>
      <c r="SMH73" s="421" t="n"/>
      <c r="SMI73" s="421" t="n"/>
      <c r="SMJ73" s="421" t="n"/>
      <c r="SMK73" s="421" t="n"/>
      <c r="SML73" s="421" t="n"/>
      <c r="SMM73" s="421" t="n"/>
      <c r="SMN73" s="421" t="n"/>
      <c r="SMO73" s="421" t="n"/>
      <c r="SMP73" s="421" t="n"/>
      <c r="SMQ73" s="421" t="n"/>
      <c r="SMR73" s="421" t="n"/>
      <c r="SMS73" s="421" t="n"/>
      <c r="SMT73" s="421" t="n"/>
      <c r="SMU73" s="421" t="n"/>
      <c r="SMV73" s="421" t="n"/>
      <c r="SMW73" s="421" t="n"/>
      <c r="SMX73" s="421" t="n"/>
      <c r="SMY73" s="421" t="n"/>
      <c r="SMZ73" s="421" t="n"/>
      <c r="SNA73" s="421" t="n"/>
      <c r="SNB73" s="421" t="n"/>
      <c r="SNC73" s="421" t="n"/>
      <c r="SND73" s="421" t="n"/>
      <c r="SNE73" s="421" t="n"/>
      <c r="SNF73" s="421" t="n"/>
      <c r="SNG73" s="421" t="n"/>
      <c r="SNH73" s="421" t="n"/>
      <c r="SNI73" s="421" t="n"/>
      <c r="SNJ73" s="421" t="n"/>
      <c r="SNK73" s="421" t="n"/>
      <c r="SNL73" s="421" t="n"/>
      <c r="SNM73" s="421" t="n"/>
      <c r="SNN73" s="421" t="n"/>
      <c r="SNO73" s="421" t="n"/>
      <c r="SNP73" s="421" t="n"/>
      <c r="SNQ73" s="421" t="n"/>
      <c r="SNR73" s="421" t="n"/>
      <c r="SNS73" s="421" t="n"/>
      <c r="SNT73" s="421" t="n"/>
      <c r="SNU73" s="421" t="n"/>
      <c r="SNV73" s="421" t="n"/>
      <c r="SNW73" s="421" t="n"/>
      <c r="SNX73" s="421" t="n"/>
      <c r="SNY73" s="421" t="n"/>
      <c r="SNZ73" s="421" t="n"/>
      <c r="SOA73" s="421" t="n"/>
      <c r="SOB73" s="421" t="n"/>
      <c r="SOC73" s="421" t="n"/>
      <c r="SOD73" s="421" t="n"/>
      <c r="SOE73" s="421" t="n"/>
      <c r="SOF73" s="421" t="n"/>
      <c r="SOG73" s="421" t="n"/>
      <c r="SOH73" s="421" t="n"/>
      <c r="SOI73" s="421" t="n"/>
      <c r="SOJ73" s="421" t="n"/>
      <c r="SOK73" s="421" t="n"/>
      <c r="SOL73" s="421" t="n"/>
      <c r="SOM73" s="421" t="n"/>
      <c r="SON73" s="421" t="n"/>
      <c r="SOO73" s="421" t="n"/>
      <c r="SOP73" s="421" t="n"/>
      <c r="SOQ73" s="421" t="n"/>
      <c r="SOR73" s="421" t="n"/>
      <c r="SOS73" s="421" t="n"/>
      <c r="SOT73" s="421" t="n"/>
      <c r="SOU73" s="421" t="n"/>
      <c r="SOV73" s="421" t="n"/>
      <c r="SOW73" s="421" t="n"/>
      <c r="SOX73" s="421" t="n"/>
      <c r="SOY73" s="421" t="n"/>
      <c r="SOZ73" s="421" t="n"/>
      <c r="SPA73" s="421" t="n"/>
      <c r="SPB73" s="421" t="n"/>
      <c r="SPC73" s="421" t="n"/>
      <c r="SPD73" s="421" t="n"/>
      <c r="SPE73" s="421" t="n"/>
      <c r="SPF73" s="421" t="n"/>
      <c r="SPG73" s="421" t="n"/>
      <c r="SPH73" s="421" t="n"/>
      <c r="SPI73" s="421" t="n"/>
      <c r="SPJ73" s="421" t="n"/>
      <c r="SPK73" s="421" t="n"/>
      <c r="SPL73" s="421" t="n"/>
      <c r="SPM73" s="421" t="n"/>
      <c r="SPN73" s="421" t="n"/>
      <c r="SPO73" s="421" t="n"/>
      <c r="SPP73" s="421" t="n"/>
      <c r="SPQ73" s="421" t="n"/>
      <c r="SPR73" s="421" t="n"/>
      <c r="SPS73" s="421" t="n"/>
      <c r="SPT73" s="421" t="n"/>
      <c r="SPU73" s="421" t="n"/>
      <c r="SPV73" s="421" t="n"/>
      <c r="SPW73" s="421" t="n"/>
      <c r="SPX73" s="421" t="n"/>
      <c r="SPY73" s="421" t="n"/>
      <c r="SPZ73" s="421" t="n"/>
      <c r="SQA73" s="421" t="n"/>
      <c r="SQB73" s="421" t="n"/>
      <c r="SQC73" s="421" t="n"/>
      <c r="SQD73" s="421" t="n"/>
      <c r="SQE73" s="421" t="n"/>
      <c r="SQF73" s="421" t="n"/>
      <c r="SQG73" s="421" t="n"/>
      <c r="SQH73" s="421" t="n"/>
      <c r="SQI73" s="421" t="n"/>
      <c r="SQJ73" s="421" t="n"/>
      <c r="SQK73" s="421" t="n"/>
      <c r="SQL73" s="421" t="n"/>
      <c r="SQM73" s="421" t="n"/>
      <c r="SQN73" s="421" t="n"/>
      <c r="SQO73" s="421" t="n"/>
      <c r="SQP73" s="421" t="n"/>
      <c r="SQQ73" s="421" t="n"/>
      <c r="SQR73" s="421" t="n"/>
      <c r="SQS73" s="421" t="n"/>
      <c r="SQT73" s="421" t="n"/>
      <c r="SQU73" s="421" t="n"/>
      <c r="SQV73" s="421" t="n"/>
      <c r="SQW73" s="421" t="n"/>
      <c r="SQX73" s="421" t="n"/>
      <c r="SQY73" s="421" t="n"/>
      <c r="SQZ73" s="421" t="n"/>
      <c r="SRA73" s="421" t="n"/>
      <c r="SRB73" s="421" t="n"/>
      <c r="SRC73" s="421" t="n"/>
      <c r="SRD73" s="421" t="n"/>
      <c r="SRE73" s="421" t="n"/>
      <c r="SRF73" s="421" t="n"/>
      <c r="SRG73" s="421" t="n"/>
      <c r="SRH73" s="421" t="n"/>
      <c r="SRI73" s="421" t="n"/>
      <c r="SRJ73" s="421" t="n"/>
      <c r="SRK73" s="421" t="n"/>
      <c r="SRL73" s="421" t="n"/>
      <c r="SRM73" s="421" t="n"/>
      <c r="SRN73" s="421" t="n"/>
      <c r="SRO73" s="421" t="n"/>
      <c r="SRP73" s="421" t="n"/>
      <c r="SRQ73" s="421" t="n"/>
      <c r="SRR73" s="421" t="n"/>
      <c r="SRS73" s="421" t="n"/>
      <c r="SRT73" s="421" t="n"/>
      <c r="SRU73" s="421" t="n"/>
      <c r="SRV73" s="421" t="n"/>
      <c r="SRW73" s="421" t="n"/>
      <c r="SRX73" s="421" t="n"/>
      <c r="SRY73" s="421" t="n"/>
      <c r="SRZ73" s="421" t="n"/>
      <c r="SSA73" s="421" t="n"/>
      <c r="SSB73" s="421" t="n"/>
      <c r="SSC73" s="421" t="n"/>
      <c r="SSD73" s="421" t="n"/>
      <c r="SSE73" s="421" t="n"/>
      <c r="SSF73" s="421" t="n"/>
      <c r="SSG73" s="421" t="n"/>
      <c r="SSH73" s="421" t="n"/>
      <c r="SSI73" s="421" t="n"/>
      <c r="SSJ73" s="421" t="n"/>
      <c r="SSK73" s="421" t="n"/>
      <c r="SSL73" s="421" t="n"/>
      <c r="SSM73" s="421" t="n"/>
      <c r="SSN73" s="421" t="n"/>
      <c r="SSO73" s="421" t="n"/>
      <c r="SSP73" s="421" t="n"/>
      <c r="SSQ73" s="421" t="n"/>
      <c r="SSR73" s="421" t="n"/>
      <c r="SSS73" s="421" t="n"/>
      <c r="SST73" s="421" t="n"/>
      <c r="SSU73" s="421" t="n"/>
      <c r="SSV73" s="421" t="n"/>
      <c r="SSW73" s="421" t="n"/>
      <c r="SSX73" s="421" t="n"/>
      <c r="SSY73" s="421" t="n"/>
      <c r="SSZ73" s="421" t="n"/>
      <c r="STA73" s="421" t="n"/>
      <c r="STB73" s="421" t="n"/>
      <c r="STC73" s="421" t="n"/>
      <c r="STD73" s="421" t="n"/>
      <c r="STE73" s="421" t="n"/>
      <c r="STF73" s="421" t="n"/>
      <c r="STG73" s="421" t="n"/>
      <c r="STH73" s="421" t="n"/>
      <c r="STI73" s="421" t="n"/>
      <c r="STJ73" s="421" t="n"/>
      <c r="STK73" s="421" t="n"/>
      <c r="STL73" s="421" t="n"/>
      <c r="STM73" s="421" t="n"/>
      <c r="STN73" s="421" t="n"/>
      <c r="STO73" s="421" t="n"/>
      <c r="STP73" s="421" t="n"/>
      <c r="STQ73" s="421" t="n"/>
      <c r="STR73" s="421" t="n"/>
      <c r="STS73" s="421" t="n"/>
      <c r="STT73" s="421" t="n"/>
      <c r="STU73" s="421" t="n"/>
      <c r="STV73" s="421" t="n"/>
      <c r="STW73" s="421" t="n"/>
      <c r="STX73" s="421" t="n"/>
      <c r="STY73" s="421" t="n"/>
      <c r="STZ73" s="421" t="n"/>
      <c r="SUA73" s="421" t="n"/>
      <c r="SUB73" s="421" t="n"/>
      <c r="SUC73" s="421" t="n"/>
      <c r="SUD73" s="421" t="n"/>
      <c r="SUE73" s="421" t="n"/>
      <c r="SUF73" s="421" t="n"/>
      <c r="SUG73" s="421" t="n"/>
      <c r="SUH73" s="421" t="n"/>
      <c r="SUI73" s="421" t="n"/>
      <c r="SUJ73" s="421" t="n"/>
      <c r="SUK73" s="421" t="n"/>
      <c r="SUL73" s="421" t="n"/>
      <c r="SUM73" s="421" t="n"/>
      <c r="SUN73" s="421" t="n"/>
      <c r="SUO73" s="421" t="n"/>
      <c r="SUP73" s="421" t="n"/>
      <c r="SUQ73" s="421" t="n"/>
      <c r="SUR73" s="421" t="n"/>
      <c r="SUS73" s="421" t="n"/>
      <c r="SUT73" s="421" t="n"/>
      <c r="SUU73" s="421" t="n"/>
      <c r="SUV73" s="421" t="n"/>
      <c r="SUW73" s="421" t="n"/>
      <c r="SUX73" s="421" t="n"/>
      <c r="SUY73" s="421" t="n"/>
      <c r="SUZ73" s="421" t="n"/>
      <c r="SVA73" s="421" t="n"/>
      <c r="SVB73" s="421" t="n"/>
      <c r="SVC73" s="421" t="n"/>
      <c r="SVD73" s="421" t="n"/>
      <c r="SVE73" s="421" t="n"/>
      <c r="SVF73" s="421" t="n"/>
      <c r="SVG73" s="421" t="n"/>
      <c r="SVH73" s="421" t="n"/>
      <c r="SVI73" s="421" t="n"/>
      <c r="SVJ73" s="421" t="n"/>
      <c r="SVK73" s="421" t="n"/>
      <c r="SVL73" s="421" t="n"/>
      <c r="SVM73" s="421" t="n"/>
      <c r="SVN73" s="421" t="n"/>
      <c r="SVO73" s="421" t="n"/>
      <c r="SVP73" s="421" t="n"/>
      <c r="SVQ73" s="421" t="n"/>
      <c r="SVR73" s="421" t="n"/>
      <c r="SVS73" s="421" t="n"/>
      <c r="SVT73" s="421" t="n"/>
      <c r="SVU73" s="421" t="n"/>
      <c r="SVV73" s="421" t="n"/>
      <c r="SVW73" s="421" t="n"/>
      <c r="SVX73" s="421" t="n"/>
      <c r="SVY73" s="421" t="n"/>
      <c r="SVZ73" s="421" t="n"/>
      <c r="SWA73" s="421" t="n"/>
      <c r="SWB73" s="421" t="n"/>
      <c r="SWC73" s="421" t="n"/>
      <c r="SWD73" s="421" t="n"/>
      <c r="SWE73" s="421" t="n"/>
      <c r="SWF73" s="421" t="n"/>
      <c r="SWG73" s="421" t="n"/>
      <c r="SWH73" s="421" t="n"/>
      <c r="SWI73" s="421" t="n"/>
      <c r="SWJ73" s="421" t="n"/>
      <c r="SWK73" s="421" t="n"/>
      <c r="SWL73" s="421" t="n"/>
      <c r="SWM73" s="421" t="n"/>
      <c r="SWN73" s="421" t="n"/>
      <c r="SWO73" s="421" t="n"/>
      <c r="SWP73" s="421" t="n"/>
      <c r="SWQ73" s="421" t="n"/>
      <c r="SWR73" s="421" t="n"/>
      <c r="SWS73" s="421" t="n"/>
      <c r="SWT73" s="421" t="n"/>
      <c r="SWU73" s="421" t="n"/>
      <c r="SWV73" s="421" t="n"/>
      <c r="SWW73" s="421" t="n"/>
      <c r="SWX73" s="421" t="n"/>
      <c r="SWY73" s="421" t="n"/>
      <c r="SWZ73" s="421" t="n"/>
      <c r="SXA73" s="421" t="n"/>
      <c r="SXB73" s="421" t="n"/>
      <c r="SXC73" s="421" t="n"/>
      <c r="SXD73" s="421" t="n"/>
      <c r="SXE73" s="421" t="n"/>
      <c r="SXF73" s="421" t="n"/>
      <c r="SXG73" s="421" t="n"/>
      <c r="SXH73" s="421" t="n"/>
      <c r="SXI73" s="421" t="n"/>
      <c r="SXJ73" s="421" t="n"/>
      <c r="SXK73" s="421" t="n"/>
      <c r="SXL73" s="421" t="n"/>
      <c r="SXM73" s="421" t="n"/>
      <c r="SXN73" s="421" t="n"/>
      <c r="SXO73" s="421" t="n"/>
      <c r="SXP73" s="421" t="n"/>
      <c r="SXQ73" s="421" t="n"/>
      <c r="SXR73" s="421" t="n"/>
      <c r="SXS73" s="421" t="n"/>
      <c r="SXT73" s="421" t="n"/>
      <c r="SXU73" s="421" t="n"/>
      <c r="SXV73" s="421" t="n"/>
      <c r="SXW73" s="421" t="n"/>
      <c r="SXX73" s="421" t="n"/>
      <c r="SXY73" s="421" t="n"/>
      <c r="SXZ73" s="421" t="n"/>
      <c r="SYA73" s="421" t="n"/>
      <c r="SYB73" s="421" t="n"/>
      <c r="SYC73" s="421" t="n"/>
      <c r="SYD73" s="421" t="n"/>
      <c r="SYE73" s="421" t="n"/>
      <c r="SYF73" s="421" t="n"/>
      <c r="SYG73" s="421" t="n"/>
      <c r="SYH73" s="421" t="n"/>
      <c r="SYI73" s="421" t="n"/>
      <c r="SYJ73" s="421" t="n"/>
      <c r="SYK73" s="421" t="n"/>
      <c r="SYL73" s="421" t="n"/>
      <c r="SYM73" s="421" t="n"/>
      <c r="SYN73" s="421" t="n"/>
      <c r="SYO73" s="421" t="n"/>
      <c r="SYP73" s="421" t="n"/>
      <c r="SYQ73" s="421" t="n"/>
      <c r="SYR73" s="421" t="n"/>
      <c r="SYS73" s="421" t="n"/>
      <c r="SYT73" s="421" t="n"/>
      <c r="SYU73" s="421" t="n"/>
      <c r="SYV73" s="421" t="n"/>
      <c r="SYW73" s="421" t="n"/>
      <c r="SYX73" s="421" t="n"/>
      <c r="SYY73" s="421" t="n"/>
      <c r="SYZ73" s="421" t="n"/>
      <c r="SZA73" s="421" t="n"/>
      <c r="SZB73" s="421" t="n"/>
      <c r="SZC73" s="421" t="n"/>
      <c r="SZD73" s="421" t="n"/>
      <c r="SZE73" s="421" t="n"/>
      <c r="SZF73" s="421" t="n"/>
      <c r="SZG73" s="421" t="n"/>
      <c r="SZH73" s="421" t="n"/>
      <c r="SZI73" s="421" t="n"/>
      <c r="SZJ73" s="421" t="n"/>
      <c r="SZK73" s="421" t="n"/>
      <c r="SZL73" s="421" t="n"/>
      <c r="SZM73" s="421" t="n"/>
      <c r="SZN73" s="421" t="n"/>
      <c r="SZO73" s="421" t="n"/>
      <c r="SZP73" s="421" t="n"/>
      <c r="SZQ73" s="421" t="n"/>
      <c r="SZR73" s="421" t="n"/>
      <c r="SZS73" s="421" t="n"/>
      <c r="SZT73" s="421" t="n"/>
      <c r="SZU73" s="421" t="n"/>
      <c r="SZV73" s="421" t="n"/>
      <c r="SZW73" s="421" t="n"/>
      <c r="SZX73" s="421" t="n"/>
      <c r="SZY73" s="421" t="n"/>
      <c r="SZZ73" s="421" t="n"/>
      <c r="TAA73" s="421" t="n"/>
      <c r="TAB73" s="421" t="n"/>
      <c r="TAC73" s="421" t="n"/>
      <c r="TAD73" s="421" t="n"/>
      <c r="TAE73" s="421" t="n"/>
      <c r="TAF73" s="421" t="n"/>
      <c r="TAG73" s="421" t="n"/>
      <c r="TAH73" s="421" t="n"/>
      <c r="TAI73" s="421" t="n"/>
      <c r="TAJ73" s="421" t="n"/>
      <c r="TAK73" s="421" t="n"/>
      <c r="TAL73" s="421" t="n"/>
      <c r="TAM73" s="421" t="n"/>
      <c r="TAN73" s="421" t="n"/>
      <c r="TAO73" s="421" t="n"/>
      <c r="TAP73" s="421" t="n"/>
      <c r="TAQ73" s="421" t="n"/>
      <c r="TAR73" s="421" t="n"/>
      <c r="TAS73" s="421" t="n"/>
      <c r="TAT73" s="421" t="n"/>
      <c r="TAU73" s="421" t="n"/>
      <c r="TAV73" s="421" t="n"/>
      <c r="TAW73" s="421" t="n"/>
      <c r="TAX73" s="421" t="n"/>
      <c r="TAY73" s="421" t="n"/>
      <c r="TAZ73" s="421" t="n"/>
      <c r="TBA73" s="421" t="n"/>
      <c r="TBB73" s="421" t="n"/>
      <c r="TBC73" s="421" t="n"/>
      <c r="TBD73" s="421" t="n"/>
      <c r="TBE73" s="421" t="n"/>
      <c r="TBF73" s="421" t="n"/>
      <c r="TBG73" s="421" t="n"/>
      <c r="TBH73" s="421" t="n"/>
      <c r="TBI73" s="421" t="n"/>
      <c r="TBJ73" s="421" t="n"/>
      <c r="TBK73" s="421" t="n"/>
      <c r="TBL73" s="421" t="n"/>
      <c r="TBM73" s="421" t="n"/>
      <c r="TBN73" s="421" t="n"/>
      <c r="TBO73" s="421" t="n"/>
      <c r="TBP73" s="421" t="n"/>
      <c r="TBQ73" s="421" t="n"/>
      <c r="TBR73" s="421" t="n"/>
      <c r="TBS73" s="421" t="n"/>
      <c r="TBT73" s="421" t="n"/>
      <c r="TBU73" s="421" t="n"/>
      <c r="TBV73" s="421" t="n"/>
      <c r="TBW73" s="421" t="n"/>
      <c r="TBX73" s="421" t="n"/>
      <c r="TBY73" s="421" t="n"/>
      <c r="TBZ73" s="421" t="n"/>
      <c r="TCA73" s="421" t="n"/>
      <c r="TCB73" s="421" t="n"/>
      <c r="TCC73" s="421" t="n"/>
      <c r="TCD73" s="421" t="n"/>
      <c r="TCE73" s="421" t="n"/>
      <c r="TCF73" s="421" t="n"/>
      <c r="TCG73" s="421" t="n"/>
      <c r="TCH73" s="421" t="n"/>
      <c r="TCI73" s="421" t="n"/>
      <c r="TCJ73" s="421" t="n"/>
      <c r="TCK73" s="421" t="n"/>
      <c r="TCL73" s="421" t="n"/>
      <c r="TCM73" s="421" t="n"/>
      <c r="TCN73" s="421" t="n"/>
      <c r="TCO73" s="421" t="n"/>
      <c r="TCP73" s="421" t="n"/>
      <c r="TCQ73" s="421" t="n"/>
      <c r="TCR73" s="421" t="n"/>
      <c r="TCS73" s="421" t="n"/>
      <c r="TCT73" s="421" t="n"/>
      <c r="TCU73" s="421" t="n"/>
      <c r="TCV73" s="421" t="n"/>
      <c r="TCW73" s="421" t="n"/>
      <c r="TCX73" s="421" t="n"/>
      <c r="TCY73" s="421" t="n"/>
      <c r="TCZ73" s="421" t="n"/>
      <c r="TDA73" s="421" t="n"/>
      <c r="TDB73" s="421" t="n"/>
      <c r="TDC73" s="421" t="n"/>
      <c r="TDD73" s="421" t="n"/>
      <c r="TDE73" s="421" t="n"/>
      <c r="TDF73" s="421" t="n"/>
      <c r="TDG73" s="421" t="n"/>
      <c r="TDH73" s="421" t="n"/>
      <c r="TDI73" s="421" t="n"/>
      <c r="TDJ73" s="421" t="n"/>
      <c r="TDK73" s="421" t="n"/>
      <c r="TDL73" s="421" t="n"/>
      <c r="TDM73" s="421" t="n"/>
      <c r="TDN73" s="421" t="n"/>
      <c r="TDO73" s="421" t="n"/>
      <c r="TDP73" s="421" t="n"/>
      <c r="TDQ73" s="421" t="n"/>
      <c r="TDR73" s="421" t="n"/>
      <c r="TDS73" s="421" t="n"/>
      <c r="TDT73" s="421" t="n"/>
      <c r="TDU73" s="421" t="n"/>
      <c r="TDV73" s="421" t="n"/>
      <c r="TDW73" s="421" t="n"/>
      <c r="TDX73" s="421" t="n"/>
      <c r="TDY73" s="421" t="n"/>
      <c r="TDZ73" s="421" t="n"/>
      <c r="TEA73" s="421" t="n"/>
      <c r="TEB73" s="421" t="n"/>
      <c r="TEC73" s="421" t="n"/>
      <c r="TED73" s="421" t="n"/>
      <c r="TEE73" s="421" t="n"/>
      <c r="TEF73" s="421" t="n"/>
      <c r="TEG73" s="421" t="n"/>
      <c r="TEH73" s="421" t="n"/>
      <c r="TEI73" s="421" t="n"/>
      <c r="TEJ73" s="421" t="n"/>
      <c r="TEK73" s="421" t="n"/>
      <c r="TEL73" s="421" t="n"/>
      <c r="TEM73" s="421" t="n"/>
      <c r="TEN73" s="421" t="n"/>
      <c r="TEO73" s="421" t="n"/>
      <c r="TEP73" s="421" t="n"/>
      <c r="TEQ73" s="421" t="n"/>
      <c r="TER73" s="421" t="n"/>
      <c r="TES73" s="421" t="n"/>
      <c r="TET73" s="421" t="n"/>
      <c r="TEU73" s="421" t="n"/>
      <c r="TEV73" s="421" t="n"/>
      <c r="TEW73" s="421" t="n"/>
      <c r="TEX73" s="421" t="n"/>
      <c r="TEY73" s="421" t="n"/>
      <c r="TEZ73" s="421" t="n"/>
      <c r="TFA73" s="421" t="n"/>
      <c r="TFB73" s="421" t="n"/>
      <c r="TFC73" s="421" t="n"/>
      <c r="TFD73" s="421" t="n"/>
      <c r="TFE73" s="421" t="n"/>
      <c r="TFF73" s="421" t="n"/>
      <c r="TFG73" s="421" t="n"/>
      <c r="TFH73" s="421" t="n"/>
      <c r="TFI73" s="421" t="n"/>
      <c r="TFJ73" s="421" t="n"/>
      <c r="TFK73" s="421" t="n"/>
      <c r="TFL73" s="421" t="n"/>
      <c r="TFM73" s="421" t="n"/>
      <c r="TFN73" s="421" t="n"/>
      <c r="TFO73" s="421" t="n"/>
      <c r="TFP73" s="421" t="n"/>
      <c r="TFQ73" s="421" t="n"/>
      <c r="TFR73" s="421" t="n"/>
      <c r="TFS73" s="421" t="n"/>
      <c r="TFT73" s="421" t="n"/>
      <c r="TFU73" s="421" t="n"/>
      <c r="TFV73" s="421" t="n"/>
      <c r="TFW73" s="421" t="n"/>
      <c r="TFX73" s="421" t="n"/>
      <c r="TFY73" s="421" t="n"/>
      <c r="TFZ73" s="421" t="n"/>
      <c r="TGA73" s="421" t="n"/>
      <c r="TGB73" s="421" t="n"/>
      <c r="TGC73" s="421" t="n"/>
      <c r="TGD73" s="421" t="n"/>
      <c r="TGE73" s="421" t="n"/>
      <c r="TGF73" s="421" t="n"/>
      <c r="TGG73" s="421" t="n"/>
      <c r="TGH73" s="421" t="n"/>
      <c r="TGI73" s="421" t="n"/>
      <c r="TGJ73" s="421" t="n"/>
      <c r="TGK73" s="421" t="n"/>
      <c r="TGL73" s="421" t="n"/>
      <c r="TGM73" s="421" t="n"/>
      <c r="TGN73" s="421" t="n"/>
      <c r="TGO73" s="421" t="n"/>
      <c r="TGP73" s="421" t="n"/>
      <c r="TGQ73" s="421" t="n"/>
      <c r="TGR73" s="421" t="n"/>
      <c r="TGS73" s="421" t="n"/>
      <c r="TGT73" s="421" t="n"/>
      <c r="TGU73" s="421" t="n"/>
      <c r="TGV73" s="421" t="n"/>
      <c r="TGW73" s="421" t="n"/>
      <c r="TGX73" s="421" t="n"/>
      <c r="TGY73" s="421" t="n"/>
      <c r="TGZ73" s="421" t="n"/>
      <c r="THA73" s="421" t="n"/>
      <c r="THB73" s="421" t="n"/>
      <c r="THC73" s="421" t="n"/>
      <c r="THD73" s="421" t="n"/>
      <c r="THE73" s="421" t="n"/>
      <c r="THF73" s="421" t="n"/>
      <c r="THG73" s="421" t="n"/>
      <c r="THH73" s="421" t="n"/>
      <c r="THI73" s="421" t="n"/>
      <c r="THJ73" s="421" t="n"/>
      <c r="THK73" s="421" t="n"/>
      <c r="THL73" s="421" t="n"/>
      <c r="THM73" s="421" t="n"/>
      <c r="THN73" s="421" t="n"/>
      <c r="THO73" s="421" t="n"/>
      <c r="THP73" s="421" t="n"/>
      <c r="THQ73" s="421" t="n"/>
      <c r="THR73" s="421" t="n"/>
      <c r="THS73" s="421" t="n"/>
      <c r="THT73" s="421" t="n"/>
      <c r="THU73" s="421" t="n"/>
      <c r="THV73" s="421" t="n"/>
      <c r="THW73" s="421" t="n"/>
      <c r="THX73" s="421" t="n"/>
      <c r="THY73" s="421" t="n"/>
      <c r="THZ73" s="421" t="n"/>
      <c r="TIA73" s="421" t="n"/>
      <c r="TIB73" s="421" t="n"/>
      <c r="TIC73" s="421" t="n"/>
      <c r="TID73" s="421" t="n"/>
      <c r="TIE73" s="421" t="n"/>
      <c r="TIF73" s="421" t="n"/>
      <c r="TIG73" s="421" t="n"/>
      <c r="TIH73" s="421" t="n"/>
      <c r="TII73" s="421" t="n"/>
      <c r="TIJ73" s="421" t="n"/>
      <c r="TIK73" s="421" t="n"/>
      <c r="TIL73" s="421" t="n"/>
      <c r="TIM73" s="421" t="n"/>
      <c r="TIN73" s="421" t="n"/>
      <c r="TIO73" s="421" t="n"/>
      <c r="TIP73" s="421" t="n"/>
      <c r="TIQ73" s="421" t="n"/>
      <c r="TIR73" s="421" t="n"/>
      <c r="TIS73" s="421" t="n"/>
      <c r="TIT73" s="421" t="n"/>
      <c r="TIU73" s="421" t="n"/>
      <c r="TIV73" s="421" t="n"/>
      <c r="TIW73" s="421" t="n"/>
      <c r="TIX73" s="421" t="n"/>
      <c r="TIY73" s="421" t="n"/>
      <c r="TIZ73" s="421" t="n"/>
      <c r="TJA73" s="421" t="n"/>
      <c r="TJB73" s="421" t="n"/>
      <c r="TJC73" s="421" t="n"/>
      <c r="TJD73" s="421" t="n"/>
      <c r="TJE73" s="421" t="n"/>
      <c r="TJF73" s="421" t="n"/>
      <c r="TJG73" s="421" t="n"/>
      <c r="TJH73" s="421" t="n"/>
      <c r="TJI73" s="421" t="n"/>
      <c r="TJJ73" s="421" t="n"/>
      <c r="TJK73" s="421" t="n"/>
      <c r="TJL73" s="421" t="n"/>
      <c r="TJM73" s="421" t="n"/>
      <c r="TJN73" s="421" t="n"/>
      <c r="TJO73" s="421" t="n"/>
      <c r="TJP73" s="421" t="n"/>
      <c r="TJQ73" s="421" t="n"/>
      <c r="TJR73" s="421" t="n"/>
      <c r="TJS73" s="421" t="n"/>
      <c r="TJT73" s="421" t="n"/>
      <c r="TJU73" s="421" t="n"/>
      <c r="TJV73" s="421" t="n"/>
      <c r="TJW73" s="421" t="n"/>
      <c r="TJX73" s="421" t="n"/>
      <c r="TJY73" s="421" t="n"/>
      <c r="TJZ73" s="421" t="n"/>
      <c r="TKA73" s="421" t="n"/>
      <c r="TKB73" s="421" t="n"/>
      <c r="TKC73" s="421" t="n"/>
      <c r="TKD73" s="421" t="n"/>
      <c r="TKE73" s="421" t="n"/>
      <c r="TKF73" s="421" t="n"/>
      <c r="TKG73" s="421" t="n"/>
      <c r="TKH73" s="421" t="n"/>
      <c r="TKI73" s="421" t="n"/>
      <c r="TKJ73" s="421" t="n"/>
      <c r="TKK73" s="421" t="n"/>
      <c r="TKL73" s="421" t="n"/>
      <c r="TKM73" s="421" t="n"/>
      <c r="TKN73" s="421" t="n"/>
      <c r="TKO73" s="421" t="n"/>
      <c r="TKP73" s="421" t="n"/>
      <c r="TKQ73" s="421" t="n"/>
      <c r="TKR73" s="421" t="n"/>
      <c r="TKS73" s="421" t="n"/>
      <c r="TKT73" s="421" t="n"/>
      <c r="TKU73" s="421" t="n"/>
      <c r="TKV73" s="421" t="n"/>
      <c r="TKW73" s="421" t="n"/>
      <c r="TKX73" s="421" t="n"/>
      <c r="TKY73" s="421" t="n"/>
      <c r="TKZ73" s="421" t="n"/>
      <c r="TLA73" s="421" t="n"/>
      <c r="TLB73" s="421" t="n"/>
      <c r="TLC73" s="421" t="n"/>
      <c r="TLD73" s="421" t="n"/>
      <c r="TLE73" s="421" t="n"/>
      <c r="TLF73" s="421" t="n"/>
      <c r="TLG73" s="421" t="n"/>
      <c r="TLH73" s="421" t="n"/>
      <c r="TLI73" s="421" t="n"/>
      <c r="TLJ73" s="421" t="n"/>
      <c r="TLK73" s="421" t="n"/>
      <c r="TLL73" s="421" t="n"/>
      <c r="TLM73" s="421" t="n"/>
      <c r="TLN73" s="421" t="n"/>
      <c r="TLO73" s="421" t="n"/>
      <c r="TLP73" s="421" t="n"/>
      <c r="TLQ73" s="421" t="n"/>
      <c r="TLR73" s="421" t="n"/>
      <c r="TLS73" s="421" t="n"/>
      <c r="TLT73" s="421" t="n"/>
      <c r="TLU73" s="421" t="n"/>
      <c r="TLV73" s="421" t="n"/>
      <c r="TLW73" s="421" t="n"/>
      <c r="TLX73" s="421" t="n"/>
      <c r="TLY73" s="421" t="n"/>
      <c r="TLZ73" s="421" t="n"/>
      <c r="TMA73" s="421" t="n"/>
      <c r="TMB73" s="421" t="n"/>
      <c r="TMC73" s="421" t="n"/>
      <c r="TMD73" s="421" t="n"/>
      <c r="TME73" s="421" t="n"/>
      <c r="TMF73" s="421" t="n"/>
      <c r="TMG73" s="421" t="n"/>
      <c r="TMH73" s="421" t="n"/>
      <c r="TMI73" s="421" t="n"/>
      <c r="TMJ73" s="421" t="n"/>
      <c r="TMK73" s="421" t="n"/>
      <c r="TML73" s="421" t="n"/>
      <c r="TMM73" s="421" t="n"/>
      <c r="TMN73" s="421" t="n"/>
      <c r="TMO73" s="421" t="n"/>
      <c r="TMP73" s="421" t="n"/>
      <c r="TMQ73" s="421" t="n"/>
      <c r="TMR73" s="421" t="n"/>
      <c r="TMS73" s="421" t="n"/>
      <c r="TMT73" s="421" t="n"/>
      <c r="TMU73" s="421" t="n"/>
      <c r="TMV73" s="421" t="n"/>
      <c r="TMW73" s="421" t="n"/>
      <c r="TMX73" s="421" t="n"/>
      <c r="TMY73" s="421" t="n"/>
      <c r="TMZ73" s="421" t="n"/>
      <c r="TNA73" s="421" t="n"/>
      <c r="TNB73" s="421" t="n"/>
      <c r="TNC73" s="421" t="n"/>
      <c r="TND73" s="421" t="n"/>
      <c r="TNE73" s="421" t="n"/>
      <c r="TNF73" s="421" t="n"/>
      <c r="TNG73" s="421" t="n"/>
      <c r="TNH73" s="421" t="n"/>
      <c r="TNI73" s="421" t="n"/>
      <c r="TNJ73" s="421" t="n"/>
      <c r="TNK73" s="421" t="n"/>
      <c r="TNL73" s="421" t="n"/>
      <c r="TNM73" s="421" t="n"/>
      <c r="TNN73" s="421" t="n"/>
      <c r="TNO73" s="421" t="n"/>
      <c r="TNP73" s="421" t="n"/>
      <c r="TNQ73" s="421" t="n"/>
      <c r="TNR73" s="421" t="n"/>
      <c r="TNS73" s="421" t="n"/>
      <c r="TNT73" s="421" t="n"/>
      <c r="TNU73" s="421" t="n"/>
      <c r="TNV73" s="421" t="n"/>
      <c r="TNW73" s="421" t="n"/>
      <c r="TNX73" s="421" t="n"/>
      <c r="TNY73" s="421" t="n"/>
      <c r="TNZ73" s="421" t="n"/>
      <c r="TOA73" s="421" t="n"/>
      <c r="TOB73" s="421" t="n"/>
      <c r="TOC73" s="421" t="n"/>
      <c r="TOD73" s="421" t="n"/>
      <c r="TOE73" s="421" t="n"/>
      <c r="TOF73" s="421" t="n"/>
      <c r="TOG73" s="421" t="n"/>
      <c r="TOH73" s="421" t="n"/>
      <c r="TOI73" s="421" t="n"/>
      <c r="TOJ73" s="421" t="n"/>
      <c r="TOK73" s="421" t="n"/>
      <c r="TOL73" s="421" t="n"/>
      <c r="TOM73" s="421" t="n"/>
      <c r="TON73" s="421" t="n"/>
      <c r="TOO73" s="421" t="n"/>
      <c r="TOP73" s="421" t="n"/>
      <c r="TOQ73" s="421" t="n"/>
      <c r="TOR73" s="421" t="n"/>
      <c r="TOS73" s="421" t="n"/>
      <c r="TOT73" s="421" t="n"/>
      <c r="TOU73" s="421" t="n"/>
      <c r="TOV73" s="421" t="n"/>
      <c r="TOW73" s="421" t="n"/>
      <c r="TOX73" s="421" t="n"/>
      <c r="TOY73" s="421" t="n"/>
      <c r="TOZ73" s="421" t="n"/>
      <c r="TPA73" s="421" t="n"/>
      <c r="TPB73" s="421" t="n"/>
      <c r="TPC73" s="421" t="n"/>
      <c r="TPD73" s="421" t="n"/>
      <c r="TPE73" s="421" t="n"/>
      <c r="TPF73" s="421" t="n"/>
      <c r="TPG73" s="421" t="n"/>
      <c r="TPH73" s="421" t="n"/>
      <c r="TPI73" s="421" t="n"/>
      <c r="TPJ73" s="421" t="n"/>
      <c r="TPK73" s="421" t="n"/>
      <c r="TPL73" s="421" t="n"/>
      <c r="TPM73" s="421" t="n"/>
      <c r="TPN73" s="421" t="n"/>
      <c r="TPO73" s="421" t="n"/>
      <c r="TPP73" s="421" t="n"/>
      <c r="TPQ73" s="421" t="n"/>
      <c r="TPR73" s="421" t="n"/>
      <c r="TPS73" s="421" t="n"/>
      <c r="TPT73" s="421" t="n"/>
      <c r="TPU73" s="421" t="n"/>
      <c r="TPV73" s="421" t="n"/>
      <c r="TPW73" s="421" t="n"/>
      <c r="TPX73" s="421" t="n"/>
      <c r="TPY73" s="421" t="n"/>
      <c r="TPZ73" s="421" t="n"/>
      <c r="TQA73" s="421" t="n"/>
      <c r="TQB73" s="421" t="n"/>
      <c r="TQC73" s="421" t="n"/>
      <c r="TQD73" s="421" t="n"/>
      <c r="TQE73" s="421" t="n"/>
      <c r="TQF73" s="421" t="n"/>
      <c r="TQG73" s="421" t="n"/>
      <c r="TQH73" s="421" t="n"/>
      <c r="TQI73" s="421" t="n"/>
      <c r="TQJ73" s="421" t="n"/>
      <c r="TQK73" s="421" t="n"/>
      <c r="TQL73" s="421" t="n"/>
      <c r="TQM73" s="421" t="n"/>
      <c r="TQN73" s="421" t="n"/>
      <c r="TQO73" s="421" t="n"/>
      <c r="TQP73" s="421" t="n"/>
      <c r="TQQ73" s="421" t="n"/>
      <c r="TQR73" s="421" t="n"/>
      <c r="TQS73" s="421" t="n"/>
      <c r="TQT73" s="421" t="n"/>
      <c r="TQU73" s="421" t="n"/>
      <c r="TQV73" s="421" t="n"/>
      <c r="TQW73" s="421" t="n"/>
      <c r="TQX73" s="421" t="n"/>
      <c r="TQY73" s="421" t="n"/>
      <c r="TQZ73" s="421" t="n"/>
      <c r="TRA73" s="421" t="n"/>
      <c r="TRB73" s="421" t="n"/>
      <c r="TRC73" s="421" t="n"/>
      <c r="TRD73" s="421" t="n"/>
      <c r="TRE73" s="421" t="n"/>
      <c r="TRF73" s="421" t="n"/>
      <c r="TRG73" s="421" t="n"/>
      <c r="TRH73" s="421" t="n"/>
      <c r="TRI73" s="421" t="n"/>
      <c r="TRJ73" s="421" t="n"/>
      <c r="TRK73" s="421" t="n"/>
      <c r="TRL73" s="421" t="n"/>
      <c r="TRM73" s="421" t="n"/>
      <c r="TRN73" s="421" t="n"/>
      <c r="TRO73" s="421" t="n"/>
      <c r="TRP73" s="421" t="n"/>
      <c r="TRQ73" s="421" t="n"/>
      <c r="TRR73" s="421" t="n"/>
      <c r="TRS73" s="421" t="n"/>
      <c r="TRT73" s="421" t="n"/>
      <c r="TRU73" s="421" t="n"/>
      <c r="TRV73" s="421" t="n"/>
      <c r="TRW73" s="421" t="n"/>
      <c r="TRX73" s="421" t="n"/>
      <c r="TRY73" s="421" t="n"/>
      <c r="TRZ73" s="421" t="n"/>
      <c r="TSA73" s="421" t="n"/>
      <c r="TSB73" s="421" t="n"/>
      <c r="TSC73" s="421" t="n"/>
      <c r="TSD73" s="421" t="n"/>
      <c r="TSE73" s="421" t="n"/>
      <c r="TSF73" s="421" t="n"/>
      <c r="TSG73" s="421" t="n"/>
      <c r="TSH73" s="421" t="n"/>
      <c r="TSI73" s="421" t="n"/>
      <c r="TSJ73" s="421" t="n"/>
      <c r="TSK73" s="421" t="n"/>
      <c r="TSL73" s="421" t="n"/>
      <c r="TSM73" s="421" t="n"/>
      <c r="TSN73" s="421" t="n"/>
      <c r="TSO73" s="421" t="n"/>
      <c r="TSP73" s="421" t="n"/>
      <c r="TSQ73" s="421" t="n"/>
      <c r="TSR73" s="421" t="n"/>
      <c r="TSS73" s="421" t="n"/>
      <c r="TST73" s="421" t="n"/>
      <c r="TSU73" s="421" t="n"/>
      <c r="TSV73" s="421" t="n"/>
      <c r="TSW73" s="421" t="n"/>
      <c r="TSX73" s="421" t="n"/>
      <c r="TSY73" s="421" t="n"/>
      <c r="TSZ73" s="421" t="n"/>
      <c r="TTA73" s="421" t="n"/>
      <c r="TTB73" s="421" t="n"/>
      <c r="TTC73" s="421" t="n"/>
      <c r="TTD73" s="421" t="n"/>
      <c r="TTE73" s="421" t="n"/>
      <c r="TTF73" s="421" t="n"/>
      <c r="TTG73" s="421" t="n"/>
      <c r="TTH73" s="421" t="n"/>
      <c r="TTI73" s="421" t="n"/>
      <c r="TTJ73" s="421" t="n"/>
      <c r="TTK73" s="421" t="n"/>
      <c r="TTL73" s="421" t="n"/>
      <c r="TTM73" s="421" t="n"/>
      <c r="TTN73" s="421" t="n"/>
      <c r="TTO73" s="421" t="n"/>
      <c r="TTP73" s="421" t="n"/>
      <c r="TTQ73" s="421" t="n"/>
      <c r="TTR73" s="421" t="n"/>
      <c r="TTS73" s="421" t="n"/>
      <c r="TTT73" s="421" t="n"/>
      <c r="TTU73" s="421" t="n"/>
      <c r="TTV73" s="421" t="n"/>
      <c r="TTW73" s="421" t="n"/>
      <c r="TTX73" s="421" t="n"/>
      <c r="TTY73" s="421" t="n"/>
      <c r="TTZ73" s="421" t="n"/>
      <c r="TUA73" s="421" t="n"/>
      <c r="TUB73" s="421" t="n"/>
      <c r="TUC73" s="421" t="n"/>
      <c r="TUD73" s="421" t="n"/>
      <c r="TUE73" s="421" t="n"/>
      <c r="TUF73" s="421" t="n"/>
      <c r="TUG73" s="421" t="n"/>
      <c r="TUH73" s="421" t="n"/>
      <c r="TUI73" s="421" t="n"/>
      <c r="TUJ73" s="421" t="n"/>
      <c r="TUK73" s="421" t="n"/>
      <c r="TUL73" s="421" t="n"/>
      <c r="TUM73" s="421" t="n"/>
      <c r="TUN73" s="421" t="n"/>
      <c r="TUO73" s="421" t="n"/>
      <c r="TUP73" s="421" t="n"/>
      <c r="TUQ73" s="421" t="n"/>
      <c r="TUR73" s="421" t="n"/>
      <c r="TUS73" s="421" t="n"/>
      <c r="TUT73" s="421" t="n"/>
      <c r="TUU73" s="421" t="n"/>
      <c r="TUV73" s="421" t="n"/>
      <c r="TUW73" s="421" t="n"/>
      <c r="TUX73" s="421" t="n"/>
      <c r="TUY73" s="421" t="n"/>
      <c r="TUZ73" s="421" t="n"/>
      <c r="TVA73" s="421" t="n"/>
      <c r="TVB73" s="421" t="n"/>
      <c r="TVC73" s="421" t="n"/>
      <c r="TVD73" s="421" t="n"/>
      <c r="TVE73" s="421" t="n"/>
      <c r="TVF73" s="421" t="n"/>
      <c r="TVG73" s="421" t="n"/>
      <c r="TVH73" s="421" t="n"/>
      <c r="TVI73" s="421" t="n"/>
      <c r="TVJ73" s="421" t="n"/>
      <c r="TVK73" s="421" t="n"/>
      <c r="TVL73" s="421" t="n"/>
      <c r="TVM73" s="421" t="n"/>
      <c r="TVN73" s="421" t="n"/>
      <c r="TVO73" s="421" t="n"/>
      <c r="TVP73" s="421" t="n"/>
      <c r="TVQ73" s="421" t="n"/>
      <c r="TVR73" s="421" t="n"/>
      <c r="TVS73" s="421" t="n"/>
      <c r="TVT73" s="421" t="n"/>
      <c r="TVU73" s="421" t="n"/>
      <c r="TVV73" s="421" t="n"/>
      <c r="TVW73" s="421" t="n"/>
      <c r="TVX73" s="421" t="n"/>
      <c r="TVY73" s="421" t="n"/>
      <c r="TVZ73" s="421" t="n"/>
      <c r="TWA73" s="421" t="n"/>
      <c r="TWB73" s="421" t="n"/>
      <c r="TWC73" s="421" t="n"/>
      <c r="TWD73" s="421" t="n"/>
      <c r="TWE73" s="421" t="n"/>
      <c r="TWF73" s="421" t="n"/>
      <c r="TWG73" s="421" t="n"/>
      <c r="TWH73" s="421" t="n"/>
      <c r="TWI73" s="421" t="n"/>
      <c r="TWJ73" s="421" t="n"/>
      <c r="TWK73" s="421" t="n"/>
      <c r="TWL73" s="421" t="n"/>
      <c r="TWM73" s="421" t="n"/>
      <c r="TWN73" s="421" t="n"/>
      <c r="TWO73" s="421" t="n"/>
      <c r="TWP73" s="421" t="n"/>
      <c r="TWQ73" s="421" t="n"/>
      <c r="TWR73" s="421" t="n"/>
      <c r="TWS73" s="421" t="n"/>
      <c r="TWT73" s="421" t="n"/>
      <c r="TWU73" s="421" t="n"/>
      <c r="TWV73" s="421" t="n"/>
      <c r="TWW73" s="421" t="n"/>
      <c r="TWX73" s="421" t="n"/>
      <c r="TWY73" s="421" t="n"/>
      <c r="TWZ73" s="421" t="n"/>
      <c r="TXA73" s="421" t="n"/>
      <c r="TXB73" s="421" t="n"/>
      <c r="TXC73" s="421" t="n"/>
      <c r="TXD73" s="421" t="n"/>
      <c r="TXE73" s="421" t="n"/>
      <c r="TXF73" s="421" t="n"/>
      <c r="TXG73" s="421" t="n"/>
      <c r="TXH73" s="421" t="n"/>
      <c r="TXI73" s="421" t="n"/>
      <c r="TXJ73" s="421" t="n"/>
      <c r="TXK73" s="421" t="n"/>
      <c r="TXL73" s="421" t="n"/>
      <c r="TXM73" s="421" t="n"/>
      <c r="TXN73" s="421" t="n"/>
      <c r="TXO73" s="421" t="n"/>
      <c r="TXP73" s="421" t="n"/>
      <c r="TXQ73" s="421" t="n"/>
      <c r="TXR73" s="421" t="n"/>
      <c r="TXS73" s="421" t="n"/>
      <c r="TXT73" s="421" t="n"/>
      <c r="TXU73" s="421" t="n"/>
      <c r="TXV73" s="421" t="n"/>
      <c r="TXW73" s="421" t="n"/>
      <c r="TXX73" s="421" t="n"/>
      <c r="TXY73" s="421" t="n"/>
      <c r="TXZ73" s="421" t="n"/>
      <c r="TYA73" s="421" t="n"/>
      <c r="TYB73" s="421" t="n"/>
      <c r="TYC73" s="421" t="n"/>
      <c r="TYD73" s="421" t="n"/>
      <c r="TYE73" s="421" t="n"/>
      <c r="TYF73" s="421" t="n"/>
      <c r="TYG73" s="421" t="n"/>
      <c r="TYH73" s="421" t="n"/>
      <c r="TYI73" s="421" t="n"/>
      <c r="TYJ73" s="421" t="n"/>
      <c r="TYK73" s="421" t="n"/>
      <c r="TYL73" s="421" t="n"/>
      <c r="TYM73" s="421" t="n"/>
      <c r="TYN73" s="421" t="n"/>
      <c r="TYO73" s="421" t="n"/>
      <c r="TYP73" s="421" t="n"/>
      <c r="TYQ73" s="421" t="n"/>
      <c r="TYR73" s="421" t="n"/>
      <c r="TYS73" s="421" t="n"/>
      <c r="TYT73" s="421" t="n"/>
      <c r="TYU73" s="421" t="n"/>
      <c r="TYV73" s="421" t="n"/>
      <c r="TYW73" s="421" t="n"/>
      <c r="TYX73" s="421" t="n"/>
      <c r="TYY73" s="421" t="n"/>
      <c r="TYZ73" s="421" t="n"/>
      <c r="TZA73" s="421" t="n"/>
      <c r="TZB73" s="421" t="n"/>
      <c r="TZC73" s="421" t="n"/>
      <c r="TZD73" s="421" t="n"/>
      <c r="TZE73" s="421" t="n"/>
      <c r="TZF73" s="421" t="n"/>
      <c r="TZG73" s="421" t="n"/>
      <c r="TZH73" s="421" t="n"/>
      <c r="TZI73" s="421" t="n"/>
      <c r="TZJ73" s="421" t="n"/>
      <c r="TZK73" s="421" t="n"/>
      <c r="TZL73" s="421" t="n"/>
      <c r="TZM73" s="421" t="n"/>
      <c r="TZN73" s="421" t="n"/>
      <c r="TZO73" s="421" t="n"/>
      <c r="TZP73" s="421" t="n"/>
      <c r="TZQ73" s="421" t="n"/>
      <c r="TZR73" s="421" t="n"/>
      <c r="TZS73" s="421" t="n"/>
      <c r="TZT73" s="421" t="n"/>
      <c r="TZU73" s="421" t="n"/>
      <c r="TZV73" s="421" t="n"/>
      <c r="TZW73" s="421" t="n"/>
      <c r="TZX73" s="421" t="n"/>
      <c r="TZY73" s="421" t="n"/>
      <c r="TZZ73" s="421" t="n"/>
      <c r="UAA73" s="421" t="n"/>
      <c r="UAB73" s="421" t="n"/>
      <c r="UAC73" s="421" t="n"/>
      <c r="UAD73" s="421" t="n"/>
      <c r="UAE73" s="421" t="n"/>
      <c r="UAF73" s="421" t="n"/>
      <c r="UAG73" s="421" t="n"/>
      <c r="UAH73" s="421" t="n"/>
      <c r="UAI73" s="421" t="n"/>
      <c r="UAJ73" s="421" t="n"/>
      <c r="UAK73" s="421" t="n"/>
      <c r="UAL73" s="421" t="n"/>
      <c r="UAM73" s="421" t="n"/>
      <c r="UAN73" s="421" t="n"/>
      <c r="UAO73" s="421" t="n"/>
      <c r="UAP73" s="421" t="n"/>
      <c r="UAQ73" s="421" t="n"/>
      <c r="UAR73" s="421" t="n"/>
      <c r="UAS73" s="421" t="n"/>
      <c r="UAT73" s="421" t="n"/>
      <c r="UAU73" s="421" t="n"/>
      <c r="UAV73" s="421" t="n"/>
      <c r="UAW73" s="421" t="n"/>
      <c r="UAX73" s="421" t="n"/>
      <c r="UAY73" s="421" t="n"/>
      <c r="UAZ73" s="421" t="n"/>
      <c r="UBA73" s="421" t="n"/>
      <c r="UBB73" s="421" t="n"/>
      <c r="UBC73" s="421" t="n"/>
      <c r="UBD73" s="421" t="n"/>
      <c r="UBE73" s="421" t="n"/>
      <c r="UBF73" s="421" t="n"/>
      <c r="UBG73" s="421" t="n"/>
      <c r="UBH73" s="421" t="n"/>
      <c r="UBI73" s="421" t="n"/>
      <c r="UBJ73" s="421" t="n"/>
      <c r="UBK73" s="421" t="n"/>
      <c r="UBL73" s="421" t="n"/>
      <c r="UBM73" s="421" t="n"/>
      <c r="UBN73" s="421" t="n"/>
      <c r="UBO73" s="421" t="n"/>
      <c r="UBP73" s="421" t="n"/>
      <c r="UBQ73" s="421" t="n"/>
      <c r="UBR73" s="421" t="n"/>
      <c r="UBS73" s="421" t="n"/>
      <c r="UBT73" s="421" t="n"/>
      <c r="UBU73" s="421" t="n"/>
      <c r="UBV73" s="421" t="n"/>
      <c r="UBW73" s="421" t="n"/>
      <c r="UBX73" s="421" t="n"/>
      <c r="UBY73" s="421" t="n"/>
      <c r="UBZ73" s="421" t="n"/>
      <c r="UCA73" s="421" t="n"/>
      <c r="UCB73" s="421" t="n"/>
      <c r="UCC73" s="421" t="n"/>
      <c r="UCD73" s="421" t="n"/>
      <c r="UCE73" s="421" t="n"/>
      <c r="UCF73" s="421" t="n"/>
      <c r="UCG73" s="421" t="n"/>
      <c r="UCH73" s="421" t="n"/>
      <c r="UCI73" s="421" t="n"/>
      <c r="UCJ73" s="421" t="n"/>
      <c r="UCK73" s="421" t="n"/>
      <c r="UCL73" s="421" t="n"/>
      <c r="UCM73" s="421" t="n"/>
      <c r="UCN73" s="421" t="n"/>
      <c r="UCO73" s="421" t="n"/>
      <c r="UCP73" s="421" t="n"/>
      <c r="UCQ73" s="421" t="n"/>
      <c r="UCR73" s="421" t="n"/>
      <c r="UCS73" s="421" t="n"/>
      <c r="UCT73" s="421" t="n"/>
      <c r="UCU73" s="421" t="n"/>
      <c r="UCV73" s="421" t="n"/>
      <c r="UCW73" s="421" t="n"/>
      <c r="UCX73" s="421" t="n"/>
      <c r="UCY73" s="421" t="n"/>
      <c r="UCZ73" s="421" t="n"/>
      <c r="UDA73" s="421" t="n"/>
      <c r="UDB73" s="421" t="n"/>
      <c r="UDC73" s="421" t="n"/>
      <c r="UDD73" s="421" t="n"/>
      <c r="UDE73" s="421" t="n"/>
      <c r="UDF73" s="421" t="n"/>
      <c r="UDG73" s="421" t="n"/>
      <c r="UDH73" s="421" t="n"/>
      <c r="UDI73" s="421" t="n"/>
      <c r="UDJ73" s="421" t="n"/>
      <c r="UDK73" s="421" t="n"/>
      <c r="UDL73" s="421" t="n"/>
      <c r="UDM73" s="421" t="n"/>
      <c r="UDN73" s="421" t="n"/>
      <c r="UDO73" s="421" t="n"/>
      <c r="UDP73" s="421" t="n"/>
      <c r="UDQ73" s="421" t="n"/>
      <c r="UDR73" s="421" t="n"/>
      <c r="UDS73" s="421" t="n"/>
      <c r="UDT73" s="421" t="n"/>
      <c r="UDU73" s="421" t="n"/>
      <c r="UDV73" s="421" t="n"/>
      <c r="UDW73" s="421" t="n"/>
      <c r="UDX73" s="421" t="n"/>
      <c r="UDY73" s="421" t="n"/>
      <c r="UDZ73" s="421" t="n"/>
      <c r="UEA73" s="421" t="n"/>
      <c r="UEB73" s="421" t="n"/>
      <c r="UEC73" s="421" t="n"/>
      <c r="UED73" s="421" t="n"/>
      <c r="UEE73" s="421" t="n"/>
      <c r="UEF73" s="421" t="n"/>
      <c r="UEG73" s="421" t="n"/>
      <c r="UEH73" s="421" t="n"/>
      <c r="UEI73" s="421" t="n"/>
      <c r="UEJ73" s="421" t="n"/>
      <c r="UEK73" s="421" t="n"/>
      <c r="UEL73" s="421" t="n"/>
      <c r="UEM73" s="421" t="n"/>
      <c r="UEN73" s="421" t="n"/>
      <c r="UEO73" s="421" t="n"/>
      <c r="UEP73" s="421" t="n"/>
      <c r="UEQ73" s="421" t="n"/>
      <c r="UER73" s="421" t="n"/>
      <c r="UES73" s="421" t="n"/>
      <c r="UET73" s="421" t="n"/>
      <c r="UEU73" s="421" t="n"/>
      <c r="UEV73" s="421" t="n"/>
      <c r="UEW73" s="421" t="n"/>
      <c r="UEX73" s="421" t="n"/>
      <c r="UEY73" s="421" t="n"/>
      <c r="UEZ73" s="421" t="n"/>
      <c r="UFA73" s="421" t="n"/>
      <c r="UFB73" s="421" t="n"/>
      <c r="UFC73" s="421" t="n"/>
      <c r="UFD73" s="421" t="n"/>
      <c r="UFE73" s="421" t="n"/>
      <c r="UFF73" s="421" t="n"/>
      <c r="UFG73" s="421" t="n"/>
      <c r="UFH73" s="421" t="n"/>
      <c r="UFI73" s="421" t="n"/>
      <c r="UFJ73" s="421" t="n"/>
      <c r="UFK73" s="421" t="n"/>
      <c r="UFL73" s="421" t="n"/>
      <c r="UFM73" s="421" t="n"/>
      <c r="UFN73" s="421" t="n"/>
      <c r="UFO73" s="421" t="n"/>
      <c r="UFP73" s="421" t="n"/>
      <c r="UFQ73" s="421" t="n"/>
      <c r="UFR73" s="421" t="n"/>
      <c r="UFS73" s="421" t="n"/>
      <c r="UFT73" s="421" t="n"/>
      <c r="UFU73" s="421" t="n"/>
      <c r="UFV73" s="421" t="n"/>
      <c r="UFW73" s="421" t="n"/>
      <c r="UFX73" s="421" t="n"/>
      <c r="UFY73" s="421" t="n"/>
      <c r="UFZ73" s="421" t="n"/>
      <c r="UGA73" s="421" t="n"/>
      <c r="UGB73" s="421" t="n"/>
      <c r="UGC73" s="421" t="n"/>
      <c r="UGD73" s="421" t="n"/>
      <c r="UGE73" s="421" t="n"/>
      <c r="UGF73" s="421" t="n"/>
      <c r="UGG73" s="421" t="n"/>
      <c r="UGH73" s="421" t="n"/>
      <c r="UGI73" s="421" t="n"/>
      <c r="UGJ73" s="421" t="n"/>
      <c r="UGK73" s="421" t="n"/>
      <c r="UGL73" s="421" t="n"/>
      <c r="UGM73" s="421" t="n"/>
      <c r="UGN73" s="421" t="n"/>
      <c r="UGO73" s="421" t="n"/>
      <c r="UGP73" s="421" t="n"/>
      <c r="UGQ73" s="421" t="n"/>
      <c r="UGR73" s="421" t="n"/>
      <c r="UGS73" s="421" t="n"/>
      <c r="UGT73" s="421" t="n"/>
      <c r="UGU73" s="421" t="n"/>
      <c r="UGV73" s="421" t="n"/>
      <c r="UGW73" s="421" t="n"/>
      <c r="UGX73" s="421" t="n"/>
      <c r="UGY73" s="421" t="n"/>
      <c r="UGZ73" s="421" t="n"/>
      <c r="UHA73" s="421" t="n"/>
      <c r="UHB73" s="421" t="n"/>
      <c r="UHC73" s="421" t="n"/>
      <c r="UHD73" s="421" t="n"/>
      <c r="UHE73" s="421" t="n"/>
      <c r="UHF73" s="421" t="n"/>
      <c r="UHG73" s="421" t="n"/>
      <c r="UHH73" s="421" t="n"/>
      <c r="UHI73" s="421" t="n"/>
      <c r="UHJ73" s="421" t="n"/>
      <c r="UHK73" s="421" t="n"/>
      <c r="UHL73" s="421" t="n"/>
      <c r="UHM73" s="421" t="n"/>
      <c r="UHN73" s="421" t="n"/>
      <c r="UHO73" s="421" t="n"/>
      <c r="UHP73" s="421" t="n"/>
      <c r="UHQ73" s="421" t="n"/>
      <c r="UHR73" s="421" t="n"/>
      <c r="UHS73" s="421" t="n"/>
      <c r="UHT73" s="421" t="n"/>
      <c r="UHU73" s="421" t="n"/>
      <c r="UHV73" s="421" t="n"/>
      <c r="UHW73" s="421" t="n"/>
      <c r="UHX73" s="421" t="n"/>
      <c r="UHY73" s="421" t="n"/>
      <c r="UHZ73" s="421" t="n"/>
      <c r="UIA73" s="421" t="n"/>
      <c r="UIB73" s="421" t="n"/>
      <c r="UIC73" s="421" t="n"/>
      <c r="UID73" s="421" t="n"/>
      <c r="UIE73" s="421" t="n"/>
      <c r="UIF73" s="421" t="n"/>
      <c r="UIG73" s="421" t="n"/>
      <c r="UIH73" s="421" t="n"/>
      <c r="UII73" s="421" t="n"/>
      <c r="UIJ73" s="421" t="n"/>
      <c r="UIK73" s="421" t="n"/>
      <c r="UIL73" s="421" t="n"/>
      <c r="UIM73" s="421" t="n"/>
      <c r="UIN73" s="421" t="n"/>
      <c r="UIO73" s="421" t="n"/>
      <c r="UIP73" s="421" t="n"/>
      <c r="UIQ73" s="421" t="n"/>
      <c r="UIR73" s="421" t="n"/>
      <c r="UIS73" s="421" t="n"/>
      <c r="UIT73" s="421" t="n"/>
      <c r="UIU73" s="421" t="n"/>
      <c r="UIV73" s="421" t="n"/>
      <c r="UIW73" s="421" t="n"/>
      <c r="UIX73" s="421" t="n"/>
      <c r="UIY73" s="421" t="n"/>
      <c r="UIZ73" s="421" t="n"/>
      <c r="UJA73" s="421" t="n"/>
      <c r="UJB73" s="421" t="n"/>
      <c r="UJC73" s="421" t="n"/>
      <c r="UJD73" s="421" t="n"/>
      <c r="UJE73" s="421" t="n"/>
      <c r="UJF73" s="421" t="n"/>
      <c r="UJG73" s="421" t="n"/>
      <c r="UJH73" s="421" t="n"/>
      <c r="UJI73" s="421" t="n"/>
      <c r="UJJ73" s="421" t="n"/>
      <c r="UJK73" s="421" t="n"/>
      <c r="UJL73" s="421" t="n"/>
      <c r="UJM73" s="421" t="n"/>
      <c r="UJN73" s="421" t="n"/>
      <c r="UJO73" s="421" t="n"/>
      <c r="UJP73" s="421" t="n"/>
      <c r="UJQ73" s="421" t="n"/>
      <c r="UJR73" s="421" t="n"/>
      <c r="UJS73" s="421" t="n"/>
      <c r="UJT73" s="421" t="n"/>
      <c r="UJU73" s="421" t="n"/>
      <c r="UJV73" s="421" t="n"/>
      <c r="UJW73" s="421" t="n"/>
      <c r="UJX73" s="421" t="n"/>
      <c r="UJY73" s="421" t="n"/>
      <c r="UJZ73" s="421" t="n"/>
      <c r="UKA73" s="421" t="n"/>
      <c r="UKB73" s="421" t="n"/>
      <c r="UKC73" s="421" t="n"/>
      <c r="UKD73" s="421" t="n"/>
      <c r="UKE73" s="421" t="n"/>
      <c r="UKF73" s="421" t="n"/>
      <c r="UKG73" s="421" t="n"/>
      <c r="UKH73" s="421" t="n"/>
      <c r="UKI73" s="421" t="n"/>
      <c r="UKJ73" s="421" t="n"/>
      <c r="UKK73" s="421" t="n"/>
      <c r="UKL73" s="421" t="n"/>
      <c r="UKM73" s="421" t="n"/>
      <c r="UKN73" s="421" t="n"/>
      <c r="UKO73" s="421" t="n"/>
      <c r="UKP73" s="421" t="n"/>
      <c r="UKQ73" s="421" t="n"/>
      <c r="UKR73" s="421" t="n"/>
      <c r="UKS73" s="421" t="n"/>
      <c r="UKT73" s="421" t="n"/>
      <c r="UKU73" s="421" t="n"/>
      <c r="UKV73" s="421" t="n"/>
      <c r="UKW73" s="421" t="n"/>
      <c r="UKX73" s="421" t="n"/>
      <c r="UKY73" s="421" t="n"/>
      <c r="UKZ73" s="421" t="n"/>
      <c r="ULA73" s="421" t="n"/>
      <c r="ULB73" s="421" t="n"/>
      <c r="ULC73" s="421" t="n"/>
      <c r="ULD73" s="421" t="n"/>
      <c r="ULE73" s="421" t="n"/>
      <c r="ULF73" s="421" t="n"/>
      <c r="ULG73" s="421" t="n"/>
      <c r="ULH73" s="421" t="n"/>
      <c r="ULI73" s="421" t="n"/>
      <c r="ULJ73" s="421" t="n"/>
      <c r="ULK73" s="421" t="n"/>
      <c r="ULL73" s="421" t="n"/>
      <c r="ULM73" s="421" t="n"/>
      <c r="ULN73" s="421" t="n"/>
      <c r="ULO73" s="421" t="n"/>
      <c r="ULP73" s="421" t="n"/>
      <c r="ULQ73" s="421" t="n"/>
      <c r="ULR73" s="421" t="n"/>
      <c r="ULS73" s="421" t="n"/>
      <c r="ULT73" s="421" t="n"/>
      <c r="ULU73" s="421" t="n"/>
      <c r="ULV73" s="421" t="n"/>
      <c r="ULW73" s="421" t="n"/>
      <c r="ULX73" s="421" t="n"/>
      <c r="ULY73" s="421" t="n"/>
      <c r="ULZ73" s="421" t="n"/>
      <c r="UMA73" s="421" t="n"/>
      <c r="UMB73" s="421" t="n"/>
      <c r="UMC73" s="421" t="n"/>
      <c r="UMD73" s="421" t="n"/>
      <c r="UME73" s="421" t="n"/>
      <c r="UMF73" s="421" t="n"/>
      <c r="UMG73" s="421" t="n"/>
      <c r="UMH73" s="421" t="n"/>
      <c r="UMI73" s="421" t="n"/>
      <c r="UMJ73" s="421" t="n"/>
      <c r="UMK73" s="421" t="n"/>
      <c r="UML73" s="421" t="n"/>
      <c r="UMM73" s="421" t="n"/>
      <c r="UMN73" s="421" t="n"/>
      <c r="UMO73" s="421" t="n"/>
      <c r="UMP73" s="421" t="n"/>
      <c r="UMQ73" s="421" t="n"/>
      <c r="UMR73" s="421" t="n"/>
      <c r="UMS73" s="421" t="n"/>
      <c r="UMT73" s="421" t="n"/>
      <c r="UMU73" s="421" t="n"/>
      <c r="UMV73" s="421" t="n"/>
      <c r="UMW73" s="421" t="n"/>
      <c r="UMX73" s="421" t="n"/>
      <c r="UMY73" s="421" t="n"/>
      <c r="UMZ73" s="421" t="n"/>
      <c r="UNA73" s="421" t="n"/>
      <c r="UNB73" s="421" t="n"/>
      <c r="UNC73" s="421" t="n"/>
      <c r="UND73" s="421" t="n"/>
      <c r="UNE73" s="421" t="n"/>
      <c r="UNF73" s="421" t="n"/>
      <c r="UNG73" s="421" t="n"/>
      <c r="UNH73" s="421" t="n"/>
      <c r="UNI73" s="421" t="n"/>
      <c r="UNJ73" s="421" t="n"/>
      <c r="UNK73" s="421" t="n"/>
      <c r="UNL73" s="421" t="n"/>
      <c r="UNM73" s="421" t="n"/>
      <c r="UNN73" s="421" t="n"/>
      <c r="UNO73" s="421" t="n"/>
      <c r="UNP73" s="421" t="n"/>
      <c r="UNQ73" s="421" t="n"/>
      <c r="UNR73" s="421" t="n"/>
      <c r="UNS73" s="421" t="n"/>
      <c r="UNT73" s="421" t="n"/>
      <c r="UNU73" s="421" t="n"/>
      <c r="UNV73" s="421" t="n"/>
      <c r="UNW73" s="421" t="n"/>
      <c r="UNX73" s="421" t="n"/>
      <c r="UNY73" s="421" t="n"/>
      <c r="UNZ73" s="421" t="n"/>
      <c r="UOA73" s="421" t="n"/>
      <c r="UOB73" s="421" t="n"/>
      <c r="UOC73" s="421" t="n"/>
      <c r="UOD73" s="421" t="n"/>
      <c r="UOE73" s="421" t="n"/>
      <c r="UOF73" s="421" t="n"/>
      <c r="UOG73" s="421" t="n"/>
      <c r="UOH73" s="421" t="n"/>
      <c r="UOI73" s="421" t="n"/>
      <c r="UOJ73" s="421" t="n"/>
      <c r="UOK73" s="421" t="n"/>
      <c r="UOL73" s="421" t="n"/>
      <c r="UOM73" s="421" t="n"/>
      <c r="UON73" s="421" t="n"/>
      <c r="UOO73" s="421" t="n"/>
      <c r="UOP73" s="421" t="n"/>
      <c r="UOQ73" s="421" t="n"/>
      <c r="UOR73" s="421" t="n"/>
      <c r="UOS73" s="421" t="n"/>
      <c r="UOT73" s="421" t="n"/>
      <c r="UOU73" s="421" t="n"/>
      <c r="UOV73" s="421" t="n"/>
      <c r="UOW73" s="421" t="n"/>
      <c r="UOX73" s="421" t="n"/>
      <c r="UOY73" s="421" t="n"/>
      <c r="UOZ73" s="421" t="n"/>
      <c r="UPA73" s="421" t="n"/>
      <c r="UPB73" s="421" t="n"/>
      <c r="UPC73" s="421" t="n"/>
      <c r="UPD73" s="421" t="n"/>
      <c r="UPE73" s="421" t="n"/>
      <c r="UPF73" s="421" t="n"/>
      <c r="UPG73" s="421" t="n"/>
      <c r="UPH73" s="421" t="n"/>
      <c r="UPI73" s="421" t="n"/>
      <c r="UPJ73" s="421" t="n"/>
      <c r="UPK73" s="421" t="n"/>
      <c r="UPL73" s="421" t="n"/>
      <c r="UPM73" s="421" t="n"/>
      <c r="UPN73" s="421" t="n"/>
      <c r="UPO73" s="421" t="n"/>
      <c r="UPP73" s="421" t="n"/>
      <c r="UPQ73" s="421" t="n"/>
      <c r="UPR73" s="421" t="n"/>
      <c r="UPS73" s="421" t="n"/>
      <c r="UPT73" s="421" t="n"/>
      <c r="UPU73" s="421" t="n"/>
      <c r="UPV73" s="421" t="n"/>
      <c r="UPW73" s="421" t="n"/>
      <c r="UPX73" s="421" t="n"/>
      <c r="UPY73" s="421" t="n"/>
      <c r="UPZ73" s="421" t="n"/>
      <c r="UQA73" s="421" t="n"/>
      <c r="UQB73" s="421" t="n"/>
      <c r="UQC73" s="421" t="n"/>
      <c r="UQD73" s="421" t="n"/>
      <c r="UQE73" s="421" t="n"/>
      <c r="UQF73" s="421" t="n"/>
      <c r="UQG73" s="421" t="n"/>
      <c r="UQH73" s="421" t="n"/>
      <c r="UQI73" s="421" t="n"/>
      <c r="UQJ73" s="421" t="n"/>
      <c r="UQK73" s="421" t="n"/>
      <c r="UQL73" s="421" t="n"/>
      <c r="UQM73" s="421" t="n"/>
      <c r="UQN73" s="421" t="n"/>
      <c r="UQO73" s="421" t="n"/>
      <c r="UQP73" s="421" t="n"/>
      <c r="UQQ73" s="421" t="n"/>
      <c r="UQR73" s="421" t="n"/>
      <c r="UQS73" s="421" t="n"/>
      <c r="UQT73" s="421" t="n"/>
      <c r="UQU73" s="421" t="n"/>
      <c r="UQV73" s="421" t="n"/>
      <c r="UQW73" s="421" t="n"/>
      <c r="UQX73" s="421" t="n"/>
      <c r="UQY73" s="421" t="n"/>
      <c r="UQZ73" s="421" t="n"/>
      <c r="URA73" s="421" t="n"/>
      <c r="URB73" s="421" t="n"/>
      <c r="URC73" s="421" t="n"/>
      <c r="URD73" s="421" t="n"/>
      <c r="URE73" s="421" t="n"/>
      <c r="URF73" s="421" t="n"/>
      <c r="URG73" s="421" t="n"/>
      <c r="URH73" s="421" t="n"/>
      <c r="URI73" s="421" t="n"/>
      <c r="URJ73" s="421" t="n"/>
      <c r="URK73" s="421" t="n"/>
      <c r="URL73" s="421" t="n"/>
      <c r="URM73" s="421" t="n"/>
      <c r="URN73" s="421" t="n"/>
      <c r="URO73" s="421" t="n"/>
      <c r="URP73" s="421" t="n"/>
      <c r="URQ73" s="421" t="n"/>
      <c r="URR73" s="421" t="n"/>
      <c r="URS73" s="421" t="n"/>
      <c r="URT73" s="421" t="n"/>
      <c r="URU73" s="421" t="n"/>
      <c r="URV73" s="421" t="n"/>
      <c r="URW73" s="421" t="n"/>
      <c r="URX73" s="421" t="n"/>
      <c r="URY73" s="421" t="n"/>
      <c r="URZ73" s="421" t="n"/>
      <c r="USA73" s="421" t="n"/>
      <c r="USB73" s="421" t="n"/>
      <c r="USC73" s="421" t="n"/>
      <c r="USD73" s="421" t="n"/>
      <c r="USE73" s="421" t="n"/>
      <c r="USF73" s="421" t="n"/>
      <c r="USG73" s="421" t="n"/>
      <c r="USH73" s="421" t="n"/>
      <c r="USI73" s="421" t="n"/>
      <c r="USJ73" s="421" t="n"/>
      <c r="USK73" s="421" t="n"/>
      <c r="USL73" s="421" t="n"/>
      <c r="USM73" s="421" t="n"/>
      <c r="USN73" s="421" t="n"/>
      <c r="USO73" s="421" t="n"/>
      <c r="USP73" s="421" t="n"/>
      <c r="USQ73" s="421" t="n"/>
      <c r="USR73" s="421" t="n"/>
      <c r="USS73" s="421" t="n"/>
      <c r="UST73" s="421" t="n"/>
      <c r="USU73" s="421" t="n"/>
      <c r="USV73" s="421" t="n"/>
      <c r="USW73" s="421" t="n"/>
      <c r="USX73" s="421" t="n"/>
      <c r="USY73" s="421" t="n"/>
      <c r="USZ73" s="421" t="n"/>
      <c r="UTA73" s="421" t="n"/>
      <c r="UTB73" s="421" t="n"/>
      <c r="UTC73" s="421" t="n"/>
      <c r="UTD73" s="421" t="n"/>
      <c r="UTE73" s="421" t="n"/>
      <c r="UTF73" s="421" t="n"/>
      <c r="UTG73" s="421" t="n"/>
      <c r="UTH73" s="421" t="n"/>
      <c r="UTI73" s="421" t="n"/>
      <c r="UTJ73" s="421" t="n"/>
      <c r="UTK73" s="421" t="n"/>
      <c r="UTL73" s="421" t="n"/>
      <c r="UTM73" s="421" t="n"/>
      <c r="UTN73" s="421" t="n"/>
      <c r="UTO73" s="421" t="n"/>
      <c r="UTP73" s="421" t="n"/>
      <c r="UTQ73" s="421" t="n"/>
      <c r="UTR73" s="421" t="n"/>
      <c r="UTS73" s="421" t="n"/>
      <c r="UTT73" s="421" t="n"/>
      <c r="UTU73" s="421" t="n"/>
      <c r="UTV73" s="421" t="n"/>
      <c r="UTW73" s="421" t="n"/>
      <c r="UTX73" s="421" t="n"/>
      <c r="UTY73" s="421" t="n"/>
      <c r="UTZ73" s="421" t="n"/>
      <c r="UUA73" s="421" t="n"/>
      <c r="UUB73" s="421" t="n"/>
      <c r="UUC73" s="421" t="n"/>
      <c r="UUD73" s="421" t="n"/>
      <c r="UUE73" s="421" t="n"/>
      <c r="UUF73" s="421" t="n"/>
      <c r="UUG73" s="421" t="n"/>
      <c r="UUH73" s="421" t="n"/>
      <c r="UUI73" s="421" t="n"/>
      <c r="UUJ73" s="421" t="n"/>
      <c r="UUK73" s="421" t="n"/>
      <c r="UUL73" s="421" t="n"/>
      <c r="UUM73" s="421" t="n"/>
      <c r="UUN73" s="421" t="n"/>
      <c r="UUO73" s="421" t="n"/>
      <c r="UUP73" s="421" t="n"/>
      <c r="UUQ73" s="421" t="n"/>
      <c r="UUR73" s="421" t="n"/>
      <c r="UUS73" s="421" t="n"/>
      <c r="UUT73" s="421" t="n"/>
      <c r="UUU73" s="421" t="n"/>
      <c r="UUV73" s="421" t="n"/>
      <c r="UUW73" s="421" t="n"/>
      <c r="UUX73" s="421" t="n"/>
      <c r="UUY73" s="421" t="n"/>
      <c r="UUZ73" s="421" t="n"/>
      <c r="UVA73" s="421" t="n"/>
      <c r="UVB73" s="421" t="n"/>
      <c r="UVC73" s="421" t="n"/>
      <c r="UVD73" s="421" t="n"/>
      <c r="UVE73" s="421" t="n"/>
      <c r="UVF73" s="421" t="n"/>
      <c r="UVG73" s="421" t="n"/>
      <c r="UVH73" s="421" t="n"/>
      <c r="UVI73" s="421" t="n"/>
      <c r="UVJ73" s="421" t="n"/>
      <c r="UVK73" s="421" t="n"/>
      <c r="UVL73" s="421" t="n"/>
      <c r="UVM73" s="421" t="n"/>
      <c r="UVN73" s="421" t="n"/>
      <c r="UVO73" s="421" t="n"/>
      <c r="UVP73" s="421" t="n"/>
      <c r="UVQ73" s="421" t="n"/>
      <c r="UVR73" s="421" t="n"/>
      <c r="UVS73" s="421" t="n"/>
      <c r="UVT73" s="421" t="n"/>
      <c r="UVU73" s="421" t="n"/>
      <c r="UVV73" s="421" t="n"/>
      <c r="UVW73" s="421" t="n"/>
      <c r="UVX73" s="421" t="n"/>
      <c r="UVY73" s="421" t="n"/>
      <c r="UVZ73" s="421" t="n"/>
      <c r="UWA73" s="421" t="n"/>
      <c r="UWB73" s="421" t="n"/>
      <c r="UWC73" s="421" t="n"/>
      <c r="UWD73" s="421" t="n"/>
      <c r="UWE73" s="421" t="n"/>
      <c r="UWF73" s="421" t="n"/>
      <c r="UWG73" s="421" t="n"/>
      <c r="UWH73" s="421" t="n"/>
      <c r="UWI73" s="421" t="n"/>
      <c r="UWJ73" s="421" t="n"/>
      <c r="UWK73" s="421" t="n"/>
      <c r="UWL73" s="421" t="n"/>
      <c r="UWM73" s="421" t="n"/>
      <c r="UWN73" s="421" t="n"/>
      <c r="UWO73" s="421" t="n"/>
      <c r="UWP73" s="421" t="n"/>
      <c r="UWQ73" s="421" t="n"/>
      <c r="UWR73" s="421" t="n"/>
      <c r="UWS73" s="421" t="n"/>
      <c r="UWT73" s="421" t="n"/>
      <c r="UWU73" s="421" t="n"/>
      <c r="UWV73" s="421" t="n"/>
      <c r="UWW73" s="421" t="n"/>
      <c r="UWX73" s="421" t="n"/>
      <c r="UWY73" s="421" t="n"/>
      <c r="UWZ73" s="421" t="n"/>
      <c r="UXA73" s="421" t="n"/>
      <c r="UXB73" s="421" t="n"/>
      <c r="UXC73" s="421" t="n"/>
      <c r="UXD73" s="421" t="n"/>
      <c r="UXE73" s="421" t="n"/>
      <c r="UXF73" s="421" t="n"/>
      <c r="UXG73" s="421" t="n"/>
      <c r="UXH73" s="421" t="n"/>
      <c r="UXI73" s="421" t="n"/>
      <c r="UXJ73" s="421" t="n"/>
      <c r="UXK73" s="421" t="n"/>
      <c r="UXL73" s="421" t="n"/>
      <c r="UXM73" s="421" t="n"/>
      <c r="UXN73" s="421" t="n"/>
      <c r="UXO73" s="421" t="n"/>
      <c r="UXP73" s="421" t="n"/>
      <c r="UXQ73" s="421" t="n"/>
      <c r="UXR73" s="421" t="n"/>
      <c r="UXS73" s="421" t="n"/>
      <c r="UXT73" s="421" t="n"/>
      <c r="UXU73" s="421" t="n"/>
      <c r="UXV73" s="421" t="n"/>
      <c r="UXW73" s="421" t="n"/>
      <c r="UXX73" s="421" t="n"/>
      <c r="UXY73" s="421" t="n"/>
      <c r="UXZ73" s="421" t="n"/>
      <c r="UYA73" s="421" t="n"/>
      <c r="UYB73" s="421" t="n"/>
      <c r="UYC73" s="421" t="n"/>
      <c r="UYD73" s="421" t="n"/>
      <c r="UYE73" s="421" t="n"/>
      <c r="UYF73" s="421" t="n"/>
      <c r="UYG73" s="421" t="n"/>
      <c r="UYH73" s="421" t="n"/>
      <c r="UYI73" s="421" t="n"/>
      <c r="UYJ73" s="421" t="n"/>
      <c r="UYK73" s="421" t="n"/>
      <c r="UYL73" s="421" t="n"/>
      <c r="UYM73" s="421" t="n"/>
      <c r="UYN73" s="421" t="n"/>
      <c r="UYO73" s="421" t="n"/>
      <c r="UYP73" s="421" t="n"/>
      <c r="UYQ73" s="421" t="n"/>
      <c r="UYR73" s="421" t="n"/>
      <c r="UYS73" s="421" t="n"/>
      <c r="UYT73" s="421" t="n"/>
      <c r="UYU73" s="421" t="n"/>
      <c r="UYV73" s="421" t="n"/>
      <c r="UYW73" s="421" t="n"/>
      <c r="UYX73" s="421" t="n"/>
      <c r="UYY73" s="421" t="n"/>
      <c r="UYZ73" s="421" t="n"/>
      <c r="UZA73" s="421" t="n"/>
      <c r="UZB73" s="421" t="n"/>
      <c r="UZC73" s="421" t="n"/>
      <c r="UZD73" s="421" t="n"/>
      <c r="UZE73" s="421" t="n"/>
      <c r="UZF73" s="421" t="n"/>
      <c r="UZG73" s="421" t="n"/>
      <c r="UZH73" s="421" t="n"/>
      <c r="UZI73" s="421" t="n"/>
      <c r="UZJ73" s="421" t="n"/>
      <c r="UZK73" s="421" t="n"/>
      <c r="UZL73" s="421" t="n"/>
      <c r="UZM73" s="421" t="n"/>
      <c r="UZN73" s="421" t="n"/>
      <c r="UZO73" s="421" t="n"/>
      <c r="UZP73" s="421" t="n"/>
      <c r="UZQ73" s="421" t="n"/>
      <c r="UZR73" s="421" t="n"/>
      <c r="UZS73" s="421" t="n"/>
      <c r="UZT73" s="421" t="n"/>
      <c r="UZU73" s="421" t="n"/>
      <c r="UZV73" s="421" t="n"/>
      <c r="UZW73" s="421" t="n"/>
      <c r="UZX73" s="421" t="n"/>
      <c r="UZY73" s="421" t="n"/>
      <c r="UZZ73" s="421" t="n"/>
      <c r="VAA73" s="421" t="n"/>
      <c r="VAB73" s="421" t="n"/>
      <c r="VAC73" s="421" t="n"/>
      <c r="VAD73" s="421" t="n"/>
      <c r="VAE73" s="421" t="n"/>
      <c r="VAF73" s="421" t="n"/>
      <c r="VAG73" s="421" t="n"/>
      <c r="VAH73" s="421" t="n"/>
      <c r="VAI73" s="421" t="n"/>
      <c r="VAJ73" s="421" t="n"/>
      <c r="VAK73" s="421" t="n"/>
      <c r="VAL73" s="421" t="n"/>
      <c r="VAM73" s="421" t="n"/>
      <c r="VAN73" s="421" t="n"/>
      <c r="VAO73" s="421" t="n"/>
      <c r="VAP73" s="421" t="n"/>
      <c r="VAQ73" s="421" t="n"/>
      <c r="VAR73" s="421" t="n"/>
      <c r="VAS73" s="421" t="n"/>
      <c r="VAT73" s="421" t="n"/>
      <c r="VAU73" s="421" t="n"/>
      <c r="VAV73" s="421" t="n"/>
      <c r="VAW73" s="421" t="n"/>
      <c r="VAX73" s="421" t="n"/>
      <c r="VAY73" s="421" t="n"/>
      <c r="VAZ73" s="421" t="n"/>
      <c r="VBA73" s="421" t="n"/>
      <c r="VBB73" s="421" t="n"/>
      <c r="VBC73" s="421" t="n"/>
      <c r="VBD73" s="421" t="n"/>
      <c r="VBE73" s="421" t="n"/>
      <c r="VBF73" s="421" t="n"/>
      <c r="VBG73" s="421" t="n"/>
      <c r="VBH73" s="421" t="n"/>
      <c r="VBI73" s="421" t="n"/>
      <c r="VBJ73" s="421" t="n"/>
      <c r="VBK73" s="421" t="n"/>
      <c r="VBL73" s="421" t="n"/>
      <c r="VBM73" s="421" t="n"/>
      <c r="VBN73" s="421" t="n"/>
      <c r="VBO73" s="421" t="n"/>
      <c r="VBP73" s="421" t="n"/>
      <c r="VBQ73" s="421" t="n"/>
      <c r="VBR73" s="421" t="n"/>
      <c r="VBS73" s="421" t="n"/>
      <c r="VBT73" s="421" t="n"/>
      <c r="VBU73" s="421" t="n"/>
      <c r="VBV73" s="421" t="n"/>
      <c r="VBW73" s="421" t="n"/>
      <c r="VBX73" s="421" t="n"/>
      <c r="VBY73" s="421" t="n"/>
      <c r="VBZ73" s="421" t="n"/>
      <c r="VCA73" s="421" t="n"/>
      <c r="VCB73" s="421" t="n"/>
      <c r="VCC73" s="421" t="n"/>
      <c r="VCD73" s="421" t="n"/>
      <c r="VCE73" s="421" t="n"/>
      <c r="VCF73" s="421" t="n"/>
      <c r="VCG73" s="421" t="n"/>
      <c r="VCH73" s="421" t="n"/>
      <c r="VCI73" s="421" t="n"/>
      <c r="VCJ73" s="421" t="n"/>
      <c r="VCK73" s="421" t="n"/>
      <c r="VCL73" s="421" t="n"/>
      <c r="VCM73" s="421" t="n"/>
      <c r="VCN73" s="421" t="n"/>
      <c r="VCO73" s="421" t="n"/>
      <c r="VCP73" s="421" t="n"/>
      <c r="VCQ73" s="421" t="n"/>
      <c r="VCR73" s="421" t="n"/>
      <c r="VCS73" s="421" t="n"/>
      <c r="VCT73" s="421" t="n"/>
      <c r="VCU73" s="421" t="n"/>
      <c r="VCV73" s="421" t="n"/>
      <c r="VCW73" s="421" t="n"/>
      <c r="VCX73" s="421" t="n"/>
      <c r="VCY73" s="421" t="n"/>
      <c r="VCZ73" s="421" t="n"/>
      <c r="VDA73" s="421" t="n"/>
      <c r="VDB73" s="421" t="n"/>
      <c r="VDC73" s="421" t="n"/>
      <c r="VDD73" s="421" t="n"/>
      <c r="VDE73" s="421" t="n"/>
      <c r="VDF73" s="421" t="n"/>
      <c r="VDG73" s="421" t="n"/>
      <c r="VDH73" s="421" t="n"/>
      <c r="VDI73" s="421" t="n"/>
      <c r="VDJ73" s="421" t="n"/>
      <c r="VDK73" s="421" t="n"/>
      <c r="VDL73" s="421" t="n"/>
      <c r="VDM73" s="421" t="n"/>
      <c r="VDN73" s="421" t="n"/>
      <c r="VDO73" s="421" t="n"/>
      <c r="VDP73" s="421" t="n"/>
      <c r="VDQ73" s="421" t="n"/>
      <c r="VDR73" s="421" t="n"/>
      <c r="VDS73" s="421" t="n"/>
      <c r="VDT73" s="421" t="n"/>
      <c r="VDU73" s="421" t="n"/>
      <c r="VDV73" s="421" t="n"/>
      <c r="VDW73" s="421" t="n"/>
      <c r="VDX73" s="421" t="n"/>
      <c r="VDY73" s="421" t="n"/>
      <c r="VDZ73" s="421" t="n"/>
      <c r="VEA73" s="421" t="n"/>
      <c r="VEB73" s="421" t="n"/>
      <c r="VEC73" s="421" t="n"/>
      <c r="VED73" s="421" t="n"/>
      <c r="VEE73" s="421" t="n"/>
      <c r="VEF73" s="421" t="n"/>
      <c r="VEG73" s="421" t="n"/>
      <c r="VEH73" s="421" t="n"/>
      <c r="VEI73" s="421" t="n"/>
      <c r="VEJ73" s="421" t="n"/>
      <c r="VEK73" s="421" t="n"/>
      <c r="VEL73" s="421" t="n"/>
      <c r="VEM73" s="421" t="n"/>
      <c r="VEN73" s="421" t="n"/>
      <c r="VEO73" s="421" t="n"/>
      <c r="VEP73" s="421" t="n"/>
      <c r="VEQ73" s="421" t="n"/>
      <c r="VER73" s="421" t="n"/>
      <c r="VES73" s="421" t="n"/>
      <c r="VET73" s="421" t="n"/>
      <c r="VEU73" s="421" t="n"/>
      <c r="VEV73" s="421" t="n"/>
      <c r="VEW73" s="421" t="n"/>
      <c r="VEX73" s="421" t="n"/>
      <c r="VEY73" s="421" t="n"/>
      <c r="VEZ73" s="421" t="n"/>
      <c r="VFA73" s="421" t="n"/>
      <c r="VFB73" s="421" t="n"/>
      <c r="VFC73" s="421" t="n"/>
      <c r="VFD73" s="421" t="n"/>
      <c r="VFE73" s="421" t="n"/>
      <c r="VFF73" s="421" t="n"/>
      <c r="VFG73" s="421" t="n"/>
      <c r="VFH73" s="421" t="n"/>
      <c r="VFI73" s="421" t="n"/>
      <c r="VFJ73" s="421" t="n"/>
      <c r="VFK73" s="421" t="n"/>
      <c r="VFL73" s="421" t="n"/>
      <c r="VFM73" s="421" t="n"/>
      <c r="VFN73" s="421" t="n"/>
      <c r="VFO73" s="421" t="n"/>
      <c r="VFP73" s="421" t="n"/>
      <c r="VFQ73" s="421" t="n"/>
      <c r="VFR73" s="421" t="n"/>
      <c r="VFS73" s="421" t="n"/>
      <c r="VFT73" s="421" t="n"/>
      <c r="VFU73" s="421" t="n"/>
      <c r="VFV73" s="421" t="n"/>
      <c r="VFW73" s="421" t="n"/>
      <c r="VFX73" s="421" t="n"/>
      <c r="VFY73" s="421" t="n"/>
      <c r="VFZ73" s="421" t="n"/>
      <c r="VGA73" s="421" t="n"/>
      <c r="VGB73" s="421" t="n"/>
      <c r="VGC73" s="421" t="n"/>
      <c r="VGD73" s="421" t="n"/>
      <c r="VGE73" s="421" t="n"/>
      <c r="VGF73" s="421" t="n"/>
      <c r="VGG73" s="421" t="n"/>
      <c r="VGH73" s="421" t="n"/>
      <c r="VGI73" s="421" t="n"/>
      <c r="VGJ73" s="421" t="n"/>
      <c r="VGK73" s="421" t="n"/>
      <c r="VGL73" s="421" t="n"/>
      <c r="VGM73" s="421" t="n"/>
      <c r="VGN73" s="421" t="n"/>
      <c r="VGO73" s="421" t="n"/>
      <c r="VGP73" s="421" t="n"/>
      <c r="VGQ73" s="421" t="n"/>
      <c r="VGR73" s="421" t="n"/>
      <c r="VGS73" s="421" t="n"/>
      <c r="VGT73" s="421" t="n"/>
      <c r="VGU73" s="421" t="n"/>
      <c r="VGV73" s="421" t="n"/>
      <c r="VGW73" s="421" t="n"/>
      <c r="VGX73" s="421" t="n"/>
      <c r="VGY73" s="421" t="n"/>
      <c r="VGZ73" s="421" t="n"/>
      <c r="VHA73" s="421" t="n"/>
      <c r="VHB73" s="421" t="n"/>
      <c r="VHC73" s="421" t="n"/>
      <c r="VHD73" s="421" t="n"/>
      <c r="VHE73" s="421" t="n"/>
      <c r="VHF73" s="421" t="n"/>
      <c r="VHG73" s="421" t="n"/>
      <c r="VHH73" s="421" t="n"/>
      <c r="VHI73" s="421" t="n"/>
      <c r="VHJ73" s="421" t="n"/>
      <c r="VHK73" s="421" t="n"/>
      <c r="VHL73" s="421" t="n"/>
      <c r="VHM73" s="421" t="n"/>
      <c r="VHN73" s="421" t="n"/>
      <c r="VHO73" s="421" t="n"/>
      <c r="VHP73" s="421" t="n"/>
      <c r="VHQ73" s="421" t="n"/>
      <c r="VHR73" s="421" t="n"/>
      <c r="VHS73" s="421" t="n"/>
      <c r="VHT73" s="421" t="n"/>
      <c r="VHU73" s="421" t="n"/>
      <c r="VHV73" s="421" t="n"/>
      <c r="VHW73" s="421" t="n"/>
      <c r="VHX73" s="421" t="n"/>
      <c r="VHY73" s="421" t="n"/>
      <c r="VHZ73" s="421" t="n"/>
      <c r="VIA73" s="421" t="n"/>
      <c r="VIB73" s="421" t="n"/>
      <c r="VIC73" s="421" t="n"/>
      <c r="VID73" s="421" t="n"/>
      <c r="VIE73" s="421" t="n"/>
      <c r="VIF73" s="421" t="n"/>
      <c r="VIG73" s="421" t="n"/>
      <c r="VIH73" s="421" t="n"/>
      <c r="VII73" s="421" t="n"/>
      <c r="VIJ73" s="421" t="n"/>
      <c r="VIK73" s="421" t="n"/>
      <c r="VIL73" s="421" t="n"/>
      <c r="VIM73" s="421" t="n"/>
      <c r="VIN73" s="421" t="n"/>
      <c r="VIO73" s="421" t="n"/>
      <c r="VIP73" s="421" t="n"/>
      <c r="VIQ73" s="421" t="n"/>
      <c r="VIR73" s="421" t="n"/>
      <c r="VIS73" s="421" t="n"/>
      <c r="VIT73" s="421" t="n"/>
      <c r="VIU73" s="421" t="n"/>
      <c r="VIV73" s="421" t="n"/>
      <c r="VIW73" s="421" t="n"/>
      <c r="VIX73" s="421" t="n"/>
      <c r="VIY73" s="421" t="n"/>
      <c r="VIZ73" s="421" t="n"/>
      <c r="VJA73" s="421" t="n"/>
      <c r="VJB73" s="421" t="n"/>
      <c r="VJC73" s="421" t="n"/>
      <c r="VJD73" s="421" t="n"/>
      <c r="VJE73" s="421" t="n"/>
      <c r="VJF73" s="421" t="n"/>
      <c r="VJG73" s="421" t="n"/>
      <c r="VJH73" s="421" t="n"/>
      <c r="VJI73" s="421" t="n"/>
      <c r="VJJ73" s="421" t="n"/>
      <c r="VJK73" s="421" t="n"/>
      <c r="VJL73" s="421" t="n"/>
      <c r="VJM73" s="421" t="n"/>
      <c r="VJN73" s="421" t="n"/>
      <c r="VJO73" s="421" t="n"/>
      <c r="VJP73" s="421" t="n"/>
      <c r="VJQ73" s="421" t="n"/>
      <c r="VJR73" s="421" t="n"/>
      <c r="VJS73" s="421" t="n"/>
      <c r="VJT73" s="421" t="n"/>
      <c r="VJU73" s="421" t="n"/>
      <c r="VJV73" s="421" t="n"/>
      <c r="VJW73" s="421" t="n"/>
      <c r="VJX73" s="421" t="n"/>
      <c r="VJY73" s="421" t="n"/>
      <c r="VJZ73" s="421" t="n"/>
      <c r="VKA73" s="421" t="n"/>
      <c r="VKB73" s="421" t="n"/>
      <c r="VKC73" s="421" t="n"/>
      <c r="VKD73" s="421" t="n"/>
      <c r="VKE73" s="421" t="n"/>
      <c r="VKF73" s="421" t="n"/>
      <c r="VKG73" s="421" t="n"/>
      <c r="VKH73" s="421" t="n"/>
      <c r="VKI73" s="421" t="n"/>
      <c r="VKJ73" s="421" t="n"/>
      <c r="VKK73" s="421" t="n"/>
      <c r="VKL73" s="421" t="n"/>
      <c r="VKM73" s="421" t="n"/>
      <c r="VKN73" s="421" t="n"/>
      <c r="VKO73" s="421" t="n"/>
      <c r="VKP73" s="421" t="n"/>
      <c r="VKQ73" s="421" t="n"/>
      <c r="VKR73" s="421" t="n"/>
      <c r="VKS73" s="421" t="n"/>
      <c r="VKT73" s="421" t="n"/>
      <c r="VKU73" s="421" t="n"/>
      <c r="VKV73" s="421" t="n"/>
      <c r="VKW73" s="421" t="n"/>
      <c r="VKX73" s="421" t="n"/>
      <c r="VKY73" s="421" t="n"/>
      <c r="VKZ73" s="421" t="n"/>
      <c r="VLA73" s="421" t="n"/>
      <c r="VLB73" s="421" t="n"/>
      <c r="VLC73" s="421" t="n"/>
      <c r="VLD73" s="421" t="n"/>
      <c r="VLE73" s="421" t="n"/>
      <c r="VLF73" s="421" t="n"/>
      <c r="VLG73" s="421" t="n"/>
      <c r="VLH73" s="421" t="n"/>
      <c r="VLI73" s="421" t="n"/>
      <c r="VLJ73" s="421" t="n"/>
      <c r="VLK73" s="421" t="n"/>
      <c r="VLL73" s="421" t="n"/>
      <c r="VLM73" s="421" t="n"/>
      <c r="VLN73" s="421" t="n"/>
      <c r="VLO73" s="421" t="n"/>
      <c r="VLP73" s="421" t="n"/>
      <c r="VLQ73" s="421" t="n"/>
      <c r="VLR73" s="421" t="n"/>
      <c r="VLS73" s="421" t="n"/>
      <c r="VLT73" s="421" t="n"/>
      <c r="VLU73" s="421" t="n"/>
      <c r="VLV73" s="421" t="n"/>
      <c r="VLW73" s="421" t="n"/>
      <c r="VLX73" s="421" t="n"/>
      <c r="VLY73" s="421" t="n"/>
      <c r="VLZ73" s="421" t="n"/>
      <c r="VMA73" s="421" t="n"/>
      <c r="VMB73" s="421" t="n"/>
      <c r="VMC73" s="421" t="n"/>
      <c r="VMD73" s="421" t="n"/>
      <c r="VME73" s="421" t="n"/>
      <c r="VMF73" s="421" t="n"/>
      <c r="VMG73" s="421" t="n"/>
      <c r="VMH73" s="421" t="n"/>
      <c r="VMI73" s="421" t="n"/>
      <c r="VMJ73" s="421" t="n"/>
      <c r="VMK73" s="421" t="n"/>
      <c r="VML73" s="421" t="n"/>
      <c r="VMM73" s="421" t="n"/>
      <c r="VMN73" s="421" t="n"/>
      <c r="VMO73" s="421" t="n"/>
      <c r="VMP73" s="421" t="n"/>
      <c r="VMQ73" s="421" t="n"/>
      <c r="VMR73" s="421" t="n"/>
      <c r="VMS73" s="421" t="n"/>
      <c r="VMT73" s="421" t="n"/>
      <c r="VMU73" s="421" t="n"/>
      <c r="VMV73" s="421" t="n"/>
      <c r="VMW73" s="421" t="n"/>
      <c r="VMX73" s="421" t="n"/>
      <c r="VMY73" s="421" t="n"/>
      <c r="VMZ73" s="421" t="n"/>
      <c r="VNA73" s="421" t="n"/>
      <c r="VNB73" s="421" t="n"/>
      <c r="VNC73" s="421" t="n"/>
      <c r="VND73" s="421" t="n"/>
      <c r="VNE73" s="421" t="n"/>
      <c r="VNF73" s="421" t="n"/>
      <c r="VNG73" s="421" t="n"/>
      <c r="VNH73" s="421" t="n"/>
      <c r="VNI73" s="421" t="n"/>
      <c r="VNJ73" s="421" t="n"/>
      <c r="VNK73" s="421" t="n"/>
      <c r="VNL73" s="421" t="n"/>
      <c r="VNM73" s="421" t="n"/>
      <c r="VNN73" s="421" t="n"/>
      <c r="VNO73" s="421" t="n"/>
      <c r="VNP73" s="421" t="n"/>
      <c r="VNQ73" s="421" t="n"/>
      <c r="VNR73" s="421" t="n"/>
      <c r="VNS73" s="421" t="n"/>
      <c r="VNT73" s="421" t="n"/>
      <c r="VNU73" s="421" t="n"/>
      <c r="VNV73" s="421" t="n"/>
      <c r="VNW73" s="421" t="n"/>
      <c r="VNX73" s="421" t="n"/>
      <c r="VNY73" s="421" t="n"/>
      <c r="VNZ73" s="421" t="n"/>
      <c r="VOA73" s="421" t="n"/>
      <c r="VOB73" s="421" t="n"/>
      <c r="VOC73" s="421" t="n"/>
      <c r="VOD73" s="421" t="n"/>
      <c r="VOE73" s="421" t="n"/>
      <c r="VOF73" s="421" t="n"/>
      <c r="VOG73" s="421" t="n"/>
      <c r="VOH73" s="421" t="n"/>
      <c r="VOI73" s="421" t="n"/>
      <c r="VOJ73" s="421" t="n"/>
      <c r="VOK73" s="421" t="n"/>
      <c r="VOL73" s="421" t="n"/>
      <c r="VOM73" s="421" t="n"/>
      <c r="VON73" s="421" t="n"/>
      <c r="VOO73" s="421" t="n"/>
      <c r="VOP73" s="421" t="n"/>
      <c r="VOQ73" s="421" t="n"/>
      <c r="VOR73" s="421" t="n"/>
      <c r="VOS73" s="421" t="n"/>
      <c r="VOT73" s="421" t="n"/>
      <c r="VOU73" s="421" t="n"/>
      <c r="VOV73" s="421" t="n"/>
      <c r="VOW73" s="421" t="n"/>
      <c r="VOX73" s="421" t="n"/>
      <c r="VOY73" s="421" t="n"/>
      <c r="VOZ73" s="421" t="n"/>
      <c r="VPA73" s="421" t="n"/>
      <c r="VPB73" s="421" t="n"/>
      <c r="VPC73" s="421" t="n"/>
      <c r="VPD73" s="421" t="n"/>
      <c r="VPE73" s="421" t="n"/>
      <c r="VPF73" s="421" t="n"/>
      <c r="VPG73" s="421" t="n"/>
      <c r="VPH73" s="421" t="n"/>
      <c r="VPI73" s="421" t="n"/>
      <c r="VPJ73" s="421" t="n"/>
      <c r="VPK73" s="421" t="n"/>
      <c r="VPL73" s="421" t="n"/>
      <c r="VPM73" s="421" t="n"/>
      <c r="VPN73" s="421" t="n"/>
      <c r="VPO73" s="421" t="n"/>
      <c r="VPP73" s="421" t="n"/>
      <c r="VPQ73" s="421" t="n"/>
      <c r="VPR73" s="421" t="n"/>
      <c r="VPS73" s="421" t="n"/>
      <c r="VPT73" s="421" t="n"/>
      <c r="VPU73" s="421" t="n"/>
      <c r="VPV73" s="421" t="n"/>
      <c r="VPW73" s="421" t="n"/>
      <c r="VPX73" s="421" t="n"/>
      <c r="VPY73" s="421" t="n"/>
      <c r="VPZ73" s="421" t="n"/>
      <c r="VQA73" s="421" t="n"/>
      <c r="VQB73" s="421" t="n"/>
      <c r="VQC73" s="421" t="n"/>
      <c r="VQD73" s="421" t="n"/>
      <c r="VQE73" s="421" t="n"/>
      <c r="VQF73" s="421" t="n"/>
      <c r="VQG73" s="421" t="n"/>
      <c r="VQH73" s="421" t="n"/>
      <c r="VQI73" s="421" t="n"/>
      <c r="VQJ73" s="421" t="n"/>
      <c r="VQK73" s="421" t="n"/>
      <c r="VQL73" s="421" t="n"/>
      <c r="VQM73" s="421" t="n"/>
      <c r="VQN73" s="421" t="n"/>
      <c r="VQO73" s="421" t="n"/>
      <c r="VQP73" s="421" t="n"/>
      <c r="VQQ73" s="421" t="n"/>
      <c r="VQR73" s="421" t="n"/>
      <c r="VQS73" s="421" t="n"/>
      <c r="VQT73" s="421" t="n"/>
      <c r="VQU73" s="421" t="n"/>
      <c r="VQV73" s="421" t="n"/>
      <c r="VQW73" s="421" t="n"/>
      <c r="VQX73" s="421" t="n"/>
      <c r="VQY73" s="421" t="n"/>
      <c r="VQZ73" s="421" t="n"/>
      <c r="VRA73" s="421" t="n"/>
      <c r="VRB73" s="421" t="n"/>
      <c r="VRC73" s="421" t="n"/>
      <c r="VRD73" s="421" t="n"/>
      <c r="VRE73" s="421" t="n"/>
      <c r="VRF73" s="421" t="n"/>
      <c r="VRG73" s="421" t="n"/>
      <c r="VRH73" s="421" t="n"/>
      <c r="VRI73" s="421" t="n"/>
      <c r="VRJ73" s="421" t="n"/>
      <c r="VRK73" s="421" t="n"/>
      <c r="VRL73" s="421" t="n"/>
      <c r="VRM73" s="421" t="n"/>
      <c r="VRN73" s="421" t="n"/>
      <c r="VRO73" s="421" t="n"/>
      <c r="VRP73" s="421" t="n"/>
      <c r="VRQ73" s="421" t="n"/>
      <c r="VRR73" s="421" t="n"/>
      <c r="VRS73" s="421" t="n"/>
      <c r="VRT73" s="421" t="n"/>
      <c r="VRU73" s="421" t="n"/>
      <c r="VRV73" s="421" t="n"/>
      <c r="VRW73" s="421" t="n"/>
      <c r="VRX73" s="421" t="n"/>
      <c r="VRY73" s="421" t="n"/>
      <c r="VRZ73" s="421" t="n"/>
      <c r="VSA73" s="421" t="n"/>
      <c r="VSB73" s="421" t="n"/>
      <c r="VSC73" s="421" t="n"/>
      <c r="VSD73" s="421" t="n"/>
      <c r="VSE73" s="421" t="n"/>
      <c r="VSF73" s="421" t="n"/>
      <c r="VSG73" s="421" t="n"/>
      <c r="VSH73" s="421" t="n"/>
      <c r="VSI73" s="421" t="n"/>
      <c r="VSJ73" s="421" t="n"/>
      <c r="VSK73" s="421" t="n"/>
      <c r="VSL73" s="421" t="n"/>
      <c r="VSM73" s="421" t="n"/>
      <c r="VSN73" s="421" t="n"/>
      <c r="VSO73" s="421" t="n"/>
      <c r="VSP73" s="421" t="n"/>
      <c r="VSQ73" s="421" t="n"/>
      <c r="VSR73" s="421" t="n"/>
      <c r="VSS73" s="421" t="n"/>
      <c r="VST73" s="421" t="n"/>
      <c r="VSU73" s="421" t="n"/>
      <c r="VSV73" s="421" t="n"/>
      <c r="VSW73" s="421" t="n"/>
      <c r="VSX73" s="421" t="n"/>
      <c r="VSY73" s="421" t="n"/>
      <c r="VSZ73" s="421" t="n"/>
      <c r="VTA73" s="421" t="n"/>
      <c r="VTB73" s="421" t="n"/>
      <c r="VTC73" s="421" t="n"/>
      <c r="VTD73" s="421" t="n"/>
      <c r="VTE73" s="421" t="n"/>
      <c r="VTF73" s="421" t="n"/>
      <c r="VTG73" s="421" t="n"/>
      <c r="VTH73" s="421" t="n"/>
      <c r="VTI73" s="421" t="n"/>
      <c r="VTJ73" s="421" t="n"/>
      <c r="VTK73" s="421" t="n"/>
      <c r="VTL73" s="421" t="n"/>
      <c r="VTM73" s="421" t="n"/>
      <c r="VTN73" s="421" t="n"/>
      <c r="VTO73" s="421" t="n"/>
      <c r="VTP73" s="421" t="n"/>
      <c r="VTQ73" s="421" t="n"/>
      <c r="VTR73" s="421" t="n"/>
      <c r="VTS73" s="421" t="n"/>
      <c r="VTT73" s="421" t="n"/>
      <c r="VTU73" s="421" t="n"/>
      <c r="VTV73" s="421" t="n"/>
      <c r="VTW73" s="421" t="n"/>
      <c r="VTX73" s="421" t="n"/>
      <c r="VTY73" s="421" t="n"/>
      <c r="VTZ73" s="421" t="n"/>
      <c r="VUA73" s="421" t="n"/>
      <c r="VUB73" s="421" t="n"/>
      <c r="VUC73" s="421" t="n"/>
      <c r="VUD73" s="421" t="n"/>
      <c r="VUE73" s="421" t="n"/>
      <c r="VUF73" s="421" t="n"/>
      <c r="VUG73" s="421" t="n"/>
      <c r="VUH73" s="421" t="n"/>
      <c r="VUI73" s="421" t="n"/>
      <c r="VUJ73" s="421" t="n"/>
      <c r="VUK73" s="421" t="n"/>
      <c r="VUL73" s="421" t="n"/>
      <c r="VUM73" s="421" t="n"/>
      <c r="VUN73" s="421" t="n"/>
      <c r="VUO73" s="421" t="n"/>
      <c r="VUP73" s="421" t="n"/>
      <c r="VUQ73" s="421" t="n"/>
      <c r="VUR73" s="421" t="n"/>
      <c r="VUS73" s="421" t="n"/>
      <c r="VUT73" s="421" t="n"/>
      <c r="VUU73" s="421" t="n"/>
      <c r="VUV73" s="421" t="n"/>
      <c r="VUW73" s="421" t="n"/>
      <c r="VUX73" s="421" t="n"/>
      <c r="VUY73" s="421" t="n"/>
      <c r="VUZ73" s="421" t="n"/>
      <c r="VVA73" s="421" t="n"/>
      <c r="VVB73" s="421" t="n"/>
      <c r="VVC73" s="421" t="n"/>
      <c r="VVD73" s="421" t="n"/>
      <c r="VVE73" s="421" t="n"/>
      <c r="VVF73" s="421" t="n"/>
      <c r="VVG73" s="421" t="n"/>
      <c r="VVH73" s="421" t="n"/>
      <c r="VVI73" s="421" t="n"/>
      <c r="VVJ73" s="421" t="n"/>
      <c r="VVK73" s="421" t="n"/>
      <c r="VVL73" s="421" t="n"/>
      <c r="VVM73" s="421" t="n"/>
      <c r="VVN73" s="421" t="n"/>
      <c r="VVO73" s="421" t="n"/>
      <c r="VVP73" s="421" t="n"/>
      <c r="VVQ73" s="421" t="n"/>
      <c r="VVR73" s="421" t="n"/>
      <c r="VVS73" s="421" t="n"/>
      <c r="VVT73" s="421" t="n"/>
      <c r="VVU73" s="421" t="n"/>
      <c r="VVV73" s="421" t="n"/>
      <c r="VVW73" s="421" t="n"/>
      <c r="VVX73" s="421" t="n"/>
      <c r="VVY73" s="421" t="n"/>
      <c r="VVZ73" s="421" t="n"/>
      <c r="VWA73" s="421" t="n"/>
      <c r="VWB73" s="421" t="n"/>
      <c r="VWC73" s="421" t="n"/>
      <c r="VWD73" s="421" t="n"/>
      <c r="VWE73" s="421" t="n"/>
      <c r="VWF73" s="421" t="n"/>
      <c r="VWG73" s="421" t="n"/>
      <c r="VWH73" s="421" t="n"/>
      <c r="VWI73" s="421" t="n"/>
      <c r="VWJ73" s="421" t="n"/>
      <c r="VWK73" s="421" t="n"/>
      <c r="VWL73" s="421" t="n"/>
      <c r="VWM73" s="421" t="n"/>
      <c r="VWN73" s="421" t="n"/>
      <c r="VWO73" s="421" t="n"/>
      <c r="VWP73" s="421" t="n"/>
      <c r="VWQ73" s="421" t="n"/>
      <c r="VWR73" s="421" t="n"/>
      <c r="VWS73" s="421" t="n"/>
      <c r="VWT73" s="421" t="n"/>
      <c r="VWU73" s="421" t="n"/>
      <c r="VWV73" s="421" t="n"/>
      <c r="VWW73" s="421" t="n"/>
      <c r="VWX73" s="421" t="n"/>
      <c r="VWY73" s="421" t="n"/>
      <c r="VWZ73" s="421" t="n"/>
      <c r="VXA73" s="421" t="n"/>
      <c r="VXB73" s="421" t="n"/>
      <c r="VXC73" s="421" t="n"/>
      <c r="VXD73" s="421" t="n"/>
      <c r="VXE73" s="421" t="n"/>
      <c r="VXF73" s="421" t="n"/>
      <c r="VXG73" s="421" t="n"/>
      <c r="VXH73" s="421" t="n"/>
      <c r="VXI73" s="421" t="n"/>
      <c r="VXJ73" s="421" t="n"/>
      <c r="VXK73" s="421" t="n"/>
      <c r="VXL73" s="421" t="n"/>
      <c r="VXM73" s="421" t="n"/>
      <c r="VXN73" s="421" t="n"/>
      <c r="VXO73" s="421" t="n"/>
      <c r="VXP73" s="421" t="n"/>
      <c r="VXQ73" s="421" t="n"/>
      <c r="VXR73" s="421" t="n"/>
      <c r="VXS73" s="421" t="n"/>
      <c r="VXT73" s="421" t="n"/>
      <c r="VXU73" s="421" t="n"/>
      <c r="VXV73" s="421" t="n"/>
      <c r="VXW73" s="421" t="n"/>
      <c r="VXX73" s="421" t="n"/>
      <c r="VXY73" s="421" t="n"/>
      <c r="VXZ73" s="421" t="n"/>
      <c r="VYA73" s="421" t="n"/>
      <c r="VYB73" s="421" t="n"/>
      <c r="VYC73" s="421" t="n"/>
      <c r="VYD73" s="421" t="n"/>
      <c r="VYE73" s="421" t="n"/>
      <c r="VYF73" s="421" t="n"/>
      <c r="VYG73" s="421" t="n"/>
      <c r="VYH73" s="421" t="n"/>
      <c r="VYI73" s="421" t="n"/>
      <c r="VYJ73" s="421" t="n"/>
      <c r="VYK73" s="421" t="n"/>
      <c r="VYL73" s="421" t="n"/>
      <c r="VYM73" s="421" t="n"/>
      <c r="VYN73" s="421" t="n"/>
      <c r="VYO73" s="421" t="n"/>
      <c r="VYP73" s="421" t="n"/>
      <c r="VYQ73" s="421" t="n"/>
      <c r="VYR73" s="421" t="n"/>
      <c r="VYS73" s="421" t="n"/>
      <c r="VYT73" s="421" t="n"/>
      <c r="VYU73" s="421" t="n"/>
      <c r="VYV73" s="421" t="n"/>
      <c r="VYW73" s="421" t="n"/>
      <c r="VYX73" s="421" t="n"/>
      <c r="VYY73" s="421" t="n"/>
      <c r="VYZ73" s="421" t="n"/>
      <c r="VZA73" s="421" t="n"/>
      <c r="VZB73" s="421" t="n"/>
      <c r="VZC73" s="421" t="n"/>
      <c r="VZD73" s="421" t="n"/>
      <c r="VZE73" s="421" t="n"/>
      <c r="VZF73" s="421" t="n"/>
      <c r="VZG73" s="421" t="n"/>
      <c r="VZH73" s="421" t="n"/>
      <c r="VZI73" s="421" t="n"/>
      <c r="VZJ73" s="421" t="n"/>
      <c r="VZK73" s="421" t="n"/>
      <c r="VZL73" s="421" t="n"/>
      <c r="VZM73" s="421" t="n"/>
      <c r="VZN73" s="421" t="n"/>
      <c r="VZO73" s="421" t="n"/>
      <c r="VZP73" s="421" t="n"/>
      <c r="VZQ73" s="421" t="n"/>
      <c r="VZR73" s="421" t="n"/>
      <c r="VZS73" s="421" t="n"/>
      <c r="VZT73" s="421" t="n"/>
      <c r="VZU73" s="421" t="n"/>
      <c r="VZV73" s="421" t="n"/>
      <c r="VZW73" s="421" t="n"/>
      <c r="VZX73" s="421" t="n"/>
      <c r="VZY73" s="421" t="n"/>
      <c r="VZZ73" s="421" t="n"/>
      <c r="WAA73" s="421" t="n"/>
      <c r="WAB73" s="421" t="n"/>
      <c r="WAC73" s="421" t="n"/>
      <c r="WAD73" s="421" t="n"/>
      <c r="WAE73" s="421" t="n"/>
      <c r="WAF73" s="421" t="n"/>
      <c r="WAG73" s="421" t="n"/>
      <c r="WAH73" s="421" t="n"/>
      <c r="WAI73" s="421" t="n"/>
      <c r="WAJ73" s="421" t="n"/>
      <c r="WAK73" s="421" t="n"/>
      <c r="WAL73" s="421" t="n"/>
      <c r="WAM73" s="421" t="n"/>
      <c r="WAN73" s="421" t="n"/>
      <c r="WAO73" s="421" t="n"/>
      <c r="WAP73" s="421" t="n"/>
      <c r="WAQ73" s="421" t="n"/>
      <c r="WAR73" s="421" t="n"/>
      <c r="WAS73" s="421" t="n"/>
      <c r="WAT73" s="421" t="n"/>
      <c r="WAU73" s="421" t="n"/>
      <c r="WAV73" s="421" t="n"/>
      <c r="WAW73" s="421" t="n"/>
      <c r="WAX73" s="421" t="n"/>
      <c r="WAY73" s="421" t="n"/>
      <c r="WAZ73" s="421" t="n"/>
      <c r="WBA73" s="421" t="n"/>
      <c r="WBB73" s="421" t="n"/>
      <c r="WBC73" s="421" t="n"/>
      <c r="WBD73" s="421" t="n"/>
      <c r="WBE73" s="421" t="n"/>
      <c r="WBF73" s="421" t="n"/>
      <c r="WBG73" s="421" t="n"/>
      <c r="WBH73" s="421" t="n"/>
      <c r="WBI73" s="421" t="n"/>
      <c r="WBJ73" s="421" t="n"/>
      <c r="WBK73" s="421" t="n"/>
      <c r="WBL73" s="421" t="n"/>
      <c r="WBM73" s="421" t="n"/>
      <c r="WBN73" s="421" t="n"/>
      <c r="WBO73" s="421" t="n"/>
      <c r="WBP73" s="421" t="n"/>
      <c r="WBQ73" s="421" t="n"/>
      <c r="WBR73" s="421" t="n"/>
      <c r="WBS73" s="421" t="n"/>
      <c r="WBT73" s="421" t="n"/>
      <c r="WBU73" s="421" t="n"/>
      <c r="WBV73" s="421" t="n"/>
      <c r="WBW73" s="421" t="n"/>
      <c r="WBX73" s="421" t="n"/>
      <c r="WBY73" s="421" t="n"/>
      <c r="WBZ73" s="421" t="n"/>
      <c r="WCA73" s="421" t="n"/>
      <c r="WCB73" s="421" t="n"/>
      <c r="WCC73" s="421" t="n"/>
      <c r="WCD73" s="421" t="n"/>
      <c r="WCE73" s="421" t="n"/>
      <c r="WCF73" s="421" t="n"/>
      <c r="WCG73" s="421" t="n"/>
      <c r="WCH73" s="421" t="n"/>
      <c r="WCI73" s="421" t="n"/>
      <c r="WCJ73" s="421" t="n"/>
      <c r="WCK73" s="421" t="n"/>
      <c r="WCL73" s="421" t="n"/>
      <c r="WCM73" s="421" t="n"/>
      <c r="WCN73" s="421" t="n"/>
      <c r="WCO73" s="421" t="n"/>
      <c r="WCP73" s="421" t="n"/>
      <c r="WCQ73" s="421" t="n"/>
      <c r="WCR73" s="421" t="n"/>
      <c r="WCS73" s="421" t="n"/>
      <c r="WCT73" s="421" t="n"/>
      <c r="WCU73" s="421" t="n"/>
      <c r="WCV73" s="421" t="n"/>
      <c r="WCW73" s="421" t="n"/>
      <c r="WCX73" s="421" t="n"/>
      <c r="WCY73" s="421" t="n"/>
      <c r="WCZ73" s="421" t="n"/>
      <c r="WDA73" s="421" t="n"/>
      <c r="WDB73" s="421" t="n"/>
      <c r="WDC73" s="421" t="n"/>
      <c r="WDD73" s="421" t="n"/>
      <c r="WDE73" s="421" t="n"/>
      <c r="WDF73" s="421" t="n"/>
      <c r="WDG73" s="421" t="n"/>
      <c r="WDH73" s="421" t="n"/>
      <c r="WDI73" s="421" t="n"/>
      <c r="WDJ73" s="421" t="n"/>
      <c r="WDK73" s="421" t="n"/>
      <c r="WDL73" s="421" t="n"/>
      <c r="WDM73" s="421" t="n"/>
      <c r="WDN73" s="421" t="n"/>
      <c r="WDO73" s="421" t="n"/>
      <c r="WDP73" s="421" t="n"/>
      <c r="WDQ73" s="421" t="n"/>
      <c r="WDR73" s="421" t="n"/>
      <c r="WDS73" s="421" t="n"/>
      <c r="WDT73" s="421" t="n"/>
      <c r="WDU73" s="421" t="n"/>
      <c r="WDV73" s="421" t="n"/>
      <c r="WDW73" s="421" t="n"/>
      <c r="WDX73" s="421" t="n"/>
      <c r="WDY73" s="421" t="n"/>
      <c r="WDZ73" s="421" t="n"/>
      <c r="WEA73" s="421" t="n"/>
      <c r="WEB73" s="421" t="n"/>
      <c r="WEC73" s="421" t="n"/>
      <c r="WED73" s="421" t="n"/>
      <c r="WEE73" s="421" t="n"/>
      <c r="WEF73" s="421" t="n"/>
      <c r="WEG73" s="421" t="n"/>
      <c r="WEH73" s="421" t="n"/>
      <c r="WEI73" s="421" t="n"/>
      <c r="WEJ73" s="421" t="n"/>
      <c r="WEK73" s="421" t="n"/>
      <c r="WEL73" s="421" t="n"/>
      <c r="WEM73" s="421" t="n"/>
      <c r="WEN73" s="421" t="n"/>
      <c r="WEO73" s="421" t="n"/>
      <c r="WEP73" s="421" t="n"/>
      <c r="WEQ73" s="421" t="n"/>
      <c r="WER73" s="421" t="n"/>
      <c r="WES73" s="421" t="n"/>
      <c r="WET73" s="421" t="n"/>
      <c r="WEU73" s="421" t="n"/>
      <c r="WEV73" s="421" t="n"/>
      <c r="WEW73" s="421" t="n"/>
      <c r="WEX73" s="421" t="n"/>
      <c r="WEY73" s="421" t="n"/>
      <c r="WEZ73" s="421" t="n"/>
      <c r="WFA73" s="421" t="n"/>
      <c r="WFB73" s="421" t="n"/>
      <c r="WFC73" s="421" t="n"/>
      <c r="WFD73" s="421" t="n"/>
      <c r="WFE73" s="421" t="n"/>
      <c r="WFF73" s="421" t="n"/>
      <c r="WFG73" s="421" t="n"/>
      <c r="WFH73" s="421" t="n"/>
      <c r="WFI73" s="421" t="n"/>
      <c r="WFJ73" s="421" t="n"/>
      <c r="WFK73" s="421" t="n"/>
      <c r="WFL73" s="421" t="n"/>
      <c r="WFM73" s="421" t="n"/>
      <c r="WFN73" s="421" t="n"/>
      <c r="WFO73" s="421" t="n"/>
      <c r="WFP73" s="421" t="n"/>
      <c r="WFQ73" s="421" t="n"/>
      <c r="WFR73" s="421" t="n"/>
      <c r="WFS73" s="421" t="n"/>
      <c r="WFT73" s="421" t="n"/>
      <c r="WFU73" s="421" t="n"/>
      <c r="WFV73" s="421" t="n"/>
      <c r="WFW73" s="421" t="n"/>
      <c r="WFX73" s="421" t="n"/>
      <c r="WFY73" s="421" t="n"/>
      <c r="WFZ73" s="421" t="n"/>
      <c r="WGA73" s="421" t="n"/>
      <c r="WGB73" s="421" t="n"/>
      <c r="WGC73" s="421" t="n"/>
      <c r="WGD73" s="421" t="n"/>
      <c r="WGE73" s="421" t="n"/>
      <c r="WGF73" s="421" t="n"/>
      <c r="WGG73" s="421" t="n"/>
      <c r="WGH73" s="421" t="n"/>
      <c r="WGI73" s="421" t="n"/>
      <c r="WGJ73" s="421" t="n"/>
      <c r="WGK73" s="421" t="n"/>
      <c r="WGL73" s="421" t="n"/>
      <c r="WGM73" s="421" t="n"/>
      <c r="WGN73" s="421" t="n"/>
      <c r="WGO73" s="421" t="n"/>
      <c r="WGP73" s="421" t="n"/>
      <c r="WGQ73" s="421" t="n"/>
      <c r="WGR73" s="421" t="n"/>
      <c r="WGS73" s="421" t="n"/>
      <c r="WGT73" s="421" t="n"/>
      <c r="WGU73" s="421" t="n"/>
      <c r="WGV73" s="421" t="n"/>
      <c r="WGW73" s="421" t="n"/>
      <c r="WGX73" s="421" t="n"/>
      <c r="WGY73" s="421" t="n"/>
      <c r="WGZ73" s="421" t="n"/>
      <c r="WHA73" s="421" t="n"/>
      <c r="WHB73" s="421" t="n"/>
      <c r="WHC73" s="421" t="n"/>
      <c r="WHD73" s="421" t="n"/>
      <c r="WHE73" s="421" t="n"/>
      <c r="WHF73" s="421" t="n"/>
      <c r="WHG73" s="421" t="n"/>
      <c r="WHH73" s="421" t="n"/>
      <c r="WHI73" s="421" t="n"/>
      <c r="WHJ73" s="421" t="n"/>
      <c r="WHK73" s="421" t="n"/>
      <c r="WHL73" s="421" t="n"/>
      <c r="WHM73" s="421" t="n"/>
      <c r="WHN73" s="421" t="n"/>
      <c r="WHO73" s="421" t="n"/>
      <c r="WHP73" s="421" t="n"/>
      <c r="WHQ73" s="421" t="n"/>
      <c r="WHR73" s="421" t="n"/>
      <c r="WHS73" s="421" t="n"/>
      <c r="WHT73" s="421" t="n"/>
      <c r="WHU73" s="421" t="n"/>
      <c r="WHV73" s="421" t="n"/>
      <c r="WHW73" s="421" t="n"/>
      <c r="WHX73" s="421" t="n"/>
      <c r="WHY73" s="421" t="n"/>
      <c r="WHZ73" s="421" t="n"/>
      <c r="WIA73" s="421" t="n"/>
      <c r="WIB73" s="421" t="n"/>
      <c r="WIC73" s="421" t="n"/>
      <c r="WID73" s="421" t="n"/>
      <c r="WIE73" s="421" t="n"/>
      <c r="WIF73" s="421" t="n"/>
      <c r="WIG73" s="421" t="n"/>
      <c r="WIH73" s="421" t="n"/>
      <c r="WII73" s="421" t="n"/>
      <c r="WIJ73" s="421" t="n"/>
      <c r="WIK73" s="421" t="n"/>
      <c r="WIL73" s="421" t="n"/>
      <c r="WIM73" s="421" t="n"/>
      <c r="WIN73" s="421" t="n"/>
      <c r="WIO73" s="421" t="n"/>
      <c r="WIP73" s="421" t="n"/>
      <c r="WIQ73" s="421" t="n"/>
      <c r="WIR73" s="421" t="n"/>
      <c r="WIS73" s="421" t="n"/>
      <c r="WIT73" s="421" t="n"/>
      <c r="WIU73" s="421" t="n"/>
      <c r="WIV73" s="421" t="n"/>
      <c r="WIW73" s="421" t="n"/>
      <c r="WIX73" s="421" t="n"/>
      <c r="WIY73" s="421" t="n"/>
      <c r="WIZ73" s="421" t="n"/>
      <c r="WJA73" s="421" t="n"/>
      <c r="WJB73" s="421" t="n"/>
      <c r="WJC73" s="421" t="n"/>
      <c r="WJD73" s="421" t="n"/>
      <c r="WJE73" s="421" t="n"/>
      <c r="WJF73" s="421" t="n"/>
      <c r="WJG73" s="421" t="n"/>
      <c r="WJH73" s="421" t="n"/>
      <c r="WJI73" s="421" t="n"/>
      <c r="WJJ73" s="421" t="n"/>
      <c r="WJK73" s="421" t="n"/>
      <c r="WJL73" s="421" t="n"/>
      <c r="WJM73" s="421" t="n"/>
      <c r="WJN73" s="421" t="n"/>
      <c r="WJO73" s="421" t="n"/>
      <c r="WJP73" s="421" t="n"/>
      <c r="WJQ73" s="421" t="n"/>
      <c r="WJR73" s="421" t="n"/>
      <c r="WJS73" s="421" t="n"/>
      <c r="WJT73" s="421" t="n"/>
      <c r="WJU73" s="421" t="n"/>
      <c r="WJV73" s="421" t="n"/>
      <c r="WJW73" s="421" t="n"/>
      <c r="WJX73" s="421" t="n"/>
      <c r="WJY73" s="421" t="n"/>
      <c r="WJZ73" s="421" t="n"/>
      <c r="WKA73" s="421" t="n"/>
      <c r="WKB73" s="421" t="n"/>
      <c r="WKC73" s="421" t="n"/>
      <c r="WKD73" s="421" t="n"/>
      <c r="WKE73" s="421" t="n"/>
      <c r="WKF73" s="421" t="n"/>
      <c r="WKG73" s="421" t="n"/>
      <c r="WKH73" s="421" t="n"/>
      <c r="WKI73" s="421" t="n"/>
      <c r="WKJ73" s="421" t="n"/>
      <c r="WKK73" s="421" t="n"/>
      <c r="WKL73" s="421" t="n"/>
      <c r="WKM73" s="421" t="n"/>
      <c r="WKN73" s="421" t="n"/>
      <c r="WKO73" s="421" t="n"/>
      <c r="WKP73" s="421" t="n"/>
      <c r="WKQ73" s="421" t="n"/>
      <c r="WKR73" s="421" t="n"/>
      <c r="WKS73" s="421" t="n"/>
      <c r="WKT73" s="421" t="n"/>
      <c r="WKU73" s="421" t="n"/>
      <c r="WKV73" s="421" t="n"/>
      <c r="WKW73" s="421" t="n"/>
      <c r="WKX73" s="421" t="n"/>
      <c r="WKY73" s="421" t="n"/>
      <c r="WKZ73" s="421" t="n"/>
      <c r="WLA73" s="421" t="n"/>
      <c r="WLB73" s="421" t="n"/>
      <c r="WLC73" s="421" t="n"/>
      <c r="WLD73" s="421" t="n"/>
      <c r="WLE73" s="421" t="n"/>
      <c r="WLF73" s="421" t="n"/>
      <c r="WLG73" s="421" t="n"/>
      <c r="WLH73" s="421" t="n"/>
      <c r="WLI73" s="421" t="n"/>
      <c r="WLJ73" s="421" t="n"/>
      <c r="WLK73" s="421" t="n"/>
      <c r="WLL73" s="421" t="n"/>
      <c r="WLM73" s="421" t="n"/>
      <c r="WLN73" s="421" t="n"/>
      <c r="WLO73" s="421" t="n"/>
      <c r="WLP73" s="421" t="n"/>
      <c r="WLQ73" s="421" t="n"/>
      <c r="WLR73" s="421" t="n"/>
      <c r="WLS73" s="421" t="n"/>
      <c r="WLT73" s="421" t="n"/>
      <c r="WLU73" s="421" t="n"/>
      <c r="WLV73" s="421" t="n"/>
      <c r="WLW73" s="421" t="n"/>
      <c r="WLX73" s="421" t="n"/>
      <c r="WLY73" s="421" t="n"/>
      <c r="WLZ73" s="421" t="n"/>
      <c r="WMA73" s="421" t="n"/>
      <c r="WMB73" s="421" t="n"/>
      <c r="WMC73" s="421" t="n"/>
      <c r="WMD73" s="421" t="n"/>
      <c r="WME73" s="421" t="n"/>
      <c r="WMF73" s="421" t="n"/>
      <c r="WMG73" s="421" t="n"/>
      <c r="WMH73" s="421" t="n"/>
      <c r="WMI73" s="421" t="n"/>
      <c r="WMJ73" s="421" t="n"/>
      <c r="WMK73" s="421" t="n"/>
      <c r="WML73" s="421" t="n"/>
      <c r="WMM73" s="421" t="n"/>
      <c r="WMN73" s="421" t="n"/>
      <c r="WMO73" s="421" t="n"/>
      <c r="WMP73" s="421" t="n"/>
      <c r="WMQ73" s="421" t="n"/>
      <c r="WMR73" s="421" t="n"/>
      <c r="WMS73" s="421" t="n"/>
      <c r="WMT73" s="421" t="n"/>
      <c r="WMU73" s="421" t="n"/>
      <c r="WMV73" s="421" t="n"/>
      <c r="WMW73" s="421" t="n"/>
      <c r="WMX73" s="421" t="n"/>
      <c r="WMY73" s="421" t="n"/>
      <c r="WMZ73" s="421" t="n"/>
      <c r="WNA73" s="421" t="n"/>
      <c r="WNB73" s="421" t="n"/>
      <c r="WNC73" s="421" t="n"/>
      <c r="WND73" s="421" t="n"/>
      <c r="WNE73" s="421" t="n"/>
      <c r="WNF73" s="421" t="n"/>
      <c r="WNG73" s="421" t="n"/>
      <c r="WNH73" s="421" t="n"/>
      <c r="WNI73" s="421" t="n"/>
      <c r="WNJ73" s="421" t="n"/>
      <c r="WNK73" s="421" t="n"/>
      <c r="WNL73" s="421" t="n"/>
      <c r="WNM73" s="421" t="n"/>
      <c r="WNN73" s="421" t="n"/>
      <c r="WNO73" s="421" t="n"/>
      <c r="WNP73" s="421" t="n"/>
      <c r="WNQ73" s="421" t="n"/>
      <c r="WNR73" s="421" t="n"/>
      <c r="WNS73" s="421" t="n"/>
      <c r="WNT73" s="421" t="n"/>
      <c r="WNU73" s="421" t="n"/>
      <c r="WNV73" s="421" t="n"/>
      <c r="WNW73" s="421" t="n"/>
      <c r="WNX73" s="421" t="n"/>
      <c r="WNY73" s="421" t="n"/>
      <c r="WNZ73" s="421" t="n"/>
      <c r="WOA73" s="421" t="n"/>
      <c r="WOB73" s="421" t="n"/>
      <c r="WOC73" s="421" t="n"/>
      <c r="WOD73" s="421" t="n"/>
      <c r="WOE73" s="421" t="n"/>
      <c r="WOF73" s="421" t="n"/>
      <c r="WOG73" s="421" t="n"/>
      <c r="WOH73" s="421" t="n"/>
      <c r="WOI73" s="421" t="n"/>
      <c r="WOJ73" s="421" t="n"/>
      <c r="WOK73" s="421" t="n"/>
      <c r="WOL73" s="421" t="n"/>
      <c r="WOM73" s="421" t="n"/>
      <c r="WON73" s="421" t="n"/>
      <c r="WOO73" s="421" t="n"/>
      <c r="WOP73" s="421" t="n"/>
      <c r="WOQ73" s="421" t="n"/>
      <c r="WOR73" s="421" t="n"/>
      <c r="WOS73" s="421" t="n"/>
      <c r="WOT73" s="421" t="n"/>
      <c r="WOU73" s="421" t="n"/>
      <c r="WOV73" s="421" t="n"/>
      <c r="WOW73" s="421" t="n"/>
      <c r="WOX73" s="421" t="n"/>
      <c r="WOY73" s="421" t="n"/>
      <c r="WOZ73" s="421" t="n"/>
      <c r="WPA73" s="421" t="n"/>
      <c r="WPB73" s="421" t="n"/>
      <c r="WPC73" s="421" t="n"/>
      <c r="WPD73" s="421" t="n"/>
      <c r="WPE73" s="421" t="n"/>
      <c r="WPF73" s="421" t="n"/>
      <c r="WPG73" s="421" t="n"/>
      <c r="WPH73" s="421" t="n"/>
      <c r="WPI73" s="421" t="n"/>
      <c r="WPJ73" s="421" t="n"/>
      <c r="WPK73" s="421" t="n"/>
      <c r="WPL73" s="421" t="n"/>
      <c r="WPM73" s="421" t="n"/>
      <c r="WPN73" s="421" t="n"/>
      <c r="WPO73" s="421" t="n"/>
      <c r="WPP73" s="421" t="n"/>
      <c r="WPQ73" s="421" t="n"/>
      <c r="WPR73" s="421" t="n"/>
      <c r="WPS73" s="421" t="n"/>
      <c r="WPT73" s="421" t="n"/>
      <c r="WPU73" s="421" t="n"/>
      <c r="WPV73" s="421" t="n"/>
      <c r="WPW73" s="421" t="n"/>
      <c r="WPX73" s="421" t="n"/>
      <c r="WPY73" s="421" t="n"/>
      <c r="WPZ73" s="421" t="n"/>
      <c r="WQA73" s="421" t="n"/>
      <c r="WQB73" s="421" t="n"/>
      <c r="WQC73" s="421" t="n"/>
      <c r="WQD73" s="421" t="n"/>
      <c r="WQE73" s="421" t="n"/>
      <c r="WQF73" s="421" t="n"/>
      <c r="WQG73" s="421" t="n"/>
      <c r="WQH73" s="421" t="n"/>
      <c r="WQI73" s="421" t="n"/>
      <c r="WQJ73" s="421" t="n"/>
      <c r="WQK73" s="421" t="n"/>
      <c r="WQL73" s="421" t="n"/>
      <c r="WQM73" s="421" t="n"/>
      <c r="WQN73" s="421" t="n"/>
      <c r="WQO73" s="421" t="n"/>
      <c r="WQP73" s="421" t="n"/>
      <c r="WQQ73" s="421" t="n"/>
      <c r="WQR73" s="421" t="n"/>
      <c r="WQS73" s="421" t="n"/>
      <c r="WQT73" s="421" t="n"/>
      <c r="WQU73" s="421" t="n"/>
      <c r="WQV73" s="421" t="n"/>
      <c r="WQW73" s="421" t="n"/>
      <c r="WQX73" s="421" t="n"/>
      <c r="WQY73" s="421" t="n"/>
      <c r="WQZ73" s="421" t="n"/>
      <c r="WRA73" s="421" t="n"/>
      <c r="WRB73" s="421" t="n"/>
      <c r="WRC73" s="421" t="n"/>
      <c r="WRD73" s="421" t="n"/>
      <c r="WRE73" s="421" t="n"/>
      <c r="WRF73" s="421" t="n"/>
      <c r="WRG73" s="421" t="n"/>
      <c r="WRH73" s="421" t="n"/>
      <c r="WRI73" s="421" t="n"/>
      <c r="WRJ73" s="421" t="n"/>
      <c r="WRK73" s="421" t="n"/>
      <c r="WRL73" s="421" t="n"/>
      <c r="WRM73" s="421" t="n"/>
      <c r="WRN73" s="421" t="n"/>
      <c r="WRO73" s="421" t="n"/>
      <c r="WRP73" s="421" t="n"/>
      <c r="WRQ73" s="421" t="n"/>
      <c r="WRR73" s="421" t="n"/>
      <c r="WRS73" s="421" t="n"/>
      <c r="WRT73" s="421" t="n"/>
      <c r="WRU73" s="421" t="n"/>
      <c r="WRV73" s="421" t="n"/>
      <c r="WRW73" s="421" t="n"/>
      <c r="WRX73" s="421" t="n"/>
      <c r="WRY73" s="421" t="n"/>
      <c r="WRZ73" s="421" t="n"/>
      <c r="WSA73" s="421" t="n"/>
      <c r="WSB73" s="421" t="n"/>
      <c r="WSC73" s="421" t="n"/>
      <c r="WSD73" s="421" t="n"/>
      <c r="WSE73" s="421" t="n"/>
      <c r="WSF73" s="421" t="n"/>
      <c r="WSG73" s="421" t="n"/>
      <c r="WSH73" s="421" t="n"/>
      <c r="WSI73" s="421" t="n"/>
      <c r="WSJ73" s="421" t="n"/>
      <c r="WSK73" s="421" t="n"/>
      <c r="WSL73" s="421" t="n"/>
      <c r="WSM73" s="421" t="n"/>
      <c r="WSN73" s="421" t="n"/>
      <c r="WSO73" s="421" t="n"/>
      <c r="WSP73" s="421" t="n"/>
      <c r="WSQ73" s="421" t="n"/>
      <c r="WSR73" s="421" t="n"/>
      <c r="WSS73" s="421" t="n"/>
      <c r="WST73" s="421" t="n"/>
      <c r="WSU73" s="421" t="n"/>
      <c r="WSV73" s="421" t="n"/>
      <c r="WSW73" s="421" t="n"/>
      <c r="WSX73" s="421" t="n"/>
      <c r="WSY73" s="421" t="n"/>
      <c r="WSZ73" s="421" t="n"/>
      <c r="WTA73" s="421" t="n"/>
      <c r="WTB73" s="421" t="n"/>
      <c r="WTC73" s="421" t="n"/>
      <c r="WTD73" s="421" t="n"/>
      <c r="WTE73" s="421" t="n"/>
      <c r="WTF73" s="421" t="n"/>
      <c r="WTG73" s="421" t="n"/>
      <c r="WTH73" s="421" t="n"/>
      <c r="WTI73" s="421" t="n"/>
      <c r="WTJ73" s="421" t="n"/>
      <c r="WTK73" s="421" t="n"/>
      <c r="WTL73" s="421" t="n"/>
      <c r="WTM73" s="421" t="n"/>
      <c r="WTN73" s="421" t="n"/>
      <c r="WTO73" s="421" t="n"/>
      <c r="WTP73" s="421" t="n"/>
      <c r="WTQ73" s="421" t="n"/>
      <c r="WTR73" s="421" t="n"/>
      <c r="WTS73" s="421" t="n"/>
      <c r="WTT73" s="421" t="n"/>
      <c r="WTU73" s="421" t="n"/>
      <c r="WTV73" s="421" t="n"/>
      <c r="WTW73" s="421" t="n"/>
      <c r="WTX73" s="421" t="n"/>
      <c r="WTY73" s="421" t="n"/>
      <c r="WTZ73" s="421" t="n"/>
      <c r="WUA73" s="421" t="n"/>
      <c r="WUB73" s="421" t="n"/>
      <c r="WUC73" s="421" t="n"/>
      <c r="WUD73" s="421" t="n"/>
      <c r="WUE73" s="421" t="n"/>
      <c r="WUF73" s="421" t="n"/>
      <c r="WUG73" s="421" t="n"/>
      <c r="WUH73" s="421" t="n"/>
      <c r="WUI73" s="421" t="n"/>
      <c r="WUJ73" s="421" t="n"/>
      <c r="WUK73" s="421" t="n"/>
      <c r="WUL73" s="421" t="n"/>
      <c r="WUM73" s="421" t="n"/>
      <c r="WUN73" s="421" t="n"/>
      <c r="WUO73" s="421" t="n"/>
      <c r="WUP73" s="421" t="n"/>
      <c r="WUQ73" s="421" t="n"/>
      <c r="WUR73" s="421" t="n"/>
      <c r="WUS73" s="421" t="n"/>
      <c r="WUT73" s="421" t="n"/>
      <c r="WUU73" s="421" t="n"/>
      <c r="WUV73" s="421" t="n"/>
      <c r="WUW73" s="421" t="n"/>
      <c r="WUX73" s="421" t="n"/>
      <c r="WUY73" s="421" t="n"/>
      <c r="WUZ73" s="421" t="n"/>
      <c r="WVA73" s="421" t="n"/>
      <c r="WVB73" s="421" t="n"/>
      <c r="WVC73" s="421" t="n"/>
      <c r="WVD73" s="421" t="n"/>
      <c r="WVE73" s="421" t="n"/>
      <c r="WVF73" s="421" t="n"/>
      <c r="WVG73" s="421" t="n"/>
      <c r="WVH73" s="421" t="n"/>
      <c r="WVI73" s="421" t="n"/>
      <c r="WVJ73" s="421" t="n"/>
      <c r="WVK73" s="421" t="n"/>
      <c r="WVL73" s="421" t="n"/>
      <c r="WVM73" s="421" t="n"/>
      <c r="WVN73" s="421" t="n"/>
      <c r="WVO73" s="421" t="n"/>
      <c r="WVP73" s="421" t="n"/>
      <c r="WVQ73" s="421" t="n"/>
      <c r="WVR73" s="421" t="n"/>
      <c r="WVS73" s="421" t="n"/>
      <c r="WVT73" s="421" t="n"/>
      <c r="WVU73" s="421" t="n"/>
      <c r="WVV73" s="421" t="n"/>
      <c r="WVW73" s="421" t="n"/>
      <c r="WVX73" s="421" t="n"/>
      <c r="WVY73" s="421" t="n"/>
      <c r="WVZ73" s="421" t="n"/>
      <c r="WWA73" s="421" t="n"/>
      <c r="WWB73" s="421" t="n"/>
      <c r="WWC73" s="421" t="n"/>
      <c r="WWD73" s="421" t="n"/>
      <c r="WWE73" s="421" t="n"/>
      <c r="WWF73" s="421" t="n"/>
      <c r="WWG73" s="421" t="n"/>
      <c r="WWH73" s="421" t="n"/>
      <c r="WWI73" s="421" t="n"/>
      <c r="WWJ73" s="421" t="n"/>
      <c r="WWK73" s="421" t="n"/>
      <c r="WWL73" s="421" t="n"/>
      <c r="WWM73" s="421" t="n"/>
      <c r="WWN73" s="421" t="n"/>
      <c r="WWO73" s="421" t="n"/>
      <c r="WWP73" s="421" t="n"/>
      <c r="WWQ73" s="421" t="n"/>
      <c r="WWR73" s="421" t="n"/>
      <c r="WWS73" s="421" t="n"/>
      <c r="WWT73" s="421" t="n"/>
      <c r="WWU73" s="421" t="n"/>
      <c r="WWV73" s="421" t="n"/>
      <c r="WWW73" s="421" t="n"/>
      <c r="WWX73" s="421" t="n"/>
      <c r="WWY73" s="421" t="n"/>
      <c r="WWZ73" s="421" t="n"/>
      <c r="WXA73" s="421" t="n"/>
      <c r="WXB73" s="421" t="n"/>
      <c r="WXC73" s="421" t="n"/>
      <c r="WXD73" s="421" t="n"/>
      <c r="WXE73" s="421" t="n"/>
      <c r="WXF73" s="421" t="n"/>
      <c r="WXG73" s="421" t="n"/>
      <c r="WXH73" s="421" t="n"/>
      <c r="WXI73" s="421" t="n"/>
      <c r="WXJ73" s="421" t="n"/>
      <c r="WXK73" s="421" t="n"/>
      <c r="WXL73" s="421" t="n"/>
      <c r="WXM73" s="421" t="n"/>
      <c r="WXN73" s="421" t="n"/>
      <c r="WXO73" s="421" t="n"/>
      <c r="WXP73" s="421" t="n"/>
      <c r="WXQ73" s="421" t="n"/>
      <c r="WXR73" s="421" t="n"/>
      <c r="WXS73" s="421" t="n"/>
      <c r="WXT73" s="421" t="n"/>
      <c r="WXU73" s="421" t="n"/>
      <c r="WXV73" s="421" t="n"/>
      <c r="WXW73" s="421" t="n"/>
      <c r="WXX73" s="421" t="n"/>
      <c r="WXY73" s="421" t="n"/>
      <c r="WXZ73" s="421" t="n"/>
      <c r="WYA73" s="421" t="n"/>
      <c r="WYB73" s="421" t="n"/>
      <c r="WYC73" s="421" t="n"/>
      <c r="WYD73" s="421" t="n"/>
      <c r="WYE73" s="421" t="n"/>
      <c r="WYF73" s="421" t="n"/>
      <c r="WYG73" s="421" t="n"/>
      <c r="WYH73" s="421" t="n"/>
      <c r="WYI73" s="421" t="n"/>
      <c r="WYJ73" s="421" t="n"/>
      <c r="WYK73" s="421" t="n"/>
      <c r="WYL73" s="421" t="n"/>
      <c r="WYM73" s="421" t="n"/>
      <c r="WYN73" s="421" t="n"/>
      <c r="WYO73" s="421" t="n"/>
      <c r="WYP73" s="421" t="n"/>
      <c r="WYQ73" s="421" t="n"/>
      <c r="WYR73" s="421" t="n"/>
      <c r="WYS73" s="421" t="n"/>
      <c r="WYT73" s="421" t="n"/>
      <c r="WYU73" s="421" t="n"/>
      <c r="WYV73" s="421" t="n"/>
      <c r="WYW73" s="421" t="n"/>
      <c r="WYX73" s="421" t="n"/>
      <c r="WYY73" s="421" t="n"/>
      <c r="WYZ73" s="421" t="n"/>
      <c r="WZA73" s="421" t="n"/>
      <c r="WZB73" s="421" t="n"/>
      <c r="WZC73" s="421" t="n"/>
      <c r="WZD73" s="421" t="n"/>
      <c r="WZE73" s="421" t="n"/>
      <c r="WZF73" s="421" t="n"/>
      <c r="WZG73" s="421" t="n"/>
      <c r="WZH73" s="421" t="n"/>
      <c r="WZI73" s="421" t="n"/>
      <c r="WZJ73" s="421" t="n"/>
      <c r="WZK73" s="421" t="n"/>
      <c r="WZL73" s="421" t="n"/>
      <c r="WZM73" s="421" t="n"/>
      <c r="WZN73" s="421" t="n"/>
      <c r="WZO73" s="421" t="n"/>
      <c r="WZP73" s="421" t="n"/>
      <c r="WZQ73" s="421" t="n"/>
      <c r="WZR73" s="421" t="n"/>
      <c r="WZS73" s="421" t="n"/>
      <c r="WZT73" s="421" t="n"/>
      <c r="WZU73" s="421" t="n"/>
      <c r="WZV73" s="421" t="n"/>
      <c r="WZW73" s="421" t="n"/>
      <c r="WZX73" s="421" t="n"/>
      <c r="WZY73" s="421" t="n"/>
      <c r="WZZ73" s="421" t="n"/>
      <c r="XAA73" s="421" t="n"/>
      <c r="XAB73" s="421" t="n"/>
      <c r="XAC73" s="421" t="n"/>
      <c r="XAD73" s="421" t="n"/>
      <c r="XAE73" s="421" t="n"/>
      <c r="XAF73" s="421" t="n"/>
      <c r="XAG73" s="421" t="n"/>
      <c r="XAH73" s="421" t="n"/>
      <c r="XAI73" s="421" t="n"/>
      <c r="XAJ73" s="421" t="n"/>
      <c r="XAK73" s="421" t="n"/>
      <c r="XAL73" s="421" t="n"/>
      <c r="XAM73" s="421" t="n"/>
      <c r="XAN73" s="421" t="n"/>
      <c r="XAO73" s="421" t="n"/>
      <c r="XAP73" s="421" t="n"/>
      <c r="XAQ73" s="421" t="n"/>
      <c r="XAR73" s="421" t="n"/>
      <c r="XAS73" s="421" t="n"/>
      <c r="XAT73" s="421" t="n"/>
      <c r="XAU73" s="421" t="n"/>
      <c r="XAV73" s="421" t="n"/>
      <c r="XAW73" s="421" t="n"/>
      <c r="XAX73" s="421" t="n"/>
      <c r="XAY73" s="421" t="n"/>
      <c r="XAZ73" s="421" t="n"/>
      <c r="XBA73" s="421" t="n"/>
      <c r="XBB73" s="421" t="n"/>
      <c r="XBC73" s="421" t="n"/>
      <c r="XBD73" s="421" t="n"/>
      <c r="XBE73" s="421" t="n"/>
      <c r="XBF73" s="421" t="n"/>
      <c r="XBG73" s="421" t="n"/>
      <c r="XBH73" s="421" t="n"/>
      <c r="XBI73" s="421" t="n"/>
      <c r="XBJ73" s="421" t="n"/>
      <c r="XBK73" s="421" t="n"/>
      <c r="XBL73" s="421" t="n"/>
      <c r="XBM73" s="421" t="n"/>
      <c r="XBN73" s="421" t="n"/>
      <c r="XBO73" s="421" t="n"/>
      <c r="XBP73" s="421" t="n"/>
      <c r="XBQ73" s="421" t="n"/>
      <c r="XBR73" s="421" t="n"/>
      <c r="XBS73" s="421" t="n"/>
      <c r="XBT73" s="421" t="n"/>
      <c r="XBU73" s="421" t="n"/>
      <c r="XBV73" s="421" t="n"/>
      <c r="XBW73" s="421" t="n"/>
      <c r="XBX73" s="421" t="n"/>
      <c r="XBY73" s="421" t="n"/>
      <c r="XBZ73" s="421" t="n"/>
      <c r="XCA73" s="421" t="n"/>
      <c r="XCB73" s="421" t="n"/>
      <c r="XCC73" s="421" t="n"/>
      <c r="XCD73" s="421" t="n"/>
      <c r="XCE73" s="421" t="n"/>
      <c r="XCF73" s="421" t="n"/>
      <c r="XCG73" s="421" t="n"/>
      <c r="XCH73" s="421" t="n"/>
      <c r="XCI73" s="421" t="n"/>
      <c r="XCJ73" s="421" t="n"/>
      <c r="XCK73" s="421" t="n"/>
      <c r="XCL73" s="421" t="n"/>
      <c r="XCM73" s="421" t="n"/>
      <c r="XCN73" s="421" t="n"/>
      <c r="XCO73" s="421" t="n"/>
      <c r="XCP73" s="421" t="n"/>
      <c r="XCQ73" s="421" t="n"/>
      <c r="XCR73" s="421" t="n"/>
      <c r="XCS73" s="421" t="n"/>
      <c r="XCT73" s="421" t="n"/>
      <c r="XCU73" s="421" t="n"/>
      <c r="XCV73" s="421" t="n"/>
      <c r="XCW73" s="421" t="n"/>
      <c r="XCX73" s="421" t="n"/>
      <c r="XCY73" s="421" t="n"/>
      <c r="XCZ73" s="421" t="n"/>
      <c r="XDA73" s="421" t="n"/>
      <c r="XDB73" s="421" t="n"/>
      <c r="XDC73" s="421" t="n"/>
      <c r="XDD73" s="421" t="n"/>
      <c r="XDE73" s="421" t="n"/>
      <c r="XDF73" s="421" t="n"/>
      <c r="XDG73" s="421" t="n"/>
      <c r="XDH73" s="421" t="n"/>
      <c r="XDI73" s="421" t="n"/>
      <c r="XDJ73" s="421" t="n"/>
      <c r="XDK73" s="421" t="n"/>
      <c r="XDL73" s="421" t="n"/>
      <c r="XDM73" s="421" t="n"/>
      <c r="XDN73" s="421" t="n"/>
      <c r="XDO73" s="421" t="n"/>
      <c r="XDP73" s="421" t="n"/>
      <c r="XDQ73" s="421" t="n"/>
      <c r="XDR73" s="421" t="n"/>
      <c r="XDS73" s="421" t="n"/>
      <c r="XDT73" s="421" t="n"/>
      <c r="XDU73" s="421" t="n"/>
      <c r="XDV73" s="421" t="n"/>
      <c r="XDW73" s="421" t="n"/>
      <c r="XDX73" s="421" t="n"/>
      <c r="XDY73" s="421" t="n"/>
      <c r="XDZ73" s="421" t="n"/>
      <c r="XEA73" s="421" t="n"/>
      <c r="XEB73" s="421" t="n"/>
      <c r="XEC73" s="421" t="n"/>
      <c r="XED73" s="421" t="n"/>
      <c r="XEE73" s="421" t="n"/>
      <c r="XEF73" s="421" t="n"/>
      <c r="XEG73" s="421" t="n"/>
      <c r="XEH73" s="421" t="n"/>
      <c r="XEI73" s="421" t="n"/>
      <c r="XEJ73" s="421" t="n"/>
      <c r="XEK73" s="421" t="n"/>
      <c r="XEL73" s="421" t="n"/>
      <c r="XEM73" s="421" t="n"/>
      <c r="XEN73" s="421" t="n"/>
      <c r="XEO73" s="421" t="n"/>
      <c r="XEP73" s="421" t="n"/>
      <c r="XEQ73" s="421" t="n"/>
      <c r="XER73" s="421" t="n"/>
      <c r="XES73" s="421" t="n"/>
    </row>
    <row r="74" ht="273" customFormat="1" customHeight="1" s="183">
      <c r="A74" s="145">
        <f>A73+1</f>
        <v/>
      </c>
      <c r="B74" s="498" t="inlineStr">
        <is>
          <t>income_main_comp</t>
        </is>
      </c>
      <c r="C74" s="156" t="inlineStr">
        <is>
          <t>income_main_comp</t>
        </is>
      </c>
      <c r="D74" s="422" t="inlineStr">
        <is>
          <t>Has your household's income from {income_main} changed in the last 3 months compared to the same period of last year?
[OPERATOR: SINGLE RESPONSE.]
1)A lot more [increased by more than 50%]
2)Slightly more
3)Same
4)Slightly less
5)A lot less [less than half as much]
6)DON'T KNOW
7)REFUSED</t>
        </is>
      </c>
      <c r="E74" s="158">
        <f>LEN(D74)</f>
        <v/>
      </c>
      <c r="F74" s="422" t="inlineStr">
        <is>
          <t>Le revenu de votre ménage provenant de {income_main} a-t-il changé au cours des trois derniers mois par rapport à la même période de l'année dernière? 
[OPÉRATEUR/OPÉRATRICE: RÉPONSE UNIQUE.]
1)Très supérieur [augmentation de plus de 50%]
2)Légèrement supérieur
3)Identique
4)Légèrement inférieur
5)Très inférieur [moins de la moitié]
6)NE SAIT PAS
7)REFUSÉ</t>
        </is>
      </c>
      <c r="G74" s="158">
        <f>LEN(F74)</f>
        <v/>
      </c>
      <c r="H74" s="160" t="inlineStr">
        <is>
          <t>"Je, mapato ya famille yako kutoka kwa {income_main} yamebadilika katika miezi 3 iliyopita ikilinganishwa na kipindi kama hicho mwaka uliopita?
[OPERATOR: JIBU MOJA.]
1)Mengi zaidi [imeongezeka kwa zaidi ya 50%]
2)Zaidi kidogo
3)Sawa
4)Kidogo kidogo
5)Chini sana [chini ya nusu zaidi]
6)SIJUE
7)KUKATALA</t>
        </is>
      </c>
      <c r="I74" s="158">
        <f>LEN(H74)</f>
        <v/>
      </c>
      <c r="J74" s="161" t="inlineStr">
        <is>
          <t>Single Choice</t>
        </is>
      </c>
      <c r="K74" s="158" t="inlineStr">
        <is>
          <t>NA</t>
        </is>
      </c>
      <c r="L74" s="158" t="inlineStr">
        <is>
          <t>NA</t>
        </is>
      </c>
      <c r="M74" s="158" t="inlineStr">
        <is>
          <t>Form Type - Buttons</t>
        </is>
      </c>
      <c r="N74" s="149" t="inlineStr">
        <is>
          <t>NA</t>
        </is>
      </c>
      <c r="O74" s="423" t="inlineStr">
        <is>
          <t>1-7= income_sec</t>
        </is>
      </c>
      <c r="P74" s="424" t="n"/>
      <c r="Q74" s="423" t="inlineStr">
        <is>
          <t>if income_main_comp = 1-7, go to income_sec</t>
        </is>
      </c>
      <c r="R74" s="425" t="inlineStr"/>
      <c r="S74" s="166" t="n"/>
      <c r="T74" s="205">
        <f>1</f>
        <v/>
      </c>
      <c r="U74" s="133" t="n"/>
      <c r="W74" s="208" t="inlineStr">
        <is>
          <t>yes</t>
        </is>
      </c>
      <c r="X74" s="726" t="n"/>
      <c r="AA74" s="734" t="n">
        <v>22.1262149810791</v>
      </c>
      <c r="AB74" s="734">
        <f>IF(AA74="","",AA74*T74)</f>
        <v/>
      </c>
      <c r="AC74" s="133" t="inlineStr"/>
    </row>
    <row r="75" ht="409.5" customFormat="1" customHeight="1" s="183">
      <c r="A75" s="145">
        <f>A74+1</f>
        <v/>
      </c>
      <c r="B75" s="498" t="inlineStr">
        <is>
          <t>income_sec</t>
        </is>
      </c>
      <c r="C75" s="156" t="inlineStr">
        <is>
          <t>income_sec</t>
        </is>
      </c>
      <c r="D75" s="426" t="inlineStr">
        <is>
          <t>What was your household's second most important source of income in the past 3 months?
[OPERATOR: SINGLE RESPONSE. DON'T KNOW AND REFUSED OPTIONS SHOULD BE AVOIDED AS MUCH AS POSSIBLE.]
1)Production and sale of staple crops
2)Production and sale of vegetable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transfer/pension/ humanitarian aid
17)Income not derived from work / Remittances
18)Income not derived from work / Income from other rents
19)No second most important source of income
20)DON'T KNOW
21)REFUSED</t>
        </is>
      </c>
      <c r="E75" s="158">
        <f>LEN(D75)</f>
        <v/>
      </c>
      <c r="F75" s="427" t="inlineStr">
        <is>
          <t>Quelle était la deuxième source principale de revenus de votre ménage au cours des trois derniers mois?
[OPÉRATEUR/OPÉRATRICE: RÉPONSE UNIQUE. LES OPTIONS «NE SAIT PAS» ET «REFUSÉ» DOIVENT ÊTRE ÉVITÉES AUTANT QUE POSSIBLE].
1)Production et vente de cultures vivrières
2)Production et vente de légumes ou de fruits 
3)Production et vente de cultures de rente
4)Production et vente de bétail ou de produits animaux
5)Production et vente de miel ou de produits apicoles
6)Production et vente de poisson ou de produits aquatiques
7)Collecte et vente de produits forestiers ou de brousse
8)Commerce agricole EXCLUANT les producteurs [formel ou informel]
9)Salaire journalier dans une exploitation et autres emplois occasionnels dans le secteur agricole
10)Emploi stable dans le secteur agricole 
11)Indépendant non-agricole ou profession libérale / médecin / architecte / avocat / y compris restaurant
12)Salaire journalier hors exploitation et autres emplois occasionnels non agricoles
13)Emploi stable dans le secteur non-agricole
14)Emploi public 
15)Revenu non tiré du travail / Charité
16)Revenu non tiré du travail / Transferts sociaux/ pension/ aide humanitaire
17)Revenu non tiré du travail / Envois de fonds des migrants
18)Revenu non tiré du travail / Revenu d'autres loyers
19)Pas de deuxième source principale de revenus
20)NE SAIT PAS
21)REFUSÉ</t>
        </is>
      </c>
      <c r="G75" s="158">
        <f>LEN(F75)</f>
        <v/>
      </c>
      <c r="H75" s="160" t="inlineStr">
        <is>
          <t>Ni chanzo gani cha pili cha mapato kwa kaya yako katika kipindi cha miezi 3 iliyopita?
[OPERATOR: JIBU MOJA. SIJUE NA CHAGUO ZILIZOKUKATALA ZINAPASWA KUEPUKWA KADRI IWEZEKANAVYO.]
1)Uzalishaji na uuzaji wa mazao ya msingi
2)Uzalishaji na uuzaji wa mboga mboga au matunda
3)Uzalishaji na uuzaji wa mazao ya fedha
4)Uzalishaji na uuzaji wa mifugo au bidhaa za mifugo
5)Uzalishaji na uuzaji wa asali au mazao ya nyuki
6)Uzalishaji na uuzaji wa samaki au bidhaa za majini
7)Ukusanyaji na uuzaji wa mazao ya misitu au misitu
8)Biashara ya kilimo BILA KUWAHITIMIZA wazalishaji [rasmi au isiyo rasmi]
9)Mshahara wa kila siku kwenye mashamba na ajira yingine  za kawaida katika sekta ya kilimo
10)Ajira imara katika sekta ya kilimo
11)Kazi isiyo ya kilimo au taaluma ya huria / daktari / mbunifu / mwanasheria / pamoja na mgahawa
12)Mshahara wa kila siku nje ya shamba na ajira yingine  za kawaida zisizo za kilimo
13)Ajira imara katika sekta isiyo ya kilimo
14)Ajira za umma
15)Mapato yasiyotokana na kazi / Hisabati
16)Mapato yasiyotokana na kazi / Uhamisho wa ustawi / pensheni / misaada ya kibinadamu
17)Mapato yasiyotokana na kazi/Pesa
18)Mapato yasiyotokana na kazi / Mapato kutoka kwa kodi zingine
19)Hakuna chanzo cha pili muhimu zaidi cha mapato
20)SIJUE
21)KUKATALA</t>
        </is>
      </c>
      <c r="I75" s="158">
        <f>LEN(H75)</f>
        <v/>
      </c>
      <c r="J75" s="161" t="inlineStr">
        <is>
          <t>Single Choice</t>
        </is>
      </c>
      <c r="K75" s="158" t="inlineStr">
        <is>
          <t>NA</t>
        </is>
      </c>
      <c r="L75" s="158" t="inlineStr">
        <is>
          <t>NA</t>
        </is>
      </c>
      <c r="M75" s="446" t="inlineStr">
        <is>
          <t>Form Type - Buttons
exclude selected "income_main"
IsDemographic - income_sec</t>
        </is>
      </c>
      <c r="N75" s="149" t="inlineStr">
        <is>
          <t>NA</t>
        </is>
      </c>
      <c r="O75" s="150" t="inlineStr">
        <is>
          <t>1-3 = income_sec_crop_check
4 = income_sec_ls_check
5 = income_sec_amount
6 = income_sec_fish_check
7-18 = income_sec_amount
19-21 = shock</t>
        </is>
      </c>
      <c r="P75" s="151" t="n"/>
      <c r="Q75" s="393" t="inlineStr">
        <is>
          <t>if options #1-3 selected, go to income_sec_crop_check
if options #4 selected, go to income_sec_ls_check
if options #6 selected, go to income_sec_fish_check 
if options #5, 7-18 selected, go to [income_sec_comp OR optional question]
if options #19-21 selected, go to shock</t>
        </is>
      </c>
      <c r="R75" s="396" t="inlineStr"/>
      <c r="S75" s="166" t="n"/>
      <c r="T75" s="205">
        <f>1</f>
        <v/>
      </c>
      <c r="U75" s="133" t="n"/>
      <c r="W75" s="208" t="inlineStr">
        <is>
          <t>yes</t>
        </is>
      </c>
      <c r="X75" s="726" t="n"/>
      <c r="AA75" s="734" t="n">
        <v>18.71065330505371</v>
      </c>
      <c r="AB75" s="734">
        <f>IF(AA75="","",AA75*T75)</f>
        <v/>
      </c>
      <c r="AC75" s="133" t="inlineStr"/>
    </row>
    <row r="76" ht="189" customFormat="1" customHeight="1" s="430">
      <c r="A76" s="145">
        <f>A75+1</f>
        <v/>
      </c>
      <c r="B76" s="146" t="inlineStr">
        <is>
          <t>income_sec_crop_check</t>
        </is>
      </c>
      <c r="C76" s="146" t="inlineStr">
        <is>
          <t>income_sec_crop_check</t>
        </is>
      </c>
      <c r="D76" s="162" t="inlineStr">
        <is>
          <t>Are the crops sold also produced by you or anyone in your household?
[OPERATOR: SINGLE RESPONSE.]
1)YES
2)NO
3)DON'T KNOW
4)REFUSED</t>
        </is>
      </c>
      <c r="E76" s="148">
        <f>LEN(D76)</f>
        <v/>
      </c>
      <c r="F76" s="395" t="inlineStr">
        <is>
          <t>Les cultures vendues sont-elles également produites par vous ou quelqu'un de votre ménage?
[OPÉRATEUR/OPÉRATRICE: RÉPONSE UNIQUE.]
1)OUI
2)NON
3)NE SAIT PAS
4)REFUSÉ</t>
        </is>
      </c>
      <c r="G76" s="158">
        <f>LEN(F76)</f>
        <v/>
      </c>
      <c r="H76" s="160" t="inlineStr">
        <is>
          <t>Je, mazao yanayouzwa pia yamezalishwa na wewe au mtu yeyote katika famille yako?
[OPERATOR: JIBU MOJA.]
1)NDIYO
2)HAPANA
3)SIJUE
4)KUKATALA</t>
        </is>
      </c>
      <c r="I76" s="158">
        <f>LEN(H76)</f>
        <v/>
      </c>
      <c r="J76" s="156" t="inlineStr">
        <is>
          <t>Single Choice</t>
        </is>
      </c>
      <c r="K76" s="148" t="inlineStr">
        <is>
          <t>NA</t>
        </is>
      </c>
      <c r="L76" s="148" t="inlineStr">
        <is>
          <t>NA</t>
        </is>
      </c>
      <c r="M76" s="148" t="inlineStr">
        <is>
          <t>Form Type - Buttons</t>
        </is>
      </c>
      <c r="N76" s="149" t="inlineStr">
        <is>
          <t>NA</t>
        </is>
      </c>
      <c r="O76" s="150" t="inlineStr">
        <is>
          <t>1-4 = income_sec_amount</t>
        </is>
      </c>
      <c r="P76" s="151" t="n"/>
      <c r="Q76" s="393" t="inlineStr">
        <is>
          <t>if income_sec_crop_check = 1-4, go to [income_sec_comp OR optional question]</t>
        </is>
      </c>
      <c r="R76" s="396" t="inlineStr"/>
      <c r="S76" s="327" t="n"/>
      <c r="T76" s="428">
        <f>1</f>
        <v/>
      </c>
      <c r="U76" s="429" t="n"/>
      <c r="W76" s="431" t="inlineStr">
        <is>
          <t>yes</t>
        </is>
      </c>
      <c r="X76" s="725" t="n"/>
      <c r="AA76" s="743" t="n">
        <v>8</v>
      </c>
      <c r="AB76" s="743">
        <f>IF(AA76="","",AA76*T76)</f>
        <v/>
      </c>
      <c r="AC76" s="429" t="inlineStr"/>
    </row>
    <row r="77" ht="231" customFormat="1" customHeight="1" s="430">
      <c r="A77" s="145">
        <f>A76+1</f>
        <v/>
      </c>
      <c r="B77" s="146" t="inlineStr">
        <is>
          <t>income_sec_ls_check</t>
        </is>
      </c>
      <c r="C77" s="146" t="inlineStr">
        <is>
          <t>income_sec_ls_check</t>
        </is>
      </c>
      <c r="D77" s="397" t="inlineStr">
        <is>
          <t>Are the livestock or livestock products sold also produced by you or anyone in your household?
[OPERATOR: SINGLE RESPONSE.]
1)YES
2)NO
3)DON'T KNOW
4)REFUSED</t>
        </is>
      </c>
      <c r="E77" s="148">
        <f>LEN(D77)</f>
        <v/>
      </c>
      <c r="F77" s="395" t="inlineStr">
        <is>
          <t xml:space="preserve">Le bétail ou les produits du bétail vendus sont-ils également produits par vous ou quelqu'un de votre ménage?
[OPÉRATEUR/OPÉRATRICE: RÉPONSE UNIQUE.]
1)OUI
2)NON
3)NE SAIT PAS
4)REFUSÉ
</t>
        </is>
      </c>
      <c r="G77" s="158">
        <f>LEN(F77)</f>
        <v/>
      </c>
      <c r="H77" s="160" t="inlineStr">
        <is>
          <t>Je, mifugo au bidhaa za mifugo zinazouzwa pia zimezalishwa na wewe au mtu yeyote katika famille yako?
[OPERATOR: JIBU MOJA.]
1)NDIYO
2)HAPANA
3)SIJUE
4)KUKATALA</t>
        </is>
      </c>
      <c r="I77" s="158">
        <f>LEN(H77)</f>
        <v/>
      </c>
      <c r="J77" s="156" t="inlineStr">
        <is>
          <t>Single Choice</t>
        </is>
      </c>
      <c r="K77" s="148" t="inlineStr">
        <is>
          <t>NA</t>
        </is>
      </c>
      <c r="L77" s="148" t="inlineStr">
        <is>
          <t>NA</t>
        </is>
      </c>
      <c r="M77" s="148" t="inlineStr">
        <is>
          <t>Form Type - Buttons</t>
        </is>
      </c>
      <c r="N77" s="149" t="inlineStr">
        <is>
          <t>NA</t>
        </is>
      </c>
      <c r="O77" s="150" t="inlineStr">
        <is>
          <t>1-4 = income_sec_amount</t>
        </is>
      </c>
      <c r="P77" s="151" t="n"/>
      <c r="Q77" s="393" t="inlineStr">
        <is>
          <t>if income_sec_ls_check = 1-4, go to [income_sec_comp OR optional question]</t>
        </is>
      </c>
      <c r="R77" s="396" t="inlineStr"/>
      <c r="S77" s="327" t="n"/>
      <c r="T77" s="428">
        <f>1</f>
        <v/>
      </c>
      <c r="U77" s="429" t="n"/>
      <c r="W77" s="431" t="inlineStr">
        <is>
          <t>yes</t>
        </is>
      </c>
      <c r="X77" s="725" t="n"/>
      <c r="AA77" s="743" t="n">
        <v>8</v>
      </c>
      <c r="AB77" s="743">
        <f>IF(AA77="","",AA77*T77)</f>
        <v/>
      </c>
      <c r="AC77" s="429" t="inlineStr"/>
    </row>
    <row r="78" ht="189" customFormat="1" customHeight="1" s="183">
      <c r="A78" s="145">
        <f>A77+1</f>
        <v/>
      </c>
      <c r="B78" s="146" t="inlineStr">
        <is>
          <t>income_sec_fish_check</t>
        </is>
      </c>
      <c r="C78" s="146" t="inlineStr">
        <is>
          <t>income_sec_fish_check</t>
        </is>
      </c>
      <c r="D78" s="162" t="inlineStr">
        <is>
          <t>Are the fish or aquatic products sold also captured/harvested by you or anyone in your household?
[OPERATOR: SINGLE RESPONSE.]
1)YES
2)NO
3)DON'T KNOW
4)REFUSED</t>
        </is>
      </c>
      <c r="E78" s="148">
        <f>LEN(D78)</f>
        <v/>
      </c>
      <c r="F78" s="395" t="inlineStr">
        <is>
          <t>Le poisson ou les produits aquatiques vendus sont-ils également capturés/récoltés par vous ou un membre de votre ménage?
[OPÉRATEUR/OPÉRATRICE: RÉPONSE UNIQUE.]
1)OUI
2)NON
3)NE SAIT PAS
4)REFUSÉ</t>
        </is>
      </c>
      <c r="G78" s="158">
        <f>LEN(F78)</f>
        <v/>
      </c>
      <c r="H78" s="160" t="inlineStr">
        <is>
          <t>Je, samaki au bidhaa za majini zinazouzwa pia zimevuliwa/kuvunwa na wewe au mtu yeyote katika famille yako?
[OPERATOR: JIBU MOJA.]
1)NDIYO
2)HAPANA
3)SIJUE
4)KUKATALA</t>
        </is>
      </c>
      <c r="I78" s="158">
        <f>LEN(H78)</f>
        <v/>
      </c>
      <c r="J78" s="156" t="inlineStr">
        <is>
          <t>Single Choice</t>
        </is>
      </c>
      <c r="K78" s="148" t="inlineStr">
        <is>
          <t>NA</t>
        </is>
      </c>
      <c r="L78" s="148" t="inlineStr">
        <is>
          <t>NA</t>
        </is>
      </c>
      <c r="M78" s="148" t="inlineStr">
        <is>
          <t>Form Type - Buttons</t>
        </is>
      </c>
      <c r="N78" s="149" t="inlineStr">
        <is>
          <t>NA</t>
        </is>
      </c>
      <c r="O78" s="150" t="inlineStr">
        <is>
          <t>1-4 = income_sec_amount</t>
        </is>
      </c>
      <c r="P78" s="151" t="n"/>
      <c r="Q78" s="393" t="inlineStr">
        <is>
          <t>if income_sec_fish_check = 1-4, go to [income_sec_comp OR optional question]</t>
        </is>
      </c>
      <c r="R78" s="396" t="inlineStr"/>
      <c r="S78" s="327" t="n"/>
      <c r="T78" s="205">
        <f>1</f>
        <v/>
      </c>
      <c r="U78" s="133" t="n"/>
      <c r="W78" s="208" t="inlineStr">
        <is>
          <t>yes</t>
        </is>
      </c>
      <c r="X78" s="726" t="n"/>
      <c r="AA78" s="734" t="n">
        <v>8</v>
      </c>
      <c r="AB78" s="734">
        <f>IF(AA78="","",AA78*T78)</f>
        <v/>
      </c>
      <c r="AC78" s="133" t="inlineStr"/>
    </row>
    <row r="79" ht="168" customFormat="1" customHeight="1" s="304">
      <c r="A79" s="145">
        <f>A78+1</f>
        <v/>
      </c>
      <c r="B79" s="399" t="inlineStr">
        <is>
          <t>income_sec_amount</t>
        </is>
      </c>
      <c r="C79" s="294" t="inlineStr">
        <is>
          <t>income_sec_amount</t>
        </is>
      </c>
      <c r="D79" s="400" t="inlineStr">
        <is>
          <t>How much was earned [in CDF] from your second main income source, {income_sec}, in the past 3 months ?
[OPERATOR: MAKE SURE THE INFORMATION IS RECORDED IN THE CORRECT CURRENCY. ENTER 88888888 FOR DON'T KNOW AND 99999999 FOR REFUSED.]</t>
        </is>
      </c>
      <c r="E79" s="401">
        <f>LEN(D79)</f>
        <v/>
      </c>
      <c r="F79" s="415" t="inlineStr">
        <is>
          <t>Quelle somme [en CDF] a rapporté votre deuxième principale source de revenu, {income_sec}, au cours des trois derniers mois?
[OPÉRATEUR/OPÉRATRICE: VÉRIFIER QUE LA RÉPONSE EST ENREGISTRÉE DANS LA BONNE DEVISE. SAISIR 88888888 POUR «NE SAIT PAS» ET 99999999 POUR «REFUSÉ».]</t>
        </is>
      </c>
      <c r="G79" s="401">
        <f>LEN(F79)</f>
        <v/>
      </c>
      <c r="H79" s="160" t="inlineStr">
        <is>
          <t>Je, ni kiasi gani kilipatikana [katika CDF] kutoka kwa chanzo chako kikuu cha pili cha mapato, {income_sec}, katika kipindi cha miezi 3 iliyopita ?
[OPERATOR: HAKIKISHA HABARI IMEREKODIWA KWA SARAFU SAHIHI. INGIA 888888888 KWA SIJUE NA 999999999 KWA KUKUKATALA.]</t>
        </is>
      </c>
      <c r="I79" s="401">
        <f>LEN(H79)</f>
        <v/>
      </c>
      <c r="J79" s="401" t="inlineStr">
        <is>
          <t>Range</t>
        </is>
      </c>
      <c r="K79" s="401" t="inlineStr">
        <is>
          <t>NA</t>
        </is>
      </c>
      <c r="L79" s="401" t="inlineStr">
        <is>
          <t>NA</t>
        </is>
      </c>
      <c r="M79" s="401" t="inlineStr">
        <is>
          <t>Form Type - TextBox</t>
        </is>
      </c>
      <c r="N79" s="298" t="inlineStr">
        <is>
          <t>NA</t>
        </is>
      </c>
      <c r="O79" s="418" t="inlineStr">
        <is>
          <t>10000 - 2000000 = income_sec_gender
2000001 - 30000000 = income_sec_amount_conf
88888888-88888888 = income_sec_gender
99999999-99999999 = income_sec_gender</t>
        </is>
      </c>
      <c r="P79" s="417" t="n"/>
      <c r="Q79" s="433" t="inlineStr">
        <is>
          <t>If the income amount is over the threshold set in "Additional information", the respondent will be asked to confirm with income_sec_amount_conf. Otherwise, go to income_sec_comp.</t>
        </is>
      </c>
      <c r="R79" s="433" t="inlineStr"/>
      <c r="S79" s="718" t="inlineStr">
        <is>
          <t>We recommend using this pair of questions together.</t>
        </is>
      </c>
      <c r="T79" s="408">
        <f>1</f>
        <v/>
      </c>
      <c r="U79" s="303" t="n"/>
      <c r="W79" s="409" t="inlineStr">
        <is>
          <t>no</t>
        </is>
      </c>
      <c r="X79" s="306" t="n"/>
      <c r="AA79" s="742" t="n">
        <v>23.20038032531738</v>
      </c>
      <c r="AB79" s="742">
        <f>IF(AA79="","",AA79*T79)</f>
        <v/>
      </c>
      <c r="AC79" s="303" t="inlineStr"/>
    </row>
    <row r="80" ht="189" customFormat="1" customHeight="1" s="304">
      <c r="A80" s="145">
        <f>A79+1</f>
        <v/>
      </c>
      <c r="B80" s="399" t="inlineStr">
        <is>
          <t>income_sec_amount_conf</t>
        </is>
      </c>
      <c r="C80" s="399" t="inlineStr">
        <is>
          <t>income_sec_amount_conf</t>
        </is>
      </c>
      <c r="D80" s="400" t="inlineStr">
        <is>
          <t>Can you confirm the amount of income you just stated is correct?
[OPERATOR: IF THE AMOUNT EARNED FROM THIS INCOME SOURCE OVER THE PAST 3 MONTH IS INDEED OVER 2000000, CLICK ON CONTINUE. OTHERWISE, GO BACK AND CHANGE THE AMOUNT ENTERED.]
1)CONTINUE</t>
        </is>
      </c>
      <c r="E80" s="401">
        <f>LEN(D80)</f>
        <v/>
      </c>
      <c r="F80" s="402" t="inlineStr">
        <is>
          <t>Pouvez-vous confirmer que le montant que vous venez de déclarer est correct?
[OPÉRATEUR/OPÉRATRICE: SI LE MONTANT ISSU DE CETTE SOURCE DE REVENU AU COURS DES TROIS DERNIERS MOIS EST SUPÉRIEUR AU 2000000, CLIQUER SUR CONTINUER. SINON, REVENIR EN ARRIÈRE ET MODIFIER LE MONTANT SAISI.]
1)CONTINUER</t>
        </is>
      </c>
      <c r="G80" s="401">
        <f>LEN(F80)</f>
        <v/>
      </c>
      <c r="H80" s="160" t="inlineStr">
        <is>
          <t>Unaweza kuthibitisha kiasi cha mapato ulichosema ni sahihi?
[OPERATOR: IWAPO KIASI KILICHOCHUKUA KUTOKA KWA CHANZO HIKI CHA MAPATO KATIKA MIEZI 3 ILIYOPITA NI ZAIDI YA 2000000,  ENDELESHA. VINGINEVYO, RUDI NYUMA NA KUBADILI KIASI ILICHOINGIWA.]
1)ENDELEA</t>
        </is>
      </c>
      <c r="I80" s="401">
        <f>LEN(H80)</f>
        <v/>
      </c>
      <c r="J80" s="403" t="inlineStr">
        <is>
          <t>Single Choice</t>
        </is>
      </c>
      <c r="K80" s="296" t="inlineStr">
        <is>
          <t>NA</t>
        </is>
      </c>
      <c r="L80" s="296" t="inlineStr">
        <is>
          <t>NA</t>
        </is>
      </c>
      <c r="M80" s="296" t="inlineStr">
        <is>
          <t>Form Type - Buttons</t>
        </is>
      </c>
      <c r="N80" s="298" t="inlineStr">
        <is>
          <t>NA</t>
        </is>
      </c>
      <c r="O80" s="404" t="inlineStr">
        <is>
          <t>1 = income_sec_gender</t>
        </is>
      </c>
      <c r="P80" s="405" t="n"/>
      <c r="Q80" s="404" t="inlineStr">
        <is>
          <t>if income_sec_amount_conf = 1, go to income_sec_comp</t>
        </is>
      </c>
      <c r="R80" s="404" t="inlineStr"/>
      <c r="S80" s="740" t="n"/>
      <c r="T80" s="408">
        <f>1</f>
        <v/>
      </c>
      <c r="U80" s="303" t="n"/>
      <c r="W80" s="409" t="inlineStr">
        <is>
          <t>no</t>
        </is>
      </c>
      <c r="X80" s="306" t="n"/>
      <c r="AA80" s="742" t="n">
        <v>1.927738904953003</v>
      </c>
      <c r="AB80" s="742">
        <f>IF(AA80="","",AA80*T80)</f>
        <v/>
      </c>
      <c r="AC80" s="303" t="inlineStr"/>
    </row>
    <row r="81" ht="210" customFormat="1" customHeight="1" s="304">
      <c r="A81" s="145">
        <f>A80+1</f>
        <v/>
      </c>
      <c r="B81" s="411" t="inlineStr">
        <is>
          <t>income_sec_gender</t>
        </is>
      </c>
      <c r="C81" s="411" t="inlineStr">
        <is>
          <t>income_sec_gender</t>
        </is>
      </c>
      <c r="D81" s="412" t="inlineStr">
        <is>
          <t>What is the gender of the household member[s] generating income from this source? 
[OPERATOR: SINGLE RESPONSE.]
1)Male
2)Female
3)Joint [both male &amp; female]
4)DON'T KNOW
5)REFUSED</t>
        </is>
      </c>
      <c r="E81" s="296">
        <f>LEN(D81)</f>
        <v/>
      </c>
      <c r="F81" s="402" t="inlineStr">
        <is>
          <t>Quel est le sexe du ou des membres du ménage qui génèrent des revenus de cette source? 
[OPÉRATEUR/OPÉRATRICE: RÉPONSE UNIQUE].
1)Homme
2)Femme
3)Mixte [homme et femme]
4)NE SAIT PAS
5)REFUSÉ</t>
        </is>
      </c>
      <c r="G81" s="401">
        <f>LEN(F81)</f>
        <v/>
      </c>
      <c r="H81" s="160" t="inlineStr">
        <is>
          <t>Ni jinsia gani ya wanakaya wanaozalisha mapato kutoka kwa chanzo hiki?
[OPERATOR: JIBU MOJA.]
1)Mwanaume
2)Mwanamke
3)Viungo [wote wa kiume na wa kike]
4)SIJUE
5)KUKATALA</t>
        </is>
      </c>
      <c r="I81" s="401">
        <f>LEN(H81)</f>
        <v/>
      </c>
      <c r="J81" s="294" t="inlineStr">
        <is>
          <t>Single Choice</t>
        </is>
      </c>
      <c r="K81" s="296" t="inlineStr">
        <is>
          <t>NA</t>
        </is>
      </c>
      <c r="L81" s="296" t="inlineStr">
        <is>
          <t>NA</t>
        </is>
      </c>
      <c r="M81" s="296" t="inlineStr">
        <is>
          <t>Form Type - Buttons</t>
        </is>
      </c>
      <c r="N81" s="298" t="inlineStr">
        <is>
          <t>NA</t>
        </is>
      </c>
      <c r="O81" s="404" t="inlineStr">
        <is>
          <t>1-5 = income_sec_control</t>
        </is>
      </c>
      <c r="P81" s="405" t="n"/>
      <c r="Q81" s="407" t="inlineStr">
        <is>
          <t>if income_sec_gender = 1-5, go to income_sec_comp or optional question</t>
        </is>
      </c>
      <c r="R81" s="406" t="inlineStr"/>
      <c r="S81" s="301" t="n"/>
      <c r="T81" s="408">
        <f>1</f>
        <v/>
      </c>
      <c r="U81" s="303" t="n"/>
      <c r="W81" s="409" t="inlineStr">
        <is>
          <t>no</t>
        </is>
      </c>
      <c r="X81" s="306" t="n"/>
      <c r="AA81" s="742" t="n">
        <v>4.787401676177979</v>
      </c>
      <c r="AB81" s="742">
        <f>IF(AA81="","",AA81*T81)</f>
        <v/>
      </c>
      <c r="AC81" s="303" t="inlineStr"/>
    </row>
    <row r="82" ht="189" customFormat="1" customHeight="1" s="183">
      <c r="A82" s="145">
        <f>A81+1</f>
        <v/>
      </c>
      <c r="B82" s="320" t="inlineStr">
        <is>
          <t>income_sec_control</t>
        </is>
      </c>
      <c r="C82" s="320" t="inlineStr">
        <is>
          <t>income_sec_control</t>
        </is>
      </c>
      <c r="D82" s="434" t="inlineStr">
        <is>
          <t>Who controls the revenue that is earned from this source? 
[OPERATOR: SINGLE RESPONSE.]
1)Male household member[s]
2)Female household member[s]
3)Joint household members [both female &amp; male]
4)DON'T KNOW
5)REFUSED</t>
        </is>
      </c>
      <c r="E82" s="435">
        <f>LEN(D82)</f>
        <v/>
      </c>
      <c r="F82" s="179" t="inlineStr">
        <is>
          <t>Qui contrôle les revenus qui proviennent de cette source? 
[OPÉRATEUR/OPÉRATRICE: RÉPONSE UNIQUE].
1)Membre[s] masculin[s] du ménage
2)Membre[s] féminin[s] du ménage
3)Membres du ménage conjointement [femme et homme]
4)NE SAIT PAS
5)REFUSÉ</t>
        </is>
      </c>
      <c r="G82" s="186">
        <f>LEN(F82)</f>
        <v/>
      </c>
      <c r="H82" s="160" t="inlineStr">
        <is>
          <t>Nani anadhibiti mapato yanayopatikana kutokana na chanzo hiki?
[OPERATOR: JIBU MOJA.]
1)Mwanafamilia wa kiume
2)Wanakaya wa kike
3)Wanakaya wa pamoja [wanaume na wanawake]
4)SIJUE
5)KUKATALA</t>
        </is>
      </c>
      <c r="I82" s="186">
        <f>LEN(H82)</f>
        <v/>
      </c>
      <c r="J82" s="189" t="inlineStr">
        <is>
          <t>Single Choice</t>
        </is>
      </c>
      <c r="K82" s="186" t="inlineStr">
        <is>
          <t>NA</t>
        </is>
      </c>
      <c r="L82" s="186" t="inlineStr">
        <is>
          <t>NA</t>
        </is>
      </c>
      <c r="M82" s="186" t="inlineStr">
        <is>
          <t>Form Type - Buttons</t>
        </is>
      </c>
      <c r="N82" s="152" t="inlineStr">
        <is>
          <t>NA</t>
        </is>
      </c>
      <c r="O82" s="436" t="inlineStr">
        <is>
          <t>1-5 = income_sec_comp</t>
        </is>
      </c>
      <c r="P82" s="437" t="n"/>
      <c r="Q82" s="438" t="inlineStr">
        <is>
          <t>if income_sec_control =  1-5, go to income_sec_comp</t>
        </is>
      </c>
      <c r="R82" s="439" t="inlineStr"/>
      <c r="S82" s="166" t="n"/>
      <c r="T82" s="132">
        <f>1</f>
        <v/>
      </c>
      <c r="U82" s="133" t="n"/>
      <c r="V82" s="440" t="n"/>
      <c r="W82" s="194" t="inlineStr">
        <is>
          <t>no</t>
        </is>
      </c>
      <c r="X82" s="726" t="n"/>
      <c r="Y82" s="440" t="n"/>
      <c r="Z82" s="440" t="n"/>
      <c r="AA82" s="735" t="n">
        <v>20.91836738586426</v>
      </c>
      <c r="AB82" s="735">
        <f>IF(AA82="","",AA82*T82)</f>
        <v/>
      </c>
      <c r="AC82" s="133" t="inlineStr"/>
      <c r="AD82" s="440" t="n"/>
      <c r="AE82" s="440" t="n"/>
      <c r="AF82" s="440" t="n"/>
      <c r="AG82" s="440" t="n"/>
      <c r="AH82" s="440" t="n"/>
      <c r="AI82" s="440" t="n"/>
      <c r="AJ82" s="440" t="n"/>
      <c r="AK82" s="440" t="n"/>
      <c r="AL82" s="440" t="n"/>
      <c r="AM82" s="440" t="n"/>
      <c r="AN82" s="440" t="n"/>
      <c r="AO82" s="440" t="n"/>
      <c r="AP82" s="440" t="n"/>
      <c r="AQ82" s="440" t="n"/>
      <c r="AR82" s="440" t="n"/>
      <c r="AS82" s="440" t="n"/>
      <c r="AT82" s="440" t="n"/>
      <c r="AU82" s="440" t="n"/>
      <c r="AV82" s="440" t="n"/>
      <c r="AW82" s="440" t="n"/>
      <c r="AX82" s="440" t="n"/>
      <c r="AY82" s="440" t="n"/>
      <c r="AZ82" s="440" t="n"/>
      <c r="BA82" s="440" t="n"/>
      <c r="BB82" s="440" t="n"/>
      <c r="BC82" s="440" t="n"/>
      <c r="BD82" s="440" t="n"/>
      <c r="BE82" s="440" t="n"/>
      <c r="BF82" s="440" t="n"/>
      <c r="BG82" s="440" t="n"/>
      <c r="BH82" s="440" t="n"/>
      <c r="BI82" s="440" t="n"/>
      <c r="BJ82" s="440" t="n"/>
      <c r="BK82" s="440" t="n"/>
      <c r="BL82" s="440" t="n"/>
      <c r="BM82" s="440" t="n"/>
      <c r="BN82" s="440" t="n"/>
      <c r="BO82" s="440" t="n"/>
      <c r="BP82" s="440" t="n"/>
      <c r="BQ82" s="440" t="n"/>
      <c r="BR82" s="440" t="n"/>
      <c r="BS82" s="440" t="n"/>
      <c r="BT82" s="440" t="n"/>
      <c r="BU82" s="440" t="n"/>
      <c r="BV82" s="440" t="n"/>
      <c r="BW82" s="440" t="n"/>
      <c r="BX82" s="440" t="n"/>
      <c r="BY82" s="440" t="n"/>
      <c r="BZ82" s="440" t="n"/>
      <c r="CA82" s="440" t="n"/>
      <c r="CB82" s="440" t="n"/>
      <c r="CC82" s="440" t="n"/>
      <c r="CD82" s="440" t="n"/>
      <c r="CE82" s="440" t="n"/>
      <c r="CF82" s="440" t="n"/>
      <c r="CG82" s="440" t="n"/>
      <c r="CH82" s="440" t="n"/>
      <c r="CI82" s="440" t="n"/>
      <c r="CJ82" s="440" t="n"/>
      <c r="CK82" s="440" t="n"/>
      <c r="CL82" s="440" t="n"/>
      <c r="CM82" s="440" t="n"/>
      <c r="CN82" s="440" t="n"/>
      <c r="CO82" s="440" t="n"/>
      <c r="CP82" s="440" t="n"/>
      <c r="CQ82" s="440" t="n"/>
      <c r="CR82" s="440" t="n"/>
      <c r="CS82" s="440" t="n"/>
      <c r="CT82" s="440" t="n"/>
      <c r="CU82" s="440" t="n"/>
      <c r="CV82" s="440" t="n"/>
      <c r="CW82" s="440" t="n"/>
      <c r="CX82" s="440" t="n"/>
      <c r="CY82" s="440" t="n"/>
      <c r="CZ82" s="440" t="n"/>
      <c r="DA82" s="440" t="n"/>
      <c r="DB82" s="440" t="n"/>
      <c r="DC82" s="440" t="n"/>
      <c r="DD82" s="440" t="n"/>
      <c r="DE82" s="440" t="n"/>
      <c r="DF82" s="440" t="n"/>
      <c r="DG82" s="440" t="n"/>
      <c r="DH82" s="440" t="n"/>
      <c r="DI82" s="440" t="n"/>
      <c r="DJ82" s="440" t="n"/>
      <c r="DK82" s="440" t="n"/>
      <c r="DL82" s="440" t="n"/>
      <c r="DM82" s="440" t="n"/>
      <c r="DN82" s="440" t="n"/>
      <c r="DO82" s="440" t="n"/>
      <c r="DP82" s="440" t="n"/>
      <c r="DQ82" s="440" t="n"/>
      <c r="DR82" s="440" t="n"/>
      <c r="DS82" s="440" t="n"/>
      <c r="DT82" s="440" t="n"/>
      <c r="DU82" s="440" t="n"/>
      <c r="DV82" s="440" t="n"/>
      <c r="DW82" s="440" t="n"/>
      <c r="DX82" s="440" t="n"/>
      <c r="DY82" s="440" t="n"/>
      <c r="DZ82" s="440" t="n"/>
      <c r="EA82" s="440" t="n"/>
      <c r="EB82" s="440" t="n"/>
      <c r="EC82" s="440" t="n"/>
      <c r="ED82" s="440" t="n"/>
      <c r="EE82" s="440" t="n"/>
      <c r="EF82" s="440" t="n"/>
      <c r="EG82" s="440" t="n"/>
      <c r="EH82" s="440" t="n"/>
      <c r="EI82" s="440" t="n"/>
      <c r="EJ82" s="440" t="n"/>
      <c r="EK82" s="440" t="n"/>
      <c r="EL82" s="440" t="n"/>
      <c r="EM82" s="440" t="n"/>
      <c r="EN82" s="440" t="n"/>
      <c r="EO82" s="440" t="n"/>
      <c r="EP82" s="440" t="n"/>
      <c r="EQ82" s="440" t="n"/>
      <c r="ER82" s="440" t="n"/>
      <c r="ES82" s="440" t="n"/>
      <c r="ET82" s="440" t="n"/>
      <c r="EU82" s="440" t="n"/>
      <c r="EV82" s="440" t="n"/>
      <c r="EW82" s="440" t="n"/>
      <c r="EX82" s="440" t="n"/>
      <c r="EY82" s="440" t="n"/>
      <c r="EZ82" s="440" t="n"/>
      <c r="FA82" s="440" t="n"/>
      <c r="FB82" s="440" t="n"/>
      <c r="FC82" s="440" t="n"/>
      <c r="FD82" s="440" t="n"/>
      <c r="FE82" s="440" t="n"/>
      <c r="FF82" s="440" t="n"/>
      <c r="FG82" s="440" t="n"/>
      <c r="FH82" s="440" t="n"/>
      <c r="FI82" s="440" t="n"/>
      <c r="FJ82" s="440" t="n"/>
      <c r="FK82" s="440" t="n"/>
      <c r="FL82" s="440" t="n"/>
      <c r="FM82" s="440" t="n"/>
      <c r="FN82" s="440" t="n"/>
      <c r="FO82" s="440" t="n"/>
      <c r="FP82" s="440" t="n"/>
      <c r="FQ82" s="440" t="n"/>
      <c r="FR82" s="440" t="n"/>
      <c r="FS82" s="440" t="n"/>
      <c r="FT82" s="440" t="n"/>
      <c r="FU82" s="440" t="n"/>
      <c r="FV82" s="440" t="n"/>
      <c r="FW82" s="440" t="n"/>
      <c r="FX82" s="440" t="n"/>
      <c r="FY82" s="440" t="n"/>
      <c r="FZ82" s="440" t="n"/>
      <c r="GA82" s="440" t="n"/>
      <c r="GB82" s="440" t="n"/>
      <c r="GC82" s="440" t="n"/>
      <c r="GD82" s="440" t="n"/>
      <c r="GE82" s="440" t="n"/>
      <c r="GF82" s="440" t="n"/>
      <c r="GG82" s="440" t="n"/>
      <c r="GH82" s="440" t="n"/>
      <c r="GI82" s="440" t="n"/>
      <c r="GJ82" s="440" t="n"/>
      <c r="GK82" s="440" t="n"/>
      <c r="GL82" s="440" t="n"/>
      <c r="GM82" s="440" t="n"/>
      <c r="GN82" s="440" t="n"/>
      <c r="GO82" s="440" t="n"/>
      <c r="GP82" s="440" t="n"/>
      <c r="GQ82" s="440" t="n"/>
      <c r="GR82" s="440" t="n"/>
      <c r="GS82" s="440" t="n"/>
      <c r="GT82" s="440" t="n"/>
      <c r="GU82" s="440" t="n"/>
      <c r="GV82" s="440" t="n"/>
      <c r="GW82" s="440" t="n"/>
      <c r="GX82" s="440" t="n"/>
      <c r="GY82" s="440" t="n"/>
      <c r="GZ82" s="440" t="n"/>
      <c r="HA82" s="440" t="n"/>
      <c r="HB82" s="440" t="n"/>
      <c r="HC82" s="440" t="n"/>
      <c r="HD82" s="440" t="n"/>
      <c r="HE82" s="440" t="n"/>
      <c r="HF82" s="440" t="n"/>
      <c r="HG82" s="440" t="n"/>
      <c r="HH82" s="440" t="n"/>
      <c r="HI82" s="440" t="n"/>
      <c r="HJ82" s="440" t="n"/>
      <c r="HK82" s="440" t="n"/>
      <c r="HL82" s="440" t="n"/>
      <c r="HM82" s="440" t="n"/>
      <c r="HN82" s="440" t="n"/>
      <c r="HO82" s="440" t="n"/>
      <c r="HP82" s="440" t="n"/>
      <c r="HQ82" s="440" t="n"/>
      <c r="HR82" s="440" t="n"/>
      <c r="HS82" s="440" t="n"/>
      <c r="HT82" s="440" t="n"/>
      <c r="HU82" s="440" t="n"/>
      <c r="HV82" s="440" t="n"/>
      <c r="HW82" s="440" t="n"/>
      <c r="HX82" s="440" t="n"/>
      <c r="HY82" s="440" t="n"/>
      <c r="HZ82" s="440" t="n"/>
      <c r="IA82" s="440" t="n"/>
      <c r="IB82" s="440" t="n"/>
      <c r="IC82" s="440" t="n"/>
      <c r="ID82" s="440" t="n"/>
      <c r="IE82" s="440" t="n"/>
      <c r="IF82" s="440" t="n"/>
      <c r="IG82" s="440" t="n"/>
      <c r="IH82" s="440" t="n"/>
      <c r="II82" s="440" t="n"/>
      <c r="IJ82" s="440" t="n"/>
      <c r="IK82" s="440" t="n"/>
      <c r="IL82" s="440" t="n"/>
      <c r="IM82" s="440" t="n"/>
      <c r="IN82" s="440" t="n"/>
      <c r="IO82" s="440" t="n"/>
      <c r="IP82" s="440" t="n"/>
      <c r="IQ82" s="440" t="n"/>
      <c r="IR82" s="440" t="n"/>
      <c r="IS82" s="440" t="n"/>
      <c r="IT82" s="440" t="n"/>
      <c r="IU82" s="440" t="n"/>
      <c r="IV82" s="440" t="n"/>
      <c r="IW82" s="440" t="n"/>
      <c r="IX82" s="440" t="n"/>
      <c r="IY82" s="440" t="n"/>
      <c r="IZ82" s="440" t="n"/>
      <c r="JA82" s="440" t="n"/>
      <c r="JB82" s="440" t="n"/>
      <c r="JC82" s="440" t="n"/>
      <c r="JD82" s="440" t="n"/>
      <c r="JE82" s="440" t="n"/>
      <c r="JF82" s="440" t="n"/>
      <c r="JG82" s="440" t="n"/>
      <c r="JH82" s="440" t="n"/>
      <c r="JI82" s="440" t="n"/>
      <c r="JJ82" s="440" t="n"/>
      <c r="JK82" s="440" t="n"/>
      <c r="JL82" s="440" t="n"/>
      <c r="JM82" s="440" t="n"/>
      <c r="JN82" s="440" t="n"/>
      <c r="JO82" s="440" t="n"/>
      <c r="JP82" s="440" t="n"/>
      <c r="JQ82" s="440" t="n"/>
      <c r="JR82" s="440" t="n"/>
      <c r="JS82" s="440" t="n"/>
      <c r="JT82" s="440" t="n"/>
      <c r="JU82" s="440" t="n"/>
      <c r="JV82" s="440" t="n"/>
      <c r="JW82" s="440" t="n"/>
      <c r="JX82" s="440" t="n"/>
      <c r="JY82" s="440" t="n"/>
      <c r="JZ82" s="440" t="n"/>
      <c r="KA82" s="440" t="n"/>
      <c r="KB82" s="440" t="n"/>
      <c r="KC82" s="440" t="n"/>
      <c r="KD82" s="440" t="n"/>
      <c r="KE82" s="440" t="n"/>
      <c r="KF82" s="440" t="n"/>
      <c r="KG82" s="440" t="n"/>
      <c r="KH82" s="440" t="n"/>
      <c r="KI82" s="440" t="n"/>
      <c r="KJ82" s="440" t="n"/>
      <c r="KK82" s="440" t="n"/>
      <c r="KL82" s="440" t="n"/>
      <c r="KM82" s="440" t="n"/>
      <c r="KN82" s="440" t="n"/>
      <c r="KO82" s="440" t="n"/>
      <c r="KP82" s="440" t="n"/>
      <c r="KQ82" s="440" t="n"/>
      <c r="KR82" s="440" t="n"/>
      <c r="KS82" s="440" t="n"/>
      <c r="KT82" s="440" t="n"/>
      <c r="KU82" s="440" t="n"/>
      <c r="KV82" s="440" t="n"/>
      <c r="KW82" s="440" t="n"/>
      <c r="KX82" s="440" t="n"/>
      <c r="KY82" s="440" t="n"/>
      <c r="KZ82" s="440" t="n"/>
      <c r="LA82" s="440" t="n"/>
      <c r="LB82" s="440" t="n"/>
      <c r="LC82" s="440" t="n"/>
      <c r="LD82" s="440" t="n"/>
      <c r="LE82" s="440" t="n"/>
      <c r="LF82" s="440" t="n"/>
      <c r="LG82" s="440" t="n"/>
      <c r="LH82" s="440" t="n"/>
      <c r="LI82" s="440" t="n"/>
      <c r="LJ82" s="440" t="n"/>
      <c r="LK82" s="440" t="n"/>
      <c r="LL82" s="440" t="n"/>
      <c r="LM82" s="440" t="n"/>
      <c r="LN82" s="440" t="n"/>
      <c r="LO82" s="440" t="n"/>
      <c r="LP82" s="440" t="n"/>
      <c r="LQ82" s="440" t="n"/>
      <c r="LR82" s="440" t="n"/>
      <c r="LS82" s="440" t="n"/>
      <c r="LT82" s="440" t="n"/>
      <c r="LU82" s="440" t="n"/>
      <c r="LV82" s="440" t="n"/>
      <c r="LW82" s="440" t="n"/>
      <c r="LX82" s="440" t="n"/>
      <c r="LY82" s="440" t="n"/>
      <c r="LZ82" s="440" t="n"/>
      <c r="MA82" s="440" t="n"/>
      <c r="MB82" s="440" t="n"/>
      <c r="MC82" s="440" t="n"/>
      <c r="MD82" s="440" t="n"/>
      <c r="ME82" s="440" t="n"/>
      <c r="MF82" s="440" t="n"/>
      <c r="MG82" s="440" t="n"/>
      <c r="MH82" s="440" t="n"/>
      <c r="MI82" s="440" t="n"/>
      <c r="MJ82" s="440" t="n"/>
      <c r="MK82" s="440" t="n"/>
      <c r="ML82" s="440" t="n"/>
      <c r="MM82" s="440" t="n"/>
      <c r="MN82" s="440" t="n"/>
      <c r="MO82" s="440" t="n"/>
      <c r="MP82" s="440" t="n"/>
      <c r="MQ82" s="440" t="n"/>
      <c r="MR82" s="440" t="n"/>
      <c r="MS82" s="440" t="n"/>
      <c r="MT82" s="440" t="n"/>
      <c r="MU82" s="440" t="n"/>
      <c r="MV82" s="440" t="n"/>
      <c r="MW82" s="440" t="n"/>
      <c r="MX82" s="440" t="n"/>
      <c r="MY82" s="440" t="n"/>
      <c r="MZ82" s="440" t="n"/>
      <c r="NA82" s="440" t="n"/>
      <c r="NB82" s="440" t="n"/>
      <c r="NC82" s="440" t="n"/>
      <c r="ND82" s="440" t="n"/>
      <c r="NE82" s="440" t="n"/>
      <c r="NF82" s="440" t="n"/>
      <c r="NG82" s="440" t="n"/>
      <c r="NH82" s="440" t="n"/>
      <c r="NI82" s="440" t="n"/>
      <c r="NJ82" s="440" t="n"/>
      <c r="NK82" s="440" t="n"/>
      <c r="NL82" s="440" t="n"/>
      <c r="NM82" s="440" t="n"/>
      <c r="NN82" s="440" t="n"/>
      <c r="NO82" s="440" t="n"/>
      <c r="NP82" s="440" t="n"/>
      <c r="NQ82" s="440" t="n"/>
      <c r="NR82" s="440" t="n"/>
      <c r="NS82" s="440" t="n"/>
      <c r="NT82" s="440" t="n"/>
      <c r="NU82" s="440" t="n"/>
      <c r="NV82" s="440" t="n"/>
      <c r="NW82" s="440" t="n"/>
      <c r="NX82" s="440" t="n"/>
      <c r="NY82" s="440" t="n"/>
      <c r="NZ82" s="440" t="n"/>
      <c r="OA82" s="440" t="n"/>
      <c r="OB82" s="440" t="n"/>
      <c r="OC82" s="440" t="n"/>
      <c r="OD82" s="440" t="n"/>
      <c r="OE82" s="440" t="n"/>
      <c r="OF82" s="440" t="n"/>
      <c r="OG82" s="440" t="n"/>
      <c r="OH82" s="440" t="n"/>
      <c r="OI82" s="440" t="n"/>
      <c r="OJ82" s="440" t="n"/>
      <c r="OK82" s="440" t="n"/>
      <c r="OL82" s="440" t="n"/>
      <c r="OM82" s="440" t="n"/>
      <c r="ON82" s="440" t="n"/>
      <c r="OO82" s="440" t="n"/>
      <c r="OP82" s="440" t="n"/>
      <c r="OQ82" s="440" t="n"/>
      <c r="OR82" s="440" t="n"/>
      <c r="OS82" s="440" t="n"/>
      <c r="OT82" s="440" t="n"/>
      <c r="OU82" s="440" t="n"/>
      <c r="OV82" s="440" t="n"/>
      <c r="OW82" s="440" t="n"/>
      <c r="OX82" s="440" t="n"/>
      <c r="OY82" s="440" t="n"/>
      <c r="OZ82" s="440" t="n"/>
      <c r="PA82" s="440" t="n"/>
      <c r="PB82" s="440" t="n"/>
      <c r="PC82" s="440" t="n"/>
      <c r="PD82" s="440" t="n"/>
      <c r="PE82" s="440" t="n"/>
      <c r="PF82" s="440" t="n"/>
      <c r="PG82" s="440" t="n"/>
      <c r="PH82" s="440" t="n"/>
      <c r="PI82" s="440" t="n"/>
      <c r="PJ82" s="440" t="n"/>
      <c r="PK82" s="440" t="n"/>
      <c r="PL82" s="440" t="n"/>
      <c r="PM82" s="440" t="n"/>
      <c r="PN82" s="440" t="n"/>
      <c r="PO82" s="440" t="n"/>
      <c r="PP82" s="440" t="n"/>
      <c r="PQ82" s="440" t="n"/>
      <c r="PR82" s="440" t="n"/>
      <c r="PS82" s="440" t="n"/>
      <c r="PT82" s="440" t="n"/>
      <c r="PU82" s="440" t="n"/>
      <c r="PV82" s="440" t="n"/>
      <c r="PW82" s="440" t="n"/>
      <c r="PX82" s="440" t="n"/>
      <c r="PY82" s="440" t="n"/>
      <c r="PZ82" s="440" t="n"/>
      <c r="QA82" s="440" t="n"/>
      <c r="QB82" s="440" t="n"/>
      <c r="QC82" s="440" t="n"/>
      <c r="QD82" s="440" t="n"/>
      <c r="QE82" s="440" t="n"/>
      <c r="QF82" s="440" t="n"/>
      <c r="QG82" s="440" t="n"/>
      <c r="QH82" s="440" t="n"/>
      <c r="QI82" s="440" t="n"/>
      <c r="QJ82" s="440" t="n"/>
      <c r="QK82" s="440" t="n"/>
      <c r="QL82" s="440" t="n"/>
      <c r="QM82" s="440" t="n"/>
      <c r="QN82" s="440" t="n"/>
      <c r="QO82" s="440" t="n"/>
      <c r="QP82" s="440" t="n"/>
      <c r="QQ82" s="440" t="n"/>
      <c r="QR82" s="440" t="n"/>
      <c r="QS82" s="440" t="n"/>
      <c r="QT82" s="440" t="n"/>
      <c r="QU82" s="440" t="n"/>
      <c r="QV82" s="440" t="n"/>
      <c r="QW82" s="440" t="n"/>
      <c r="QX82" s="440" t="n"/>
      <c r="QY82" s="440" t="n"/>
      <c r="QZ82" s="440" t="n"/>
      <c r="RA82" s="440" t="n"/>
      <c r="RB82" s="440" t="n"/>
      <c r="RC82" s="440" t="n"/>
      <c r="RD82" s="440" t="n"/>
      <c r="RE82" s="440" t="n"/>
      <c r="RF82" s="440" t="n"/>
      <c r="RG82" s="440" t="n"/>
      <c r="RH82" s="440" t="n"/>
      <c r="RI82" s="440" t="n"/>
      <c r="RJ82" s="440" t="n"/>
      <c r="RK82" s="440" t="n"/>
      <c r="RL82" s="440" t="n"/>
      <c r="RM82" s="440" t="n"/>
      <c r="RN82" s="440" t="n"/>
      <c r="RO82" s="440" t="n"/>
      <c r="RP82" s="440" t="n"/>
      <c r="RQ82" s="440" t="n"/>
      <c r="RR82" s="440" t="n"/>
      <c r="RS82" s="440" t="n"/>
      <c r="RT82" s="440" t="n"/>
      <c r="RU82" s="440" t="n"/>
      <c r="RV82" s="440" t="n"/>
      <c r="RW82" s="440" t="n"/>
      <c r="RX82" s="440" t="n"/>
      <c r="RY82" s="440" t="n"/>
      <c r="RZ82" s="440" t="n"/>
      <c r="SA82" s="440" t="n"/>
      <c r="SB82" s="440" t="n"/>
      <c r="SC82" s="440" t="n"/>
      <c r="SD82" s="440" t="n"/>
      <c r="SE82" s="440" t="n"/>
      <c r="SF82" s="440" t="n"/>
      <c r="SG82" s="440" t="n"/>
      <c r="SH82" s="440" t="n"/>
      <c r="SI82" s="440" t="n"/>
      <c r="SJ82" s="440" t="n"/>
      <c r="SK82" s="440" t="n"/>
      <c r="SL82" s="440" t="n"/>
      <c r="SM82" s="440" t="n"/>
      <c r="SN82" s="440" t="n"/>
      <c r="SO82" s="440" t="n"/>
      <c r="SP82" s="440" t="n"/>
      <c r="SQ82" s="440" t="n"/>
      <c r="SR82" s="440" t="n"/>
      <c r="SS82" s="440" t="n"/>
      <c r="ST82" s="440" t="n"/>
      <c r="SU82" s="440" t="n"/>
      <c r="SV82" s="440" t="n"/>
      <c r="SW82" s="440" t="n"/>
      <c r="SX82" s="440" t="n"/>
      <c r="SY82" s="440" t="n"/>
      <c r="SZ82" s="440" t="n"/>
      <c r="TA82" s="440" t="n"/>
      <c r="TB82" s="440" t="n"/>
      <c r="TC82" s="440" t="n"/>
      <c r="TD82" s="440" t="n"/>
      <c r="TE82" s="440" t="n"/>
      <c r="TF82" s="440" t="n"/>
      <c r="TG82" s="440" t="n"/>
      <c r="TH82" s="440" t="n"/>
      <c r="TI82" s="440" t="n"/>
      <c r="TJ82" s="440" t="n"/>
      <c r="TK82" s="440" t="n"/>
      <c r="TL82" s="440" t="n"/>
      <c r="TM82" s="440" t="n"/>
      <c r="TN82" s="440" t="n"/>
      <c r="TO82" s="440" t="n"/>
      <c r="TP82" s="440" t="n"/>
      <c r="TQ82" s="440" t="n"/>
      <c r="TR82" s="440" t="n"/>
      <c r="TS82" s="440" t="n"/>
      <c r="TT82" s="440" t="n"/>
      <c r="TU82" s="440" t="n"/>
      <c r="TV82" s="440" t="n"/>
      <c r="TW82" s="440" t="n"/>
      <c r="TX82" s="440" t="n"/>
      <c r="TY82" s="440" t="n"/>
      <c r="TZ82" s="440" t="n"/>
      <c r="UA82" s="440" t="n"/>
      <c r="UB82" s="440" t="n"/>
      <c r="UC82" s="440" t="n"/>
      <c r="UD82" s="440" t="n"/>
      <c r="UE82" s="440" t="n"/>
      <c r="UF82" s="440" t="n"/>
      <c r="UG82" s="440" t="n"/>
      <c r="UH82" s="440" t="n"/>
      <c r="UI82" s="440" t="n"/>
      <c r="UJ82" s="440" t="n"/>
      <c r="UK82" s="440" t="n"/>
      <c r="UL82" s="440" t="n"/>
      <c r="UM82" s="440" t="n"/>
      <c r="UN82" s="440" t="n"/>
      <c r="UO82" s="440" t="n"/>
      <c r="UP82" s="440" t="n"/>
      <c r="UQ82" s="440" t="n"/>
      <c r="UR82" s="440" t="n"/>
      <c r="US82" s="440" t="n"/>
      <c r="UT82" s="440" t="n"/>
      <c r="UU82" s="440" t="n"/>
      <c r="UV82" s="440" t="n"/>
      <c r="UW82" s="440" t="n"/>
      <c r="UX82" s="440" t="n"/>
      <c r="UY82" s="440" t="n"/>
      <c r="UZ82" s="440" t="n"/>
      <c r="VA82" s="440" t="n"/>
      <c r="VB82" s="440" t="n"/>
      <c r="VC82" s="440" t="n"/>
      <c r="VD82" s="440" t="n"/>
      <c r="VE82" s="440" t="n"/>
      <c r="VF82" s="440" t="n"/>
      <c r="VG82" s="440" t="n"/>
      <c r="VH82" s="440" t="n"/>
      <c r="VI82" s="440" t="n"/>
      <c r="VJ82" s="440" t="n"/>
      <c r="VK82" s="440" t="n"/>
      <c r="VL82" s="440" t="n"/>
      <c r="VM82" s="440" t="n"/>
      <c r="VN82" s="440" t="n"/>
      <c r="VO82" s="440" t="n"/>
      <c r="VP82" s="440" t="n"/>
      <c r="VQ82" s="440" t="n"/>
      <c r="VR82" s="440" t="n"/>
      <c r="VS82" s="440" t="n"/>
      <c r="VT82" s="440" t="n"/>
      <c r="VU82" s="440" t="n"/>
      <c r="VV82" s="440" t="n"/>
      <c r="VW82" s="440" t="n"/>
      <c r="VX82" s="440" t="n"/>
      <c r="VY82" s="440" t="n"/>
      <c r="VZ82" s="440" t="n"/>
      <c r="WA82" s="440" t="n"/>
      <c r="WB82" s="440" t="n"/>
      <c r="WC82" s="440" t="n"/>
      <c r="WD82" s="440" t="n"/>
      <c r="WE82" s="440" t="n"/>
      <c r="WF82" s="440" t="n"/>
      <c r="WG82" s="440" t="n"/>
      <c r="WH82" s="440" t="n"/>
      <c r="WI82" s="440" t="n"/>
      <c r="WJ82" s="440" t="n"/>
      <c r="WK82" s="440" t="n"/>
      <c r="WL82" s="440" t="n"/>
      <c r="WM82" s="440" t="n"/>
      <c r="WN82" s="440" t="n"/>
      <c r="WO82" s="440" t="n"/>
      <c r="WP82" s="440" t="n"/>
      <c r="WQ82" s="440" t="n"/>
      <c r="WR82" s="440" t="n"/>
      <c r="WS82" s="440" t="n"/>
      <c r="WT82" s="440" t="n"/>
      <c r="WU82" s="440" t="n"/>
      <c r="WV82" s="440" t="n"/>
      <c r="WW82" s="440" t="n"/>
      <c r="WX82" s="440" t="n"/>
      <c r="WY82" s="440" t="n"/>
      <c r="WZ82" s="440" t="n"/>
      <c r="XA82" s="440" t="n"/>
      <c r="XB82" s="440" t="n"/>
      <c r="XC82" s="440" t="n"/>
      <c r="XD82" s="440" t="n"/>
      <c r="XE82" s="440" t="n"/>
      <c r="XF82" s="440" t="n"/>
      <c r="XG82" s="440" t="n"/>
      <c r="XH82" s="440" t="n"/>
      <c r="XI82" s="440" t="n"/>
      <c r="XJ82" s="440" t="n"/>
      <c r="XK82" s="440" t="n"/>
      <c r="XL82" s="440" t="n"/>
      <c r="XM82" s="440" t="n"/>
      <c r="XN82" s="440" t="n"/>
      <c r="XO82" s="440" t="n"/>
      <c r="XP82" s="440" t="n"/>
      <c r="XQ82" s="440" t="n"/>
      <c r="XR82" s="440" t="n"/>
      <c r="XS82" s="440" t="n"/>
      <c r="XT82" s="440" t="n"/>
      <c r="XU82" s="440" t="n"/>
      <c r="XV82" s="440" t="n"/>
      <c r="XW82" s="440" t="n"/>
      <c r="XX82" s="440" t="n"/>
      <c r="XY82" s="440" t="n"/>
      <c r="XZ82" s="440" t="n"/>
      <c r="YA82" s="440" t="n"/>
      <c r="YB82" s="440" t="n"/>
      <c r="YC82" s="440" t="n"/>
      <c r="YD82" s="440" t="n"/>
      <c r="YE82" s="440" t="n"/>
      <c r="YF82" s="440" t="n"/>
      <c r="YG82" s="440" t="n"/>
      <c r="YH82" s="440" t="n"/>
      <c r="YI82" s="440" t="n"/>
      <c r="YJ82" s="440" t="n"/>
      <c r="YK82" s="440" t="n"/>
      <c r="YL82" s="440" t="n"/>
      <c r="YM82" s="440" t="n"/>
      <c r="YN82" s="440" t="n"/>
      <c r="YO82" s="440" t="n"/>
      <c r="YP82" s="440" t="n"/>
      <c r="YQ82" s="440" t="n"/>
      <c r="YR82" s="440" t="n"/>
      <c r="YS82" s="440" t="n"/>
      <c r="YT82" s="440" t="n"/>
      <c r="YU82" s="440" t="n"/>
      <c r="YV82" s="440" t="n"/>
      <c r="YW82" s="440" t="n"/>
      <c r="YX82" s="440" t="n"/>
      <c r="YY82" s="440" t="n"/>
      <c r="YZ82" s="440" t="n"/>
      <c r="ZA82" s="440" t="n"/>
      <c r="ZB82" s="440" t="n"/>
      <c r="ZC82" s="440" t="n"/>
      <c r="ZD82" s="440" t="n"/>
      <c r="ZE82" s="440" t="n"/>
      <c r="ZF82" s="440" t="n"/>
      <c r="ZG82" s="440" t="n"/>
      <c r="ZH82" s="440" t="n"/>
      <c r="ZI82" s="440" t="n"/>
      <c r="ZJ82" s="440" t="n"/>
      <c r="ZK82" s="440" t="n"/>
      <c r="ZL82" s="440" t="n"/>
      <c r="ZM82" s="440" t="n"/>
      <c r="ZN82" s="440" t="n"/>
      <c r="ZO82" s="440" t="n"/>
      <c r="ZP82" s="440" t="n"/>
      <c r="ZQ82" s="440" t="n"/>
      <c r="ZR82" s="440" t="n"/>
      <c r="ZS82" s="440" t="n"/>
      <c r="ZT82" s="440" t="n"/>
      <c r="ZU82" s="440" t="n"/>
      <c r="ZV82" s="440" t="n"/>
      <c r="ZW82" s="440" t="n"/>
      <c r="ZX82" s="440" t="n"/>
      <c r="ZY82" s="440" t="n"/>
      <c r="ZZ82" s="440" t="n"/>
      <c r="AAA82" s="440" t="n"/>
      <c r="AAB82" s="440" t="n"/>
      <c r="AAC82" s="440" t="n"/>
      <c r="AAD82" s="440" t="n"/>
      <c r="AAE82" s="440" t="n"/>
      <c r="AAF82" s="440" t="n"/>
      <c r="AAG82" s="440" t="n"/>
      <c r="AAH82" s="440" t="n"/>
      <c r="AAI82" s="440" t="n"/>
      <c r="AAJ82" s="440" t="n"/>
      <c r="AAK82" s="440" t="n"/>
      <c r="AAL82" s="440" t="n"/>
      <c r="AAM82" s="440" t="n"/>
      <c r="AAN82" s="440" t="n"/>
      <c r="AAO82" s="440" t="n"/>
      <c r="AAP82" s="440" t="n"/>
      <c r="AAQ82" s="440" t="n"/>
      <c r="AAR82" s="440" t="n"/>
      <c r="AAS82" s="440" t="n"/>
      <c r="AAT82" s="440" t="n"/>
      <c r="AAU82" s="440" t="n"/>
      <c r="AAV82" s="440" t="n"/>
      <c r="AAW82" s="440" t="n"/>
      <c r="AAX82" s="440" t="n"/>
      <c r="AAY82" s="440" t="n"/>
      <c r="AAZ82" s="440" t="n"/>
      <c r="ABA82" s="440" t="n"/>
      <c r="ABB82" s="440" t="n"/>
      <c r="ABC82" s="440" t="n"/>
      <c r="ABD82" s="440" t="n"/>
      <c r="ABE82" s="440" t="n"/>
      <c r="ABF82" s="440" t="n"/>
      <c r="ABG82" s="440" t="n"/>
      <c r="ABH82" s="440" t="n"/>
      <c r="ABI82" s="440" t="n"/>
      <c r="ABJ82" s="440" t="n"/>
      <c r="ABK82" s="440" t="n"/>
      <c r="ABL82" s="440" t="n"/>
      <c r="ABM82" s="440" t="n"/>
      <c r="ABN82" s="440" t="n"/>
      <c r="ABO82" s="440" t="n"/>
      <c r="ABP82" s="440" t="n"/>
      <c r="ABQ82" s="440" t="n"/>
      <c r="ABR82" s="440" t="n"/>
      <c r="ABS82" s="440" t="n"/>
      <c r="ABT82" s="440" t="n"/>
      <c r="ABU82" s="440" t="n"/>
      <c r="ABV82" s="440" t="n"/>
      <c r="ABW82" s="440" t="n"/>
      <c r="ABX82" s="440" t="n"/>
      <c r="ABY82" s="440" t="n"/>
      <c r="ABZ82" s="440" t="n"/>
      <c r="ACA82" s="440" t="n"/>
      <c r="ACB82" s="440" t="n"/>
      <c r="ACC82" s="440" t="n"/>
      <c r="ACD82" s="440" t="n"/>
      <c r="ACE82" s="440" t="n"/>
      <c r="ACF82" s="440" t="n"/>
      <c r="ACG82" s="440" t="n"/>
      <c r="ACH82" s="440" t="n"/>
      <c r="ACI82" s="440" t="n"/>
      <c r="ACJ82" s="440" t="n"/>
      <c r="ACK82" s="440" t="n"/>
      <c r="ACL82" s="440" t="n"/>
      <c r="ACM82" s="440" t="n"/>
      <c r="ACN82" s="440" t="n"/>
      <c r="ACO82" s="440" t="n"/>
      <c r="ACP82" s="440" t="n"/>
      <c r="ACQ82" s="440" t="n"/>
      <c r="ACR82" s="440" t="n"/>
      <c r="ACS82" s="440" t="n"/>
      <c r="ACT82" s="440" t="n"/>
      <c r="ACU82" s="440" t="n"/>
      <c r="ACV82" s="440" t="n"/>
      <c r="ACW82" s="440" t="n"/>
      <c r="ACX82" s="440" t="n"/>
      <c r="ACY82" s="440" t="n"/>
      <c r="ACZ82" s="440" t="n"/>
      <c r="ADA82" s="440" t="n"/>
      <c r="ADB82" s="440" t="n"/>
      <c r="ADC82" s="440" t="n"/>
      <c r="ADD82" s="440" t="n"/>
      <c r="ADE82" s="440" t="n"/>
      <c r="ADF82" s="440" t="n"/>
      <c r="ADG82" s="440" t="n"/>
      <c r="ADH82" s="440" t="n"/>
      <c r="ADI82" s="440" t="n"/>
      <c r="ADJ82" s="440" t="n"/>
      <c r="ADK82" s="440" t="n"/>
      <c r="ADL82" s="440" t="n"/>
      <c r="ADM82" s="440" t="n"/>
      <c r="ADN82" s="440" t="n"/>
      <c r="ADO82" s="440" t="n"/>
      <c r="ADP82" s="440" t="n"/>
      <c r="ADQ82" s="440" t="n"/>
      <c r="ADR82" s="440" t="n"/>
      <c r="ADS82" s="440" t="n"/>
      <c r="ADT82" s="440" t="n"/>
      <c r="ADU82" s="440" t="n"/>
      <c r="ADV82" s="440" t="n"/>
      <c r="ADW82" s="440" t="n"/>
      <c r="ADX82" s="440" t="n"/>
      <c r="ADY82" s="440" t="n"/>
      <c r="ADZ82" s="440" t="n"/>
      <c r="AEA82" s="440" t="n"/>
      <c r="AEB82" s="440" t="n"/>
      <c r="AEC82" s="440" t="n"/>
      <c r="AED82" s="440" t="n"/>
      <c r="AEE82" s="440" t="n"/>
      <c r="AEF82" s="440" t="n"/>
      <c r="AEG82" s="440" t="n"/>
      <c r="AEH82" s="440" t="n"/>
      <c r="AEI82" s="440" t="n"/>
      <c r="AEJ82" s="440" t="n"/>
      <c r="AEK82" s="440" t="n"/>
      <c r="AEL82" s="440" t="n"/>
      <c r="AEM82" s="440" t="n"/>
      <c r="AEN82" s="440" t="n"/>
      <c r="AEO82" s="440" t="n"/>
      <c r="AEP82" s="440" t="n"/>
      <c r="AEQ82" s="440" t="n"/>
      <c r="AER82" s="440" t="n"/>
      <c r="AES82" s="440" t="n"/>
      <c r="AET82" s="440" t="n"/>
      <c r="AEU82" s="440" t="n"/>
      <c r="AEV82" s="440" t="n"/>
      <c r="AEW82" s="440" t="n"/>
      <c r="AEX82" s="440" t="n"/>
      <c r="AEY82" s="440" t="n"/>
      <c r="AEZ82" s="440" t="n"/>
      <c r="AFA82" s="440" t="n"/>
      <c r="AFB82" s="440" t="n"/>
      <c r="AFC82" s="440" t="n"/>
      <c r="AFD82" s="440" t="n"/>
      <c r="AFE82" s="440" t="n"/>
      <c r="AFF82" s="440" t="n"/>
      <c r="AFG82" s="440" t="n"/>
      <c r="AFH82" s="440" t="n"/>
      <c r="AFI82" s="440" t="n"/>
      <c r="AFJ82" s="440" t="n"/>
      <c r="AFK82" s="440" t="n"/>
      <c r="AFL82" s="440" t="n"/>
      <c r="AFM82" s="440" t="n"/>
      <c r="AFN82" s="440" t="n"/>
      <c r="AFO82" s="440" t="n"/>
      <c r="AFP82" s="440" t="n"/>
      <c r="AFQ82" s="440" t="n"/>
      <c r="AFR82" s="440" t="n"/>
      <c r="AFS82" s="440" t="n"/>
      <c r="AFT82" s="440" t="n"/>
      <c r="AFU82" s="440" t="n"/>
      <c r="AFV82" s="440" t="n"/>
      <c r="AFW82" s="440" t="n"/>
      <c r="AFX82" s="440" t="n"/>
      <c r="AFY82" s="440" t="n"/>
      <c r="AFZ82" s="440" t="n"/>
      <c r="AGA82" s="440" t="n"/>
      <c r="AGB82" s="440" t="n"/>
      <c r="AGC82" s="440" t="n"/>
      <c r="AGD82" s="440" t="n"/>
      <c r="AGE82" s="440" t="n"/>
      <c r="AGF82" s="440" t="n"/>
      <c r="AGG82" s="440" t="n"/>
      <c r="AGH82" s="440" t="n"/>
      <c r="AGI82" s="440" t="n"/>
      <c r="AGJ82" s="440" t="n"/>
      <c r="AGK82" s="440" t="n"/>
      <c r="AGL82" s="440" t="n"/>
      <c r="AGM82" s="440" t="n"/>
      <c r="AGN82" s="440" t="n"/>
      <c r="AGO82" s="440" t="n"/>
      <c r="AGP82" s="440" t="n"/>
      <c r="AGQ82" s="440" t="n"/>
      <c r="AGR82" s="440" t="n"/>
      <c r="AGS82" s="440" t="n"/>
      <c r="AGT82" s="440" t="n"/>
      <c r="AGU82" s="440" t="n"/>
      <c r="AGV82" s="440" t="n"/>
      <c r="AGW82" s="440" t="n"/>
      <c r="AGX82" s="440" t="n"/>
      <c r="AGY82" s="440" t="n"/>
      <c r="AGZ82" s="440" t="n"/>
      <c r="AHA82" s="440" t="n"/>
      <c r="AHB82" s="440" t="n"/>
      <c r="AHC82" s="440" t="n"/>
      <c r="AHD82" s="440" t="n"/>
      <c r="AHE82" s="440" t="n"/>
      <c r="AHF82" s="440" t="n"/>
      <c r="AHG82" s="440" t="n"/>
      <c r="AHH82" s="440" t="n"/>
      <c r="AHI82" s="440" t="n"/>
      <c r="AHJ82" s="440" t="n"/>
      <c r="AHK82" s="440" t="n"/>
      <c r="AHL82" s="440" t="n"/>
      <c r="AHM82" s="440" t="n"/>
      <c r="AHN82" s="440" t="n"/>
      <c r="AHO82" s="440" t="n"/>
      <c r="AHP82" s="440" t="n"/>
      <c r="AHQ82" s="440" t="n"/>
      <c r="AHR82" s="440" t="n"/>
      <c r="AHS82" s="440" t="n"/>
      <c r="AHT82" s="440" t="n"/>
      <c r="AHU82" s="440" t="n"/>
      <c r="AHV82" s="440" t="n"/>
      <c r="AHW82" s="440" t="n"/>
      <c r="AHX82" s="440" t="n"/>
      <c r="AHY82" s="440" t="n"/>
      <c r="AHZ82" s="440" t="n"/>
      <c r="AIA82" s="440" t="n"/>
      <c r="AIB82" s="440" t="n"/>
      <c r="AIC82" s="440" t="n"/>
      <c r="AID82" s="440" t="n"/>
      <c r="AIE82" s="440" t="n"/>
      <c r="AIF82" s="440" t="n"/>
      <c r="AIG82" s="440" t="n"/>
      <c r="AIH82" s="440" t="n"/>
      <c r="AII82" s="440" t="n"/>
      <c r="AIJ82" s="440" t="n"/>
      <c r="AIK82" s="440" t="n"/>
      <c r="AIL82" s="440" t="n"/>
      <c r="AIM82" s="440" t="n"/>
      <c r="AIN82" s="440" t="n"/>
      <c r="AIO82" s="440" t="n"/>
      <c r="AIP82" s="440" t="n"/>
      <c r="AIQ82" s="440" t="n"/>
      <c r="AIR82" s="440" t="n"/>
      <c r="AIS82" s="440" t="n"/>
      <c r="AIT82" s="440" t="n"/>
      <c r="AIU82" s="440" t="n"/>
      <c r="AIV82" s="440" t="n"/>
      <c r="AIW82" s="440" t="n"/>
      <c r="AIX82" s="440" t="n"/>
      <c r="AIY82" s="440" t="n"/>
      <c r="AIZ82" s="440" t="n"/>
      <c r="AJA82" s="440" t="n"/>
      <c r="AJB82" s="440" t="n"/>
      <c r="AJC82" s="440" t="n"/>
      <c r="AJD82" s="440" t="n"/>
      <c r="AJE82" s="440" t="n"/>
      <c r="AJF82" s="440" t="n"/>
      <c r="AJG82" s="440" t="n"/>
      <c r="AJH82" s="440" t="n"/>
      <c r="AJI82" s="440" t="n"/>
      <c r="AJJ82" s="440" t="n"/>
      <c r="AJK82" s="440" t="n"/>
      <c r="AJL82" s="440" t="n"/>
      <c r="AJM82" s="440" t="n"/>
      <c r="AJN82" s="440" t="n"/>
      <c r="AJO82" s="440" t="n"/>
      <c r="AJP82" s="440" t="n"/>
      <c r="AJQ82" s="440" t="n"/>
      <c r="AJR82" s="440" t="n"/>
      <c r="AJS82" s="440" t="n"/>
      <c r="AJT82" s="440" t="n"/>
      <c r="AJU82" s="440" t="n"/>
      <c r="AJV82" s="440" t="n"/>
      <c r="AJW82" s="440" t="n"/>
      <c r="AJX82" s="440" t="n"/>
      <c r="AJY82" s="440" t="n"/>
      <c r="AJZ82" s="440" t="n"/>
      <c r="AKA82" s="440" t="n"/>
      <c r="AKB82" s="440" t="n"/>
      <c r="AKC82" s="440" t="n"/>
      <c r="AKD82" s="440" t="n"/>
      <c r="AKE82" s="440" t="n"/>
      <c r="AKF82" s="440" t="n"/>
      <c r="AKG82" s="440" t="n"/>
      <c r="AKH82" s="440" t="n"/>
      <c r="AKI82" s="440" t="n"/>
      <c r="AKJ82" s="440" t="n"/>
      <c r="AKK82" s="440" t="n"/>
      <c r="AKL82" s="440" t="n"/>
      <c r="AKM82" s="440" t="n"/>
      <c r="AKN82" s="440" t="n"/>
      <c r="AKO82" s="440" t="n"/>
      <c r="AKP82" s="440" t="n"/>
      <c r="AKQ82" s="440" t="n"/>
      <c r="AKR82" s="440" t="n"/>
      <c r="AKS82" s="440" t="n"/>
      <c r="AKT82" s="440" t="n"/>
      <c r="AKU82" s="440" t="n"/>
      <c r="AKV82" s="440" t="n"/>
      <c r="AKW82" s="440" t="n"/>
      <c r="AKX82" s="440" t="n"/>
      <c r="AKY82" s="440" t="n"/>
      <c r="AKZ82" s="440" t="n"/>
      <c r="ALA82" s="440" t="n"/>
      <c r="ALB82" s="440" t="n"/>
      <c r="ALC82" s="440" t="n"/>
      <c r="ALD82" s="440" t="n"/>
      <c r="ALE82" s="440" t="n"/>
      <c r="ALF82" s="440" t="n"/>
      <c r="ALG82" s="440" t="n"/>
      <c r="ALH82" s="440" t="n"/>
      <c r="ALI82" s="440" t="n"/>
      <c r="ALJ82" s="440" t="n"/>
      <c r="ALK82" s="440" t="n"/>
      <c r="ALL82" s="440" t="n"/>
      <c r="ALM82" s="440" t="n"/>
      <c r="ALN82" s="440" t="n"/>
      <c r="ALO82" s="440" t="n"/>
      <c r="ALP82" s="440" t="n"/>
      <c r="ALQ82" s="440" t="n"/>
      <c r="ALR82" s="440" t="n"/>
      <c r="ALS82" s="440" t="n"/>
      <c r="ALT82" s="440" t="n"/>
      <c r="ALU82" s="440" t="n"/>
      <c r="ALV82" s="440" t="n"/>
      <c r="ALW82" s="440" t="n"/>
      <c r="ALX82" s="440" t="n"/>
      <c r="ALY82" s="440" t="n"/>
      <c r="ALZ82" s="440" t="n"/>
      <c r="AMA82" s="440" t="n"/>
      <c r="AMB82" s="440" t="n"/>
      <c r="AMC82" s="440" t="n"/>
      <c r="AMD82" s="440" t="n"/>
      <c r="AME82" s="440" t="n"/>
      <c r="AMF82" s="440" t="n"/>
      <c r="AMG82" s="440" t="n"/>
      <c r="AMH82" s="440" t="n"/>
      <c r="AMI82" s="440" t="n"/>
      <c r="AMJ82" s="440" t="n"/>
      <c r="AMK82" s="440" t="n"/>
      <c r="AML82" s="440" t="n"/>
      <c r="AMM82" s="440" t="n"/>
      <c r="AMN82" s="440" t="n"/>
      <c r="AMO82" s="440" t="n"/>
      <c r="AMP82" s="440" t="n"/>
      <c r="AMQ82" s="440" t="n"/>
      <c r="AMR82" s="440" t="n"/>
      <c r="AMS82" s="440" t="n"/>
      <c r="AMT82" s="440" t="n"/>
      <c r="AMU82" s="440" t="n"/>
      <c r="AMV82" s="440" t="n"/>
      <c r="AMW82" s="440" t="n"/>
      <c r="AMX82" s="440" t="n"/>
      <c r="AMY82" s="440" t="n"/>
      <c r="AMZ82" s="440" t="n"/>
      <c r="ANA82" s="440" t="n"/>
      <c r="ANB82" s="440" t="n"/>
      <c r="ANC82" s="440" t="n"/>
      <c r="AND82" s="440" t="n"/>
      <c r="ANE82" s="440" t="n"/>
      <c r="ANF82" s="440" t="n"/>
      <c r="ANG82" s="440" t="n"/>
      <c r="ANH82" s="440" t="n"/>
      <c r="ANI82" s="440" t="n"/>
      <c r="ANJ82" s="440" t="n"/>
      <c r="ANK82" s="440" t="n"/>
      <c r="ANL82" s="440" t="n"/>
      <c r="ANM82" s="440" t="n"/>
      <c r="ANN82" s="440" t="n"/>
      <c r="ANO82" s="440" t="n"/>
      <c r="ANP82" s="440" t="n"/>
      <c r="ANQ82" s="440" t="n"/>
      <c r="ANR82" s="440" t="n"/>
      <c r="ANS82" s="440" t="n"/>
      <c r="ANT82" s="440" t="n"/>
      <c r="ANU82" s="440" t="n"/>
      <c r="ANV82" s="440" t="n"/>
      <c r="ANW82" s="440" t="n"/>
      <c r="ANX82" s="440" t="n"/>
      <c r="ANY82" s="440" t="n"/>
      <c r="ANZ82" s="440" t="n"/>
      <c r="AOA82" s="440" t="n"/>
      <c r="AOB82" s="440" t="n"/>
      <c r="AOC82" s="440" t="n"/>
      <c r="AOD82" s="440" t="n"/>
      <c r="AOE82" s="440" t="n"/>
      <c r="AOF82" s="440" t="n"/>
      <c r="AOG82" s="440" t="n"/>
      <c r="AOH82" s="440" t="n"/>
      <c r="AOI82" s="440" t="n"/>
      <c r="AOJ82" s="440" t="n"/>
      <c r="AOK82" s="440" t="n"/>
      <c r="AOL82" s="440" t="n"/>
      <c r="AOM82" s="440" t="n"/>
      <c r="AON82" s="440" t="n"/>
      <c r="AOO82" s="440" t="n"/>
      <c r="AOP82" s="440" t="n"/>
      <c r="AOQ82" s="440" t="n"/>
      <c r="AOR82" s="440" t="n"/>
      <c r="AOS82" s="440" t="n"/>
      <c r="AOT82" s="440" t="n"/>
      <c r="AOU82" s="440" t="n"/>
      <c r="AOV82" s="440" t="n"/>
      <c r="AOW82" s="440" t="n"/>
      <c r="AOX82" s="440" t="n"/>
      <c r="AOY82" s="440" t="n"/>
      <c r="AOZ82" s="440" t="n"/>
      <c r="APA82" s="440" t="n"/>
      <c r="APB82" s="440" t="n"/>
      <c r="APC82" s="440" t="n"/>
      <c r="APD82" s="440" t="n"/>
      <c r="APE82" s="440" t="n"/>
      <c r="APF82" s="440" t="n"/>
      <c r="APG82" s="440" t="n"/>
      <c r="APH82" s="440" t="n"/>
      <c r="API82" s="440" t="n"/>
      <c r="APJ82" s="440" t="n"/>
      <c r="APK82" s="440" t="n"/>
      <c r="APL82" s="440" t="n"/>
      <c r="APM82" s="440" t="n"/>
      <c r="APN82" s="440" t="n"/>
      <c r="APO82" s="440" t="n"/>
      <c r="APP82" s="440" t="n"/>
      <c r="APQ82" s="440" t="n"/>
      <c r="APR82" s="440" t="n"/>
      <c r="APS82" s="440" t="n"/>
      <c r="APT82" s="440" t="n"/>
      <c r="APU82" s="440" t="n"/>
      <c r="APV82" s="440" t="n"/>
      <c r="APW82" s="440" t="n"/>
      <c r="APX82" s="440" t="n"/>
      <c r="APY82" s="440" t="n"/>
      <c r="APZ82" s="440" t="n"/>
      <c r="AQA82" s="440" t="n"/>
      <c r="AQB82" s="440" t="n"/>
      <c r="AQC82" s="440" t="n"/>
      <c r="AQD82" s="440" t="n"/>
      <c r="AQE82" s="440" t="n"/>
      <c r="AQF82" s="440" t="n"/>
      <c r="AQG82" s="440" t="n"/>
      <c r="AQH82" s="440" t="n"/>
      <c r="AQI82" s="440" t="n"/>
      <c r="AQJ82" s="440" t="n"/>
      <c r="AQK82" s="440" t="n"/>
      <c r="AQL82" s="440" t="n"/>
      <c r="AQM82" s="440" t="n"/>
      <c r="AQN82" s="440" t="n"/>
      <c r="AQO82" s="440" t="n"/>
      <c r="AQP82" s="440" t="n"/>
      <c r="AQQ82" s="440" t="n"/>
      <c r="AQR82" s="440" t="n"/>
      <c r="AQS82" s="440" t="n"/>
      <c r="AQT82" s="440" t="n"/>
      <c r="AQU82" s="440" t="n"/>
      <c r="AQV82" s="440" t="n"/>
      <c r="AQW82" s="440" t="n"/>
      <c r="AQX82" s="440" t="n"/>
      <c r="AQY82" s="440" t="n"/>
      <c r="AQZ82" s="440" t="n"/>
      <c r="ARA82" s="440" t="n"/>
      <c r="ARB82" s="440" t="n"/>
      <c r="ARC82" s="440" t="n"/>
      <c r="ARD82" s="440" t="n"/>
      <c r="ARE82" s="440" t="n"/>
      <c r="ARF82" s="440" t="n"/>
      <c r="ARG82" s="440" t="n"/>
      <c r="ARH82" s="440" t="n"/>
      <c r="ARI82" s="440" t="n"/>
      <c r="ARJ82" s="440" t="n"/>
      <c r="ARK82" s="440" t="n"/>
      <c r="ARL82" s="440" t="n"/>
      <c r="ARM82" s="440" t="n"/>
      <c r="ARN82" s="440" t="n"/>
      <c r="ARO82" s="440" t="n"/>
      <c r="ARP82" s="440" t="n"/>
      <c r="ARQ82" s="440" t="n"/>
      <c r="ARR82" s="440" t="n"/>
      <c r="ARS82" s="440" t="n"/>
      <c r="ART82" s="440" t="n"/>
      <c r="ARU82" s="440" t="n"/>
      <c r="ARV82" s="440" t="n"/>
      <c r="ARW82" s="440" t="n"/>
      <c r="ARX82" s="440" t="n"/>
      <c r="ARY82" s="440" t="n"/>
      <c r="ARZ82" s="440" t="n"/>
      <c r="ASA82" s="440" t="n"/>
      <c r="ASB82" s="440" t="n"/>
      <c r="ASC82" s="440" t="n"/>
      <c r="ASD82" s="440" t="n"/>
      <c r="ASE82" s="440" t="n"/>
      <c r="ASF82" s="440" t="n"/>
      <c r="ASG82" s="440" t="n"/>
      <c r="ASH82" s="440" t="n"/>
      <c r="ASI82" s="440" t="n"/>
      <c r="ASJ82" s="440" t="n"/>
      <c r="ASK82" s="440" t="n"/>
      <c r="ASL82" s="440" t="n"/>
      <c r="ASM82" s="440" t="n"/>
      <c r="ASN82" s="440" t="n"/>
      <c r="ASO82" s="440" t="n"/>
      <c r="ASP82" s="440" t="n"/>
      <c r="ASQ82" s="440" t="n"/>
      <c r="ASR82" s="440" t="n"/>
      <c r="ASS82" s="440" t="n"/>
      <c r="AST82" s="440" t="n"/>
      <c r="ASU82" s="440" t="n"/>
      <c r="ASV82" s="440" t="n"/>
      <c r="ASW82" s="440" t="n"/>
      <c r="ASX82" s="440" t="n"/>
      <c r="ASY82" s="440" t="n"/>
      <c r="ASZ82" s="440" t="n"/>
      <c r="ATA82" s="440" t="n"/>
      <c r="ATB82" s="440" t="n"/>
      <c r="ATC82" s="440" t="n"/>
      <c r="ATD82" s="440" t="n"/>
      <c r="ATE82" s="440" t="n"/>
      <c r="ATF82" s="440" t="n"/>
      <c r="ATG82" s="440" t="n"/>
      <c r="ATH82" s="440" t="n"/>
      <c r="ATI82" s="440" t="n"/>
      <c r="ATJ82" s="440" t="n"/>
      <c r="ATK82" s="440" t="n"/>
      <c r="ATL82" s="440" t="n"/>
      <c r="ATM82" s="440" t="n"/>
      <c r="ATN82" s="440" t="n"/>
      <c r="ATO82" s="440" t="n"/>
      <c r="ATP82" s="440" t="n"/>
      <c r="ATQ82" s="440" t="n"/>
      <c r="ATR82" s="440" t="n"/>
      <c r="ATS82" s="440" t="n"/>
      <c r="ATT82" s="440" t="n"/>
      <c r="ATU82" s="440" t="n"/>
      <c r="ATV82" s="440" t="n"/>
      <c r="ATW82" s="440" t="n"/>
      <c r="ATX82" s="440" t="n"/>
      <c r="ATY82" s="440" t="n"/>
      <c r="ATZ82" s="440" t="n"/>
      <c r="AUA82" s="440" t="n"/>
      <c r="AUB82" s="440" t="n"/>
      <c r="AUC82" s="440" t="n"/>
      <c r="AUD82" s="440" t="n"/>
      <c r="AUE82" s="440" t="n"/>
      <c r="AUF82" s="440" t="n"/>
      <c r="AUG82" s="440" t="n"/>
      <c r="AUH82" s="440" t="n"/>
      <c r="AUI82" s="440" t="n"/>
      <c r="AUJ82" s="440" t="n"/>
      <c r="AUK82" s="440" t="n"/>
      <c r="AUL82" s="440" t="n"/>
      <c r="AUM82" s="440" t="n"/>
      <c r="AUN82" s="440" t="n"/>
      <c r="AUO82" s="440" t="n"/>
      <c r="AUP82" s="440" t="n"/>
      <c r="AUQ82" s="440" t="n"/>
      <c r="AUR82" s="440" t="n"/>
      <c r="AUS82" s="440" t="n"/>
      <c r="AUT82" s="440" t="n"/>
      <c r="AUU82" s="440" t="n"/>
      <c r="AUV82" s="440" t="n"/>
      <c r="AUW82" s="440" t="n"/>
      <c r="AUX82" s="440" t="n"/>
      <c r="AUY82" s="440" t="n"/>
      <c r="AUZ82" s="440" t="n"/>
      <c r="AVA82" s="440" t="n"/>
      <c r="AVB82" s="440" t="n"/>
      <c r="AVC82" s="440" t="n"/>
      <c r="AVD82" s="440" t="n"/>
      <c r="AVE82" s="440" t="n"/>
      <c r="AVF82" s="440" t="n"/>
      <c r="AVG82" s="440" t="n"/>
      <c r="AVH82" s="440" t="n"/>
      <c r="AVI82" s="440" t="n"/>
      <c r="AVJ82" s="440" t="n"/>
      <c r="AVK82" s="440" t="n"/>
      <c r="AVL82" s="440" t="n"/>
      <c r="AVM82" s="440" t="n"/>
      <c r="AVN82" s="440" t="n"/>
      <c r="AVO82" s="440" t="n"/>
      <c r="AVP82" s="440" t="n"/>
      <c r="AVQ82" s="440" t="n"/>
      <c r="AVR82" s="440" t="n"/>
      <c r="AVS82" s="440" t="n"/>
      <c r="AVT82" s="440" t="n"/>
      <c r="AVU82" s="440" t="n"/>
      <c r="AVV82" s="440" t="n"/>
      <c r="AVW82" s="440" t="n"/>
      <c r="AVX82" s="440" t="n"/>
      <c r="AVY82" s="440" t="n"/>
      <c r="AVZ82" s="440" t="n"/>
      <c r="AWA82" s="440" t="n"/>
      <c r="AWB82" s="440" t="n"/>
      <c r="AWC82" s="440" t="n"/>
      <c r="AWD82" s="440" t="n"/>
      <c r="AWE82" s="440" t="n"/>
      <c r="AWF82" s="440" t="n"/>
      <c r="AWG82" s="440" t="n"/>
      <c r="AWH82" s="440" t="n"/>
      <c r="AWI82" s="440" t="n"/>
      <c r="AWJ82" s="440" t="n"/>
      <c r="AWK82" s="440" t="n"/>
      <c r="AWL82" s="440" t="n"/>
      <c r="AWM82" s="440" t="n"/>
      <c r="AWN82" s="440" t="n"/>
      <c r="AWO82" s="440" t="n"/>
      <c r="AWP82" s="440" t="n"/>
      <c r="AWQ82" s="440" t="n"/>
      <c r="AWR82" s="440" t="n"/>
      <c r="AWS82" s="440" t="n"/>
      <c r="AWT82" s="440" t="n"/>
      <c r="AWU82" s="440" t="n"/>
      <c r="AWV82" s="440" t="n"/>
      <c r="AWW82" s="440" t="n"/>
      <c r="AWX82" s="440" t="n"/>
      <c r="AWY82" s="440" t="n"/>
      <c r="AWZ82" s="440" t="n"/>
      <c r="AXA82" s="440" t="n"/>
      <c r="AXB82" s="440" t="n"/>
      <c r="AXC82" s="440" t="n"/>
      <c r="AXD82" s="440" t="n"/>
      <c r="AXE82" s="440" t="n"/>
      <c r="AXF82" s="440" t="n"/>
      <c r="AXG82" s="440" t="n"/>
      <c r="AXH82" s="440" t="n"/>
      <c r="AXI82" s="440" t="n"/>
      <c r="AXJ82" s="440" t="n"/>
      <c r="AXK82" s="440" t="n"/>
      <c r="AXL82" s="440" t="n"/>
      <c r="AXM82" s="440" t="n"/>
      <c r="AXN82" s="440" t="n"/>
      <c r="AXO82" s="440" t="n"/>
      <c r="AXP82" s="440" t="n"/>
      <c r="AXQ82" s="440" t="n"/>
      <c r="AXR82" s="440" t="n"/>
      <c r="AXS82" s="440" t="n"/>
      <c r="AXT82" s="440" t="n"/>
      <c r="AXU82" s="440" t="n"/>
      <c r="AXV82" s="440" t="n"/>
      <c r="AXW82" s="440" t="n"/>
      <c r="AXX82" s="440" t="n"/>
      <c r="AXY82" s="440" t="n"/>
      <c r="AXZ82" s="440" t="n"/>
      <c r="AYA82" s="440" t="n"/>
      <c r="AYB82" s="440" t="n"/>
      <c r="AYC82" s="440" t="n"/>
      <c r="AYD82" s="440" t="n"/>
      <c r="AYE82" s="440" t="n"/>
      <c r="AYF82" s="440" t="n"/>
      <c r="AYG82" s="440" t="n"/>
      <c r="AYH82" s="440" t="n"/>
      <c r="AYI82" s="440" t="n"/>
      <c r="AYJ82" s="440" t="n"/>
      <c r="AYK82" s="440" t="n"/>
      <c r="AYL82" s="440" t="n"/>
      <c r="AYM82" s="440" t="n"/>
      <c r="AYN82" s="440" t="n"/>
      <c r="AYO82" s="440" t="n"/>
      <c r="AYP82" s="440" t="n"/>
      <c r="AYQ82" s="440" t="n"/>
      <c r="AYR82" s="440" t="n"/>
      <c r="AYS82" s="440" t="n"/>
      <c r="AYT82" s="440" t="n"/>
      <c r="AYU82" s="440" t="n"/>
      <c r="AYV82" s="440" t="n"/>
      <c r="AYW82" s="440" t="n"/>
      <c r="AYX82" s="440" t="n"/>
      <c r="AYY82" s="440" t="n"/>
      <c r="AYZ82" s="440" t="n"/>
      <c r="AZA82" s="440" t="n"/>
      <c r="AZB82" s="440" t="n"/>
      <c r="AZC82" s="440" t="n"/>
      <c r="AZD82" s="440" t="n"/>
      <c r="AZE82" s="440" t="n"/>
      <c r="AZF82" s="440" t="n"/>
      <c r="AZG82" s="440" t="n"/>
      <c r="AZH82" s="440" t="n"/>
      <c r="AZI82" s="440" t="n"/>
      <c r="AZJ82" s="440" t="n"/>
      <c r="AZK82" s="440" t="n"/>
      <c r="AZL82" s="440" t="n"/>
      <c r="AZM82" s="440" t="n"/>
      <c r="AZN82" s="440" t="n"/>
      <c r="AZO82" s="440" t="n"/>
      <c r="AZP82" s="440" t="n"/>
      <c r="AZQ82" s="440" t="n"/>
      <c r="AZR82" s="440" t="n"/>
      <c r="AZS82" s="440" t="n"/>
      <c r="AZT82" s="440" t="n"/>
      <c r="AZU82" s="440" t="n"/>
      <c r="AZV82" s="440" t="n"/>
      <c r="AZW82" s="440" t="n"/>
      <c r="AZX82" s="440" t="n"/>
      <c r="AZY82" s="440" t="n"/>
      <c r="AZZ82" s="440" t="n"/>
      <c r="BAA82" s="440" t="n"/>
      <c r="BAB82" s="440" t="n"/>
      <c r="BAC82" s="440" t="n"/>
      <c r="BAD82" s="440" t="n"/>
      <c r="BAE82" s="440" t="n"/>
      <c r="BAF82" s="440" t="n"/>
      <c r="BAG82" s="440" t="n"/>
      <c r="BAH82" s="440" t="n"/>
      <c r="BAI82" s="440" t="n"/>
      <c r="BAJ82" s="440" t="n"/>
      <c r="BAK82" s="440" t="n"/>
      <c r="BAL82" s="440" t="n"/>
      <c r="BAM82" s="440" t="n"/>
      <c r="BAN82" s="440" t="n"/>
      <c r="BAO82" s="440" t="n"/>
      <c r="BAP82" s="440" t="n"/>
      <c r="BAQ82" s="440" t="n"/>
      <c r="BAR82" s="440" t="n"/>
      <c r="BAS82" s="440" t="n"/>
      <c r="BAT82" s="440" t="n"/>
      <c r="BAU82" s="440" t="n"/>
      <c r="BAV82" s="440" t="n"/>
      <c r="BAW82" s="440" t="n"/>
      <c r="BAX82" s="440" t="n"/>
      <c r="BAY82" s="440" t="n"/>
      <c r="BAZ82" s="440" t="n"/>
      <c r="BBA82" s="440" t="n"/>
      <c r="BBB82" s="440" t="n"/>
      <c r="BBC82" s="440" t="n"/>
      <c r="BBD82" s="440" t="n"/>
      <c r="BBE82" s="440" t="n"/>
      <c r="BBF82" s="440" t="n"/>
      <c r="BBG82" s="440" t="n"/>
      <c r="BBH82" s="440" t="n"/>
      <c r="BBI82" s="440" t="n"/>
      <c r="BBJ82" s="440" t="n"/>
      <c r="BBK82" s="440" t="n"/>
      <c r="BBL82" s="440" t="n"/>
      <c r="BBM82" s="440" t="n"/>
      <c r="BBN82" s="440" t="n"/>
      <c r="BBO82" s="440" t="n"/>
      <c r="BBP82" s="440" t="n"/>
      <c r="BBQ82" s="440" t="n"/>
      <c r="BBR82" s="440" t="n"/>
      <c r="BBS82" s="440" t="n"/>
      <c r="BBT82" s="440" t="n"/>
      <c r="BBU82" s="440" t="n"/>
      <c r="BBV82" s="440" t="n"/>
      <c r="BBW82" s="440" t="n"/>
      <c r="BBX82" s="440" t="n"/>
      <c r="BBY82" s="440" t="n"/>
      <c r="BBZ82" s="440" t="n"/>
      <c r="BCA82" s="440" t="n"/>
      <c r="BCB82" s="440" t="n"/>
      <c r="BCC82" s="440" t="n"/>
      <c r="BCD82" s="440" t="n"/>
      <c r="BCE82" s="440" t="n"/>
      <c r="BCF82" s="440" t="n"/>
      <c r="BCG82" s="440" t="n"/>
      <c r="BCH82" s="440" t="n"/>
      <c r="BCI82" s="440" t="n"/>
      <c r="BCJ82" s="440" t="n"/>
      <c r="BCK82" s="440" t="n"/>
      <c r="BCL82" s="440" t="n"/>
      <c r="BCM82" s="440" t="n"/>
      <c r="BCN82" s="440" t="n"/>
      <c r="BCO82" s="440" t="n"/>
      <c r="BCP82" s="440" t="n"/>
      <c r="BCQ82" s="440" t="n"/>
      <c r="BCR82" s="440" t="n"/>
      <c r="BCS82" s="440" t="n"/>
      <c r="BCT82" s="440" t="n"/>
      <c r="BCU82" s="440" t="n"/>
      <c r="BCV82" s="440" t="n"/>
      <c r="BCW82" s="440" t="n"/>
      <c r="BCX82" s="440" t="n"/>
      <c r="BCY82" s="440" t="n"/>
      <c r="BCZ82" s="440" t="n"/>
      <c r="BDA82" s="440" t="n"/>
      <c r="BDB82" s="440" t="n"/>
      <c r="BDC82" s="440" t="n"/>
      <c r="BDD82" s="440" t="n"/>
      <c r="BDE82" s="440" t="n"/>
      <c r="BDF82" s="440" t="n"/>
      <c r="BDG82" s="440" t="n"/>
      <c r="BDH82" s="440" t="n"/>
      <c r="BDI82" s="440" t="n"/>
      <c r="BDJ82" s="440" t="n"/>
      <c r="BDK82" s="440" t="n"/>
      <c r="BDL82" s="440" t="n"/>
      <c r="BDM82" s="440" t="n"/>
      <c r="BDN82" s="440" t="n"/>
      <c r="BDO82" s="440" t="n"/>
      <c r="BDP82" s="440" t="n"/>
      <c r="BDQ82" s="440" t="n"/>
      <c r="BDR82" s="440" t="n"/>
      <c r="BDS82" s="440" t="n"/>
      <c r="BDT82" s="440" t="n"/>
      <c r="BDU82" s="440" t="n"/>
      <c r="BDV82" s="440" t="n"/>
      <c r="BDW82" s="440" t="n"/>
      <c r="BDX82" s="440" t="n"/>
      <c r="BDY82" s="440" t="n"/>
      <c r="BDZ82" s="440" t="n"/>
      <c r="BEA82" s="440" t="n"/>
      <c r="BEB82" s="440" t="n"/>
      <c r="BEC82" s="440" t="n"/>
      <c r="BED82" s="440" t="n"/>
      <c r="BEE82" s="440" t="n"/>
      <c r="BEF82" s="440" t="n"/>
      <c r="BEG82" s="440" t="n"/>
      <c r="BEH82" s="440" t="n"/>
      <c r="BEI82" s="440" t="n"/>
      <c r="BEJ82" s="440" t="n"/>
      <c r="BEK82" s="440" t="n"/>
      <c r="BEL82" s="440" t="n"/>
      <c r="BEM82" s="440" t="n"/>
      <c r="BEN82" s="440" t="n"/>
      <c r="BEO82" s="440" t="n"/>
      <c r="BEP82" s="440" t="n"/>
      <c r="BEQ82" s="440" t="n"/>
      <c r="BER82" s="440" t="n"/>
      <c r="BES82" s="440" t="n"/>
      <c r="BET82" s="440" t="n"/>
      <c r="BEU82" s="440" t="n"/>
      <c r="BEV82" s="440" t="n"/>
      <c r="BEW82" s="440" t="n"/>
      <c r="BEX82" s="440" t="n"/>
      <c r="BEY82" s="440" t="n"/>
      <c r="BEZ82" s="440" t="n"/>
      <c r="BFA82" s="440" t="n"/>
      <c r="BFB82" s="440" t="n"/>
      <c r="BFC82" s="440" t="n"/>
      <c r="BFD82" s="440" t="n"/>
      <c r="BFE82" s="440" t="n"/>
      <c r="BFF82" s="440" t="n"/>
      <c r="BFG82" s="440" t="n"/>
      <c r="BFH82" s="440" t="n"/>
      <c r="BFI82" s="440" t="n"/>
      <c r="BFJ82" s="440" t="n"/>
      <c r="BFK82" s="440" t="n"/>
      <c r="BFL82" s="440" t="n"/>
      <c r="BFM82" s="440" t="n"/>
      <c r="BFN82" s="440" t="n"/>
      <c r="BFO82" s="440" t="n"/>
      <c r="BFP82" s="440" t="n"/>
      <c r="BFQ82" s="440" t="n"/>
      <c r="BFR82" s="440" t="n"/>
      <c r="BFS82" s="440" t="n"/>
      <c r="BFT82" s="440" t="n"/>
      <c r="BFU82" s="440" t="n"/>
      <c r="BFV82" s="440" t="n"/>
      <c r="BFW82" s="440" t="n"/>
      <c r="BFX82" s="440" t="n"/>
      <c r="BFY82" s="440" t="n"/>
      <c r="BFZ82" s="440" t="n"/>
      <c r="BGA82" s="440" t="n"/>
      <c r="BGB82" s="440" t="n"/>
      <c r="BGC82" s="440" t="n"/>
      <c r="BGD82" s="440" t="n"/>
      <c r="BGE82" s="440" t="n"/>
      <c r="BGF82" s="440" t="n"/>
      <c r="BGG82" s="440" t="n"/>
      <c r="BGH82" s="440" t="n"/>
      <c r="BGI82" s="440" t="n"/>
      <c r="BGJ82" s="440" t="n"/>
      <c r="BGK82" s="440" t="n"/>
      <c r="BGL82" s="440" t="n"/>
      <c r="BGM82" s="440" t="n"/>
      <c r="BGN82" s="440" t="n"/>
      <c r="BGO82" s="440" t="n"/>
      <c r="BGP82" s="440" t="n"/>
      <c r="BGQ82" s="440" t="n"/>
      <c r="BGR82" s="440" t="n"/>
      <c r="BGS82" s="440" t="n"/>
      <c r="BGT82" s="440" t="n"/>
      <c r="BGU82" s="440" t="n"/>
      <c r="BGV82" s="440" t="n"/>
      <c r="BGW82" s="440" t="n"/>
      <c r="BGX82" s="440" t="n"/>
      <c r="BGY82" s="440" t="n"/>
      <c r="BGZ82" s="440" t="n"/>
      <c r="BHA82" s="440" t="n"/>
      <c r="BHB82" s="440" t="n"/>
      <c r="BHC82" s="440" t="n"/>
      <c r="BHD82" s="440" t="n"/>
      <c r="BHE82" s="440" t="n"/>
      <c r="BHF82" s="440" t="n"/>
      <c r="BHG82" s="440" t="n"/>
      <c r="BHH82" s="440" t="n"/>
      <c r="BHI82" s="440" t="n"/>
      <c r="BHJ82" s="440" t="n"/>
      <c r="BHK82" s="440" t="n"/>
      <c r="BHL82" s="440" t="n"/>
      <c r="BHM82" s="440" t="n"/>
      <c r="BHN82" s="440" t="n"/>
      <c r="BHO82" s="440" t="n"/>
      <c r="BHP82" s="440" t="n"/>
      <c r="BHQ82" s="440" t="n"/>
      <c r="BHR82" s="440" t="n"/>
      <c r="BHS82" s="440" t="n"/>
      <c r="BHT82" s="440" t="n"/>
      <c r="BHU82" s="440" t="n"/>
      <c r="BHV82" s="440" t="n"/>
      <c r="BHW82" s="440" t="n"/>
      <c r="BHX82" s="440" t="n"/>
      <c r="BHY82" s="440" t="n"/>
      <c r="BHZ82" s="440" t="n"/>
      <c r="BIA82" s="440" t="n"/>
      <c r="BIB82" s="440" t="n"/>
      <c r="BIC82" s="440" t="n"/>
      <c r="BID82" s="440" t="n"/>
      <c r="BIE82" s="440" t="n"/>
      <c r="BIF82" s="440" t="n"/>
      <c r="BIG82" s="440" t="n"/>
      <c r="BIH82" s="440" t="n"/>
      <c r="BII82" s="440" t="n"/>
      <c r="BIJ82" s="440" t="n"/>
      <c r="BIK82" s="440" t="n"/>
      <c r="BIL82" s="440" t="n"/>
      <c r="BIM82" s="440" t="n"/>
      <c r="BIN82" s="440" t="n"/>
      <c r="BIO82" s="440" t="n"/>
      <c r="BIP82" s="440" t="n"/>
      <c r="BIQ82" s="440" t="n"/>
      <c r="BIR82" s="440" t="n"/>
      <c r="BIS82" s="440" t="n"/>
      <c r="BIT82" s="440" t="n"/>
      <c r="BIU82" s="440" t="n"/>
      <c r="BIV82" s="440" t="n"/>
      <c r="BIW82" s="440" t="n"/>
      <c r="BIX82" s="440" t="n"/>
      <c r="BIY82" s="440" t="n"/>
      <c r="BIZ82" s="440" t="n"/>
      <c r="BJA82" s="440" t="n"/>
      <c r="BJB82" s="440" t="n"/>
      <c r="BJC82" s="440" t="n"/>
      <c r="BJD82" s="440" t="n"/>
      <c r="BJE82" s="440" t="n"/>
      <c r="BJF82" s="440" t="n"/>
      <c r="BJG82" s="440" t="n"/>
      <c r="BJH82" s="440" t="n"/>
      <c r="BJI82" s="440" t="n"/>
      <c r="BJJ82" s="440" t="n"/>
      <c r="BJK82" s="440" t="n"/>
      <c r="BJL82" s="440" t="n"/>
      <c r="BJM82" s="440" t="n"/>
      <c r="BJN82" s="440" t="n"/>
      <c r="BJO82" s="440" t="n"/>
      <c r="BJP82" s="440" t="n"/>
      <c r="BJQ82" s="440" t="n"/>
      <c r="BJR82" s="440" t="n"/>
      <c r="BJS82" s="440" t="n"/>
      <c r="BJT82" s="440" t="n"/>
      <c r="BJU82" s="440" t="n"/>
      <c r="BJV82" s="440" t="n"/>
      <c r="BJW82" s="440" t="n"/>
      <c r="BJX82" s="440" t="n"/>
      <c r="BJY82" s="440" t="n"/>
      <c r="BJZ82" s="440" t="n"/>
      <c r="BKA82" s="440" t="n"/>
      <c r="BKB82" s="440" t="n"/>
      <c r="BKC82" s="440" t="n"/>
      <c r="BKD82" s="440" t="n"/>
      <c r="BKE82" s="440" t="n"/>
      <c r="BKF82" s="440" t="n"/>
      <c r="BKG82" s="440" t="n"/>
      <c r="BKH82" s="440" t="n"/>
      <c r="BKI82" s="440" t="n"/>
      <c r="BKJ82" s="440" t="n"/>
      <c r="BKK82" s="440" t="n"/>
      <c r="BKL82" s="440" t="n"/>
      <c r="BKM82" s="440" t="n"/>
      <c r="BKN82" s="440" t="n"/>
      <c r="BKO82" s="440" t="n"/>
      <c r="BKP82" s="440" t="n"/>
      <c r="BKQ82" s="440" t="n"/>
      <c r="BKR82" s="440" t="n"/>
      <c r="BKS82" s="440" t="n"/>
      <c r="BKT82" s="440" t="n"/>
      <c r="BKU82" s="440" t="n"/>
      <c r="BKV82" s="440" t="n"/>
      <c r="BKW82" s="440" t="n"/>
      <c r="BKX82" s="440" t="n"/>
      <c r="BKY82" s="440" t="n"/>
      <c r="BKZ82" s="440" t="n"/>
      <c r="BLA82" s="440" t="n"/>
      <c r="BLB82" s="440" t="n"/>
      <c r="BLC82" s="440" t="n"/>
      <c r="BLD82" s="440" t="n"/>
      <c r="BLE82" s="440" t="n"/>
      <c r="BLF82" s="440" t="n"/>
      <c r="BLG82" s="440" t="n"/>
      <c r="BLH82" s="440" t="n"/>
      <c r="BLI82" s="440" t="n"/>
      <c r="BLJ82" s="440" t="n"/>
      <c r="BLK82" s="440" t="n"/>
      <c r="BLL82" s="440" t="n"/>
      <c r="BLM82" s="440" t="n"/>
      <c r="BLN82" s="440" t="n"/>
      <c r="BLO82" s="440" t="n"/>
      <c r="BLP82" s="440" t="n"/>
      <c r="BLQ82" s="440" t="n"/>
      <c r="BLR82" s="440" t="n"/>
      <c r="BLS82" s="440" t="n"/>
      <c r="BLT82" s="440" t="n"/>
      <c r="BLU82" s="440" t="n"/>
      <c r="BLV82" s="440" t="n"/>
      <c r="BLW82" s="440" t="n"/>
      <c r="BLX82" s="440" t="n"/>
      <c r="BLY82" s="440" t="n"/>
      <c r="BLZ82" s="440" t="n"/>
      <c r="BMA82" s="440" t="n"/>
      <c r="BMB82" s="440" t="n"/>
      <c r="BMC82" s="440" t="n"/>
      <c r="BMD82" s="440" t="n"/>
      <c r="BME82" s="440" t="n"/>
      <c r="BMF82" s="440" t="n"/>
      <c r="BMG82" s="440" t="n"/>
      <c r="BMH82" s="440" t="n"/>
      <c r="BMI82" s="440" t="n"/>
      <c r="BMJ82" s="440" t="n"/>
      <c r="BMK82" s="440" t="n"/>
      <c r="BML82" s="440" t="n"/>
      <c r="BMM82" s="440" t="n"/>
      <c r="BMN82" s="440" t="n"/>
      <c r="BMO82" s="440" t="n"/>
      <c r="BMP82" s="440" t="n"/>
      <c r="BMQ82" s="440" t="n"/>
      <c r="BMR82" s="440" t="n"/>
      <c r="BMS82" s="440" t="n"/>
      <c r="BMT82" s="440" t="n"/>
      <c r="BMU82" s="440" t="n"/>
      <c r="BMV82" s="440" t="n"/>
      <c r="BMW82" s="440" t="n"/>
      <c r="BMX82" s="440" t="n"/>
      <c r="BMY82" s="440" t="n"/>
      <c r="BMZ82" s="440" t="n"/>
      <c r="BNA82" s="440" t="n"/>
      <c r="BNB82" s="440" t="n"/>
      <c r="BNC82" s="440" t="n"/>
      <c r="BND82" s="440" t="n"/>
      <c r="BNE82" s="440" t="n"/>
      <c r="BNF82" s="440" t="n"/>
      <c r="BNG82" s="440" t="n"/>
      <c r="BNH82" s="440" t="n"/>
      <c r="BNI82" s="440" t="n"/>
      <c r="BNJ82" s="440" t="n"/>
      <c r="BNK82" s="440" t="n"/>
      <c r="BNL82" s="440" t="n"/>
      <c r="BNM82" s="440" t="n"/>
      <c r="BNN82" s="440" t="n"/>
      <c r="BNO82" s="440" t="n"/>
      <c r="BNP82" s="440" t="n"/>
      <c r="BNQ82" s="440" t="n"/>
      <c r="BNR82" s="440" t="n"/>
      <c r="BNS82" s="440" t="n"/>
      <c r="BNT82" s="440" t="n"/>
      <c r="BNU82" s="440" t="n"/>
      <c r="BNV82" s="440" t="n"/>
      <c r="BNW82" s="440" t="n"/>
      <c r="BNX82" s="440" t="n"/>
      <c r="BNY82" s="440" t="n"/>
      <c r="BNZ82" s="440" t="n"/>
      <c r="BOA82" s="440" t="n"/>
      <c r="BOB82" s="440" t="n"/>
      <c r="BOC82" s="440" t="n"/>
      <c r="BOD82" s="440" t="n"/>
      <c r="BOE82" s="440" t="n"/>
      <c r="BOF82" s="440" t="n"/>
      <c r="BOG82" s="440" t="n"/>
      <c r="BOH82" s="440" t="n"/>
      <c r="BOI82" s="440" t="n"/>
      <c r="BOJ82" s="440" t="n"/>
      <c r="BOK82" s="440" t="n"/>
      <c r="BOL82" s="440" t="n"/>
      <c r="BOM82" s="440" t="n"/>
      <c r="BON82" s="440" t="n"/>
      <c r="BOO82" s="440" t="n"/>
      <c r="BOP82" s="440" t="n"/>
      <c r="BOQ82" s="440" t="n"/>
      <c r="BOR82" s="440" t="n"/>
      <c r="BOS82" s="440" t="n"/>
      <c r="BOT82" s="440" t="n"/>
      <c r="BOU82" s="440" t="n"/>
      <c r="BOV82" s="440" t="n"/>
      <c r="BOW82" s="440" t="n"/>
      <c r="BOX82" s="440" t="n"/>
      <c r="BOY82" s="440" t="n"/>
      <c r="BOZ82" s="440" t="n"/>
      <c r="BPA82" s="440" t="n"/>
      <c r="BPB82" s="440" t="n"/>
      <c r="BPC82" s="440" t="n"/>
      <c r="BPD82" s="440" t="n"/>
      <c r="BPE82" s="440" t="n"/>
      <c r="BPF82" s="440" t="n"/>
      <c r="BPG82" s="440" t="n"/>
      <c r="BPH82" s="440" t="n"/>
      <c r="BPI82" s="440" t="n"/>
      <c r="BPJ82" s="440" t="n"/>
      <c r="BPK82" s="440" t="n"/>
      <c r="BPL82" s="440" t="n"/>
      <c r="BPM82" s="440" t="n"/>
      <c r="BPN82" s="440" t="n"/>
      <c r="BPO82" s="440" t="n"/>
      <c r="BPP82" s="440" t="n"/>
      <c r="BPQ82" s="440" t="n"/>
      <c r="BPR82" s="440" t="n"/>
      <c r="BPS82" s="440" t="n"/>
      <c r="BPT82" s="440" t="n"/>
      <c r="BPU82" s="440" t="n"/>
      <c r="BPV82" s="440" t="n"/>
      <c r="BPW82" s="440" t="n"/>
      <c r="BPX82" s="440" t="n"/>
      <c r="BPY82" s="440" t="n"/>
      <c r="BPZ82" s="440" t="n"/>
      <c r="BQA82" s="440" t="n"/>
      <c r="BQB82" s="440" t="n"/>
      <c r="BQC82" s="440" t="n"/>
      <c r="BQD82" s="440" t="n"/>
      <c r="BQE82" s="440" t="n"/>
      <c r="BQF82" s="440" t="n"/>
      <c r="BQG82" s="440" t="n"/>
      <c r="BQH82" s="440" t="n"/>
      <c r="BQI82" s="440" t="n"/>
      <c r="BQJ82" s="440" t="n"/>
      <c r="BQK82" s="440" t="n"/>
      <c r="BQL82" s="440" t="n"/>
      <c r="BQM82" s="440" t="n"/>
      <c r="BQN82" s="440" t="n"/>
      <c r="BQO82" s="440" t="n"/>
      <c r="BQP82" s="440" t="n"/>
      <c r="BQQ82" s="440" t="n"/>
      <c r="BQR82" s="440" t="n"/>
      <c r="BQS82" s="440" t="n"/>
      <c r="BQT82" s="440" t="n"/>
      <c r="BQU82" s="440" t="n"/>
      <c r="BQV82" s="440" t="n"/>
      <c r="BQW82" s="440" t="n"/>
      <c r="BQX82" s="440" t="n"/>
      <c r="BQY82" s="440" t="n"/>
      <c r="BQZ82" s="440" t="n"/>
      <c r="BRA82" s="440" t="n"/>
      <c r="BRB82" s="440" t="n"/>
      <c r="BRC82" s="440" t="n"/>
      <c r="BRD82" s="440" t="n"/>
      <c r="BRE82" s="440" t="n"/>
      <c r="BRF82" s="440" t="n"/>
      <c r="BRG82" s="440" t="n"/>
      <c r="BRH82" s="440" t="n"/>
      <c r="BRI82" s="440" t="n"/>
      <c r="BRJ82" s="440" t="n"/>
      <c r="BRK82" s="440" t="n"/>
      <c r="BRL82" s="440" t="n"/>
      <c r="BRM82" s="440" t="n"/>
      <c r="BRN82" s="440" t="n"/>
      <c r="BRO82" s="440" t="n"/>
      <c r="BRP82" s="440" t="n"/>
      <c r="BRQ82" s="440" t="n"/>
      <c r="BRR82" s="440" t="n"/>
      <c r="BRS82" s="440" t="n"/>
      <c r="BRT82" s="440" t="n"/>
      <c r="BRU82" s="440" t="n"/>
      <c r="BRV82" s="440" t="n"/>
      <c r="BRW82" s="440" t="n"/>
      <c r="BRX82" s="440" t="n"/>
      <c r="BRY82" s="440" t="n"/>
      <c r="BRZ82" s="440" t="n"/>
      <c r="BSA82" s="440" t="n"/>
      <c r="BSB82" s="440" t="n"/>
      <c r="BSC82" s="440" t="n"/>
      <c r="BSD82" s="440" t="n"/>
      <c r="BSE82" s="440" t="n"/>
      <c r="BSF82" s="440" t="n"/>
      <c r="BSG82" s="440" t="n"/>
      <c r="BSH82" s="440" t="n"/>
      <c r="BSI82" s="440" t="n"/>
      <c r="BSJ82" s="440" t="n"/>
      <c r="BSK82" s="440" t="n"/>
      <c r="BSL82" s="440" t="n"/>
      <c r="BSM82" s="440" t="n"/>
      <c r="BSN82" s="440" t="n"/>
      <c r="BSO82" s="440" t="n"/>
      <c r="BSP82" s="440" t="n"/>
      <c r="BSQ82" s="440" t="n"/>
      <c r="BSR82" s="440" t="n"/>
      <c r="BSS82" s="440" t="n"/>
      <c r="BST82" s="440" t="n"/>
      <c r="BSU82" s="440" t="n"/>
      <c r="BSV82" s="440" t="n"/>
      <c r="BSW82" s="440" t="n"/>
      <c r="BSX82" s="440" t="n"/>
      <c r="BSY82" s="440" t="n"/>
      <c r="BSZ82" s="440" t="n"/>
      <c r="BTA82" s="440" t="n"/>
      <c r="BTB82" s="440" t="n"/>
      <c r="BTC82" s="440" t="n"/>
      <c r="BTD82" s="440" t="n"/>
      <c r="BTE82" s="440" t="n"/>
      <c r="BTF82" s="440" t="n"/>
      <c r="BTG82" s="440" t="n"/>
      <c r="BTH82" s="440" t="n"/>
      <c r="BTI82" s="440" t="n"/>
      <c r="BTJ82" s="440" t="n"/>
      <c r="BTK82" s="440" t="n"/>
      <c r="BTL82" s="440" t="n"/>
      <c r="BTM82" s="440" t="n"/>
      <c r="BTN82" s="440" t="n"/>
      <c r="BTO82" s="440" t="n"/>
      <c r="BTP82" s="440" t="n"/>
      <c r="BTQ82" s="440" t="n"/>
      <c r="BTR82" s="440" t="n"/>
      <c r="BTS82" s="440" t="n"/>
      <c r="BTT82" s="440" t="n"/>
      <c r="BTU82" s="440" t="n"/>
      <c r="BTV82" s="440" t="n"/>
      <c r="BTW82" s="440" t="n"/>
      <c r="BTX82" s="440" t="n"/>
      <c r="BTY82" s="440" t="n"/>
      <c r="BTZ82" s="440" t="n"/>
      <c r="BUA82" s="440" t="n"/>
      <c r="BUB82" s="440" t="n"/>
      <c r="BUC82" s="440" t="n"/>
      <c r="BUD82" s="440" t="n"/>
      <c r="BUE82" s="440" t="n"/>
      <c r="BUF82" s="440" t="n"/>
      <c r="BUG82" s="440" t="n"/>
      <c r="BUH82" s="440" t="n"/>
      <c r="BUI82" s="440" t="n"/>
      <c r="BUJ82" s="440" t="n"/>
      <c r="BUK82" s="440" t="n"/>
      <c r="BUL82" s="440" t="n"/>
      <c r="BUM82" s="440" t="n"/>
      <c r="BUN82" s="440" t="n"/>
      <c r="BUO82" s="440" t="n"/>
      <c r="BUP82" s="440" t="n"/>
      <c r="BUQ82" s="440" t="n"/>
      <c r="BUR82" s="440" t="n"/>
      <c r="BUS82" s="440" t="n"/>
      <c r="BUT82" s="440" t="n"/>
      <c r="BUU82" s="440" t="n"/>
      <c r="BUV82" s="440" t="n"/>
      <c r="BUW82" s="440" t="n"/>
      <c r="BUX82" s="440" t="n"/>
      <c r="BUY82" s="440" t="n"/>
      <c r="BUZ82" s="440" t="n"/>
      <c r="BVA82" s="440" t="n"/>
      <c r="BVB82" s="440" t="n"/>
      <c r="BVC82" s="440" t="n"/>
      <c r="BVD82" s="440" t="n"/>
      <c r="BVE82" s="440" t="n"/>
      <c r="BVF82" s="440" t="n"/>
      <c r="BVG82" s="440" t="n"/>
      <c r="BVH82" s="440" t="n"/>
      <c r="BVI82" s="440" t="n"/>
      <c r="BVJ82" s="440" t="n"/>
      <c r="BVK82" s="440" t="n"/>
      <c r="BVL82" s="440" t="n"/>
      <c r="BVM82" s="440" t="n"/>
      <c r="BVN82" s="440" t="n"/>
      <c r="BVO82" s="440" t="n"/>
      <c r="BVP82" s="440" t="n"/>
      <c r="BVQ82" s="440" t="n"/>
      <c r="BVR82" s="440" t="n"/>
      <c r="BVS82" s="440" t="n"/>
      <c r="BVT82" s="440" t="n"/>
      <c r="BVU82" s="440" t="n"/>
      <c r="BVV82" s="440" t="n"/>
      <c r="BVW82" s="440" t="n"/>
      <c r="BVX82" s="440" t="n"/>
      <c r="BVY82" s="440" t="n"/>
      <c r="BVZ82" s="440" t="n"/>
      <c r="BWA82" s="440" t="n"/>
      <c r="BWB82" s="440" t="n"/>
      <c r="BWC82" s="440" t="n"/>
      <c r="BWD82" s="440" t="n"/>
      <c r="BWE82" s="440" t="n"/>
      <c r="BWF82" s="440" t="n"/>
      <c r="BWG82" s="440" t="n"/>
      <c r="BWH82" s="440" t="n"/>
      <c r="BWI82" s="440" t="n"/>
      <c r="BWJ82" s="440" t="n"/>
      <c r="BWK82" s="440" t="n"/>
      <c r="BWL82" s="440" t="n"/>
      <c r="BWM82" s="440" t="n"/>
      <c r="BWN82" s="440" t="n"/>
      <c r="BWO82" s="440" t="n"/>
      <c r="BWP82" s="440" t="n"/>
      <c r="BWQ82" s="440" t="n"/>
      <c r="BWR82" s="440" t="n"/>
      <c r="BWS82" s="440" t="n"/>
      <c r="BWT82" s="440" t="n"/>
      <c r="BWU82" s="440" t="n"/>
      <c r="BWV82" s="440" t="n"/>
      <c r="BWW82" s="440" t="n"/>
      <c r="BWX82" s="440" t="n"/>
      <c r="BWY82" s="440" t="n"/>
      <c r="BWZ82" s="440" t="n"/>
      <c r="BXA82" s="440" t="n"/>
      <c r="BXB82" s="440" t="n"/>
      <c r="BXC82" s="440" t="n"/>
      <c r="BXD82" s="440" t="n"/>
      <c r="BXE82" s="440" t="n"/>
      <c r="BXF82" s="440" t="n"/>
      <c r="BXG82" s="440" t="n"/>
      <c r="BXH82" s="440" t="n"/>
      <c r="BXI82" s="440" t="n"/>
      <c r="BXJ82" s="440" t="n"/>
      <c r="BXK82" s="440" t="n"/>
      <c r="BXL82" s="440" t="n"/>
      <c r="BXM82" s="440" t="n"/>
      <c r="BXN82" s="440" t="n"/>
      <c r="BXO82" s="440" t="n"/>
      <c r="BXP82" s="440" t="n"/>
      <c r="BXQ82" s="440" t="n"/>
      <c r="BXR82" s="440" t="n"/>
      <c r="BXS82" s="440" t="n"/>
      <c r="BXT82" s="440" t="n"/>
      <c r="BXU82" s="440" t="n"/>
      <c r="BXV82" s="440" t="n"/>
      <c r="BXW82" s="440" t="n"/>
      <c r="BXX82" s="440" t="n"/>
      <c r="BXY82" s="440" t="n"/>
      <c r="BXZ82" s="440" t="n"/>
      <c r="BYA82" s="440" t="n"/>
      <c r="BYB82" s="440" t="n"/>
      <c r="BYC82" s="440" t="n"/>
      <c r="BYD82" s="440" t="n"/>
      <c r="BYE82" s="440" t="n"/>
      <c r="BYF82" s="440" t="n"/>
      <c r="BYG82" s="440" t="n"/>
      <c r="BYH82" s="440" t="n"/>
      <c r="BYI82" s="440" t="n"/>
      <c r="BYJ82" s="440" t="n"/>
      <c r="BYK82" s="440" t="n"/>
      <c r="BYL82" s="440" t="n"/>
      <c r="BYM82" s="440" t="n"/>
      <c r="BYN82" s="440" t="n"/>
      <c r="BYO82" s="440" t="n"/>
      <c r="BYP82" s="440" t="n"/>
      <c r="BYQ82" s="440" t="n"/>
      <c r="BYR82" s="440" t="n"/>
      <c r="BYS82" s="440" t="n"/>
      <c r="BYT82" s="440" t="n"/>
      <c r="BYU82" s="440" t="n"/>
      <c r="BYV82" s="440" t="n"/>
      <c r="BYW82" s="440" t="n"/>
      <c r="BYX82" s="440" t="n"/>
      <c r="BYY82" s="440" t="n"/>
      <c r="BYZ82" s="440" t="n"/>
      <c r="BZA82" s="440" t="n"/>
      <c r="BZB82" s="440" t="n"/>
      <c r="BZC82" s="440" t="n"/>
      <c r="BZD82" s="440" t="n"/>
      <c r="BZE82" s="440" t="n"/>
      <c r="BZF82" s="440" t="n"/>
      <c r="BZG82" s="440" t="n"/>
      <c r="BZH82" s="440" t="n"/>
      <c r="BZI82" s="440" t="n"/>
      <c r="BZJ82" s="440" t="n"/>
      <c r="BZK82" s="440" t="n"/>
      <c r="BZL82" s="440" t="n"/>
      <c r="BZM82" s="440" t="n"/>
      <c r="BZN82" s="440" t="n"/>
      <c r="BZO82" s="440" t="n"/>
      <c r="BZP82" s="440" t="n"/>
      <c r="BZQ82" s="440" t="n"/>
      <c r="BZR82" s="440" t="n"/>
      <c r="BZS82" s="440" t="n"/>
      <c r="BZT82" s="440" t="n"/>
      <c r="BZU82" s="440" t="n"/>
      <c r="BZV82" s="440" t="n"/>
      <c r="BZW82" s="440" t="n"/>
      <c r="BZX82" s="440" t="n"/>
      <c r="BZY82" s="440" t="n"/>
      <c r="BZZ82" s="440" t="n"/>
      <c r="CAA82" s="440" t="n"/>
      <c r="CAB82" s="440" t="n"/>
      <c r="CAC82" s="440" t="n"/>
      <c r="CAD82" s="440" t="n"/>
      <c r="CAE82" s="440" t="n"/>
      <c r="CAF82" s="440" t="n"/>
      <c r="CAG82" s="440" t="n"/>
      <c r="CAH82" s="440" t="n"/>
      <c r="CAI82" s="440" t="n"/>
      <c r="CAJ82" s="440" t="n"/>
      <c r="CAK82" s="440" t="n"/>
      <c r="CAL82" s="440" t="n"/>
      <c r="CAM82" s="440" t="n"/>
      <c r="CAN82" s="440" t="n"/>
      <c r="CAO82" s="440" t="n"/>
      <c r="CAP82" s="440" t="n"/>
      <c r="CAQ82" s="440" t="n"/>
      <c r="CAR82" s="440" t="n"/>
      <c r="CAS82" s="440" t="n"/>
      <c r="CAT82" s="440" t="n"/>
      <c r="CAU82" s="440" t="n"/>
      <c r="CAV82" s="440" t="n"/>
      <c r="CAW82" s="440" t="n"/>
      <c r="CAX82" s="440" t="n"/>
      <c r="CAY82" s="440" t="n"/>
      <c r="CAZ82" s="440" t="n"/>
      <c r="CBA82" s="440" t="n"/>
      <c r="CBB82" s="440" t="n"/>
      <c r="CBC82" s="440" t="n"/>
      <c r="CBD82" s="440" t="n"/>
      <c r="CBE82" s="440" t="n"/>
      <c r="CBF82" s="440" t="n"/>
      <c r="CBG82" s="440" t="n"/>
      <c r="CBH82" s="440" t="n"/>
      <c r="CBI82" s="440" t="n"/>
      <c r="CBJ82" s="440" t="n"/>
      <c r="CBK82" s="440" t="n"/>
      <c r="CBL82" s="440" t="n"/>
      <c r="CBM82" s="440" t="n"/>
      <c r="CBN82" s="440" t="n"/>
      <c r="CBO82" s="440" t="n"/>
      <c r="CBP82" s="440" t="n"/>
      <c r="CBQ82" s="440" t="n"/>
      <c r="CBR82" s="440" t="n"/>
      <c r="CBS82" s="440" t="n"/>
      <c r="CBT82" s="440" t="n"/>
      <c r="CBU82" s="440" t="n"/>
      <c r="CBV82" s="440" t="n"/>
      <c r="CBW82" s="440" t="n"/>
      <c r="CBX82" s="440" t="n"/>
      <c r="CBY82" s="440" t="n"/>
      <c r="CBZ82" s="440" t="n"/>
      <c r="CCA82" s="440" t="n"/>
      <c r="CCB82" s="440" t="n"/>
      <c r="CCC82" s="440" t="n"/>
      <c r="CCD82" s="440" t="n"/>
      <c r="CCE82" s="440" t="n"/>
      <c r="CCF82" s="440" t="n"/>
      <c r="CCG82" s="440" t="n"/>
      <c r="CCH82" s="440" t="n"/>
      <c r="CCI82" s="440" t="n"/>
      <c r="CCJ82" s="440" t="n"/>
      <c r="CCK82" s="440" t="n"/>
      <c r="CCL82" s="440" t="n"/>
      <c r="CCM82" s="440" t="n"/>
      <c r="CCN82" s="440" t="n"/>
      <c r="CCO82" s="440" t="n"/>
      <c r="CCP82" s="440" t="n"/>
      <c r="CCQ82" s="440" t="n"/>
      <c r="CCR82" s="440" t="n"/>
      <c r="CCS82" s="440" t="n"/>
      <c r="CCT82" s="440" t="n"/>
      <c r="CCU82" s="440" t="n"/>
      <c r="CCV82" s="440" t="n"/>
      <c r="CCW82" s="440" t="n"/>
      <c r="CCX82" s="440" t="n"/>
      <c r="CCY82" s="440" t="n"/>
      <c r="CCZ82" s="440" t="n"/>
      <c r="CDA82" s="440" t="n"/>
      <c r="CDB82" s="440" t="n"/>
      <c r="CDC82" s="440" t="n"/>
      <c r="CDD82" s="440" t="n"/>
      <c r="CDE82" s="440" t="n"/>
      <c r="CDF82" s="440" t="n"/>
      <c r="CDG82" s="440" t="n"/>
      <c r="CDH82" s="440" t="n"/>
      <c r="CDI82" s="440" t="n"/>
      <c r="CDJ82" s="440" t="n"/>
      <c r="CDK82" s="440" t="n"/>
      <c r="CDL82" s="440" t="n"/>
      <c r="CDM82" s="440" t="n"/>
      <c r="CDN82" s="440" t="n"/>
      <c r="CDO82" s="440" t="n"/>
      <c r="CDP82" s="440" t="n"/>
      <c r="CDQ82" s="440" t="n"/>
      <c r="CDR82" s="440" t="n"/>
      <c r="CDS82" s="440" t="n"/>
      <c r="CDT82" s="440" t="n"/>
      <c r="CDU82" s="440" t="n"/>
      <c r="CDV82" s="440" t="n"/>
      <c r="CDW82" s="440" t="n"/>
      <c r="CDX82" s="440" t="n"/>
      <c r="CDY82" s="440" t="n"/>
      <c r="CDZ82" s="440" t="n"/>
      <c r="CEA82" s="440" t="n"/>
      <c r="CEB82" s="440" t="n"/>
      <c r="CEC82" s="440" t="n"/>
      <c r="CED82" s="440" t="n"/>
      <c r="CEE82" s="440" t="n"/>
      <c r="CEF82" s="440" t="n"/>
      <c r="CEG82" s="440" t="n"/>
      <c r="CEH82" s="440" t="n"/>
      <c r="CEI82" s="440" t="n"/>
      <c r="CEJ82" s="440" t="n"/>
      <c r="CEK82" s="440" t="n"/>
      <c r="CEL82" s="440" t="n"/>
      <c r="CEM82" s="440" t="n"/>
      <c r="CEN82" s="440" t="n"/>
      <c r="CEO82" s="440" t="n"/>
      <c r="CEP82" s="440" t="n"/>
      <c r="CEQ82" s="440" t="n"/>
      <c r="CER82" s="440" t="n"/>
      <c r="CES82" s="440" t="n"/>
      <c r="CET82" s="440" t="n"/>
      <c r="CEU82" s="440" t="n"/>
      <c r="CEV82" s="440" t="n"/>
      <c r="CEW82" s="440" t="n"/>
      <c r="CEX82" s="440" t="n"/>
      <c r="CEY82" s="440" t="n"/>
      <c r="CEZ82" s="440" t="n"/>
      <c r="CFA82" s="440" t="n"/>
      <c r="CFB82" s="440" t="n"/>
      <c r="CFC82" s="440" t="n"/>
      <c r="CFD82" s="440" t="n"/>
      <c r="CFE82" s="440" t="n"/>
      <c r="CFF82" s="440" t="n"/>
      <c r="CFG82" s="440" t="n"/>
      <c r="CFH82" s="440" t="n"/>
      <c r="CFI82" s="440" t="n"/>
      <c r="CFJ82" s="440" t="n"/>
      <c r="CFK82" s="440" t="n"/>
      <c r="CFL82" s="440" t="n"/>
      <c r="CFM82" s="440" t="n"/>
      <c r="CFN82" s="440" t="n"/>
      <c r="CFO82" s="440" t="n"/>
      <c r="CFP82" s="440" t="n"/>
      <c r="CFQ82" s="440" t="n"/>
      <c r="CFR82" s="440" t="n"/>
      <c r="CFS82" s="440" t="n"/>
      <c r="CFT82" s="440" t="n"/>
      <c r="CFU82" s="440" t="n"/>
      <c r="CFV82" s="440" t="n"/>
      <c r="CFW82" s="440" t="n"/>
      <c r="CFX82" s="440" t="n"/>
      <c r="CFY82" s="440" t="n"/>
      <c r="CFZ82" s="440" t="n"/>
      <c r="CGA82" s="440" t="n"/>
      <c r="CGB82" s="440" t="n"/>
      <c r="CGC82" s="440" t="n"/>
      <c r="CGD82" s="440" t="n"/>
      <c r="CGE82" s="440" t="n"/>
      <c r="CGF82" s="440" t="n"/>
      <c r="CGG82" s="440" t="n"/>
      <c r="CGH82" s="440" t="n"/>
      <c r="CGI82" s="440" t="n"/>
      <c r="CGJ82" s="440" t="n"/>
      <c r="CGK82" s="440" t="n"/>
      <c r="CGL82" s="440" t="n"/>
      <c r="CGM82" s="440" t="n"/>
      <c r="CGN82" s="440" t="n"/>
      <c r="CGO82" s="440" t="n"/>
      <c r="CGP82" s="440" t="n"/>
      <c r="CGQ82" s="440" t="n"/>
      <c r="CGR82" s="440" t="n"/>
      <c r="CGS82" s="440" t="n"/>
      <c r="CGT82" s="440" t="n"/>
      <c r="CGU82" s="440" t="n"/>
      <c r="CGV82" s="440" t="n"/>
      <c r="CGW82" s="440" t="n"/>
      <c r="CGX82" s="440" t="n"/>
      <c r="CGY82" s="440" t="n"/>
      <c r="CGZ82" s="440" t="n"/>
      <c r="CHA82" s="440" t="n"/>
      <c r="CHB82" s="440" t="n"/>
      <c r="CHC82" s="440" t="n"/>
      <c r="CHD82" s="440" t="n"/>
      <c r="CHE82" s="440" t="n"/>
      <c r="CHF82" s="440" t="n"/>
      <c r="CHG82" s="440" t="n"/>
      <c r="CHH82" s="440" t="n"/>
      <c r="CHI82" s="440" t="n"/>
      <c r="CHJ82" s="440" t="n"/>
      <c r="CHK82" s="440" t="n"/>
      <c r="CHL82" s="440" t="n"/>
      <c r="CHM82" s="440" t="n"/>
      <c r="CHN82" s="440" t="n"/>
      <c r="CHO82" s="440" t="n"/>
      <c r="CHP82" s="440" t="n"/>
      <c r="CHQ82" s="440" t="n"/>
      <c r="CHR82" s="440" t="n"/>
      <c r="CHS82" s="440" t="n"/>
      <c r="CHT82" s="440" t="n"/>
      <c r="CHU82" s="440" t="n"/>
      <c r="CHV82" s="440" t="n"/>
      <c r="CHW82" s="440" t="n"/>
      <c r="CHX82" s="440" t="n"/>
      <c r="CHY82" s="440" t="n"/>
      <c r="CHZ82" s="440" t="n"/>
      <c r="CIA82" s="440" t="n"/>
      <c r="CIB82" s="440" t="n"/>
      <c r="CIC82" s="440" t="n"/>
      <c r="CID82" s="440" t="n"/>
      <c r="CIE82" s="440" t="n"/>
      <c r="CIF82" s="440" t="n"/>
      <c r="CIG82" s="440" t="n"/>
      <c r="CIH82" s="440" t="n"/>
      <c r="CII82" s="440" t="n"/>
      <c r="CIJ82" s="440" t="n"/>
      <c r="CIK82" s="440" t="n"/>
      <c r="CIL82" s="440" t="n"/>
      <c r="CIM82" s="440" t="n"/>
      <c r="CIN82" s="440" t="n"/>
      <c r="CIO82" s="440" t="n"/>
      <c r="CIP82" s="440" t="n"/>
      <c r="CIQ82" s="440" t="n"/>
      <c r="CIR82" s="440" t="n"/>
      <c r="CIS82" s="440" t="n"/>
      <c r="CIT82" s="440" t="n"/>
      <c r="CIU82" s="440" t="n"/>
      <c r="CIV82" s="440" t="n"/>
      <c r="CIW82" s="440" t="n"/>
      <c r="CIX82" s="440" t="n"/>
      <c r="CIY82" s="440" t="n"/>
      <c r="CIZ82" s="440" t="n"/>
      <c r="CJA82" s="440" t="n"/>
      <c r="CJB82" s="440" t="n"/>
      <c r="CJC82" s="440" t="n"/>
      <c r="CJD82" s="440" t="n"/>
      <c r="CJE82" s="440" t="n"/>
      <c r="CJF82" s="440" t="n"/>
      <c r="CJG82" s="440" t="n"/>
      <c r="CJH82" s="440" t="n"/>
      <c r="CJI82" s="440" t="n"/>
      <c r="CJJ82" s="440" t="n"/>
      <c r="CJK82" s="440" t="n"/>
      <c r="CJL82" s="440" t="n"/>
      <c r="CJM82" s="440" t="n"/>
      <c r="CJN82" s="440" t="n"/>
      <c r="CJO82" s="440" t="n"/>
      <c r="CJP82" s="440" t="n"/>
      <c r="CJQ82" s="440" t="n"/>
      <c r="CJR82" s="440" t="n"/>
      <c r="CJS82" s="440" t="n"/>
      <c r="CJT82" s="440" t="n"/>
      <c r="CJU82" s="440" t="n"/>
      <c r="CJV82" s="440" t="n"/>
      <c r="CJW82" s="440" t="n"/>
      <c r="CJX82" s="440" t="n"/>
      <c r="CJY82" s="440" t="n"/>
      <c r="CJZ82" s="440" t="n"/>
      <c r="CKA82" s="440" t="n"/>
      <c r="CKB82" s="440" t="n"/>
      <c r="CKC82" s="440" t="n"/>
      <c r="CKD82" s="440" t="n"/>
      <c r="CKE82" s="440" t="n"/>
      <c r="CKF82" s="440" t="n"/>
      <c r="CKG82" s="440" t="n"/>
      <c r="CKH82" s="440" t="n"/>
      <c r="CKI82" s="440" t="n"/>
      <c r="CKJ82" s="440" t="n"/>
      <c r="CKK82" s="440" t="n"/>
      <c r="CKL82" s="440" t="n"/>
      <c r="CKM82" s="440" t="n"/>
      <c r="CKN82" s="440" t="n"/>
      <c r="CKO82" s="440" t="n"/>
      <c r="CKP82" s="440" t="n"/>
      <c r="CKQ82" s="440" t="n"/>
      <c r="CKR82" s="440" t="n"/>
      <c r="CKS82" s="440" t="n"/>
      <c r="CKT82" s="440" t="n"/>
      <c r="CKU82" s="440" t="n"/>
      <c r="CKV82" s="440" t="n"/>
      <c r="CKW82" s="440" t="n"/>
      <c r="CKX82" s="440" t="n"/>
      <c r="CKY82" s="440" t="n"/>
      <c r="CKZ82" s="440" t="n"/>
      <c r="CLA82" s="440" t="n"/>
      <c r="CLB82" s="440" t="n"/>
      <c r="CLC82" s="440" t="n"/>
      <c r="CLD82" s="440" t="n"/>
      <c r="CLE82" s="440" t="n"/>
      <c r="CLF82" s="440" t="n"/>
      <c r="CLG82" s="440" t="n"/>
      <c r="CLH82" s="440" t="n"/>
      <c r="CLI82" s="440" t="n"/>
      <c r="CLJ82" s="440" t="n"/>
      <c r="CLK82" s="440" t="n"/>
      <c r="CLL82" s="440" t="n"/>
      <c r="CLM82" s="440" t="n"/>
      <c r="CLN82" s="440" t="n"/>
      <c r="CLO82" s="440" t="n"/>
      <c r="CLP82" s="440" t="n"/>
      <c r="CLQ82" s="440" t="n"/>
      <c r="CLR82" s="440" t="n"/>
      <c r="CLS82" s="440" t="n"/>
      <c r="CLT82" s="440" t="n"/>
      <c r="CLU82" s="440" t="n"/>
      <c r="CLV82" s="440" t="n"/>
      <c r="CLW82" s="440" t="n"/>
      <c r="CLX82" s="440" t="n"/>
      <c r="CLY82" s="440" t="n"/>
      <c r="CLZ82" s="440" t="n"/>
      <c r="CMA82" s="440" t="n"/>
      <c r="CMB82" s="440" t="n"/>
      <c r="CMC82" s="440" t="n"/>
      <c r="CMD82" s="440" t="n"/>
      <c r="CME82" s="440" t="n"/>
      <c r="CMF82" s="440" t="n"/>
      <c r="CMG82" s="440" t="n"/>
      <c r="CMH82" s="440" t="n"/>
      <c r="CMI82" s="440" t="n"/>
      <c r="CMJ82" s="440" t="n"/>
      <c r="CMK82" s="440" t="n"/>
      <c r="CML82" s="440" t="n"/>
      <c r="CMM82" s="440" t="n"/>
      <c r="CMN82" s="440" t="n"/>
      <c r="CMO82" s="440" t="n"/>
      <c r="CMP82" s="440" t="n"/>
      <c r="CMQ82" s="440" t="n"/>
      <c r="CMR82" s="440" t="n"/>
      <c r="CMS82" s="440" t="n"/>
      <c r="CMT82" s="440" t="n"/>
      <c r="CMU82" s="440" t="n"/>
      <c r="CMV82" s="440" t="n"/>
      <c r="CMW82" s="440" t="n"/>
      <c r="CMX82" s="440" t="n"/>
      <c r="CMY82" s="440" t="n"/>
      <c r="CMZ82" s="440" t="n"/>
      <c r="CNA82" s="440" t="n"/>
      <c r="CNB82" s="440" t="n"/>
      <c r="CNC82" s="440" t="n"/>
      <c r="CND82" s="440" t="n"/>
      <c r="CNE82" s="440" t="n"/>
      <c r="CNF82" s="440" t="n"/>
      <c r="CNG82" s="440" t="n"/>
      <c r="CNH82" s="440" t="n"/>
      <c r="CNI82" s="440" t="n"/>
      <c r="CNJ82" s="440" t="n"/>
      <c r="CNK82" s="440" t="n"/>
      <c r="CNL82" s="440" t="n"/>
      <c r="CNM82" s="440" t="n"/>
      <c r="CNN82" s="440" t="n"/>
      <c r="CNO82" s="440" t="n"/>
      <c r="CNP82" s="440" t="n"/>
      <c r="CNQ82" s="440" t="n"/>
      <c r="CNR82" s="440" t="n"/>
      <c r="CNS82" s="440" t="n"/>
      <c r="CNT82" s="440" t="n"/>
      <c r="CNU82" s="440" t="n"/>
      <c r="CNV82" s="440" t="n"/>
      <c r="CNW82" s="440" t="n"/>
      <c r="CNX82" s="440" t="n"/>
      <c r="CNY82" s="440" t="n"/>
      <c r="CNZ82" s="440" t="n"/>
      <c r="COA82" s="440" t="n"/>
      <c r="COB82" s="440" t="n"/>
      <c r="COC82" s="440" t="n"/>
      <c r="COD82" s="440" t="n"/>
      <c r="COE82" s="440" t="n"/>
      <c r="COF82" s="440" t="n"/>
      <c r="COG82" s="440" t="n"/>
      <c r="COH82" s="440" t="n"/>
      <c r="COI82" s="440" t="n"/>
      <c r="COJ82" s="440" t="n"/>
      <c r="COK82" s="440" t="n"/>
      <c r="COL82" s="440" t="n"/>
      <c r="COM82" s="440" t="n"/>
      <c r="CON82" s="440" t="n"/>
      <c r="COO82" s="440" t="n"/>
      <c r="COP82" s="440" t="n"/>
      <c r="COQ82" s="440" t="n"/>
      <c r="COR82" s="440" t="n"/>
      <c r="COS82" s="440" t="n"/>
      <c r="COT82" s="440" t="n"/>
      <c r="COU82" s="440" t="n"/>
      <c r="COV82" s="440" t="n"/>
      <c r="COW82" s="440" t="n"/>
      <c r="COX82" s="440" t="n"/>
      <c r="COY82" s="440" t="n"/>
      <c r="COZ82" s="440" t="n"/>
      <c r="CPA82" s="440" t="n"/>
      <c r="CPB82" s="440" t="n"/>
      <c r="CPC82" s="440" t="n"/>
      <c r="CPD82" s="440" t="n"/>
      <c r="CPE82" s="440" t="n"/>
      <c r="CPF82" s="440" t="n"/>
      <c r="CPG82" s="440" t="n"/>
      <c r="CPH82" s="440" t="n"/>
      <c r="CPI82" s="440" t="n"/>
      <c r="CPJ82" s="440" t="n"/>
      <c r="CPK82" s="440" t="n"/>
      <c r="CPL82" s="440" t="n"/>
      <c r="CPM82" s="440" t="n"/>
      <c r="CPN82" s="440" t="n"/>
      <c r="CPO82" s="440" t="n"/>
      <c r="CPP82" s="440" t="n"/>
      <c r="CPQ82" s="440" t="n"/>
      <c r="CPR82" s="440" t="n"/>
      <c r="CPS82" s="440" t="n"/>
      <c r="CPT82" s="440" t="n"/>
      <c r="CPU82" s="440" t="n"/>
      <c r="CPV82" s="440" t="n"/>
      <c r="CPW82" s="440" t="n"/>
      <c r="CPX82" s="440" t="n"/>
      <c r="CPY82" s="440" t="n"/>
      <c r="CPZ82" s="440" t="n"/>
      <c r="CQA82" s="440" t="n"/>
      <c r="CQB82" s="440" t="n"/>
      <c r="CQC82" s="440" t="n"/>
      <c r="CQD82" s="440" t="n"/>
      <c r="CQE82" s="440" t="n"/>
      <c r="CQF82" s="440" t="n"/>
      <c r="CQG82" s="440" t="n"/>
      <c r="CQH82" s="440" t="n"/>
      <c r="CQI82" s="440" t="n"/>
      <c r="CQJ82" s="440" t="n"/>
      <c r="CQK82" s="440" t="n"/>
      <c r="CQL82" s="440" t="n"/>
      <c r="CQM82" s="440" t="n"/>
      <c r="CQN82" s="440" t="n"/>
      <c r="CQO82" s="440" t="n"/>
      <c r="CQP82" s="440" t="n"/>
      <c r="CQQ82" s="440" t="n"/>
      <c r="CQR82" s="440" t="n"/>
      <c r="CQS82" s="440" t="n"/>
      <c r="CQT82" s="440" t="n"/>
      <c r="CQU82" s="440" t="n"/>
      <c r="CQV82" s="440" t="n"/>
      <c r="CQW82" s="440" t="n"/>
      <c r="CQX82" s="440" t="n"/>
      <c r="CQY82" s="440" t="n"/>
      <c r="CQZ82" s="440" t="n"/>
      <c r="CRA82" s="440" t="n"/>
      <c r="CRB82" s="440" t="n"/>
      <c r="CRC82" s="440" t="n"/>
      <c r="CRD82" s="440" t="n"/>
      <c r="CRE82" s="440" t="n"/>
      <c r="CRF82" s="440" t="n"/>
      <c r="CRG82" s="440" t="n"/>
      <c r="CRH82" s="440" t="n"/>
      <c r="CRI82" s="440" t="n"/>
      <c r="CRJ82" s="440" t="n"/>
      <c r="CRK82" s="440" t="n"/>
      <c r="CRL82" s="440" t="n"/>
      <c r="CRM82" s="440" t="n"/>
      <c r="CRN82" s="440" t="n"/>
      <c r="CRO82" s="440" t="n"/>
      <c r="CRP82" s="440" t="n"/>
      <c r="CRQ82" s="440" t="n"/>
      <c r="CRR82" s="440" t="n"/>
      <c r="CRS82" s="440" t="n"/>
      <c r="CRT82" s="440" t="n"/>
      <c r="CRU82" s="440" t="n"/>
      <c r="CRV82" s="440" t="n"/>
      <c r="CRW82" s="440" t="n"/>
      <c r="CRX82" s="440" t="n"/>
      <c r="CRY82" s="440" t="n"/>
      <c r="CRZ82" s="440" t="n"/>
      <c r="CSA82" s="440" t="n"/>
      <c r="CSB82" s="440" t="n"/>
      <c r="CSC82" s="440" t="n"/>
      <c r="CSD82" s="440" t="n"/>
      <c r="CSE82" s="440" t="n"/>
      <c r="CSF82" s="440" t="n"/>
      <c r="CSG82" s="440" t="n"/>
      <c r="CSH82" s="440" t="n"/>
      <c r="CSI82" s="440" t="n"/>
      <c r="CSJ82" s="440" t="n"/>
      <c r="CSK82" s="440" t="n"/>
      <c r="CSL82" s="440" t="n"/>
      <c r="CSM82" s="440" t="n"/>
      <c r="CSN82" s="440" t="n"/>
      <c r="CSO82" s="440" t="n"/>
      <c r="CSP82" s="440" t="n"/>
      <c r="CSQ82" s="440" t="n"/>
      <c r="CSR82" s="440" t="n"/>
      <c r="CSS82" s="440" t="n"/>
      <c r="CST82" s="440" t="n"/>
      <c r="CSU82" s="440" t="n"/>
      <c r="CSV82" s="440" t="n"/>
      <c r="CSW82" s="440" t="n"/>
      <c r="CSX82" s="440" t="n"/>
      <c r="CSY82" s="440" t="n"/>
      <c r="CSZ82" s="440" t="n"/>
      <c r="CTA82" s="440" t="n"/>
      <c r="CTB82" s="440" t="n"/>
      <c r="CTC82" s="440" t="n"/>
      <c r="CTD82" s="440" t="n"/>
      <c r="CTE82" s="440" t="n"/>
      <c r="CTF82" s="440" t="n"/>
      <c r="CTG82" s="440" t="n"/>
      <c r="CTH82" s="440" t="n"/>
      <c r="CTI82" s="440" t="n"/>
      <c r="CTJ82" s="440" t="n"/>
      <c r="CTK82" s="440" t="n"/>
      <c r="CTL82" s="440" t="n"/>
      <c r="CTM82" s="440" t="n"/>
      <c r="CTN82" s="440" t="n"/>
      <c r="CTO82" s="440" t="n"/>
      <c r="CTP82" s="440" t="n"/>
      <c r="CTQ82" s="440" t="n"/>
      <c r="CTR82" s="440" t="n"/>
      <c r="CTS82" s="440" t="n"/>
      <c r="CTT82" s="440" t="n"/>
      <c r="CTU82" s="440" t="n"/>
      <c r="CTV82" s="440" t="n"/>
      <c r="CTW82" s="440" t="n"/>
      <c r="CTX82" s="440" t="n"/>
      <c r="CTY82" s="440" t="n"/>
      <c r="CTZ82" s="440" t="n"/>
      <c r="CUA82" s="440" t="n"/>
      <c r="CUB82" s="440" t="n"/>
      <c r="CUC82" s="440" t="n"/>
      <c r="CUD82" s="440" t="n"/>
      <c r="CUE82" s="440" t="n"/>
      <c r="CUF82" s="440" t="n"/>
      <c r="CUG82" s="440" t="n"/>
      <c r="CUH82" s="440" t="n"/>
      <c r="CUI82" s="440" t="n"/>
      <c r="CUJ82" s="440" t="n"/>
      <c r="CUK82" s="440" t="n"/>
      <c r="CUL82" s="440" t="n"/>
      <c r="CUM82" s="440" t="n"/>
      <c r="CUN82" s="440" t="n"/>
      <c r="CUO82" s="440" t="n"/>
      <c r="CUP82" s="440" t="n"/>
      <c r="CUQ82" s="440" t="n"/>
      <c r="CUR82" s="440" t="n"/>
      <c r="CUS82" s="440" t="n"/>
      <c r="CUT82" s="440" t="n"/>
      <c r="CUU82" s="440" t="n"/>
      <c r="CUV82" s="440" t="n"/>
      <c r="CUW82" s="440" t="n"/>
      <c r="CUX82" s="440" t="n"/>
      <c r="CUY82" s="440" t="n"/>
      <c r="CUZ82" s="440" t="n"/>
      <c r="CVA82" s="440" t="n"/>
      <c r="CVB82" s="440" t="n"/>
      <c r="CVC82" s="440" t="n"/>
      <c r="CVD82" s="440" t="n"/>
      <c r="CVE82" s="440" t="n"/>
      <c r="CVF82" s="440" t="n"/>
      <c r="CVG82" s="440" t="n"/>
      <c r="CVH82" s="440" t="n"/>
      <c r="CVI82" s="440" t="n"/>
      <c r="CVJ82" s="440" t="n"/>
      <c r="CVK82" s="440" t="n"/>
      <c r="CVL82" s="440" t="n"/>
      <c r="CVM82" s="440" t="n"/>
      <c r="CVN82" s="440" t="n"/>
      <c r="CVO82" s="440" t="n"/>
      <c r="CVP82" s="440" t="n"/>
      <c r="CVQ82" s="440" t="n"/>
      <c r="CVR82" s="440" t="n"/>
      <c r="CVS82" s="440" t="n"/>
      <c r="CVT82" s="440" t="n"/>
      <c r="CVU82" s="440" t="n"/>
      <c r="CVV82" s="440" t="n"/>
      <c r="CVW82" s="440" t="n"/>
      <c r="CVX82" s="440" t="n"/>
      <c r="CVY82" s="440" t="n"/>
      <c r="CVZ82" s="440" t="n"/>
      <c r="CWA82" s="440" t="n"/>
      <c r="CWB82" s="440" t="n"/>
      <c r="CWC82" s="440" t="n"/>
      <c r="CWD82" s="440" t="n"/>
      <c r="CWE82" s="440" t="n"/>
      <c r="CWF82" s="440" t="n"/>
      <c r="CWG82" s="440" t="n"/>
      <c r="CWH82" s="440" t="n"/>
      <c r="CWI82" s="440" t="n"/>
      <c r="CWJ82" s="440" t="n"/>
      <c r="CWK82" s="440" t="n"/>
      <c r="CWL82" s="440" t="n"/>
      <c r="CWM82" s="440" t="n"/>
      <c r="CWN82" s="440" t="n"/>
      <c r="CWO82" s="440" t="n"/>
      <c r="CWP82" s="440" t="n"/>
      <c r="CWQ82" s="440" t="n"/>
      <c r="CWR82" s="440" t="n"/>
      <c r="CWS82" s="440" t="n"/>
      <c r="CWT82" s="440" t="n"/>
      <c r="CWU82" s="440" t="n"/>
      <c r="CWV82" s="440" t="n"/>
      <c r="CWW82" s="440" t="n"/>
      <c r="CWX82" s="440" t="n"/>
      <c r="CWY82" s="440" t="n"/>
      <c r="CWZ82" s="440" t="n"/>
      <c r="CXA82" s="440" t="n"/>
      <c r="CXB82" s="440" t="n"/>
      <c r="CXC82" s="440" t="n"/>
      <c r="CXD82" s="440" t="n"/>
      <c r="CXE82" s="440" t="n"/>
      <c r="CXF82" s="440" t="n"/>
      <c r="CXG82" s="440" t="n"/>
      <c r="CXH82" s="440" t="n"/>
      <c r="CXI82" s="440" t="n"/>
      <c r="CXJ82" s="440" t="n"/>
      <c r="CXK82" s="440" t="n"/>
      <c r="CXL82" s="440" t="n"/>
      <c r="CXM82" s="440" t="n"/>
      <c r="CXN82" s="440" t="n"/>
      <c r="CXO82" s="440" t="n"/>
      <c r="CXP82" s="440" t="n"/>
      <c r="CXQ82" s="440" t="n"/>
      <c r="CXR82" s="440" t="n"/>
      <c r="CXS82" s="440" t="n"/>
      <c r="CXT82" s="440" t="n"/>
      <c r="CXU82" s="440" t="n"/>
      <c r="CXV82" s="440" t="n"/>
      <c r="CXW82" s="440" t="n"/>
      <c r="CXX82" s="440" t="n"/>
      <c r="CXY82" s="440" t="n"/>
      <c r="CXZ82" s="440" t="n"/>
      <c r="CYA82" s="440" t="n"/>
      <c r="CYB82" s="440" t="n"/>
      <c r="CYC82" s="440" t="n"/>
      <c r="CYD82" s="440" t="n"/>
      <c r="CYE82" s="440" t="n"/>
      <c r="CYF82" s="440" t="n"/>
      <c r="CYG82" s="440" t="n"/>
      <c r="CYH82" s="440" t="n"/>
      <c r="CYI82" s="440" t="n"/>
      <c r="CYJ82" s="440" t="n"/>
      <c r="CYK82" s="440" t="n"/>
      <c r="CYL82" s="440" t="n"/>
      <c r="CYM82" s="440" t="n"/>
      <c r="CYN82" s="440" t="n"/>
      <c r="CYO82" s="440" t="n"/>
      <c r="CYP82" s="440" t="n"/>
      <c r="CYQ82" s="440" t="n"/>
      <c r="CYR82" s="440" t="n"/>
      <c r="CYS82" s="440" t="n"/>
      <c r="CYT82" s="440" t="n"/>
      <c r="CYU82" s="440" t="n"/>
      <c r="CYV82" s="440" t="n"/>
      <c r="CYW82" s="440" t="n"/>
      <c r="CYX82" s="440" t="n"/>
      <c r="CYY82" s="440" t="n"/>
      <c r="CYZ82" s="440" t="n"/>
      <c r="CZA82" s="440" t="n"/>
      <c r="CZB82" s="440" t="n"/>
      <c r="CZC82" s="440" t="n"/>
      <c r="CZD82" s="440" t="n"/>
      <c r="CZE82" s="440" t="n"/>
      <c r="CZF82" s="440" t="n"/>
      <c r="CZG82" s="440" t="n"/>
      <c r="CZH82" s="440" t="n"/>
      <c r="CZI82" s="440" t="n"/>
      <c r="CZJ82" s="440" t="n"/>
      <c r="CZK82" s="440" t="n"/>
      <c r="CZL82" s="440" t="n"/>
      <c r="CZM82" s="440" t="n"/>
      <c r="CZN82" s="440" t="n"/>
      <c r="CZO82" s="440" t="n"/>
      <c r="CZP82" s="440" t="n"/>
      <c r="CZQ82" s="440" t="n"/>
      <c r="CZR82" s="440" t="n"/>
      <c r="CZS82" s="440" t="n"/>
      <c r="CZT82" s="440" t="n"/>
      <c r="CZU82" s="440" t="n"/>
      <c r="CZV82" s="440" t="n"/>
      <c r="CZW82" s="440" t="n"/>
      <c r="CZX82" s="440" t="n"/>
      <c r="CZY82" s="440" t="n"/>
      <c r="CZZ82" s="440" t="n"/>
      <c r="DAA82" s="440" t="n"/>
      <c r="DAB82" s="440" t="n"/>
      <c r="DAC82" s="440" t="n"/>
      <c r="DAD82" s="440" t="n"/>
      <c r="DAE82" s="440" t="n"/>
      <c r="DAF82" s="440" t="n"/>
      <c r="DAG82" s="440" t="n"/>
      <c r="DAH82" s="440" t="n"/>
      <c r="DAI82" s="440" t="n"/>
      <c r="DAJ82" s="440" t="n"/>
      <c r="DAK82" s="440" t="n"/>
      <c r="DAL82" s="440" t="n"/>
      <c r="DAM82" s="440" t="n"/>
      <c r="DAN82" s="440" t="n"/>
      <c r="DAO82" s="440" t="n"/>
      <c r="DAP82" s="440" t="n"/>
      <c r="DAQ82" s="440" t="n"/>
      <c r="DAR82" s="440" t="n"/>
      <c r="DAS82" s="440" t="n"/>
      <c r="DAT82" s="440" t="n"/>
      <c r="DAU82" s="440" t="n"/>
      <c r="DAV82" s="440" t="n"/>
      <c r="DAW82" s="440" t="n"/>
      <c r="DAX82" s="440" t="n"/>
      <c r="DAY82" s="440" t="n"/>
      <c r="DAZ82" s="440" t="n"/>
      <c r="DBA82" s="440" t="n"/>
      <c r="DBB82" s="440" t="n"/>
      <c r="DBC82" s="440" t="n"/>
      <c r="DBD82" s="440" t="n"/>
      <c r="DBE82" s="440" t="n"/>
      <c r="DBF82" s="440" t="n"/>
      <c r="DBG82" s="440" t="n"/>
      <c r="DBH82" s="440" t="n"/>
      <c r="DBI82" s="440" t="n"/>
      <c r="DBJ82" s="440" t="n"/>
      <c r="DBK82" s="440" t="n"/>
      <c r="DBL82" s="440" t="n"/>
      <c r="DBM82" s="440" t="n"/>
      <c r="DBN82" s="440" t="n"/>
      <c r="DBO82" s="440" t="n"/>
      <c r="DBP82" s="440" t="n"/>
      <c r="DBQ82" s="440" t="n"/>
      <c r="DBR82" s="440" t="n"/>
      <c r="DBS82" s="440" t="n"/>
      <c r="DBT82" s="440" t="n"/>
      <c r="DBU82" s="440" t="n"/>
      <c r="DBV82" s="440" t="n"/>
      <c r="DBW82" s="440" t="n"/>
      <c r="DBX82" s="440" t="n"/>
      <c r="DBY82" s="440" t="n"/>
      <c r="DBZ82" s="440" t="n"/>
      <c r="DCA82" s="440" t="n"/>
      <c r="DCB82" s="440" t="n"/>
      <c r="DCC82" s="440" t="n"/>
      <c r="DCD82" s="440" t="n"/>
      <c r="DCE82" s="440" t="n"/>
      <c r="DCF82" s="440" t="n"/>
      <c r="DCG82" s="440" t="n"/>
      <c r="DCH82" s="440" t="n"/>
      <c r="DCI82" s="440" t="n"/>
      <c r="DCJ82" s="440" t="n"/>
      <c r="DCK82" s="440" t="n"/>
      <c r="DCL82" s="440" t="n"/>
      <c r="DCM82" s="440" t="n"/>
      <c r="DCN82" s="440" t="n"/>
      <c r="DCO82" s="440" t="n"/>
      <c r="DCP82" s="440" t="n"/>
      <c r="DCQ82" s="440" t="n"/>
      <c r="DCR82" s="440" t="n"/>
      <c r="DCS82" s="440" t="n"/>
      <c r="DCT82" s="440" t="n"/>
      <c r="DCU82" s="440" t="n"/>
      <c r="DCV82" s="440" t="n"/>
      <c r="DCW82" s="440" t="n"/>
      <c r="DCX82" s="440" t="n"/>
      <c r="DCY82" s="440" t="n"/>
      <c r="DCZ82" s="440" t="n"/>
      <c r="DDA82" s="440" t="n"/>
      <c r="DDB82" s="440" t="n"/>
      <c r="DDC82" s="440" t="n"/>
      <c r="DDD82" s="440" t="n"/>
      <c r="DDE82" s="440" t="n"/>
      <c r="DDF82" s="440" t="n"/>
      <c r="DDG82" s="440" t="n"/>
      <c r="DDH82" s="440" t="n"/>
      <c r="DDI82" s="440" t="n"/>
      <c r="DDJ82" s="440" t="n"/>
      <c r="DDK82" s="440" t="n"/>
      <c r="DDL82" s="440" t="n"/>
      <c r="DDM82" s="440" t="n"/>
      <c r="DDN82" s="440" t="n"/>
      <c r="DDO82" s="440" t="n"/>
      <c r="DDP82" s="440" t="n"/>
      <c r="DDQ82" s="440" t="n"/>
      <c r="DDR82" s="440" t="n"/>
      <c r="DDS82" s="440" t="n"/>
      <c r="DDT82" s="440" t="n"/>
      <c r="DDU82" s="440" t="n"/>
      <c r="DDV82" s="440" t="n"/>
      <c r="DDW82" s="440" t="n"/>
      <c r="DDX82" s="440" t="n"/>
      <c r="DDY82" s="440" t="n"/>
      <c r="DDZ82" s="440" t="n"/>
      <c r="DEA82" s="440" t="n"/>
      <c r="DEB82" s="440" t="n"/>
      <c r="DEC82" s="440" t="n"/>
      <c r="DED82" s="440" t="n"/>
      <c r="DEE82" s="440" t="n"/>
      <c r="DEF82" s="440" t="n"/>
      <c r="DEG82" s="440" t="n"/>
      <c r="DEH82" s="440" t="n"/>
      <c r="DEI82" s="440" t="n"/>
      <c r="DEJ82" s="440" t="n"/>
      <c r="DEK82" s="440" t="n"/>
      <c r="DEL82" s="440" t="n"/>
      <c r="DEM82" s="440" t="n"/>
      <c r="DEN82" s="440" t="n"/>
      <c r="DEO82" s="440" t="n"/>
      <c r="DEP82" s="440" t="n"/>
      <c r="DEQ82" s="440" t="n"/>
      <c r="DER82" s="440" t="n"/>
      <c r="DES82" s="440" t="n"/>
      <c r="DET82" s="440" t="n"/>
      <c r="DEU82" s="440" t="n"/>
      <c r="DEV82" s="440" t="n"/>
      <c r="DEW82" s="440" t="n"/>
      <c r="DEX82" s="440" t="n"/>
      <c r="DEY82" s="440" t="n"/>
      <c r="DEZ82" s="440" t="n"/>
      <c r="DFA82" s="440" t="n"/>
      <c r="DFB82" s="440" t="n"/>
      <c r="DFC82" s="440" t="n"/>
      <c r="DFD82" s="440" t="n"/>
      <c r="DFE82" s="440" t="n"/>
      <c r="DFF82" s="440" t="n"/>
      <c r="DFG82" s="440" t="n"/>
      <c r="DFH82" s="440" t="n"/>
      <c r="DFI82" s="440" t="n"/>
      <c r="DFJ82" s="440" t="n"/>
      <c r="DFK82" s="440" t="n"/>
      <c r="DFL82" s="440" t="n"/>
      <c r="DFM82" s="440" t="n"/>
      <c r="DFN82" s="440" t="n"/>
      <c r="DFO82" s="440" t="n"/>
      <c r="DFP82" s="440" t="n"/>
      <c r="DFQ82" s="440" t="n"/>
      <c r="DFR82" s="440" t="n"/>
      <c r="DFS82" s="440" t="n"/>
      <c r="DFT82" s="440" t="n"/>
      <c r="DFU82" s="440" t="n"/>
      <c r="DFV82" s="440" t="n"/>
      <c r="DFW82" s="440" t="n"/>
      <c r="DFX82" s="440" t="n"/>
      <c r="DFY82" s="440" t="n"/>
      <c r="DFZ82" s="440" t="n"/>
      <c r="DGA82" s="440" t="n"/>
      <c r="DGB82" s="440" t="n"/>
      <c r="DGC82" s="440" t="n"/>
      <c r="DGD82" s="440" t="n"/>
      <c r="DGE82" s="440" t="n"/>
      <c r="DGF82" s="440" t="n"/>
      <c r="DGG82" s="440" t="n"/>
      <c r="DGH82" s="440" t="n"/>
      <c r="DGI82" s="440" t="n"/>
      <c r="DGJ82" s="440" t="n"/>
      <c r="DGK82" s="440" t="n"/>
      <c r="DGL82" s="440" t="n"/>
      <c r="DGM82" s="440" t="n"/>
      <c r="DGN82" s="440" t="n"/>
      <c r="DGO82" s="440" t="n"/>
      <c r="DGP82" s="440" t="n"/>
      <c r="DGQ82" s="440" t="n"/>
      <c r="DGR82" s="440" t="n"/>
      <c r="DGS82" s="440" t="n"/>
      <c r="DGT82" s="440" t="n"/>
      <c r="DGU82" s="440" t="n"/>
      <c r="DGV82" s="440" t="n"/>
      <c r="DGW82" s="440" t="n"/>
      <c r="DGX82" s="440" t="n"/>
      <c r="DGY82" s="440" t="n"/>
      <c r="DGZ82" s="440" t="n"/>
      <c r="DHA82" s="440" t="n"/>
      <c r="DHB82" s="440" t="n"/>
      <c r="DHC82" s="440" t="n"/>
      <c r="DHD82" s="440" t="n"/>
      <c r="DHE82" s="440" t="n"/>
      <c r="DHF82" s="440" t="n"/>
      <c r="DHG82" s="440" t="n"/>
      <c r="DHH82" s="440" t="n"/>
      <c r="DHI82" s="440" t="n"/>
      <c r="DHJ82" s="440" t="n"/>
      <c r="DHK82" s="440" t="n"/>
      <c r="DHL82" s="440" t="n"/>
      <c r="DHM82" s="440" t="n"/>
      <c r="DHN82" s="440" t="n"/>
      <c r="DHO82" s="440" t="n"/>
      <c r="DHP82" s="440" t="n"/>
      <c r="DHQ82" s="440" t="n"/>
      <c r="DHR82" s="440" t="n"/>
      <c r="DHS82" s="440" t="n"/>
      <c r="DHT82" s="440" t="n"/>
      <c r="DHU82" s="440" t="n"/>
      <c r="DHV82" s="440" t="n"/>
      <c r="DHW82" s="440" t="n"/>
      <c r="DHX82" s="440" t="n"/>
      <c r="DHY82" s="440" t="n"/>
      <c r="DHZ82" s="440" t="n"/>
      <c r="DIA82" s="440" t="n"/>
      <c r="DIB82" s="440" t="n"/>
      <c r="DIC82" s="440" t="n"/>
      <c r="DID82" s="440" t="n"/>
      <c r="DIE82" s="440" t="n"/>
      <c r="DIF82" s="440" t="n"/>
      <c r="DIG82" s="440" t="n"/>
      <c r="DIH82" s="440" t="n"/>
      <c r="DII82" s="440" t="n"/>
      <c r="DIJ82" s="440" t="n"/>
      <c r="DIK82" s="440" t="n"/>
      <c r="DIL82" s="440" t="n"/>
      <c r="DIM82" s="440" t="n"/>
      <c r="DIN82" s="440" t="n"/>
      <c r="DIO82" s="440" t="n"/>
      <c r="DIP82" s="440" t="n"/>
      <c r="DIQ82" s="440" t="n"/>
      <c r="DIR82" s="440" t="n"/>
      <c r="DIS82" s="440" t="n"/>
      <c r="DIT82" s="440" t="n"/>
      <c r="DIU82" s="440" t="n"/>
      <c r="DIV82" s="440" t="n"/>
      <c r="DIW82" s="440" t="n"/>
      <c r="DIX82" s="440" t="n"/>
      <c r="DIY82" s="440" t="n"/>
      <c r="DIZ82" s="440" t="n"/>
      <c r="DJA82" s="440" t="n"/>
      <c r="DJB82" s="440" t="n"/>
      <c r="DJC82" s="440" t="n"/>
      <c r="DJD82" s="440" t="n"/>
      <c r="DJE82" s="440" t="n"/>
      <c r="DJF82" s="440" t="n"/>
      <c r="DJG82" s="440" t="n"/>
      <c r="DJH82" s="440" t="n"/>
      <c r="DJI82" s="440" t="n"/>
      <c r="DJJ82" s="440" t="n"/>
      <c r="DJK82" s="440" t="n"/>
      <c r="DJL82" s="440" t="n"/>
      <c r="DJM82" s="440" t="n"/>
      <c r="DJN82" s="440" t="n"/>
      <c r="DJO82" s="440" t="n"/>
      <c r="DJP82" s="440" t="n"/>
      <c r="DJQ82" s="440" t="n"/>
      <c r="DJR82" s="440" t="n"/>
      <c r="DJS82" s="440" t="n"/>
      <c r="DJT82" s="440" t="n"/>
      <c r="DJU82" s="440" t="n"/>
      <c r="DJV82" s="440" t="n"/>
      <c r="DJW82" s="440" t="n"/>
      <c r="DJX82" s="440" t="n"/>
      <c r="DJY82" s="440" t="n"/>
      <c r="DJZ82" s="440" t="n"/>
      <c r="DKA82" s="440" t="n"/>
      <c r="DKB82" s="440" t="n"/>
      <c r="DKC82" s="440" t="n"/>
      <c r="DKD82" s="440" t="n"/>
      <c r="DKE82" s="440" t="n"/>
      <c r="DKF82" s="440" t="n"/>
      <c r="DKG82" s="440" t="n"/>
      <c r="DKH82" s="440" t="n"/>
      <c r="DKI82" s="440" t="n"/>
      <c r="DKJ82" s="440" t="n"/>
      <c r="DKK82" s="440" t="n"/>
      <c r="DKL82" s="440" t="n"/>
      <c r="DKM82" s="440" t="n"/>
      <c r="DKN82" s="440" t="n"/>
      <c r="DKO82" s="440" t="n"/>
      <c r="DKP82" s="440" t="n"/>
      <c r="DKQ82" s="440" t="n"/>
      <c r="DKR82" s="440" t="n"/>
      <c r="DKS82" s="440" t="n"/>
      <c r="DKT82" s="440" t="n"/>
      <c r="DKU82" s="440" t="n"/>
      <c r="DKV82" s="440" t="n"/>
      <c r="DKW82" s="440" t="n"/>
      <c r="DKX82" s="440" t="n"/>
      <c r="DKY82" s="440" t="n"/>
      <c r="DKZ82" s="440" t="n"/>
      <c r="DLA82" s="440" t="n"/>
      <c r="DLB82" s="440" t="n"/>
      <c r="DLC82" s="440" t="n"/>
      <c r="DLD82" s="440" t="n"/>
      <c r="DLE82" s="440" t="n"/>
      <c r="DLF82" s="440" t="n"/>
      <c r="DLG82" s="440" t="n"/>
      <c r="DLH82" s="440" t="n"/>
      <c r="DLI82" s="440" t="n"/>
      <c r="DLJ82" s="440" t="n"/>
      <c r="DLK82" s="440" t="n"/>
      <c r="DLL82" s="440" t="n"/>
      <c r="DLM82" s="440" t="n"/>
      <c r="DLN82" s="440" t="n"/>
      <c r="DLO82" s="440" t="n"/>
      <c r="DLP82" s="440" t="n"/>
      <c r="DLQ82" s="440" t="n"/>
      <c r="DLR82" s="440" t="n"/>
      <c r="DLS82" s="440" t="n"/>
      <c r="DLT82" s="440" t="n"/>
      <c r="DLU82" s="440" t="n"/>
      <c r="DLV82" s="440" t="n"/>
      <c r="DLW82" s="440" t="n"/>
      <c r="DLX82" s="440" t="n"/>
      <c r="DLY82" s="440" t="n"/>
      <c r="DLZ82" s="440" t="n"/>
      <c r="DMA82" s="440" t="n"/>
      <c r="DMB82" s="440" t="n"/>
      <c r="DMC82" s="440" t="n"/>
      <c r="DMD82" s="440" t="n"/>
      <c r="DME82" s="440" t="n"/>
      <c r="DMF82" s="440" t="n"/>
      <c r="DMG82" s="440" t="n"/>
      <c r="DMH82" s="440" t="n"/>
      <c r="DMI82" s="440" t="n"/>
      <c r="DMJ82" s="440" t="n"/>
      <c r="DMK82" s="440" t="n"/>
      <c r="DML82" s="440" t="n"/>
      <c r="DMM82" s="440" t="n"/>
      <c r="DMN82" s="440" t="n"/>
      <c r="DMO82" s="440" t="n"/>
      <c r="DMP82" s="440" t="n"/>
      <c r="DMQ82" s="440" t="n"/>
      <c r="DMR82" s="440" t="n"/>
      <c r="DMS82" s="440" t="n"/>
      <c r="DMT82" s="440" t="n"/>
      <c r="DMU82" s="440" t="n"/>
      <c r="DMV82" s="440" t="n"/>
      <c r="DMW82" s="440" t="n"/>
      <c r="DMX82" s="440" t="n"/>
      <c r="DMY82" s="440" t="n"/>
      <c r="DMZ82" s="440" t="n"/>
      <c r="DNA82" s="440" t="n"/>
      <c r="DNB82" s="440" t="n"/>
      <c r="DNC82" s="440" t="n"/>
      <c r="DND82" s="440" t="n"/>
      <c r="DNE82" s="440" t="n"/>
      <c r="DNF82" s="440" t="n"/>
      <c r="DNG82" s="440" t="n"/>
      <c r="DNH82" s="440" t="n"/>
      <c r="DNI82" s="440" t="n"/>
      <c r="DNJ82" s="440" t="n"/>
      <c r="DNK82" s="440" t="n"/>
      <c r="DNL82" s="440" t="n"/>
      <c r="DNM82" s="440" t="n"/>
      <c r="DNN82" s="440" t="n"/>
      <c r="DNO82" s="440" t="n"/>
      <c r="DNP82" s="440" t="n"/>
      <c r="DNQ82" s="440" t="n"/>
      <c r="DNR82" s="440" t="n"/>
      <c r="DNS82" s="440" t="n"/>
      <c r="DNT82" s="440" t="n"/>
      <c r="DNU82" s="440" t="n"/>
      <c r="DNV82" s="440" t="n"/>
      <c r="DNW82" s="440" t="n"/>
      <c r="DNX82" s="440" t="n"/>
      <c r="DNY82" s="440" t="n"/>
      <c r="DNZ82" s="440" t="n"/>
      <c r="DOA82" s="440" t="n"/>
      <c r="DOB82" s="440" t="n"/>
      <c r="DOC82" s="440" t="n"/>
      <c r="DOD82" s="440" t="n"/>
      <c r="DOE82" s="440" t="n"/>
      <c r="DOF82" s="440" t="n"/>
      <c r="DOG82" s="440" t="n"/>
      <c r="DOH82" s="440" t="n"/>
      <c r="DOI82" s="440" t="n"/>
      <c r="DOJ82" s="440" t="n"/>
      <c r="DOK82" s="440" t="n"/>
      <c r="DOL82" s="440" t="n"/>
      <c r="DOM82" s="440" t="n"/>
      <c r="DON82" s="440" t="n"/>
      <c r="DOO82" s="440" t="n"/>
      <c r="DOP82" s="440" t="n"/>
      <c r="DOQ82" s="440" t="n"/>
      <c r="DOR82" s="440" t="n"/>
      <c r="DOS82" s="440" t="n"/>
      <c r="DOT82" s="440" t="n"/>
      <c r="DOU82" s="440" t="n"/>
      <c r="DOV82" s="440" t="n"/>
      <c r="DOW82" s="440" t="n"/>
      <c r="DOX82" s="440" t="n"/>
      <c r="DOY82" s="440" t="n"/>
      <c r="DOZ82" s="440" t="n"/>
      <c r="DPA82" s="440" t="n"/>
      <c r="DPB82" s="440" t="n"/>
      <c r="DPC82" s="440" t="n"/>
      <c r="DPD82" s="440" t="n"/>
      <c r="DPE82" s="440" t="n"/>
      <c r="DPF82" s="440" t="n"/>
      <c r="DPG82" s="440" t="n"/>
      <c r="DPH82" s="440" t="n"/>
      <c r="DPI82" s="440" t="n"/>
      <c r="DPJ82" s="440" t="n"/>
      <c r="DPK82" s="440" t="n"/>
      <c r="DPL82" s="440" t="n"/>
      <c r="DPM82" s="440" t="n"/>
      <c r="DPN82" s="440" t="n"/>
      <c r="DPO82" s="440" t="n"/>
      <c r="DPP82" s="440" t="n"/>
      <c r="DPQ82" s="440" t="n"/>
      <c r="DPR82" s="440" t="n"/>
      <c r="DPS82" s="440" t="n"/>
      <c r="DPT82" s="440" t="n"/>
      <c r="DPU82" s="440" t="n"/>
      <c r="DPV82" s="440" t="n"/>
      <c r="DPW82" s="440" t="n"/>
      <c r="DPX82" s="440" t="n"/>
      <c r="DPY82" s="440" t="n"/>
      <c r="DPZ82" s="440" t="n"/>
      <c r="DQA82" s="440" t="n"/>
      <c r="DQB82" s="440" t="n"/>
      <c r="DQC82" s="440" t="n"/>
      <c r="DQD82" s="440" t="n"/>
      <c r="DQE82" s="440" t="n"/>
      <c r="DQF82" s="440" t="n"/>
      <c r="DQG82" s="440" t="n"/>
      <c r="DQH82" s="440" t="n"/>
      <c r="DQI82" s="440" t="n"/>
      <c r="DQJ82" s="440" t="n"/>
      <c r="DQK82" s="440" t="n"/>
      <c r="DQL82" s="440" t="n"/>
      <c r="DQM82" s="440" t="n"/>
      <c r="DQN82" s="440" t="n"/>
      <c r="DQO82" s="440" t="n"/>
      <c r="DQP82" s="440" t="n"/>
      <c r="DQQ82" s="440" t="n"/>
      <c r="DQR82" s="440" t="n"/>
      <c r="DQS82" s="440" t="n"/>
      <c r="DQT82" s="440" t="n"/>
      <c r="DQU82" s="440" t="n"/>
      <c r="DQV82" s="440" t="n"/>
      <c r="DQW82" s="440" t="n"/>
      <c r="DQX82" s="440" t="n"/>
      <c r="DQY82" s="440" t="n"/>
      <c r="DQZ82" s="440" t="n"/>
      <c r="DRA82" s="440" t="n"/>
      <c r="DRB82" s="440" t="n"/>
      <c r="DRC82" s="440" t="n"/>
      <c r="DRD82" s="440" t="n"/>
      <c r="DRE82" s="440" t="n"/>
      <c r="DRF82" s="440" t="n"/>
      <c r="DRG82" s="440" t="n"/>
      <c r="DRH82" s="440" t="n"/>
      <c r="DRI82" s="440" t="n"/>
      <c r="DRJ82" s="440" t="n"/>
      <c r="DRK82" s="440" t="n"/>
      <c r="DRL82" s="440" t="n"/>
      <c r="DRM82" s="440" t="n"/>
      <c r="DRN82" s="440" t="n"/>
      <c r="DRO82" s="440" t="n"/>
      <c r="DRP82" s="440" t="n"/>
      <c r="DRQ82" s="440" t="n"/>
      <c r="DRR82" s="440" t="n"/>
      <c r="DRS82" s="440" t="n"/>
      <c r="DRT82" s="440" t="n"/>
      <c r="DRU82" s="440" t="n"/>
      <c r="DRV82" s="440" t="n"/>
      <c r="DRW82" s="440" t="n"/>
      <c r="DRX82" s="440" t="n"/>
      <c r="DRY82" s="440" t="n"/>
      <c r="DRZ82" s="440" t="n"/>
      <c r="DSA82" s="440" t="n"/>
      <c r="DSB82" s="440" t="n"/>
      <c r="DSC82" s="440" t="n"/>
      <c r="DSD82" s="440" t="n"/>
      <c r="DSE82" s="440" t="n"/>
      <c r="DSF82" s="440" t="n"/>
      <c r="DSG82" s="440" t="n"/>
      <c r="DSH82" s="440" t="n"/>
      <c r="DSI82" s="440" t="n"/>
      <c r="DSJ82" s="440" t="n"/>
      <c r="DSK82" s="440" t="n"/>
      <c r="DSL82" s="440" t="n"/>
      <c r="DSM82" s="440" t="n"/>
      <c r="DSN82" s="440" t="n"/>
      <c r="DSO82" s="440" t="n"/>
      <c r="DSP82" s="440" t="n"/>
      <c r="DSQ82" s="440" t="n"/>
      <c r="DSR82" s="440" t="n"/>
      <c r="DSS82" s="440" t="n"/>
      <c r="DST82" s="440" t="n"/>
      <c r="DSU82" s="440" t="n"/>
      <c r="DSV82" s="440" t="n"/>
      <c r="DSW82" s="440" t="n"/>
      <c r="DSX82" s="440" t="n"/>
      <c r="DSY82" s="440" t="n"/>
      <c r="DSZ82" s="440" t="n"/>
      <c r="DTA82" s="440" t="n"/>
      <c r="DTB82" s="440" t="n"/>
      <c r="DTC82" s="440" t="n"/>
      <c r="DTD82" s="440" t="n"/>
      <c r="DTE82" s="440" t="n"/>
      <c r="DTF82" s="440" t="n"/>
      <c r="DTG82" s="440" t="n"/>
      <c r="DTH82" s="440" t="n"/>
      <c r="DTI82" s="440" t="n"/>
      <c r="DTJ82" s="440" t="n"/>
      <c r="DTK82" s="440" t="n"/>
      <c r="DTL82" s="440" t="n"/>
      <c r="DTM82" s="440" t="n"/>
      <c r="DTN82" s="440" t="n"/>
      <c r="DTO82" s="440" t="n"/>
      <c r="DTP82" s="440" t="n"/>
      <c r="DTQ82" s="440" t="n"/>
      <c r="DTR82" s="440" t="n"/>
      <c r="DTS82" s="440" t="n"/>
      <c r="DTT82" s="440" t="n"/>
      <c r="DTU82" s="440" t="n"/>
      <c r="DTV82" s="440" t="n"/>
      <c r="DTW82" s="440" t="n"/>
      <c r="DTX82" s="440" t="n"/>
      <c r="DTY82" s="440" t="n"/>
      <c r="DTZ82" s="440" t="n"/>
      <c r="DUA82" s="440" t="n"/>
      <c r="DUB82" s="440" t="n"/>
      <c r="DUC82" s="440" t="n"/>
      <c r="DUD82" s="440" t="n"/>
      <c r="DUE82" s="440" t="n"/>
      <c r="DUF82" s="440" t="n"/>
      <c r="DUG82" s="440" t="n"/>
      <c r="DUH82" s="440" t="n"/>
      <c r="DUI82" s="440" t="n"/>
      <c r="DUJ82" s="440" t="n"/>
      <c r="DUK82" s="440" t="n"/>
      <c r="DUL82" s="440" t="n"/>
      <c r="DUM82" s="440" t="n"/>
      <c r="DUN82" s="440" t="n"/>
      <c r="DUO82" s="440" t="n"/>
      <c r="DUP82" s="440" t="n"/>
      <c r="DUQ82" s="440" t="n"/>
      <c r="DUR82" s="440" t="n"/>
      <c r="DUS82" s="440" t="n"/>
      <c r="DUT82" s="440" t="n"/>
      <c r="DUU82" s="440" t="n"/>
      <c r="DUV82" s="440" t="n"/>
      <c r="DUW82" s="440" t="n"/>
      <c r="DUX82" s="440" t="n"/>
      <c r="DUY82" s="440" t="n"/>
      <c r="DUZ82" s="440" t="n"/>
      <c r="DVA82" s="440" t="n"/>
      <c r="DVB82" s="440" t="n"/>
      <c r="DVC82" s="440" t="n"/>
      <c r="DVD82" s="440" t="n"/>
      <c r="DVE82" s="440" t="n"/>
      <c r="DVF82" s="440" t="n"/>
      <c r="DVG82" s="440" t="n"/>
      <c r="DVH82" s="440" t="n"/>
      <c r="DVI82" s="440" t="n"/>
      <c r="DVJ82" s="440" t="n"/>
      <c r="DVK82" s="440" t="n"/>
      <c r="DVL82" s="440" t="n"/>
      <c r="DVM82" s="440" t="n"/>
      <c r="DVN82" s="440" t="n"/>
      <c r="DVO82" s="440" t="n"/>
      <c r="DVP82" s="440" t="n"/>
      <c r="DVQ82" s="440" t="n"/>
      <c r="DVR82" s="440" t="n"/>
      <c r="DVS82" s="440" t="n"/>
      <c r="DVT82" s="440" t="n"/>
      <c r="DVU82" s="440" t="n"/>
      <c r="DVV82" s="440" t="n"/>
      <c r="DVW82" s="440" t="n"/>
      <c r="DVX82" s="440" t="n"/>
      <c r="DVY82" s="440" t="n"/>
      <c r="DVZ82" s="440" t="n"/>
      <c r="DWA82" s="440" t="n"/>
      <c r="DWB82" s="440" t="n"/>
      <c r="DWC82" s="440" t="n"/>
      <c r="DWD82" s="440" t="n"/>
      <c r="DWE82" s="440" t="n"/>
      <c r="DWF82" s="440" t="n"/>
      <c r="DWG82" s="440" t="n"/>
      <c r="DWH82" s="440" t="n"/>
      <c r="DWI82" s="440" t="n"/>
      <c r="DWJ82" s="440" t="n"/>
      <c r="DWK82" s="440" t="n"/>
      <c r="DWL82" s="440" t="n"/>
      <c r="DWM82" s="440" t="n"/>
      <c r="DWN82" s="440" t="n"/>
      <c r="DWO82" s="440" t="n"/>
      <c r="DWP82" s="440" t="n"/>
      <c r="DWQ82" s="440" t="n"/>
      <c r="DWR82" s="440" t="n"/>
      <c r="DWS82" s="440" t="n"/>
      <c r="DWT82" s="440" t="n"/>
      <c r="DWU82" s="440" t="n"/>
      <c r="DWV82" s="440" t="n"/>
      <c r="DWW82" s="440" t="n"/>
      <c r="DWX82" s="440" t="n"/>
      <c r="DWY82" s="440" t="n"/>
      <c r="DWZ82" s="440" t="n"/>
      <c r="DXA82" s="440" t="n"/>
      <c r="DXB82" s="440" t="n"/>
      <c r="DXC82" s="440" t="n"/>
      <c r="DXD82" s="440" t="n"/>
      <c r="DXE82" s="440" t="n"/>
      <c r="DXF82" s="440" t="n"/>
      <c r="DXG82" s="440" t="n"/>
      <c r="DXH82" s="440" t="n"/>
      <c r="DXI82" s="440" t="n"/>
      <c r="DXJ82" s="440" t="n"/>
      <c r="DXK82" s="440" t="n"/>
      <c r="DXL82" s="440" t="n"/>
      <c r="DXM82" s="440" t="n"/>
      <c r="DXN82" s="440" t="n"/>
      <c r="DXO82" s="440" t="n"/>
      <c r="DXP82" s="440" t="n"/>
      <c r="DXQ82" s="440" t="n"/>
      <c r="DXR82" s="440" t="n"/>
      <c r="DXS82" s="440" t="n"/>
      <c r="DXT82" s="440" t="n"/>
      <c r="DXU82" s="440" t="n"/>
      <c r="DXV82" s="440" t="n"/>
      <c r="DXW82" s="440" t="n"/>
      <c r="DXX82" s="440" t="n"/>
      <c r="DXY82" s="440" t="n"/>
      <c r="DXZ82" s="440" t="n"/>
      <c r="DYA82" s="440" t="n"/>
      <c r="DYB82" s="440" t="n"/>
      <c r="DYC82" s="440" t="n"/>
      <c r="DYD82" s="440" t="n"/>
      <c r="DYE82" s="440" t="n"/>
      <c r="DYF82" s="440" t="n"/>
      <c r="DYG82" s="440" t="n"/>
      <c r="DYH82" s="440" t="n"/>
      <c r="DYI82" s="440" t="n"/>
      <c r="DYJ82" s="440" t="n"/>
      <c r="DYK82" s="440" t="n"/>
      <c r="DYL82" s="440" t="n"/>
      <c r="DYM82" s="440" t="n"/>
      <c r="DYN82" s="440" t="n"/>
      <c r="DYO82" s="440" t="n"/>
      <c r="DYP82" s="440" t="n"/>
      <c r="DYQ82" s="440" t="n"/>
      <c r="DYR82" s="440" t="n"/>
      <c r="DYS82" s="440" t="n"/>
      <c r="DYT82" s="440" t="n"/>
      <c r="DYU82" s="440" t="n"/>
      <c r="DYV82" s="440" t="n"/>
      <c r="DYW82" s="440" t="n"/>
      <c r="DYX82" s="440" t="n"/>
      <c r="DYY82" s="440" t="n"/>
      <c r="DYZ82" s="440" t="n"/>
      <c r="DZA82" s="440" t="n"/>
      <c r="DZB82" s="440" t="n"/>
      <c r="DZC82" s="440" t="n"/>
      <c r="DZD82" s="440" t="n"/>
      <c r="DZE82" s="440" t="n"/>
      <c r="DZF82" s="440" t="n"/>
      <c r="DZG82" s="440" t="n"/>
      <c r="DZH82" s="440" t="n"/>
      <c r="DZI82" s="440" t="n"/>
      <c r="DZJ82" s="440" t="n"/>
      <c r="DZK82" s="440" t="n"/>
      <c r="DZL82" s="440" t="n"/>
      <c r="DZM82" s="440" t="n"/>
      <c r="DZN82" s="440" t="n"/>
      <c r="DZO82" s="440" t="n"/>
      <c r="DZP82" s="440" t="n"/>
      <c r="DZQ82" s="440" t="n"/>
      <c r="DZR82" s="440" t="n"/>
      <c r="DZS82" s="440" t="n"/>
      <c r="DZT82" s="440" t="n"/>
      <c r="DZU82" s="440" t="n"/>
      <c r="DZV82" s="440" t="n"/>
      <c r="DZW82" s="440" t="n"/>
      <c r="DZX82" s="440" t="n"/>
      <c r="DZY82" s="440" t="n"/>
      <c r="DZZ82" s="440" t="n"/>
      <c r="EAA82" s="440" t="n"/>
      <c r="EAB82" s="440" t="n"/>
      <c r="EAC82" s="440" t="n"/>
      <c r="EAD82" s="440" t="n"/>
      <c r="EAE82" s="440" t="n"/>
      <c r="EAF82" s="440" t="n"/>
      <c r="EAG82" s="440" t="n"/>
      <c r="EAH82" s="440" t="n"/>
      <c r="EAI82" s="440" t="n"/>
      <c r="EAJ82" s="440" t="n"/>
      <c r="EAK82" s="440" t="n"/>
      <c r="EAL82" s="440" t="n"/>
      <c r="EAM82" s="440" t="n"/>
      <c r="EAN82" s="440" t="n"/>
      <c r="EAO82" s="440" t="n"/>
      <c r="EAP82" s="440" t="n"/>
      <c r="EAQ82" s="440" t="n"/>
      <c r="EAR82" s="440" t="n"/>
      <c r="EAS82" s="440" t="n"/>
      <c r="EAT82" s="440" t="n"/>
      <c r="EAU82" s="440" t="n"/>
      <c r="EAV82" s="440" t="n"/>
      <c r="EAW82" s="440" t="n"/>
      <c r="EAX82" s="440" t="n"/>
      <c r="EAY82" s="440" t="n"/>
      <c r="EAZ82" s="440" t="n"/>
      <c r="EBA82" s="440" t="n"/>
      <c r="EBB82" s="440" t="n"/>
      <c r="EBC82" s="440" t="n"/>
      <c r="EBD82" s="440" t="n"/>
      <c r="EBE82" s="440" t="n"/>
      <c r="EBF82" s="440" t="n"/>
      <c r="EBG82" s="440" t="n"/>
      <c r="EBH82" s="440" t="n"/>
      <c r="EBI82" s="440" t="n"/>
      <c r="EBJ82" s="440" t="n"/>
      <c r="EBK82" s="440" t="n"/>
      <c r="EBL82" s="440" t="n"/>
      <c r="EBM82" s="440" t="n"/>
      <c r="EBN82" s="440" t="n"/>
      <c r="EBO82" s="440" t="n"/>
      <c r="EBP82" s="440" t="n"/>
      <c r="EBQ82" s="440" t="n"/>
      <c r="EBR82" s="440" t="n"/>
      <c r="EBS82" s="440" t="n"/>
      <c r="EBT82" s="440" t="n"/>
      <c r="EBU82" s="440" t="n"/>
      <c r="EBV82" s="440" t="n"/>
      <c r="EBW82" s="440" t="n"/>
      <c r="EBX82" s="440" t="n"/>
      <c r="EBY82" s="440" t="n"/>
      <c r="EBZ82" s="440" t="n"/>
      <c r="ECA82" s="440" t="n"/>
      <c r="ECB82" s="440" t="n"/>
      <c r="ECC82" s="440" t="n"/>
      <c r="ECD82" s="440" t="n"/>
      <c r="ECE82" s="440" t="n"/>
      <c r="ECF82" s="440" t="n"/>
      <c r="ECG82" s="440" t="n"/>
      <c r="ECH82" s="440" t="n"/>
      <c r="ECI82" s="440" t="n"/>
      <c r="ECJ82" s="440" t="n"/>
      <c r="ECK82" s="440" t="n"/>
      <c r="ECL82" s="440" t="n"/>
      <c r="ECM82" s="440" t="n"/>
      <c r="ECN82" s="440" t="n"/>
      <c r="ECO82" s="440" t="n"/>
      <c r="ECP82" s="440" t="n"/>
      <c r="ECQ82" s="440" t="n"/>
      <c r="ECR82" s="440" t="n"/>
      <c r="ECS82" s="440" t="n"/>
      <c r="ECT82" s="440" t="n"/>
      <c r="ECU82" s="440" t="n"/>
      <c r="ECV82" s="440" t="n"/>
      <c r="ECW82" s="440" t="n"/>
      <c r="ECX82" s="440" t="n"/>
      <c r="ECY82" s="440" t="n"/>
      <c r="ECZ82" s="440" t="n"/>
      <c r="EDA82" s="440" t="n"/>
      <c r="EDB82" s="440" t="n"/>
      <c r="EDC82" s="440" t="n"/>
      <c r="EDD82" s="440" t="n"/>
      <c r="EDE82" s="440" t="n"/>
      <c r="EDF82" s="440" t="n"/>
      <c r="EDG82" s="440" t="n"/>
      <c r="EDH82" s="440" t="n"/>
      <c r="EDI82" s="440" t="n"/>
      <c r="EDJ82" s="440" t="n"/>
      <c r="EDK82" s="440" t="n"/>
      <c r="EDL82" s="440" t="n"/>
      <c r="EDM82" s="440" t="n"/>
      <c r="EDN82" s="440" t="n"/>
      <c r="EDO82" s="440" t="n"/>
      <c r="EDP82" s="440" t="n"/>
      <c r="EDQ82" s="440" t="n"/>
      <c r="EDR82" s="440" t="n"/>
      <c r="EDS82" s="440" t="n"/>
      <c r="EDT82" s="440" t="n"/>
      <c r="EDU82" s="440" t="n"/>
      <c r="EDV82" s="440" t="n"/>
      <c r="EDW82" s="440" t="n"/>
      <c r="EDX82" s="440" t="n"/>
      <c r="EDY82" s="440" t="n"/>
      <c r="EDZ82" s="440" t="n"/>
      <c r="EEA82" s="440" t="n"/>
      <c r="EEB82" s="440" t="n"/>
      <c r="EEC82" s="440" t="n"/>
      <c r="EED82" s="440" t="n"/>
      <c r="EEE82" s="440" t="n"/>
      <c r="EEF82" s="440" t="n"/>
      <c r="EEG82" s="440" t="n"/>
      <c r="EEH82" s="440" t="n"/>
      <c r="EEI82" s="440" t="n"/>
      <c r="EEJ82" s="440" t="n"/>
      <c r="EEK82" s="440" t="n"/>
      <c r="EEL82" s="440" t="n"/>
      <c r="EEM82" s="440" t="n"/>
      <c r="EEN82" s="440" t="n"/>
      <c r="EEO82" s="440" t="n"/>
      <c r="EEP82" s="440" t="n"/>
      <c r="EEQ82" s="440" t="n"/>
      <c r="EER82" s="440" t="n"/>
      <c r="EES82" s="440" t="n"/>
      <c r="EET82" s="440" t="n"/>
      <c r="EEU82" s="440" t="n"/>
      <c r="EEV82" s="440" t="n"/>
      <c r="EEW82" s="440" t="n"/>
      <c r="EEX82" s="440" t="n"/>
      <c r="EEY82" s="440" t="n"/>
      <c r="EEZ82" s="440" t="n"/>
      <c r="EFA82" s="440" t="n"/>
      <c r="EFB82" s="440" t="n"/>
      <c r="EFC82" s="440" t="n"/>
      <c r="EFD82" s="440" t="n"/>
      <c r="EFE82" s="440" t="n"/>
      <c r="EFF82" s="440" t="n"/>
      <c r="EFG82" s="440" t="n"/>
      <c r="EFH82" s="440" t="n"/>
      <c r="EFI82" s="440" t="n"/>
      <c r="EFJ82" s="440" t="n"/>
      <c r="EFK82" s="440" t="n"/>
      <c r="EFL82" s="440" t="n"/>
      <c r="EFM82" s="440" t="n"/>
      <c r="EFN82" s="440" t="n"/>
      <c r="EFO82" s="440" t="n"/>
      <c r="EFP82" s="440" t="n"/>
      <c r="EFQ82" s="440" t="n"/>
      <c r="EFR82" s="440" t="n"/>
      <c r="EFS82" s="440" t="n"/>
      <c r="EFT82" s="440" t="n"/>
      <c r="EFU82" s="440" t="n"/>
      <c r="EFV82" s="440" t="n"/>
      <c r="EFW82" s="440" t="n"/>
      <c r="EFX82" s="440" t="n"/>
      <c r="EFY82" s="440" t="n"/>
      <c r="EFZ82" s="440" t="n"/>
      <c r="EGA82" s="440" t="n"/>
      <c r="EGB82" s="440" t="n"/>
      <c r="EGC82" s="440" t="n"/>
      <c r="EGD82" s="440" t="n"/>
      <c r="EGE82" s="440" t="n"/>
      <c r="EGF82" s="440" t="n"/>
      <c r="EGG82" s="440" t="n"/>
      <c r="EGH82" s="440" t="n"/>
      <c r="EGI82" s="440" t="n"/>
      <c r="EGJ82" s="440" t="n"/>
      <c r="EGK82" s="440" t="n"/>
      <c r="EGL82" s="440" t="n"/>
      <c r="EGM82" s="440" t="n"/>
      <c r="EGN82" s="440" t="n"/>
      <c r="EGO82" s="440" t="n"/>
      <c r="EGP82" s="440" t="n"/>
      <c r="EGQ82" s="440" t="n"/>
      <c r="EGR82" s="440" t="n"/>
      <c r="EGS82" s="440" t="n"/>
      <c r="EGT82" s="440" t="n"/>
      <c r="EGU82" s="440" t="n"/>
      <c r="EGV82" s="440" t="n"/>
      <c r="EGW82" s="440" t="n"/>
      <c r="EGX82" s="440" t="n"/>
      <c r="EGY82" s="440" t="n"/>
      <c r="EGZ82" s="440" t="n"/>
      <c r="EHA82" s="440" t="n"/>
      <c r="EHB82" s="440" t="n"/>
      <c r="EHC82" s="440" t="n"/>
      <c r="EHD82" s="440" t="n"/>
      <c r="EHE82" s="440" t="n"/>
      <c r="EHF82" s="440" t="n"/>
      <c r="EHG82" s="440" t="n"/>
      <c r="EHH82" s="440" t="n"/>
      <c r="EHI82" s="440" t="n"/>
      <c r="EHJ82" s="440" t="n"/>
      <c r="EHK82" s="440" t="n"/>
      <c r="EHL82" s="440" t="n"/>
      <c r="EHM82" s="440" t="n"/>
      <c r="EHN82" s="440" t="n"/>
      <c r="EHO82" s="440" t="n"/>
      <c r="EHP82" s="440" t="n"/>
      <c r="EHQ82" s="440" t="n"/>
      <c r="EHR82" s="440" t="n"/>
      <c r="EHS82" s="440" t="n"/>
      <c r="EHT82" s="440" t="n"/>
      <c r="EHU82" s="440" t="n"/>
      <c r="EHV82" s="440" t="n"/>
      <c r="EHW82" s="440" t="n"/>
      <c r="EHX82" s="440" t="n"/>
      <c r="EHY82" s="440" t="n"/>
      <c r="EHZ82" s="440" t="n"/>
      <c r="EIA82" s="440" t="n"/>
      <c r="EIB82" s="440" t="n"/>
      <c r="EIC82" s="440" t="n"/>
      <c r="EID82" s="440" t="n"/>
      <c r="EIE82" s="440" t="n"/>
      <c r="EIF82" s="440" t="n"/>
      <c r="EIG82" s="440" t="n"/>
      <c r="EIH82" s="440" t="n"/>
      <c r="EII82" s="440" t="n"/>
      <c r="EIJ82" s="440" t="n"/>
      <c r="EIK82" s="440" t="n"/>
      <c r="EIL82" s="440" t="n"/>
      <c r="EIM82" s="440" t="n"/>
      <c r="EIN82" s="440" t="n"/>
      <c r="EIO82" s="440" t="n"/>
      <c r="EIP82" s="440" t="n"/>
      <c r="EIQ82" s="440" t="n"/>
      <c r="EIR82" s="440" t="n"/>
      <c r="EIS82" s="440" t="n"/>
      <c r="EIT82" s="440" t="n"/>
      <c r="EIU82" s="440" t="n"/>
      <c r="EIV82" s="440" t="n"/>
      <c r="EIW82" s="440" t="n"/>
      <c r="EIX82" s="440" t="n"/>
      <c r="EIY82" s="440" t="n"/>
      <c r="EIZ82" s="440" t="n"/>
      <c r="EJA82" s="440" t="n"/>
      <c r="EJB82" s="440" t="n"/>
      <c r="EJC82" s="440" t="n"/>
      <c r="EJD82" s="440" t="n"/>
      <c r="EJE82" s="440" t="n"/>
      <c r="EJF82" s="440" t="n"/>
      <c r="EJG82" s="440" t="n"/>
      <c r="EJH82" s="440" t="n"/>
      <c r="EJI82" s="440" t="n"/>
      <c r="EJJ82" s="440" t="n"/>
      <c r="EJK82" s="440" t="n"/>
      <c r="EJL82" s="440" t="n"/>
      <c r="EJM82" s="440" t="n"/>
      <c r="EJN82" s="440" t="n"/>
      <c r="EJO82" s="440" t="n"/>
      <c r="EJP82" s="440" t="n"/>
      <c r="EJQ82" s="440" t="n"/>
      <c r="EJR82" s="440" t="n"/>
      <c r="EJS82" s="440" t="n"/>
      <c r="EJT82" s="440" t="n"/>
      <c r="EJU82" s="440" t="n"/>
      <c r="EJV82" s="440" t="n"/>
      <c r="EJW82" s="440" t="n"/>
      <c r="EJX82" s="440" t="n"/>
      <c r="EJY82" s="440" t="n"/>
      <c r="EJZ82" s="440" t="n"/>
      <c r="EKA82" s="440" t="n"/>
      <c r="EKB82" s="440" t="n"/>
      <c r="EKC82" s="440" t="n"/>
      <c r="EKD82" s="440" t="n"/>
      <c r="EKE82" s="440" t="n"/>
      <c r="EKF82" s="440" t="n"/>
      <c r="EKG82" s="440" t="n"/>
      <c r="EKH82" s="440" t="n"/>
      <c r="EKI82" s="440" t="n"/>
      <c r="EKJ82" s="440" t="n"/>
      <c r="EKK82" s="440" t="n"/>
      <c r="EKL82" s="440" t="n"/>
      <c r="EKM82" s="440" t="n"/>
      <c r="EKN82" s="440" t="n"/>
      <c r="EKO82" s="440" t="n"/>
      <c r="EKP82" s="440" t="n"/>
      <c r="EKQ82" s="440" t="n"/>
      <c r="EKR82" s="440" t="n"/>
      <c r="EKS82" s="440" t="n"/>
      <c r="EKT82" s="440" t="n"/>
      <c r="EKU82" s="440" t="n"/>
      <c r="EKV82" s="440" t="n"/>
      <c r="EKW82" s="440" t="n"/>
      <c r="EKX82" s="440" t="n"/>
      <c r="EKY82" s="440" t="n"/>
      <c r="EKZ82" s="440" t="n"/>
      <c r="ELA82" s="440" t="n"/>
      <c r="ELB82" s="440" t="n"/>
      <c r="ELC82" s="440" t="n"/>
      <c r="ELD82" s="440" t="n"/>
      <c r="ELE82" s="440" t="n"/>
      <c r="ELF82" s="440" t="n"/>
      <c r="ELG82" s="440" t="n"/>
      <c r="ELH82" s="440" t="n"/>
      <c r="ELI82" s="440" t="n"/>
      <c r="ELJ82" s="440" t="n"/>
      <c r="ELK82" s="440" t="n"/>
      <c r="ELL82" s="440" t="n"/>
      <c r="ELM82" s="440" t="n"/>
      <c r="ELN82" s="440" t="n"/>
      <c r="ELO82" s="440" t="n"/>
      <c r="ELP82" s="440" t="n"/>
      <c r="ELQ82" s="440" t="n"/>
      <c r="ELR82" s="440" t="n"/>
      <c r="ELS82" s="440" t="n"/>
      <c r="ELT82" s="440" t="n"/>
      <c r="ELU82" s="440" t="n"/>
      <c r="ELV82" s="440" t="n"/>
      <c r="ELW82" s="440" t="n"/>
      <c r="ELX82" s="440" t="n"/>
      <c r="ELY82" s="440" t="n"/>
      <c r="ELZ82" s="440" t="n"/>
      <c r="EMA82" s="440" t="n"/>
      <c r="EMB82" s="440" t="n"/>
      <c r="EMC82" s="440" t="n"/>
      <c r="EMD82" s="440" t="n"/>
      <c r="EME82" s="440" t="n"/>
      <c r="EMF82" s="440" t="n"/>
      <c r="EMG82" s="440" t="n"/>
      <c r="EMH82" s="440" t="n"/>
      <c r="EMI82" s="440" t="n"/>
      <c r="EMJ82" s="440" t="n"/>
      <c r="EMK82" s="440" t="n"/>
      <c r="EML82" s="440" t="n"/>
      <c r="EMM82" s="440" t="n"/>
      <c r="EMN82" s="440" t="n"/>
      <c r="EMO82" s="440" t="n"/>
      <c r="EMP82" s="440" t="n"/>
      <c r="EMQ82" s="440" t="n"/>
      <c r="EMR82" s="440" t="n"/>
      <c r="EMS82" s="440" t="n"/>
      <c r="EMT82" s="440" t="n"/>
      <c r="EMU82" s="440" t="n"/>
      <c r="EMV82" s="440" t="n"/>
      <c r="EMW82" s="440" t="n"/>
      <c r="EMX82" s="440" t="n"/>
      <c r="EMY82" s="440" t="n"/>
      <c r="EMZ82" s="440" t="n"/>
      <c r="ENA82" s="440" t="n"/>
      <c r="ENB82" s="440" t="n"/>
      <c r="ENC82" s="440" t="n"/>
      <c r="END82" s="440" t="n"/>
      <c r="ENE82" s="440" t="n"/>
      <c r="ENF82" s="440" t="n"/>
      <c r="ENG82" s="440" t="n"/>
      <c r="ENH82" s="440" t="n"/>
      <c r="ENI82" s="440" t="n"/>
      <c r="ENJ82" s="440" t="n"/>
      <c r="ENK82" s="440" t="n"/>
      <c r="ENL82" s="440" t="n"/>
      <c r="ENM82" s="440" t="n"/>
      <c r="ENN82" s="440" t="n"/>
      <c r="ENO82" s="440" t="n"/>
      <c r="ENP82" s="440" t="n"/>
      <c r="ENQ82" s="440" t="n"/>
      <c r="ENR82" s="440" t="n"/>
      <c r="ENS82" s="440" t="n"/>
      <c r="ENT82" s="440" t="n"/>
      <c r="ENU82" s="440" t="n"/>
      <c r="ENV82" s="440" t="n"/>
      <c r="ENW82" s="440" t="n"/>
      <c r="ENX82" s="440" t="n"/>
      <c r="ENY82" s="440" t="n"/>
      <c r="ENZ82" s="440" t="n"/>
      <c r="EOA82" s="440" t="n"/>
      <c r="EOB82" s="440" t="n"/>
      <c r="EOC82" s="440" t="n"/>
      <c r="EOD82" s="440" t="n"/>
      <c r="EOE82" s="440" t="n"/>
      <c r="EOF82" s="440" t="n"/>
      <c r="EOG82" s="440" t="n"/>
      <c r="EOH82" s="440" t="n"/>
      <c r="EOI82" s="440" t="n"/>
      <c r="EOJ82" s="440" t="n"/>
      <c r="EOK82" s="440" t="n"/>
      <c r="EOL82" s="440" t="n"/>
      <c r="EOM82" s="440" t="n"/>
      <c r="EON82" s="440" t="n"/>
      <c r="EOO82" s="440" t="n"/>
      <c r="EOP82" s="440" t="n"/>
      <c r="EOQ82" s="440" t="n"/>
      <c r="EOR82" s="440" t="n"/>
      <c r="EOS82" s="440" t="n"/>
      <c r="EOT82" s="440" t="n"/>
      <c r="EOU82" s="440" t="n"/>
      <c r="EOV82" s="440" t="n"/>
      <c r="EOW82" s="440" t="n"/>
      <c r="EOX82" s="440" t="n"/>
      <c r="EOY82" s="440" t="n"/>
      <c r="EOZ82" s="440" t="n"/>
      <c r="EPA82" s="440" t="n"/>
      <c r="EPB82" s="440" t="n"/>
      <c r="EPC82" s="440" t="n"/>
      <c r="EPD82" s="440" t="n"/>
      <c r="EPE82" s="440" t="n"/>
      <c r="EPF82" s="440" t="n"/>
      <c r="EPG82" s="440" t="n"/>
      <c r="EPH82" s="440" t="n"/>
      <c r="EPI82" s="440" t="n"/>
      <c r="EPJ82" s="440" t="n"/>
      <c r="EPK82" s="440" t="n"/>
      <c r="EPL82" s="440" t="n"/>
      <c r="EPM82" s="440" t="n"/>
      <c r="EPN82" s="440" t="n"/>
      <c r="EPO82" s="440" t="n"/>
      <c r="EPP82" s="440" t="n"/>
      <c r="EPQ82" s="440" t="n"/>
      <c r="EPR82" s="440" t="n"/>
      <c r="EPS82" s="440" t="n"/>
      <c r="EPT82" s="440" t="n"/>
      <c r="EPU82" s="440" t="n"/>
      <c r="EPV82" s="440" t="n"/>
      <c r="EPW82" s="440" t="n"/>
      <c r="EPX82" s="440" t="n"/>
      <c r="EPY82" s="440" t="n"/>
      <c r="EPZ82" s="440" t="n"/>
      <c r="EQA82" s="440" t="n"/>
      <c r="EQB82" s="440" t="n"/>
      <c r="EQC82" s="440" t="n"/>
      <c r="EQD82" s="440" t="n"/>
      <c r="EQE82" s="440" t="n"/>
      <c r="EQF82" s="440" t="n"/>
      <c r="EQG82" s="440" t="n"/>
      <c r="EQH82" s="440" t="n"/>
      <c r="EQI82" s="440" t="n"/>
      <c r="EQJ82" s="440" t="n"/>
      <c r="EQK82" s="440" t="n"/>
      <c r="EQL82" s="440" t="n"/>
      <c r="EQM82" s="440" t="n"/>
      <c r="EQN82" s="440" t="n"/>
      <c r="EQO82" s="440" t="n"/>
      <c r="EQP82" s="440" t="n"/>
      <c r="EQQ82" s="440" t="n"/>
      <c r="EQR82" s="440" t="n"/>
      <c r="EQS82" s="440" t="n"/>
      <c r="EQT82" s="440" t="n"/>
      <c r="EQU82" s="440" t="n"/>
      <c r="EQV82" s="440" t="n"/>
      <c r="EQW82" s="440" t="n"/>
      <c r="EQX82" s="440" t="n"/>
      <c r="EQY82" s="440" t="n"/>
      <c r="EQZ82" s="440" t="n"/>
      <c r="ERA82" s="440" t="n"/>
      <c r="ERB82" s="440" t="n"/>
      <c r="ERC82" s="440" t="n"/>
      <c r="ERD82" s="440" t="n"/>
      <c r="ERE82" s="440" t="n"/>
      <c r="ERF82" s="440" t="n"/>
      <c r="ERG82" s="440" t="n"/>
      <c r="ERH82" s="440" t="n"/>
      <c r="ERI82" s="440" t="n"/>
      <c r="ERJ82" s="440" t="n"/>
      <c r="ERK82" s="440" t="n"/>
      <c r="ERL82" s="440" t="n"/>
      <c r="ERM82" s="440" t="n"/>
      <c r="ERN82" s="440" t="n"/>
      <c r="ERO82" s="440" t="n"/>
      <c r="ERP82" s="440" t="n"/>
      <c r="ERQ82" s="440" t="n"/>
      <c r="ERR82" s="440" t="n"/>
      <c r="ERS82" s="440" t="n"/>
      <c r="ERT82" s="440" t="n"/>
      <c r="ERU82" s="440" t="n"/>
      <c r="ERV82" s="440" t="n"/>
      <c r="ERW82" s="440" t="n"/>
      <c r="ERX82" s="440" t="n"/>
      <c r="ERY82" s="440" t="n"/>
      <c r="ERZ82" s="440" t="n"/>
      <c r="ESA82" s="440" t="n"/>
      <c r="ESB82" s="440" t="n"/>
      <c r="ESC82" s="440" t="n"/>
      <c r="ESD82" s="440" t="n"/>
      <c r="ESE82" s="440" t="n"/>
      <c r="ESF82" s="440" t="n"/>
      <c r="ESG82" s="440" t="n"/>
      <c r="ESH82" s="440" t="n"/>
      <c r="ESI82" s="440" t="n"/>
      <c r="ESJ82" s="440" t="n"/>
      <c r="ESK82" s="440" t="n"/>
      <c r="ESL82" s="440" t="n"/>
      <c r="ESM82" s="440" t="n"/>
      <c r="ESN82" s="440" t="n"/>
      <c r="ESO82" s="440" t="n"/>
      <c r="ESP82" s="440" t="n"/>
      <c r="ESQ82" s="440" t="n"/>
      <c r="ESR82" s="440" t="n"/>
      <c r="ESS82" s="440" t="n"/>
      <c r="EST82" s="440" t="n"/>
      <c r="ESU82" s="440" t="n"/>
      <c r="ESV82" s="440" t="n"/>
      <c r="ESW82" s="440" t="n"/>
      <c r="ESX82" s="440" t="n"/>
      <c r="ESY82" s="440" t="n"/>
      <c r="ESZ82" s="440" t="n"/>
      <c r="ETA82" s="440" t="n"/>
      <c r="ETB82" s="440" t="n"/>
      <c r="ETC82" s="440" t="n"/>
      <c r="ETD82" s="440" t="n"/>
      <c r="ETE82" s="440" t="n"/>
      <c r="ETF82" s="440" t="n"/>
      <c r="ETG82" s="440" t="n"/>
      <c r="ETH82" s="440" t="n"/>
      <c r="ETI82" s="440" t="n"/>
      <c r="ETJ82" s="440" t="n"/>
      <c r="ETK82" s="440" t="n"/>
      <c r="ETL82" s="440" t="n"/>
      <c r="ETM82" s="440" t="n"/>
      <c r="ETN82" s="440" t="n"/>
      <c r="ETO82" s="440" t="n"/>
      <c r="ETP82" s="440" t="n"/>
      <c r="ETQ82" s="440" t="n"/>
      <c r="ETR82" s="440" t="n"/>
      <c r="ETS82" s="440" t="n"/>
      <c r="ETT82" s="440" t="n"/>
      <c r="ETU82" s="440" t="n"/>
      <c r="ETV82" s="440" t="n"/>
      <c r="ETW82" s="440" t="n"/>
      <c r="ETX82" s="440" t="n"/>
      <c r="ETY82" s="440" t="n"/>
      <c r="ETZ82" s="440" t="n"/>
      <c r="EUA82" s="440" t="n"/>
      <c r="EUB82" s="440" t="n"/>
      <c r="EUC82" s="440" t="n"/>
      <c r="EUD82" s="440" t="n"/>
      <c r="EUE82" s="440" t="n"/>
      <c r="EUF82" s="440" t="n"/>
      <c r="EUG82" s="440" t="n"/>
      <c r="EUH82" s="440" t="n"/>
      <c r="EUI82" s="440" t="n"/>
      <c r="EUJ82" s="440" t="n"/>
      <c r="EUK82" s="440" t="n"/>
      <c r="EUL82" s="440" t="n"/>
      <c r="EUM82" s="440" t="n"/>
      <c r="EUN82" s="440" t="n"/>
      <c r="EUO82" s="440" t="n"/>
      <c r="EUP82" s="440" t="n"/>
      <c r="EUQ82" s="440" t="n"/>
      <c r="EUR82" s="440" t="n"/>
      <c r="EUS82" s="440" t="n"/>
      <c r="EUT82" s="440" t="n"/>
      <c r="EUU82" s="440" t="n"/>
      <c r="EUV82" s="440" t="n"/>
      <c r="EUW82" s="440" t="n"/>
      <c r="EUX82" s="440" t="n"/>
      <c r="EUY82" s="440" t="n"/>
      <c r="EUZ82" s="440" t="n"/>
      <c r="EVA82" s="440" t="n"/>
      <c r="EVB82" s="440" t="n"/>
      <c r="EVC82" s="440" t="n"/>
      <c r="EVD82" s="440" t="n"/>
      <c r="EVE82" s="440" t="n"/>
      <c r="EVF82" s="440" t="n"/>
      <c r="EVG82" s="440" t="n"/>
      <c r="EVH82" s="440" t="n"/>
      <c r="EVI82" s="440" t="n"/>
      <c r="EVJ82" s="440" t="n"/>
      <c r="EVK82" s="440" t="n"/>
      <c r="EVL82" s="440" t="n"/>
      <c r="EVM82" s="440" t="n"/>
      <c r="EVN82" s="440" t="n"/>
      <c r="EVO82" s="440" t="n"/>
      <c r="EVP82" s="440" t="n"/>
      <c r="EVQ82" s="440" t="n"/>
      <c r="EVR82" s="440" t="n"/>
      <c r="EVS82" s="440" t="n"/>
      <c r="EVT82" s="440" t="n"/>
      <c r="EVU82" s="440" t="n"/>
      <c r="EVV82" s="440" t="n"/>
      <c r="EVW82" s="440" t="n"/>
      <c r="EVX82" s="440" t="n"/>
      <c r="EVY82" s="440" t="n"/>
      <c r="EVZ82" s="440" t="n"/>
      <c r="EWA82" s="440" t="n"/>
      <c r="EWB82" s="440" t="n"/>
      <c r="EWC82" s="440" t="n"/>
      <c r="EWD82" s="440" t="n"/>
      <c r="EWE82" s="440" t="n"/>
      <c r="EWF82" s="440" t="n"/>
      <c r="EWG82" s="440" t="n"/>
      <c r="EWH82" s="440" t="n"/>
      <c r="EWI82" s="440" t="n"/>
      <c r="EWJ82" s="440" t="n"/>
      <c r="EWK82" s="440" t="n"/>
      <c r="EWL82" s="440" t="n"/>
      <c r="EWM82" s="440" t="n"/>
      <c r="EWN82" s="440" t="n"/>
      <c r="EWO82" s="440" t="n"/>
      <c r="EWP82" s="440" t="n"/>
      <c r="EWQ82" s="440" t="n"/>
      <c r="EWR82" s="440" t="n"/>
      <c r="EWS82" s="440" t="n"/>
      <c r="EWT82" s="440" t="n"/>
      <c r="EWU82" s="440" t="n"/>
      <c r="EWV82" s="440" t="n"/>
      <c r="EWW82" s="440" t="n"/>
      <c r="EWX82" s="440" t="n"/>
      <c r="EWY82" s="440" t="n"/>
      <c r="EWZ82" s="440" t="n"/>
      <c r="EXA82" s="440" t="n"/>
      <c r="EXB82" s="440" t="n"/>
      <c r="EXC82" s="440" t="n"/>
      <c r="EXD82" s="440" t="n"/>
      <c r="EXE82" s="440" t="n"/>
      <c r="EXF82" s="440" t="n"/>
      <c r="EXG82" s="440" t="n"/>
      <c r="EXH82" s="440" t="n"/>
      <c r="EXI82" s="440" t="n"/>
      <c r="EXJ82" s="440" t="n"/>
      <c r="EXK82" s="440" t="n"/>
      <c r="EXL82" s="440" t="n"/>
      <c r="EXM82" s="440" t="n"/>
      <c r="EXN82" s="440" t="n"/>
      <c r="EXO82" s="440" t="n"/>
      <c r="EXP82" s="440" t="n"/>
      <c r="EXQ82" s="440" t="n"/>
      <c r="EXR82" s="440" t="n"/>
      <c r="EXS82" s="440" t="n"/>
      <c r="EXT82" s="440" t="n"/>
      <c r="EXU82" s="440" t="n"/>
      <c r="EXV82" s="440" t="n"/>
      <c r="EXW82" s="440" t="n"/>
      <c r="EXX82" s="440" t="n"/>
      <c r="EXY82" s="440" t="n"/>
      <c r="EXZ82" s="440" t="n"/>
      <c r="EYA82" s="440" t="n"/>
      <c r="EYB82" s="440" t="n"/>
      <c r="EYC82" s="440" t="n"/>
      <c r="EYD82" s="440" t="n"/>
      <c r="EYE82" s="440" t="n"/>
      <c r="EYF82" s="440" t="n"/>
      <c r="EYG82" s="440" t="n"/>
      <c r="EYH82" s="440" t="n"/>
      <c r="EYI82" s="440" t="n"/>
      <c r="EYJ82" s="440" t="n"/>
      <c r="EYK82" s="440" t="n"/>
      <c r="EYL82" s="440" t="n"/>
      <c r="EYM82" s="440" t="n"/>
      <c r="EYN82" s="440" t="n"/>
      <c r="EYO82" s="440" t="n"/>
      <c r="EYP82" s="440" t="n"/>
      <c r="EYQ82" s="440" t="n"/>
      <c r="EYR82" s="440" t="n"/>
      <c r="EYS82" s="440" t="n"/>
      <c r="EYT82" s="440" t="n"/>
      <c r="EYU82" s="440" t="n"/>
      <c r="EYV82" s="440" t="n"/>
      <c r="EYW82" s="440" t="n"/>
      <c r="EYX82" s="440" t="n"/>
      <c r="EYY82" s="440" t="n"/>
      <c r="EYZ82" s="440" t="n"/>
      <c r="EZA82" s="440" t="n"/>
      <c r="EZB82" s="440" t="n"/>
      <c r="EZC82" s="440" t="n"/>
      <c r="EZD82" s="440" t="n"/>
      <c r="EZE82" s="440" t="n"/>
      <c r="EZF82" s="440" t="n"/>
      <c r="EZG82" s="440" t="n"/>
      <c r="EZH82" s="440" t="n"/>
      <c r="EZI82" s="440" t="n"/>
      <c r="EZJ82" s="440" t="n"/>
      <c r="EZK82" s="440" t="n"/>
      <c r="EZL82" s="440" t="n"/>
      <c r="EZM82" s="440" t="n"/>
      <c r="EZN82" s="440" t="n"/>
      <c r="EZO82" s="440" t="n"/>
      <c r="EZP82" s="440" t="n"/>
      <c r="EZQ82" s="440" t="n"/>
      <c r="EZR82" s="440" t="n"/>
      <c r="EZS82" s="440" t="n"/>
      <c r="EZT82" s="440" t="n"/>
      <c r="EZU82" s="440" t="n"/>
      <c r="EZV82" s="440" t="n"/>
      <c r="EZW82" s="440" t="n"/>
      <c r="EZX82" s="440" t="n"/>
      <c r="EZY82" s="440" t="n"/>
      <c r="EZZ82" s="440" t="n"/>
      <c r="FAA82" s="440" t="n"/>
      <c r="FAB82" s="440" t="n"/>
      <c r="FAC82" s="440" t="n"/>
      <c r="FAD82" s="440" t="n"/>
      <c r="FAE82" s="440" t="n"/>
      <c r="FAF82" s="440" t="n"/>
      <c r="FAG82" s="440" t="n"/>
      <c r="FAH82" s="440" t="n"/>
      <c r="FAI82" s="440" t="n"/>
      <c r="FAJ82" s="440" t="n"/>
      <c r="FAK82" s="440" t="n"/>
      <c r="FAL82" s="440" t="n"/>
      <c r="FAM82" s="440" t="n"/>
      <c r="FAN82" s="440" t="n"/>
      <c r="FAO82" s="440" t="n"/>
      <c r="FAP82" s="440" t="n"/>
      <c r="FAQ82" s="440" t="n"/>
      <c r="FAR82" s="440" t="n"/>
      <c r="FAS82" s="440" t="n"/>
      <c r="FAT82" s="440" t="n"/>
      <c r="FAU82" s="440" t="n"/>
      <c r="FAV82" s="440" t="n"/>
      <c r="FAW82" s="440" t="n"/>
      <c r="FAX82" s="440" t="n"/>
      <c r="FAY82" s="440" t="n"/>
      <c r="FAZ82" s="440" t="n"/>
      <c r="FBA82" s="440" t="n"/>
      <c r="FBB82" s="440" t="n"/>
      <c r="FBC82" s="440" t="n"/>
      <c r="FBD82" s="440" t="n"/>
      <c r="FBE82" s="440" t="n"/>
      <c r="FBF82" s="440" t="n"/>
      <c r="FBG82" s="440" t="n"/>
      <c r="FBH82" s="440" t="n"/>
      <c r="FBI82" s="440" t="n"/>
      <c r="FBJ82" s="440" t="n"/>
      <c r="FBK82" s="440" t="n"/>
      <c r="FBL82" s="440" t="n"/>
      <c r="FBM82" s="440" t="n"/>
      <c r="FBN82" s="440" t="n"/>
      <c r="FBO82" s="440" t="n"/>
      <c r="FBP82" s="440" t="n"/>
      <c r="FBQ82" s="440" t="n"/>
      <c r="FBR82" s="440" t="n"/>
      <c r="FBS82" s="440" t="n"/>
      <c r="FBT82" s="440" t="n"/>
      <c r="FBU82" s="440" t="n"/>
      <c r="FBV82" s="440" t="n"/>
      <c r="FBW82" s="440" t="n"/>
      <c r="FBX82" s="440" t="n"/>
      <c r="FBY82" s="440" t="n"/>
      <c r="FBZ82" s="440" t="n"/>
      <c r="FCA82" s="440" t="n"/>
      <c r="FCB82" s="440" t="n"/>
      <c r="FCC82" s="440" t="n"/>
      <c r="FCD82" s="440" t="n"/>
      <c r="FCE82" s="440" t="n"/>
      <c r="FCF82" s="440" t="n"/>
      <c r="FCG82" s="440" t="n"/>
      <c r="FCH82" s="440" t="n"/>
      <c r="FCI82" s="440" t="n"/>
      <c r="FCJ82" s="440" t="n"/>
      <c r="FCK82" s="440" t="n"/>
      <c r="FCL82" s="440" t="n"/>
      <c r="FCM82" s="440" t="n"/>
      <c r="FCN82" s="440" t="n"/>
      <c r="FCO82" s="440" t="n"/>
      <c r="FCP82" s="440" t="n"/>
      <c r="FCQ82" s="440" t="n"/>
      <c r="FCR82" s="440" t="n"/>
      <c r="FCS82" s="440" t="n"/>
      <c r="FCT82" s="440" t="n"/>
      <c r="FCU82" s="440" t="n"/>
      <c r="FCV82" s="440" t="n"/>
      <c r="FCW82" s="440" t="n"/>
      <c r="FCX82" s="440" t="n"/>
      <c r="FCY82" s="440" t="n"/>
      <c r="FCZ82" s="440" t="n"/>
      <c r="FDA82" s="440" t="n"/>
      <c r="FDB82" s="440" t="n"/>
      <c r="FDC82" s="440" t="n"/>
      <c r="FDD82" s="440" t="n"/>
      <c r="FDE82" s="440" t="n"/>
      <c r="FDF82" s="440" t="n"/>
      <c r="FDG82" s="440" t="n"/>
      <c r="FDH82" s="440" t="n"/>
      <c r="FDI82" s="440" t="n"/>
      <c r="FDJ82" s="440" t="n"/>
      <c r="FDK82" s="440" t="n"/>
      <c r="FDL82" s="440" t="n"/>
      <c r="FDM82" s="440" t="n"/>
      <c r="FDN82" s="440" t="n"/>
      <c r="FDO82" s="440" t="n"/>
      <c r="FDP82" s="440" t="n"/>
      <c r="FDQ82" s="440" t="n"/>
      <c r="FDR82" s="440" t="n"/>
      <c r="FDS82" s="440" t="n"/>
      <c r="FDT82" s="440" t="n"/>
      <c r="FDU82" s="440" t="n"/>
      <c r="FDV82" s="440" t="n"/>
      <c r="FDW82" s="440" t="n"/>
      <c r="FDX82" s="440" t="n"/>
      <c r="FDY82" s="440" t="n"/>
      <c r="FDZ82" s="440" t="n"/>
      <c r="FEA82" s="440" t="n"/>
      <c r="FEB82" s="440" t="n"/>
      <c r="FEC82" s="440" t="n"/>
      <c r="FED82" s="440" t="n"/>
      <c r="FEE82" s="440" t="n"/>
      <c r="FEF82" s="440" t="n"/>
      <c r="FEG82" s="440" t="n"/>
      <c r="FEH82" s="440" t="n"/>
      <c r="FEI82" s="440" t="n"/>
      <c r="FEJ82" s="440" t="n"/>
      <c r="FEK82" s="440" t="n"/>
      <c r="FEL82" s="440" t="n"/>
      <c r="FEM82" s="440" t="n"/>
      <c r="FEN82" s="440" t="n"/>
      <c r="FEO82" s="440" t="n"/>
      <c r="FEP82" s="440" t="n"/>
      <c r="FEQ82" s="440" t="n"/>
      <c r="FER82" s="440" t="n"/>
      <c r="FES82" s="440" t="n"/>
      <c r="FET82" s="440" t="n"/>
      <c r="FEU82" s="440" t="n"/>
      <c r="FEV82" s="440" t="n"/>
      <c r="FEW82" s="440" t="n"/>
      <c r="FEX82" s="440" t="n"/>
      <c r="FEY82" s="440" t="n"/>
      <c r="FEZ82" s="440" t="n"/>
      <c r="FFA82" s="440" t="n"/>
      <c r="FFB82" s="440" t="n"/>
      <c r="FFC82" s="440" t="n"/>
      <c r="FFD82" s="440" t="n"/>
      <c r="FFE82" s="440" t="n"/>
      <c r="FFF82" s="440" t="n"/>
      <c r="FFG82" s="440" t="n"/>
      <c r="FFH82" s="440" t="n"/>
      <c r="FFI82" s="440" t="n"/>
      <c r="FFJ82" s="440" t="n"/>
      <c r="FFK82" s="440" t="n"/>
      <c r="FFL82" s="440" t="n"/>
      <c r="FFM82" s="440" t="n"/>
      <c r="FFN82" s="440" t="n"/>
      <c r="FFO82" s="440" t="n"/>
      <c r="FFP82" s="440" t="n"/>
      <c r="FFQ82" s="440" t="n"/>
      <c r="FFR82" s="440" t="n"/>
      <c r="FFS82" s="440" t="n"/>
      <c r="FFT82" s="440" t="n"/>
      <c r="FFU82" s="440" t="n"/>
      <c r="FFV82" s="440" t="n"/>
      <c r="FFW82" s="440" t="n"/>
      <c r="FFX82" s="440" t="n"/>
      <c r="FFY82" s="440" t="n"/>
      <c r="FFZ82" s="440" t="n"/>
      <c r="FGA82" s="440" t="n"/>
      <c r="FGB82" s="440" t="n"/>
      <c r="FGC82" s="440" t="n"/>
      <c r="FGD82" s="440" t="n"/>
      <c r="FGE82" s="440" t="n"/>
      <c r="FGF82" s="440" t="n"/>
      <c r="FGG82" s="440" t="n"/>
      <c r="FGH82" s="440" t="n"/>
      <c r="FGI82" s="440" t="n"/>
      <c r="FGJ82" s="440" t="n"/>
      <c r="FGK82" s="440" t="n"/>
      <c r="FGL82" s="440" t="n"/>
      <c r="FGM82" s="440" t="n"/>
      <c r="FGN82" s="440" t="n"/>
      <c r="FGO82" s="440" t="n"/>
      <c r="FGP82" s="440" t="n"/>
      <c r="FGQ82" s="440" t="n"/>
      <c r="FGR82" s="440" t="n"/>
      <c r="FGS82" s="440" t="n"/>
      <c r="FGT82" s="440" t="n"/>
      <c r="FGU82" s="440" t="n"/>
      <c r="FGV82" s="440" t="n"/>
      <c r="FGW82" s="440" t="n"/>
      <c r="FGX82" s="440" t="n"/>
      <c r="FGY82" s="440" t="n"/>
      <c r="FGZ82" s="440" t="n"/>
      <c r="FHA82" s="440" t="n"/>
      <c r="FHB82" s="440" t="n"/>
      <c r="FHC82" s="440" t="n"/>
      <c r="FHD82" s="440" t="n"/>
      <c r="FHE82" s="440" t="n"/>
      <c r="FHF82" s="440" t="n"/>
      <c r="FHG82" s="440" t="n"/>
      <c r="FHH82" s="440" t="n"/>
      <c r="FHI82" s="440" t="n"/>
      <c r="FHJ82" s="440" t="n"/>
      <c r="FHK82" s="440" t="n"/>
      <c r="FHL82" s="440" t="n"/>
      <c r="FHM82" s="440" t="n"/>
      <c r="FHN82" s="440" t="n"/>
      <c r="FHO82" s="440" t="n"/>
      <c r="FHP82" s="440" t="n"/>
      <c r="FHQ82" s="440" t="n"/>
      <c r="FHR82" s="440" t="n"/>
      <c r="FHS82" s="440" t="n"/>
      <c r="FHT82" s="440" t="n"/>
      <c r="FHU82" s="440" t="n"/>
      <c r="FHV82" s="440" t="n"/>
      <c r="FHW82" s="440" t="n"/>
      <c r="FHX82" s="440" t="n"/>
      <c r="FHY82" s="440" t="n"/>
      <c r="FHZ82" s="440" t="n"/>
      <c r="FIA82" s="440" t="n"/>
      <c r="FIB82" s="440" t="n"/>
      <c r="FIC82" s="440" t="n"/>
      <c r="FID82" s="440" t="n"/>
      <c r="FIE82" s="440" t="n"/>
      <c r="FIF82" s="440" t="n"/>
      <c r="FIG82" s="440" t="n"/>
      <c r="FIH82" s="440" t="n"/>
      <c r="FII82" s="440" t="n"/>
      <c r="FIJ82" s="440" t="n"/>
      <c r="FIK82" s="440" t="n"/>
      <c r="FIL82" s="440" t="n"/>
      <c r="FIM82" s="440" t="n"/>
      <c r="FIN82" s="440" t="n"/>
      <c r="FIO82" s="440" t="n"/>
      <c r="FIP82" s="440" t="n"/>
      <c r="FIQ82" s="440" t="n"/>
      <c r="FIR82" s="440" t="n"/>
      <c r="FIS82" s="440" t="n"/>
      <c r="FIT82" s="440" t="n"/>
      <c r="FIU82" s="440" t="n"/>
      <c r="FIV82" s="440" t="n"/>
      <c r="FIW82" s="440" t="n"/>
      <c r="FIX82" s="440" t="n"/>
      <c r="FIY82" s="440" t="n"/>
      <c r="FIZ82" s="440" t="n"/>
      <c r="FJA82" s="440" t="n"/>
      <c r="FJB82" s="440" t="n"/>
      <c r="FJC82" s="440" t="n"/>
      <c r="FJD82" s="440" t="n"/>
      <c r="FJE82" s="440" t="n"/>
      <c r="FJF82" s="440" t="n"/>
      <c r="FJG82" s="440" t="n"/>
      <c r="FJH82" s="440" t="n"/>
      <c r="FJI82" s="440" t="n"/>
      <c r="FJJ82" s="440" t="n"/>
      <c r="FJK82" s="440" t="n"/>
      <c r="FJL82" s="440" t="n"/>
      <c r="FJM82" s="440" t="n"/>
      <c r="FJN82" s="440" t="n"/>
      <c r="FJO82" s="440" t="n"/>
      <c r="FJP82" s="440" t="n"/>
      <c r="FJQ82" s="440" t="n"/>
      <c r="FJR82" s="440" t="n"/>
      <c r="FJS82" s="440" t="n"/>
      <c r="FJT82" s="440" t="n"/>
      <c r="FJU82" s="440" t="n"/>
      <c r="FJV82" s="440" t="n"/>
      <c r="FJW82" s="440" t="n"/>
      <c r="FJX82" s="440" t="n"/>
      <c r="FJY82" s="440" t="n"/>
      <c r="FJZ82" s="440" t="n"/>
      <c r="FKA82" s="440" t="n"/>
      <c r="FKB82" s="440" t="n"/>
      <c r="FKC82" s="440" t="n"/>
      <c r="FKD82" s="440" t="n"/>
      <c r="FKE82" s="440" t="n"/>
      <c r="FKF82" s="440" t="n"/>
      <c r="FKG82" s="440" t="n"/>
      <c r="FKH82" s="440" t="n"/>
      <c r="FKI82" s="440" t="n"/>
      <c r="FKJ82" s="440" t="n"/>
      <c r="FKK82" s="440" t="n"/>
      <c r="FKL82" s="440" t="n"/>
      <c r="FKM82" s="440" t="n"/>
      <c r="FKN82" s="440" t="n"/>
      <c r="FKO82" s="440" t="n"/>
      <c r="FKP82" s="440" t="n"/>
      <c r="FKQ82" s="440" t="n"/>
      <c r="FKR82" s="440" t="n"/>
      <c r="FKS82" s="440" t="n"/>
      <c r="FKT82" s="440" t="n"/>
      <c r="FKU82" s="440" t="n"/>
      <c r="FKV82" s="440" t="n"/>
      <c r="FKW82" s="440" t="n"/>
      <c r="FKX82" s="440" t="n"/>
      <c r="FKY82" s="440" t="n"/>
      <c r="FKZ82" s="440" t="n"/>
      <c r="FLA82" s="440" t="n"/>
      <c r="FLB82" s="440" t="n"/>
      <c r="FLC82" s="440" t="n"/>
      <c r="FLD82" s="440" t="n"/>
      <c r="FLE82" s="440" t="n"/>
      <c r="FLF82" s="440" t="n"/>
      <c r="FLG82" s="440" t="n"/>
      <c r="FLH82" s="440" t="n"/>
      <c r="FLI82" s="440" t="n"/>
      <c r="FLJ82" s="440" t="n"/>
      <c r="FLK82" s="440" t="n"/>
      <c r="FLL82" s="440" t="n"/>
      <c r="FLM82" s="440" t="n"/>
      <c r="FLN82" s="440" t="n"/>
      <c r="FLO82" s="440" t="n"/>
      <c r="FLP82" s="440" t="n"/>
      <c r="FLQ82" s="440" t="n"/>
      <c r="FLR82" s="440" t="n"/>
      <c r="FLS82" s="440" t="n"/>
      <c r="FLT82" s="440" t="n"/>
      <c r="FLU82" s="440" t="n"/>
      <c r="FLV82" s="440" t="n"/>
      <c r="FLW82" s="440" t="n"/>
      <c r="FLX82" s="440" t="n"/>
      <c r="FLY82" s="440" t="n"/>
      <c r="FLZ82" s="440" t="n"/>
      <c r="FMA82" s="440" t="n"/>
      <c r="FMB82" s="440" t="n"/>
      <c r="FMC82" s="440" t="n"/>
      <c r="FMD82" s="440" t="n"/>
      <c r="FME82" s="440" t="n"/>
      <c r="FMF82" s="440" t="n"/>
      <c r="FMG82" s="440" t="n"/>
      <c r="FMH82" s="440" t="n"/>
      <c r="FMI82" s="440" t="n"/>
      <c r="FMJ82" s="440" t="n"/>
      <c r="FMK82" s="440" t="n"/>
      <c r="FML82" s="440" t="n"/>
      <c r="FMM82" s="440" t="n"/>
      <c r="FMN82" s="440" t="n"/>
      <c r="FMO82" s="440" t="n"/>
      <c r="FMP82" s="440" t="n"/>
      <c r="FMQ82" s="440" t="n"/>
      <c r="FMR82" s="440" t="n"/>
      <c r="FMS82" s="440" t="n"/>
      <c r="FMT82" s="440" t="n"/>
      <c r="FMU82" s="440" t="n"/>
      <c r="FMV82" s="440" t="n"/>
      <c r="FMW82" s="440" t="n"/>
      <c r="FMX82" s="440" t="n"/>
      <c r="FMY82" s="440" t="n"/>
      <c r="FMZ82" s="440" t="n"/>
      <c r="FNA82" s="440" t="n"/>
      <c r="FNB82" s="440" t="n"/>
      <c r="FNC82" s="440" t="n"/>
      <c r="FND82" s="440" t="n"/>
      <c r="FNE82" s="440" t="n"/>
      <c r="FNF82" s="440" t="n"/>
      <c r="FNG82" s="440" t="n"/>
      <c r="FNH82" s="440" t="n"/>
      <c r="FNI82" s="440" t="n"/>
      <c r="FNJ82" s="440" t="n"/>
      <c r="FNK82" s="440" t="n"/>
      <c r="FNL82" s="440" t="n"/>
      <c r="FNM82" s="440" t="n"/>
      <c r="FNN82" s="440" t="n"/>
      <c r="FNO82" s="440" t="n"/>
      <c r="FNP82" s="440" t="n"/>
      <c r="FNQ82" s="440" t="n"/>
      <c r="FNR82" s="440" t="n"/>
      <c r="FNS82" s="440" t="n"/>
      <c r="FNT82" s="440" t="n"/>
      <c r="FNU82" s="440" t="n"/>
      <c r="FNV82" s="440" t="n"/>
      <c r="FNW82" s="440" t="n"/>
      <c r="FNX82" s="440" t="n"/>
      <c r="FNY82" s="440" t="n"/>
      <c r="FNZ82" s="440" t="n"/>
      <c r="FOA82" s="440" t="n"/>
      <c r="FOB82" s="440" t="n"/>
      <c r="FOC82" s="440" t="n"/>
      <c r="FOD82" s="440" t="n"/>
      <c r="FOE82" s="440" t="n"/>
      <c r="FOF82" s="440" t="n"/>
      <c r="FOG82" s="440" t="n"/>
      <c r="FOH82" s="440" t="n"/>
      <c r="FOI82" s="440" t="n"/>
      <c r="FOJ82" s="440" t="n"/>
      <c r="FOK82" s="440" t="n"/>
      <c r="FOL82" s="440" t="n"/>
      <c r="FOM82" s="440" t="n"/>
      <c r="FON82" s="440" t="n"/>
      <c r="FOO82" s="440" t="n"/>
      <c r="FOP82" s="440" t="n"/>
      <c r="FOQ82" s="440" t="n"/>
      <c r="FOR82" s="440" t="n"/>
      <c r="FOS82" s="440" t="n"/>
      <c r="FOT82" s="440" t="n"/>
      <c r="FOU82" s="440" t="n"/>
      <c r="FOV82" s="440" t="n"/>
      <c r="FOW82" s="440" t="n"/>
      <c r="FOX82" s="440" t="n"/>
      <c r="FOY82" s="440" t="n"/>
      <c r="FOZ82" s="440" t="n"/>
      <c r="FPA82" s="440" t="n"/>
      <c r="FPB82" s="440" t="n"/>
      <c r="FPC82" s="440" t="n"/>
      <c r="FPD82" s="440" t="n"/>
      <c r="FPE82" s="440" t="n"/>
      <c r="FPF82" s="440" t="n"/>
      <c r="FPG82" s="440" t="n"/>
      <c r="FPH82" s="440" t="n"/>
      <c r="FPI82" s="440" t="n"/>
      <c r="FPJ82" s="440" t="n"/>
      <c r="FPK82" s="440" t="n"/>
      <c r="FPL82" s="440" t="n"/>
      <c r="FPM82" s="440" t="n"/>
      <c r="FPN82" s="440" t="n"/>
      <c r="FPO82" s="440" t="n"/>
      <c r="FPP82" s="440" t="n"/>
      <c r="FPQ82" s="440" t="n"/>
      <c r="FPR82" s="440" t="n"/>
      <c r="FPS82" s="440" t="n"/>
      <c r="FPT82" s="440" t="n"/>
      <c r="FPU82" s="440" t="n"/>
      <c r="FPV82" s="440" t="n"/>
      <c r="FPW82" s="440" t="n"/>
      <c r="FPX82" s="440" t="n"/>
      <c r="FPY82" s="440" t="n"/>
      <c r="FPZ82" s="440" t="n"/>
      <c r="FQA82" s="440" t="n"/>
      <c r="FQB82" s="440" t="n"/>
      <c r="FQC82" s="440" t="n"/>
      <c r="FQD82" s="440" t="n"/>
      <c r="FQE82" s="440" t="n"/>
      <c r="FQF82" s="440" t="n"/>
      <c r="FQG82" s="440" t="n"/>
      <c r="FQH82" s="440" t="n"/>
      <c r="FQI82" s="440" t="n"/>
      <c r="FQJ82" s="440" t="n"/>
      <c r="FQK82" s="440" t="n"/>
      <c r="FQL82" s="440" t="n"/>
      <c r="FQM82" s="440" t="n"/>
      <c r="FQN82" s="440" t="n"/>
      <c r="FQO82" s="440" t="n"/>
      <c r="FQP82" s="440" t="n"/>
      <c r="FQQ82" s="440" t="n"/>
      <c r="FQR82" s="440" t="n"/>
      <c r="FQS82" s="440" t="n"/>
      <c r="FQT82" s="440" t="n"/>
      <c r="FQU82" s="440" t="n"/>
      <c r="FQV82" s="440" t="n"/>
      <c r="FQW82" s="440" t="n"/>
      <c r="FQX82" s="440" t="n"/>
      <c r="FQY82" s="440" t="n"/>
      <c r="FQZ82" s="440" t="n"/>
      <c r="FRA82" s="440" t="n"/>
      <c r="FRB82" s="440" t="n"/>
      <c r="FRC82" s="440" t="n"/>
      <c r="FRD82" s="440" t="n"/>
      <c r="FRE82" s="440" t="n"/>
      <c r="FRF82" s="440" t="n"/>
      <c r="FRG82" s="440" t="n"/>
      <c r="FRH82" s="440" t="n"/>
      <c r="FRI82" s="440" t="n"/>
      <c r="FRJ82" s="440" t="n"/>
      <c r="FRK82" s="440" t="n"/>
      <c r="FRL82" s="440" t="n"/>
      <c r="FRM82" s="440" t="n"/>
      <c r="FRN82" s="440" t="n"/>
      <c r="FRO82" s="440" t="n"/>
      <c r="FRP82" s="440" t="n"/>
      <c r="FRQ82" s="440" t="n"/>
      <c r="FRR82" s="440" t="n"/>
      <c r="FRS82" s="440" t="n"/>
      <c r="FRT82" s="440" t="n"/>
      <c r="FRU82" s="440" t="n"/>
      <c r="FRV82" s="440" t="n"/>
      <c r="FRW82" s="440" t="n"/>
      <c r="FRX82" s="440" t="n"/>
      <c r="FRY82" s="440" t="n"/>
      <c r="FRZ82" s="440" t="n"/>
      <c r="FSA82" s="440" t="n"/>
      <c r="FSB82" s="440" t="n"/>
      <c r="FSC82" s="440" t="n"/>
      <c r="FSD82" s="440" t="n"/>
      <c r="FSE82" s="440" t="n"/>
      <c r="FSF82" s="440" t="n"/>
      <c r="FSG82" s="440" t="n"/>
      <c r="FSH82" s="440" t="n"/>
      <c r="FSI82" s="440" t="n"/>
      <c r="FSJ82" s="440" t="n"/>
      <c r="FSK82" s="440" t="n"/>
      <c r="FSL82" s="440" t="n"/>
      <c r="FSM82" s="440" t="n"/>
      <c r="FSN82" s="440" t="n"/>
      <c r="FSO82" s="440" t="n"/>
      <c r="FSP82" s="440" t="n"/>
      <c r="FSQ82" s="440" t="n"/>
      <c r="FSR82" s="440" t="n"/>
      <c r="FSS82" s="440" t="n"/>
      <c r="FST82" s="440" t="n"/>
      <c r="FSU82" s="440" t="n"/>
      <c r="FSV82" s="440" t="n"/>
      <c r="FSW82" s="440" t="n"/>
      <c r="FSX82" s="440" t="n"/>
      <c r="FSY82" s="440" t="n"/>
      <c r="FSZ82" s="440" t="n"/>
      <c r="FTA82" s="440" t="n"/>
      <c r="FTB82" s="440" t="n"/>
      <c r="FTC82" s="440" t="n"/>
      <c r="FTD82" s="440" t="n"/>
      <c r="FTE82" s="440" t="n"/>
      <c r="FTF82" s="440" t="n"/>
      <c r="FTG82" s="440" t="n"/>
      <c r="FTH82" s="440" t="n"/>
      <c r="FTI82" s="440" t="n"/>
      <c r="FTJ82" s="440" t="n"/>
      <c r="FTK82" s="440" t="n"/>
      <c r="FTL82" s="440" t="n"/>
      <c r="FTM82" s="440" t="n"/>
      <c r="FTN82" s="440" t="n"/>
      <c r="FTO82" s="440" t="n"/>
      <c r="FTP82" s="440" t="n"/>
      <c r="FTQ82" s="440" t="n"/>
      <c r="FTR82" s="440" t="n"/>
      <c r="FTS82" s="440" t="n"/>
      <c r="FTT82" s="440" t="n"/>
      <c r="FTU82" s="440" t="n"/>
      <c r="FTV82" s="440" t="n"/>
      <c r="FTW82" s="440" t="n"/>
      <c r="FTX82" s="440" t="n"/>
      <c r="FTY82" s="440" t="n"/>
      <c r="FTZ82" s="440" t="n"/>
      <c r="FUA82" s="440" t="n"/>
      <c r="FUB82" s="440" t="n"/>
      <c r="FUC82" s="440" t="n"/>
      <c r="FUD82" s="440" t="n"/>
      <c r="FUE82" s="440" t="n"/>
      <c r="FUF82" s="440" t="n"/>
      <c r="FUG82" s="440" t="n"/>
      <c r="FUH82" s="440" t="n"/>
      <c r="FUI82" s="440" t="n"/>
      <c r="FUJ82" s="440" t="n"/>
      <c r="FUK82" s="440" t="n"/>
      <c r="FUL82" s="440" t="n"/>
      <c r="FUM82" s="440" t="n"/>
      <c r="FUN82" s="440" t="n"/>
      <c r="FUO82" s="440" t="n"/>
      <c r="FUP82" s="440" t="n"/>
      <c r="FUQ82" s="440" t="n"/>
      <c r="FUR82" s="440" t="n"/>
      <c r="FUS82" s="440" t="n"/>
      <c r="FUT82" s="440" t="n"/>
      <c r="FUU82" s="440" t="n"/>
      <c r="FUV82" s="440" t="n"/>
      <c r="FUW82" s="440" t="n"/>
      <c r="FUX82" s="440" t="n"/>
      <c r="FUY82" s="440" t="n"/>
      <c r="FUZ82" s="440" t="n"/>
      <c r="FVA82" s="440" t="n"/>
      <c r="FVB82" s="440" t="n"/>
      <c r="FVC82" s="440" t="n"/>
      <c r="FVD82" s="440" t="n"/>
      <c r="FVE82" s="440" t="n"/>
      <c r="FVF82" s="440" t="n"/>
      <c r="FVG82" s="440" t="n"/>
      <c r="FVH82" s="440" t="n"/>
      <c r="FVI82" s="440" t="n"/>
      <c r="FVJ82" s="440" t="n"/>
      <c r="FVK82" s="440" t="n"/>
      <c r="FVL82" s="440" t="n"/>
      <c r="FVM82" s="440" t="n"/>
      <c r="FVN82" s="440" t="n"/>
      <c r="FVO82" s="440" t="n"/>
      <c r="FVP82" s="440" t="n"/>
      <c r="FVQ82" s="440" t="n"/>
      <c r="FVR82" s="440" t="n"/>
      <c r="FVS82" s="440" t="n"/>
      <c r="FVT82" s="440" t="n"/>
      <c r="FVU82" s="440" t="n"/>
      <c r="FVV82" s="440" t="n"/>
      <c r="FVW82" s="440" t="n"/>
      <c r="FVX82" s="440" t="n"/>
      <c r="FVY82" s="440" t="n"/>
      <c r="FVZ82" s="440" t="n"/>
      <c r="FWA82" s="440" t="n"/>
      <c r="FWB82" s="440" t="n"/>
      <c r="FWC82" s="440" t="n"/>
      <c r="FWD82" s="440" t="n"/>
      <c r="FWE82" s="440" t="n"/>
      <c r="FWF82" s="440" t="n"/>
      <c r="FWG82" s="440" t="n"/>
      <c r="FWH82" s="440" t="n"/>
      <c r="FWI82" s="440" t="n"/>
      <c r="FWJ82" s="440" t="n"/>
      <c r="FWK82" s="440" t="n"/>
      <c r="FWL82" s="440" t="n"/>
      <c r="FWM82" s="440" t="n"/>
      <c r="FWN82" s="440" t="n"/>
      <c r="FWO82" s="440" t="n"/>
      <c r="FWP82" s="440" t="n"/>
      <c r="FWQ82" s="440" t="n"/>
      <c r="FWR82" s="440" t="n"/>
      <c r="FWS82" s="440" t="n"/>
      <c r="FWT82" s="440" t="n"/>
      <c r="FWU82" s="440" t="n"/>
      <c r="FWV82" s="440" t="n"/>
      <c r="FWW82" s="440" t="n"/>
      <c r="FWX82" s="440" t="n"/>
      <c r="FWY82" s="440" t="n"/>
      <c r="FWZ82" s="440" t="n"/>
      <c r="FXA82" s="440" t="n"/>
      <c r="FXB82" s="440" t="n"/>
      <c r="FXC82" s="440" t="n"/>
      <c r="FXD82" s="440" t="n"/>
      <c r="FXE82" s="440" t="n"/>
      <c r="FXF82" s="440" t="n"/>
      <c r="FXG82" s="440" t="n"/>
      <c r="FXH82" s="440" t="n"/>
      <c r="FXI82" s="440" t="n"/>
      <c r="FXJ82" s="440" t="n"/>
      <c r="FXK82" s="440" t="n"/>
      <c r="FXL82" s="440" t="n"/>
      <c r="FXM82" s="440" t="n"/>
      <c r="FXN82" s="440" t="n"/>
      <c r="FXO82" s="440" t="n"/>
      <c r="FXP82" s="440" t="n"/>
      <c r="FXQ82" s="440" t="n"/>
      <c r="FXR82" s="440" t="n"/>
      <c r="FXS82" s="440" t="n"/>
      <c r="FXT82" s="440" t="n"/>
      <c r="FXU82" s="440" t="n"/>
      <c r="FXV82" s="440" t="n"/>
      <c r="FXW82" s="440" t="n"/>
      <c r="FXX82" s="440" t="n"/>
      <c r="FXY82" s="440" t="n"/>
      <c r="FXZ82" s="440" t="n"/>
      <c r="FYA82" s="440" t="n"/>
      <c r="FYB82" s="440" t="n"/>
      <c r="FYC82" s="440" t="n"/>
      <c r="FYD82" s="440" t="n"/>
      <c r="FYE82" s="440" t="n"/>
      <c r="FYF82" s="440" t="n"/>
      <c r="FYG82" s="440" t="n"/>
      <c r="FYH82" s="440" t="n"/>
      <c r="FYI82" s="440" t="n"/>
      <c r="FYJ82" s="440" t="n"/>
      <c r="FYK82" s="440" t="n"/>
      <c r="FYL82" s="440" t="n"/>
      <c r="FYM82" s="440" t="n"/>
      <c r="FYN82" s="440" t="n"/>
      <c r="FYO82" s="440" t="n"/>
      <c r="FYP82" s="440" t="n"/>
      <c r="FYQ82" s="440" t="n"/>
      <c r="FYR82" s="440" t="n"/>
      <c r="FYS82" s="440" t="n"/>
      <c r="FYT82" s="440" t="n"/>
      <c r="FYU82" s="440" t="n"/>
      <c r="FYV82" s="440" t="n"/>
      <c r="FYW82" s="440" t="n"/>
      <c r="FYX82" s="440" t="n"/>
      <c r="FYY82" s="440" t="n"/>
      <c r="FYZ82" s="440" t="n"/>
      <c r="FZA82" s="440" t="n"/>
      <c r="FZB82" s="440" t="n"/>
      <c r="FZC82" s="440" t="n"/>
      <c r="FZD82" s="440" t="n"/>
      <c r="FZE82" s="440" t="n"/>
      <c r="FZF82" s="440" t="n"/>
      <c r="FZG82" s="440" t="n"/>
      <c r="FZH82" s="440" t="n"/>
      <c r="FZI82" s="440" t="n"/>
      <c r="FZJ82" s="440" t="n"/>
      <c r="FZK82" s="440" t="n"/>
      <c r="FZL82" s="440" t="n"/>
      <c r="FZM82" s="440" t="n"/>
      <c r="FZN82" s="440" t="n"/>
      <c r="FZO82" s="440" t="n"/>
      <c r="FZP82" s="440" t="n"/>
      <c r="FZQ82" s="440" t="n"/>
      <c r="FZR82" s="440" t="n"/>
      <c r="FZS82" s="440" t="n"/>
      <c r="FZT82" s="440" t="n"/>
      <c r="FZU82" s="440" t="n"/>
      <c r="FZV82" s="440" t="n"/>
      <c r="FZW82" s="440" t="n"/>
      <c r="FZX82" s="440" t="n"/>
      <c r="FZY82" s="440" t="n"/>
      <c r="FZZ82" s="440" t="n"/>
      <c r="GAA82" s="440" t="n"/>
      <c r="GAB82" s="440" t="n"/>
      <c r="GAC82" s="440" t="n"/>
      <c r="GAD82" s="440" t="n"/>
      <c r="GAE82" s="440" t="n"/>
      <c r="GAF82" s="440" t="n"/>
      <c r="GAG82" s="440" t="n"/>
      <c r="GAH82" s="440" t="n"/>
      <c r="GAI82" s="440" t="n"/>
      <c r="GAJ82" s="440" t="n"/>
      <c r="GAK82" s="440" t="n"/>
      <c r="GAL82" s="440" t="n"/>
      <c r="GAM82" s="440" t="n"/>
      <c r="GAN82" s="440" t="n"/>
      <c r="GAO82" s="440" t="n"/>
      <c r="GAP82" s="440" t="n"/>
      <c r="GAQ82" s="440" t="n"/>
      <c r="GAR82" s="440" t="n"/>
      <c r="GAS82" s="440" t="n"/>
      <c r="GAT82" s="440" t="n"/>
      <c r="GAU82" s="440" t="n"/>
      <c r="GAV82" s="440" t="n"/>
      <c r="GAW82" s="440" t="n"/>
      <c r="GAX82" s="440" t="n"/>
      <c r="GAY82" s="440" t="n"/>
      <c r="GAZ82" s="440" t="n"/>
      <c r="GBA82" s="440" t="n"/>
      <c r="GBB82" s="440" t="n"/>
      <c r="GBC82" s="440" t="n"/>
      <c r="GBD82" s="440" t="n"/>
      <c r="GBE82" s="440" t="n"/>
      <c r="GBF82" s="440" t="n"/>
      <c r="GBG82" s="440" t="n"/>
      <c r="GBH82" s="440" t="n"/>
      <c r="GBI82" s="440" t="n"/>
      <c r="GBJ82" s="440" t="n"/>
      <c r="GBK82" s="440" t="n"/>
      <c r="GBL82" s="440" t="n"/>
      <c r="GBM82" s="440" t="n"/>
      <c r="GBN82" s="440" t="n"/>
      <c r="GBO82" s="440" t="n"/>
      <c r="GBP82" s="440" t="n"/>
      <c r="GBQ82" s="440" t="n"/>
      <c r="GBR82" s="440" t="n"/>
      <c r="GBS82" s="440" t="n"/>
      <c r="GBT82" s="440" t="n"/>
      <c r="GBU82" s="440" t="n"/>
      <c r="GBV82" s="440" t="n"/>
      <c r="GBW82" s="440" t="n"/>
      <c r="GBX82" s="440" t="n"/>
      <c r="GBY82" s="440" t="n"/>
      <c r="GBZ82" s="440" t="n"/>
      <c r="GCA82" s="440" t="n"/>
      <c r="GCB82" s="440" t="n"/>
      <c r="GCC82" s="440" t="n"/>
      <c r="GCD82" s="440" t="n"/>
      <c r="GCE82" s="440" t="n"/>
      <c r="GCF82" s="440" t="n"/>
      <c r="GCG82" s="440" t="n"/>
      <c r="GCH82" s="440" t="n"/>
      <c r="GCI82" s="440" t="n"/>
      <c r="GCJ82" s="440" t="n"/>
      <c r="GCK82" s="440" t="n"/>
      <c r="GCL82" s="440" t="n"/>
      <c r="GCM82" s="440" t="n"/>
      <c r="GCN82" s="440" t="n"/>
      <c r="GCO82" s="440" t="n"/>
      <c r="GCP82" s="440" t="n"/>
      <c r="GCQ82" s="440" t="n"/>
      <c r="GCR82" s="440" t="n"/>
      <c r="GCS82" s="440" t="n"/>
      <c r="GCT82" s="440" t="n"/>
      <c r="GCU82" s="440" t="n"/>
      <c r="GCV82" s="440" t="n"/>
      <c r="GCW82" s="440" t="n"/>
      <c r="GCX82" s="440" t="n"/>
      <c r="GCY82" s="440" t="n"/>
      <c r="GCZ82" s="440" t="n"/>
      <c r="GDA82" s="440" t="n"/>
      <c r="GDB82" s="440" t="n"/>
      <c r="GDC82" s="440" t="n"/>
      <c r="GDD82" s="440" t="n"/>
      <c r="GDE82" s="440" t="n"/>
      <c r="GDF82" s="440" t="n"/>
      <c r="GDG82" s="440" t="n"/>
      <c r="GDH82" s="440" t="n"/>
      <c r="GDI82" s="440" t="n"/>
      <c r="GDJ82" s="440" t="n"/>
      <c r="GDK82" s="440" t="n"/>
      <c r="GDL82" s="440" t="n"/>
      <c r="GDM82" s="440" t="n"/>
      <c r="GDN82" s="440" t="n"/>
      <c r="GDO82" s="440" t="n"/>
      <c r="GDP82" s="440" t="n"/>
      <c r="GDQ82" s="440" t="n"/>
      <c r="GDR82" s="440" t="n"/>
      <c r="GDS82" s="440" t="n"/>
      <c r="GDT82" s="440" t="n"/>
      <c r="GDU82" s="440" t="n"/>
      <c r="GDV82" s="440" t="n"/>
      <c r="GDW82" s="440" t="n"/>
      <c r="GDX82" s="440" t="n"/>
      <c r="GDY82" s="440" t="n"/>
      <c r="GDZ82" s="440" t="n"/>
      <c r="GEA82" s="440" t="n"/>
      <c r="GEB82" s="440" t="n"/>
      <c r="GEC82" s="440" t="n"/>
      <c r="GED82" s="440" t="n"/>
      <c r="GEE82" s="440" t="n"/>
      <c r="GEF82" s="440" t="n"/>
      <c r="GEG82" s="440" t="n"/>
      <c r="GEH82" s="440" t="n"/>
      <c r="GEI82" s="440" t="n"/>
      <c r="GEJ82" s="440" t="n"/>
      <c r="GEK82" s="440" t="n"/>
      <c r="GEL82" s="440" t="n"/>
      <c r="GEM82" s="440" t="n"/>
      <c r="GEN82" s="440" t="n"/>
      <c r="GEO82" s="440" t="n"/>
      <c r="GEP82" s="440" t="n"/>
      <c r="GEQ82" s="440" t="n"/>
      <c r="GER82" s="440" t="n"/>
      <c r="GES82" s="440" t="n"/>
      <c r="GET82" s="440" t="n"/>
      <c r="GEU82" s="440" t="n"/>
      <c r="GEV82" s="440" t="n"/>
      <c r="GEW82" s="440" t="n"/>
      <c r="GEX82" s="440" t="n"/>
      <c r="GEY82" s="440" t="n"/>
      <c r="GEZ82" s="440" t="n"/>
      <c r="GFA82" s="440" t="n"/>
      <c r="GFB82" s="440" t="n"/>
      <c r="GFC82" s="440" t="n"/>
      <c r="GFD82" s="440" t="n"/>
      <c r="GFE82" s="440" t="n"/>
      <c r="GFF82" s="440" t="n"/>
      <c r="GFG82" s="440" t="n"/>
      <c r="GFH82" s="440" t="n"/>
      <c r="GFI82" s="440" t="n"/>
      <c r="GFJ82" s="440" t="n"/>
      <c r="GFK82" s="440" t="n"/>
      <c r="GFL82" s="440" t="n"/>
      <c r="GFM82" s="440" t="n"/>
      <c r="GFN82" s="440" t="n"/>
      <c r="GFO82" s="440" t="n"/>
      <c r="GFP82" s="440" t="n"/>
      <c r="GFQ82" s="440" t="n"/>
      <c r="GFR82" s="440" t="n"/>
      <c r="GFS82" s="440" t="n"/>
      <c r="GFT82" s="440" t="n"/>
      <c r="GFU82" s="440" t="n"/>
      <c r="GFV82" s="440" t="n"/>
      <c r="GFW82" s="440" t="n"/>
      <c r="GFX82" s="440" t="n"/>
      <c r="GFY82" s="440" t="n"/>
      <c r="GFZ82" s="440" t="n"/>
      <c r="GGA82" s="440" t="n"/>
      <c r="GGB82" s="440" t="n"/>
      <c r="GGC82" s="440" t="n"/>
      <c r="GGD82" s="440" t="n"/>
      <c r="GGE82" s="440" t="n"/>
      <c r="GGF82" s="440" t="n"/>
      <c r="GGG82" s="440" t="n"/>
      <c r="GGH82" s="440" t="n"/>
      <c r="GGI82" s="440" t="n"/>
      <c r="GGJ82" s="440" t="n"/>
      <c r="GGK82" s="440" t="n"/>
      <c r="GGL82" s="440" t="n"/>
      <c r="GGM82" s="440" t="n"/>
      <c r="GGN82" s="440" t="n"/>
      <c r="GGO82" s="440" t="n"/>
      <c r="GGP82" s="440" t="n"/>
      <c r="GGQ82" s="440" t="n"/>
      <c r="GGR82" s="440" t="n"/>
      <c r="GGS82" s="440" t="n"/>
      <c r="GGT82" s="440" t="n"/>
      <c r="GGU82" s="440" t="n"/>
      <c r="GGV82" s="440" t="n"/>
      <c r="GGW82" s="440" t="n"/>
      <c r="GGX82" s="440" t="n"/>
      <c r="GGY82" s="440" t="n"/>
      <c r="GGZ82" s="440" t="n"/>
      <c r="GHA82" s="440" t="n"/>
      <c r="GHB82" s="440" t="n"/>
      <c r="GHC82" s="440" t="n"/>
      <c r="GHD82" s="440" t="n"/>
      <c r="GHE82" s="440" t="n"/>
      <c r="GHF82" s="440" t="n"/>
      <c r="GHG82" s="440" t="n"/>
      <c r="GHH82" s="440" t="n"/>
      <c r="GHI82" s="440" t="n"/>
      <c r="GHJ82" s="440" t="n"/>
      <c r="GHK82" s="440" t="n"/>
      <c r="GHL82" s="440" t="n"/>
      <c r="GHM82" s="440" t="n"/>
      <c r="GHN82" s="440" t="n"/>
      <c r="GHO82" s="440" t="n"/>
      <c r="GHP82" s="440" t="n"/>
      <c r="GHQ82" s="440" t="n"/>
      <c r="GHR82" s="440" t="n"/>
      <c r="GHS82" s="440" t="n"/>
      <c r="GHT82" s="440" t="n"/>
      <c r="GHU82" s="440" t="n"/>
      <c r="GHV82" s="440" t="n"/>
      <c r="GHW82" s="440" t="n"/>
      <c r="GHX82" s="440" t="n"/>
      <c r="GHY82" s="440" t="n"/>
      <c r="GHZ82" s="440" t="n"/>
      <c r="GIA82" s="440" t="n"/>
      <c r="GIB82" s="440" t="n"/>
      <c r="GIC82" s="440" t="n"/>
      <c r="GID82" s="440" t="n"/>
      <c r="GIE82" s="440" t="n"/>
      <c r="GIF82" s="440" t="n"/>
      <c r="GIG82" s="440" t="n"/>
      <c r="GIH82" s="440" t="n"/>
      <c r="GII82" s="440" t="n"/>
      <c r="GIJ82" s="440" t="n"/>
      <c r="GIK82" s="440" t="n"/>
      <c r="GIL82" s="440" t="n"/>
      <c r="GIM82" s="440" t="n"/>
      <c r="GIN82" s="440" t="n"/>
      <c r="GIO82" s="440" t="n"/>
      <c r="GIP82" s="440" t="n"/>
      <c r="GIQ82" s="440" t="n"/>
      <c r="GIR82" s="440" t="n"/>
      <c r="GIS82" s="440" t="n"/>
      <c r="GIT82" s="440" t="n"/>
      <c r="GIU82" s="440" t="n"/>
      <c r="GIV82" s="440" t="n"/>
      <c r="GIW82" s="440" t="n"/>
      <c r="GIX82" s="440" t="n"/>
      <c r="GIY82" s="440" t="n"/>
      <c r="GIZ82" s="440" t="n"/>
      <c r="GJA82" s="440" t="n"/>
      <c r="GJB82" s="440" t="n"/>
      <c r="GJC82" s="440" t="n"/>
      <c r="GJD82" s="440" t="n"/>
      <c r="GJE82" s="440" t="n"/>
      <c r="GJF82" s="440" t="n"/>
      <c r="GJG82" s="440" t="n"/>
      <c r="GJH82" s="440" t="n"/>
      <c r="GJI82" s="440" t="n"/>
      <c r="GJJ82" s="440" t="n"/>
      <c r="GJK82" s="440" t="n"/>
      <c r="GJL82" s="440" t="n"/>
      <c r="GJM82" s="440" t="n"/>
      <c r="GJN82" s="440" t="n"/>
      <c r="GJO82" s="440" t="n"/>
      <c r="GJP82" s="440" t="n"/>
      <c r="GJQ82" s="440" t="n"/>
      <c r="GJR82" s="440" t="n"/>
      <c r="GJS82" s="440" t="n"/>
      <c r="GJT82" s="440" t="n"/>
      <c r="GJU82" s="440" t="n"/>
      <c r="GJV82" s="440" t="n"/>
      <c r="GJW82" s="440" t="n"/>
      <c r="GJX82" s="440" t="n"/>
      <c r="GJY82" s="440" t="n"/>
      <c r="GJZ82" s="440" t="n"/>
      <c r="GKA82" s="440" t="n"/>
      <c r="GKB82" s="440" t="n"/>
      <c r="GKC82" s="440" t="n"/>
      <c r="GKD82" s="440" t="n"/>
      <c r="GKE82" s="440" t="n"/>
      <c r="GKF82" s="440" t="n"/>
      <c r="GKG82" s="440" t="n"/>
      <c r="GKH82" s="440" t="n"/>
      <c r="GKI82" s="440" t="n"/>
      <c r="GKJ82" s="440" t="n"/>
      <c r="GKK82" s="440" t="n"/>
      <c r="GKL82" s="440" t="n"/>
      <c r="GKM82" s="440" t="n"/>
      <c r="GKN82" s="440" t="n"/>
      <c r="GKO82" s="440" t="n"/>
      <c r="GKP82" s="440" t="n"/>
      <c r="GKQ82" s="440" t="n"/>
      <c r="GKR82" s="440" t="n"/>
      <c r="GKS82" s="440" t="n"/>
      <c r="GKT82" s="440" t="n"/>
      <c r="GKU82" s="440" t="n"/>
      <c r="GKV82" s="440" t="n"/>
      <c r="GKW82" s="440" t="n"/>
      <c r="GKX82" s="440" t="n"/>
      <c r="GKY82" s="440" t="n"/>
      <c r="GKZ82" s="440" t="n"/>
      <c r="GLA82" s="440" t="n"/>
      <c r="GLB82" s="440" t="n"/>
      <c r="GLC82" s="440" t="n"/>
      <c r="GLD82" s="440" t="n"/>
      <c r="GLE82" s="440" t="n"/>
      <c r="GLF82" s="440" t="n"/>
      <c r="GLG82" s="440" t="n"/>
      <c r="GLH82" s="440" t="n"/>
      <c r="GLI82" s="440" t="n"/>
      <c r="GLJ82" s="440" t="n"/>
      <c r="GLK82" s="440" t="n"/>
      <c r="GLL82" s="440" t="n"/>
      <c r="GLM82" s="440" t="n"/>
      <c r="GLN82" s="440" t="n"/>
      <c r="GLO82" s="440" t="n"/>
      <c r="GLP82" s="440" t="n"/>
      <c r="GLQ82" s="440" t="n"/>
      <c r="GLR82" s="440" t="n"/>
      <c r="GLS82" s="440" t="n"/>
      <c r="GLT82" s="440" t="n"/>
      <c r="GLU82" s="440" t="n"/>
      <c r="GLV82" s="440" t="n"/>
      <c r="GLW82" s="440" t="n"/>
      <c r="GLX82" s="440" t="n"/>
      <c r="GLY82" s="440" t="n"/>
      <c r="GLZ82" s="440" t="n"/>
      <c r="GMA82" s="440" t="n"/>
      <c r="GMB82" s="440" t="n"/>
      <c r="GMC82" s="440" t="n"/>
      <c r="GMD82" s="440" t="n"/>
      <c r="GME82" s="440" t="n"/>
      <c r="GMF82" s="440" t="n"/>
      <c r="GMG82" s="440" t="n"/>
      <c r="GMH82" s="440" t="n"/>
      <c r="GMI82" s="440" t="n"/>
      <c r="GMJ82" s="440" t="n"/>
      <c r="GMK82" s="440" t="n"/>
      <c r="GML82" s="440" t="n"/>
      <c r="GMM82" s="440" t="n"/>
      <c r="GMN82" s="440" t="n"/>
      <c r="GMO82" s="440" t="n"/>
      <c r="GMP82" s="440" t="n"/>
      <c r="GMQ82" s="440" t="n"/>
      <c r="GMR82" s="440" t="n"/>
      <c r="GMS82" s="440" t="n"/>
      <c r="GMT82" s="440" t="n"/>
      <c r="GMU82" s="440" t="n"/>
      <c r="GMV82" s="440" t="n"/>
      <c r="GMW82" s="440" t="n"/>
      <c r="GMX82" s="440" t="n"/>
      <c r="GMY82" s="440" t="n"/>
      <c r="GMZ82" s="440" t="n"/>
      <c r="GNA82" s="440" t="n"/>
      <c r="GNB82" s="440" t="n"/>
      <c r="GNC82" s="440" t="n"/>
      <c r="GND82" s="440" t="n"/>
      <c r="GNE82" s="440" t="n"/>
      <c r="GNF82" s="440" t="n"/>
      <c r="GNG82" s="440" t="n"/>
      <c r="GNH82" s="440" t="n"/>
      <c r="GNI82" s="440" t="n"/>
      <c r="GNJ82" s="440" t="n"/>
      <c r="GNK82" s="440" t="n"/>
      <c r="GNL82" s="440" t="n"/>
      <c r="GNM82" s="440" t="n"/>
      <c r="GNN82" s="440" t="n"/>
      <c r="GNO82" s="440" t="n"/>
      <c r="GNP82" s="440" t="n"/>
      <c r="GNQ82" s="440" t="n"/>
      <c r="GNR82" s="440" t="n"/>
      <c r="GNS82" s="440" t="n"/>
      <c r="GNT82" s="440" t="n"/>
      <c r="GNU82" s="440" t="n"/>
      <c r="GNV82" s="440" t="n"/>
      <c r="GNW82" s="440" t="n"/>
      <c r="GNX82" s="440" t="n"/>
      <c r="GNY82" s="440" t="n"/>
      <c r="GNZ82" s="440" t="n"/>
      <c r="GOA82" s="440" t="n"/>
      <c r="GOB82" s="440" t="n"/>
      <c r="GOC82" s="440" t="n"/>
      <c r="GOD82" s="440" t="n"/>
      <c r="GOE82" s="440" t="n"/>
      <c r="GOF82" s="440" t="n"/>
      <c r="GOG82" s="440" t="n"/>
      <c r="GOH82" s="440" t="n"/>
      <c r="GOI82" s="440" t="n"/>
      <c r="GOJ82" s="440" t="n"/>
      <c r="GOK82" s="440" t="n"/>
      <c r="GOL82" s="440" t="n"/>
      <c r="GOM82" s="440" t="n"/>
      <c r="GON82" s="440" t="n"/>
      <c r="GOO82" s="440" t="n"/>
      <c r="GOP82" s="440" t="n"/>
      <c r="GOQ82" s="440" t="n"/>
      <c r="GOR82" s="440" t="n"/>
      <c r="GOS82" s="440" t="n"/>
      <c r="GOT82" s="440" t="n"/>
      <c r="GOU82" s="440" t="n"/>
      <c r="GOV82" s="440" t="n"/>
      <c r="GOW82" s="440" t="n"/>
      <c r="GOX82" s="440" t="n"/>
      <c r="GOY82" s="440" t="n"/>
      <c r="GOZ82" s="440" t="n"/>
      <c r="GPA82" s="440" t="n"/>
      <c r="GPB82" s="440" t="n"/>
      <c r="GPC82" s="440" t="n"/>
      <c r="GPD82" s="440" t="n"/>
      <c r="GPE82" s="440" t="n"/>
      <c r="GPF82" s="440" t="n"/>
      <c r="GPG82" s="440" t="n"/>
      <c r="GPH82" s="440" t="n"/>
      <c r="GPI82" s="440" t="n"/>
      <c r="GPJ82" s="440" t="n"/>
      <c r="GPK82" s="440" t="n"/>
      <c r="GPL82" s="440" t="n"/>
      <c r="GPM82" s="440" t="n"/>
      <c r="GPN82" s="440" t="n"/>
      <c r="GPO82" s="440" t="n"/>
      <c r="GPP82" s="440" t="n"/>
      <c r="GPQ82" s="440" t="n"/>
      <c r="GPR82" s="440" t="n"/>
      <c r="GPS82" s="440" t="n"/>
      <c r="GPT82" s="440" t="n"/>
      <c r="GPU82" s="440" t="n"/>
      <c r="GPV82" s="440" t="n"/>
      <c r="GPW82" s="440" t="n"/>
      <c r="GPX82" s="440" t="n"/>
      <c r="GPY82" s="440" t="n"/>
      <c r="GPZ82" s="440" t="n"/>
      <c r="GQA82" s="440" t="n"/>
      <c r="GQB82" s="440" t="n"/>
      <c r="GQC82" s="440" t="n"/>
      <c r="GQD82" s="440" t="n"/>
      <c r="GQE82" s="440" t="n"/>
      <c r="GQF82" s="440" t="n"/>
      <c r="GQG82" s="440" t="n"/>
      <c r="GQH82" s="440" t="n"/>
      <c r="GQI82" s="440" t="n"/>
      <c r="GQJ82" s="440" t="n"/>
      <c r="GQK82" s="440" t="n"/>
      <c r="GQL82" s="440" t="n"/>
      <c r="GQM82" s="440" t="n"/>
      <c r="GQN82" s="440" t="n"/>
      <c r="GQO82" s="440" t="n"/>
      <c r="GQP82" s="440" t="n"/>
      <c r="GQQ82" s="440" t="n"/>
      <c r="GQR82" s="440" t="n"/>
      <c r="GQS82" s="440" t="n"/>
      <c r="GQT82" s="440" t="n"/>
      <c r="GQU82" s="440" t="n"/>
      <c r="GQV82" s="440" t="n"/>
      <c r="GQW82" s="440" t="n"/>
      <c r="GQX82" s="440" t="n"/>
      <c r="GQY82" s="440" t="n"/>
      <c r="GQZ82" s="440" t="n"/>
      <c r="GRA82" s="440" t="n"/>
      <c r="GRB82" s="440" t="n"/>
      <c r="GRC82" s="440" t="n"/>
      <c r="GRD82" s="440" t="n"/>
      <c r="GRE82" s="440" t="n"/>
      <c r="GRF82" s="440" t="n"/>
      <c r="GRG82" s="440" t="n"/>
      <c r="GRH82" s="440" t="n"/>
      <c r="GRI82" s="440" t="n"/>
      <c r="GRJ82" s="440" t="n"/>
      <c r="GRK82" s="440" t="n"/>
      <c r="GRL82" s="440" t="n"/>
      <c r="GRM82" s="440" t="n"/>
      <c r="GRN82" s="440" t="n"/>
      <c r="GRO82" s="440" t="n"/>
      <c r="GRP82" s="440" t="n"/>
      <c r="GRQ82" s="440" t="n"/>
      <c r="GRR82" s="440" t="n"/>
      <c r="GRS82" s="440" t="n"/>
      <c r="GRT82" s="440" t="n"/>
      <c r="GRU82" s="440" t="n"/>
      <c r="GRV82" s="440" t="n"/>
      <c r="GRW82" s="440" t="n"/>
      <c r="GRX82" s="440" t="n"/>
      <c r="GRY82" s="440" t="n"/>
      <c r="GRZ82" s="440" t="n"/>
      <c r="GSA82" s="440" t="n"/>
      <c r="GSB82" s="440" t="n"/>
      <c r="GSC82" s="440" t="n"/>
      <c r="GSD82" s="440" t="n"/>
      <c r="GSE82" s="440" t="n"/>
      <c r="GSF82" s="440" t="n"/>
      <c r="GSG82" s="440" t="n"/>
      <c r="GSH82" s="440" t="n"/>
      <c r="GSI82" s="440" t="n"/>
      <c r="GSJ82" s="440" t="n"/>
      <c r="GSK82" s="440" t="n"/>
      <c r="GSL82" s="440" t="n"/>
      <c r="GSM82" s="440" t="n"/>
      <c r="GSN82" s="440" t="n"/>
      <c r="GSO82" s="440" t="n"/>
      <c r="GSP82" s="440" t="n"/>
      <c r="GSQ82" s="440" t="n"/>
      <c r="GSR82" s="440" t="n"/>
      <c r="GSS82" s="440" t="n"/>
      <c r="GST82" s="440" t="n"/>
      <c r="GSU82" s="440" t="n"/>
      <c r="GSV82" s="440" t="n"/>
      <c r="GSW82" s="440" t="n"/>
      <c r="GSX82" s="440" t="n"/>
      <c r="GSY82" s="440" t="n"/>
      <c r="GSZ82" s="440" t="n"/>
      <c r="GTA82" s="440" t="n"/>
      <c r="GTB82" s="440" t="n"/>
      <c r="GTC82" s="440" t="n"/>
      <c r="GTD82" s="440" t="n"/>
      <c r="GTE82" s="440" t="n"/>
      <c r="GTF82" s="440" t="n"/>
      <c r="GTG82" s="440" t="n"/>
      <c r="GTH82" s="440" t="n"/>
      <c r="GTI82" s="440" t="n"/>
      <c r="GTJ82" s="440" t="n"/>
      <c r="GTK82" s="440" t="n"/>
      <c r="GTL82" s="440" t="n"/>
      <c r="GTM82" s="440" t="n"/>
      <c r="GTN82" s="440" t="n"/>
      <c r="GTO82" s="440" t="n"/>
      <c r="GTP82" s="440" t="n"/>
      <c r="GTQ82" s="440" t="n"/>
      <c r="GTR82" s="440" t="n"/>
      <c r="GTS82" s="440" t="n"/>
      <c r="GTT82" s="440" t="n"/>
      <c r="GTU82" s="440" t="n"/>
      <c r="GTV82" s="440" t="n"/>
      <c r="GTW82" s="440" t="n"/>
      <c r="GTX82" s="440" t="n"/>
      <c r="GTY82" s="440" t="n"/>
      <c r="GTZ82" s="440" t="n"/>
      <c r="GUA82" s="440" t="n"/>
      <c r="GUB82" s="440" t="n"/>
      <c r="GUC82" s="440" t="n"/>
      <c r="GUD82" s="440" t="n"/>
      <c r="GUE82" s="440" t="n"/>
      <c r="GUF82" s="440" t="n"/>
      <c r="GUG82" s="440" t="n"/>
      <c r="GUH82" s="440" t="n"/>
      <c r="GUI82" s="440" t="n"/>
      <c r="GUJ82" s="440" t="n"/>
      <c r="GUK82" s="440" t="n"/>
      <c r="GUL82" s="440" t="n"/>
      <c r="GUM82" s="440" t="n"/>
      <c r="GUN82" s="440" t="n"/>
      <c r="GUO82" s="440" t="n"/>
      <c r="GUP82" s="440" t="n"/>
      <c r="GUQ82" s="440" t="n"/>
      <c r="GUR82" s="440" t="n"/>
      <c r="GUS82" s="440" t="n"/>
      <c r="GUT82" s="440" t="n"/>
      <c r="GUU82" s="440" t="n"/>
      <c r="GUV82" s="440" t="n"/>
      <c r="GUW82" s="440" t="n"/>
      <c r="GUX82" s="440" t="n"/>
      <c r="GUY82" s="440" t="n"/>
      <c r="GUZ82" s="440" t="n"/>
      <c r="GVA82" s="440" t="n"/>
      <c r="GVB82" s="440" t="n"/>
      <c r="GVC82" s="440" t="n"/>
      <c r="GVD82" s="440" t="n"/>
      <c r="GVE82" s="440" t="n"/>
      <c r="GVF82" s="440" t="n"/>
      <c r="GVG82" s="440" t="n"/>
      <c r="GVH82" s="440" t="n"/>
      <c r="GVI82" s="440" t="n"/>
      <c r="GVJ82" s="440" t="n"/>
      <c r="GVK82" s="440" t="n"/>
      <c r="GVL82" s="440" t="n"/>
      <c r="GVM82" s="440" t="n"/>
      <c r="GVN82" s="440" t="n"/>
      <c r="GVO82" s="440" t="n"/>
      <c r="GVP82" s="440" t="n"/>
      <c r="GVQ82" s="440" t="n"/>
      <c r="GVR82" s="440" t="n"/>
      <c r="GVS82" s="440" t="n"/>
      <c r="GVT82" s="440" t="n"/>
      <c r="GVU82" s="440" t="n"/>
      <c r="GVV82" s="440" t="n"/>
      <c r="GVW82" s="440" t="n"/>
      <c r="GVX82" s="440" t="n"/>
      <c r="GVY82" s="440" t="n"/>
      <c r="GVZ82" s="440" t="n"/>
      <c r="GWA82" s="440" t="n"/>
      <c r="GWB82" s="440" t="n"/>
      <c r="GWC82" s="440" t="n"/>
      <c r="GWD82" s="440" t="n"/>
      <c r="GWE82" s="440" t="n"/>
      <c r="GWF82" s="440" t="n"/>
      <c r="GWG82" s="440" t="n"/>
      <c r="GWH82" s="440" t="n"/>
      <c r="GWI82" s="440" t="n"/>
      <c r="GWJ82" s="440" t="n"/>
      <c r="GWK82" s="440" t="n"/>
      <c r="GWL82" s="440" t="n"/>
      <c r="GWM82" s="440" t="n"/>
      <c r="GWN82" s="440" t="n"/>
      <c r="GWO82" s="440" t="n"/>
      <c r="GWP82" s="440" t="n"/>
      <c r="GWQ82" s="440" t="n"/>
      <c r="GWR82" s="440" t="n"/>
      <c r="GWS82" s="440" t="n"/>
      <c r="GWT82" s="440" t="n"/>
      <c r="GWU82" s="440" t="n"/>
      <c r="GWV82" s="440" t="n"/>
      <c r="GWW82" s="440" t="n"/>
      <c r="GWX82" s="440" t="n"/>
      <c r="GWY82" s="440" t="n"/>
      <c r="GWZ82" s="440" t="n"/>
      <c r="GXA82" s="440" t="n"/>
      <c r="GXB82" s="440" t="n"/>
      <c r="GXC82" s="440" t="n"/>
      <c r="GXD82" s="440" t="n"/>
      <c r="GXE82" s="440" t="n"/>
      <c r="GXF82" s="440" t="n"/>
      <c r="GXG82" s="440" t="n"/>
      <c r="GXH82" s="440" t="n"/>
      <c r="GXI82" s="440" t="n"/>
      <c r="GXJ82" s="440" t="n"/>
      <c r="GXK82" s="440" t="n"/>
      <c r="GXL82" s="440" t="n"/>
      <c r="GXM82" s="440" t="n"/>
      <c r="GXN82" s="440" t="n"/>
      <c r="GXO82" s="440" t="n"/>
      <c r="GXP82" s="440" t="n"/>
      <c r="GXQ82" s="440" t="n"/>
      <c r="GXR82" s="440" t="n"/>
      <c r="GXS82" s="440" t="n"/>
      <c r="GXT82" s="440" t="n"/>
      <c r="GXU82" s="440" t="n"/>
      <c r="GXV82" s="440" t="n"/>
      <c r="GXW82" s="440" t="n"/>
      <c r="GXX82" s="440" t="n"/>
      <c r="GXY82" s="440" t="n"/>
      <c r="GXZ82" s="440" t="n"/>
      <c r="GYA82" s="440" t="n"/>
      <c r="GYB82" s="440" t="n"/>
      <c r="GYC82" s="440" t="n"/>
      <c r="GYD82" s="440" t="n"/>
      <c r="GYE82" s="440" t="n"/>
      <c r="GYF82" s="440" t="n"/>
      <c r="GYG82" s="440" t="n"/>
      <c r="GYH82" s="440" t="n"/>
      <c r="GYI82" s="440" t="n"/>
      <c r="GYJ82" s="440" t="n"/>
      <c r="GYK82" s="440" t="n"/>
      <c r="GYL82" s="440" t="n"/>
      <c r="GYM82" s="440" t="n"/>
      <c r="GYN82" s="440" t="n"/>
      <c r="GYO82" s="440" t="n"/>
      <c r="GYP82" s="440" t="n"/>
      <c r="GYQ82" s="440" t="n"/>
      <c r="GYR82" s="440" t="n"/>
      <c r="GYS82" s="440" t="n"/>
      <c r="GYT82" s="440" t="n"/>
      <c r="GYU82" s="440" t="n"/>
      <c r="GYV82" s="440" t="n"/>
      <c r="GYW82" s="440" t="n"/>
      <c r="GYX82" s="440" t="n"/>
      <c r="GYY82" s="440" t="n"/>
      <c r="GYZ82" s="440" t="n"/>
      <c r="GZA82" s="440" t="n"/>
      <c r="GZB82" s="440" t="n"/>
      <c r="GZC82" s="440" t="n"/>
      <c r="GZD82" s="440" t="n"/>
      <c r="GZE82" s="440" t="n"/>
      <c r="GZF82" s="440" t="n"/>
      <c r="GZG82" s="440" t="n"/>
      <c r="GZH82" s="440" t="n"/>
      <c r="GZI82" s="440" t="n"/>
      <c r="GZJ82" s="440" t="n"/>
      <c r="GZK82" s="440" t="n"/>
      <c r="GZL82" s="440" t="n"/>
      <c r="GZM82" s="440" t="n"/>
      <c r="GZN82" s="440" t="n"/>
      <c r="GZO82" s="440" t="n"/>
      <c r="GZP82" s="440" t="n"/>
      <c r="GZQ82" s="440" t="n"/>
      <c r="GZR82" s="440" t="n"/>
      <c r="GZS82" s="440" t="n"/>
      <c r="GZT82" s="440" t="n"/>
      <c r="GZU82" s="440" t="n"/>
      <c r="GZV82" s="440" t="n"/>
      <c r="GZW82" s="440" t="n"/>
      <c r="GZX82" s="440" t="n"/>
      <c r="GZY82" s="440" t="n"/>
      <c r="GZZ82" s="440" t="n"/>
      <c r="HAA82" s="440" t="n"/>
      <c r="HAB82" s="440" t="n"/>
      <c r="HAC82" s="440" t="n"/>
      <c r="HAD82" s="440" t="n"/>
      <c r="HAE82" s="440" t="n"/>
      <c r="HAF82" s="440" t="n"/>
      <c r="HAG82" s="440" t="n"/>
      <c r="HAH82" s="440" t="n"/>
      <c r="HAI82" s="440" t="n"/>
      <c r="HAJ82" s="440" t="n"/>
      <c r="HAK82" s="440" t="n"/>
      <c r="HAL82" s="440" t="n"/>
      <c r="HAM82" s="440" t="n"/>
      <c r="HAN82" s="440" t="n"/>
      <c r="HAO82" s="440" t="n"/>
      <c r="HAP82" s="440" t="n"/>
      <c r="HAQ82" s="440" t="n"/>
      <c r="HAR82" s="440" t="n"/>
      <c r="HAS82" s="440" t="n"/>
      <c r="HAT82" s="440" t="n"/>
      <c r="HAU82" s="440" t="n"/>
      <c r="HAV82" s="440" t="n"/>
      <c r="HAW82" s="440" t="n"/>
      <c r="HAX82" s="440" t="n"/>
      <c r="HAY82" s="440" t="n"/>
      <c r="HAZ82" s="440" t="n"/>
      <c r="HBA82" s="440" t="n"/>
      <c r="HBB82" s="440" t="n"/>
      <c r="HBC82" s="440" t="n"/>
      <c r="HBD82" s="440" t="n"/>
      <c r="HBE82" s="440" t="n"/>
      <c r="HBF82" s="440" t="n"/>
      <c r="HBG82" s="440" t="n"/>
      <c r="HBH82" s="440" t="n"/>
      <c r="HBI82" s="440" t="n"/>
      <c r="HBJ82" s="440" t="n"/>
      <c r="HBK82" s="440" t="n"/>
      <c r="HBL82" s="440" t="n"/>
      <c r="HBM82" s="440" t="n"/>
      <c r="HBN82" s="440" t="n"/>
      <c r="HBO82" s="440" t="n"/>
      <c r="HBP82" s="440" t="n"/>
      <c r="HBQ82" s="440" t="n"/>
      <c r="HBR82" s="440" t="n"/>
      <c r="HBS82" s="440" t="n"/>
      <c r="HBT82" s="440" t="n"/>
      <c r="HBU82" s="440" t="n"/>
      <c r="HBV82" s="440" t="n"/>
      <c r="HBW82" s="440" t="n"/>
      <c r="HBX82" s="440" t="n"/>
      <c r="HBY82" s="440" t="n"/>
      <c r="HBZ82" s="440" t="n"/>
      <c r="HCA82" s="440" t="n"/>
      <c r="HCB82" s="440" t="n"/>
      <c r="HCC82" s="440" t="n"/>
      <c r="HCD82" s="440" t="n"/>
      <c r="HCE82" s="440" t="n"/>
      <c r="HCF82" s="440" t="n"/>
      <c r="HCG82" s="440" t="n"/>
      <c r="HCH82" s="440" t="n"/>
      <c r="HCI82" s="440" t="n"/>
      <c r="HCJ82" s="440" t="n"/>
      <c r="HCK82" s="440" t="n"/>
      <c r="HCL82" s="440" t="n"/>
      <c r="HCM82" s="440" t="n"/>
      <c r="HCN82" s="440" t="n"/>
      <c r="HCO82" s="440" t="n"/>
      <c r="HCP82" s="440" t="n"/>
      <c r="HCQ82" s="440" t="n"/>
      <c r="HCR82" s="440" t="n"/>
      <c r="HCS82" s="440" t="n"/>
      <c r="HCT82" s="440" t="n"/>
      <c r="HCU82" s="440" t="n"/>
      <c r="HCV82" s="440" t="n"/>
      <c r="HCW82" s="440" t="n"/>
      <c r="HCX82" s="440" t="n"/>
      <c r="HCY82" s="440" t="n"/>
      <c r="HCZ82" s="440" t="n"/>
      <c r="HDA82" s="440" t="n"/>
      <c r="HDB82" s="440" t="n"/>
      <c r="HDC82" s="440" t="n"/>
      <c r="HDD82" s="440" t="n"/>
      <c r="HDE82" s="440" t="n"/>
      <c r="HDF82" s="440" t="n"/>
      <c r="HDG82" s="440" t="n"/>
      <c r="HDH82" s="440" t="n"/>
      <c r="HDI82" s="440" t="n"/>
      <c r="HDJ82" s="440" t="n"/>
      <c r="HDK82" s="440" t="n"/>
      <c r="HDL82" s="440" t="n"/>
      <c r="HDM82" s="440" t="n"/>
      <c r="HDN82" s="440" t="n"/>
      <c r="HDO82" s="440" t="n"/>
      <c r="HDP82" s="440" t="n"/>
      <c r="HDQ82" s="440" t="n"/>
      <c r="HDR82" s="440" t="n"/>
      <c r="HDS82" s="440" t="n"/>
      <c r="HDT82" s="440" t="n"/>
      <c r="HDU82" s="440" t="n"/>
      <c r="HDV82" s="440" t="n"/>
      <c r="HDW82" s="440" t="n"/>
      <c r="HDX82" s="440" t="n"/>
      <c r="HDY82" s="440" t="n"/>
      <c r="HDZ82" s="440" t="n"/>
      <c r="HEA82" s="440" t="n"/>
      <c r="HEB82" s="440" t="n"/>
      <c r="HEC82" s="440" t="n"/>
      <c r="HED82" s="440" t="n"/>
      <c r="HEE82" s="440" t="n"/>
      <c r="HEF82" s="440" t="n"/>
      <c r="HEG82" s="440" t="n"/>
      <c r="HEH82" s="440" t="n"/>
      <c r="HEI82" s="440" t="n"/>
      <c r="HEJ82" s="440" t="n"/>
      <c r="HEK82" s="440" t="n"/>
      <c r="HEL82" s="440" t="n"/>
      <c r="HEM82" s="440" t="n"/>
      <c r="HEN82" s="440" t="n"/>
      <c r="HEO82" s="440" t="n"/>
      <c r="HEP82" s="440" t="n"/>
      <c r="HEQ82" s="440" t="n"/>
      <c r="HER82" s="440" t="n"/>
      <c r="HES82" s="440" t="n"/>
      <c r="HET82" s="440" t="n"/>
      <c r="HEU82" s="440" t="n"/>
      <c r="HEV82" s="440" t="n"/>
      <c r="HEW82" s="440" t="n"/>
      <c r="HEX82" s="440" t="n"/>
      <c r="HEY82" s="440" t="n"/>
      <c r="HEZ82" s="440" t="n"/>
      <c r="HFA82" s="440" t="n"/>
      <c r="HFB82" s="440" t="n"/>
      <c r="HFC82" s="440" t="n"/>
      <c r="HFD82" s="440" t="n"/>
      <c r="HFE82" s="440" t="n"/>
      <c r="HFF82" s="440" t="n"/>
      <c r="HFG82" s="440" t="n"/>
      <c r="HFH82" s="440" t="n"/>
      <c r="HFI82" s="440" t="n"/>
      <c r="HFJ82" s="440" t="n"/>
      <c r="HFK82" s="440" t="n"/>
      <c r="HFL82" s="440" t="n"/>
      <c r="HFM82" s="440" t="n"/>
      <c r="HFN82" s="440" t="n"/>
      <c r="HFO82" s="440" t="n"/>
      <c r="HFP82" s="440" t="n"/>
      <c r="HFQ82" s="440" t="n"/>
      <c r="HFR82" s="440" t="n"/>
      <c r="HFS82" s="440" t="n"/>
      <c r="HFT82" s="440" t="n"/>
      <c r="HFU82" s="440" t="n"/>
      <c r="HFV82" s="440" t="n"/>
      <c r="HFW82" s="440" t="n"/>
      <c r="HFX82" s="440" t="n"/>
      <c r="HFY82" s="440" t="n"/>
      <c r="HFZ82" s="440" t="n"/>
      <c r="HGA82" s="440" t="n"/>
      <c r="HGB82" s="440" t="n"/>
      <c r="HGC82" s="440" t="n"/>
      <c r="HGD82" s="440" t="n"/>
      <c r="HGE82" s="440" t="n"/>
      <c r="HGF82" s="440" t="n"/>
      <c r="HGG82" s="440" t="n"/>
      <c r="HGH82" s="440" t="n"/>
      <c r="HGI82" s="440" t="n"/>
      <c r="HGJ82" s="440" t="n"/>
      <c r="HGK82" s="440" t="n"/>
      <c r="HGL82" s="440" t="n"/>
      <c r="HGM82" s="440" t="n"/>
      <c r="HGN82" s="440" t="n"/>
      <c r="HGO82" s="440" t="n"/>
      <c r="HGP82" s="440" t="n"/>
      <c r="HGQ82" s="440" t="n"/>
      <c r="HGR82" s="440" t="n"/>
      <c r="HGS82" s="440" t="n"/>
      <c r="HGT82" s="440" t="n"/>
      <c r="HGU82" s="440" t="n"/>
      <c r="HGV82" s="440" t="n"/>
      <c r="HGW82" s="440" t="n"/>
      <c r="HGX82" s="440" t="n"/>
      <c r="HGY82" s="440" t="n"/>
      <c r="HGZ82" s="440" t="n"/>
      <c r="HHA82" s="440" t="n"/>
      <c r="HHB82" s="440" t="n"/>
      <c r="HHC82" s="440" t="n"/>
      <c r="HHD82" s="440" t="n"/>
      <c r="HHE82" s="440" t="n"/>
      <c r="HHF82" s="440" t="n"/>
      <c r="HHG82" s="440" t="n"/>
      <c r="HHH82" s="440" t="n"/>
      <c r="HHI82" s="440" t="n"/>
      <c r="HHJ82" s="440" t="n"/>
      <c r="HHK82" s="440" t="n"/>
      <c r="HHL82" s="440" t="n"/>
      <c r="HHM82" s="440" t="n"/>
      <c r="HHN82" s="440" t="n"/>
      <c r="HHO82" s="440" t="n"/>
      <c r="HHP82" s="440" t="n"/>
      <c r="HHQ82" s="440" t="n"/>
      <c r="HHR82" s="440" t="n"/>
      <c r="HHS82" s="440" t="n"/>
      <c r="HHT82" s="440" t="n"/>
      <c r="HHU82" s="440" t="n"/>
      <c r="HHV82" s="440" t="n"/>
      <c r="HHW82" s="440" t="n"/>
      <c r="HHX82" s="440" t="n"/>
      <c r="HHY82" s="440" t="n"/>
      <c r="HHZ82" s="440" t="n"/>
      <c r="HIA82" s="440" t="n"/>
      <c r="HIB82" s="440" t="n"/>
      <c r="HIC82" s="440" t="n"/>
      <c r="HID82" s="440" t="n"/>
      <c r="HIE82" s="440" t="n"/>
      <c r="HIF82" s="440" t="n"/>
      <c r="HIG82" s="440" t="n"/>
      <c r="HIH82" s="440" t="n"/>
      <c r="HII82" s="440" t="n"/>
      <c r="HIJ82" s="440" t="n"/>
      <c r="HIK82" s="440" t="n"/>
      <c r="HIL82" s="440" t="n"/>
      <c r="HIM82" s="440" t="n"/>
      <c r="HIN82" s="440" t="n"/>
      <c r="HIO82" s="440" t="n"/>
      <c r="HIP82" s="440" t="n"/>
      <c r="HIQ82" s="440" t="n"/>
      <c r="HIR82" s="440" t="n"/>
      <c r="HIS82" s="440" t="n"/>
      <c r="HIT82" s="440" t="n"/>
      <c r="HIU82" s="440" t="n"/>
      <c r="HIV82" s="440" t="n"/>
      <c r="HIW82" s="440" t="n"/>
      <c r="HIX82" s="440" t="n"/>
      <c r="HIY82" s="440" t="n"/>
      <c r="HIZ82" s="440" t="n"/>
      <c r="HJA82" s="440" t="n"/>
      <c r="HJB82" s="440" t="n"/>
      <c r="HJC82" s="440" t="n"/>
      <c r="HJD82" s="440" t="n"/>
      <c r="HJE82" s="440" t="n"/>
      <c r="HJF82" s="440" t="n"/>
      <c r="HJG82" s="440" t="n"/>
      <c r="HJH82" s="440" t="n"/>
      <c r="HJI82" s="440" t="n"/>
      <c r="HJJ82" s="440" t="n"/>
      <c r="HJK82" s="440" t="n"/>
      <c r="HJL82" s="440" t="n"/>
      <c r="HJM82" s="440" t="n"/>
      <c r="HJN82" s="440" t="n"/>
      <c r="HJO82" s="440" t="n"/>
      <c r="HJP82" s="440" t="n"/>
      <c r="HJQ82" s="440" t="n"/>
      <c r="HJR82" s="440" t="n"/>
      <c r="HJS82" s="440" t="n"/>
      <c r="HJT82" s="440" t="n"/>
      <c r="HJU82" s="440" t="n"/>
      <c r="HJV82" s="440" t="n"/>
      <c r="HJW82" s="440" t="n"/>
      <c r="HJX82" s="440" t="n"/>
      <c r="HJY82" s="440" t="n"/>
      <c r="HJZ82" s="440" t="n"/>
      <c r="HKA82" s="440" t="n"/>
      <c r="HKB82" s="440" t="n"/>
      <c r="HKC82" s="440" t="n"/>
      <c r="HKD82" s="440" t="n"/>
      <c r="HKE82" s="440" t="n"/>
      <c r="HKF82" s="440" t="n"/>
      <c r="HKG82" s="440" t="n"/>
      <c r="HKH82" s="440" t="n"/>
      <c r="HKI82" s="440" t="n"/>
      <c r="HKJ82" s="440" t="n"/>
      <c r="HKK82" s="440" t="n"/>
      <c r="HKL82" s="440" t="n"/>
      <c r="HKM82" s="440" t="n"/>
      <c r="HKN82" s="440" t="n"/>
      <c r="HKO82" s="440" t="n"/>
      <c r="HKP82" s="440" t="n"/>
      <c r="HKQ82" s="440" t="n"/>
      <c r="HKR82" s="440" t="n"/>
      <c r="HKS82" s="440" t="n"/>
      <c r="HKT82" s="440" t="n"/>
      <c r="HKU82" s="440" t="n"/>
      <c r="HKV82" s="440" t="n"/>
      <c r="HKW82" s="440" t="n"/>
      <c r="HKX82" s="440" t="n"/>
      <c r="HKY82" s="440" t="n"/>
      <c r="HKZ82" s="440" t="n"/>
      <c r="HLA82" s="440" t="n"/>
      <c r="HLB82" s="440" t="n"/>
      <c r="HLC82" s="440" t="n"/>
      <c r="HLD82" s="440" t="n"/>
      <c r="HLE82" s="440" t="n"/>
      <c r="HLF82" s="440" t="n"/>
      <c r="HLG82" s="440" t="n"/>
      <c r="HLH82" s="440" t="n"/>
      <c r="HLI82" s="440" t="n"/>
      <c r="HLJ82" s="440" t="n"/>
      <c r="HLK82" s="440" t="n"/>
      <c r="HLL82" s="440" t="n"/>
      <c r="HLM82" s="440" t="n"/>
      <c r="HLN82" s="440" t="n"/>
      <c r="HLO82" s="440" t="n"/>
      <c r="HLP82" s="440" t="n"/>
      <c r="HLQ82" s="440" t="n"/>
      <c r="HLR82" s="440" t="n"/>
      <c r="HLS82" s="440" t="n"/>
      <c r="HLT82" s="440" t="n"/>
      <c r="HLU82" s="440" t="n"/>
      <c r="HLV82" s="440" t="n"/>
      <c r="HLW82" s="440" t="n"/>
      <c r="HLX82" s="440" t="n"/>
      <c r="HLY82" s="440" t="n"/>
      <c r="HLZ82" s="440" t="n"/>
      <c r="HMA82" s="440" t="n"/>
      <c r="HMB82" s="440" t="n"/>
      <c r="HMC82" s="440" t="n"/>
      <c r="HMD82" s="440" t="n"/>
      <c r="HME82" s="440" t="n"/>
      <c r="HMF82" s="440" t="n"/>
      <c r="HMG82" s="440" t="n"/>
      <c r="HMH82" s="440" t="n"/>
      <c r="HMI82" s="440" t="n"/>
      <c r="HMJ82" s="440" t="n"/>
      <c r="HMK82" s="440" t="n"/>
      <c r="HML82" s="440" t="n"/>
      <c r="HMM82" s="440" t="n"/>
      <c r="HMN82" s="440" t="n"/>
      <c r="HMO82" s="440" t="n"/>
      <c r="HMP82" s="440" t="n"/>
      <c r="HMQ82" s="440" t="n"/>
      <c r="HMR82" s="440" t="n"/>
      <c r="HMS82" s="440" t="n"/>
      <c r="HMT82" s="440" t="n"/>
      <c r="HMU82" s="440" t="n"/>
      <c r="HMV82" s="440" t="n"/>
      <c r="HMW82" s="440" t="n"/>
      <c r="HMX82" s="440" t="n"/>
      <c r="HMY82" s="440" t="n"/>
      <c r="HMZ82" s="440" t="n"/>
      <c r="HNA82" s="440" t="n"/>
      <c r="HNB82" s="440" t="n"/>
      <c r="HNC82" s="440" t="n"/>
      <c r="HND82" s="440" t="n"/>
      <c r="HNE82" s="440" t="n"/>
      <c r="HNF82" s="440" t="n"/>
      <c r="HNG82" s="440" t="n"/>
      <c r="HNH82" s="440" t="n"/>
      <c r="HNI82" s="440" t="n"/>
      <c r="HNJ82" s="440" t="n"/>
      <c r="HNK82" s="440" t="n"/>
      <c r="HNL82" s="440" t="n"/>
      <c r="HNM82" s="440" t="n"/>
      <c r="HNN82" s="440" t="n"/>
      <c r="HNO82" s="440" t="n"/>
      <c r="HNP82" s="440" t="n"/>
      <c r="HNQ82" s="440" t="n"/>
      <c r="HNR82" s="440" t="n"/>
      <c r="HNS82" s="440" t="n"/>
      <c r="HNT82" s="440" t="n"/>
      <c r="HNU82" s="440" t="n"/>
      <c r="HNV82" s="440" t="n"/>
      <c r="HNW82" s="440" t="n"/>
      <c r="HNX82" s="440" t="n"/>
      <c r="HNY82" s="440" t="n"/>
      <c r="HNZ82" s="440" t="n"/>
      <c r="HOA82" s="440" t="n"/>
      <c r="HOB82" s="440" t="n"/>
      <c r="HOC82" s="440" t="n"/>
      <c r="HOD82" s="440" t="n"/>
      <c r="HOE82" s="440" t="n"/>
      <c r="HOF82" s="440" t="n"/>
      <c r="HOG82" s="440" t="n"/>
      <c r="HOH82" s="440" t="n"/>
      <c r="HOI82" s="440" t="n"/>
      <c r="HOJ82" s="440" t="n"/>
      <c r="HOK82" s="440" t="n"/>
      <c r="HOL82" s="440" t="n"/>
      <c r="HOM82" s="440" t="n"/>
      <c r="HON82" s="440" t="n"/>
      <c r="HOO82" s="440" t="n"/>
      <c r="HOP82" s="440" t="n"/>
      <c r="HOQ82" s="440" t="n"/>
      <c r="HOR82" s="440" t="n"/>
      <c r="HOS82" s="440" t="n"/>
      <c r="HOT82" s="440" t="n"/>
      <c r="HOU82" s="440" t="n"/>
      <c r="HOV82" s="440" t="n"/>
      <c r="HOW82" s="440" t="n"/>
      <c r="HOX82" s="440" t="n"/>
      <c r="HOY82" s="440" t="n"/>
      <c r="HOZ82" s="440" t="n"/>
      <c r="HPA82" s="440" t="n"/>
      <c r="HPB82" s="440" t="n"/>
      <c r="HPC82" s="440" t="n"/>
      <c r="HPD82" s="440" t="n"/>
      <c r="HPE82" s="440" t="n"/>
      <c r="HPF82" s="440" t="n"/>
      <c r="HPG82" s="440" t="n"/>
      <c r="HPH82" s="440" t="n"/>
      <c r="HPI82" s="440" t="n"/>
      <c r="HPJ82" s="440" t="n"/>
      <c r="HPK82" s="440" t="n"/>
      <c r="HPL82" s="440" t="n"/>
      <c r="HPM82" s="440" t="n"/>
      <c r="HPN82" s="440" t="n"/>
      <c r="HPO82" s="440" t="n"/>
      <c r="HPP82" s="440" t="n"/>
      <c r="HPQ82" s="440" t="n"/>
      <c r="HPR82" s="440" t="n"/>
      <c r="HPS82" s="440" t="n"/>
      <c r="HPT82" s="440" t="n"/>
      <c r="HPU82" s="440" t="n"/>
      <c r="HPV82" s="440" t="n"/>
      <c r="HPW82" s="440" t="n"/>
      <c r="HPX82" s="440" t="n"/>
      <c r="HPY82" s="440" t="n"/>
      <c r="HPZ82" s="440" t="n"/>
      <c r="HQA82" s="440" t="n"/>
      <c r="HQB82" s="440" t="n"/>
      <c r="HQC82" s="440" t="n"/>
      <c r="HQD82" s="440" t="n"/>
      <c r="HQE82" s="440" t="n"/>
      <c r="HQF82" s="440" t="n"/>
      <c r="HQG82" s="440" t="n"/>
      <c r="HQH82" s="440" t="n"/>
      <c r="HQI82" s="440" t="n"/>
      <c r="HQJ82" s="440" t="n"/>
      <c r="HQK82" s="440" t="n"/>
      <c r="HQL82" s="440" t="n"/>
      <c r="HQM82" s="440" t="n"/>
      <c r="HQN82" s="440" t="n"/>
      <c r="HQO82" s="440" t="n"/>
      <c r="HQP82" s="440" t="n"/>
      <c r="HQQ82" s="440" t="n"/>
      <c r="HQR82" s="440" t="n"/>
      <c r="HQS82" s="440" t="n"/>
      <c r="HQT82" s="440" t="n"/>
      <c r="HQU82" s="440" t="n"/>
      <c r="HQV82" s="440" t="n"/>
      <c r="HQW82" s="440" t="n"/>
      <c r="HQX82" s="440" t="n"/>
      <c r="HQY82" s="440" t="n"/>
      <c r="HQZ82" s="440" t="n"/>
      <c r="HRA82" s="440" t="n"/>
      <c r="HRB82" s="440" t="n"/>
      <c r="HRC82" s="440" t="n"/>
      <c r="HRD82" s="440" t="n"/>
      <c r="HRE82" s="440" t="n"/>
      <c r="HRF82" s="440" t="n"/>
      <c r="HRG82" s="440" t="n"/>
      <c r="HRH82" s="440" t="n"/>
      <c r="HRI82" s="440" t="n"/>
      <c r="HRJ82" s="440" t="n"/>
      <c r="HRK82" s="440" t="n"/>
      <c r="HRL82" s="440" t="n"/>
      <c r="HRM82" s="440" t="n"/>
      <c r="HRN82" s="440" t="n"/>
      <c r="HRO82" s="440" t="n"/>
      <c r="HRP82" s="440" t="n"/>
      <c r="HRQ82" s="440" t="n"/>
      <c r="HRR82" s="440" t="n"/>
      <c r="HRS82" s="440" t="n"/>
      <c r="HRT82" s="440" t="n"/>
      <c r="HRU82" s="440" t="n"/>
      <c r="HRV82" s="440" t="n"/>
      <c r="HRW82" s="440" t="n"/>
      <c r="HRX82" s="440" t="n"/>
      <c r="HRY82" s="440" t="n"/>
      <c r="HRZ82" s="440" t="n"/>
      <c r="HSA82" s="440" t="n"/>
      <c r="HSB82" s="440" t="n"/>
      <c r="HSC82" s="440" t="n"/>
      <c r="HSD82" s="440" t="n"/>
      <c r="HSE82" s="440" t="n"/>
      <c r="HSF82" s="440" t="n"/>
      <c r="HSG82" s="440" t="n"/>
      <c r="HSH82" s="440" t="n"/>
      <c r="HSI82" s="440" t="n"/>
      <c r="HSJ82" s="440" t="n"/>
      <c r="HSK82" s="440" t="n"/>
      <c r="HSL82" s="440" t="n"/>
      <c r="HSM82" s="440" t="n"/>
      <c r="HSN82" s="440" t="n"/>
      <c r="HSO82" s="440" t="n"/>
      <c r="HSP82" s="440" t="n"/>
      <c r="HSQ82" s="440" t="n"/>
      <c r="HSR82" s="440" t="n"/>
      <c r="HSS82" s="440" t="n"/>
      <c r="HST82" s="440" t="n"/>
      <c r="HSU82" s="440" t="n"/>
      <c r="HSV82" s="440" t="n"/>
      <c r="HSW82" s="440" t="n"/>
      <c r="HSX82" s="440" t="n"/>
      <c r="HSY82" s="440" t="n"/>
      <c r="HSZ82" s="440" t="n"/>
      <c r="HTA82" s="440" t="n"/>
      <c r="HTB82" s="440" t="n"/>
      <c r="HTC82" s="440" t="n"/>
      <c r="HTD82" s="440" t="n"/>
      <c r="HTE82" s="440" t="n"/>
      <c r="HTF82" s="440" t="n"/>
      <c r="HTG82" s="440" t="n"/>
      <c r="HTH82" s="440" t="n"/>
      <c r="HTI82" s="440" t="n"/>
      <c r="HTJ82" s="440" t="n"/>
      <c r="HTK82" s="440" t="n"/>
      <c r="HTL82" s="440" t="n"/>
      <c r="HTM82" s="440" t="n"/>
      <c r="HTN82" s="440" t="n"/>
      <c r="HTO82" s="440" t="n"/>
      <c r="HTP82" s="440" t="n"/>
      <c r="HTQ82" s="440" t="n"/>
      <c r="HTR82" s="440" t="n"/>
      <c r="HTS82" s="440" t="n"/>
      <c r="HTT82" s="440" t="n"/>
      <c r="HTU82" s="440" t="n"/>
      <c r="HTV82" s="440" t="n"/>
      <c r="HTW82" s="440" t="n"/>
      <c r="HTX82" s="440" t="n"/>
      <c r="HTY82" s="440" t="n"/>
      <c r="HTZ82" s="440" t="n"/>
      <c r="HUA82" s="440" t="n"/>
      <c r="HUB82" s="440" t="n"/>
      <c r="HUC82" s="440" t="n"/>
      <c r="HUD82" s="440" t="n"/>
      <c r="HUE82" s="440" t="n"/>
      <c r="HUF82" s="440" t="n"/>
      <c r="HUG82" s="440" t="n"/>
      <c r="HUH82" s="440" t="n"/>
      <c r="HUI82" s="440" t="n"/>
      <c r="HUJ82" s="440" t="n"/>
      <c r="HUK82" s="440" t="n"/>
      <c r="HUL82" s="440" t="n"/>
      <c r="HUM82" s="440" t="n"/>
      <c r="HUN82" s="440" t="n"/>
      <c r="HUO82" s="440" t="n"/>
      <c r="HUP82" s="440" t="n"/>
      <c r="HUQ82" s="440" t="n"/>
      <c r="HUR82" s="440" t="n"/>
      <c r="HUS82" s="440" t="n"/>
      <c r="HUT82" s="440" t="n"/>
      <c r="HUU82" s="440" t="n"/>
      <c r="HUV82" s="440" t="n"/>
      <c r="HUW82" s="440" t="n"/>
      <c r="HUX82" s="440" t="n"/>
      <c r="HUY82" s="440" t="n"/>
      <c r="HUZ82" s="440" t="n"/>
      <c r="HVA82" s="440" t="n"/>
      <c r="HVB82" s="440" t="n"/>
      <c r="HVC82" s="440" t="n"/>
      <c r="HVD82" s="440" t="n"/>
      <c r="HVE82" s="440" t="n"/>
      <c r="HVF82" s="440" t="n"/>
      <c r="HVG82" s="440" t="n"/>
      <c r="HVH82" s="440" t="n"/>
      <c r="HVI82" s="440" t="n"/>
      <c r="HVJ82" s="440" t="n"/>
      <c r="HVK82" s="440" t="n"/>
      <c r="HVL82" s="440" t="n"/>
      <c r="HVM82" s="440" t="n"/>
      <c r="HVN82" s="440" t="n"/>
      <c r="HVO82" s="440" t="n"/>
      <c r="HVP82" s="440" t="n"/>
      <c r="HVQ82" s="440" t="n"/>
      <c r="HVR82" s="440" t="n"/>
      <c r="HVS82" s="440" t="n"/>
      <c r="HVT82" s="440" t="n"/>
      <c r="HVU82" s="440" t="n"/>
      <c r="HVV82" s="440" t="n"/>
      <c r="HVW82" s="440" t="n"/>
      <c r="HVX82" s="440" t="n"/>
      <c r="HVY82" s="440" t="n"/>
      <c r="HVZ82" s="440" t="n"/>
      <c r="HWA82" s="440" t="n"/>
      <c r="HWB82" s="440" t="n"/>
      <c r="HWC82" s="440" t="n"/>
      <c r="HWD82" s="440" t="n"/>
      <c r="HWE82" s="440" t="n"/>
      <c r="HWF82" s="440" t="n"/>
      <c r="HWG82" s="440" t="n"/>
      <c r="HWH82" s="440" t="n"/>
      <c r="HWI82" s="440" t="n"/>
      <c r="HWJ82" s="440" t="n"/>
      <c r="HWK82" s="440" t="n"/>
      <c r="HWL82" s="440" t="n"/>
      <c r="HWM82" s="440" t="n"/>
      <c r="HWN82" s="440" t="n"/>
      <c r="HWO82" s="440" t="n"/>
      <c r="HWP82" s="440" t="n"/>
      <c r="HWQ82" s="440" t="n"/>
      <c r="HWR82" s="440" t="n"/>
      <c r="HWS82" s="440" t="n"/>
      <c r="HWT82" s="440" t="n"/>
      <c r="HWU82" s="440" t="n"/>
      <c r="HWV82" s="440" t="n"/>
      <c r="HWW82" s="440" t="n"/>
      <c r="HWX82" s="440" t="n"/>
      <c r="HWY82" s="440" t="n"/>
      <c r="HWZ82" s="440" t="n"/>
      <c r="HXA82" s="440" t="n"/>
      <c r="HXB82" s="440" t="n"/>
      <c r="HXC82" s="440" t="n"/>
      <c r="HXD82" s="440" t="n"/>
      <c r="HXE82" s="440" t="n"/>
      <c r="HXF82" s="440" t="n"/>
      <c r="HXG82" s="440" t="n"/>
      <c r="HXH82" s="440" t="n"/>
      <c r="HXI82" s="440" t="n"/>
      <c r="HXJ82" s="440" t="n"/>
      <c r="HXK82" s="440" t="n"/>
      <c r="HXL82" s="440" t="n"/>
      <c r="HXM82" s="440" t="n"/>
      <c r="HXN82" s="440" t="n"/>
      <c r="HXO82" s="440" t="n"/>
      <c r="HXP82" s="440" t="n"/>
      <c r="HXQ82" s="440" t="n"/>
      <c r="HXR82" s="440" t="n"/>
      <c r="HXS82" s="440" t="n"/>
      <c r="HXT82" s="440" t="n"/>
      <c r="HXU82" s="440" t="n"/>
      <c r="HXV82" s="440" t="n"/>
      <c r="HXW82" s="440" t="n"/>
      <c r="HXX82" s="440" t="n"/>
      <c r="HXY82" s="440" t="n"/>
      <c r="HXZ82" s="440" t="n"/>
      <c r="HYA82" s="440" t="n"/>
      <c r="HYB82" s="440" t="n"/>
      <c r="HYC82" s="440" t="n"/>
      <c r="HYD82" s="440" t="n"/>
      <c r="HYE82" s="440" t="n"/>
      <c r="HYF82" s="440" t="n"/>
      <c r="HYG82" s="440" t="n"/>
      <c r="HYH82" s="440" t="n"/>
      <c r="HYI82" s="440" t="n"/>
      <c r="HYJ82" s="440" t="n"/>
      <c r="HYK82" s="440" t="n"/>
      <c r="HYL82" s="440" t="n"/>
      <c r="HYM82" s="440" t="n"/>
      <c r="HYN82" s="440" t="n"/>
      <c r="HYO82" s="440" t="n"/>
      <c r="HYP82" s="440" t="n"/>
      <c r="HYQ82" s="440" t="n"/>
      <c r="HYR82" s="440" t="n"/>
      <c r="HYS82" s="440" t="n"/>
      <c r="HYT82" s="440" t="n"/>
      <c r="HYU82" s="440" t="n"/>
      <c r="HYV82" s="440" t="n"/>
      <c r="HYW82" s="440" t="n"/>
      <c r="HYX82" s="440" t="n"/>
      <c r="HYY82" s="440" t="n"/>
      <c r="HYZ82" s="440" t="n"/>
      <c r="HZA82" s="440" t="n"/>
      <c r="HZB82" s="440" t="n"/>
      <c r="HZC82" s="440" t="n"/>
      <c r="HZD82" s="440" t="n"/>
      <c r="HZE82" s="440" t="n"/>
      <c r="HZF82" s="440" t="n"/>
      <c r="HZG82" s="440" t="n"/>
      <c r="HZH82" s="440" t="n"/>
      <c r="HZI82" s="440" t="n"/>
      <c r="HZJ82" s="440" t="n"/>
      <c r="HZK82" s="440" t="n"/>
      <c r="HZL82" s="440" t="n"/>
      <c r="HZM82" s="440" t="n"/>
      <c r="HZN82" s="440" t="n"/>
      <c r="HZO82" s="440" t="n"/>
      <c r="HZP82" s="440" t="n"/>
      <c r="HZQ82" s="440" t="n"/>
      <c r="HZR82" s="440" t="n"/>
      <c r="HZS82" s="440" t="n"/>
      <c r="HZT82" s="440" t="n"/>
      <c r="HZU82" s="440" t="n"/>
      <c r="HZV82" s="440" t="n"/>
      <c r="HZW82" s="440" t="n"/>
      <c r="HZX82" s="440" t="n"/>
      <c r="HZY82" s="440" t="n"/>
      <c r="HZZ82" s="440" t="n"/>
      <c r="IAA82" s="440" t="n"/>
      <c r="IAB82" s="440" t="n"/>
      <c r="IAC82" s="440" t="n"/>
      <c r="IAD82" s="440" t="n"/>
      <c r="IAE82" s="440" t="n"/>
      <c r="IAF82" s="440" t="n"/>
      <c r="IAG82" s="440" t="n"/>
      <c r="IAH82" s="440" t="n"/>
      <c r="IAI82" s="440" t="n"/>
      <c r="IAJ82" s="440" t="n"/>
      <c r="IAK82" s="440" t="n"/>
      <c r="IAL82" s="440" t="n"/>
      <c r="IAM82" s="440" t="n"/>
      <c r="IAN82" s="440" t="n"/>
      <c r="IAO82" s="440" t="n"/>
      <c r="IAP82" s="440" t="n"/>
      <c r="IAQ82" s="440" t="n"/>
      <c r="IAR82" s="440" t="n"/>
      <c r="IAS82" s="440" t="n"/>
      <c r="IAT82" s="440" t="n"/>
      <c r="IAU82" s="440" t="n"/>
      <c r="IAV82" s="440" t="n"/>
      <c r="IAW82" s="440" t="n"/>
      <c r="IAX82" s="440" t="n"/>
      <c r="IAY82" s="440" t="n"/>
      <c r="IAZ82" s="440" t="n"/>
      <c r="IBA82" s="440" t="n"/>
      <c r="IBB82" s="440" t="n"/>
      <c r="IBC82" s="440" t="n"/>
      <c r="IBD82" s="440" t="n"/>
      <c r="IBE82" s="440" t="n"/>
      <c r="IBF82" s="440" t="n"/>
      <c r="IBG82" s="440" t="n"/>
      <c r="IBH82" s="440" t="n"/>
      <c r="IBI82" s="440" t="n"/>
      <c r="IBJ82" s="440" t="n"/>
      <c r="IBK82" s="440" t="n"/>
      <c r="IBL82" s="440" t="n"/>
      <c r="IBM82" s="440" t="n"/>
      <c r="IBN82" s="440" t="n"/>
      <c r="IBO82" s="440" t="n"/>
      <c r="IBP82" s="440" t="n"/>
      <c r="IBQ82" s="440" t="n"/>
      <c r="IBR82" s="440" t="n"/>
      <c r="IBS82" s="440" t="n"/>
      <c r="IBT82" s="440" t="n"/>
      <c r="IBU82" s="440" t="n"/>
      <c r="IBV82" s="440" t="n"/>
      <c r="IBW82" s="440" t="n"/>
      <c r="IBX82" s="440" t="n"/>
      <c r="IBY82" s="440" t="n"/>
      <c r="IBZ82" s="440" t="n"/>
      <c r="ICA82" s="440" t="n"/>
      <c r="ICB82" s="440" t="n"/>
      <c r="ICC82" s="440" t="n"/>
      <c r="ICD82" s="440" t="n"/>
      <c r="ICE82" s="440" t="n"/>
      <c r="ICF82" s="440" t="n"/>
      <c r="ICG82" s="440" t="n"/>
      <c r="ICH82" s="440" t="n"/>
      <c r="ICI82" s="440" t="n"/>
      <c r="ICJ82" s="440" t="n"/>
      <c r="ICK82" s="440" t="n"/>
      <c r="ICL82" s="440" t="n"/>
      <c r="ICM82" s="440" t="n"/>
      <c r="ICN82" s="440" t="n"/>
      <c r="ICO82" s="440" t="n"/>
      <c r="ICP82" s="440" t="n"/>
      <c r="ICQ82" s="440" t="n"/>
      <c r="ICR82" s="440" t="n"/>
      <c r="ICS82" s="440" t="n"/>
      <c r="ICT82" s="440" t="n"/>
      <c r="ICU82" s="440" t="n"/>
      <c r="ICV82" s="440" t="n"/>
      <c r="ICW82" s="440" t="n"/>
      <c r="ICX82" s="440" t="n"/>
      <c r="ICY82" s="440" t="n"/>
      <c r="ICZ82" s="440" t="n"/>
      <c r="IDA82" s="440" t="n"/>
      <c r="IDB82" s="440" t="n"/>
      <c r="IDC82" s="440" t="n"/>
      <c r="IDD82" s="440" t="n"/>
      <c r="IDE82" s="440" t="n"/>
      <c r="IDF82" s="440" t="n"/>
      <c r="IDG82" s="440" t="n"/>
      <c r="IDH82" s="440" t="n"/>
      <c r="IDI82" s="440" t="n"/>
      <c r="IDJ82" s="440" t="n"/>
      <c r="IDK82" s="440" t="n"/>
      <c r="IDL82" s="440" t="n"/>
      <c r="IDM82" s="440" t="n"/>
      <c r="IDN82" s="440" t="n"/>
      <c r="IDO82" s="440" t="n"/>
      <c r="IDP82" s="440" t="n"/>
      <c r="IDQ82" s="440" t="n"/>
      <c r="IDR82" s="440" t="n"/>
      <c r="IDS82" s="440" t="n"/>
      <c r="IDT82" s="440" t="n"/>
      <c r="IDU82" s="440" t="n"/>
      <c r="IDV82" s="440" t="n"/>
      <c r="IDW82" s="440" t="n"/>
      <c r="IDX82" s="440" t="n"/>
      <c r="IDY82" s="440" t="n"/>
      <c r="IDZ82" s="440" t="n"/>
      <c r="IEA82" s="440" t="n"/>
      <c r="IEB82" s="440" t="n"/>
      <c r="IEC82" s="440" t="n"/>
      <c r="IED82" s="440" t="n"/>
      <c r="IEE82" s="440" t="n"/>
      <c r="IEF82" s="440" t="n"/>
      <c r="IEG82" s="440" t="n"/>
      <c r="IEH82" s="440" t="n"/>
      <c r="IEI82" s="440" t="n"/>
      <c r="IEJ82" s="440" t="n"/>
      <c r="IEK82" s="440" t="n"/>
      <c r="IEL82" s="440" t="n"/>
      <c r="IEM82" s="440" t="n"/>
      <c r="IEN82" s="440" t="n"/>
      <c r="IEO82" s="440" t="n"/>
      <c r="IEP82" s="440" t="n"/>
      <c r="IEQ82" s="440" t="n"/>
      <c r="IER82" s="440" t="n"/>
      <c r="IES82" s="440" t="n"/>
      <c r="IET82" s="440" t="n"/>
      <c r="IEU82" s="440" t="n"/>
      <c r="IEV82" s="440" t="n"/>
      <c r="IEW82" s="440" t="n"/>
      <c r="IEX82" s="440" t="n"/>
      <c r="IEY82" s="440" t="n"/>
      <c r="IEZ82" s="440" t="n"/>
      <c r="IFA82" s="440" t="n"/>
      <c r="IFB82" s="440" t="n"/>
      <c r="IFC82" s="440" t="n"/>
      <c r="IFD82" s="440" t="n"/>
      <c r="IFE82" s="440" t="n"/>
      <c r="IFF82" s="440" t="n"/>
      <c r="IFG82" s="440" t="n"/>
      <c r="IFH82" s="440" t="n"/>
      <c r="IFI82" s="440" t="n"/>
      <c r="IFJ82" s="440" t="n"/>
      <c r="IFK82" s="440" t="n"/>
      <c r="IFL82" s="440" t="n"/>
      <c r="IFM82" s="440" t="n"/>
      <c r="IFN82" s="440" t="n"/>
      <c r="IFO82" s="440" t="n"/>
      <c r="IFP82" s="440" t="n"/>
      <c r="IFQ82" s="440" t="n"/>
      <c r="IFR82" s="440" t="n"/>
      <c r="IFS82" s="440" t="n"/>
      <c r="IFT82" s="440" t="n"/>
      <c r="IFU82" s="440" t="n"/>
      <c r="IFV82" s="440" t="n"/>
      <c r="IFW82" s="440" t="n"/>
      <c r="IFX82" s="440" t="n"/>
      <c r="IFY82" s="440" t="n"/>
      <c r="IFZ82" s="440" t="n"/>
      <c r="IGA82" s="440" t="n"/>
      <c r="IGB82" s="440" t="n"/>
      <c r="IGC82" s="440" t="n"/>
      <c r="IGD82" s="440" t="n"/>
      <c r="IGE82" s="440" t="n"/>
      <c r="IGF82" s="440" t="n"/>
      <c r="IGG82" s="440" t="n"/>
      <c r="IGH82" s="440" t="n"/>
      <c r="IGI82" s="440" t="n"/>
      <c r="IGJ82" s="440" t="n"/>
      <c r="IGK82" s="440" t="n"/>
      <c r="IGL82" s="440" t="n"/>
      <c r="IGM82" s="440" t="n"/>
      <c r="IGN82" s="440" t="n"/>
      <c r="IGO82" s="440" t="n"/>
      <c r="IGP82" s="440" t="n"/>
      <c r="IGQ82" s="440" t="n"/>
      <c r="IGR82" s="440" t="n"/>
      <c r="IGS82" s="440" t="n"/>
      <c r="IGT82" s="440" t="n"/>
      <c r="IGU82" s="440" t="n"/>
      <c r="IGV82" s="440" t="n"/>
      <c r="IGW82" s="440" t="n"/>
      <c r="IGX82" s="440" t="n"/>
      <c r="IGY82" s="440" t="n"/>
      <c r="IGZ82" s="440" t="n"/>
      <c r="IHA82" s="440" t="n"/>
      <c r="IHB82" s="440" t="n"/>
      <c r="IHC82" s="440" t="n"/>
      <c r="IHD82" s="440" t="n"/>
      <c r="IHE82" s="440" t="n"/>
      <c r="IHF82" s="440" t="n"/>
      <c r="IHG82" s="440" t="n"/>
      <c r="IHH82" s="440" t="n"/>
      <c r="IHI82" s="440" t="n"/>
      <c r="IHJ82" s="440" t="n"/>
      <c r="IHK82" s="440" t="n"/>
      <c r="IHL82" s="440" t="n"/>
      <c r="IHM82" s="440" t="n"/>
      <c r="IHN82" s="440" t="n"/>
      <c r="IHO82" s="440" t="n"/>
      <c r="IHP82" s="440" t="n"/>
      <c r="IHQ82" s="440" t="n"/>
      <c r="IHR82" s="440" t="n"/>
      <c r="IHS82" s="440" t="n"/>
      <c r="IHT82" s="440" t="n"/>
      <c r="IHU82" s="440" t="n"/>
      <c r="IHV82" s="440" t="n"/>
      <c r="IHW82" s="440" t="n"/>
      <c r="IHX82" s="440" t="n"/>
      <c r="IHY82" s="440" t="n"/>
      <c r="IHZ82" s="440" t="n"/>
      <c r="IIA82" s="440" t="n"/>
      <c r="IIB82" s="440" t="n"/>
      <c r="IIC82" s="440" t="n"/>
      <c r="IID82" s="440" t="n"/>
      <c r="IIE82" s="440" t="n"/>
      <c r="IIF82" s="440" t="n"/>
      <c r="IIG82" s="440" t="n"/>
      <c r="IIH82" s="440" t="n"/>
      <c r="III82" s="440" t="n"/>
      <c r="IIJ82" s="440" t="n"/>
      <c r="IIK82" s="440" t="n"/>
      <c r="IIL82" s="440" t="n"/>
      <c r="IIM82" s="440" t="n"/>
      <c r="IIN82" s="440" t="n"/>
      <c r="IIO82" s="440" t="n"/>
      <c r="IIP82" s="440" t="n"/>
      <c r="IIQ82" s="440" t="n"/>
      <c r="IIR82" s="440" t="n"/>
      <c r="IIS82" s="440" t="n"/>
      <c r="IIT82" s="440" t="n"/>
      <c r="IIU82" s="440" t="n"/>
      <c r="IIV82" s="440" t="n"/>
      <c r="IIW82" s="440" t="n"/>
      <c r="IIX82" s="440" t="n"/>
      <c r="IIY82" s="440" t="n"/>
      <c r="IIZ82" s="440" t="n"/>
      <c r="IJA82" s="440" t="n"/>
      <c r="IJB82" s="440" t="n"/>
      <c r="IJC82" s="440" t="n"/>
      <c r="IJD82" s="440" t="n"/>
      <c r="IJE82" s="440" t="n"/>
      <c r="IJF82" s="440" t="n"/>
      <c r="IJG82" s="440" t="n"/>
      <c r="IJH82" s="440" t="n"/>
      <c r="IJI82" s="440" t="n"/>
      <c r="IJJ82" s="440" t="n"/>
      <c r="IJK82" s="440" t="n"/>
      <c r="IJL82" s="440" t="n"/>
      <c r="IJM82" s="440" t="n"/>
      <c r="IJN82" s="440" t="n"/>
      <c r="IJO82" s="440" t="n"/>
      <c r="IJP82" s="440" t="n"/>
      <c r="IJQ82" s="440" t="n"/>
      <c r="IJR82" s="440" t="n"/>
      <c r="IJS82" s="440" t="n"/>
      <c r="IJT82" s="440" t="n"/>
      <c r="IJU82" s="440" t="n"/>
      <c r="IJV82" s="440" t="n"/>
      <c r="IJW82" s="440" t="n"/>
      <c r="IJX82" s="440" t="n"/>
      <c r="IJY82" s="440" t="n"/>
      <c r="IJZ82" s="440" t="n"/>
      <c r="IKA82" s="440" t="n"/>
      <c r="IKB82" s="440" t="n"/>
      <c r="IKC82" s="440" t="n"/>
      <c r="IKD82" s="440" t="n"/>
      <c r="IKE82" s="440" t="n"/>
      <c r="IKF82" s="440" t="n"/>
      <c r="IKG82" s="440" t="n"/>
      <c r="IKH82" s="440" t="n"/>
      <c r="IKI82" s="440" t="n"/>
      <c r="IKJ82" s="440" t="n"/>
      <c r="IKK82" s="440" t="n"/>
      <c r="IKL82" s="440" t="n"/>
      <c r="IKM82" s="440" t="n"/>
      <c r="IKN82" s="440" t="n"/>
      <c r="IKO82" s="440" t="n"/>
      <c r="IKP82" s="440" t="n"/>
      <c r="IKQ82" s="440" t="n"/>
      <c r="IKR82" s="440" t="n"/>
      <c r="IKS82" s="440" t="n"/>
      <c r="IKT82" s="440" t="n"/>
      <c r="IKU82" s="440" t="n"/>
      <c r="IKV82" s="440" t="n"/>
      <c r="IKW82" s="440" t="n"/>
      <c r="IKX82" s="440" t="n"/>
      <c r="IKY82" s="440" t="n"/>
      <c r="IKZ82" s="440" t="n"/>
      <c r="ILA82" s="440" t="n"/>
      <c r="ILB82" s="440" t="n"/>
      <c r="ILC82" s="440" t="n"/>
      <c r="ILD82" s="440" t="n"/>
      <c r="ILE82" s="440" t="n"/>
      <c r="ILF82" s="440" t="n"/>
      <c r="ILG82" s="440" t="n"/>
      <c r="ILH82" s="440" t="n"/>
      <c r="ILI82" s="440" t="n"/>
      <c r="ILJ82" s="440" t="n"/>
      <c r="ILK82" s="440" t="n"/>
      <c r="ILL82" s="440" t="n"/>
      <c r="ILM82" s="440" t="n"/>
      <c r="ILN82" s="440" t="n"/>
      <c r="ILO82" s="440" t="n"/>
      <c r="ILP82" s="440" t="n"/>
      <c r="ILQ82" s="440" t="n"/>
      <c r="ILR82" s="440" t="n"/>
      <c r="ILS82" s="440" t="n"/>
      <c r="ILT82" s="440" t="n"/>
      <c r="ILU82" s="440" t="n"/>
      <c r="ILV82" s="440" t="n"/>
      <c r="ILW82" s="440" t="n"/>
      <c r="ILX82" s="440" t="n"/>
      <c r="ILY82" s="440" t="n"/>
      <c r="ILZ82" s="440" t="n"/>
      <c r="IMA82" s="440" t="n"/>
      <c r="IMB82" s="440" t="n"/>
      <c r="IMC82" s="440" t="n"/>
      <c r="IMD82" s="440" t="n"/>
      <c r="IME82" s="440" t="n"/>
      <c r="IMF82" s="440" t="n"/>
      <c r="IMG82" s="440" t="n"/>
      <c r="IMH82" s="440" t="n"/>
      <c r="IMI82" s="440" t="n"/>
      <c r="IMJ82" s="440" t="n"/>
      <c r="IMK82" s="440" t="n"/>
      <c r="IML82" s="440" t="n"/>
      <c r="IMM82" s="440" t="n"/>
      <c r="IMN82" s="440" t="n"/>
      <c r="IMO82" s="440" t="n"/>
      <c r="IMP82" s="440" t="n"/>
      <c r="IMQ82" s="440" t="n"/>
      <c r="IMR82" s="440" t="n"/>
      <c r="IMS82" s="440" t="n"/>
      <c r="IMT82" s="440" t="n"/>
      <c r="IMU82" s="440" t="n"/>
      <c r="IMV82" s="440" t="n"/>
      <c r="IMW82" s="440" t="n"/>
      <c r="IMX82" s="440" t="n"/>
      <c r="IMY82" s="440" t="n"/>
      <c r="IMZ82" s="440" t="n"/>
      <c r="INA82" s="440" t="n"/>
      <c r="INB82" s="440" t="n"/>
      <c r="INC82" s="440" t="n"/>
      <c r="IND82" s="440" t="n"/>
      <c r="INE82" s="440" t="n"/>
      <c r="INF82" s="440" t="n"/>
      <c r="ING82" s="440" t="n"/>
      <c r="INH82" s="440" t="n"/>
      <c r="INI82" s="440" t="n"/>
      <c r="INJ82" s="440" t="n"/>
      <c r="INK82" s="440" t="n"/>
      <c r="INL82" s="440" t="n"/>
      <c r="INM82" s="440" t="n"/>
      <c r="INN82" s="440" t="n"/>
      <c r="INO82" s="440" t="n"/>
      <c r="INP82" s="440" t="n"/>
      <c r="INQ82" s="440" t="n"/>
      <c r="INR82" s="440" t="n"/>
      <c r="INS82" s="440" t="n"/>
      <c r="INT82" s="440" t="n"/>
      <c r="INU82" s="440" t="n"/>
      <c r="INV82" s="440" t="n"/>
      <c r="INW82" s="440" t="n"/>
      <c r="INX82" s="440" t="n"/>
      <c r="INY82" s="440" t="n"/>
      <c r="INZ82" s="440" t="n"/>
      <c r="IOA82" s="440" t="n"/>
      <c r="IOB82" s="440" t="n"/>
      <c r="IOC82" s="440" t="n"/>
      <c r="IOD82" s="440" t="n"/>
      <c r="IOE82" s="440" t="n"/>
      <c r="IOF82" s="440" t="n"/>
      <c r="IOG82" s="440" t="n"/>
      <c r="IOH82" s="440" t="n"/>
      <c r="IOI82" s="440" t="n"/>
      <c r="IOJ82" s="440" t="n"/>
      <c r="IOK82" s="440" t="n"/>
      <c r="IOL82" s="440" t="n"/>
      <c r="IOM82" s="440" t="n"/>
      <c r="ION82" s="440" t="n"/>
      <c r="IOO82" s="440" t="n"/>
      <c r="IOP82" s="440" t="n"/>
      <c r="IOQ82" s="440" t="n"/>
      <c r="IOR82" s="440" t="n"/>
      <c r="IOS82" s="440" t="n"/>
      <c r="IOT82" s="440" t="n"/>
      <c r="IOU82" s="440" t="n"/>
      <c r="IOV82" s="440" t="n"/>
      <c r="IOW82" s="440" t="n"/>
      <c r="IOX82" s="440" t="n"/>
      <c r="IOY82" s="440" t="n"/>
      <c r="IOZ82" s="440" t="n"/>
      <c r="IPA82" s="440" t="n"/>
      <c r="IPB82" s="440" t="n"/>
      <c r="IPC82" s="440" t="n"/>
      <c r="IPD82" s="440" t="n"/>
      <c r="IPE82" s="440" t="n"/>
      <c r="IPF82" s="440" t="n"/>
      <c r="IPG82" s="440" t="n"/>
      <c r="IPH82" s="440" t="n"/>
      <c r="IPI82" s="440" t="n"/>
      <c r="IPJ82" s="440" t="n"/>
      <c r="IPK82" s="440" t="n"/>
      <c r="IPL82" s="440" t="n"/>
      <c r="IPM82" s="440" t="n"/>
      <c r="IPN82" s="440" t="n"/>
      <c r="IPO82" s="440" t="n"/>
      <c r="IPP82" s="440" t="n"/>
      <c r="IPQ82" s="440" t="n"/>
      <c r="IPR82" s="440" t="n"/>
      <c r="IPS82" s="440" t="n"/>
      <c r="IPT82" s="440" t="n"/>
      <c r="IPU82" s="440" t="n"/>
      <c r="IPV82" s="440" t="n"/>
      <c r="IPW82" s="440" t="n"/>
      <c r="IPX82" s="440" t="n"/>
      <c r="IPY82" s="440" t="n"/>
      <c r="IPZ82" s="440" t="n"/>
      <c r="IQA82" s="440" t="n"/>
      <c r="IQB82" s="440" t="n"/>
      <c r="IQC82" s="440" t="n"/>
      <c r="IQD82" s="440" t="n"/>
      <c r="IQE82" s="440" t="n"/>
      <c r="IQF82" s="440" t="n"/>
      <c r="IQG82" s="440" t="n"/>
      <c r="IQH82" s="440" t="n"/>
      <c r="IQI82" s="440" t="n"/>
      <c r="IQJ82" s="440" t="n"/>
      <c r="IQK82" s="440" t="n"/>
      <c r="IQL82" s="440" t="n"/>
      <c r="IQM82" s="440" t="n"/>
      <c r="IQN82" s="440" t="n"/>
      <c r="IQO82" s="440" t="n"/>
      <c r="IQP82" s="440" t="n"/>
      <c r="IQQ82" s="440" t="n"/>
      <c r="IQR82" s="440" t="n"/>
      <c r="IQS82" s="440" t="n"/>
      <c r="IQT82" s="440" t="n"/>
      <c r="IQU82" s="440" t="n"/>
      <c r="IQV82" s="440" t="n"/>
      <c r="IQW82" s="440" t="n"/>
      <c r="IQX82" s="440" t="n"/>
      <c r="IQY82" s="440" t="n"/>
      <c r="IQZ82" s="440" t="n"/>
      <c r="IRA82" s="440" t="n"/>
      <c r="IRB82" s="440" t="n"/>
      <c r="IRC82" s="440" t="n"/>
      <c r="IRD82" s="440" t="n"/>
      <c r="IRE82" s="440" t="n"/>
      <c r="IRF82" s="440" t="n"/>
      <c r="IRG82" s="440" t="n"/>
      <c r="IRH82" s="440" t="n"/>
      <c r="IRI82" s="440" t="n"/>
      <c r="IRJ82" s="440" t="n"/>
      <c r="IRK82" s="440" t="n"/>
      <c r="IRL82" s="440" t="n"/>
      <c r="IRM82" s="440" t="n"/>
      <c r="IRN82" s="440" t="n"/>
      <c r="IRO82" s="440" t="n"/>
      <c r="IRP82" s="440" t="n"/>
      <c r="IRQ82" s="440" t="n"/>
      <c r="IRR82" s="440" t="n"/>
      <c r="IRS82" s="440" t="n"/>
      <c r="IRT82" s="440" t="n"/>
      <c r="IRU82" s="440" t="n"/>
      <c r="IRV82" s="440" t="n"/>
      <c r="IRW82" s="440" t="n"/>
      <c r="IRX82" s="440" t="n"/>
      <c r="IRY82" s="440" t="n"/>
      <c r="IRZ82" s="440" t="n"/>
      <c r="ISA82" s="440" t="n"/>
      <c r="ISB82" s="440" t="n"/>
      <c r="ISC82" s="440" t="n"/>
      <c r="ISD82" s="440" t="n"/>
      <c r="ISE82" s="440" t="n"/>
      <c r="ISF82" s="440" t="n"/>
      <c r="ISG82" s="440" t="n"/>
      <c r="ISH82" s="440" t="n"/>
      <c r="ISI82" s="440" t="n"/>
      <c r="ISJ82" s="440" t="n"/>
      <c r="ISK82" s="440" t="n"/>
      <c r="ISL82" s="440" t="n"/>
      <c r="ISM82" s="440" t="n"/>
      <c r="ISN82" s="440" t="n"/>
      <c r="ISO82" s="440" t="n"/>
      <c r="ISP82" s="440" t="n"/>
      <c r="ISQ82" s="440" t="n"/>
      <c r="ISR82" s="440" t="n"/>
      <c r="ISS82" s="440" t="n"/>
      <c r="IST82" s="440" t="n"/>
      <c r="ISU82" s="440" t="n"/>
      <c r="ISV82" s="440" t="n"/>
      <c r="ISW82" s="440" t="n"/>
      <c r="ISX82" s="440" t="n"/>
      <c r="ISY82" s="440" t="n"/>
      <c r="ISZ82" s="440" t="n"/>
      <c r="ITA82" s="440" t="n"/>
      <c r="ITB82" s="440" t="n"/>
      <c r="ITC82" s="440" t="n"/>
      <c r="ITD82" s="440" t="n"/>
      <c r="ITE82" s="440" t="n"/>
      <c r="ITF82" s="440" t="n"/>
      <c r="ITG82" s="440" t="n"/>
      <c r="ITH82" s="440" t="n"/>
      <c r="ITI82" s="440" t="n"/>
      <c r="ITJ82" s="440" t="n"/>
      <c r="ITK82" s="440" t="n"/>
      <c r="ITL82" s="440" t="n"/>
      <c r="ITM82" s="440" t="n"/>
      <c r="ITN82" s="440" t="n"/>
      <c r="ITO82" s="440" t="n"/>
      <c r="ITP82" s="440" t="n"/>
      <c r="ITQ82" s="440" t="n"/>
      <c r="ITR82" s="440" t="n"/>
      <c r="ITS82" s="440" t="n"/>
      <c r="ITT82" s="440" t="n"/>
      <c r="ITU82" s="440" t="n"/>
      <c r="ITV82" s="440" t="n"/>
      <c r="ITW82" s="440" t="n"/>
      <c r="ITX82" s="440" t="n"/>
      <c r="ITY82" s="440" t="n"/>
      <c r="ITZ82" s="440" t="n"/>
      <c r="IUA82" s="440" t="n"/>
      <c r="IUB82" s="440" t="n"/>
      <c r="IUC82" s="440" t="n"/>
      <c r="IUD82" s="440" t="n"/>
      <c r="IUE82" s="440" t="n"/>
      <c r="IUF82" s="440" t="n"/>
      <c r="IUG82" s="440" t="n"/>
      <c r="IUH82" s="440" t="n"/>
      <c r="IUI82" s="440" t="n"/>
      <c r="IUJ82" s="440" t="n"/>
      <c r="IUK82" s="440" t="n"/>
      <c r="IUL82" s="440" t="n"/>
      <c r="IUM82" s="440" t="n"/>
      <c r="IUN82" s="440" t="n"/>
      <c r="IUO82" s="440" t="n"/>
      <c r="IUP82" s="440" t="n"/>
      <c r="IUQ82" s="440" t="n"/>
      <c r="IUR82" s="440" t="n"/>
      <c r="IUS82" s="440" t="n"/>
      <c r="IUT82" s="440" t="n"/>
      <c r="IUU82" s="440" t="n"/>
      <c r="IUV82" s="440" t="n"/>
      <c r="IUW82" s="440" t="n"/>
      <c r="IUX82" s="440" t="n"/>
      <c r="IUY82" s="440" t="n"/>
      <c r="IUZ82" s="440" t="n"/>
      <c r="IVA82" s="440" t="n"/>
      <c r="IVB82" s="440" t="n"/>
      <c r="IVC82" s="440" t="n"/>
      <c r="IVD82" s="440" t="n"/>
      <c r="IVE82" s="440" t="n"/>
      <c r="IVF82" s="440" t="n"/>
      <c r="IVG82" s="440" t="n"/>
      <c r="IVH82" s="440" t="n"/>
      <c r="IVI82" s="440" t="n"/>
      <c r="IVJ82" s="440" t="n"/>
      <c r="IVK82" s="440" t="n"/>
      <c r="IVL82" s="440" t="n"/>
      <c r="IVM82" s="440" t="n"/>
      <c r="IVN82" s="440" t="n"/>
      <c r="IVO82" s="440" t="n"/>
      <c r="IVP82" s="440" t="n"/>
      <c r="IVQ82" s="440" t="n"/>
      <c r="IVR82" s="440" t="n"/>
      <c r="IVS82" s="440" t="n"/>
      <c r="IVT82" s="440" t="n"/>
      <c r="IVU82" s="440" t="n"/>
      <c r="IVV82" s="440" t="n"/>
      <c r="IVW82" s="440" t="n"/>
      <c r="IVX82" s="440" t="n"/>
      <c r="IVY82" s="440" t="n"/>
      <c r="IVZ82" s="440" t="n"/>
      <c r="IWA82" s="440" t="n"/>
      <c r="IWB82" s="440" t="n"/>
      <c r="IWC82" s="440" t="n"/>
      <c r="IWD82" s="440" t="n"/>
      <c r="IWE82" s="440" t="n"/>
      <c r="IWF82" s="440" t="n"/>
      <c r="IWG82" s="440" t="n"/>
      <c r="IWH82" s="440" t="n"/>
      <c r="IWI82" s="440" t="n"/>
      <c r="IWJ82" s="440" t="n"/>
      <c r="IWK82" s="440" t="n"/>
      <c r="IWL82" s="440" t="n"/>
      <c r="IWM82" s="440" t="n"/>
      <c r="IWN82" s="440" t="n"/>
      <c r="IWO82" s="440" t="n"/>
      <c r="IWP82" s="440" t="n"/>
      <c r="IWQ82" s="440" t="n"/>
      <c r="IWR82" s="440" t="n"/>
      <c r="IWS82" s="440" t="n"/>
      <c r="IWT82" s="440" t="n"/>
      <c r="IWU82" s="440" t="n"/>
      <c r="IWV82" s="440" t="n"/>
      <c r="IWW82" s="440" t="n"/>
      <c r="IWX82" s="440" t="n"/>
      <c r="IWY82" s="440" t="n"/>
      <c r="IWZ82" s="440" t="n"/>
      <c r="IXA82" s="440" t="n"/>
      <c r="IXB82" s="440" t="n"/>
      <c r="IXC82" s="440" t="n"/>
      <c r="IXD82" s="440" t="n"/>
      <c r="IXE82" s="440" t="n"/>
      <c r="IXF82" s="440" t="n"/>
      <c r="IXG82" s="440" t="n"/>
      <c r="IXH82" s="440" t="n"/>
      <c r="IXI82" s="440" t="n"/>
      <c r="IXJ82" s="440" t="n"/>
      <c r="IXK82" s="440" t="n"/>
      <c r="IXL82" s="440" t="n"/>
      <c r="IXM82" s="440" t="n"/>
      <c r="IXN82" s="440" t="n"/>
      <c r="IXO82" s="440" t="n"/>
      <c r="IXP82" s="440" t="n"/>
      <c r="IXQ82" s="440" t="n"/>
      <c r="IXR82" s="440" t="n"/>
      <c r="IXS82" s="440" t="n"/>
      <c r="IXT82" s="440" t="n"/>
      <c r="IXU82" s="440" t="n"/>
      <c r="IXV82" s="440" t="n"/>
      <c r="IXW82" s="440" t="n"/>
      <c r="IXX82" s="440" t="n"/>
      <c r="IXY82" s="440" t="n"/>
      <c r="IXZ82" s="440" t="n"/>
      <c r="IYA82" s="440" t="n"/>
      <c r="IYB82" s="440" t="n"/>
      <c r="IYC82" s="440" t="n"/>
      <c r="IYD82" s="440" t="n"/>
      <c r="IYE82" s="440" t="n"/>
      <c r="IYF82" s="440" t="n"/>
      <c r="IYG82" s="440" t="n"/>
      <c r="IYH82" s="440" t="n"/>
      <c r="IYI82" s="440" t="n"/>
      <c r="IYJ82" s="440" t="n"/>
      <c r="IYK82" s="440" t="n"/>
      <c r="IYL82" s="440" t="n"/>
      <c r="IYM82" s="440" t="n"/>
      <c r="IYN82" s="440" t="n"/>
      <c r="IYO82" s="440" t="n"/>
      <c r="IYP82" s="440" t="n"/>
      <c r="IYQ82" s="440" t="n"/>
      <c r="IYR82" s="440" t="n"/>
      <c r="IYS82" s="440" t="n"/>
      <c r="IYT82" s="440" t="n"/>
      <c r="IYU82" s="440" t="n"/>
      <c r="IYV82" s="440" t="n"/>
      <c r="IYW82" s="440" t="n"/>
      <c r="IYX82" s="440" t="n"/>
      <c r="IYY82" s="440" t="n"/>
      <c r="IYZ82" s="440" t="n"/>
      <c r="IZA82" s="440" t="n"/>
      <c r="IZB82" s="440" t="n"/>
      <c r="IZC82" s="440" t="n"/>
      <c r="IZD82" s="440" t="n"/>
      <c r="IZE82" s="440" t="n"/>
      <c r="IZF82" s="440" t="n"/>
      <c r="IZG82" s="440" t="n"/>
      <c r="IZH82" s="440" t="n"/>
      <c r="IZI82" s="440" t="n"/>
      <c r="IZJ82" s="440" t="n"/>
      <c r="IZK82" s="440" t="n"/>
      <c r="IZL82" s="440" t="n"/>
      <c r="IZM82" s="440" t="n"/>
      <c r="IZN82" s="440" t="n"/>
      <c r="IZO82" s="440" t="n"/>
      <c r="IZP82" s="440" t="n"/>
      <c r="IZQ82" s="440" t="n"/>
      <c r="IZR82" s="440" t="n"/>
      <c r="IZS82" s="440" t="n"/>
      <c r="IZT82" s="440" t="n"/>
      <c r="IZU82" s="440" t="n"/>
      <c r="IZV82" s="440" t="n"/>
      <c r="IZW82" s="440" t="n"/>
      <c r="IZX82" s="440" t="n"/>
      <c r="IZY82" s="440" t="n"/>
      <c r="IZZ82" s="440" t="n"/>
      <c r="JAA82" s="440" t="n"/>
      <c r="JAB82" s="440" t="n"/>
      <c r="JAC82" s="440" t="n"/>
      <c r="JAD82" s="440" t="n"/>
      <c r="JAE82" s="440" t="n"/>
      <c r="JAF82" s="440" t="n"/>
      <c r="JAG82" s="440" t="n"/>
      <c r="JAH82" s="440" t="n"/>
      <c r="JAI82" s="440" t="n"/>
      <c r="JAJ82" s="440" t="n"/>
      <c r="JAK82" s="440" t="n"/>
      <c r="JAL82" s="440" t="n"/>
      <c r="JAM82" s="440" t="n"/>
      <c r="JAN82" s="440" t="n"/>
      <c r="JAO82" s="440" t="n"/>
      <c r="JAP82" s="440" t="n"/>
      <c r="JAQ82" s="440" t="n"/>
      <c r="JAR82" s="440" t="n"/>
      <c r="JAS82" s="440" t="n"/>
      <c r="JAT82" s="440" t="n"/>
      <c r="JAU82" s="440" t="n"/>
      <c r="JAV82" s="440" t="n"/>
      <c r="JAW82" s="440" t="n"/>
      <c r="JAX82" s="440" t="n"/>
      <c r="JAY82" s="440" t="n"/>
      <c r="JAZ82" s="440" t="n"/>
      <c r="JBA82" s="440" t="n"/>
      <c r="JBB82" s="440" t="n"/>
      <c r="JBC82" s="440" t="n"/>
      <c r="JBD82" s="440" t="n"/>
      <c r="JBE82" s="440" t="n"/>
      <c r="JBF82" s="440" t="n"/>
      <c r="JBG82" s="440" t="n"/>
      <c r="JBH82" s="440" t="n"/>
      <c r="JBI82" s="440" t="n"/>
      <c r="JBJ82" s="440" t="n"/>
      <c r="JBK82" s="440" t="n"/>
      <c r="JBL82" s="440" t="n"/>
      <c r="JBM82" s="440" t="n"/>
      <c r="JBN82" s="440" t="n"/>
      <c r="JBO82" s="440" t="n"/>
      <c r="JBP82" s="440" t="n"/>
      <c r="JBQ82" s="440" t="n"/>
      <c r="JBR82" s="440" t="n"/>
      <c r="JBS82" s="440" t="n"/>
      <c r="JBT82" s="440" t="n"/>
      <c r="JBU82" s="440" t="n"/>
      <c r="JBV82" s="440" t="n"/>
      <c r="JBW82" s="440" t="n"/>
      <c r="JBX82" s="440" t="n"/>
      <c r="JBY82" s="440" t="n"/>
      <c r="JBZ82" s="440" t="n"/>
      <c r="JCA82" s="440" t="n"/>
      <c r="JCB82" s="440" t="n"/>
      <c r="JCC82" s="440" t="n"/>
      <c r="JCD82" s="440" t="n"/>
      <c r="JCE82" s="440" t="n"/>
      <c r="JCF82" s="440" t="n"/>
      <c r="JCG82" s="440" t="n"/>
      <c r="JCH82" s="440" t="n"/>
      <c r="JCI82" s="440" t="n"/>
      <c r="JCJ82" s="440" t="n"/>
      <c r="JCK82" s="440" t="n"/>
      <c r="JCL82" s="440" t="n"/>
      <c r="JCM82" s="440" t="n"/>
      <c r="JCN82" s="440" t="n"/>
      <c r="JCO82" s="440" t="n"/>
      <c r="JCP82" s="440" t="n"/>
      <c r="JCQ82" s="440" t="n"/>
      <c r="JCR82" s="440" t="n"/>
      <c r="JCS82" s="440" t="n"/>
      <c r="JCT82" s="440" t="n"/>
      <c r="JCU82" s="440" t="n"/>
      <c r="JCV82" s="440" t="n"/>
      <c r="JCW82" s="440" t="n"/>
      <c r="JCX82" s="440" t="n"/>
      <c r="JCY82" s="440" t="n"/>
      <c r="JCZ82" s="440" t="n"/>
      <c r="JDA82" s="440" t="n"/>
      <c r="JDB82" s="440" t="n"/>
      <c r="JDC82" s="440" t="n"/>
      <c r="JDD82" s="440" t="n"/>
      <c r="JDE82" s="440" t="n"/>
      <c r="JDF82" s="440" t="n"/>
      <c r="JDG82" s="440" t="n"/>
      <c r="JDH82" s="440" t="n"/>
      <c r="JDI82" s="440" t="n"/>
      <c r="JDJ82" s="440" t="n"/>
      <c r="JDK82" s="440" t="n"/>
      <c r="JDL82" s="440" t="n"/>
      <c r="JDM82" s="440" t="n"/>
      <c r="JDN82" s="440" t="n"/>
      <c r="JDO82" s="440" t="n"/>
      <c r="JDP82" s="440" t="n"/>
      <c r="JDQ82" s="440" t="n"/>
      <c r="JDR82" s="440" t="n"/>
      <c r="JDS82" s="440" t="n"/>
      <c r="JDT82" s="440" t="n"/>
      <c r="JDU82" s="440" t="n"/>
      <c r="JDV82" s="440" t="n"/>
      <c r="JDW82" s="440" t="n"/>
      <c r="JDX82" s="440" t="n"/>
      <c r="JDY82" s="440" t="n"/>
      <c r="JDZ82" s="440" t="n"/>
      <c r="JEA82" s="440" t="n"/>
      <c r="JEB82" s="440" t="n"/>
      <c r="JEC82" s="440" t="n"/>
      <c r="JED82" s="440" t="n"/>
      <c r="JEE82" s="440" t="n"/>
      <c r="JEF82" s="440" t="n"/>
      <c r="JEG82" s="440" t="n"/>
      <c r="JEH82" s="440" t="n"/>
      <c r="JEI82" s="440" t="n"/>
      <c r="JEJ82" s="440" t="n"/>
      <c r="JEK82" s="440" t="n"/>
      <c r="JEL82" s="440" t="n"/>
      <c r="JEM82" s="440" t="n"/>
      <c r="JEN82" s="440" t="n"/>
      <c r="JEO82" s="440" t="n"/>
      <c r="JEP82" s="440" t="n"/>
      <c r="JEQ82" s="440" t="n"/>
      <c r="JER82" s="440" t="n"/>
      <c r="JES82" s="440" t="n"/>
      <c r="JET82" s="440" t="n"/>
      <c r="JEU82" s="440" t="n"/>
      <c r="JEV82" s="440" t="n"/>
      <c r="JEW82" s="440" t="n"/>
      <c r="JEX82" s="440" t="n"/>
      <c r="JEY82" s="440" t="n"/>
      <c r="JEZ82" s="440" t="n"/>
      <c r="JFA82" s="440" t="n"/>
      <c r="JFB82" s="440" t="n"/>
      <c r="JFC82" s="440" t="n"/>
      <c r="JFD82" s="440" t="n"/>
      <c r="JFE82" s="440" t="n"/>
      <c r="JFF82" s="440" t="n"/>
      <c r="JFG82" s="440" t="n"/>
      <c r="JFH82" s="440" t="n"/>
      <c r="JFI82" s="440" t="n"/>
      <c r="JFJ82" s="440" t="n"/>
      <c r="JFK82" s="440" t="n"/>
      <c r="JFL82" s="440" t="n"/>
      <c r="JFM82" s="440" t="n"/>
      <c r="JFN82" s="440" t="n"/>
      <c r="JFO82" s="440" t="n"/>
      <c r="JFP82" s="440" t="n"/>
      <c r="JFQ82" s="440" t="n"/>
      <c r="JFR82" s="440" t="n"/>
      <c r="JFS82" s="440" t="n"/>
      <c r="JFT82" s="440" t="n"/>
      <c r="JFU82" s="440" t="n"/>
      <c r="JFV82" s="440" t="n"/>
      <c r="JFW82" s="440" t="n"/>
      <c r="JFX82" s="440" t="n"/>
      <c r="JFY82" s="440" t="n"/>
      <c r="JFZ82" s="440" t="n"/>
      <c r="JGA82" s="440" t="n"/>
      <c r="JGB82" s="440" t="n"/>
      <c r="JGC82" s="440" t="n"/>
      <c r="JGD82" s="440" t="n"/>
      <c r="JGE82" s="440" t="n"/>
      <c r="JGF82" s="440" t="n"/>
      <c r="JGG82" s="440" t="n"/>
      <c r="JGH82" s="440" t="n"/>
      <c r="JGI82" s="440" t="n"/>
      <c r="JGJ82" s="440" t="n"/>
      <c r="JGK82" s="440" t="n"/>
      <c r="JGL82" s="440" t="n"/>
      <c r="JGM82" s="440" t="n"/>
      <c r="JGN82" s="440" t="n"/>
      <c r="JGO82" s="440" t="n"/>
      <c r="JGP82" s="440" t="n"/>
      <c r="JGQ82" s="440" t="n"/>
      <c r="JGR82" s="440" t="n"/>
      <c r="JGS82" s="440" t="n"/>
      <c r="JGT82" s="440" t="n"/>
      <c r="JGU82" s="440" t="n"/>
      <c r="JGV82" s="440" t="n"/>
      <c r="JGW82" s="440" t="n"/>
      <c r="JGX82" s="440" t="n"/>
      <c r="JGY82" s="440" t="n"/>
      <c r="JGZ82" s="440" t="n"/>
      <c r="JHA82" s="440" t="n"/>
      <c r="JHB82" s="440" t="n"/>
      <c r="JHC82" s="440" t="n"/>
      <c r="JHD82" s="440" t="n"/>
      <c r="JHE82" s="440" t="n"/>
      <c r="JHF82" s="440" t="n"/>
      <c r="JHG82" s="440" t="n"/>
      <c r="JHH82" s="440" t="n"/>
      <c r="JHI82" s="440" t="n"/>
      <c r="JHJ82" s="440" t="n"/>
      <c r="JHK82" s="440" t="n"/>
      <c r="JHL82" s="440" t="n"/>
      <c r="JHM82" s="440" t="n"/>
      <c r="JHN82" s="440" t="n"/>
      <c r="JHO82" s="440" t="n"/>
      <c r="JHP82" s="440" t="n"/>
      <c r="JHQ82" s="440" t="n"/>
      <c r="JHR82" s="440" t="n"/>
      <c r="JHS82" s="440" t="n"/>
      <c r="JHT82" s="440" t="n"/>
      <c r="JHU82" s="440" t="n"/>
      <c r="JHV82" s="440" t="n"/>
      <c r="JHW82" s="440" t="n"/>
      <c r="JHX82" s="440" t="n"/>
      <c r="JHY82" s="440" t="n"/>
      <c r="JHZ82" s="440" t="n"/>
      <c r="JIA82" s="440" t="n"/>
      <c r="JIB82" s="440" t="n"/>
      <c r="JIC82" s="440" t="n"/>
      <c r="JID82" s="440" t="n"/>
      <c r="JIE82" s="440" t="n"/>
      <c r="JIF82" s="440" t="n"/>
      <c r="JIG82" s="440" t="n"/>
      <c r="JIH82" s="440" t="n"/>
      <c r="JII82" s="440" t="n"/>
      <c r="JIJ82" s="440" t="n"/>
      <c r="JIK82" s="440" t="n"/>
      <c r="JIL82" s="440" t="n"/>
      <c r="JIM82" s="440" t="n"/>
      <c r="JIN82" s="440" t="n"/>
      <c r="JIO82" s="440" t="n"/>
      <c r="JIP82" s="440" t="n"/>
      <c r="JIQ82" s="440" t="n"/>
      <c r="JIR82" s="440" t="n"/>
      <c r="JIS82" s="440" t="n"/>
      <c r="JIT82" s="440" t="n"/>
      <c r="JIU82" s="440" t="n"/>
      <c r="JIV82" s="440" t="n"/>
      <c r="JIW82" s="440" t="n"/>
      <c r="JIX82" s="440" t="n"/>
      <c r="JIY82" s="440" t="n"/>
      <c r="JIZ82" s="440" t="n"/>
      <c r="JJA82" s="440" t="n"/>
      <c r="JJB82" s="440" t="n"/>
      <c r="JJC82" s="440" t="n"/>
      <c r="JJD82" s="440" t="n"/>
      <c r="JJE82" s="440" t="n"/>
      <c r="JJF82" s="440" t="n"/>
      <c r="JJG82" s="440" t="n"/>
      <c r="JJH82" s="440" t="n"/>
      <c r="JJI82" s="440" t="n"/>
      <c r="JJJ82" s="440" t="n"/>
      <c r="JJK82" s="440" t="n"/>
      <c r="JJL82" s="440" t="n"/>
      <c r="JJM82" s="440" t="n"/>
      <c r="JJN82" s="440" t="n"/>
      <c r="JJO82" s="440" t="n"/>
      <c r="JJP82" s="440" t="n"/>
      <c r="JJQ82" s="440" t="n"/>
      <c r="JJR82" s="440" t="n"/>
      <c r="JJS82" s="440" t="n"/>
      <c r="JJT82" s="440" t="n"/>
      <c r="JJU82" s="440" t="n"/>
      <c r="JJV82" s="440" t="n"/>
      <c r="JJW82" s="440" t="n"/>
      <c r="JJX82" s="440" t="n"/>
      <c r="JJY82" s="440" t="n"/>
      <c r="JJZ82" s="440" t="n"/>
      <c r="JKA82" s="440" t="n"/>
      <c r="JKB82" s="440" t="n"/>
      <c r="JKC82" s="440" t="n"/>
      <c r="JKD82" s="440" t="n"/>
      <c r="JKE82" s="440" t="n"/>
      <c r="JKF82" s="440" t="n"/>
      <c r="JKG82" s="440" t="n"/>
      <c r="JKH82" s="440" t="n"/>
      <c r="JKI82" s="440" t="n"/>
      <c r="JKJ82" s="440" t="n"/>
      <c r="JKK82" s="440" t="n"/>
      <c r="JKL82" s="440" t="n"/>
      <c r="JKM82" s="440" t="n"/>
      <c r="JKN82" s="440" t="n"/>
      <c r="JKO82" s="440" t="n"/>
      <c r="JKP82" s="440" t="n"/>
      <c r="JKQ82" s="440" t="n"/>
      <c r="JKR82" s="440" t="n"/>
      <c r="JKS82" s="440" t="n"/>
      <c r="JKT82" s="440" t="n"/>
      <c r="JKU82" s="440" t="n"/>
      <c r="JKV82" s="440" t="n"/>
      <c r="JKW82" s="440" t="n"/>
      <c r="JKX82" s="440" t="n"/>
      <c r="JKY82" s="440" t="n"/>
      <c r="JKZ82" s="440" t="n"/>
      <c r="JLA82" s="440" t="n"/>
      <c r="JLB82" s="440" t="n"/>
      <c r="JLC82" s="440" t="n"/>
      <c r="JLD82" s="440" t="n"/>
      <c r="JLE82" s="440" t="n"/>
      <c r="JLF82" s="440" t="n"/>
      <c r="JLG82" s="440" t="n"/>
      <c r="JLH82" s="440" t="n"/>
      <c r="JLI82" s="440" t="n"/>
      <c r="JLJ82" s="440" t="n"/>
      <c r="JLK82" s="440" t="n"/>
      <c r="JLL82" s="440" t="n"/>
      <c r="JLM82" s="440" t="n"/>
      <c r="JLN82" s="440" t="n"/>
      <c r="JLO82" s="440" t="n"/>
      <c r="JLP82" s="440" t="n"/>
      <c r="JLQ82" s="440" t="n"/>
      <c r="JLR82" s="440" t="n"/>
      <c r="JLS82" s="440" t="n"/>
      <c r="JLT82" s="440" t="n"/>
      <c r="JLU82" s="440" t="n"/>
      <c r="JLV82" s="440" t="n"/>
      <c r="JLW82" s="440" t="n"/>
      <c r="JLX82" s="440" t="n"/>
      <c r="JLY82" s="440" t="n"/>
      <c r="JLZ82" s="440" t="n"/>
      <c r="JMA82" s="440" t="n"/>
      <c r="JMB82" s="440" t="n"/>
      <c r="JMC82" s="440" t="n"/>
      <c r="JMD82" s="440" t="n"/>
      <c r="JME82" s="440" t="n"/>
      <c r="JMF82" s="440" t="n"/>
      <c r="JMG82" s="440" t="n"/>
      <c r="JMH82" s="440" t="n"/>
      <c r="JMI82" s="440" t="n"/>
      <c r="JMJ82" s="440" t="n"/>
      <c r="JMK82" s="440" t="n"/>
      <c r="JML82" s="440" t="n"/>
      <c r="JMM82" s="440" t="n"/>
      <c r="JMN82" s="440" t="n"/>
      <c r="JMO82" s="440" t="n"/>
      <c r="JMP82" s="440" t="n"/>
      <c r="JMQ82" s="440" t="n"/>
      <c r="JMR82" s="440" t="n"/>
      <c r="JMS82" s="440" t="n"/>
      <c r="JMT82" s="440" t="n"/>
      <c r="JMU82" s="440" t="n"/>
      <c r="JMV82" s="440" t="n"/>
      <c r="JMW82" s="440" t="n"/>
      <c r="JMX82" s="440" t="n"/>
      <c r="JMY82" s="440" t="n"/>
      <c r="JMZ82" s="440" t="n"/>
      <c r="JNA82" s="440" t="n"/>
      <c r="JNB82" s="440" t="n"/>
      <c r="JNC82" s="440" t="n"/>
      <c r="JND82" s="440" t="n"/>
      <c r="JNE82" s="440" t="n"/>
      <c r="JNF82" s="440" t="n"/>
      <c r="JNG82" s="440" t="n"/>
      <c r="JNH82" s="440" t="n"/>
      <c r="JNI82" s="440" t="n"/>
      <c r="JNJ82" s="440" t="n"/>
      <c r="JNK82" s="440" t="n"/>
      <c r="JNL82" s="440" t="n"/>
      <c r="JNM82" s="440" t="n"/>
      <c r="JNN82" s="440" t="n"/>
      <c r="JNO82" s="440" t="n"/>
      <c r="JNP82" s="440" t="n"/>
      <c r="JNQ82" s="440" t="n"/>
      <c r="JNR82" s="440" t="n"/>
      <c r="JNS82" s="440" t="n"/>
      <c r="JNT82" s="440" t="n"/>
      <c r="JNU82" s="440" t="n"/>
      <c r="JNV82" s="440" t="n"/>
      <c r="JNW82" s="440" t="n"/>
      <c r="JNX82" s="440" t="n"/>
      <c r="JNY82" s="440" t="n"/>
      <c r="JNZ82" s="440" t="n"/>
      <c r="JOA82" s="440" t="n"/>
      <c r="JOB82" s="440" t="n"/>
      <c r="JOC82" s="440" t="n"/>
      <c r="JOD82" s="440" t="n"/>
      <c r="JOE82" s="440" t="n"/>
      <c r="JOF82" s="440" t="n"/>
      <c r="JOG82" s="440" t="n"/>
      <c r="JOH82" s="440" t="n"/>
      <c r="JOI82" s="440" t="n"/>
      <c r="JOJ82" s="440" t="n"/>
      <c r="JOK82" s="440" t="n"/>
      <c r="JOL82" s="440" t="n"/>
      <c r="JOM82" s="440" t="n"/>
      <c r="JON82" s="440" t="n"/>
      <c r="JOO82" s="440" t="n"/>
      <c r="JOP82" s="440" t="n"/>
      <c r="JOQ82" s="440" t="n"/>
      <c r="JOR82" s="440" t="n"/>
      <c r="JOS82" s="440" t="n"/>
      <c r="JOT82" s="440" t="n"/>
      <c r="JOU82" s="440" t="n"/>
      <c r="JOV82" s="440" t="n"/>
      <c r="JOW82" s="440" t="n"/>
      <c r="JOX82" s="440" t="n"/>
      <c r="JOY82" s="440" t="n"/>
      <c r="JOZ82" s="440" t="n"/>
      <c r="JPA82" s="440" t="n"/>
      <c r="JPB82" s="440" t="n"/>
      <c r="JPC82" s="440" t="n"/>
      <c r="JPD82" s="440" t="n"/>
      <c r="JPE82" s="440" t="n"/>
      <c r="JPF82" s="440" t="n"/>
      <c r="JPG82" s="440" t="n"/>
      <c r="JPH82" s="440" t="n"/>
      <c r="JPI82" s="440" t="n"/>
      <c r="JPJ82" s="440" t="n"/>
      <c r="JPK82" s="440" t="n"/>
      <c r="JPL82" s="440" t="n"/>
      <c r="JPM82" s="440" t="n"/>
      <c r="JPN82" s="440" t="n"/>
      <c r="JPO82" s="440" t="n"/>
      <c r="JPP82" s="440" t="n"/>
      <c r="JPQ82" s="440" t="n"/>
      <c r="JPR82" s="440" t="n"/>
      <c r="JPS82" s="440" t="n"/>
      <c r="JPT82" s="440" t="n"/>
      <c r="JPU82" s="440" t="n"/>
      <c r="JPV82" s="440" t="n"/>
      <c r="JPW82" s="440" t="n"/>
      <c r="JPX82" s="440" t="n"/>
      <c r="JPY82" s="440" t="n"/>
      <c r="JPZ82" s="440" t="n"/>
      <c r="JQA82" s="440" t="n"/>
      <c r="JQB82" s="440" t="n"/>
      <c r="JQC82" s="440" t="n"/>
      <c r="JQD82" s="440" t="n"/>
      <c r="JQE82" s="440" t="n"/>
      <c r="JQF82" s="440" t="n"/>
      <c r="JQG82" s="440" t="n"/>
      <c r="JQH82" s="440" t="n"/>
      <c r="JQI82" s="440" t="n"/>
      <c r="JQJ82" s="440" t="n"/>
      <c r="JQK82" s="440" t="n"/>
      <c r="JQL82" s="440" t="n"/>
      <c r="JQM82" s="440" t="n"/>
      <c r="JQN82" s="440" t="n"/>
      <c r="JQO82" s="440" t="n"/>
      <c r="JQP82" s="440" t="n"/>
      <c r="JQQ82" s="440" t="n"/>
      <c r="JQR82" s="440" t="n"/>
      <c r="JQS82" s="440" t="n"/>
      <c r="JQT82" s="440" t="n"/>
      <c r="JQU82" s="440" t="n"/>
      <c r="JQV82" s="440" t="n"/>
      <c r="JQW82" s="440" t="n"/>
      <c r="JQX82" s="440" t="n"/>
      <c r="JQY82" s="440" t="n"/>
      <c r="JQZ82" s="440" t="n"/>
      <c r="JRA82" s="440" t="n"/>
      <c r="JRB82" s="440" t="n"/>
      <c r="JRC82" s="440" t="n"/>
      <c r="JRD82" s="440" t="n"/>
      <c r="JRE82" s="440" t="n"/>
      <c r="JRF82" s="440" t="n"/>
      <c r="JRG82" s="440" t="n"/>
      <c r="JRH82" s="440" t="n"/>
      <c r="JRI82" s="440" t="n"/>
      <c r="JRJ82" s="440" t="n"/>
      <c r="JRK82" s="440" t="n"/>
      <c r="JRL82" s="440" t="n"/>
      <c r="JRM82" s="440" t="n"/>
      <c r="JRN82" s="440" t="n"/>
      <c r="JRO82" s="440" t="n"/>
      <c r="JRP82" s="440" t="n"/>
      <c r="JRQ82" s="440" t="n"/>
      <c r="JRR82" s="440" t="n"/>
      <c r="JRS82" s="440" t="n"/>
      <c r="JRT82" s="440" t="n"/>
      <c r="JRU82" s="440" t="n"/>
      <c r="JRV82" s="440" t="n"/>
      <c r="JRW82" s="440" t="n"/>
      <c r="JRX82" s="440" t="n"/>
      <c r="JRY82" s="440" t="n"/>
      <c r="JRZ82" s="440" t="n"/>
      <c r="JSA82" s="440" t="n"/>
      <c r="JSB82" s="440" t="n"/>
      <c r="JSC82" s="440" t="n"/>
      <c r="JSD82" s="440" t="n"/>
      <c r="JSE82" s="440" t="n"/>
      <c r="JSF82" s="440" t="n"/>
      <c r="JSG82" s="440" t="n"/>
      <c r="JSH82" s="440" t="n"/>
      <c r="JSI82" s="440" t="n"/>
      <c r="JSJ82" s="440" t="n"/>
      <c r="JSK82" s="440" t="n"/>
      <c r="JSL82" s="440" t="n"/>
      <c r="JSM82" s="440" t="n"/>
      <c r="JSN82" s="440" t="n"/>
      <c r="JSO82" s="440" t="n"/>
      <c r="JSP82" s="440" t="n"/>
      <c r="JSQ82" s="440" t="n"/>
      <c r="JSR82" s="440" t="n"/>
      <c r="JSS82" s="440" t="n"/>
      <c r="JST82" s="440" t="n"/>
      <c r="JSU82" s="440" t="n"/>
      <c r="JSV82" s="440" t="n"/>
      <c r="JSW82" s="440" t="n"/>
      <c r="JSX82" s="440" t="n"/>
      <c r="JSY82" s="440" t="n"/>
      <c r="JSZ82" s="440" t="n"/>
      <c r="JTA82" s="440" t="n"/>
      <c r="JTB82" s="440" t="n"/>
      <c r="JTC82" s="440" t="n"/>
      <c r="JTD82" s="440" t="n"/>
      <c r="JTE82" s="440" t="n"/>
      <c r="JTF82" s="440" t="n"/>
      <c r="JTG82" s="440" t="n"/>
      <c r="JTH82" s="440" t="n"/>
      <c r="JTI82" s="440" t="n"/>
      <c r="JTJ82" s="440" t="n"/>
      <c r="JTK82" s="440" t="n"/>
      <c r="JTL82" s="440" t="n"/>
      <c r="JTM82" s="440" t="n"/>
      <c r="JTN82" s="440" t="n"/>
      <c r="JTO82" s="440" t="n"/>
      <c r="JTP82" s="440" t="n"/>
      <c r="JTQ82" s="440" t="n"/>
      <c r="JTR82" s="440" t="n"/>
      <c r="JTS82" s="440" t="n"/>
      <c r="JTT82" s="440" t="n"/>
      <c r="JTU82" s="440" t="n"/>
      <c r="JTV82" s="440" t="n"/>
      <c r="JTW82" s="440" t="n"/>
      <c r="JTX82" s="440" t="n"/>
      <c r="JTY82" s="440" t="n"/>
      <c r="JTZ82" s="440" t="n"/>
      <c r="JUA82" s="440" t="n"/>
      <c r="JUB82" s="440" t="n"/>
      <c r="JUC82" s="440" t="n"/>
      <c r="JUD82" s="440" t="n"/>
      <c r="JUE82" s="440" t="n"/>
      <c r="JUF82" s="440" t="n"/>
      <c r="JUG82" s="440" t="n"/>
      <c r="JUH82" s="440" t="n"/>
      <c r="JUI82" s="440" t="n"/>
      <c r="JUJ82" s="440" t="n"/>
      <c r="JUK82" s="440" t="n"/>
      <c r="JUL82" s="440" t="n"/>
      <c r="JUM82" s="440" t="n"/>
      <c r="JUN82" s="440" t="n"/>
      <c r="JUO82" s="440" t="n"/>
      <c r="JUP82" s="440" t="n"/>
      <c r="JUQ82" s="440" t="n"/>
      <c r="JUR82" s="440" t="n"/>
      <c r="JUS82" s="440" t="n"/>
      <c r="JUT82" s="440" t="n"/>
      <c r="JUU82" s="440" t="n"/>
      <c r="JUV82" s="440" t="n"/>
      <c r="JUW82" s="440" t="n"/>
      <c r="JUX82" s="440" t="n"/>
      <c r="JUY82" s="440" t="n"/>
      <c r="JUZ82" s="440" t="n"/>
      <c r="JVA82" s="440" t="n"/>
      <c r="JVB82" s="440" t="n"/>
      <c r="JVC82" s="440" t="n"/>
      <c r="JVD82" s="440" t="n"/>
      <c r="JVE82" s="440" t="n"/>
      <c r="JVF82" s="440" t="n"/>
      <c r="JVG82" s="440" t="n"/>
      <c r="JVH82" s="440" t="n"/>
      <c r="JVI82" s="440" t="n"/>
      <c r="JVJ82" s="440" t="n"/>
      <c r="JVK82" s="440" t="n"/>
      <c r="JVL82" s="440" t="n"/>
      <c r="JVM82" s="440" t="n"/>
      <c r="JVN82" s="440" t="n"/>
      <c r="JVO82" s="440" t="n"/>
      <c r="JVP82" s="440" t="n"/>
      <c r="JVQ82" s="440" t="n"/>
      <c r="JVR82" s="440" t="n"/>
      <c r="JVS82" s="440" t="n"/>
      <c r="JVT82" s="440" t="n"/>
      <c r="JVU82" s="440" t="n"/>
      <c r="JVV82" s="440" t="n"/>
      <c r="JVW82" s="440" t="n"/>
      <c r="JVX82" s="440" t="n"/>
      <c r="JVY82" s="440" t="n"/>
      <c r="JVZ82" s="440" t="n"/>
      <c r="JWA82" s="440" t="n"/>
      <c r="JWB82" s="440" t="n"/>
      <c r="JWC82" s="440" t="n"/>
      <c r="JWD82" s="440" t="n"/>
      <c r="JWE82" s="440" t="n"/>
      <c r="JWF82" s="440" t="n"/>
      <c r="JWG82" s="440" t="n"/>
      <c r="JWH82" s="440" t="n"/>
      <c r="JWI82" s="440" t="n"/>
      <c r="JWJ82" s="440" t="n"/>
      <c r="JWK82" s="440" t="n"/>
      <c r="JWL82" s="440" t="n"/>
      <c r="JWM82" s="440" t="n"/>
      <c r="JWN82" s="440" t="n"/>
      <c r="JWO82" s="440" t="n"/>
      <c r="JWP82" s="440" t="n"/>
      <c r="JWQ82" s="440" t="n"/>
      <c r="JWR82" s="440" t="n"/>
      <c r="JWS82" s="440" t="n"/>
      <c r="JWT82" s="440" t="n"/>
      <c r="JWU82" s="440" t="n"/>
      <c r="JWV82" s="440" t="n"/>
      <c r="JWW82" s="440" t="n"/>
      <c r="JWX82" s="440" t="n"/>
      <c r="JWY82" s="440" t="n"/>
      <c r="JWZ82" s="440" t="n"/>
      <c r="JXA82" s="440" t="n"/>
      <c r="JXB82" s="440" t="n"/>
      <c r="JXC82" s="440" t="n"/>
      <c r="JXD82" s="440" t="n"/>
      <c r="JXE82" s="440" t="n"/>
      <c r="JXF82" s="440" t="n"/>
      <c r="JXG82" s="440" t="n"/>
      <c r="JXH82" s="440" t="n"/>
      <c r="JXI82" s="440" t="n"/>
      <c r="JXJ82" s="440" t="n"/>
      <c r="JXK82" s="440" t="n"/>
      <c r="JXL82" s="440" t="n"/>
      <c r="JXM82" s="440" t="n"/>
      <c r="JXN82" s="440" t="n"/>
      <c r="JXO82" s="440" t="n"/>
      <c r="JXP82" s="440" t="n"/>
      <c r="JXQ82" s="440" t="n"/>
      <c r="JXR82" s="440" t="n"/>
      <c r="JXS82" s="440" t="n"/>
      <c r="JXT82" s="440" t="n"/>
      <c r="JXU82" s="440" t="n"/>
      <c r="JXV82" s="440" t="n"/>
      <c r="JXW82" s="440" t="n"/>
      <c r="JXX82" s="440" t="n"/>
      <c r="JXY82" s="440" t="n"/>
      <c r="JXZ82" s="440" t="n"/>
      <c r="JYA82" s="440" t="n"/>
      <c r="JYB82" s="440" t="n"/>
      <c r="JYC82" s="440" t="n"/>
      <c r="JYD82" s="440" t="n"/>
      <c r="JYE82" s="440" t="n"/>
      <c r="JYF82" s="440" t="n"/>
      <c r="JYG82" s="440" t="n"/>
      <c r="JYH82" s="440" t="n"/>
      <c r="JYI82" s="440" t="n"/>
      <c r="JYJ82" s="440" t="n"/>
      <c r="JYK82" s="440" t="n"/>
      <c r="JYL82" s="440" t="n"/>
      <c r="JYM82" s="440" t="n"/>
      <c r="JYN82" s="440" t="n"/>
      <c r="JYO82" s="440" t="n"/>
      <c r="JYP82" s="440" t="n"/>
      <c r="JYQ82" s="440" t="n"/>
      <c r="JYR82" s="440" t="n"/>
      <c r="JYS82" s="440" t="n"/>
      <c r="JYT82" s="440" t="n"/>
      <c r="JYU82" s="440" t="n"/>
      <c r="JYV82" s="440" t="n"/>
      <c r="JYW82" s="440" t="n"/>
      <c r="JYX82" s="440" t="n"/>
      <c r="JYY82" s="440" t="n"/>
      <c r="JYZ82" s="440" t="n"/>
      <c r="JZA82" s="440" t="n"/>
      <c r="JZB82" s="440" t="n"/>
      <c r="JZC82" s="440" t="n"/>
      <c r="JZD82" s="440" t="n"/>
      <c r="JZE82" s="440" t="n"/>
      <c r="JZF82" s="440" t="n"/>
      <c r="JZG82" s="440" t="n"/>
      <c r="JZH82" s="440" t="n"/>
      <c r="JZI82" s="440" t="n"/>
      <c r="JZJ82" s="440" t="n"/>
      <c r="JZK82" s="440" t="n"/>
      <c r="JZL82" s="440" t="n"/>
      <c r="JZM82" s="440" t="n"/>
      <c r="JZN82" s="440" t="n"/>
      <c r="JZO82" s="440" t="n"/>
      <c r="JZP82" s="440" t="n"/>
      <c r="JZQ82" s="440" t="n"/>
      <c r="JZR82" s="440" t="n"/>
      <c r="JZS82" s="440" t="n"/>
      <c r="JZT82" s="440" t="n"/>
      <c r="JZU82" s="440" t="n"/>
      <c r="JZV82" s="440" t="n"/>
      <c r="JZW82" s="440" t="n"/>
      <c r="JZX82" s="440" t="n"/>
      <c r="JZY82" s="440" t="n"/>
      <c r="JZZ82" s="440" t="n"/>
      <c r="KAA82" s="440" t="n"/>
      <c r="KAB82" s="440" t="n"/>
      <c r="KAC82" s="440" t="n"/>
      <c r="KAD82" s="440" t="n"/>
      <c r="KAE82" s="440" t="n"/>
      <c r="KAF82" s="440" t="n"/>
      <c r="KAG82" s="440" t="n"/>
      <c r="KAH82" s="440" t="n"/>
      <c r="KAI82" s="440" t="n"/>
      <c r="KAJ82" s="440" t="n"/>
      <c r="KAK82" s="440" t="n"/>
      <c r="KAL82" s="440" t="n"/>
      <c r="KAM82" s="440" t="n"/>
      <c r="KAN82" s="440" t="n"/>
      <c r="KAO82" s="440" t="n"/>
      <c r="KAP82" s="440" t="n"/>
      <c r="KAQ82" s="440" t="n"/>
      <c r="KAR82" s="440" t="n"/>
      <c r="KAS82" s="440" t="n"/>
      <c r="KAT82" s="440" t="n"/>
      <c r="KAU82" s="440" t="n"/>
      <c r="KAV82" s="440" t="n"/>
      <c r="KAW82" s="440" t="n"/>
      <c r="KAX82" s="440" t="n"/>
      <c r="KAY82" s="440" t="n"/>
      <c r="KAZ82" s="440" t="n"/>
      <c r="KBA82" s="440" t="n"/>
      <c r="KBB82" s="440" t="n"/>
      <c r="KBC82" s="440" t="n"/>
      <c r="KBD82" s="440" t="n"/>
      <c r="KBE82" s="440" t="n"/>
      <c r="KBF82" s="440" t="n"/>
      <c r="KBG82" s="440" t="n"/>
      <c r="KBH82" s="440" t="n"/>
      <c r="KBI82" s="440" t="n"/>
      <c r="KBJ82" s="440" t="n"/>
      <c r="KBK82" s="440" t="n"/>
      <c r="KBL82" s="440" t="n"/>
      <c r="KBM82" s="440" t="n"/>
      <c r="KBN82" s="440" t="n"/>
      <c r="KBO82" s="440" t="n"/>
      <c r="KBP82" s="440" t="n"/>
      <c r="KBQ82" s="440" t="n"/>
      <c r="KBR82" s="440" t="n"/>
      <c r="KBS82" s="440" t="n"/>
      <c r="KBT82" s="440" t="n"/>
      <c r="KBU82" s="440" t="n"/>
      <c r="KBV82" s="440" t="n"/>
      <c r="KBW82" s="440" t="n"/>
      <c r="KBX82" s="440" t="n"/>
      <c r="KBY82" s="440" t="n"/>
      <c r="KBZ82" s="440" t="n"/>
      <c r="KCA82" s="440" t="n"/>
      <c r="KCB82" s="440" t="n"/>
      <c r="KCC82" s="440" t="n"/>
      <c r="KCD82" s="440" t="n"/>
      <c r="KCE82" s="440" t="n"/>
      <c r="KCF82" s="440" t="n"/>
      <c r="KCG82" s="440" t="n"/>
      <c r="KCH82" s="440" t="n"/>
      <c r="KCI82" s="440" t="n"/>
      <c r="KCJ82" s="440" t="n"/>
      <c r="KCK82" s="440" t="n"/>
      <c r="KCL82" s="440" t="n"/>
      <c r="KCM82" s="440" t="n"/>
      <c r="KCN82" s="440" t="n"/>
      <c r="KCO82" s="440" t="n"/>
      <c r="KCP82" s="440" t="n"/>
      <c r="KCQ82" s="440" t="n"/>
      <c r="KCR82" s="440" t="n"/>
      <c r="KCS82" s="440" t="n"/>
      <c r="KCT82" s="440" t="n"/>
      <c r="KCU82" s="440" t="n"/>
      <c r="KCV82" s="440" t="n"/>
      <c r="KCW82" s="440" t="n"/>
      <c r="KCX82" s="440" t="n"/>
      <c r="KCY82" s="440" t="n"/>
      <c r="KCZ82" s="440" t="n"/>
      <c r="KDA82" s="440" t="n"/>
      <c r="KDB82" s="440" t="n"/>
      <c r="KDC82" s="440" t="n"/>
      <c r="KDD82" s="440" t="n"/>
      <c r="KDE82" s="440" t="n"/>
      <c r="KDF82" s="440" t="n"/>
      <c r="KDG82" s="440" t="n"/>
      <c r="KDH82" s="440" t="n"/>
      <c r="KDI82" s="440" t="n"/>
      <c r="KDJ82" s="440" t="n"/>
      <c r="KDK82" s="440" t="n"/>
      <c r="KDL82" s="440" t="n"/>
      <c r="KDM82" s="440" t="n"/>
      <c r="KDN82" s="440" t="n"/>
      <c r="KDO82" s="440" t="n"/>
      <c r="KDP82" s="440" t="n"/>
      <c r="KDQ82" s="440" t="n"/>
      <c r="KDR82" s="440" t="n"/>
      <c r="KDS82" s="440" t="n"/>
      <c r="KDT82" s="440" t="n"/>
      <c r="KDU82" s="440" t="n"/>
      <c r="KDV82" s="440" t="n"/>
      <c r="KDW82" s="440" t="n"/>
      <c r="KDX82" s="440" t="n"/>
      <c r="KDY82" s="440" t="n"/>
      <c r="KDZ82" s="440" t="n"/>
      <c r="KEA82" s="440" t="n"/>
      <c r="KEB82" s="440" t="n"/>
      <c r="KEC82" s="440" t="n"/>
      <c r="KED82" s="440" t="n"/>
      <c r="KEE82" s="440" t="n"/>
      <c r="KEF82" s="440" t="n"/>
      <c r="KEG82" s="440" t="n"/>
      <c r="KEH82" s="440" t="n"/>
      <c r="KEI82" s="440" t="n"/>
      <c r="KEJ82" s="440" t="n"/>
      <c r="KEK82" s="440" t="n"/>
      <c r="KEL82" s="440" t="n"/>
      <c r="KEM82" s="440" t="n"/>
      <c r="KEN82" s="440" t="n"/>
      <c r="KEO82" s="440" t="n"/>
      <c r="KEP82" s="440" t="n"/>
      <c r="KEQ82" s="440" t="n"/>
      <c r="KER82" s="440" t="n"/>
      <c r="KES82" s="440" t="n"/>
      <c r="KET82" s="440" t="n"/>
      <c r="KEU82" s="440" t="n"/>
      <c r="KEV82" s="440" t="n"/>
      <c r="KEW82" s="440" t="n"/>
      <c r="KEX82" s="440" t="n"/>
      <c r="KEY82" s="440" t="n"/>
      <c r="KEZ82" s="440" t="n"/>
      <c r="KFA82" s="440" t="n"/>
      <c r="KFB82" s="440" t="n"/>
      <c r="KFC82" s="440" t="n"/>
      <c r="KFD82" s="440" t="n"/>
      <c r="KFE82" s="440" t="n"/>
      <c r="KFF82" s="440" t="n"/>
      <c r="KFG82" s="440" t="n"/>
      <c r="KFH82" s="440" t="n"/>
      <c r="KFI82" s="440" t="n"/>
      <c r="KFJ82" s="440" t="n"/>
      <c r="KFK82" s="440" t="n"/>
      <c r="KFL82" s="440" t="n"/>
      <c r="KFM82" s="440" t="n"/>
      <c r="KFN82" s="440" t="n"/>
      <c r="KFO82" s="440" t="n"/>
      <c r="KFP82" s="440" t="n"/>
      <c r="KFQ82" s="440" t="n"/>
      <c r="KFR82" s="440" t="n"/>
      <c r="KFS82" s="440" t="n"/>
      <c r="KFT82" s="440" t="n"/>
      <c r="KFU82" s="440" t="n"/>
      <c r="KFV82" s="440" t="n"/>
      <c r="KFW82" s="440" t="n"/>
      <c r="KFX82" s="440" t="n"/>
      <c r="KFY82" s="440" t="n"/>
      <c r="KFZ82" s="440" t="n"/>
      <c r="KGA82" s="440" t="n"/>
      <c r="KGB82" s="440" t="n"/>
      <c r="KGC82" s="440" t="n"/>
      <c r="KGD82" s="440" t="n"/>
      <c r="KGE82" s="440" t="n"/>
      <c r="KGF82" s="440" t="n"/>
      <c r="KGG82" s="440" t="n"/>
      <c r="KGH82" s="440" t="n"/>
      <c r="KGI82" s="440" t="n"/>
      <c r="KGJ82" s="440" t="n"/>
      <c r="KGK82" s="440" t="n"/>
      <c r="KGL82" s="440" t="n"/>
      <c r="KGM82" s="440" t="n"/>
      <c r="KGN82" s="440" t="n"/>
      <c r="KGO82" s="440" t="n"/>
      <c r="KGP82" s="440" t="n"/>
      <c r="KGQ82" s="440" t="n"/>
      <c r="KGR82" s="440" t="n"/>
      <c r="KGS82" s="440" t="n"/>
      <c r="KGT82" s="440" t="n"/>
      <c r="KGU82" s="440" t="n"/>
      <c r="KGV82" s="440" t="n"/>
      <c r="KGW82" s="440" t="n"/>
      <c r="KGX82" s="440" t="n"/>
      <c r="KGY82" s="440" t="n"/>
      <c r="KGZ82" s="440" t="n"/>
      <c r="KHA82" s="440" t="n"/>
      <c r="KHB82" s="440" t="n"/>
      <c r="KHC82" s="440" t="n"/>
      <c r="KHD82" s="440" t="n"/>
      <c r="KHE82" s="440" t="n"/>
      <c r="KHF82" s="440" t="n"/>
      <c r="KHG82" s="440" t="n"/>
      <c r="KHH82" s="440" t="n"/>
      <c r="KHI82" s="440" t="n"/>
      <c r="KHJ82" s="440" t="n"/>
      <c r="KHK82" s="440" t="n"/>
      <c r="KHL82" s="440" t="n"/>
      <c r="KHM82" s="440" t="n"/>
      <c r="KHN82" s="440" t="n"/>
      <c r="KHO82" s="440" t="n"/>
      <c r="KHP82" s="440" t="n"/>
      <c r="KHQ82" s="440" t="n"/>
      <c r="KHR82" s="440" t="n"/>
      <c r="KHS82" s="440" t="n"/>
      <c r="KHT82" s="440" t="n"/>
      <c r="KHU82" s="440" t="n"/>
      <c r="KHV82" s="440" t="n"/>
      <c r="KHW82" s="440" t="n"/>
      <c r="KHX82" s="440" t="n"/>
      <c r="KHY82" s="440" t="n"/>
      <c r="KHZ82" s="440" t="n"/>
      <c r="KIA82" s="440" t="n"/>
      <c r="KIB82" s="440" t="n"/>
      <c r="KIC82" s="440" t="n"/>
      <c r="KID82" s="440" t="n"/>
      <c r="KIE82" s="440" t="n"/>
      <c r="KIF82" s="440" t="n"/>
      <c r="KIG82" s="440" t="n"/>
      <c r="KIH82" s="440" t="n"/>
      <c r="KII82" s="440" t="n"/>
      <c r="KIJ82" s="440" t="n"/>
      <c r="KIK82" s="440" t="n"/>
      <c r="KIL82" s="440" t="n"/>
      <c r="KIM82" s="440" t="n"/>
      <c r="KIN82" s="440" t="n"/>
      <c r="KIO82" s="440" t="n"/>
      <c r="KIP82" s="440" t="n"/>
      <c r="KIQ82" s="440" t="n"/>
      <c r="KIR82" s="440" t="n"/>
      <c r="KIS82" s="440" t="n"/>
      <c r="KIT82" s="440" t="n"/>
      <c r="KIU82" s="440" t="n"/>
      <c r="KIV82" s="440" t="n"/>
      <c r="KIW82" s="440" t="n"/>
      <c r="KIX82" s="440" t="n"/>
      <c r="KIY82" s="440" t="n"/>
      <c r="KIZ82" s="440" t="n"/>
      <c r="KJA82" s="440" t="n"/>
      <c r="KJB82" s="440" t="n"/>
      <c r="KJC82" s="440" t="n"/>
      <c r="KJD82" s="440" t="n"/>
      <c r="KJE82" s="440" t="n"/>
      <c r="KJF82" s="440" t="n"/>
      <c r="KJG82" s="440" t="n"/>
      <c r="KJH82" s="440" t="n"/>
      <c r="KJI82" s="440" t="n"/>
      <c r="KJJ82" s="440" t="n"/>
      <c r="KJK82" s="440" t="n"/>
      <c r="KJL82" s="440" t="n"/>
      <c r="KJM82" s="440" t="n"/>
      <c r="KJN82" s="440" t="n"/>
      <c r="KJO82" s="440" t="n"/>
      <c r="KJP82" s="440" t="n"/>
      <c r="KJQ82" s="440" t="n"/>
      <c r="KJR82" s="440" t="n"/>
      <c r="KJS82" s="440" t="n"/>
      <c r="KJT82" s="440" t="n"/>
      <c r="KJU82" s="440" t="n"/>
      <c r="KJV82" s="440" t="n"/>
      <c r="KJW82" s="440" t="n"/>
      <c r="KJX82" s="440" t="n"/>
      <c r="KJY82" s="440" t="n"/>
      <c r="KJZ82" s="440" t="n"/>
      <c r="KKA82" s="440" t="n"/>
      <c r="KKB82" s="440" t="n"/>
      <c r="KKC82" s="440" t="n"/>
      <c r="KKD82" s="440" t="n"/>
      <c r="KKE82" s="440" t="n"/>
      <c r="KKF82" s="440" t="n"/>
      <c r="KKG82" s="440" t="n"/>
      <c r="KKH82" s="440" t="n"/>
      <c r="KKI82" s="440" t="n"/>
      <c r="KKJ82" s="440" t="n"/>
      <c r="KKK82" s="440" t="n"/>
      <c r="KKL82" s="440" t="n"/>
      <c r="KKM82" s="440" t="n"/>
      <c r="KKN82" s="440" t="n"/>
      <c r="KKO82" s="440" t="n"/>
      <c r="KKP82" s="440" t="n"/>
      <c r="KKQ82" s="440" t="n"/>
      <c r="KKR82" s="440" t="n"/>
      <c r="KKS82" s="440" t="n"/>
      <c r="KKT82" s="440" t="n"/>
      <c r="KKU82" s="440" t="n"/>
      <c r="KKV82" s="440" t="n"/>
      <c r="KKW82" s="440" t="n"/>
      <c r="KKX82" s="440" t="n"/>
      <c r="KKY82" s="440" t="n"/>
      <c r="KKZ82" s="440" t="n"/>
      <c r="KLA82" s="440" t="n"/>
      <c r="KLB82" s="440" t="n"/>
      <c r="KLC82" s="440" t="n"/>
      <c r="KLD82" s="440" t="n"/>
      <c r="KLE82" s="440" t="n"/>
      <c r="KLF82" s="440" t="n"/>
      <c r="KLG82" s="440" t="n"/>
      <c r="KLH82" s="440" t="n"/>
      <c r="KLI82" s="440" t="n"/>
      <c r="KLJ82" s="440" t="n"/>
      <c r="KLK82" s="440" t="n"/>
      <c r="KLL82" s="440" t="n"/>
      <c r="KLM82" s="440" t="n"/>
      <c r="KLN82" s="440" t="n"/>
      <c r="KLO82" s="440" t="n"/>
      <c r="KLP82" s="440" t="n"/>
      <c r="KLQ82" s="440" t="n"/>
      <c r="KLR82" s="440" t="n"/>
      <c r="KLS82" s="440" t="n"/>
      <c r="KLT82" s="440" t="n"/>
      <c r="KLU82" s="440" t="n"/>
      <c r="KLV82" s="440" t="n"/>
      <c r="KLW82" s="440" t="n"/>
      <c r="KLX82" s="440" t="n"/>
      <c r="KLY82" s="440" t="n"/>
      <c r="KLZ82" s="440" t="n"/>
      <c r="KMA82" s="440" t="n"/>
      <c r="KMB82" s="440" t="n"/>
      <c r="KMC82" s="440" t="n"/>
      <c r="KMD82" s="440" t="n"/>
      <c r="KME82" s="440" t="n"/>
      <c r="KMF82" s="440" t="n"/>
      <c r="KMG82" s="440" t="n"/>
      <c r="KMH82" s="440" t="n"/>
      <c r="KMI82" s="440" t="n"/>
      <c r="KMJ82" s="440" t="n"/>
      <c r="KMK82" s="440" t="n"/>
      <c r="KML82" s="440" t="n"/>
      <c r="KMM82" s="440" t="n"/>
      <c r="KMN82" s="440" t="n"/>
      <c r="KMO82" s="440" t="n"/>
      <c r="KMP82" s="440" t="n"/>
      <c r="KMQ82" s="440" t="n"/>
      <c r="KMR82" s="440" t="n"/>
      <c r="KMS82" s="440" t="n"/>
      <c r="KMT82" s="440" t="n"/>
      <c r="KMU82" s="440" t="n"/>
      <c r="KMV82" s="440" t="n"/>
      <c r="KMW82" s="440" t="n"/>
      <c r="KMX82" s="440" t="n"/>
      <c r="KMY82" s="440" t="n"/>
      <c r="KMZ82" s="440" t="n"/>
      <c r="KNA82" s="440" t="n"/>
      <c r="KNB82" s="440" t="n"/>
      <c r="KNC82" s="440" t="n"/>
      <c r="KND82" s="440" t="n"/>
      <c r="KNE82" s="440" t="n"/>
      <c r="KNF82" s="440" t="n"/>
      <c r="KNG82" s="440" t="n"/>
      <c r="KNH82" s="440" t="n"/>
      <c r="KNI82" s="440" t="n"/>
      <c r="KNJ82" s="440" t="n"/>
      <c r="KNK82" s="440" t="n"/>
      <c r="KNL82" s="440" t="n"/>
      <c r="KNM82" s="440" t="n"/>
      <c r="KNN82" s="440" t="n"/>
      <c r="KNO82" s="440" t="n"/>
      <c r="KNP82" s="440" t="n"/>
      <c r="KNQ82" s="440" t="n"/>
      <c r="KNR82" s="440" t="n"/>
      <c r="KNS82" s="440" t="n"/>
      <c r="KNT82" s="440" t="n"/>
      <c r="KNU82" s="440" t="n"/>
      <c r="KNV82" s="440" t="n"/>
      <c r="KNW82" s="440" t="n"/>
      <c r="KNX82" s="440" t="n"/>
      <c r="KNY82" s="440" t="n"/>
      <c r="KNZ82" s="440" t="n"/>
      <c r="KOA82" s="440" t="n"/>
      <c r="KOB82" s="440" t="n"/>
      <c r="KOC82" s="440" t="n"/>
      <c r="KOD82" s="440" t="n"/>
      <c r="KOE82" s="440" t="n"/>
      <c r="KOF82" s="440" t="n"/>
      <c r="KOG82" s="440" t="n"/>
      <c r="KOH82" s="440" t="n"/>
      <c r="KOI82" s="440" t="n"/>
      <c r="KOJ82" s="440" t="n"/>
      <c r="KOK82" s="440" t="n"/>
      <c r="KOL82" s="440" t="n"/>
      <c r="KOM82" s="440" t="n"/>
      <c r="KON82" s="440" t="n"/>
      <c r="KOO82" s="440" t="n"/>
      <c r="KOP82" s="440" t="n"/>
      <c r="KOQ82" s="440" t="n"/>
      <c r="KOR82" s="440" t="n"/>
      <c r="KOS82" s="440" t="n"/>
      <c r="KOT82" s="440" t="n"/>
      <c r="KOU82" s="440" t="n"/>
      <c r="KOV82" s="440" t="n"/>
      <c r="KOW82" s="440" t="n"/>
      <c r="KOX82" s="440" t="n"/>
      <c r="KOY82" s="440" t="n"/>
      <c r="KOZ82" s="440" t="n"/>
      <c r="KPA82" s="440" t="n"/>
      <c r="KPB82" s="440" t="n"/>
      <c r="KPC82" s="440" t="n"/>
      <c r="KPD82" s="440" t="n"/>
      <c r="KPE82" s="440" t="n"/>
      <c r="KPF82" s="440" t="n"/>
      <c r="KPG82" s="440" t="n"/>
      <c r="KPH82" s="440" t="n"/>
      <c r="KPI82" s="440" t="n"/>
      <c r="KPJ82" s="440" t="n"/>
      <c r="KPK82" s="440" t="n"/>
      <c r="KPL82" s="440" t="n"/>
      <c r="KPM82" s="440" t="n"/>
      <c r="KPN82" s="440" t="n"/>
      <c r="KPO82" s="440" t="n"/>
      <c r="KPP82" s="440" t="n"/>
      <c r="KPQ82" s="440" t="n"/>
      <c r="KPR82" s="440" t="n"/>
      <c r="KPS82" s="440" t="n"/>
      <c r="KPT82" s="440" t="n"/>
      <c r="KPU82" s="440" t="n"/>
      <c r="KPV82" s="440" t="n"/>
      <c r="KPW82" s="440" t="n"/>
      <c r="KPX82" s="440" t="n"/>
      <c r="KPY82" s="440" t="n"/>
      <c r="KPZ82" s="440" t="n"/>
      <c r="KQA82" s="440" t="n"/>
      <c r="KQB82" s="440" t="n"/>
      <c r="KQC82" s="440" t="n"/>
      <c r="KQD82" s="440" t="n"/>
      <c r="KQE82" s="440" t="n"/>
      <c r="KQF82" s="440" t="n"/>
      <c r="KQG82" s="440" t="n"/>
      <c r="KQH82" s="440" t="n"/>
      <c r="KQI82" s="440" t="n"/>
      <c r="KQJ82" s="440" t="n"/>
      <c r="KQK82" s="440" t="n"/>
      <c r="KQL82" s="440" t="n"/>
      <c r="KQM82" s="440" t="n"/>
      <c r="KQN82" s="440" t="n"/>
      <c r="KQO82" s="440" t="n"/>
      <c r="KQP82" s="440" t="n"/>
      <c r="KQQ82" s="440" t="n"/>
      <c r="KQR82" s="440" t="n"/>
      <c r="KQS82" s="440" t="n"/>
      <c r="KQT82" s="440" t="n"/>
      <c r="KQU82" s="440" t="n"/>
      <c r="KQV82" s="440" t="n"/>
      <c r="KQW82" s="440" t="n"/>
      <c r="KQX82" s="440" t="n"/>
      <c r="KQY82" s="440" t="n"/>
      <c r="KQZ82" s="440" t="n"/>
      <c r="KRA82" s="440" t="n"/>
      <c r="KRB82" s="440" t="n"/>
      <c r="KRC82" s="440" t="n"/>
      <c r="KRD82" s="440" t="n"/>
      <c r="KRE82" s="440" t="n"/>
      <c r="KRF82" s="440" t="n"/>
      <c r="KRG82" s="440" t="n"/>
      <c r="KRH82" s="440" t="n"/>
      <c r="KRI82" s="440" t="n"/>
      <c r="KRJ82" s="440" t="n"/>
      <c r="KRK82" s="440" t="n"/>
      <c r="KRL82" s="440" t="n"/>
      <c r="KRM82" s="440" t="n"/>
      <c r="KRN82" s="440" t="n"/>
      <c r="KRO82" s="440" t="n"/>
      <c r="KRP82" s="440" t="n"/>
      <c r="KRQ82" s="440" t="n"/>
      <c r="KRR82" s="440" t="n"/>
      <c r="KRS82" s="440" t="n"/>
      <c r="KRT82" s="440" t="n"/>
      <c r="KRU82" s="440" t="n"/>
      <c r="KRV82" s="440" t="n"/>
      <c r="KRW82" s="440" t="n"/>
      <c r="KRX82" s="440" t="n"/>
      <c r="KRY82" s="440" t="n"/>
      <c r="KRZ82" s="440" t="n"/>
      <c r="KSA82" s="440" t="n"/>
      <c r="KSB82" s="440" t="n"/>
      <c r="KSC82" s="440" t="n"/>
      <c r="KSD82" s="440" t="n"/>
      <c r="KSE82" s="440" t="n"/>
      <c r="KSF82" s="440" t="n"/>
      <c r="KSG82" s="440" t="n"/>
      <c r="KSH82" s="440" t="n"/>
      <c r="KSI82" s="440" t="n"/>
      <c r="KSJ82" s="440" t="n"/>
      <c r="KSK82" s="440" t="n"/>
      <c r="KSL82" s="440" t="n"/>
      <c r="KSM82" s="440" t="n"/>
      <c r="KSN82" s="440" t="n"/>
      <c r="KSO82" s="440" t="n"/>
      <c r="KSP82" s="440" t="n"/>
      <c r="KSQ82" s="440" t="n"/>
      <c r="KSR82" s="440" t="n"/>
      <c r="KSS82" s="440" t="n"/>
      <c r="KST82" s="440" t="n"/>
      <c r="KSU82" s="440" t="n"/>
      <c r="KSV82" s="440" t="n"/>
      <c r="KSW82" s="440" t="n"/>
      <c r="KSX82" s="440" t="n"/>
      <c r="KSY82" s="440" t="n"/>
      <c r="KSZ82" s="440" t="n"/>
      <c r="KTA82" s="440" t="n"/>
      <c r="KTB82" s="440" t="n"/>
      <c r="KTC82" s="440" t="n"/>
      <c r="KTD82" s="440" t="n"/>
      <c r="KTE82" s="440" t="n"/>
      <c r="KTF82" s="440" t="n"/>
      <c r="KTG82" s="440" t="n"/>
      <c r="KTH82" s="440" t="n"/>
      <c r="KTI82" s="440" t="n"/>
      <c r="KTJ82" s="440" t="n"/>
      <c r="KTK82" s="440" t="n"/>
      <c r="KTL82" s="440" t="n"/>
      <c r="KTM82" s="440" t="n"/>
      <c r="KTN82" s="440" t="n"/>
      <c r="KTO82" s="440" t="n"/>
      <c r="KTP82" s="440" t="n"/>
      <c r="KTQ82" s="440" t="n"/>
      <c r="KTR82" s="440" t="n"/>
      <c r="KTS82" s="440" t="n"/>
      <c r="KTT82" s="440" t="n"/>
      <c r="KTU82" s="440" t="n"/>
      <c r="KTV82" s="440" t="n"/>
      <c r="KTW82" s="440" t="n"/>
      <c r="KTX82" s="440" t="n"/>
      <c r="KTY82" s="440" t="n"/>
      <c r="KTZ82" s="440" t="n"/>
      <c r="KUA82" s="440" t="n"/>
      <c r="KUB82" s="440" t="n"/>
      <c r="KUC82" s="440" t="n"/>
      <c r="KUD82" s="440" t="n"/>
      <c r="KUE82" s="440" t="n"/>
      <c r="KUF82" s="440" t="n"/>
      <c r="KUG82" s="440" t="n"/>
      <c r="KUH82" s="440" t="n"/>
      <c r="KUI82" s="440" t="n"/>
      <c r="KUJ82" s="440" t="n"/>
      <c r="KUK82" s="440" t="n"/>
      <c r="KUL82" s="440" t="n"/>
      <c r="KUM82" s="440" t="n"/>
      <c r="KUN82" s="440" t="n"/>
      <c r="KUO82" s="440" t="n"/>
      <c r="KUP82" s="440" t="n"/>
      <c r="KUQ82" s="440" t="n"/>
      <c r="KUR82" s="440" t="n"/>
      <c r="KUS82" s="440" t="n"/>
      <c r="KUT82" s="440" t="n"/>
      <c r="KUU82" s="440" t="n"/>
      <c r="KUV82" s="440" t="n"/>
      <c r="KUW82" s="440" t="n"/>
      <c r="KUX82" s="440" t="n"/>
      <c r="KUY82" s="440" t="n"/>
      <c r="KUZ82" s="440" t="n"/>
      <c r="KVA82" s="440" t="n"/>
      <c r="KVB82" s="440" t="n"/>
      <c r="KVC82" s="440" t="n"/>
      <c r="KVD82" s="440" t="n"/>
      <c r="KVE82" s="440" t="n"/>
      <c r="KVF82" s="440" t="n"/>
      <c r="KVG82" s="440" t="n"/>
      <c r="KVH82" s="440" t="n"/>
      <c r="KVI82" s="440" t="n"/>
      <c r="KVJ82" s="440" t="n"/>
      <c r="KVK82" s="440" t="n"/>
      <c r="KVL82" s="440" t="n"/>
      <c r="KVM82" s="440" t="n"/>
      <c r="KVN82" s="440" t="n"/>
      <c r="KVO82" s="440" t="n"/>
      <c r="KVP82" s="440" t="n"/>
      <c r="KVQ82" s="440" t="n"/>
      <c r="KVR82" s="440" t="n"/>
      <c r="KVS82" s="440" t="n"/>
      <c r="KVT82" s="440" t="n"/>
      <c r="KVU82" s="440" t="n"/>
      <c r="KVV82" s="440" t="n"/>
      <c r="KVW82" s="440" t="n"/>
      <c r="KVX82" s="440" t="n"/>
      <c r="KVY82" s="440" t="n"/>
      <c r="KVZ82" s="440" t="n"/>
      <c r="KWA82" s="440" t="n"/>
      <c r="KWB82" s="440" t="n"/>
      <c r="KWC82" s="440" t="n"/>
      <c r="KWD82" s="440" t="n"/>
      <c r="KWE82" s="440" t="n"/>
      <c r="KWF82" s="440" t="n"/>
      <c r="KWG82" s="440" t="n"/>
      <c r="KWH82" s="440" t="n"/>
      <c r="KWI82" s="440" t="n"/>
      <c r="KWJ82" s="440" t="n"/>
      <c r="KWK82" s="440" t="n"/>
      <c r="KWL82" s="440" t="n"/>
      <c r="KWM82" s="440" t="n"/>
      <c r="KWN82" s="440" t="n"/>
      <c r="KWO82" s="440" t="n"/>
      <c r="KWP82" s="440" t="n"/>
      <c r="KWQ82" s="440" t="n"/>
      <c r="KWR82" s="440" t="n"/>
      <c r="KWS82" s="440" t="n"/>
      <c r="KWT82" s="440" t="n"/>
      <c r="KWU82" s="440" t="n"/>
      <c r="KWV82" s="440" t="n"/>
      <c r="KWW82" s="440" t="n"/>
      <c r="KWX82" s="440" t="n"/>
      <c r="KWY82" s="440" t="n"/>
      <c r="KWZ82" s="440" t="n"/>
      <c r="KXA82" s="440" t="n"/>
      <c r="KXB82" s="440" t="n"/>
      <c r="KXC82" s="440" t="n"/>
      <c r="KXD82" s="440" t="n"/>
      <c r="KXE82" s="440" t="n"/>
      <c r="KXF82" s="440" t="n"/>
      <c r="KXG82" s="440" t="n"/>
      <c r="KXH82" s="440" t="n"/>
      <c r="KXI82" s="440" t="n"/>
      <c r="KXJ82" s="440" t="n"/>
      <c r="KXK82" s="440" t="n"/>
      <c r="KXL82" s="440" t="n"/>
      <c r="KXM82" s="440" t="n"/>
      <c r="KXN82" s="440" t="n"/>
      <c r="KXO82" s="440" t="n"/>
      <c r="KXP82" s="440" t="n"/>
      <c r="KXQ82" s="440" t="n"/>
      <c r="KXR82" s="440" t="n"/>
      <c r="KXS82" s="440" t="n"/>
      <c r="KXT82" s="440" t="n"/>
      <c r="KXU82" s="440" t="n"/>
      <c r="KXV82" s="440" t="n"/>
      <c r="KXW82" s="440" t="n"/>
      <c r="KXX82" s="440" t="n"/>
      <c r="KXY82" s="440" t="n"/>
      <c r="KXZ82" s="440" t="n"/>
      <c r="KYA82" s="440" t="n"/>
      <c r="KYB82" s="440" t="n"/>
      <c r="KYC82" s="440" t="n"/>
      <c r="KYD82" s="440" t="n"/>
      <c r="KYE82" s="440" t="n"/>
      <c r="KYF82" s="440" t="n"/>
      <c r="KYG82" s="440" t="n"/>
      <c r="KYH82" s="440" t="n"/>
      <c r="KYI82" s="440" t="n"/>
      <c r="KYJ82" s="440" t="n"/>
      <c r="KYK82" s="440" t="n"/>
      <c r="KYL82" s="440" t="n"/>
      <c r="KYM82" s="440" t="n"/>
      <c r="KYN82" s="440" t="n"/>
      <c r="KYO82" s="440" t="n"/>
      <c r="KYP82" s="440" t="n"/>
      <c r="KYQ82" s="440" t="n"/>
      <c r="KYR82" s="440" t="n"/>
      <c r="KYS82" s="440" t="n"/>
      <c r="KYT82" s="440" t="n"/>
      <c r="KYU82" s="440" t="n"/>
      <c r="KYV82" s="440" t="n"/>
      <c r="KYW82" s="440" t="n"/>
      <c r="KYX82" s="440" t="n"/>
      <c r="KYY82" s="440" t="n"/>
      <c r="KYZ82" s="440" t="n"/>
      <c r="KZA82" s="440" t="n"/>
      <c r="KZB82" s="440" t="n"/>
      <c r="KZC82" s="440" t="n"/>
      <c r="KZD82" s="440" t="n"/>
      <c r="KZE82" s="440" t="n"/>
      <c r="KZF82" s="440" t="n"/>
      <c r="KZG82" s="440" t="n"/>
      <c r="KZH82" s="440" t="n"/>
      <c r="KZI82" s="440" t="n"/>
      <c r="KZJ82" s="440" t="n"/>
      <c r="KZK82" s="440" t="n"/>
      <c r="KZL82" s="440" t="n"/>
      <c r="KZM82" s="440" t="n"/>
      <c r="KZN82" s="440" t="n"/>
      <c r="KZO82" s="440" t="n"/>
      <c r="KZP82" s="440" t="n"/>
      <c r="KZQ82" s="440" t="n"/>
      <c r="KZR82" s="440" t="n"/>
      <c r="KZS82" s="440" t="n"/>
      <c r="KZT82" s="440" t="n"/>
      <c r="KZU82" s="440" t="n"/>
      <c r="KZV82" s="440" t="n"/>
      <c r="KZW82" s="440" t="n"/>
      <c r="KZX82" s="440" t="n"/>
      <c r="KZY82" s="440" t="n"/>
      <c r="KZZ82" s="440" t="n"/>
      <c r="LAA82" s="440" t="n"/>
      <c r="LAB82" s="440" t="n"/>
      <c r="LAC82" s="440" t="n"/>
      <c r="LAD82" s="440" t="n"/>
      <c r="LAE82" s="440" t="n"/>
      <c r="LAF82" s="440" t="n"/>
      <c r="LAG82" s="440" t="n"/>
      <c r="LAH82" s="440" t="n"/>
      <c r="LAI82" s="440" t="n"/>
      <c r="LAJ82" s="440" t="n"/>
      <c r="LAK82" s="440" t="n"/>
      <c r="LAL82" s="440" t="n"/>
      <c r="LAM82" s="440" t="n"/>
      <c r="LAN82" s="440" t="n"/>
      <c r="LAO82" s="440" t="n"/>
      <c r="LAP82" s="440" t="n"/>
      <c r="LAQ82" s="440" t="n"/>
      <c r="LAR82" s="440" t="n"/>
      <c r="LAS82" s="440" t="n"/>
      <c r="LAT82" s="440" t="n"/>
      <c r="LAU82" s="440" t="n"/>
      <c r="LAV82" s="440" t="n"/>
      <c r="LAW82" s="440" t="n"/>
      <c r="LAX82" s="440" t="n"/>
      <c r="LAY82" s="440" t="n"/>
      <c r="LAZ82" s="440" t="n"/>
      <c r="LBA82" s="440" t="n"/>
      <c r="LBB82" s="440" t="n"/>
      <c r="LBC82" s="440" t="n"/>
      <c r="LBD82" s="440" t="n"/>
      <c r="LBE82" s="440" t="n"/>
      <c r="LBF82" s="440" t="n"/>
      <c r="LBG82" s="440" t="n"/>
      <c r="LBH82" s="440" t="n"/>
      <c r="LBI82" s="440" t="n"/>
      <c r="LBJ82" s="440" t="n"/>
      <c r="LBK82" s="440" t="n"/>
      <c r="LBL82" s="440" t="n"/>
      <c r="LBM82" s="440" t="n"/>
      <c r="LBN82" s="440" t="n"/>
      <c r="LBO82" s="440" t="n"/>
      <c r="LBP82" s="440" t="n"/>
      <c r="LBQ82" s="440" t="n"/>
      <c r="LBR82" s="440" t="n"/>
      <c r="LBS82" s="440" t="n"/>
      <c r="LBT82" s="440" t="n"/>
      <c r="LBU82" s="440" t="n"/>
      <c r="LBV82" s="440" t="n"/>
      <c r="LBW82" s="440" t="n"/>
      <c r="LBX82" s="440" t="n"/>
      <c r="LBY82" s="440" t="n"/>
      <c r="LBZ82" s="440" t="n"/>
      <c r="LCA82" s="440" t="n"/>
      <c r="LCB82" s="440" t="n"/>
      <c r="LCC82" s="440" t="n"/>
      <c r="LCD82" s="440" t="n"/>
      <c r="LCE82" s="440" t="n"/>
      <c r="LCF82" s="440" t="n"/>
      <c r="LCG82" s="440" t="n"/>
      <c r="LCH82" s="440" t="n"/>
      <c r="LCI82" s="440" t="n"/>
      <c r="LCJ82" s="440" t="n"/>
      <c r="LCK82" s="440" t="n"/>
      <c r="LCL82" s="440" t="n"/>
      <c r="LCM82" s="440" t="n"/>
      <c r="LCN82" s="440" t="n"/>
      <c r="LCO82" s="440" t="n"/>
      <c r="LCP82" s="440" t="n"/>
      <c r="LCQ82" s="440" t="n"/>
      <c r="LCR82" s="440" t="n"/>
      <c r="LCS82" s="440" t="n"/>
      <c r="LCT82" s="440" t="n"/>
      <c r="LCU82" s="440" t="n"/>
      <c r="LCV82" s="440" t="n"/>
      <c r="LCW82" s="440" t="n"/>
      <c r="LCX82" s="440" t="n"/>
      <c r="LCY82" s="440" t="n"/>
      <c r="LCZ82" s="440" t="n"/>
      <c r="LDA82" s="440" t="n"/>
      <c r="LDB82" s="440" t="n"/>
      <c r="LDC82" s="440" t="n"/>
      <c r="LDD82" s="440" t="n"/>
      <c r="LDE82" s="440" t="n"/>
      <c r="LDF82" s="440" t="n"/>
      <c r="LDG82" s="440" t="n"/>
      <c r="LDH82" s="440" t="n"/>
      <c r="LDI82" s="440" t="n"/>
      <c r="LDJ82" s="440" t="n"/>
      <c r="LDK82" s="440" t="n"/>
      <c r="LDL82" s="440" t="n"/>
      <c r="LDM82" s="440" t="n"/>
      <c r="LDN82" s="440" t="n"/>
      <c r="LDO82" s="440" t="n"/>
      <c r="LDP82" s="440" t="n"/>
      <c r="LDQ82" s="440" t="n"/>
      <c r="LDR82" s="440" t="n"/>
      <c r="LDS82" s="440" t="n"/>
      <c r="LDT82" s="440" t="n"/>
      <c r="LDU82" s="440" t="n"/>
      <c r="LDV82" s="440" t="n"/>
      <c r="LDW82" s="440" t="n"/>
      <c r="LDX82" s="440" t="n"/>
      <c r="LDY82" s="440" t="n"/>
      <c r="LDZ82" s="440" t="n"/>
      <c r="LEA82" s="440" t="n"/>
      <c r="LEB82" s="440" t="n"/>
      <c r="LEC82" s="440" t="n"/>
      <c r="LED82" s="440" t="n"/>
      <c r="LEE82" s="440" t="n"/>
      <c r="LEF82" s="440" t="n"/>
      <c r="LEG82" s="440" t="n"/>
      <c r="LEH82" s="440" t="n"/>
      <c r="LEI82" s="440" t="n"/>
      <c r="LEJ82" s="440" t="n"/>
      <c r="LEK82" s="440" t="n"/>
      <c r="LEL82" s="440" t="n"/>
      <c r="LEM82" s="440" t="n"/>
      <c r="LEN82" s="440" t="n"/>
      <c r="LEO82" s="440" t="n"/>
      <c r="LEP82" s="440" t="n"/>
      <c r="LEQ82" s="440" t="n"/>
      <c r="LER82" s="440" t="n"/>
      <c r="LES82" s="440" t="n"/>
      <c r="LET82" s="440" t="n"/>
      <c r="LEU82" s="440" t="n"/>
      <c r="LEV82" s="440" t="n"/>
      <c r="LEW82" s="440" t="n"/>
      <c r="LEX82" s="440" t="n"/>
      <c r="LEY82" s="440" t="n"/>
      <c r="LEZ82" s="440" t="n"/>
      <c r="LFA82" s="440" t="n"/>
      <c r="LFB82" s="440" t="n"/>
      <c r="LFC82" s="440" t="n"/>
      <c r="LFD82" s="440" t="n"/>
      <c r="LFE82" s="440" t="n"/>
      <c r="LFF82" s="440" t="n"/>
      <c r="LFG82" s="440" t="n"/>
      <c r="LFH82" s="440" t="n"/>
      <c r="LFI82" s="440" t="n"/>
      <c r="LFJ82" s="440" t="n"/>
      <c r="LFK82" s="440" t="n"/>
      <c r="LFL82" s="440" t="n"/>
      <c r="LFM82" s="440" t="n"/>
      <c r="LFN82" s="440" t="n"/>
      <c r="LFO82" s="440" t="n"/>
      <c r="LFP82" s="440" t="n"/>
      <c r="LFQ82" s="440" t="n"/>
      <c r="LFR82" s="440" t="n"/>
      <c r="LFS82" s="440" t="n"/>
      <c r="LFT82" s="440" t="n"/>
      <c r="LFU82" s="440" t="n"/>
      <c r="LFV82" s="440" t="n"/>
      <c r="LFW82" s="440" t="n"/>
      <c r="LFX82" s="440" t="n"/>
      <c r="LFY82" s="440" t="n"/>
      <c r="LFZ82" s="440" t="n"/>
      <c r="LGA82" s="440" t="n"/>
      <c r="LGB82" s="440" t="n"/>
      <c r="LGC82" s="440" t="n"/>
      <c r="LGD82" s="440" t="n"/>
      <c r="LGE82" s="440" t="n"/>
      <c r="LGF82" s="440" t="n"/>
      <c r="LGG82" s="440" t="n"/>
      <c r="LGH82" s="440" t="n"/>
      <c r="LGI82" s="440" t="n"/>
      <c r="LGJ82" s="440" t="n"/>
      <c r="LGK82" s="440" t="n"/>
      <c r="LGL82" s="440" t="n"/>
      <c r="LGM82" s="440" t="n"/>
      <c r="LGN82" s="440" t="n"/>
      <c r="LGO82" s="440" t="n"/>
      <c r="LGP82" s="440" t="n"/>
      <c r="LGQ82" s="440" t="n"/>
      <c r="LGR82" s="440" t="n"/>
      <c r="LGS82" s="440" t="n"/>
      <c r="LGT82" s="440" t="n"/>
      <c r="LGU82" s="440" t="n"/>
      <c r="LGV82" s="440" t="n"/>
      <c r="LGW82" s="440" t="n"/>
      <c r="LGX82" s="440" t="n"/>
      <c r="LGY82" s="440" t="n"/>
      <c r="LGZ82" s="440" t="n"/>
      <c r="LHA82" s="440" t="n"/>
      <c r="LHB82" s="440" t="n"/>
      <c r="LHC82" s="440" t="n"/>
      <c r="LHD82" s="440" t="n"/>
      <c r="LHE82" s="440" t="n"/>
      <c r="LHF82" s="440" t="n"/>
      <c r="LHG82" s="440" t="n"/>
      <c r="LHH82" s="440" t="n"/>
      <c r="LHI82" s="440" t="n"/>
      <c r="LHJ82" s="440" t="n"/>
      <c r="LHK82" s="440" t="n"/>
      <c r="LHL82" s="440" t="n"/>
      <c r="LHM82" s="440" t="n"/>
      <c r="LHN82" s="440" t="n"/>
      <c r="LHO82" s="440" t="n"/>
      <c r="LHP82" s="440" t="n"/>
      <c r="LHQ82" s="440" t="n"/>
      <c r="LHR82" s="440" t="n"/>
      <c r="LHS82" s="440" t="n"/>
      <c r="LHT82" s="440" t="n"/>
      <c r="LHU82" s="440" t="n"/>
      <c r="LHV82" s="440" t="n"/>
      <c r="LHW82" s="440" t="n"/>
      <c r="LHX82" s="440" t="n"/>
      <c r="LHY82" s="440" t="n"/>
      <c r="LHZ82" s="440" t="n"/>
      <c r="LIA82" s="440" t="n"/>
      <c r="LIB82" s="440" t="n"/>
      <c r="LIC82" s="440" t="n"/>
      <c r="LID82" s="440" t="n"/>
      <c r="LIE82" s="440" t="n"/>
      <c r="LIF82" s="440" t="n"/>
      <c r="LIG82" s="440" t="n"/>
      <c r="LIH82" s="440" t="n"/>
      <c r="LII82" s="440" t="n"/>
      <c r="LIJ82" s="440" t="n"/>
      <c r="LIK82" s="440" t="n"/>
      <c r="LIL82" s="440" t="n"/>
      <c r="LIM82" s="440" t="n"/>
      <c r="LIN82" s="440" t="n"/>
      <c r="LIO82" s="440" t="n"/>
      <c r="LIP82" s="440" t="n"/>
      <c r="LIQ82" s="440" t="n"/>
      <c r="LIR82" s="440" t="n"/>
      <c r="LIS82" s="440" t="n"/>
      <c r="LIT82" s="440" t="n"/>
      <c r="LIU82" s="440" t="n"/>
      <c r="LIV82" s="440" t="n"/>
      <c r="LIW82" s="440" t="n"/>
      <c r="LIX82" s="440" t="n"/>
      <c r="LIY82" s="440" t="n"/>
      <c r="LIZ82" s="440" t="n"/>
      <c r="LJA82" s="440" t="n"/>
      <c r="LJB82" s="440" t="n"/>
      <c r="LJC82" s="440" t="n"/>
      <c r="LJD82" s="440" t="n"/>
      <c r="LJE82" s="440" t="n"/>
      <c r="LJF82" s="440" t="n"/>
      <c r="LJG82" s="440" t="n"/>
      <c r="LJH82" s="440" t="n"/>
      <c r="LJI82" s="440" t="n"/>
      <c r="LJJ82" s="440" t="n"/>
      <c r="LJK82" s="440" t="n"/>
      <c r="LJL82" s="440" t="n"/>
      <c r="LJM82" s="440" t="n"/>
      <c r="LJN82" s="440" t="n"/>
      <c r="LJO82" s="440" t="n"/>
      <c r="LJP82" s="440" t="n"/>
      <c r="LJQ82" s="440" t="n"/>
      <c r="LJR82" s="440" t="n"/>
      <c r="LJS82" s="440" t="n"/>
      <c r="LJT82" s="440" t="n"/>
      <c r="LJU82" s="440" t="n"/>
      <c r="LJV82" s="440" t="n"/>
      <c r="LJW82" s="440" t="n"/>
      <c r="LJX82" s="440" t="n"/>
      <c r="LJY82" s="440" t="n"/>
      <c r="LJZ82" s="440" t="n"/>
      <c r="LKA82" s="440" t="n"/>
      <c r="LKB82" s="440" t="n"/>
      <c r="LKC82" s="440" t="n"/>
      <c r="LKD82" s="440" t="n"/>
      <c r="LKE82" s="440" t="n"/>
      <c r="LKF82" s="440" t="n"/>
      <c r="LKG82" s="440" t="n"/>
      <c r="LKH82" s="440" t="n"/>
      <c r="LKI82" s="440" t="n"/>
      <c r="LKJ82" s="440" t="n"/>
      <c r="LKK82" s="440" t="n"/>
      <c r="LKL82" s="440" t="n"/>
      <c r="LKM82" s="440" t="n"/>
      <c r="LKN82" s="440" t="n"/>
      <c r="LKO82" s="440" t="n"/>
      <c r="LKP82" s="440" t="n"/>
      <c r="LKQ82" s="440" t="n"/>
      <c r="LKR82" s="440" t="n"/>
      <c r="LKS82" s="440" t="n"/>
      <c r="LKT82" s="440" t="n"/>
      <c r="LKU82" s="440" t="n"/>
      <c r="LKV82" s="440" t="n"/>
      <c r="LKW82" s="440" t="n"/>
      <c r="LKX82" s="440" t="n"/>
      <c r="LKY82" s="440" t="n"/>
      <c r="LKZ82" s="440" t="n"/>
      <c r="LLA82" s="440" t="n"/>
      <c r="LLB82" s="440" t="n"/>
      <c r="LLC82" s="440" t="n"/>
      <c r="LLD82" s="440" t="n"/>
      <c r="LLE82" s="440" t="n"/>
      <c r="LLF82" s="440" t="n"/>
      <c r="LLG82" s="440" t="n"/>
      <c r="LLH82" s="440" t="n"/>
      <c r="LLI82" s="440" t="n"/>
      <c r="LLJ82" s="440" t="n"/>
      <c r="LLK82" s="440" t="n"/>
      <c r="LLL82" s="440" t="n"/>
      <c r="LLM82" s="440" t="n"/>
      <c r="LLN82" s="440" t="n"/>
      <c r="LLO82" s="440" t="n"/>
      <c r="LLP82" s="440" t="n"/>
      <c r="LLQ82" s="440" t="n"/>
      <c r="LLR82" s="440" t="n"/>
      <c r="LLS82" s="440" t="n"/>
      <c r="LLT82" s="440" t="n"/>
      <c r="LLU82" s="440" t="n"/>
      <c r="LLV82" s="440" t="n"/>
      <c r="LLW82" s="440" t="n"/>
      <c r="LLX82" s="440" t="n"/>
      <c r="LLY82" s="440" t="n"/>
      <c r="LLZ82" s="440" t="n"/>
      <c r="LMA82" s="440" t="n"/>
      <c r="LMB82" s="440" t="n"/>
      <c r="LMC82" s="440" t="n"/>
      <c r="LMD82" s="440" t="n"/>
      <c r="LME82" s="440" t="n"/>
      <c r="LMF82" s="440" t="n"/>
      <c r="LMG82" s="440" t="n"/>
      <c r="LMH82" s="440" t="n"/>
      <c r="LMI82" s="440" t="n"/>
      <c r="LMJ82" s="440" t="n"/>
      <c r="LMK82" s="440" t="n"/>
      <c r="LML82" s="440" t="n"/>
      <c r="LMM82" s="440" t="n"/>
      <c r="LMN82" s="440" t="n"/>
      <c r="LMO82" s="440" t="n"/>
      <c r="LMP82" s="440" t="n"/>
      <c r="LMQ82" s="440" t="n"/>
      <c r="LMR82" s="440" t="n"/>
      <c r="LMS82" s="440" t="n"/>
      <c r="LMT82" s="440" t="n"/>
      <c r="LMU82" s="440" t="n"/>
      <c r="LMV82" s="440" t="n"/>
      <c r="LMW82" s="440" t="n"/>
      <c r="LMX82" s="440" t="n"/>
      <c r="LMY82" s="440" t="n"/>
      <c r="LMZ82" s="440" t="n"/>
      <c r="LNA82" s="440" t="n"/>
      <c r="LNB82" s="440" t="n"/>
      <c r="LNC82" s="440" t="n"/>
      <c r="LND82" s="440" t="n"/>
      <c r="LNE82" s="440" t="n"/>
      <c r="LNF82" s="440" t="n"/>
      <c r="LNG82" s="440" t="n"/>
      <c r="LNH82" s="440" t="n"/>
      <c r="LNI82" s="440" t="n"/>
      <c r="LNJ82" s="440" t="n"/>
      <c r="LNK82" s="440" t="n"/>
      <c r="LNL82" s="440" t="n"/>
      <c r="LNM82" s="440" t="n"/>
      <c r="LNN82" s="440" t="n"/>
      <c r="LNO82" s="440" t="n"/>
      <c r="LNP82" s="440" t="n"/>
      <c r="LNQ82" s="440" t="n"/>
      <c r="LNR82" s="440" t="n"/>
      <c r="LNS82" s="440" t="n"/>
      <c r="LNT82" s="440" t="n"/>
      <c r="LNU82" s="440" t="n"/>
      <c r="LNV82" s="440" t="n"/>
      <c r="LNW82" s="440" t="n"/>
      <c r="LNX82" s="440" t="n"/>
      <c r="LNY82" s="440" t="n"/>
      <c r="LNZ82" s="440" t="n"/>
      <c r="LOA82" s="440" t="n"/>
      <c r="LOB82" s="440" t="n"/>
      <c r="LOC82" s="440" t="n"/>
      <c r="LOD82" s="440" t="n"/>
      <c r="LOE82" s="440" t="n"/>
      <c r="LOF82" s="440" t="n"/>
      <c r="LOG82" s="440" t="n"/>
      <c r="LOH82" s="440" t="n"/>
      <c r="LOI82" s="440" t="n"/>
      <c r="LOJ82" s="440" t="n"/>
      <c r="LOK82" s="440" t="n"/>
      <c r="LOL82" s="440" t="n"/>
      <c r="LOM82" s="440" t="n"/>
      <c r="LON82" s="440" t="n"/>
      <c r="LOO82" s="440" t="n"/>
      <c r="LOP82" s="440" t="n"/>
      <c r="LOQ82" s="440" t="n"/>
      <c r="LOR82" s="440" t="n"/>
      <c r="LOS82" s="440" t="n"/>
      <c r="LOT82" s="440" t="n"/>
      <c r="LOU82" s="440" t="n"/>
      <c r="LOV82" s="440" t="n"/>
      <c r="LOW82" s="440" t="n"/>
      <c r="LOX82" s="440" t="n"/>
      <c r="LOY82" s="440" t="n"/>
      <c r="LOZ82" s="440" t="n"/>
      <c r="LPA82" s="440" t="n"/>
      <c r="LPB82" s="440" t="n"/>
      <c r="LPC82" s="440" t="n"/>
      <c r="LPD82" s="440" t="n"/>
      <c r="LPE82" s="440" t="n"/>
      <c r="LPF82" s="440" t="n"/>
      <c r="LPG82" s="440" t="n"/>
      <c r="LPH82" s="440" t="n"/>
      <c r="LPI82" s="440" t="n"/>
      <c r="LPJ82" s="440" t="n"/>
      <c r="LPK82" s="440" t="n"/>
      <c r="LPL82" s="440" t="n"/>
      <c r="LPM82" s="440" t="n"/>
      <c r="LPN82" s="440" t="n"/>
      <c r="LPO82" s="440" t="n"/>
      <c r="LPP82" s="440" t="n"/>
      <c r="LPQ82" s="440" t="n"/>
      <c r="LPR82" s="440" t="n"/>
      <c r="LPS82" s="440" t="n"/>
      <c r="LPT82" s="440" t="n"/>
      <c r="LPU82" s="440" t="n"/>
      <c r="LPV82" s="440" t="n"/>
      <c r="LPW82" s="440" t="n"/>
      <c r="LPX82" s="440" t="n"/>
      <c r="LPY82" s="440" t="n"/>
      <c r="LPZ82" s="440" t="n"/>
      <c r="LQA82" s="440" t="n"/>
      <c r="LQB82" s="440" t="n"/>
      <c r="LQC82" s="440" t="n"/>
      <c r="LQD82" s="440" t="n"/>
      <c r="LQE82" s="440" t="n"/>
      <c r="LQF82" s="440" t="n"/>
      <c r="LQG82" s="440" t="n"/>
      <c r="LQH82" s="440" t="n"/>
      <c r="LQI82" s="440" t="n"/>
      <c r="LQJ82" s="440" t="n"/>
      <c r="LQK82" s="440" t="n"/>
      <c r="LQL82" s="440" t="n"/>
      <c r="LQM82" s="440" t="n"/>
      <c r="LQN82" s="440" t="n"/>
      <c r="LQO82" s="440" t="n"/>
      <c r="LQP82" s="440" t="n"/>
      <c r="LQQ82" s="440" t="n"/>
      <c r="LQR82" s="440" t="n"/>
      <c r="LQS82" s="440" t="n"/>
      <c r="LQT82" s="440" t="n"/>
      <c r="LQU82" s="440" t="n"/>
      <c r="LQV82" s="440" t="n"/>
      <c r="LQW82" s="440" t="n"/>
      <c r="LQX82" s="440" t="n"/>
      <c r="LQY82" s="440" t="n"/>
      <c r="LQZ82" s="440" t="n"/>
      <c r="LRA82" s="440" t="n"/>
      <c r="LRB82" s="440" t="n"/>
      <c r="LRC82" s="440" t="n"/>
      <c r="LRD82" s="440" t="n"/>
      <c r="LRE82" s="440" t="n"/>
      <c r="LRF82" s="440" t="n"/>
      <c r="LRG82" s="440" t="n"/>
      <c r="LRH82" s="440" t="n"/>
      <c r="LRI82" s="440" t="n"/>
      <c r="LRJ82" s="440" t="n"/>
      <c r="LRK82" s="440" t="n"/>
      <c r="LRL82" s="440" t="n"/>
      <c r="LRM82" s="440" t="n"/>
      <c r="LRN82" s="440" t="n"/>
      <c r="LRO82" s="440" t="n"/>
      <c r="LRP82" s="440" t="n"/>
      <c r="LRQ82" s="440" t="n"/>
      <c r="LRR82" s="440" t="n"/>
      <c r="LRS82" s="440" t="n"/>
      <c r="LRT82" s="440" t="n"/>
      <c r="LRU82" s="440" t="n"/>
      <c r="LRV82" s="440" t="n"/>
      <c r="LRW82" s="440" t="n"/>
      <c r="LRX82" s="440" t="n"/>
      <c r="LRY82" s="440" t="n"/>
      <c r="LRZ82" s="440" t="n"/>
      <c r="LSA82" s="440" t="n"/>
      <c r="LSB82" s="440" t="n"/>
      <c r="LSC82" s="440" t="n"/>
      <c r="LSD82" s="440" t="n"/>
      <c r="LSE82" s="440" t="n"/>
      <c r="LSF82" s="440" t="n"/>
      <c r="LSG82" s="440" t="n"/>
      <c r="LSH82" s="440" t="n"/>
      <c r="LSI82" s="440" t="n"/>
      <c r="LSJ82" s="440" t="n"/>
      <c r="LSK82" s="440" t="n"/>
      <c r="LSL82" s="440" t="n"/>
      <c r="LSM82" s="440" t="n"/>
      <c r="LSN82" s="440" t="n"/>
      <c r="LSO82" s="440" t="n"/>
      <c r="LSP82" s="440" t="n"/>
      <c r="LSQ82" s="440" t="n"/>
      <c r="LSR82" s="440" t="n"/>
      <c r="LSS82" s="440" t="n"/>
      <c r="LST82" s="440" t="n"/>
      <c r="LSU82" s="440" t="n"/>
      <c r="LSV82" s="440" t="n"/>
      <c r="LSW82" s="440" t="n"/>
      <c r="LSX82" s="440" t="n"/>
      <c r="LSY82" s="440" t="n"/>
      <c r="LSZ82" s="440" t="n"/>
      <c r="LTA82" s="440" t="n"/>
      <c r="LTB82" s="440" t="n"/>
      <c r="LTC82" s="440" t="n"/>
      <c r="LTD82" s="440" t="n"/>
      <c r="LTE82" s="440" t="n"/>
      <c r="LTF82" s="440" t="n"/>
      <c r="LTG82" s="440" t="n"/>
      <c r="LTH82" s="440" t="n"/>
      <c r="LTI82" s="440" t="n"/>
      <c r="LTJ82" s="440" t="n"/>
      <c r="LTK82" s="440" t="n"/>
      <c r="LTL82" s="440" t="n"/>
      <c r="LTM82" s="440" t="n"/>
      <c r="LTN82" s="440" t="n"/>
      <c r="LTO82" s="440" t="n"/>
      <c r="LTP82" s="440" t="n"/>
      <c r="LTQ82" s="440" t="n"/>
      <c r="LTR82" s="440" t="n"/>
      <c r="LTS82" s="440" t="n"/>
      <c r="LTT82" s="440" t="n"/>
      <c r="LTU82" s="440" t="n"/>
      <c r="LTV82" s="440" t="n"/>
      <c r="LTW82" s="440" t="n"/>
      <c r="LTX82" s="440" t="n"/>
      <c r="LTY82" s="440" t="n"/>
      <c r="LTZ82" s="440" t="n"/>
      <c r="LUA82" s="440" t="n"/>
      <c r="LUB82" s="440" t="n"/>
      <c r="LUC82" s="440" t="n"/>
      <c r="LUD82" s="440" t="n"/>
      <c r="LUE82" s="440" t="n"/>
      <c r="LUF82" s="440" t="n"/>
      <c r="LUG82" s="440" t="n"/>
      <c r="LUH82" s="440" t="n"/>
      <c r="LUI82" s="440" t="n"/>
      <c r="LUJ82" s="440" t="n"/>
      <c r="LUK82" s="440" t="n"/>
      <c r="LUL82" s="440" t="n"/>
      <c r="LUM82" s="440" t="n"/>
      <c r="LUN82" s="440" t="n"/>
      <c r="LUO82" s="440" t="n"/>
      <c r="LUP82" s="440" t="n"/>
      <c r="LUQ82" s="440" t="n"/>
      <c r="LUR82" s="440" t="n"/>
      <c r="LUS82" s="440" t="n"/>
      <c r="LUT82" s="440" t="n"/>
      <c r="LUU82" s="440" t="n"/>
      <c r="LUV82" s="440" t="n"/>
      <c r="LUW82" s="440" t="n"/>
      <c r="LUX82" s="440" t="n"/>
      <c r="LUY82" s="440" t="n"/>
      <c r="LUZ82" s="440" t="n"/>
      <c r="LVA82" s="440" t="n"/>
      <c r="LVB82" s="440" t="n"/>
      <c r="LVC82" s="440" t="n"/>
      <c r="LVD82" s="440" t="n"/>
      <c r="LVE82" s="440" t="n"/>
      <c r="LVF82" s="440" t="n"/>
      <c r="LVG82" s="440" t="n"/>
      <c r="LVH82" s="440" t="n"/>
      <c r="LVI82" s="440" t="n"/>
      <c r="LVJ82" s="440" t="n"/>
      <c r="LVK82" s="440" t="n"/>
      <c r="LVL82" s="440" t="n"/>
      <c r="LVM82" s="440" t="n"/>
      <c r="LVN82" s="440" t="n"/>
      <c r="LVO82" s="440" t="n"/>
      <c r="LVP82" s="440" t="n"/>
      <c r="LVQ82" s="440" t="n"/>
      <c r="LVR82" s="440" t="n"/>
      <c r="LVS82" s="440" t="n"/>
      <c r="LVT82" s="440" t="n"/>
      <c r="LVU82" s="440" t="n"/>
      <c r="LVV82" s="440" t="n"/>
      <c r="LVW82" s="440" t="n"/>
      <c r="LVX82" s="440" t="n"/>
      <c r="LVY82" s="440" t="n"/>
      <c r="LVZ82" s="440" t="n"/>
      <c r="LWA82" s="440" t="n"/>
      <c r="LWB82" s="440" t="n"/>
      <c r="LWC82" s="440" t="n"/>
      <c r="LWD82" s="440" t="n"/>
      <c r="LWE82" s="440" t="n"/>
      <c r="LWF82" s="440" t="n"/>
      <c r="LWG82" s="440" t="n"/>
      <c r="LWH82" s="440" t="n"/>
      <c r="LWI82" s="440" t="n"/>
      <c r="LWJ82" s="440" t="n"/>
      <c r="LWK82" s="440" t="n"/>
      <c r="LWL82" s="440" t="n"/>
      <c r="LWM82" s="440" t="n"/>
      <c r="LWN82" s="440" t="n"/>
      <c r="LWO82" s="440" t="n"/>
      <c r="LWP82" s="440" t="n"/>
      <c r="LWQ82" s="440" t="n"/>
      <c r="LWR82" s="440" t="n"/>
      <c r="LWS82" s="440" t="n"/>
      <c r="LWT82" s="440" t="n"/>
      <c r="LWU82" s="440" t="n"/>
      <c r="LWV82" s="440" t="n"/>
      <c r="LWW82" s="440" t="n"/>
      <c r="LWX82" s="440" t="n"/>
      <c r="LWY82" s="440" t="n"/>
      <c r="LWZ82" s="440" t="n"/>
      <c r="LXA82" s="440" t="n"/>
      <c r="LXB82" s="440" t="n"/>
      <c r="LXC82" s="440" t="n"/>
      <c r="LXD82" s="440" t="n"/>
      <c r="LXE82" s="440" t="n"/>
      <c r="LXF82" s="440" t="n"/>
      <c r="LXG82" s="440" t="n"/>
      <c r="LXH82" s="440" t="n"/>
      <c r="LXI82" s="440" t="n"/>
      <c r="LXJ82" s="440" t="n"/>
      <c r="LXK82" s="440" t="n"/>
      <c r="LXL82" s="440" t="n"/>
      <c r="LXM82" s="440" t="n"/>
      <c r="LXN82" s="440" t="n"/>
      <c r="LXO82" s="440" t="n"/>
      <c r="LXP82" s="440" t="n"/>
      <c r="LXQ82" s="440" t="n"/>
      <c r="LXR82" s="440" t="n"/>
      <c r="LXS82" s="440" t="n"/>
      <c r="LXT82" s="440" t="n"/>
      <c r="LXU82" s="440" t="n"/>
      <c r="LXV82" s="440" t="n"/>
      <c r="LXW82" s="440" t="n"/>
      <c r="LXX82" s="440" t="n"/>
      <c r="LXY82" s="440" t="n"/>
      <c r="LXZ82" s="440" t="n"/>
      <c r="LYA82" s="440" t="n"/>
      <c r="LYB82" s="440" t="n"/>
      <c r="LYC82" s="440" t="n"/>
      <c r="LYD82" s="440" t="n"/>
      <c r="LYE82" s="440" t="n"/>
      <c r="LYF82" s="440" t="n"/>
      <c r="LYG82" s="440" t="n"/>
      <c r="LYH82" s="440" t="n"/>
      <c r="LYI82" s="440" t="n"/>
      <c r="LYJ82" s="440" t="n"/>
      <c r="LYK82" s="440" t="n"/>
      <c r="LYL82" s="440" t="n"/>
      <c r="LYM82" s="440" t="n"/>
      <c r="LYN82" s="440" t="n"/>
      <c r="LYO82" s="440" t="n"/>
      <c r="LYP82" s="440" t="n"/>
      <c r="LYQ82" s="440" t="n"/>
      <c r="LYR82" s="440" t="n"/>
      <c r="LYS82" s="440" t="n"/>
      <c r="LYT82" s="440" t="n"/>
      <c r="LYU82" s="440" t="n"/>
      <c r="LYV82" s="440" t="n"/>
      <c r="LYW82" s="440" t="n"/>
      <c r="LYX82" s="440" t="n"/>
      <c r="LYY82" s="440" t="n"/>
      <c r="LYZ82" s="440" t="n"/>
      <c r="LZA82" s="440" t="n"/>
      <c r="LZB82" s="440" t="n"/>
      <c r="LZC82" s="440" t="n"/>
      <c r="LZD82" s="440" t="n"/>
      <c r="LZE82" s="440" t="n"/>
      <c r="LZF82" s="440" t="n"/>
      <c r="LZG82" s="440" t="n"/>
      <c r="LZH82" s="440" t="n"/>
      <c r="LZI82" s="440" t="n"/>
      <c r="LZJ82" s="440" t="n"/>
      <c r="LZK82" s="440" t="n"/>
      <c r="LZL82" s="440" t="n"/>
      <c r="LZM82" s="440" t="n"/>
      <c r="LZN82" s="440" t="n"/>
      <c r="LZO82" s="440" t="n"/>
      <c r="LZP82" s="440" t="n"/>
      <c r="LZQ82" s="440" t="n"/>
      <c r="LZR82" s="440" t="n"/>
      <c r="LZS82" s="440" t="n"/>
      <c r="LZT82" s="440" t="n"/>
      <c r="LZU82" s="440" t="n"/>
      <c r="LZV82" s="440" t="n"/>
      <c r="LZW82" s="440" t="n"/>
      <c r="LZX82" s="440" t="n"/>
      <c r="LZY82" s="440" t="n"/>
      <c r="LZZ82" s="440" t="n"/>
      <c r="MAA82" s="440" t="n"/>
      <c r="MAB82" s="440" t="n"/>
      <c r="MAC82" s="440" t="n"/>
      <c r="MAD82" s="440" t="n"/>
      <c r="MAE82" s="440" t="n"/>
      <c r="MAF82" s="440" t="n"/>
      <c r="MAG82" s="440" t="n"/>
      <c r="MAH82" s="440" t="n"/>
      <c r="MAI82" s="440" t="n"/>
      <c r="MAJ82" s="440" t="n"/>
      <c r="MAK82" s="440" t="n"/>
      <c r="MAL82" s="440" t="n"/>
      <c r="MAM82" s="440" t="n"/>
      <c r="MAN82" s="440" t="n"/>
      <c r="MAO82" s="440" t="n"/>
      <c r="MAP82" s="440" t="n"/>
      <c r="MAQ82" s="440" t="n"/>
      <c r="MAR82" s="440" t="n"/>
      <c r="MAS82" s="440" t="n"/>
      <c r="MAT82" s="440" t="n"/>
      <c r="MAU82" s="440" t="n"/>
      <c r="MAV82" s="440" t="n"/>
      <c r="MAW82" s="440" t="n"/>
      <c r="MAX82" s="440" t="n"/>
      <c r="MAY82" s="440" t="n"/>
      <c r="MAZ82" s="440" t="n"/>
      <c r="MBA82" s="440" t="n"/>
      <c r="MBB82" s="440" t="n"/>
      <c r="MBC82" s="440" t="n"/>
      <c r="MBD82" s="440" t="n"/>
      <c r="MBE82" s="440" t="n"/>
      <c r="MBF82" s="440" t="n"/>
      <c r="MBG82" s="440" t="n"/>
      <c r="MBH82" s="440" t="n"/>
      <c r="MBI82" s="440" t="n"/>
      <c r="MBJ82" s="440" t="n"/>
      <c r="MBK82" s="440" t="n"/>
      <c r="MBL82" s="440" t="n"/>
      <c r="MBM82" s="440" t="n"/>
      <c r="MBN82" s="440" t="n"/>
      <c r="MBO82" s="440" t="n"/>
      <c r="MBP82" s="440" t="n"/>
      <c r="MBQ82" s="440" t="n"/>
      <c r="MBR82" s="440" t="n"/>
      <c r="MBS82" s="440" t="n"/>
      <c r="MBT82" s="440" t="n"/>
      <c r="MBU82" s="440" t="n"/>
      <c r="MBV82" s="440" t="n"/>
      <c r="MBW82" s="440" t="n"/>
      <c r="MBX82" s="440" t="n"/>
      <c r="MBY82" s="440" t="n"/>
      <c r="MBZ82" s="440" t="n"/>
      <c r="MCA82" s="440" t="n"/>
      <c r="MCB82" s="440" t="n"/>
      <c r="MCC82" s="440" t="n"/>
      <c r="MCD82" s="440" t="n"/>
      <c r="MCE82" s="440" t="n"/>
      <c r="MCF82" s="440" t="n"/>
      <c r="MCG82" s="440" t="n"/>
      <c r="MCH82" s="440" t="n"/>
      <c r="MCI82" s="440" t="n"/>
      <c r="MCJ82" s="440" t="n"/>
      <c r="MCK82" s="440" t="n"/>
      <c r="MCL82" s="440" t="n"/>
      <c r="MCM82" s="440" t="n"/>
      <c r="MCN82" s="440" t="n"/>
      <c r="MCO82" s="440" t="n"/>
      <c r="MCP82" s="440" t="n"/>
      <c r="MCQ82" s="440" t="n"/>
      <c r="MCR82" s="440" t="n"/>
      <c r="MCS82" s="440" t="n"/>
      <c r="MCT82" s="440" t="n"/>
      <c r="MCU82" s="440" t="n"/>
      <c r="MCV82" s="440" t="n"/>
      <c r="MCW82" s="440" t="n"/>
      <c r="MCX82" s="440" t="n"/>
      <c r="MCY82" s="440" t="n"/>
      <c r="MCZ82" s="440" t="n"/>
      <c r="MDA82" s="440" t="n"/>
      <c r="MDB82" s="440" t="n"/>
      <c r="MDC82" s="440" t="n"/>
      <c r="MDD82" s="440" t="n"/>
      <c r="MDE82" s="440" t="n"/>
      <c r="MDF82" s="440" t="n"/>
      <c r="MDG82" s="440" t="n"/>
      <c r="MDH82" s="440" t="n"/>
      <c r="MDI82" s="440" t="n"/>
      <c r="MDJ82" s="440" t="n"/>
      <c r="MDK82" s="440" t="n"/>
      <c r="MDL82" s="440" t="n"/>
      <c r="MDM82" s="440" t="n"/>
      <c r="MDN82" s="440" t="n"/>
      <c r="MDO82" s="440" t="n"/>
      <c r="MDP82" s="440" t="n"/>
      <c r="MDQ82" s="440" t="n"/>
      <c r="MDR82" s="440" t="n"/>
      <c r="MDS82" s="440" t="n"/>
      <c r="MDT82" s="440" t="n"/>
      <c r="MDU82" s="440" t="n"/>
      <c r="MDV82" s="440" t="n"/>
      <c r="MDW82" s="440" t="n"/>
      <c r="MDX82" s="440" t="n"/>
      <c r="MDY82" s="440" t="n"/>
      <c r="MDZ82" s="440" t="n"/>
      <c r="MEA82" s="440" t="n"/>
      <c r="MEB82" s="440" t="n"/>
      <c r="MEC82" s="440" t="n"/>
      <c r="MED82" s="440" t="n"/>
      <c r="MEE82" s="440" t="n"/>
      <c r="MEF82" s="440" t="n"/>
      <c r="MEG82" s="440" t="n"/>
      <c r="MEH82" s="440" t="n"/>
      <c r="MEI82" s="440" t="n"/>
      <c r="MEJ82" s="440" t="n"/>
      <c r="MEK82" s="440" t="n"/>
      <c r="MEL82" s="440" t="n"/>
      <c r="MEM82" s="440" t="n"/>
      <c r="MEN82" s="440" t="n"/>
      <c r="MEO82" s="440" t="n"/>
      <c r="MEP82" s="440" t="n"/>
      <c r="MEQ82" s="440" t="n"/>
      <c r="MER82" s="440" t="n"/>
      <c r="MES82" s="440" t="n"/>
      <c r="MET82" s="440" t="n"/>
      <c r="MEU82" s="440" t="n"/>
      <c r="MEV82" s="440" t="n"/>
      <c r="MEW82" s="440" t="n"/>
      <c r="MEX82" s="440" t="n"/>
      <c r="MEY82" s="440" t="n"/>
      <c r="MEZ82" s="440" t="n"/>
      <c r="MFA82" s="440" t="n"/>
      <c r="MFB82" s="440" t="n"/>
      <c r="MFC82" s="440" t="n"/>
      <c r="MFD82" s="440" t="n"/>
      <c r="MFE82" s="440" t="n"/>
      <c r="MFF82" s="440" t="n"/>
      <c r="MFG82" s="440" t="n"/>
      <c r="MFH82" s="440" t="n"/>
      <c r="MFI82" s="440" t="n"/>
      <c r="MFJ82" s="440" t="n"/>
      <c r="MFK82" s="440" t="n"/>
      <c r="MFL82" s="440" t="n"/>
      <c r="MFM82" s="440" t="n"/>
      <c r="MFN82" s="440" t="n"/>
      <c r="MFO82" s="440" t="n"/>
      <c r="MFP82" s="440" t="n"/>
      <c r="MFQ82" s="440" t="n"/>
      <c r="MFR82" s="440" t="n"/>
      <c r="MFS82" s="440" t="n"/>
      <c r="MFT82" s="440" t="n"/>
      <c r="MFU82" s="440" t="n"/>
      <c r="MFV82" s="440" t="n"/>
      <c r="MFW82" s="440" t="n"/>
      <c r="MFX82" s="440" t="n"/>
      <c r="MFY82" s="440" t="n"/>
      <c r="MFZ82" s="440" t="n"/>
      <c r="MGA82" s="440" t="n"/>
      <c r="MGB82" s="440" t="n"/>
      <c r="MGC82" s="440" t="n"/>
      <c r="MGD82" s="440" t="n"/>
      <c r="MGE82" s="440" t="n"/>
      <c r="MGF82" s="440" t="n"/>
      <c r="MGG82" s="440" t="n"/>
      <c r="MGH82" s="440" t="n"/>
      <c r="MGI82" s="440" t="n"/>
      <c r="MGJ82" s="440" t="n"/>
      <c r="MGK82" s="440" t="n"/>
      <c r="MGL82" s="440" t="n"/>
      <c r="MGM82" s="440" t="n"/>
      <c r="MGN82" s="440" t="n"/>
      <c r="MGO82" s="440" t="n"/>
      <c r="MGP82" s="440" t="n"/>
      <c r="MGQ82" s="440" t="n"/>
      <c r="MGR82" s="440" t="n"/>
      <c r="MGS82" s="440" t="n"/>
      <c r="MGT82" s="440" t="n"/>
      <c r="MGU82" s="440" t="n"/>
      <c r="MGV82" s="440" t="n"/>
      <c r="MGW82" s="440" t="n"/>
      <c r="MGX82" s="440" t="n"/>
      <c r="MGY82" s="440" t="n"/>
      <c r="MGZ82" s="440" t="n"/>
      <c r="MHA82" s="440" t="n"/>
      <c r="MHB82" s="440" t="n"/>
      <c r="MHC82" s="440" t="n"/>
      <c r="MHD82" s="440" t="n"/>
      <c r="MHE82" s="440" t="n"/>
      <c r="MHF82" s="440" t="n"/>
      <c r="MHG82" s="440" t="n"/>
      <c r="MHH82" s="440" t="n"/>
      <c r="MHI82" s="440" t="n"/>
      <c r="MHJ82" s="440" t="n"/>
      <c r="MHK82" s="440" t="n"/>
      <c r="MHL82" s="440" t="n"/>
      <c r="MHM82" s="440" t="n"/>
      <c r="MHN82" s="440" t="n"/>
      <c r="MHO82" s="440" t="n"/>
      <c r="MHP82" s="440" t="n"/>
      <c r="MHQ82" s="440" t="n"/>
      <c r="MHR82" s="440" t="n"/>
      <c r="MHS82" s="440" t="n"/>
      <c r="MHT82" s="440" t="n"/>
      <c r="MHU82" s="440" t="n"/>
      <c r="MHV82" s="440" t="n"/>
      <c r="MHW82" s="440" t="n"/>
      <c r="MHX82" s="440" t="n"/>
      <c r="MHY82" s="440" t="n"/>
      <c r="MHZ82" s="440" t="n"/>
      <c r="MIA82" s="440" t="n"/>
      <c r="MIB82" s="440" t="n"/>
      <c r="MIC82" s="440" t="n"/>
      <c r="MID82" s="440" t="n"/>
      <c r="MIE82" s="440" t="n"/>
      <c r="MIF82" s="440" t="n"/>
      <c r="MIG82" s="440" t="n"/>
      <c r="MIH82" s="440" t="n"/>
      <c r="MII82" s="440" t="n"/>
      <c r="MIJ82" s="440" t="n"/>
      <c r="MIK82" s="440" t="n"/>
      <c r="MIL82" s="440" t="n"/>
      <c r="MIM82" s="440" t="n"/>
      <c r="MIN82" s="440" t="n"/>
      <c r="MIO82" s="440" t="n"/>
      <c r="MIP82" s="440" t="n"/>
      <c r="MIQ82" s="440" t="n"/>
      <c r="MIR82" s="440" t="n"/>
      <c r="MIS82" s="440" t="n"/>
      <c r="MIT82" s="440" t="n"/>
      <c r="MIU82" s="440" t="n"/>
      <c r="MIV82" s="440" t="n"/>
      <c r="MIW82" s="440" t="n"/>
      <c r="MIX82" s="440" t="n"/>
      <c r="MIY82" s="440" t="n"/>
      <c r="MIZ82" s="440" t="n"/>
      <c r="MJA82" s="440" t="n"/>
      <c r="MJB82" s="440" t="n"/>
      <c r="MJC82" s="440" t="n"/>
      <c r="MJD82" s="440" t="n"/>
      <c r="MJE82" s="440" t="n"/>
      <c r="MJF82" s="440" t="n"/>
      <c r="MJG82" s="440" t="n"/>
      <c r="MJH82" s="440" t="n"/>
      <c r="MJI82" s="440" t="n"/>
      <c r="MJJ82" s="440" t="n"/>
      <c r="MJK82" s="440" t="n"/>
      <c r="MJL82" s="440" t="n"/>
      <c r="MJM82" s="440" t="n"/>
      <c r="MJN82" s="440" t="n"/>
      <c r="MJO82" s="440" t="n"/>
      <c r="MJP82" s="440" t="n"/>
      <c r="MJQ82" s="440" t="n"/>
      <c r="MJR82" s="440" t="n"/>
      <c r="MJS82" s="440" t="n"/>
      <c r="MJT82" s="440" t="n"/>
      <c r="MJU82" s="440" t="n"/>
      <c r="MJV82" s="440" t="n"/>
      <c r="MJW82" s="440" t="n"/>
      <c r="MJX82" s="440" t="n"/>
      <c r="MJY82" s="440" t="n"/>
      <c r="MJZ82" s="440" t="n"/>
      <c r="MKA82" s="440" t="n"/>
      <c r="MKB82" s="440" t="n"/>
      <c r="MKC82" s="440" t="n"/>
      <c r="MKD82" s="440" t="n"/>
      <c r="MKE82" s="440" t="n"/>
      <c r="MKF82" s="440" t="n"/>
      <c r="MKG82" s="440" t="n"/>
      <c r="MKH82" s="440" t="n"/>
      <c r="MKI82" s="440" t="n"/>
      <c r="MKJ82" s="440" t="n"/>
      <c r="MKK82" s="440" t="n"/>
      <c r="MKL82" s="440" t="n"/>
      <c r="MKM82" s="440" t="n"/>
      <c r="MKN82" s="440" t="n"/>
      <c r="MKO82" s="440" t="n"/>
      <c r="MKP82" s="440" t="n"/>
      <c r="MKQ82" s="440" t="n"/>
      <c r="MKR82" s="440" t="n"/>
      <c r="MKS82" s="440" t="n"/>
      <c r="MKT82" s="440" t="n"/>
      <c r="MKU82" s="440" t="n"/>
      <c r="MKV82" s="440" t="n"/>
      <c r="MKW82" s="440" t="n"/>
      <c r="MKX82" s="440" t="n"/>
      <c r="MKY82" s="440" t="n"/>
      <c r="MKZ82" s="440" t="n"/>
      <c r="MLA82" s="440" t="n"/>
      <c r="MLB82" s="440" t="n"/>
      <c r="MLC82" s="440" t="n"/>
      <c r="MLD82" s="440" t="n"/>
      <c r="MLE82" s="440" t="n"/>
      <c r="MLF82" s="440" t="n"/>
      <c r="MLG82" s="440" t="n"/>
      <c r="MLH82" s="440" t="n"/>
      <c r="MLI82" s="440" t="n"/>
      <c r="MLJ82" s="440" t="n"/>
      <c r="MLK82" s="440" t="n"/>
      <c r="MLL82" s="440" t="n"/>
      <c r="MLM82" s="440" t="n"/>
      <c r="MLN82" s="440" t="n"/>
      <c r="MLO82" s="440" t="n"/>
      <c r="MLP82" s="440" t="n"/>
      <c r="MLQ82" s="440" t="n"/>
      <c r="MLR82" s="440" t="n"/>
      <c r="MLS82" s="440" t="n"/>
      <c r="MLT82" s="440" t="n"/>
      <c r="MLU82" s="440" t="n"/>
      <c r="MLV82" s="440" t="n"/>
      <c r="MLW82" s="440" t="n"/>
      <c r="MLX82" s="440" t="n"/>
      <c r="MLY82" s="440" t="n"/>
      <c r="MLZ82" s="440" t="n"/>
      <c r="MMA82" s="440" t="n"/>
      <c r="MMB82" s="440" t="n"/>
      <c r="MMC82" s="440" t="n"/>
      <c r="MMD82" s="440" t="n"/>
      <c r="MME82" s="440" t="n"/>
      <c r="MMF82" s="440" t="n"/>
      <c r="MMG82" s="440" t="n"/>
      <c r="MMH82" s="440" t="n"/>
      <c r="MMI82" s="440" t="n"/>
      <c r="MMJ82" s="440" t="n"/>
      <c r="MMK82" s="440" t="n"/>
      <c r="MML82" s="440" t="n"/>
      <c r="MMM82" s="440" t="n"/>
      <c r="MMN82" s="440" t="n"/>
      <c r="MMO82" s="440" t="n"/>
      <c r="MMP82" s="440" t="n"/>
      <c r="MMQ82" s="440" t="n"/>
      <c r="MMR82" s="440" t="n"/>
      <c r="MMS82" s="440" t="n"/>
      <c r="MMT82" s="440" t="n"/>
      <c r="MMU82" s="440" t="n"/>
      <c r="MMV82" s="440" t="n"/>
      <c r="MMW82" s="440" t="n"/>
      <c r="MMX82" s="440" t="n"/>
      <c r="MMY82" s="440" t="n"/>
      <c r="MMZ82" s="440" t="n"/>
      <c r="MNA82" s="440" t="n"/>
      <c r="MNB82" s="440" t="n"/>
      <c r="MNC82" s="440" t="n"/>
      <c r="MND82" s="440" t="n"/>
      <c r="MNE82" s="440" t="n"/>
      <c r="MNF82" s="440" t="n"/>
      <c r="MNG82" s="440" t="n"/>
      <c r="MNH82" s="440" t="n"/>
      <c r="MNI82" s="440" t="n"/>
      <c r="MNJ82" s="440" t="n"/>
      <c r="MNK82" s="440" t="n"/>
      <c r="MNL82" s="440" t="n"/>
      <c r="MNM82" s="440" t="n"/>
      <c r="MNN82" s="440" t="n"/>
      <c r="MNO82" s="440" t="n"/>
      <c r="MNP82" s="440" t="n"/>
      <c r="MNQ82" s="440" t="n"/>
      <c r="MNR82" s="440" t="n"/>
      <c r="MNS82" s="440" t="n"/>
      <c r="MNT82" s="440" t="n"/>
      <c r="MNU82" s="440" t="n"/>
      <c r="MNV82" s="440" t="n"/>
      <c r="MNW82" s="440" t="n"/>
      <c r="MNX82" s="440" t="n"/>
      <c r="MNY82" s="440" t="n"/>
      <c r="MNZ82" s="440" t="n"/>
      <c r="MOA82" s="440" t="n"/>
      <c r="MOB82" s="440" t="n"/>
      <c r="MOC82" s="440" t="n"/>
      <c r="MOD82" s="440" t="n"/>
      <c r="MOE82" s="440" t="n"/>
      <c r="MOF82" s="440" t="n"/>
      <c r="MOG82" s="440" t="n"/>
      <c r="MOH82" s="440" t="n"/>
      <c r="MOI82" s="440" t="n"/>
      <c r="MOJ82" s="440" t="n"/>
      <c r="MOK82" s="440" t="n"/>
      <c r="MOL82" s="440" t="n"/>
      <c r="MOM82" s="440" t="n"/>
      <c r="MON82" s="440" t="n"/>
      <c r="MOO82" s="440" t="n"/>
      <c r="MOP82" s="440" t="n"/>
      <c r="MOQ82" s="440" t="n"/>
      <c r="MOR82" s="440" t="n"/>
      <c r="MOS82" s="440" t="n"/>
      <c r="MOT82" s="440" t="n"/>
      <c r="MOU82" s="440" t="n"/>
      <c r="MOV82" s="440" t="n"/>
      <c r="MOW82" s="440" t="n"/>
      <c r="MOX82" s="440" t="n"/>
      <c r="MOY82" s="440" t="n"/>
      <c r="MOZ82" s="440" t="n"/>
      <c r="MPA82" s="440" t="n"/>
      <c r="MPB82" s="440" t="n"/>
      <c r="MPC82" s="440" t="n"/>
      <c r="MPD82" s="440" t="n"/>
      <c r="MPE82" s="440" t="n"/>
      <c r="MPF82" s="440" t="n"/>
      <c r="MPG82" s="440" t="n"/>
      <c r="MPH82" s="440" t="n"/>
      <c r="MPI82" s="440" t="n"/>
      <c r="MPJ82" s="440" t="n"/>
      <c r="MPK82" s="440" t="n"/>
      <c r="MPL82" s="440" t="n"/>
      <c r="MPM82" s="440" t="n"/>
      <c r="MPN82" s="440" t="n"/>
      <c r="MPO82" s="440" t="n"/>
      <c r="MPP82" s="440" t="n"/>
      <c r="MPQ82" s="440" t="n"/>
      <c r="MPR82" s="440" t="n"/>
      <c r="MPS82" s="440" t="n"/>
      <c r="MPT82" s="440" t="n"/>
      <c r="MPU82" s="440" t="n"/>
      <c r="MPV82" s="440" t="n"/>
      <c r="MPW82" s="440" t="n"/>
      <c r="MPX82" s="440" t="n"/>
      <c r="MPY82" s="440" t="n"/>
      <c r="MPZ82" s="440" t="n"/>
      <c r="MQA82" s="440" t="n"/>
      <c r="MQB82" s="440" t="n"/>
      <c r="MQC82" s="440" t="n"/>
      <c r="MQD82" s="440" t="n"/>
      <c r="MQE82" s="440" t="n"/>
      <c r="MQF82" s="440" t="n"/>
      <c r="MQG82" s="440" t="n"/>
      <c r="MQH82" s="440" t="n"/>
      <c r="MQI82" s="440" t="n"/>
      <c r="MQJ82" s="440" t="n"/>
      <c r="MQK82" s="440" t="n"/>
      <c r="MQL82" s="440" t="n"/>
      <c r="MQM82" s="440" t="n"/>
      <c r="MQN82" s="440" t="n"/>
      <c r="MQO82" s="440" t="n"/>
      <c r="MQP82" s="440" t="n"/>
      <c r="MQQ82" s="440" t="n"/>
      <c r="MQR82" s="440" t="n"/>
      <c r="MQS82" s="440" t="n"/>
      <c r="MQT82" s="440" t="n"/>
      <c r="MQU82" s="440" t="n"/>
      <c r="MQV82" s="440" t="n"/>
      <c r="MQW82" s="440" t="n"/>
      <c r="MQX82" s="440" t="n"/>
      <c r="MQY82" s="440" t="n"/>
      <c r="MQZ82" s="440" t="n"/>
      <c r="MRA82" s="440" t="n"/>
      <c r="MRB82" s="440" t="n"/>
      <c r="MRC82" s="440" t="n"/>
      <c r="MRD82" s="440" t="n"/>
      <c r="MRE82" s="440" t="n"/>
      <c r="MRF82" s="440" t="n"/>
      <c r="MRG82" s="440" t="n"/>
      <c r="MRH82" s="440" t="n"/>
      <c r="MRI82" s="440" t="n"/>
      <c r="MRJ82" s="440" t="n"/>
      <c r="MRK82" s="440" t="n"/>
      <c r="MRL82" s="440" t="n"/>
      <c r="MRM82" s="440" t="n"/>
      <c r="MRN82" s="440" t="n"/>
      <c r="MRO82" s="440" t="n"/>
      <c r="MRP82" s="440" t="n"/>
      <c r="MRQ82" s="440" t="n"/>
      <c r="MRR82" s="440" t="n"/>
      <c r="MRS82" s="440" t="n"/>
      <c r="MRT82" s="440" t="n"/>
      <c r="MRU82" s="440" t="n"/>
      <c r="MRV82" s="440" t="n"/>
      <c r="MRW82" s="440" t="n"/>
      <c r="MRX82" s="440" t="n"/>
      <c r="MRY82" s="440" t="n"/>
      <c r="MRZ82" s="440" t="n"/>
      <c r="MSA82" s="440" t="n"/>
      <c r="MSB82" s="440" t="n"/>
      <c r="MSC82" s="440" t="n"/>
      <c r="MSD82" s="440" t="n"/>
      <c r="MSE82" s="440" t="n"/>
      <c r="MSF82" s="440" t="n"/>
      <c r="MSG82" s="440" t="n"/>
      <c r="MSH82" s="440" t="n"/>
      <c r="MSI82" s="440" t="n"/>
      <c r="MSJ82" s="440" t="n"/>
      <c r="MSK82" s="440" t="n"/>
      <c r="MSL82" s="440" t="n"/>
      <c r="MSM82" s="440" t="n"/>
      <c r="MSN82" s="440" t="n"/>
      <c r="MSO82" s="440" t="n"/>
      <c r="MSP82" s="440" t="n"/>
      <c r="MSQ82" s="440" t="n"/>
      <c r="MSR82" s="440" t="n"/>
      <c r="MSS82" s="440" t="n"/>
      <c r="MST82" s="440" t="n"/>
      <c r="MSU82" s="440" t="n"/>
      <c r="MSV82" s="440" t="n"/>
      <c r="MSW82" s="440" t="n"/>
      <c r="MSX82" s="440" t="n"/>
      <c r="MSY82" s="440" t="n"/>
      <c r="MSZ82" s="440" t="n"/>
      <c r="MTA82" s="440" t="n"/>
      <c r="MTB82" s="440" t="n"/>
      <c r="MTC82" s="440" t="n"/>
      <c r="MTD82" s="440" t="n"/>
      <c r="MTE82" s="440" t="n"/>
      <c r="MTF82" s="440" t="n"/>
      <c r="MTG82" s="440" t="n"/>
      <c r="MTH82" s="440" t="n"/>
      <c r="MTI82" s="440" t="n"/>
      <c r="MTJ82" s="440" t="n"/>
      <c r="MTK82" s="440" t="n"/>
      <c r="MTL82" s="440" t="n"/>
      <c r="MTM82" s="440" t="n"/>
      <c r="MTN82" s="440" t="n"/>
      <c r="MTO82" s="440" t="n"/>
      <c r="MTP82" s="440" t="n"/>
      <c r="MTQ82" s="440" t="n"/>
      <c r="MTR82" s="440" t="n"/>
      <c r="MTS82" s="440" t="n"/>
      <c r="MTT82" s="440" t="n"/>
      <c r="MTU82" s="440" t="n"/>
      <c r="MTV82" s="440" t="n"/>
      <c r="MTW82" s="440" t="n"/>
      <c r="MTX82" s="440" t="n"/>
      <c r="MTY82" s="440" t="n"/>
      <c r="MTZ82" s="440" t="n"/>
      <c r="MUA82" s="440" t="n"/>
      <c r="MUB82" s="440" t="n"/>
      <c r="MUC82" s="440" t="n"/>
      <c r="MUD82" s="440" t="n"/>
      <c r="MUE82" s="440" t="n"/>
      <c r="MUF82" s="440" t="n"/>
      <c r="MUG82" s="440" t="n"/>
      <c r="MUH82" s="440" t="n"/>
      <c r="MUI82" s="440" t="n"/>
      <c r="MUJ82" s="440" t="n"/>
      <c r="MUK82" s="440" t="n"/>
      <c r="MUL82" s="440" t="n"/>
      <c r="MUM82" s="440" t="n"/>
      <c r="MUN82" s="440" t="n"/>
      <c r="MUO82" s="440" t="n"/>
      <c r="MUP82" s="440" t="n"/>
      <c r="MUQ82" s="440" t="n"/>
      <c r="MUR82" s="440" t="n"/>
      <c r="MUS82" s="440" t="n"/>
      <c r="MUT82" s="440" t="n"/>
      <c r="MUU82" s="440" t="n"/>
      <c r="MUV82" s="440" t="n"/>
      <c r="MUW82" s="440" t="n"/>
      <c r="MUX82" s="440" t="n"/>
      <c r="MUY82" s="440" t="n"/>
      <c r="MUZ82" s="440" t="n"/>
      <c r="MVA82" s="440" t="n"/>
      <c r="MVB82" s="440" t="n"/>
      <c r="MVC82" s="440" t="n"/>
      <c r="MVD82" s="440" t="n"/>
      <c r="MVE82" s="440" t="n"/>
      <c r="MVF82" s="440" t="n"/>
      <c r="MVG82" s="440" t="n"/>
      <c r="MVH82" s="440" t="n"/>
      <c r="MVI82" s="440" t="n"/>
      <c r="MVJ82" s="440" t="n"/>
      <c r="MVK82" s="440" t="n"/>
      <c r="MVL82" s="440" t="n"/>
      <c r="MVM82" s="440" t="n"/>
      <c r="MVN82" s="440" t="n"/>
      <c r="MVO82" s="440" t="n"/>
      <c r="MVP82" s="440" t="n"/>
      <c r="MVQ82" s="440" t="n"/>
      <c r="MVR82" s="440" t="n"/>
      <c r="MVS82" s="440" t="n"/>
      <c r="MVT82" s="440" t="n"/>
      <c r="MVU82" s="440" t="n"/>
      <c r="MVV82" s="440" t="n"/>
      <c r="MVW82" s="440" t="n"/>
      <c r="MVX82" s="440" t="n"/>
      <c r="MVY82" s="440" t="n"/>
      <c r="MVZ82" s="440" t="n"/>
      <c r="MWA82" s="440" t="n"/>
      <c r="MWB82" s="440" t="n"/>
      <c r="MWC82" s="440" t="n"/>
      <c r="MWD82" s="440" t="n"/>
      <c r="MWE82" s="440" t="n"/>
      <c r="MWF82" s="440" t="n"/>
      <c r="MWG82" s="440" t="n"/>
      <c r="MWH82" s="440" t="n"/>
      <c r="MWI82" s="440" t="n"/>
      <c r="MWJ82" s="440" t="n"/>
      <c r="MWK82" s="440" t="n"/>
      <c r="MWL82" s="440" t="n"/>
      <c r="MWM82" s="440" t="n"/>
      <c r="MWN82" s="440" t="n"/>
      <c r="MWO82" s="440" t="n"/>
      <c r="MWP82" s="440" t="n"/>
      <c r="MWQ82" s="440" t="n"/>
      <c r="MWR82" s="440" t="n"/>
      <c r="MWS82" s="440" t="n"/>
      <c r="MWT82" s="440" t="n"/>
      <c r="MWU82" s="440" t="n"/>
      <c r="MWV82" s="440" t="n"/>
      <c r="MWW82" s="440" t="n"/>
      <c r="MWX82" s="440" t="n"/>
      <c r="MWY82" s="440" t="n"/>
      <c r="MWZ82" s="440" t="n"/>
      <c r="MXA82" s="440" t="n"/>
      <c r="MXB82" s="440" t="n"/>
      <c r="MXC82" s="440" t="n"/>
      <c r="MXD82" s="440" t="n"/>
      <c r="MXE82" s="440" t="n"/>
      <c r="MXF82" s="440" t="n"/>
      <c r="MXG82" s="440" t="n"/>
      <c r="MXH82" s="440" t="n"/>
      <c r="MXI82" s="440" t="n"/>
      <c r="MXJ82" s="440" t="n"/>
      <c r="MXK82" s="440" t="n"/>
      <c r="MXL82" s="440" t="n"/>
      <c r="MXM82" s="440" t="n"/>
      <c r="MXN82" s="440" t="n"/>
      <c r="MXO82" s="440" t="n"/>
      <c r="MXP82" s="440" t="n"/>
      <c r="MXQ82" s="440" t="n"/>
      <c r="MXR82" s="440" t="n"/>
      <c r="MXS82" s="440" t="n"/>
      <c r="MXT82" s="440" t="n"/>
      <c r="MXU82" s="440" t="n"/>
      <c r="MXV82" s="440" t="n"/>
      <c r="MXW82" s="440" t="n"/>
      <c r="MXX82" s="440" t="n"/>
      <c r="MXY82" s="440" t="n"/>
      <c r="MXZ82" s="440" t="n"/>
      <c r="MYA82" s="440" t="n"/>
      <c r="MYB82" s="440" t="n"/>
      <c r="MYC82" s="440" t="n"/>
      <c r="MYD82" s="440" t="n"/>
      <c r="MYE82" s="440" t="n"/>
      <c r="MYF82" s="440" t="n"/>
      <c r="MYG82" s="440" t="n"/>
      <c r="MYH82" s="440" t="n"/>
      <c r="MYI82" s="440" t="n"/>
      <c r="MYJ82" s="440" t="n"/>
      <c r="MYK82" s="440" t="n"/>
      <c r="MYL82" s="440" t="n"/>
      <c r="MYM82" s="440" t="n"/>
      <c r="MYN82" s="440" t="n"/>
      <c r="MYO82" s="440" t="n"/>
      <c r="MYP82" s="440" t="n"/>
      <c r="MYQ82" s="440" t="n"/>
      <c r="MYR82" s="440" t="n"/>
      <c r="MYS82" s="440" t="n"/>
      <c r="MYT82" s="440" t="n"/>
      <c r="MYU82" s="440" t="n"/>
      <c r="MYV82" s="440" t="n"/>
      <c r="MYW82" s="440" t="n"/>
      <c r="MYX82" s="440" t="n"/>
      <c r="MYY82" s="440" t="n"/>
      <c r="MYZ82" s="440" t="n"/>
      <c r="MZA82" s="440" t="n"/>
      <c r="MZB82" s="440" t="n"/>
      <c r="MZC82" s="440" t="n"/>
      <c r="MZD82" s="440" t="n"/>
      <c r="MZE82" s="440" t="n"/>
      <c r="MZF82" s="440" t="n"/>
      <c r="MZG82" s="440" t="n"/>
      <c r="MZH82" s="440" t="n"/>
      <c r="MZI82" s="440" t="n"/>
      <c r="MZJ82" s="440" t="n"/>
      <c r="MZK82" s="440" t="n"/>
      <c r="MZL82" s="440" t="n"/>
      <c r="MZM82" s="440" t="n"/>
      <c r="MZN82" s="440" t="n"/>
      <c r="MZO82" s="440" t="n"/>
      <c r="MZP82" s="440" t="n"/>
      <c r="MZQ82" s="440" t="n"/>
      <c r="MZR82" s="440" t="n"/>
      <c r="MZS82" s="440" t="n"/>
      <c r="MZT82" s="440" t="n"/>
      <c r="MZU82" s="440" t="n"/>
      <c r="MZV82" s="440" t="n"/>
      <c r="MZW82" s="440" t="n"/>
      <c r="MZX82" s="440" t="n"/>
      <c r="MZY82" s="440" t="n"/>
      <c r="MZZ82" s="440" t="n"/>
      <c r="NAA82" s="440" t="n"/>
      <c r="NAB82" s="440" t="n"/>
      <c r="NAC82" s="440" t="n"/>
      <c r="NAD82" s="440" t="n"/>
      <c r="NAE82" s="440" t="n"/>
      <c r="NAF82" s="440" t="n"/>
      <c r="NAG82" s="440" t="n"/>
      <c r="NAH82" s="440" t="n"/>
      <c r="NAI82" s="440" t="n"/>
      <c r="NAJ82" s="440" t="n"/>
      <c r="NAK82" s="440" t="n"/>
      <c r="NAL82" s="440" t="n"/>
      <c r="NAM82" s="440" t="n"/>
      <c r="NAN82" s="440" t="n"/>
      <c r="NAO82" s="440" t="n"/>
      <c r="NAP82" s="440" t="n"/>
      <c r="NAQ82" s="440" t="n"/>
      <c r="NAR82" s="440" t="n"/>
      <c r="NAS82" s="440" t="n"/>
      <c r="NAT82" s="440" t="n"/>
      <c r="NAU82" s="440" t="n"/>
      <c r="NAV82" s="440" t="n"/>
      <c r="NAW82" s="440" t="n"/>
      <c r="NAX82" s="440" t="n"/>
      <c r="NAY82" s="440" t="n"/>
      <c r="NAZ82" s="440" t="n"/>
      <c r="NBA82" s="440" t="n"/>
      <c r="NBB82" s="440" t="n"/>
      <c r="NBC82" s="440" t="n"/>
      <c r="NBD82" s="440" t="n"/>
      <c r="NBE82" s="440" t="n"/>
      <c r="NBF82" s="440" t="n"/>
      <c r="NBG82" s="440" t="n"/>
      <c r="NBH82" s="440" t="n"/>
      <c r="NBI82" s="440" t="n"/>
      <c r="NBJ82" s="440" t="n"/>
      <c r="NBK82" s="440" t="n"/>
      <c r="NBL82" s="440" t="n"/>
      <c r="NBM82" s="440" t="n"/>
      <c r="NBN82" s="440" t="n"/>
      <c r="NBO82" s="440" t="n"/>
      <c r="NBP82" s="440" t="n"/>
      <c r="NBQ82" s="440" t="n"/>
      <c r="NBR82" s="440" t="n"/>
      <c r="NBS82" s="440" t="n"/>
      <c r="NBT82" s="440" t="n"/>
      <c r="NBU82" s="440" t="n"/>
      <c r="NBV82" s="440" t="n"/>
      <c r="NBW82" s="440" t="n"/>
      <c r="NBX82" s="440" t="n"/>
      <c r="NBY82" s="440" t="n"/>
      <c r="NBZ82" s="440" t="n"/>
      <c r="NCA82" s="440" t="n"/>
      <c r="NCB82" s="440" t="n"/>
      <c r="NCC82" s="440" t="n"/>
      <c r="NCD82" s="440" t="n"/>
      <c r="NCE82" s="440" t="n"/>
      <c r="NCF82" s="440" t="n"/>
      <c r="NCG82" s="440" t="n"/>
      <c r="NCH82" s="440" t="n"/>
      <c r="NCI82" s="440" t="n"/>
      <c r="NCJ82" s="440" t="n"/>
      <c r="NCK82" s="440" t="n"/>
      <c r="NCL82" s="440" t="n"/>
      <c r="NCM82" s="440" t="n"/>
      <c r="NCN82" s="440" t="n"/>
      <c r="NCO82" s="440" t="n"/>
      <c r="NCP82" s="440" t="n"/>
      <c r="NCQ82" s="440" t="n"/>
      <c r="NCR82" s="440" t="n"/>
      <c r="NCS82" s="440" t="n"/>
      <c r="NCT82" s="440" t="n"/>
      <c r="NCU82" s="440" t="n"/>
      <c r="NCV82" s="440" t="n"/>
      <c r="NCW82" s="440" t="n"/>
      <c r="NCX82" s="440" t="n"/>
      <c r="NCY82" s="440" t="n"/>
      <c r="NCZ82" s="440" t="n"/>
      <c r="NDA82" s="440" t="n"/>
      <c r="NDB82" s="440" t="n"/>
      <c r="NDC82" s="440" t="n"/>
      <c r="NDD82" s="440" t="n"/>
      <c r="NDE82" s="440" t="n"/>
      <c r="NDF82" s="440" t="n"/>
      <c r="NDG82" s="440" t="n"/>
      <c r="NDH82" s="440" t="n"/>
      <c r="NDI82" s="440" t="n"/>
      <c r="NDJ82" s="440" t="n"/>
      <c r="NDK82" s="440" t="n"/>
      <c r="NDL82" s="440" t="n"/>
      <c r="NDM82" s="440" t="n"/>
      <c r="NDN82" s="440" t="n"/>
      <c r="NDO82" s="440" t="n"/>
      <c r="NDP82" s="440" t="n"/>
      <c r="NDQ82" s="440" t="n"/>
      <c r="NDR82" s="440" t="n"/>
      <c r="NDS82" s="440" t="n"/>
      <c r="NDT82" s="440" t="n"/>
      <c r="NDU82" s="440" t="n"/>
      <c r="NDV82" s="440" t="n"/>
      <c r="NDW82" s="440" t="n"/>
      <c r="NDX82" s="440" t="n"/>
      <c r="NDY82" s="440" t="n"/>
      <c r="NDZ82" s="440" t="n"/>
      <c r="NEA82" s="440" t="n"/>
      <c r="NEB82" s="440" t="n"/>
      <c r="NEC82" s="440" t="n"/>
      <c r="NED82" s="440" t="n"/>
      <c r="NEE82" s="440" t="n"/>
      <c r="NEF82" s="440" t="n"/>
      <c r="NEG82" s="440" t="n"/>
      <c r="NEH82" s="440" t="n"/>
      <c r="NEI82" s="440" t="n"/>
      <c r="NEJ82" s="440" t="n"/>
      <c r="NEK82" s="440" t="n"/>
      <c r="NEL82" s="440" t="n"/>
      <c r="NEM82" s="440" t="n"/>
      <c r="NEN82" s="440" t="n"/>
      <c r="NEO82" s="440" t="n"/>
      <c r="NEP82" s="440" t="n"/>
      <c r="NEQ82" s="440" t="n"/>
      <c r="NER82" s="440" t="n"/>
      <c r="NES82" s="440" t="n"/>
      <c r="NET82" s="440" t="n"/>
      <c r="NEU82" s="440" t="n"/>
      <c r="NEV82" s="440" t="n"/>
      <c r="NEW82" s="440" t="n"/>
      <c r="NEX82" s="440" t="n"/>
      <c r="NEY82" s="440" t="n"/>
      <c r="NEZ82" s="440" t="n"/>
      <c r="NFA82" s="440" t="n"/>
      <c r="NFB82" s="440" t="n"/>
      <c r="NFC82" s="440" t="n"/>
      <c r="NFD82" s="440" t="n"/>
      <c r="NFE82" s="440" t="n"/>
      <c r="NFF82" s="440" t="n"/>
      <c r="NFG82" s="440" t="n"/>
      <c r="NFH82" s="440" t="n"/>
      <c r="NFI82" s="440" t="n"/>
      <c r="NFJ82" s="440" t="n"/>
      <c r="NFK82" s="440" t="n"/>
      <c r="NFL82" s="440" t="n"/>
      <c r="NFM82" s="440" t="n"/>
      <c r="NFN82" s="440" t="n"/>
      <c r="NFO82" s="440" t="n"/>
      <c r="NFP82" s="440" t="n"/>
      <c r="NFQ82" s="440" t="n"/>
      <c r="NFR82" s="440" t="n"/>
      <c r="NFS82" s="440" t="n"/>
      <c r="NFT82" s="440" t="n"/>
      <c r="NFU82" s="440" t="n"/>
      <c r="NFV82" s="440" t="n"/>
      <c r="NFW82" s="440" t="n"/>
      <c r="NFX82" s="440" t="n"/>
      <c r="NFY82" s="440" t="n"/>
      <c r="NFZ82" s="440" t="n"/>
      <c r="NGA82" s="440" t="n"/>
      <c r="NGB82" s="440" t="n"/>
      <c r="NGC82" s="440" t="n"/>
      <c r="NGD82" s="440" t="n"/>
      <c r="NGE82" s="440" t="n"/>
      <c r="NGF82" s="440" t="n"/>
      <c r="NGG82" s="440" t="n"/>
      <c r="NGH82" s="440" t="n"/>
      <c r="NGI82" s="440" t="n"/>
      <c r="NGJ82" s="440" t="n"/>
      <c r="NGK82" s="440" t="n"/>
      <c r="NGL82" s="440" t="n"/>
      <c r="NGM82" s="440" t="n"/>
      <c r="NGN82" s="440" t="n"/>
      <c r="NGO82" s="440" t="n"/>
      <c r="NGP82" s="440" t="n"/>
      <c r="NGQ82" s="440" t="n"/>
      <c r="NGR82" s="440" t="n"/>
      <c r="NGS82" s="440" t="n"/>
      <c r="NGT82" s="440" t="n"/>
      <c r="NGU82" s="440" t="n"/>
      <c r="NGV82" s="440" t="n"/>
      <c r="NGW82" s="440" t="n"/>
      <c r="NGX82" s="440" t="n"/>
      <c r="NGY82" s="440" t="n"/>
      <c r="NGZ82" s="440" t="n"/>
      <c r="NHA82" s="440" t="n"/>
      <c r="NHB82" s="440" t="n"/>
      <c r="NHC82" s="440" t="n"/>
      <c r="NHD82" s="440" t="n"/>
      <c r="NHE82" s="440" t="n"/>
      <c r="NHF82" s="440" t="n"/>
      <c r="NHG82" s="440" t="n"/>
      <c r="NHH82" s="440" t="n"/>
      <c r="NHI82" s="440" t="n"/>
      <c r="NHJ82" s="440" t="n"/>
      <c r="NHK82" s="440" t="n"/>
      <c r="NHL82" s="440" t="n"/>
      <c r="NHM82" s="440" t="n"/>
      <c r="NHN82" s="440" t="n"/>
      <c r="NHO82" s="440" t="n"/>
      <c r="NHP82" s="440" t="n"/>
      <c r="NHQ82" s="440" t="n"/>
      <c r="NHR82" s="440" t="n"/>
      <c r="NHS82" s="440" t="n"/>
      <c r="NHT82" s="440" t="n"/>
      <c r="NHU82" s="440" t="n"/>
      <c r="NHV82" s="440" t="n"/>
      <c r="NHW82" s="440" t="n"/>
      <c r="NHX82" s="440" t="n"/>
      <c r="NHY82" s="440" t="n"/>
      <c r="NHZ82" s="440" t="n"/>
      <c r="NIA82" s="440" t="n"/>
      <c r="NIB82" s="440" t="n"/>
      <c r="NIC82" s="440" t="n"/>
      <c r="NID82" s="440" t="n"/>
      <c r="NIE82" s="440" t="n"/>
      <c r="NIF82" s="440" t="n"/>
      <c r="NIG82" s="440" t="n"/>
      <c r="NIH82" s="440" t="n"/>
      <c r="NII82" s="440" t="n"/>
      <c r="NIJ82" s="440" t="n"/>
      <c r="NIK82" s="440" t="n"/>
      <c r="NIL82" s="440" t="n"/>
      <c r="NIM82" s="440" t="n"/>
      <c r="NIN82" s="440" t="n"/>
      <c r="NIO82" s="440" t="n"/>
      <c r="NIP82" s="440" t="n"/>
      <c r="NIQ82" s="440" t="n"/>
      <c r="NIR82" s="440" t="n"/>
      <c r="NIS82" s="440" t="n"/>
      <c r="NIT82" s="440" t="n"/>
      <c r="NIU82" s="440" t="n"/>
      <c r="NIV82" s="440" t="n"/>
      <c r="NIW82" s="440" t="n"/>
      <c r="NIX82" s="440" t="n"/>
      <c r="NIY82" s="440" t="n"/>
      <c r="NIZ82" s="440" t="n"/>
      <c r="NJA82" s="440" t="n"/>
      <c r="NJB82" s="440" t="n"/>
      <c r="NJC82" s="440" t="n"/>
      <c r="NJD82" s="440" t="n"/>
      <c r="NJE82" s="440" t="n"/>
      <c r="NJF82" s="440" t="n"/>
      <c r="NJG82" s="440" t="n"/>
      <c r="NJH82" s="440" t="n"/>
      <c r="NJI82" s="440" t="n"/>
      <c r="NJJ82" s="440" t="n"/>
      <c r="NJK82" s="440" t="n"/>
      <c r="NJL82" s="440" t="n"/>
      <c r="NJM82" s="440" t="n"/>
      <c r="NJN82" s="440" t="n"/>
      <c r="NJO82" s="440" t="n"/>
      <c r="NJP82" s="440" t="n"/>
      <c r="NJQ82" s="440" t="n"/>
      <c r="NJR82" s="440" t="n"/>
      <c r="NJS82" s="440" t="n"/>
      <c r="NJT82" s="440" t="n"/>
      <c r="NJU82" s="440" t="n"/>
      <c r="NJV82" s="440" t="n"/>
      <c r="NJW82" s="440" t="n"/>
      <c r="NJX82" s="440" t="n"/>
      <c r="NJY82" s="440" t="n"/>
      <c r="NJZ82" s="440" t="n"/>
      <c r="NKA82" s="440" t="n"/>
      <c r="NKB82" s="440" t="n"/>
      <c r="NKC82" s="440" t="n"/>
      <c r="NKD82" s="440" t="n"/>
      <c r="NKE82" s="440" t="n"/>
      <c r="NKF82" s="440" t="n"/>
      <c r="NKG82" s="440" t="n"/>
      <c r="NKH82" s="440" t="n"/>
      <c r="NKI82" s="440" t="n"/>
      <c r="NKJ82" s="440" t="n"/>
      <c r="NKK82" s="440" t="n"/>
      <c r="NKL82" s="440" t="n"/>
      <c r="NKM82" s="440" t="n"/>
      <c r="NKN82" s="440" t="n"/>
      <c r="NKO82" s="440" t="n"/>
      <c r="NKP82" s="440" t="n"/>
      <c r="NKQ82" s="440" t="n"/>
      <c r="NKR82" s="440" t="n"/>
      <c r="NKS82" s="440" t="n"/>
      <c r="NKT82" s="440" t="n"/>
      <c r="NKU82" s="440" t="n"/>
      <c r="NKV82" s="440" t="n"/>
      <c r="NKW82" s="440" t="n"/>
      <c r="NKX82" s="440" t="n"/>
      <c r="NKY82" s="440" t="n"/>
      <c r="NKZ82" s="440" t="n"/>
      <c r="NLA82" s="440" t="n"/>
      <c r="NLB82" s="440" t="n"/>
      <c r="NLC82" s="440" t="n"/>
      <c r="NLD82" s="440" t="n"/>
      <c r="NLE82" s="440" t="n"/>
      <c r="NLF82" s="440" t="n"/>
      <c r="NLG82" s="440" t="n"/>
      <c r="NLH82" s="440" t="n"/>
      <c r="NLI82" s="440" t="n"/>
      <c r="NLJ82" s="440" t="n"/>
      <c r="NLK82" s="440" t="n"/>
      <c r="NLL82" s="440" t="n"/>
      <c r="NLM82" s="440" t="n"/>
      <c r="NLN82" s="440" t="n"/>
      <c r="NLO82" s="440" t="n"/>
      <c r="NLP82" s="440" t="n"/>
      <c r="NLQ82" s="440" t="n"/>
      <c r="NLR82" s="440" t="n"/>
      <c r="NLS82" s="440" t="n"/>
      <c r="NLT82" s="440" t="n"/>
      <c r="NLU82" s="440" t="n"/>
      <c r="NLV82" s="440" t="n"/>
      <c r="NLW82" s="440" t="n"/>
      <c r="NLX82" s="440" t="n"/>
      <c r="NLY82" s="440" t="n"/>
      <c r="NLZ82" s="440" t="n"/>
      <c r="NMA82" s="440" t="n"/>
      <c r="NMB82" s="440" t="n"/>
      <c r="NMC82" s="440" t="n"/>
      <c r="NMD82" s="440" t="n"/>
      <c r="NME82" s="440" t="n"/>
      <c r="NMF82" s="440" t="n"/>
      <c r="NMG82" s="440" t="n"/>
      <c r="NMH82" s="440" t="n"/>
      <c r="NMI82" s="440" t="n"/>
      <c r="NMJ82" s="440" t="n"/>
      <c r="NMK82" s="440" t="n"/>
      <c r="NML82" s="440" t="n"/>
      <c r="NMM82" s="440" t="n"/>
      <c r="NMN82" s="440" t="n"/>
      <c r="NMO82" s="440" t="n"/>
      <c r="NMP82" s="440" t="n"/>
      <c r="NMQ82" s="440" t="n"/>
      <c r="NMR82" s="440" t="n"/>
      <c r="NMS82" s="440" t="n"/>
      <c r="NMT82" s="440" t="n"/>
      <c r="NMU82" s="440" t="n"/>
      <c r="NMV82" s="440" t="n"/>
      <c r="NMW82" s="440" t="n"/>
      <c r="NMX82" s="440" t="n"/>
      <c r="NMY82" s="440" t="n"/>
      <c r="NMZ82" s="440" t="n"/>
      <c r="NNA82" s="440" t="n"/>
      <c r="NNB82" s="440" t="n"/>
      <c r="NNC82" s="440" t="n"/>
      <c r="NND82" s="440" t="n"/>
      <c r="NNE82" s="440" t="n"/>
      <c r="NNF82" s="440" t="n"/>
      <c r="NNG82" s="440" t="n"/>
      <c r="NNH82" s="440" t="n"/>
      <c r="NNI82" s="440" t="n"/>
      <c r="NNJ82" s="440" t="n"/>
      <c r="NNK82" s="440" t="n"/>
      <c r="NNL82" s="440" t="n"/>
      <c r="NNM82" s="440" t="n"/>
      <c r="NNN82" s="440" t="n"/>
      <c r="NNO82" s="440" t="n"/>
      <c r="NNP82" s="440" t="n"/>
      <c r="NNQ82" s="440" t="n"/>
      <c r="NNR82" s="440" t="n"/>
      <c r="NNS82" s="440" t="n"/>
      <c r="NNT82" s="440" t="n"/>
      <c r="NNU82" s="440" t="n"/>
      <c r="NNV82" s="440" t="n"/>
      <c r="NNW82" s="440" t="n"/>
      <c r="NNX82" s="440" t="n"/>
      <c r="NNY82" s="440" t="n"/>
      <c r="NNZ82" s="440" t="n"/>
      <c r="NOA82" s="440" t="n"/>
      <c r="NOB82" s="440" t="n"/>
      <c r="NOC82" s="440" t="n"/>
      <c r="NOD82" s="440" t="n"/>
      <c r="NOE82" s="440" t="n"/>
      <c r="NOF82" s="440" t="n"/>
      <c r="NOG82" s="440" t="n"/>
      <c r="NOH82" s="440" t="n"/>
      <c r="NOI82" s="440" t="n"/>
      <c r="NOJ82" s="440" t="n"/>
      <c r="NOK82" s="440" t="n"/>
      <c r="NOL82" s="440" t="n"/>
      <c r="NOM82" s="440" t="n"/>
      <c r="NON82" s="440" t="n"/>
      <c r="NOO82" s="440" t="n"/>
      <c r="NOP82" s="440" t="n"/>
      <c r="NOQ82" s="440" t="n"/>
      <c r="NOR82" s="440" t="n"/>
      <c r="NOS82" s="440" t="n"/>
      <c r="NOT82" s="440" t="n"/>
      <c r="NOU82" s="440" t="n"/>
      <c r="NOV82" s="440" t="n"/>
      <c r="NOW82" s="440" t="n"/>
      <c r="NOX82" s="440" t="n"/>
      <c r="NOY82" s="440" t="n"/>
      <c r="NOZ82" s="440" t="n"/>
      <c r="NPA82" s="440" t="n"/>
      <c r="NPB82" s="440" t="n"/>
      <c r="NPC82" s="440" t="n"/>
      <c r="NPD82" s="440" t="n"/>
      <c r="NPE82" s="440" t="n"/>
      <c r="NPF82" s="440" t="n"/>
      <c r="NPG82" s="440" t="n"/>
      <c r="NPH82" s="440" t="n"/>
      <c r="NPI82" s="440" t="n"/>
      <c r="NPJ82" s="440" t="n"/>
      <c r="NPK82" s="440" t="n"/>
      <c r="NPL82" s="440" t="n"/>
      <c r="NPM82" s="440" t="n"/>
      <c r="NPN82" s="440" t="n"/>
      <c r="NPO82" s="440" t="n"/>
      <c r="NPP82" s="440" t="n"/>
      <c r="NPQ82" s="440" t="n"/>
      <c r="NPR82" s="440" t="n"/>
      <c r="NPS82" s="440" t="n"/>
      <c r="NPT82" s="440" t="n"/>
      <c r="NPU82" s="440" t="n"/>
      <c r="NPV82" s="440" t="n"/>
      <c r="NPW82" s="440" t="n"/>
      <c r="NPX82" s="440" t="n"/>
      <c r="NPY82" s="440" t="n"/>
      <c r="NPZ82" s="440" t="n"/>
      <c r="NQA82" s="440" t="n"/>
      <c r="NQB82" s="440" t="n"/>
      <c r="NQC82" s="440" t="n"/>
      <c r="NQD82" s="440" t="n"/>
      <c r="NQE82" s="440" t="n"/>
      <c r="NQF82" s="440" t="n"/>
      <c r="NQG82" s="440" t="n"/>
      <c r="NQH82" s="440" t="n"/>
      <c r="NQI82" s="440" t="n"/>
      <c r="NQJ82" s="440" t="n"/>
      <c r="NQK82" s="440" t="n"/>
      <c r="NQL82" s="440" t="n"/>
      <c r="NQM82" s="440" t="n"/>
      <c r="NQN82" s="440" t="n"/>
      <c r="NQO82" s="440" t="n"/>
      <c r="NQP82" s="440" t="n"/>
      <c r="NQQ82" s="440" t="n"/>
      <c r="NQR82" s="440" t="n"/>
      <c r="NQS82" s="440" t="n"/>
      <c r="NQT82" s="440" t="n"/>
      <c r="NQU82" s="440" t="n"/>
      <c r="NQV82" s="440" t="n"/>
      <c r="NQW82" s="440" t="n"/>
      <c r="NQX82" s="440" t="n"/>
      <c r="NQY82" s="440" t="n"/>
      <c r="NQZ82" s="440" t="n"/>
      <c r="NRA82" s="440" t="n"/>
      <c r="NRB82" s="440" t="n"/>
      <c r="NRC82" s="440" t="n"/>
      <c r="NRD82" s="440" t="n"/>
      <c r="NRE82" s="440" t="n"/>
      <c r="NRF82" s="440" t="n"/>
      <c r="NRG82" s="440" t="n"/>
      <c r="NRH82" s="440" t="n"/>
      <c r="NRI82" s="440" t="n"/>
      <c r="NRJ82" s="440" t="n"/>
      <c r="NRK82" s="440" t="n"/>
      <c r="NRL82" s="440" t="n"/>
      <c r="NRM82" s="440" t="n"/>
      <c r="NRN82" s="440" t="n"/>
      <c r="NRO82" s="440" t="n"/>
      <c r="NRP82" s="440" t="n"/>
      <c r="NRQ82" s="440" t="n"/>
      <c r="NRR82" s="440" t="n"/>
      <c r="NRS82" s="440" t="n"/>
      <c r="NRT82" s="440" t="n"/>
      <c r="NRU82" s="440" t="n"/>
      <c r="NRV82" s="440" t="n"/>
      <c r="NRW82" s="440" t="n"/>
      <c r="NRX82" s="440" t="n"/>
      <c r="NRY82" s="440" t="n"/>
      <c r="NRZ82" s="440" t="n"/>
      <c r="NSA82" s="440" t="n"/>
      <c r="NSB82" s="440" t="n"/>
      <c r="NSC82" s="440" t="n"/>
      <c r="NSD82" s="440" t="n"/>
      <c r="NSE82" s="440" t="n"/>
      <c r="NSF82" s="440" t="n"/>
      <c r="NSG82" s="440" t="n"/>
      <c r="NSH82" s="440" t="n"/>
      <c r="NSI82" s="440" t="n"/>
      <c r="NSJ82" s="440" t="n"/>
      <c r="NSK82" s="440" t="n"/>
      <c r="NSL82" s="440" t="n"/>
      <c r="NSM82" s="440" t="n"/>
      <c r="NSN82" s="440" t="n"/>
      <c r="NSO82" s="440" t="n"/>
      <c r="NSP82" s="440" t="n"/>
      <c r="NSQ82" s="440" t="n"/>
      <c r="NSR82" s="440" t="n"/>
      <c r="NSS82" s="440" t="n"/>
      <c r="NST82" s="440" t="n"/>
      <c r="NSU82" s="440" t="n"/>
      <c r="NSV82" s="440" t="n"/>
      <c r="NSW82" s="440" t="n"/>
      <c r="NSX82" s="440" t="n"/>
      <c r="NSY82" s="440" t="n"/>
      <c r="NSZ82" s="440" t="n"/>
      <c r="NTA82" s="440" t="n"/>
      <c r="NTB82" s="440" t="n"/>
      <c r="NTC82" s="440" t="n"/>
      <c r="NTD82" s="440" t="n"/>
      <c r="NTE82" s="440" t="n"/>
      <c r="NTF82" s="440" t="n"/>
      <c r="NTG82" s="440" t="n"/>
      <c r="NTH82" s="440" t="n"/>
      <c r="NTI82" s="440" t="n"/>
      <c r="NTJ82" s="440" t="n"/>
      <c r="NTK82" s="440" t="n"/>
      <c r="NTL82" s="440" t="n"/>
      <c r="NTM82" s="440" t="n"/>
      <c r="NTN82" s="440" t="n"/>
      <c r="NTO82" s="440" t="n"/>
      <c r="NTP82" s="440" t="n"/>
      <c r="NTQ82" s="440" t="n"/>
      <c r="NTR82" s="440" t="n"/>
      <c r="NTS82" s="440" t="n"/>
      <c r="NTT82" s="440" t="n"/>
      <c r="NTU82" s="440" t="n"/>
      <c r="NTV82" s="440" t="n"/>
      <c r="NTW82" s="440" t="n"/>
      <c r="NTX82" s="440" t="n"/>
      <c r="NTY82" s="440" t="n"/>
      <c r="NTZ82" s="440" t="n"/>
      <c r="NUA82" s="440" t="n"/>
      <c r="NUB82" s="440" t="n"/>
      <c r="NUC82" s="440" t="n"/>
      <c r="NUD82" s="440" t="n"/>
      <c r="NUE82" s="440" t="n"/>
      <c r="NUF82" s="440" t="n"/>
      <c r="NUG82" s="440" t="n"/>
      <c r="NUH82" s="440" t="n"/>
      <c r="NUI82" s="440" t="n"/>
      <c r="NUJ82" s="440" t="n"/>
      <c r="NUK82" s="440" t="n"/>
      <c r="NUL82" s="440" t="n"/>
      <c r="NUM82" s="440" t="n"/>
      <c r="NUN82" s="440" t="n"/>
      <c r="NUO82" s="440" t="n"/>
      <c r="NUP82" s="440" t="n"/>
      <c r="NUQ82" s="440" t="n"/>
      <c r="NUR82" s="440" t="n"/>
      <c r="NUS82" s="440" t="n"/>
      <c r="NUT82" s="440" t="n"/>
      <c r="NUU82" s="440" t="n"/>
      <c r="NUV82" s="440" t="n"/>
      <c r="NUW82" s="440" t="n"/>
      <c r="NUX82" s="440" t="n"/>
      <c r="NUY82" s="440" t="n"/>
      <c r="NUZ82" s="440" t="n"/>
      <c r="NVA82" s="440" t="n"/>
      <c r="NVB82" s="440" t="n"/>
      <c r="NVC82" s="440" t="n"/>
      <c r="NVD82" s="440" t="n"/>
      <c r="NVE82" s="440" t="n"/>
      <c r="NVF82" s="440" t="n"/>
      <c r="NVG82" s="440" t="n"/>
      <c r="NVH82" s="440" t="n"/>
      <c r="NVI82" s="440" t="n"/>
      <c r="NVJ82" s="440" t="n"/>
      <c r="NVK82" s="440" t="n"/>
      <c r="NVL82" s="440" t="n"/>
      <c r="NVM82" s="440" t="n"/>
      <c r="NVN82" s="440" t="n"/>
      <c r="NVO82" s="440" t="n"/>
      <c r="NVP82" s="440" t="n"/>
      <c r="NVQ82" s="440" t="n"/>
      <c r="NVR82" s="440" t="n"/>
      <c r="NVS82" s="440" t="n"/>
      <c r="NVT82" s="440" t="n"/>
      <c r="NVU82" s="440" t="n"/>
      <c r="NVV82" s="440" t="n"/>
      <c r="NVW82" s="440" t="n"/>
      <c r="NVX82" s="440" t="n"/>
      <c r="NVY82" s="440" t="n"/>
      <c r="NVZ82" s="440" t="n"/>
      <c r="NWA82" s="440" t="n"/>
      <c r="NWB82" s="440" t="n"/>
      <c r="NWC82" s="440" t="n"/>
      <c r="NWD82" s="440" t="n"/>
      <c r="NWE82" s="440" t="n"/>
      <c r="NWF82" s="440" t="n"/>
      <c r="NWG82" s="440" t="n"/>
      <c r="NWH82" s="440" t="n"/>
      <c r="NWI82" s="440" t="n"/>
      <c r="NWJ82" s="440" t="n"/>
      <c r="NWK82" s="440" t="n"/>
      <c r="NWL82" s="440" t="n"/>
      <c r="NWM82" s="440" t="n"/>
      <c r="NWN82" s="440" t="n"/>
      <c r="NWO82" s="440" t="n"/>
      <c r="NWP82" s="440" t="n"/>
      <c r="NWQ82" s="440" t="n"/>
      <c r="NWR82" s="440" t="n"/>
      <c r="NWS82" s="440" t="n"/>
      <c r="NWT82" s="440" t="n"/>
      <c r="NWU82" s="440" t="n"/>
      <c r="NWV82" s="440" t="n"/>
      <c r="NWW82" s="440" t="n"/>
      <c r="NWX82" s="440" t="n"/>
      <c r="NWY82" s="440" t="n"/>
      <c r="NWZ82" s="440" t="n"/>
      <c r="NXA82" s="440" t="n"/>
      <c r="NXB82" s="440" t="n"/>
      <c r="NXC82" s="440" t="n"/>
      <c r="NXD82" s="440" t="n"/>
      <c r="NXE82" s="440" t="n"/>
      <c r="NXF82" s="440" t="n"/>
      <c r="NXG82" s="440" t="n"/>
      <c r="NXH82" s="440" t="n"/>
      <c r="NXI82" s="440" t="n"/>
      <c r="NXJ82" s="440" t="n"/>
      <c r="NXK82" s="440" t="n"/>
      <c r="NXL82" s="440" t="n"/>
      <c r="NXM82" s="440" t="n"/>
      <c r="NXN82" s="440" t="n"/>
      <c r="NXO82" s="440" t="n"/>
      <c r="NXP82" s="440" t="n"/>
      <c r="NXQ82" s="440" t="n"/>
      <c r="NXR82" s="440" t="n"/>
      <c r="NXS82" s="440" t="n"/>
      <c r="NXT82" s="440" t="n"/>
      <c r="NXU82" s="440" t="n"/>
      <c r="NXV82" s="440" t="n"/>
      <c r="NXW82" s="440" t="n"/>
      <c r="NXX82" s="440" t="n"/>
      <c r="NXY82" s="440" t="n"/>
      <c r="NXZ82" s="440" t="n"/>
      <c r="NYA82" s="440" t="n"/>
      <c r="NYB82" s="440" t="n"/>
      <c r="NYC82" s="440" t="n"/>
      <c r="NYD82" s="440" t="n"/>
      <c r="NYE82" s="440" t="n"/>
      <c r="NYF82" s="440" t="n"/>
      <c r="NYG82" s="440" t="n"/>
      <c r="NYH82" s="440" t="n"/>
      <c r="NYI82" s="440" t="n"/>
      <c r="NYJ82" s="440" t="n"/>
      <c r="NYK82" s="440" t="n"/>
      <c r="NYL82" s="440" t="n"/>
      <c r="NYM82" s="440" t="n"/>
      <c r="NYN82" s="440" t="n"/>
      <c r="NYO82" s="440" t="n"/>
      <c r="NYP82" s="440" t="n"/>
      <c r="NYQ82" s="440" t="n"/>
      <c r="NYR82" s="440" t="n"/>
      <c r="NYS82" s="440" t="n"/>
      <c r="NYT82" s="440" t="n"/>
      <c r="NYU82" s="440" t="n"/>
      <c r="NYV82" s="440" t="n"/>
      <c r="NYW82" s="440" t="n"/>
      <c r="NYX82" s="440" t="n"/>
      <c r="NYY82" s="440" t="n"/>
      <c r="NYZ82" s="440" t="n"/>
      <c r="NZA82" s="440" t="n"/>
      <c r="NZB82" s="440" t="n"/>
      <c r="NZC82" s="440" t="n"/>
      <c r="NZD82" s="440" t="n"/>
      <c r="NZE82" s="440" t="n"/>
      <c r="NZF82" s="440" t="n"/>
      <c r="NZG82" s="440" t="n"/>
      <c r="NZH82" s="440" t="n"/>
      <c r="NZI82" s="440" t="n"/>
      <c r="NZJ82" s="440" t="n"/>
      <c r="NZK82" s="440" t="n"/>
      <c r="NZL82" s="440" t="n"/>
      <c r="NZM82" s="440" t="n"/>
      <c r="NZN82" s="440" t="n"/>
      <c r="NZO82" s="440" t="n"/>
      <c r="NZP82" s="440" t="n"/>
      <c r="NZQ82" s="440" t="n"/>
      <c r="NZR82" s="440" t="n"/>
      <c r="NZS82" s="440" t="n"/>
      <c r="NZT82" s="440" t="n"/>
      <c r="NZU82" s="440" t="n"/>
      <c r="NZV82" s="440" t="n"/>
      <c r="NZW82" s="440" t="n"/>
      <c r="NZX82" s="440" t="n"/>
      <c r="NZY82" s="440" t="n"/>
      <c r="NZZ82" s="440" t="n"/>
      <c r="OAA82" s="440" t="n"/>
      <c r="OAB82" s="440" t="n"/>
      <c r="OAC82" s="440" t="n"/>
      <c r="OAD82" s="440" t="n"/>
      <c r="OAE82" s="440" t="n"/>
      <c r="OAF82" s="440" t="n"/>
      <c r="OAG82" s="440" t="n"/>
      <c r="OAH82" s="440" t="n"/>
      <c r="OAI82" s="440" t="n"/>
      <c r="OAJ82" s="440" t="n"/>
      <c r="OAK82" s="440" t="n"/>
      <c r="OAL82" s="440" t="n"/>
      <c r="OAM82" s="440" t="n"/>
      <c r="OAN82" s="440" t="n"/>
      <c r="OAO82" s="440" t="n"/>
      <c r="OAP82" s="440" t="n"/>
      <c r="OAQ82" s="440" t="n"/>
      <c r="OAR82" s="440" t="n"/>
      <c r="OAS82" s="440" t="n"/>
      <c r="OAT82" s="440" t="n"/>
      <c r="OAU82" s="440" t="n"/>
      <c r="OAV82" s="440" t="n"/>
      <c r="OAW82" s="440" t="n"/>
      <c r="OAX82" s="440" t="n"/>
      <c r="OAY82" s="440" t="n"/>
      <c r="OAZ82" s="440" t="n"/>
      <c r="OBA82" s="440" t="n"/>
      <c r="OBB82" s="440" t="n"/>
      <c r="OBC82" s="440" t="n"/>
      <c r="OBD82" s="440" t="n"/>
      <c r="OBE82" s="440" t="n"/>
      <c r="OBF82" s="440" t="n"/>
      <c r="OBG82" s="440" t="n"/>
      <c r="OBH82" s="440" t="n"/>
      <c r="OBI82" s="440" t="n"/>
      <c r="OBJ82" s="440" t="n"/>
      <c r="OBK82" s="440" t="n"/>
      <c r="OBL82" s="440" t="n"/>
      <c r="OBM82" s="440" t="n"/>
      <c r="OBN82" s="440" t="n"/>
      <c r="OBO82" s="440" t="n"/>
      <c r="OBP82" s="440" t="n"/>
      <c r="OBQ82" s="440" t="n"/>
      <c r="OBR82" s="440" t="n"/>
      <c r="OBS82" s="440" t="n"/>
      <c r="OBT82" s="440" t="n"/>
      <c r="OBU82" s="440" t="n"/>
      <c r="OBV82" s="440" t="n"/>
      <c r="OBW82" s="440" t="n"/>
      <c r="OBX82" s="440" t="n"/>
      <c r="OBY82" s="440" t="n"/>
      <c r="OBZ82" s="440" t="n"/>
      <c r="OCA82" s="440" t="n"/>
      <c r="OCB82" s="440" t="n"/>
      <c r="OCC82" s="440" t="n"/>
      <c r="OCD82" s="440" t="n"/>
      <c r="OCE82" s="440" t="n"/>
      <c r="OCF82" s="440" t="n"/>
      <c r="OCG82" s="440" t="n"/>
      <c r="OCH82" s="440" t="n"/>
      <c r="OCI82" s="440" t="n"/>
      <c r="OCJ82" s="440" t="n"/>
      <c r="OCK82" s="440" t="n"/>
      <c r="OCL82" s="440" t="n"/>
      <c r="OCM82" s="440" t="n"/>
      <c r="OCN82" s="440" t="n"/>
      <c r="OCO82" s="440" t="n"/>
      <c r="OCP82" s="440" t="n"/>
      <c r="OCQ82" s="440" t="n"/>
      <c r="OCR82" s="440" t="n"/>
      <c r="OCS82" s="440" t="n"/>
      <c r="OCT82" s="440" t="n"/>
      <c r="OCU82" s="440" t="n"/>
      <c r="OCV82" s="440" t="n"/>
      <c r="OCW82" s="440" t="n"/>
      <c r="OCX82" s="440" t="n"/>
      <c r="OCY82" s="440" t="n"/>
      <c r="OCZ82" s="440" t="n"/>
      <c r="ODA82" s="440" t="n"/>
      <c r="ODB82" s="440" t="n"/>
      <c r="ODC82" s="440" t="n"/>
      <c r="ODD82" s="440" t="n"/>
      <c r="ODE82" s="440" t="n"/>
      <c r="ODF82" s="440" t="n"/>
      <c r="ODG82" s="440" t="n"/>
      <c r="ODH82" s="440" t="n"/>
      <c r="ODI82" s="440" t="n"/>
      <c r="ODJ82" s="440" t="n"/>
      <c r="ODK82" s="440" t="n"/>
      <c r="ODL82" s="440" t="n"/>
      <c r="ODM82" s="440" t="n"/>
      <c r="ODN82" s="440" t="n"/>
      <c r="ODO82" s="440" t="n"/>
      <c r="ODP82" s="440" t="n"/>
      <c r="ODQ82" s="440" t="n"/>
      <c r="ODR82" s="440" t="n"/>
      <c r="ODS82" s="440" t="n"/>
      <c r="ODT82" s="440" t="n"/>
      <c r="ODU82" s="440" t="n"/>
      <c r="ODV82" s="440" t="n"/>
      <c r="ODW82" s="440" t="n"/>
      <c r="ODX82" s="440" t="n"/>
      <c r="ODY82" s="440" t="n"/>
      <c r="ODZ82" s="440" t="n"/>
      <c r="OEA82" s="440" t="n"/>
      <c r="OEB82" s="440" t="n"/>
      <c r="OEC82" s="440" t="n"/>
      <c r="OED82" s="440" t="n"/>
      <c r="OEE82" s="440" t="n"/>
      <c r="OEF82" s="440" t="n"/>
      <c r="OEG82" s="440" t="n"/>
      <c r="OEH82" s="440" t="n"/>
      <c r="OEI82" s="440" t="n"/>
      <c r="OEJ82" s="440" t="n"/>
      <c r="OEK82" s="440" t="n"/>
      <c r="OEL82" s="440" t="n"/>
      <c r="OEM82" s="440" t="n"/>
      <c r="OEN82" s="440" t="n"/>
      <c r="OEO82" s="440" t="n"/>
      <c r="OEP82" s="440" t="n"/>
      <c r="OEQ82" s="440" t="n"/>
      <c r="OER82" s="440" t="n"/>
      <c r="OES82" s="440" t="n"/>
      <c r="OET82" s="440" t="n"/>
      <c r="OEU82" s="440" t="n"/>
      <c r="OEV82" s="440" t="n"/>
      <c r="OEW82" s="440" t="n"/>
      <c r="OEX82" s="440" t="n"/>
      <c r="OEY82" s="440" t="n"/>
      <c r="OEZ82" s="440" t="n"/>
      <c r="OFA82" s="440" t="n"/>
      <c r="OFB82" s="440" t="n"/>
      <c r="OFC82" s="440" t="n"/>
      <c r="OFD82" s="440" t="n"/>
      <c r="OFE82" s="440" t="n"/>
      <c r="OFF82" s="440" t="n"/>
      <c r="OFG82" s="440" t="n"/>
      <c r="OFH82" s="440" t="n"/>
      <c r="OFI82" s="440" t="n"/>
      <c r="OFJ82" s="440" t="n"/>
      <c r="OFK82" s="440" t="n"/>
      <c r="OFL82" s="440" t="n"/>
      <c r="OFM82" s="440" t="n"/>
      <c r="OFN82" s="440" t="n"/>
      <c r="OFO82" s="440" t="n"/>
      <c r="OFP82" s="440" t="n"/>
      <c r="OFQ82" s="440" t="n"/>
      <c r="OFR82" s="440" t="n"/>
      <c r="OFS82" s="440" t="n"/>
      <c r="OFT82" s="440" t="n"/>
      <c r="OFU82" s="440" t="n"/>
      <c r="OFV82" s="440" t="n"/>
      <c r="OFW82" s="440" t="n"/>
      <c r="OFX82" s="440" t="n"/>
      <c r="OFY82" s="440" t="n"/>
      <c r="OFZ82" s="440" t="n"/>
      <c r="OGA82" s="440" t="n"/>
      <c r="OGB82" s="440" t="n"/>
      <c r="OGC82" s="440" t="n"/>
      <c r="OGD82" s="440" t="n"/>
      <c r="OGE82" s="440" t="n"/>
      <c r="OGF82" s="440" t="n"/>
      <c r="OGG82" s="440" t="n"/>
      <c r="OGH82" s="440" t="n"/>
      <c r="OGI82" s="440" t="n"/>
      <c r="OGJ82" s="440" t="n"/>
      <c r="OGK82" s="440" t="n"/>
      <c r="OGL82" s="440" t="n"/>
      <c r="OGM82" s="440" t="n"/>
      <c r="OGN82" s="440" t="n"/>
      <c r="OGO82" s="440" t="n"/>
      <c r="OGP82" s="440" t="n"/>
      <c r="OGQ82" s="440" t="n"/>
      <c r="OGR82" s="440" t="n"/>
      <c r="OGS82" s="440" t="n"/>
      <c r="OGT82" s="440" t="n"/>
      <c r="OGU82" s="440" t="n"/>
      <c r="OGV82" s="440" t="n"/>
      <c r="OGW82" s="440" t="n"/>
      <c r="OGX82" s="440" t="n"/>
      <c r="OGY82" s="440" t="n"/>
      <c r="OGZ82" s="440" t="n"/>
      <c r="OHA82" s="440" t="n"/>
      <c r="OHB82" s="440" t="n"/>
      <c r="OHC82" s="440" t="n"/>
      <c r="OHD82" s="440" t="n"/>
      <c r="OHE82" s="440" t="n"/>
      <c r="OHF82" s="440" t="n"/>
      <c r="OHG82" s="440" t="n"/>
      <c r="OHH82" s="440" t="n"/>
      <c r="OHI82" s="440" t="n"/>
      <c r="OHJ82" s="440" t="n"/>
      <c r="OHK82" s="440" t="n"/>
      <c r="OHL82" s="440" t="n"/>
      <c r="OHM82" s="440" t="n"/>
      <c r="OHN82" s="440" t="n"/>
      <c r="OHO82" s="440" t="n"/>
      <c r="OHP82" s="440" t="n"/>
      <c r="OHQ82" s="440" t="n"/>
      <c r="OHR82" s="440" t="n"/>
      <c r="OHS82" s="440" t="n"/>
      <c r="OHT82" s="440" t="n"/>
      <c r="OHU82" s="440" t="n"/>
      <c r="OHV82" s="440" t="n"/>
      <c r="OHW82" s="440" t="n"/>
      <c r="OHX82" s="440" t="n"/>
      <c r="OHY82" s="440" t="n"/>
      <c r="OHZ82" s="440" t="n"/>
      <c r="OIA82" s="440" t="n"/>
      <c r="OIB82" s="440" t="n"/>
      <c r="OIC82" s="440" t="n"/>
      <c r="OID82" s="440" t="n"/>
      <c r="OIE82" s="440" t="n"/>
      <c r="OIF82" s="440" t="n"/>
      <c r="OIG82" s="440" t="n"/>
      <c r="OIH82" s="440" t="n"/>
      <c r="OII82" s="440" t="n"/>
      <c r="OIJ82" s="440" t="n"/>
      <c r="OIK82" s="440" t="n"/>
      <c r="OIL82" s="440" t="n"/>
      <c r="OIM82" s="440" t="n"/>
      <c r="OIN82" s="440" t="n"/>
      <c r="OIO82" s="440" t="n"/>
      <c r="OIP82" s="440" t="n"/>
      <c r="OIQ82" s="440" t="n"/>
      <c r="OIR82" s="440" t="n"/>
      <c r="OIS82" s="440" t="n"/>
      <c r="OIT82" s="440" t="n"/>
      <c r="OIU82" s="440" t="n"/>
      <c r="OIV82" s="440" t="n"/>
      <c r="OIW82" s="440" t="n"/>
      <c r="OIX82" s="440" t="n"/>
      <c r="OIY82" s="440" t="n"/>
      <c r="OIZ82" s="440" t="n"/>
      <c r="OJA82" s="440" t="n"/>
      <c r="OJB82" s="440" t="n"/>
      <c r="OJC82" s="440" t="n"/>
      <c r="OJD82" s="440" t="n"/>
      <c r="OJE82" s="440" t="n"/>
      <c r="OJF82" s="440" t="n"/>
      <c r="OJG82" s="440" t="n"/>
      <c r="OJH82" s="440" t="n"/>
      <c r="OJI82" s="440" t="n"/>
      <c r="OJJ82" s="440" t="n"/>
      <c r="OJK82" s="440" t="n"/>
      <c r="OJL82" s="440" t="n"/>
      <c r="OJM82" s="440" t="n"/>
      <c r="OJN82" s="440" t="n"/>
      <c r="OJO82" s="440" t="n"/>
      <c r="OJP82" s="440" t="n"/>
      <c r="OJQ82" s="440" t="n"/>
      <c r="OJR82" s="440" t="n"/>
      <c r="OJS82" s="440" t="n"/>
      <c r="OJT82" s="440" t="n"/>
      <c r="OJU82" s="440" t="n"/>
      <c r="OJV82" s="440" t="n"/>
      <c r="OJW82" s="440" t="n"/>
      <c r="OJX82" s="440" t="n"/>
      <c r="OJY82" s="440" t="n"/>
      <c r="OJZ82" s="440" t="n"/>
      <c r="OKA82" s="440" t="n"/>
      <c r="OKB82" s="440" t="n"/>
      <c r="OKC82" s="440" t="n"/>
      <c r="OKD82" s="440" t="n"/>
      <c r="OKE82" s="440" t="n"/>
      <c r="OKF82" s="440" t="n"/>
      <c r="OKG82" s="440" t="n"/>
      <c r="OKH82" s="440" t="n"/>
      <c r="OKI82" s="440" t="n"/>
      <c r="OKJ82" s="440" t="n"/>
      <c r="OKK82" s="440" t="n"/>
      <c r="OKL82" s="440" t="n"/>
      <c r="OKM82" s="440" t="n"/>
      <c r="OKN82" s="440" t="n"/>
      <c r="OKO82" s="440" t="n"/>
      <c r="OKP82" s="440" t="n"/>
      <c r="OKQ82" s="440" t="n"/>
      <c r="OKR82" s="440" t="n"/>
      <c r="OKS82" s="440" t="n"/>
      <c r="OKT82" s="440" t="n"/>
      <c r="OKU82" s="440" t="n"/>
      <c r="OKV82" s="440" t="n"/>
      <c r="OKW82" s="440" t="n"/>
      <c r="OKX82" s="440" t="n"/>
      <c r="OKY82" s="440" t="n"/>
      <c r="OKZ82" s="440" t="n"/>
      <c r="OLA82" s="440" t="n"/>
      <c r="OLB82" s="440" t="n"/>
      <c r="OLC82" s="440" t="n"/>
      <c r="OLD82" s="440" t="n"/>
      <c r="OLE82" s="440" t="n"/>
      <c r="OLF82" s="440" t="n"/>
      <c r="OLG82" s="440" t="n"/>
      <c r="OLH82" s="440" t="n"/>
      <c r="OLI82" s="440" t="n"/>
      <c r="OLJ82" s="440" t="n"/>
      <c r="OLK82" s="440" t="n"/>
      <c r="OLL82" s="440" t="n"/>
      <c r="OLM82" s="440" t="n"/>
      <c r="OLN82" s="440" t="n"/>
      <c r="OLO82" s="440" t="n"/>
      <c r="OLP82" s="440" t="n"/>
      <c r="OLQ82" s="440" t="n"/>
      <c r="OLR82" s="440" t="n"/>
      <c r="OLS82" s="440" t="n"/>
      <c r="OLT82" s="440" t="n"/>
      <c r="OLU82" s="440" t="n"/>
      <c r="OLV82" s="440" t="n"/>
      <c r="OLW82" s="440" t="n"/>
      <c r="OLX82" s="440" t="n"/>
      <c r="OLY82" s="440" t="n"/>
      <c r="OLZ82" s="440" t="n"/>
      <c r="OMA82" s="440" t="n"/>
      <c r="OMB82" s="440" t="n"/>
      <c r="OMC82" s="440" t="n"/>
      <c r="OMD82" s="440" t="n"/>
      <c r="OME82" s="440" t="n"/>
      <c r="OMF82" s="440" t="n"/>
      <c r="OMG82" s="440" t="n"/>
      <c r="OMH82" s="440" t="n"/>
      <c r="OMI82" s="440" t="n"/>
      <c r="OMJ82" s="440" t="n"/>
      <c r="OMK82" s="440" t="n"/>
      <c r="OML82" s="440" t="n"/>
      <c r="OMM82" s="440" t="n"/>
      <c r="OMN82" s="440" t="n"/>
      <c r="OMO82" s="440" t="n"/>
      <c r="OMP82" s="440" t="n"/>
      <c r="OMQ82" s="440" t="n"/>
      <c r="OMR82" s="440" t="n"/>
      <c r="OMS82" s="440" t="n"/>
      <c r="OMT82" s="440" t="n"/>
      <c r="OMU82" s="440" t="n"/>
      <c r="OMV82" s="440" t="n"/>
      <c r="OMW82" s="440" t="n"/>
      <c r="OMX82" s="440" t="n"/>
      <c r="OMY82" s="440" t="n"/>
      <c r="OMZ82" s="440" t="n"/>
      <c r="ONA82" s="440" t="n"/>
      <c r="ONB82" s="440" t="n"/>
      <c r="ONC82" s="440" t="n"/>
      <c r="OND82" s="440" t="n"/>
      <c r="ONE82" s="440" t="n"/>
      <c r="ONF82" s="440" t="n"/>
      <c r="ONG82" s="440" t="n"/>
      <c r="ONH82" s="440" t="n"/>
      <c r="ONI82" s="440" t="n"/>
      <c r="ONJ82" s="440" t="n"/>
      <c r="ONK82" s="440" t="n"/>
      <c r="ONL82" s="440" t="n"/>
      <c r="ONM82" s="440" t="n"/>
      <c r="ONN82" s="440" t="n"/>
      <c r="ONO82" s="440" t="n"/>
      <c r="ONP82" s="440" t="n"/>
      <c r="ONQ82" s="440" t="n"/>
      <c r="ONR82" s="440" t="n"/>
      <c r="ONS82" s="440" t="n"/>
      <c r="ONT82" s="440" t="n"/>
      <c r="ONU82" s="440" t="n"/>
      <c r="ONV82" s="440" t="n"/>
      <c r="ONW82" s="440" t="n"/>
      <c r="ONX82" s="440" t="n"/>
      <c r="ONY82" s="440" t="n"/>
      <c r="ONZ82" s="440" t="n"/>
      <c r="OOA82" s="440" t="n"/>
      <c r="OOB82" s="440" t="n"/>
      <c r="OOC82" s="440" t="n"/>
      <c r="OOD82" s="440" t="n"/>
      <c r="OOE82" s="440" t="n"/>
      <c r="OOF82" s="440" t="n"/>
      <c r="OOG82" s="440" t="n"/>
      <c r="OOH82" s="440" t="n"/>
      <c r="OOI82" s="440" t="n"/>
      <c r="OOJ82" s="440" t="n"/>
      <c r="OOK82" s="440" t="n"/>
      <c r="OOL82" s="440" t="n"/>
      <c r="OOM82" s="440" t="n"/>
      <c r="OON82" s="440" t="n"/>
      <c r="OOO82" s="440" t="n"/>
      <c r="OOP82" s="440" t="n"/>
      <c r="OOQ82" s="440" t="n"/>
      <c r="OOR82" s="440" t="n"/>
      <c r="OOS82" s="440" t="n"/>
      <c r="OOT82" s="440" t="n"/>
      <c r="OOU82" s="440" t="n"/>
      <c r="OOV82" s="440" t="n"/>
      <c r="OOW82" s="440" t="n"/>
      <c r="OOX82" s="440" t="n"/>
      <c r="OOY82" s="440" t="n"/>
      <c r="OOZ82" s="440" t="n"/>
      <c r="OPA82" s="440" t="n"/>
      <c r="OPB82" s="440" t="n"/>
      <c r="OPC82" s="440" t="n"/>
      <c r="OPD82" s="440" t="n"/>
      <c r="OPE82" s="440" t="n"/>
      <c r="OPF82" s="440" t="n"/>
      <c r="OPG82" s="440" t="n"/>
      <c r="OPH82" s="440" t="n"/>
      <c r="OPI82" s="440" t="n"/>
      <c r="OPJ82" s="440" t="n"/>
      <c r="OPK82" s="440" t="n"/>
      <c r="OPL82" s="440" t="n"/>
      <c r="OPM82" s="440" t="n"/>
      <c r="OPN82" s="440" t="n"/>
      <c r="OPO82" s="440" t="n"/>
      <c r="OPP82" s="440" t="n"/>
      <c r="OPQ82" s="440" t="n"/>
      <c r="OPR82" s="440" t="n"/>
      <c r="OPS82" s="440" t="n"/>
      <c r="OPT82" s="440" t="n"/>
      <c r="OPU82" s="440" t="n"/>
      <c r="OPV82" s="440" t="n"/>
      <c r="OPW82" s="440" t="n"/>
      <c r="OPX82" s="440" t="n"/>
      <c r="OPY82" s="440" t="n"/>
      <c r="OPZ82" s="440" t="n"/>
      <c r="OQA82" s="440" t="n"/>
      <c r="OQB82" s="440" t="n"/>
      <c r="OQC82" s="440" t="n"/>
      <c r="OQD82" s="440" t="n"/>
      <c r="OQE82" s="440" t="n"/>
      <c r="OQF82" s="440" t="n"/>
      <c r="OQG82" s="440" t="n"/>
      <c r="OQH82" s="440" t="n"/>
      <c r="OQI82" s="440" t="n"/>
      <c r="OQJ82" s="440" t="n"/>
      <c r="OQK82" s="440" t="n"/>
      <c r="OQL82" s="440" t="n"/>
      <c r="OQM82" s="440" t="n"/>
      <c r="OQN82" s="440" t="n"/>
      <c r="OQO82" s="440" t="n"/>
      <c r="OQP82" s="440" t="n"/>
      <c r="OQQ82" s="440" t="n"/>
      <c r="OQR82" s="440" t="n"/>
      <c r="OQS82" s="440" t="n"/>
      <c r="OQT82" s="440" t="n"/>
      <c r="OQU82" s="440" t="n"/>
      <c r="OQV82" s="440" t="n"/>
      <c r="OQW82" s="440" t="n"/>
      <c r="OQX82" s="440" t="n"/>
      <c r="OQY82" s="440" t="n"/>
      <c r="OQZ82" s="440" t="n"/>
      <c r="ORA82" s="440" t="n"/>
      <c r="ORB82" s="440" t="n"/>
      <c r="ORC82" s="440" t="n"/>
      <c r="ORD82" s="440" t="n"/>
      <c r="ORE82" s="440" t="n"/>
      <c r="ORF82" s="440" t="n"/>
      <c r="ORG82" s="440" t="n"/>
      <c r="ORH82" s="440" t="n"/>
      <c r="ORI82" s="440" t="n"/>
      <c r="ORJ82" s="440" t="n"/>
      <c r="ORK82" s="440" t="n"/>
      <c r="ORL82" s="440" t="n"/>
      <c r="ORM82" s="440" t="n"/>
      <c r="ORN82" s="440" t="n"/>
      <c r="ORO82" s="440" t="n"/>
      <c r="ORP82" s="440" t="n"/>
      <c r="ORQ82" s="440" t="n"/>
      <c r="ORR82" s="440" t="n"/>
      <c r="ORS82" s="440" t="n"/>
      <c r="ORT82" s="440" t="n"/>
      <c r="ORU82" s="440" t="n"/>
      <c r="ORV82" s="440" t="n"/>
      <c r="ORW82" s="440" t="n"/>
      <c r="ORX82" s="440" t="n"/>
      <c r="ORY82" s="440" t="n"/>
      <c r="ORZ82" s="440" t="n"/>
      <c r="OSA82" s="440" t="n"/>
      <c r="OSB82" s="440" t="n"/>
      <c r="OSC82" s="440" t="n"/>
      <c r="OSD82" s="440" t="n"/>
      <c r="OSE82" s="440" t="n"/>
      <c r="OSF82" s="440" t="n"/>
      <c r="OSG82" s="440" t="n"/>
      <c r="OSH82" s="440" t="n"/>
      <c r="OSI82" s="440" t="n"/>
      <c r="OSJ82" s="440" t="n"/>
      <c r="OSK82" s="440" t="n"/>
      <c r="OSL82" s="440" t="n"/>
      <c r="OSM82" s="440" t="n"/>
      <c r="OSN82" s="440" t="n"/>
      <c r="OSO82" s="440" t="n"/>
      <c r="OSP82" s="440" t="n"/>
      <c r="OSQ82" s="440" t="n"/>
      <c r="OSR82" s="440" t="n"/>
      <c r="OSS82" s="440" t="n"/>
      <c r="OST82" s="440" t="n"/>
      <c r="OSU82" s="440" t="n"/>
      <c r="OSV82" s="440" t="n"/>
      <c r="OSW82" s="440" t="n"/>
      <c r="OSX82" s="440" t="n"/>
      <c r="OSY82" s="440" t="n"/>
      <c r="OSZ82" s="440" t="n"/>
      <c r="OTA82" s="440" t="n"/>
      <c r="OTB82" s="440" t="n"/>
      <c r="OTC82" s="440" t="n"/>
      <c r="OTD82" s="440" t="n"/>
      <c r="OTE82" s="440" t="n"/>
      <c r="OTF82" s="440" t="n"/>
      <c r="OTG82" s="440" t="n"/>
      <c r="OTH82" s="440" t="n"/>
      <c r="OTI82" s="440" t="n"/>
      <c r="OTJ82" s="440" t="n"/>
      <c r="OTK82" s="440" t="n"/>
      <c r="OTL82" s="440" t="n"/>
      <c r="OTM82" s="440" t="n"/>
      <c r="OTN82" s="440" t="n"/>
      <c r="OTO82" s="440" t="n"/>
      <c r="OTP82" s="440" t="n"/>
      <c r="OTQ82" s="440" t="n"/>
      <c r="OTR82" s="440" t="n"/>
      <c r="OTS82" s="440" t="n"/>
      <c r="OTT82" s="440" t="n"/>
      <c r="OTU82" s="440" t="n"/>
      <c r="OTV82" s="440" t="n"/>
      <c r="OTW82" s="440" t="n"/>
      <c r="OTX82" s="440" t="n"/>
      <c r="OTY82" s="440" t="n"/>
      <c r="OTZ82" s="440" t="n"/>
      <c r="OUA82" s="440" t="n"/>
      <c r="OUB82" s="440" t="n"/>
      <c r="OUC82" s="440" t="n"/>
      <c r="OUD82" s="440" t="n"/>
      <c r="OUE82" s="440" t="n"/>
      <c r="OUF82" s="440" t="n"/>
      <c r="OUG82" s="440" t="n"/>
      <c r="OUH82" s="440" t="n"/>
      <c r="OUI82" s="440" t="n"/>
      <c r="OUJ82" s="440" t="n"/>
      <c r="OUK82" s="440" t="n"/>
      <c r="OUL82" s="440" t="n"/>
      <c r="OUM82" s="440" t="n"/>
      <c r="OUN82" s="440" t="n"/>
      <c r="OUO82" s="440" t="n"/>
      <c r="OUP82" s="440" t="n"/>
      <c r="OUQ82" s="440" t="n"/>
      <c r="OUR82" s="440" t="n"/>
      <c r="OUS82" s="440" t="n"/>
      <c r="OUT82" s="440" t="n"/>
      <c r="OUU82" s="440" t="n"/>
      <c r="OUV82" s="440" t="n"/>
      <c r="OUW82" s="440" t="n"/>
      <c r="OUX82" s="440" t="n"/>
      <c r="OUY82" s="440" t="n"/>
      <c r="OUZ82" s="440" t="n"/>
      <c r="OVA82" s="440" t="n"/>
      <c r="OVB82" s="440" t="n"/>
      <c r="OVC82" s="440" t="n"/>
      <c r="OVD82" s="440" t="n"/>
      <c r="OVE82" s="440" t="n"/>
      <c r="OVF82" s="440" t="n"/>
      <c r="OVG82" s="440" t="n"/>
      <c r="OVH82" s="440" t="n"/>
      <c r="OVI82" s="440" t="n"/>
      <c r="OVJ82" s="440" t="n"/>
      <c r="OVK82" s="440" t="n"/>
      <c r="OVL82" s="440" t="n"/>
      <c r="OVM82" s="440" t="n"/>
      <c r="OVN82" s="440" t="n"/>
      <c r="OVO82" s="440" t="n"/>
      <c r="OVP82" s="440" t="n"/>
      <c r="OVQ82" s="440" t="n"/>
      <c r="OVR82" s="440" t="n"/>
      <c r="OVS82" s="440" t="n"/>
      <c r="OVT82" s="440" t="n"/>
      <c r="OVU82" s="440" t="n"/>
      <c r="OVV82" s="440" t="n"/>
      <c r="OVW82" s="440" t="n"/>
      <c r="OVX82" s="440" t="n"/>
      <c r="OVY82" s="440" t="n"/>
      <c r="OVZ82" s="440" t="n"/>
      <c r="OWA82" s="440" t="n"/>
      <c r="OWB82" s="440" t="n"/>
      <c r="OWC82" s="440" t="n"/>
      <c r="OWD82" s="440" t="n"/>
      <c r="OWE82" s="440" t="n"/>
      <c r="OWF82" s="440" t="n"/>
      <c r="OWG82" s="440" t="n"/>
      <c r="OWH82" s="440" t="n"/>
      <c r="OWI82" s="440" t="n"/>
      <c r="OWJ82" s="440" t="n"/>
      <c r="OWK82" s="440" t="n"/>
      <c r="OWL82" s="440" t="n"/>
      <c r="OWM82" s="440" t="n"/>
      <c r="OWN82" s="440" t="n"/>
      <c r="OWO82" s="440" t="n"/>
      <c r="OWP82" s="440" t="n"/>
      <c r="OWQ82" s="440" t="n"/>
      <c r="OWR82" s="440" t="n"/>
      <c r="OWS82" s="440" t="n"/>
      <c r="OWT82" s="440" t="n"/>
      <c r="OWU82" s="440" t="n"/>
      <c r="OWV82" s="440" t="n"/>
      <c r="OWW82" s="440" t="n"/>
      <c r="OWX82" s="440" t="n"/>
      <c r="OWY82" s="440" t="n"/>
      <c r="OWZ82" s="440" t="n"/>
      <c r="OXA82" s="440" t="n"/>
      <c r="OXB82" s="440" t="n"/>
      <c r="OXC82" s="440" t="n"/>
      <c r="OXD82" s="440" t="n"/>
      <c r="OXE82" s="440" t="n"/>
      <c r="OXF82" s="440" t="n"/>
      <c r="OXG82" s="440" t="n"/>
      <c r="OXH82" s="440" t="n"/>
      <c r="OXI82" s="440" t="n"/>
      <c r="OXJ82" s="440" t="n"/>
      <c r="OXK82" s="440" t="n"/>
      <c r="OXL82" s="440" t="n"/>
      <c r="OXM82" s="440" t="n"/>
      <c r="OXN82" s="440" t="n"/>
      <c r="OXO82" s="440" t="n"/>
      <c r="OXP82" s="440" t="n"/>
      <c r="OXQ82" s="440" t="n"/>
      <c r="OXR82" s="440" t="n"/>
      <c r="OXS82" s="440" t="n"/>
      <c r="OXT82" s="440" t="n"/>
      <c r="OXU82" s="440" t="n"/>
      <c r="OXV82" s="440" t="n"/>
      <c r="OXW82" s="440" t="n"/>
      <c r="OXX82" s="440" t="n"/>
      <c r="OXY82" s="440" t="n"/>
      <c r="OXZ82" s="440" t="n"/>
      <c r="OYA82" s="440" t="n"/>
      <c r="OYB82" s="440" t="n"/>
      <c r="OYC82" s="440" t="n"/>
      <c r="OYD82" s="440" t="n"/>
      <c r="OYE82" s="440" t="n"/>
      <c r="OYF82" s="440" t="n"/>
      <c r="OYG82" s="440" t="n"/>
      <c r="OYH82" s="440" t="n"/>
      <c r="OYI82" s="440" t="n"/>
      <c r="OYJ82" s="440" t="n"/>
      <c r="OYK82" s="440" t="n"/>
      <c r="OYL82" s="440" t="n"/>
      <c r="OYM82" s="440" t="n"/>
      <c r="OYN82" s="440" t="n"/>
      <c r="OYO82" s="440" t="n"/>
      <c r="OYP82" s="440" t="n"/>
      <c r="OYQ82" s="440" t="n"/>
      <c r="OYR82" s="440" t="n"/>
      <c r="OYS82" s="440" t="n"/>
      <c r="OYT82" s="440" t="n"/>
      <c r="OYU82" s="440" t="n"/>
      <c r="OYV82" s="440" t="n"/>
      <c r="OYW82" s="440" t="n"/>
      <c r="OYX82" s="440" t="n"/>
      <c r="OYY82" s="440" t="n"/>
      <c r="OYZ82" s="440" t="n"/>
      <c r="OZA82" s="440" t="n"/>
      <c r="OZB82" s="440" t="n"/>
      <c r="OZC82" s="440" t="n"/>
      <c r="OZD82" s="440" t="n"/>
      <c r="OZE82" s="440" t="n"/>
      <c r="OZF82" s="440" t="n"/>
      <c r="OZG82" s="440" t="n"/>
      <c r="OZH82" s="440" t="n"/>
      <c r="OZI82" s="440" t="n"/>
      <c r="OZJ82" s="440" t="n"/>
      <c r="OZK82" s="440" t="n"/>
      <c r="OZL82" s="440" t="n"/>
      <c r="OZM82" s="440" t="n"/>
      <c r="OZN82" s="440" t="n"/>
      <c r="OZO82" s="440" t="n"/>
      <c r="OZP82" s="440" t="n"/>
      <c r="OZQ82" s="440" t="n"/>
      <c r="OZR82" s="440" t="n"/>
      <c r="OZS82" s="440" t="n"/>
      <c r="OZT82" s="440" t="n"/>
      <c r="OZU82" s="440" t="n"/>
      <c r="OZV82" s="440" t="n"/>
      <c r="OZW82" s="440" t="n"/>
      <c r="OZX82" s="440" t="n"/>
      <c r="OZY82" s="440" t="n"/>
      <c r="OZZ82" s="440" t="n"/>
      <c r="PAA82" s="440" t="n"/>
      <c r="PAB82" s="440" t="n"/>
      <c r="PAC82" s="440" t="n"/>
      <c r="PAD82" s="440" t="n"/>
      <c r="PAE82" s="440" t="n"/>
      <c r="PAF82" s="440" t="n"/>
      <c r="PAG82" s="440" t="n"/>
      <c r="PAH82" s="440" t="n"/>
      <c r="PAI82" s="440" t="n"/>
      <c r="PAJ82" s="440" t="n"/>
      <c r="PAK82" s="440" t="n"/>
      <c r="PAL82" s="440" t="n"/>
      <c r="PAM82" s="440" t="n"/>
      <c r="PAN82" s="440" t="n"/>
      <c r="PAO82" s="440" t="n"/>
      <c r="PAP82" s="440" t="n"/>
      <c r="PAQ82" s="440" t="n"/>
      <c r="PAR82" s="440" t="n"/>
      <c r="PAS82" s="440" t="n"/>
      <c r="PAT82" s="440" t="n"/>
      <c r="PAU82" s="440" t="n"/>
      <c r="PAV82" s="440" t="n"/>
      <c r="PAW82" s="440" t="n"/>
      <c r="PAX82" s="440" t="n"/>
      <c r="PAY82" s="440" t="n"/>
      <c r="PAZ82" s="440" t="n"/>
      <c r="PBA82" s="440" t="n"/>
      <c r="PBB82" s="440" t="n"/>
      <c r="PBC82" s="440" t="n"/>
      <c r="PBD82" s="440" t="n"/>
      <c r="PBE82" s="440" t="n"/>
      <c r="PBF82" s="440" t="n"/>
      <c r="PBG82" s="440" t="n"/>
      <c r="PBH82" s="440" t="n"/>
      <c r="PBI82" s="440" t="n"/>
      <c r="PBJ82" s="440" t="n"/>
      <c r="PBK82" s="440" t="n"/>
      <c r="PBL82" s="440" t="n"/>
      <c r="PBM82" s="440" t="n"/>
      <c r="PBN82" s="440" t="n"/>
      <c r="PBO82" s="440" t="n"/>
      <c r="PBP82" s="440" t="n"/>
      <c r="PBQ82" s="440" t="n"/>
      <c r="PBR82" s="440" t="n"/>
      <c r="PBS82" s="440" t="n"/>
      <c r="PBT82" s="440" t="n"/>
      <c r="PBU82" s="440" t="n"/>
      <c r="PBV82" s="440" t="n"/>
      <c r="PBW82" s="440" t="n"/>
      <c r="PBX82" s="440" t="n"/>
      <c r="PBY82" s="440" t="n"/>
      <c r="PBZ82" s="440" t="n"/>
      <c r="PCA82" s="440" t="n"/>
      <c r="PCB82" s="440" t="n"/>
      <c r="PCC82" s="440" t="n"/>
      <c r="PCD82" s="440" t="n"/>
      <c r="PCE82" s="440" t="n"/>
      <c r="PCF82" s="440" t="n"/>
      <c r="PCG82" s="440" t="n"/>
      <c r="PCH82" s="440" t="n"/>
      <c r="PCI82" s="440" t="n"/>
      <c r="PCJ82" s="440" t="n"/>
      <c r="PCK82" s="440" t="n"/>
      <c r="PCL82" s="440" t="n"/>
      <c r="PCM82" s="440" t="n"/>
      <c r="PCN82" s="440" t="n"/>
      <c r="PCO82" s="440" t="n"/>
      <c r="PCP82" s="440" t="n"/>
      <c r="PCQ82" s="440" t="n"/>
      <c r="PCR82" s="440" t="n"/>
      <c r="PCS82" s="440" t="n"/>
      <c r="PCT82" s="440" t="n"/>
      <c r="PCU82" s="440" t="n"/>
      <c r="PCV82" s="440" t="n"/>
      <c r="PCW82" s="440" t="n"/>
      <c r="PCX82" s="440" t="n"/>
      <c r="PCY82" s="440" t="n"/>
      <c r="PCZ82" s="440" t="n"/>
      <c r="PDA82" s="440" t="n"/>
      <c r="PDB82" s="440" t="n"/>
      <c r="PDC82" s="440" t="n"/>
      <c r="PDD82" s="440" t="n"/>
      <c r="PDE82" s="440" t="n"/>
      <c r="PDF82" s="440" t="n"/>
      <c r="PDG82" s="440" t="n"/>
      <c r="PDH82" s="440" t="n"/>
      <c r="PDI82" s="440" t="n"/>
      <c r="PDJ82" s="440" t="n"/>
      <c r="PDK82" s="440" t="n"/>
      <c r="PDL82" s="440" t="n"/>
      <c r="PDM82" s="440" t="n"/>
      <c r="PDN82" s="440" t="n"/>
      <c r="PDO82" s="440" t="n"/>
      <c r="PDP82" s="440" t="n"/>
      <c r="PDQ82" s="440" t="n"/>
      <c r="PDR82" s="440" t="n"/>
      <c r="PDS82" s="440" t="n"/>
      <c r="PDT82" s="440" t="n"/>
      <c r="PDU82" s="440" t="n"/>
      <c r="PDV82" s="440" t="n"/>
      <c r="PDW82" s="440" t="n"/>
      <c r="PDX82" s="440" t="n"/>
      <c r="PDY82" s="440" t="n"/>
      <c r="PDZ82" s="440" t="n"/>
      <c r="PEA82" s="440" t="n"/>
      <c r="PEB82" s="440" t="n"/>
      <c r="PEC82" s="440" t="n"/>
      <c r="PED82" s="440" t="n"/>
      <c r="PEE82" s="440" t="n"/>
      <c r="PEF82" s="440" t="n"/>
      <c r="PEG82" s="440" t="n"/>
      <c r="PEH82" s="440" t="n"/>
      <c r="PEI82" s="440" t="n"/>
      <c r="PEJ82" s="440" t="n"/>
      <c r="PEK82" s="440" t="n"/>
      <c r="PEL82" s="440" t="n"/>
      <c r="PEM82" s="440" t="n"/>
      <c r="PEN82" s="440" t="n"/>
      <c r="PEO82" s="440" t="n"/>
      <c r="PEP82" s="440" t="n"/>
      <c r="PEQ82" s="440" t="n"/>
      <c r="PER82" s="440" t="n"/>
      <c r="PES82" s="440" t="n"/>
      <c r="PET82" s="440" t="n"/>
      <c r="PEU82" s="440" t="n"/>
      <c r="PEV82" s="440" t="n"/>
      <c r="PEW82" s="440" t="n"/>
      <c r="PEX82" s="440" t="n"/>
      <c r="PEY82" s="440" t="n"/>
      <c r="PEZ82" s="440" t="n"/>
      <c r="PFA82" s="440" t="n"/>
      <c r="PFB82" s="440" t="n"/>
      <c r="PFC82" s="440" t="n"/>
      <c r="PFD82" s="440" t="n"/>
      <c r="PFE82" s="440" t="n"/>
      <c r="PFF82" s="440" t="n"/>
      <c r="PFG82" s="440" t="n"/>
      <c r="PFH82" s="440" t="n"/>
      <c r="PFI82" s="440" t="n"/>
      <c r="PFJ82" s="440" t="n"/>
      <c r="PFK82" s="440" t="n"/>
      <c r="PFL82" s="440" t="n"/>
      <c r="PFM82" s="440" t="n"/>
      <c r="PFN82" s="440" t="n"/>
      <c r="PFO82" s="440" t="n"/>
      <c r="PFP82" s="440" t="n"/>
      <c r="PFQ82" s="440" t="n"/>
      <c r="PFR82" s="440" t="n"/>
      <c r="PFS82" s="440" t="n"/>
      <c r="PFT82" s="440" t="n"/>
      <c r="PFU82" s="440" t="n"/>
      <c r="PFV82" s="440" t="n"/>
      <c r="PFW82" s="440" t="n"/>
      <c r="PFX82" s="440" t="n"/>
      <c r="PFY82" s="440" t="n"/>
      <c r="PFZ82" s="440" t="n"/>
      <c r="PGA82" s="440" t="n"/>
      <c r="PGB82" s="440" t="n"/>
      <c r="PGC82" s="440" t="n"/>
      <c r="PGD82" s="440" t="n"/>
      <c r="PGE82" s="440" t="n"/>
      <c r="PGF82" s="440" t="n"/>
      <c r="PGG82" s="440" t="n"/>
      <c r="PGH82" s="440" t="n"/>
      <c r="PGI82" s="440" t="n"/>
      <c r="PGJ82" s="440" t="n"/>
      <c r="PGK82" s="440" t="n"/>
      <c r="PGL82" s="440" t="n"/>
      <c r="PGM82" s="440" t="n"/>
      <c r="PGN82" s="440" t="n"/>
      <c r="PGO82" s="440" t="n"/>
      <c r="PGP82" s="440" t="n"/>
      <c r="PGQ82" s="440" t="n"/>
      <c r="PGR82" s="440" t="n"/>
      <c r="PGS82" s="440" t="n"/>
      <c r="PGT82" s="440" t="n"/>
      <c r="PGU82" s="440" t="n"/>
      <c r="PGV82" s="440" t="n"/>
      <c r="PGW82" s="440" t="n"/>
      <c r="PGX82" s="440" t="n"/>
      <c r="PGY82" s="440" t="n"/>
      <c r="PGZ82" s="440" t="n"/>
      <c r="PHA82" s="440" t="n"/>
      <c r="PHB82" s="440" t="n"/>
      <c r="PHC82" s="440" t="n"/>
      <c r="PHD82" s="440" t="n"/>
      <c r="PHE82" s="440" t="n"/>
      <c r="PHF82" s="440" t="n"/>
      <c r="PHG82" s="440" t="n"/>
      <c r="PHH82" s="440" t="n"/>
      <c r="PHI82" s="440" t="n"/>
      <c r="PHJ82" s="440" t="n"/>
      <c r="PHK82" s="440" t="n"/>
      <c r="PHL82" s="440" t="n"/>
      <c r="PHM82" s="440" t="n"/>
      <c r="PHN82" s="440" t="n"/>
      <c r="PHO82" s="440" t="n"/>
      <c r="PHP82" s="440" t="n"/>
      <c r="PHQ82" s="440" t="n"/>
      <c r="PHR82" s="440" t="n"/>
      <c r="PHS82" s="440" t="n"/>
      <c r="PHT82" s="440" t="n"/>
      <c r="PHU82" s="440" t="n"/>
      <c r="PHV82" s="440" t="n"/>
      <c r="PHW82" s="440" t="n"/>
      <c r="PHX82" s="440" t="n"/>
      <c r="PHY82" s="440" t="n"/>
      <c r="PHZ82" s="440" t="n"/>
      <c r="PIA82" s="440" t="n"/>
      <c r="PIB82" s="440" t="n"/>
      <c r="PIC82" s="440" t="n"/>
      <c r="PID82" s="440" t="n"/>
      <c r="PIE82" s="440" t="n"/>
      <c r="PIF82" s="440" t="n"/>
      <c r="PIG82" s="440" t="n"/>
      <c r="PIH82" s="440" t="n"/>
      <c r="PII82" s="440" t="n"/>
      <c r="PIJ82" s="440" t="n"/>
      <c r="PIK82" s="440" t="n"/>
      <c r="PIL82" s="440" t="n"/>
      <c r="PIM82" s="440" t="n"/>
      <c r="PIN82" s="440" t="n"/>
      <c r="PIO82" s="440" t="n"/>
      <c r="PIP82" s="440" t="n"/>
      <c r="PIQ82" s="440" t="n"/>
      <c r="PIR82" s="440" t="n"/>
      <c r="PIS82" s="440" t="n"/>
      <c r="PIT82" s="440" t="n"/>
      <c r="PIU82" s="440" t="n"/>
      <c r="PIV82" s="440" t="n"/>
      <c r="PIW82" s="440" t="n"/>
      <c r="PIX82" s="440" t="n"/>
      <c r="PIY82" s="440" t="n"/>
      <c r="PIZ82" s="440" t="n"/>
      <c r="PJA82" s="440" t="n"/>
      <c r="PJB82" s="440" t="n"/>
      <c r="PJC82" s="440" t="n"/>
      <c r="PJD82" s="440" t="n"/>
      <c r="PJE82" s="440" t="n"/>
      <c r="PJF82" s="440" t="n"/>
      <c r="PJG82" s="440" t="n"/>
      <c r="PJH82" s="440" t="n"/>
      <c r="PJI82" s="440" t="n"/>
      <c r="PJJ82" s="440" t="n"/>
      <c r="PJK82" s="440" t="n"/>
      <c r="PJL82" s="440" t="n"/>
      <c r="PJM82" s="440" t="n"/>
      <c r="PJN82" s="440" t="n"/>
      <c r="PJO82" s="440" t="n"/>
      <c r="PJP82" s="440" t="n"/>
      <c r="PJQ82" s="440" t="n"/>
      <c r="PJR82" s="440" t="n"/>
      <c r="PJS82" s="440" t="n"/>
      <c r="PJT82" s="440" t="n"/>
      <c r="PJU82" s="440" t="n"/>
      <c r="PJV82" s="440" t="n"/>
      <c r="PJW82" s="440" t="n"/>
      <c r="PJX82" s="440" t="n"/>
      <c r="PJY82" s="440" t="n"/>
      <c r="PJZ82" s="440" t="n"/>
      <c r="PKA82" s="440" t="n"/>
      <c r="PKB82" s="440" t="n"/>
      <c r="PKC82" s="440" t="n"/>
      <c r="PKD82" s="440" t="n"/>
      <c r="PKE82" s="440" t="n"/>
      <c r="PKF82" s="440" t="n"/>
      <c r="PKG82" s="440" t="n"/>
      <c r="PKH82" s="440" t="n"/>
      <c r="PKI82" s="440" t="n"/>
      <c r="PKJ82" s="440" t="n"/>
      <c r="PKK82" s="440" t="n"/>
      <c r="PKL82" s="440" t="n"/>
      <c r="PKM82" s="440" t="n"/>
      <c r="PKN82" s="440" t="n"/>
      <c r="PKO82" s="440" t="n"/>
      <c r="PKP82" s="440" t="n"/>
      <c r="PKQ82" s="440" t="n"/>
      <c r="PKR82" s="440" t="n"/>
      <c r="PKS82" s="440" t="n"/>
      <c r="PKT82" s="440" t="n"/>
      <c r="PKU82" s="440" t="n"/>
      <c r="PKV82" s="440" t="n"/>
      <c r="PKW82" s="440" t="n"/>
      <c r="PKX82" s="440" t="n"/>
      <c r="PKY82" s="440" t="n"/>
      <c r="PKZ82" s="440" t="n"/>
      <c r="PLA82" s="440" t="n"/>
      <c r="PLB82" s="440" t="n"/>
      <c r="PLC82" s="440" t="n"/>
      <c r="PLD82" s="440" t="n"/>
      <c r="PLE82" s="440" t="n"/>
      <c r="PLF82" s="440" t="n"/>
      <c r="PLG82" s="440" t="n"/>
      <c r="PLH82" s="440" t="n"/>
      <c r="PLI82" s="440" t="n"/>
      <c r="PLJ82" s="440" t="n"/>
      <c r="PLK82" s="440" t="n"/>
      <c r="PLL82" s="440" t="n"/>
      <c r="PLM82" s="440" t="n"/>
      <c r="PLN82" s="440" t="n"/>
      <c r="PLO82" s="440" t="n"/>
      <c r="PLP82" s="440" t="n"/>
      <c r="PLQ82" s="440" t="n"/>
      <c r="PLR82" s="440" t="n"/>
      <c r="PLS82" s="440" t="n"/>
      <c r="PLT82" s="440" t="n"/>
      <c r="PLU82" s="440" t="n"/>
      <c r="PLV82" s="440" t="n"/>
      <c r="PLW82" s="440" t="n"/>
      <c r="PLX82" s="440" t="n"/>
      <c r="PLY82" s="440" t="n"/>
      <c r="PLZ82" s="440" t="n"/>
      <c r="PMA82" s="440" t="n"/>
      <c r="PMB82" s="440" t="n"/>
      <c r="PMC82" s="440" t="n"/>
      <c r="PMD82" s="440" t="n"/>
      <c r="PME82" s="440" t="n"/>
      <c r="PMF82" s="440" t="n"/>
      <c r="PMG82" s="440" t="n"/>
      <c r="PMH82" s="440" t="n"/>
      <c r="PMI82" s="440" t="n"/>
      <c r="PMJ82" s="440" t="n"/>
      <c r="PMK82" s="440" t="n"/>
      <c r="PML82" s="440" t="n"/>
      <c r="PMM82" s="440" t="n"/>
      <c r="PMN82" s="440" t="n"/>
      <c r="PMO82" s="440" t="n"/>
      <c r="PMP82" s="440" t="n"/>
      <c r="PMQ82" s="440" t="n"/>
      <c r="PMR82" s="440" t="n"/>
      <c r="PMS82" s="440" t="n"/>
      <c r="PMT82" s="440" t="n"/>
      <c r="PMU82" s="440" t="n"/>
      <c r="PMV82" s="440" t="n"/>
      <c r="PMW82" s="440" t="n"/>
      <c r="PMX82" s="440" t="n"/>
      <c r="PMY82" s="440" t="n"/>
      <c r="PMZ82" s="440" t="n"/>
      <c r="PNA82" s="440" t="n"/>
      <c r="PNB82" s="440" t="n"/>
      <c r="PNC82" s="440" t="n"/>
      <c r="PND82" s="440" t="n"/>
      <c r="PNE82" s="440" t="n"/>
      <c r="PNF82" s="440" t="n"/>
      <c r="PNG82" s="440" t="n"/>
      <c r="PNH82" s="440" t="n"/>
      <c r="PNI82" s="440" t="n"/>
      <c r="PNJ82" s="440" t="n"/>
      <c r="PNK82" s="440" t="n"/>
      <c r="PNL82" s="440" t="n"/>
      <c r="PNM82" s="440" t="n"/>
      <c r="PNN82" s="440" t="n"/>
      <c r="PNO82" s="440" t="n"/>
      <c r="PNP82" s="440" t="n"/>
      <c r="PNQ82" s="440" t="n"/>
      <c r="PNR82" s="440" t="n"/>
      <c r="PNS82" s="440" t="n"/>
      <c r="PNT82" s="440" t="n"/>
      <c r="PNU82" s="440" t="n"/>
      <c r="PNV82" s="440" t="n"/>
      <c r="PNW82" s="440" t="n"/>
      <c r="PNX82" s="440" t="n"/>
      <c r="PNY82" s="440" t="n"/>
      <c r="PNZ82" s="440" t="n"/>
      <c r="POA82" s="440" t="n"/>
      <c r="POB82" s="440" t="n"/>
      <c r="POC82" s="440" t="n"/>
      <c r="POD82" s="440" t="n"/>
      <c r="POE82" s="440" t="n"/>
      <c r="POF82" s="440" t="n"/>
      <c r="POG82" s="440" t="n"/>
      <c r="POH82" s="440" t="n"/>
      <c r="POI82" s="440" t="n"/>
      <c r="POJ82" s="440" t="n"/>
      <c r="POK82" s="440" t="n"/>
      <c r="POL82" s="440" t="n"/>
      <c r="POM82" s="440" t="n"/>
      <c r="PON82" s="440" t="n"/>
      <c r="POO82" s="440" t="n"/>
      <c r="POP82" s="440" t="n"/>
      <c r="POQ82" s="440" t="n"/>
      <c r="POR82" s="440" t="n"/>
      <c r="POS82" s="440" t="n"/>
      <c r="POT82" s="440" t="n"/>
      <c r="POU82" s="440" t="n"/>
      <c r="POV82" s="440" t="n"/>
      <c r="POW82" s="440" t="n"/>
      <c r="POX82" s="440" t="n"/>
      <c r="POY82" s="440" t="n"/>
      <c r="POZ82" s="440" t="n"/>
      <c r="PPA82" s="440" t="n"/>
      <c r="PPB82" s="440" t="n"/>
      <c r="PPC82" s="440" t="n"/>
      <c r="PPD82" s="440" t="n"/>
      <c r="PPE82" s="440" t="n"/>
      <c r="PPF82" s="440" t="n"/>
      <c r="PPG82" s="440" t="n"/>
      <c r="PPH82" s="440" t="n"/>
      <c r="PPI82" s="440" t="n"/>
      <c r="PPJ82" s="440" t="n"/>
      <c r="PPK82" s="440" t="n"/>
      <c r="PPL82" s="440" t="n"/>
      <c r="PPM82" s="440" t="n"/>
      <c r="PPN82" s="440" t="n"/>
      <c r="PPO82" s="440" t="n"/>
      <c r="PPP82" s="440" t="n"/>
      <c r="PPQ82" s="440" t="n"/>
      <c r="PPR82" s="440" t="n"/>
      <c r="PPS82" s="440" t="n"/>
      <c r="PPT82" s="440" t="n"/>
      <c r="PPU82" s="440" t="n"/>
      <c r="PPV82" s="440" t="n"/>
      <c r="PPW82" s="440" t="n"/>
      <c r="PPX82" s="440" t="n"/>
      <c r="PPY82" s="440" t="n"/>
      <c r="PPZ82" s="440" t="n"/>
      <c r="PQA82" s="440" t="n"/>
      <c r="PQB82" s="440" t="n"/>
      <c r="PQC82" s="440" t="n"/>
      <c r="PQD82" s="440" t="n"/>
      <c r="PQE82" s="440" t="n"/>
      <c r="PQF82" s="440" t="n"/>
      <c r="PQG82" s="440" t="n"/>
      <c r="PQH82" s="440" t="n"/>
      <c r="PQI82" s="440" t="n"/>
      <c r="PQJ82" s="440" t="n"/>
      <c r="PQK82" s="440" t="n"/>
      <c r="PQL82" s="440" t="n"/>
      <c r="PQM82" s="440" t="n"/>
      <c r="PQN82" s="440" t="n"/>
      <c r="PQO82" s="440" t="n"/>
      <c r="PQP82" s="440" t="n"/>
      <c r="PQQ82" s="440" t="n"/>
      <c r="PQR82" s="440" t="n"/>
      <c r="PQS82" s="440" t="n"/>
      <c r="PQT82" s="440" t="n"/>
      <c r="PQU82" s="440" t="n"/>
      <c r="PQV82" s="440" t="n"/>
      <c r="PQW82" s="440" t="n"/>
      <c r="PQX82" s="440" t="n"/>
      <c r="PQY82" s="440" t="n"/>
      <c r="PQZ82" s="440" t="n"/>
      <c r="PRA82" s="440" t="n"/>
      <c r="PRB82" s="440" t="n"/>
      <c r="PRC82" s="440" t="n"/>
      <c r="PRD82" s="440" t="n"/>
      <c r="PRE82" s="440" t="n"/>
      <c r="PRF82" s="440" t="n"/>
      <c r="PRG82" s="440" t="n"/>
      <c r="PRH82" s="440" t="n"/>
      <c r="PRI82" s="440" t="n"/>
      <c r="PRJ82" s="440" t="n"/>
      <c r="PRK82" s="440" t="n"/>
      <c r="PRL82" s="440" t="n"/>
      <c r="PRM82" s="440" t="n"/>
      <c r="PRN82" s="440" t="n"/>
      <c r="PRO82" s="440" t="n"/>
      <c r="PRP82" s="440" t="n"/>
      <c r="PRQ82" s="440" t="n"/>
      <c r="PRR82" s="440" t="n"/>
      <c r="PRS82" s="440" t="n"/>
      <c r="PRT82" s="440" t="n"/>
      <c r="PRU82" s="440" t="n"/>
      <c r="PRV82" s="440" t="n"/>
      <c r="PRW82" s="440" t="n"/>
      <c r="PRX82" s="440" t="n"/>
      <c r="PRY82" s="440" t="n"/>
      <c r="PRZ82" s="440" t="n"/>
      <c r="PSA82" s="440" t="n"/>
      <c r="PSB82" s="440" t="n"/>
      <c r="PSC82" s="440" t="n"/>
      <c r="PSD82" s="440" t="n"/>
      <c r="PSE82" s="440" t="n"/>
      <c r="PSF82" s="440" t="n"/>
      <c r="PSG82" s="440" t="n"/>
      <c r="PSH82" s="440" t="n"/>
      <c r="PSI82" s="440" t="n"/>
      <c r="PSJ82" s="440" t="n"/>
      <c r="PSK82" s="440" t="n"/>
      <c r="PSL82" s="440" t="n"/>
      <c r="PSM82" s="440" t="n"/>
      <c r="PSN82" s="440" t="n"/>
      <c r="PSO82" s="440" t="n"/>
      <c r="PSP82" s="440" t="n"/>
      <c r="PSQ82" s="440" t="n"/>
      <c r="PSR82" s="440" t="n"/>
      <c r="PSS82" s="440" t="n"/>
      <c r="PST82" s="440" t="n"/>
      <c r="PSU82" s="440" t="n"/>
      <c r="PSV82" s="440" t="n"/>
      <c r="PSW82" s="440" t="n"/>
      <c r="PSX82" s="440" t="n"/>
      <c r="PSY82" s="440" t="n"/>
      <c r="PSZ82" s="440" t="n"/>
      <c r="PTA82" s="440" t="n"/>
      <c r="PTB82" s="440" t="n"/>
      <c r="PTC82" s="440" t="n"/>
      <c r="PTD82" s="440" t="n"/>
      <c r="PTE82" s="440" t="n"/>
      <c r="PTF82" s="440" t="n"/>
      <c r="PTG82" s="440" t="n"/>
      <c r="PTH82" s="440" t="n"/>
      <c r="PTI82" s="440" t="n"/>
      <c r="PTJ82" s="440" t="n"/>
      <c r="PTK82" s="440" t="n"/>
      <c r="PTL82" s="440" t="n"/>
      <c r="PTM82" s="440" t="n"/>
      <c r="PTN82" s="440" t="n"/>
      <c r="PTO82" s="440" t="n"/>
      <c r="PTP82" s="440" t="n"/>
      <c r="PTQ82" s="440" t="n"/>
      <c r="PTR82" s="440" t="n"/>
      <c r="PTS82" s="440" t="n"/>
      <c r="PTT82" s="440" t="n"/>
      <c r="PTU82" s="440" t="n"/>
      <c r="PTV82" s="440" t="n"/>
      <c r="PTW82" s="440" t="n"/>
      <c r="PTX82" s="440" t="n"/>
      <c r="PTY82" s="440" t="n"/>
      <c r="PTZ82" s="440" t="n"/>
      <c r="PUA82" s="440" t="n"/>
      <c r="PUB82" s="440" t="n"/>
      <c r="PUC82" s="440" t="n"/>
      <c r="PUD82" s="440" t="n"/>
      <c r="PUE82" s="440" t="n"/>
      <c r="PUF82" s="440" t="n"/>
      <c r="PUG82" s="440" t="n"/>
      <c r="PUH82" s="440" t="n"/>
      <c r="PUI82" s="440" t="n"/>
      <c r="PUJ82" s="440" t="n"/>
      <c r="PUK82" s="440" t="n"/>
      <c r="PUL82" s="440" t="n"/>
      <c r="PUM82" s="440" t="n"/>
      <c r="PUN82" s="440" t="n"/>
      <c r="PUO82" s="440" t="n"/>
      <c r="PUP82" s="440" t="n"/>
      <c r="PUQ82" s="440" t="n"/>
      <c r="PUR82" s="440" t="n"/>
      <c r="PUS82" s="440" t="n"/>
      <c r="PUT82" s="440" t="n"/>
      <c r="PUU82" s="440" t="n"/>
      <c r="PUV82" s="440" t="n"/>
      <c r="PUW82" s="440" t="n"/>
      <c r="PUX82" s="440" t="n"/>
      <c r="PUY82" s="440" t="n"/>
      <c r="PUZ82" s="440" t="n"/>
      <c r="PVA82" s="440" t="n"/>
      <c r="PVB82" s="440" t="n"/>
      <c r="PVC82" s="440" t="n"/>
      <c r="PVD82" s="440" t="n"/>
      <c r="PVE82" s="440" t="n"/>
      <c r="PVF82" s="440" t="n"/>
      <c r="PVG82" s="440" t="n"/>
      <c r="PVH82" s="440" t="n"/>
      <c r="PVI82" s="440" t="n"/>
      <c r="PVJ82" s="440" t="n"/>
      <c r="PVK82" s="440" t="n"/>
      <c r="PVL82" s="440" t="n"/>
      <c r="PVM82" s="440" t="n"/>
      <c r="PVN82" s="440" t="n"/>
      <c r="PVO82" s="440" t="n"/>
      <c r="PVP82" s="440" t="n"/>
      <c r="PVQ82" s="440" t="n"/>
      <c r="PVR82" s="440" t="n"/>
      <c r="PVS82" s="440" t="n"/>
      <c r="PVT82" s="440" t="n"/>
      <c r="PVU82" s="440" t="n"/>
      <c r="PVV82" s="440" t="n"/>
      <c r="PVW82" s="440" t="n"/>
      <c r="PVX82" s="440" t="n"/>
      <c r="PVY82" s="440" t="n"/>
      <c r="PVZ82" s="440" t="n"/>
      <c r="PWA82" s="440" t="n"/>
      <c r="PWB82" s="440" t="n"/>
      <c r="PWC82" s="440" t="n"/>
      <c r="PWD82" s="440" t="n"/>
      <c r="PWE82" s="440" t="n"/>
      <c r="PWF82" s="440" t="n"/>
      <c r="PWG82" s="440" t="n"/>
      <c r="PWH82" s="440" t="n"/>
      <c r="PWI82" s="440" t="n"/>
      <c r="PWJ82" s="440" t="n"/>
      <c r="PWK82" s="440" t="n"/>
      <c r="PWL82" s="440" t="n"/>
      <c r="PWM82" s="440" t="n"/>
      <c r="PWN82" s="440" t="n"/>
      <c r="PWO82" s="440" t="n"/>
      <c r="PWP82" s="440" t="n"/>
      <c r="PWQ82" s="440" t="n"/>
      <c r="PWR82" s="440" t="n"/>
      <c r="PWS82" s="440" t="n"/>
      <c r="PWT82" s="440" t="n"/>
      <c r="PWU82" s="440" t="n"/>
      <c r="PWV82" s="440" t="n"/>
      <c r="PWW82" s="440" t="n"/>
      <c r="PWX82" s="440" t="n"/>
      <c r="PWY82" s="440" t="n"/>
      <c r="PWZ82" s="440" t="n"/>
      <c r="PXA82" s="440" t="n"/>
      <c r="PXB82" s="440" t="n"/>
      <c r="PXC82" s="440" t="n"/>
      <c r="PXD82" s="440" t="n"/>
      <c r="PXE82" s="440" t="n"/>
      <c r="PXF82" s="440" t="n"/>
      <c r="PXG82" s="440" t="n"/>
      <c r="PXH82" s="440" t="n"/>
      <c r="PXI82" s="440" t="n"/>
      <c r="PXJ82" s="440" t="n"/>
      <c r="PXK82" s="440" t="n"/>
      <c r="PXL82" s="440" t="n"/>
      <c r="PXM82" s="440" t="n"/>
      <c r="PXN82" s="440" t="n"/>
      <c r="PXO82" s="440" t="n"/>
      <c r="PXP82" s="440" t="n"/>
      <c r="PXQ82" s="440" t="n"/>
      <c r="PXR82" s="440" t="n"/>
      <c r="PXS82" s="440" t="n"/>
      <c r="PXT82" s="440" t="n"/>
      <c r="PXU82" s="440" t="n"/>
      <c r="PXV82" s="440" t="n"/>
      <c r="PXW82" s="440" t="n"/>
      <c r="PXX82" s="440" t="n"/>
      <c r="PXY82" s="440" t="n"/>
      <c r="PXZ82" s="440" t="n"/>
      <c r="PYA82" s="440" t="n"/>
      <c r="PYB82" s="440" t="n"/>
      <c r="PYC82" s="440" t="n"/>
      <c r="PYD82" s="440" t="n"/>
      <c r="PYE82" s="440" t="n"/>
      <c r="PYF82" s="440" t="n"/>
      <c r="PYG82" s="440" t="n"/>
      <c r="PYH82" s="440" t="n"/>
      <c r="PYI82" s="440" t="n"/>
      <c r="PYJ82" s="440" t="n"/>
      <c r="PYK82" s="440" t="n"/>
      <c r="PYL82" s="440" t="n"/>
      <c r="PYM82" s="440" t="n"/>
      <c r="PYN82" s="440" t="n"/>
      <c r="PYO82" s="440" t="n"/>
      <c r="PYP82" s="440" t="n"/>
      <c r="PYQ82" s="440" t="n"/>
      <c r="PYR82" s="440" t="n"/>
      <c r="PYS82" s="440" t="n"/>
      <c r="PYT82" s="440" t="n"/>
      <c r="PYU82" s="440" t="n"/>
      <c r="PYV82" s="440" t="n"/>
      <c r="PYW82" s="440" t="n"/>
      <c r="PYX82" s="440" t="n"/>
      <c r="PYY82" s="440" t="n"/>
      <c r="PYZ82" s="440" t="n"/>
      <c r="PZA82" s="440" t="n"/>
      <c r="PZB82" s="440" t="n"/>
      <c r="PZC82" s="440" t="n"/>
      <c r="PZD82" s="440" t="n"/>
      <c r="PZE82" s="440" t="n"/>
      <c r="PZF82" s="440" t="n"/>
      <c r="PZG82" s="440" t="n"/>
      <c r="PZH82" s="440" t="n"/>
      <c r="PZI82" s="440" t="n"/>
      <c r="PZJ82" s="440" t="n"/>
      <c r="PZK82" s="440" t="n"/>
      <c r="PZL82" s="440" t="n"/>
      <c r="PZM82" s="440" t="n"/>
      <c r="PZN82" s="440" t="n"/>
      <c r="PZO82" s="440" t="n"/>
      <c r="PZP82" s="440" t="n"/>
      <c r="PZQ82" s="440" t="n"/>
      <c r="PZR82" s="440" t="n"/>
      <c r="PZS82" s="440" t="n"/>
      <c r="PZT82" s="440" t="n"/>
      <c r="PZU82" s="440" t="n"/>
      <c r="PZV82" s="440" t="n"/>
      <c r="PZW82" s="440" t="n"/>
      <c r="PZX82" s="440" t="n"/>
      <c r="PZY82" s="440" t="n"/>
      <c r="PZZ82" s="440" t="n"/>
      <c r="QAA82" s="440" t="n"/>
      <c r="QAB82" s="440" t="n"/>
      <c r="QAC82" s="440" t="n"/>
      <c r="QAD82" s="440" t="n"/>
      <c r="QAE82" s="440" t="n"/>
      <c r="QAF82" s="440" t="n"/>
      <c r="QAG82" s="440" t="n"/>
      <c r="QAH82" s="440" t="n"/>
      <c r="QAI82" s="440" t="n"/>
      <c r="QAJ82" s="440" t="n"/>
      <c r="QAK82" s="440" t="n"/>
      <c r="QAL82" s="440" t="n"/>
      <c r="QAM82" s="440" t="n"/>
      <c r="QAN82" s="440" t="n"/>
      <c r="QAO82" s="440" t="n"/>
      <c r="QAP82" s="440" t="n"/>
      <c r="QAQ82" s="440" t="n"/>
      <c r="QAR82" s="440" t="n"/>
      <c r="QAS82" s="440" t="n"/>
      <c r="QAT82" s="440" t="n"/>
      <c r="QAU82" s="440" t="n"/>
      <c r="QAV82" s="440" t="n"/>
      <c r="QAW82" s="440" t="n"/>
      <c r="QAX82" s="440" t="n"/>
      <c r="QAY82" s="440" t="n"/>
      <c r="QAZ82" s="440" t="n"/>
      <c r="QBA82" s="440" t="n"/>
      <c r="QBB82" s="440" t="n"/>
      <c r="QBC82" s="440" t="n"/>
      <c r="QBD82" s="440" t="n"/>
      <c r="QBE82" s="440" t="n"/>
      <c r="QBF82" s="440" t="n"/>
      <c r="QBG82" s="440" t="n"/>
      <c r="QBH82" s="440" t="n"/>
      <c r="QBI82" s="440" t="n"/>
      <c r="QBJ82" s="440" t="n"/>
      <c r="QBK82" s="440" t="n"/>
      <c r="QBL82" s="440" t="n"/>
      <c r="QBM82" s="440" t="n"/>
      <c r="QBN82" s="440" t="n"/>
      <c r="QBO82" s="440" t="n"/>
      <c r="QBP82" s="440" t="n"/>
      <c r="QBQ82" s="440" t="n"/>
      <c r="QBR82" s="440" t="n"/>
      <c r="QBS82" s="440" t="n"/>
      <c r="QBT82" s="440" t="n"/>
      <c r="QBU82" s="440" t="n"/>
      <c r="QBV82" s="440" t="n"/>
      <c r="QBW82" s="440" t="n"/>
      <c r="QBX82" s="440" t="n"/>
      <c r="QBY82" s="440" t="n"/>
      <c r="QBZ82" s="440" t="n"/>
      <c r="QCA82" s="440" t="n"/>
      <c r="QCB82" s="440" t="n"/>
      <c r="QCC82" s="440" t="n"/>
      <c r="QCD82" s="440" t="n"/>
      <c r="QCE82" s="440" t="n"/>
      <c r="QCF82" s="440" t="n"/>
      <c r="QCG82" s="440" t="n"/>
      <c r="QCH82" s="440" t="n"/>
      <c r="QCI82" s="440" t="n"/>
      <c r="QCJ82" s="440" t="n"/>
      <c r="QCK82" s="440" t="n"/>
      <c r="QCL82" s="440" t="n"/>
      <c r="QCM82" s="440" t="n"/>
      <c r="QCN82" s="440" t="n"/>
      <c r="QCO82" s="440" t="n"/>
      <c r="QCP82" s="440" t="n"/>
      <c r="QCQ82" s="440" t="n"/>
      <c r="QCR82" s="440" t="n"/>
      <c r="QCS82" s="440" t="n"/>
      <c r="QCT82" s="440" t="n"/>
      <c r="QCU82" s="440" t="n"/>
      <c r="QCV82" s="440" t="n"/>
      <c r="QCW82" s="440" t="n"/>
      <c r="QCX82" s="440" t="n"/>
      <c r="QCY82" s="440" t="n"/>
      <c r="QCZ82" s="440" t="n"/>
      <c r="QDA82" s="440" t="n"/>
      <c r="QDB82" s="440" t="n"/>
      <c r="QDC82" s="440" t="n"/>
      <c r="QDD82" s="440" t="n"/>
      <c r="QDE82" s="440" t="n"/>
      <c r="QDF82" s="440" t="n"/>
      <c r="QDG82" s="440" t="n"/>
      <c r="QDH82" s="440" t="n"/>
      <c r="QDI82" s="440" t="n"/>
      <c r="QDJ82" s="440" t="n"/>
      <c r="QDK82" s="440" t="n"/>
      <c r="QDL82" s="440" t="n"/>
      <c r="QDM82" s="440" t="n"/>
      <c r="QDN82" s="440" t="n"/>
      <c r="QDO82" s="440" t="n"/>
      <c r="QDP82" s="440" t="n"/>
      <c r="QDQ82" s="440" t="n"/>
      <c r="QDR82" s="440" t="n"/>
      <c r="QDS82" s="440" t="n"/>
      <c r="QDT82" s="440" t="n"/>
      <c r="QDU82" s="440" t="n"/>
      <c r="QDV82" s="440" t="n"/>
      <c r="QDW82" s="440" t="n"/>
      <c r="QDX82" s="440" t="n"/>
      <c r="QDY82" s="440" t="n"/>
      <c r="QDZ82" s="440" t="n"/>
      <c r="QEA82" s="440" t="n"/>
      <c r="QEB82" s="440" t="n"/>
      <c r="QEC82" s="440" t="n"/>
      <c r="QED82" s="440" t="n"/>
      <c r="QEE82" s="440" t="n"/>
      <c r="QEF82" s="440" t="n"/>
      <c r="QEG82" s="440" t="n"/>
      <c r="QEH82" s="440" t="n"/>
      <c r="QEI82" s="440" t="n"/>
      <c r="QEJ82" s="440" t="n"/>
      <c r="QEK82" s="440" t="n"/>
      <c r="QEL82" s="440" t="n"/>
      <c r="QEM82" s="440" t="n"/>
      <c r="QEN82" s="440" t="n"/>
      <c r="QEO82" s="440" t="n"/>
      <c r="QEP82" s="440" t="n"/>
      <c r="QEQ82" s="440" t="n"/>
      <c r="QER82" s="440" t="n"/>
      <c r="QES82" s="440" t="n"/>
      <c r="QET82" s="440" t="n"/>
      <c r="QEU82" s="440" t="n"/>
      <c r="QEV82" s="440" t="n"/>
      <c r="QEW82" s="440" t="n"/>
      <c r="QEX82" s="440" t="n"/>
      <c r="QEY82" s="440" t="n"/>
      <c r="QEZ82" s="440" t="n"/>
      <c r="QFA82" s="440" t="n"/>
      <c r="QFB82" s="440" t="n"/>
      <c r="QFC82" s="440" t="n"/>
      <c r="QFD82" s="440" t="n"/>
      <c r="QFE82" s="440" t="n"/>
      <c r="QFF82" s="440" t="n"/>
      <c r="QFG82" s="440" t="n"/>
      <c r="QFH82" s="440" t="n"/>
      <c r="QFI82" s="440" t="n"/>
      <c r="QFJ82" s="440" t="n"/>
      <c r="QFK82" s="440" t="n"/>
      <c r="QFL82" s="440" t="n"/>
      <c r="QFM82" s="440" t="n"/>
      <c r="QFN82" s="440" t="n"/>
      <c r="QFO82" s="440" t="n"/>
      <c r="QFP82" s="440" t="n"/>
      <c r="QFQ82" s="440" t="n"/>
      <c r="QFR82" s="440" t="n"/>
      <c r="QFS82" s="440" t="n"/>
      <c r="QFT82" s="440" t="n"/>
      <c r="QFU82" s="440" t="n"/>
      <c r="QFV82" s="440" t="n"/>
      <c r="QFW82" s="440" t="n"/>
      <c r="QFX82" s="440" t="n"/>
      <c r="QFY82" s="440" t="n"/>
      <c r="QFZ82" s="440" t="n"/>
      <c r="QGA82" s="440" t="n"/>
      <c r="QGB82" s="440" t="n"/>
      <c r="QGC82" s="440" t="n"/>
      <c r="QGD82" s="440" t="n"/>
      <c r="QGE82" s="440" t="n"/>
      <c r="QGF82" s="440" t="n"/>
      <c r="QGG82" s="440" t="n"/>
      <c r="QGH82" s="440" t="n"/>
      <c r="QGI82" s="440" t="n"/>
      <c r="QGJ82" s="440" t="n"/>
      <c r="QGK82" s="440" t="n"/>
      <c r="QGL82" s="440" t="n"/>
      <c r="QGM82" s="440" t="n"/>
      <c r="QGN82" s="440" t="n"/>
      <c r="QGO82" s="440" t="n"/>
      <c r="QGP82" s="440" t="n"/>
      <c r="QGQ82" s="440" t="n"/>
      <c r="QGR82" s="440" t="n"/>
      <c r="QGS82" s="440" t="n"/>
      <c r="QGT82" s="440" t="n"/>
      <c r="QGU82" s="440" t="n"/>
      <c r="QGV82" s="440" t="n"/>
      <c r="QGW82" s="440" t="n"/>
      <c r="QGX82" s="440" t="n"/>
      <c r="QGY82" s="440" t="n"/>
      <c r="QGZ82" s="440" t="n"/>
      <c r="QHA82" s="440" t="n"/>
      <c r="QHB82" s="440" t="n"/>
      <c r="QHC82" s="440" t="n"/>
      <c r="QHD82" s="440" t="n"/>
      <c r="QHE82" s="440" t="n"/>
      <c r="QHF82" s="440" t="n"/>
      <c r="QHG82" s="440" t="n"/>
      <c r="QHH82" s="440" t="n"/>
      <c r="QHI82" s="440" t="n"/>
      <c r="QHJ82" s="440" t="n"/>
      <c r="QHK82" s="440" t="n"/>
      <c r="QHL82" s="440" t="n"/>
      <c r="QHM82" s="440" t="n"/>
      <c r="QHN82" s="440" t="n"/>
      <c r="QHO82" s="440" t="n"/>
      <c r="QHP82" s="440" t="n"/>
      <c r="QHQ82" s="440" t="n"/>
      <c r="QHR82" s="440" t="n"/>
      <c r="QHS82" s="440" t="n"/>
      <c r="QHT82" s="440" t="n"/>
      <c r="QHU82" s="440" t="n"/>
      <c r="QHV82" s="440" t="n"/>
      <c r="QHW82" s="440" t="n"/>
      <c r="QHX82" s="440" t="n"/>
      <c r="QHY82" s="440" t="n"/>
      <c r="QHZ82" s="440" t="n"/>
      <c r="QIA82" s="440" t="n"/>
      <c r="QIB82" s="440" t="n"/>
      <c r="QIC82" s="440" t="n"/>
      <c r="QID82" s="440" t="n"/>
      <c r="QIE82" s="440" t="n"/>
      <c r="QIF82" s="440" t="n"/>
      <c r="QIG82" s="440" t="n"/>
      <c r="QIH82" s="440" t="n"/>
      <c r="QII82" s="440" t="n"/>
      <c r="QIJ82" s="440" t="n"/>
      <c r="QIK82" s="440" t="n"/>
      <c r="QIL82" s="440" t="n"/>
      <c r="QIM82" s="440" t="n"/>
      <c r="QIN82" s="440" t="n"/>
      <c r="QIO82" s="440" t="n"/>
      <c r="QIP82" s="440" t="n"/>
      <c r="QIQ82" s="440" t="n"/>
      <c r="QIR82" s="440" t="n"/>
      <c r="QIS82" s="440" t="n"/>
      <c r="QIT82" s="440" t="n"/>
      <c r="QIU82" s="440" t="n"/>
      <c r="QIV82" s="440" t="n"/>
      <c r="QIW82" s="440" t="n"/>
      <c r="QIX82" s="440" t="n"/>
      <c r="QIY82" s="440" t="n"/>
      <c r="QIZ82" s="440" t="n"/>
      <c r="QJA82" s="440" t="n"/>
      <c r="QJB82" s="440" t="n"/>
      <c r="QJC82" s="440" t="n"/>
      <c r="QJD82" s="440" t="n"/>
      <c r="QJE82" s="440" t="n"/>
      <c r="QJF82" s="440" t="n"/>
      <c r="QJG82" s="440" t="n"/>
      <c r="QJH82" s="440" t="n"/>
      <c r="QJI82" s="440" t="n"/>
      <c r="QJJ82" s="440" t="n"/>
      <c r="QJK82" s="440" t="n"/>
      <c r="QJL82" s="440" t="n"/>
      <c r="QJM82" s="440" t="n"/>
      <c r="QJN82" s="440" t="n"/>
      <c r="QJO82" s="440" t="n"/>
      <c r="QJP82" s="440" t="n"/>
      <c r="QJQ82" s="440" t="n"/>
      <c r="QJR82" s="440" t="n"/>
      <c r="QJS82" s="440" t="n"/>
      <c r="QJT82" s="440" t="n"/>
      <c r="QJU82" s="440" t="n"/>
      <c r="QJV82" s="440" t="n"/>
      <c r="QJW82" s="440" t="n"/>
      <c r="QJX82" s="440" t="n"/>
      <c r="QJY82" s="440" t="n"/>
      <c r="QJZ82" s="440" t="n"/>
      <c r="QKA82" s="440" t="n"/>
      <c r="QKB82" s="440" t="n"/>
      <c r="QKC82" s="440" t="n"/>
      <c r="QKD82" s="440" t="n"/>
      <c r="QKE82" s="440" t="n"/>
      <c r="QKF82" s="440" t="n"/>
      <c r="QKG82" s="440" t="n"/>
      <c r="QKH82" s="440" t="n"/>
      <c r="QKI82" s="440" t="n"/>
      <c r="QKJ82" s="440" t="n"/>
      <c r="QKK82" s="440" t="n"/>
      <c r="QKL82" s="440" t="n"/>
      <c r="QKM82" s="440" t="n"/>
      <c r="QKN82" s="440" t="n"/>
      <c r="QKO82" s="440" t="n"/>
      <c r="QKP82" s="440" t="n"/>
      <c r="QKQ82" s="440" t="n"/>
      <c r="QKR82" s="440" t="n"/>
      <c r="QKS82" s="440" t="n"/>
      <c r="QKT82" s="440" t="n"/>
      <c r="QKU82" s="440" t="n"/>
      <c r="QKV82" s="440" t="n"/>
      <c r="QKW82" s="440" t="n"/>
      <c r="QKX82" s="440" t="n"/>
      <c r="QKY82" s="440" t="n"/>
      <c r="QKZ82" s="440" t="n"/>
      <c r="QLA82" s="440" t="n"/>
      <c r="QLB82" s="440" t="n"/>
      <c r="QLC82" s="440" t="n"/>
      <c r="QLD82" s="440" t="n"/>
      <c r="QLE82" s="440" t="n"/>
      <c r="QLF82" s="440" t="n"/>
      <c r="QLG82" s="440" t="n"/>
      <c r="QLH82" s="440" t="n"/>
      <c r="QLI82" s="440" t="n"/>
      <c r="QLJ82" s="440" t="n"/>
      <c r="QLK82" s="440" t="n"/>
      <c r="QLL82" s="440" t="n"/>
      <c r="QLM82" s="440" t="n"/>
      <c r="QLN82" s="440" t="n"/>
      <c r="QLO82" s="440" t="n"/>
      <c r="QLP82" s="440" t="n"/>
      <c r="QLQ82" s="440" t="n"/>
      <c r="QLR82" s="440" t="n"/>
      <c r="QLS82" s="440" t="n"/>
      <c r="QLT82" s="440" t="n"/>
      <c r="QLU82" s="440" t="n"/>
      <c r="QLV82" s="440" t="n"/>
      <c r="QLW82" s="440" t="n"/>
      <c r="QLX82" s="440" t="n"/>
      <c r="QLY82" s="440" t="n"/>
      <c r="QLZ82" s="440" t="n"/>
      <c r="QMA82" s="440" t="n"/>
      <c r="QMB82" s="440" t="n"/>
      <c r="QMC82" s="440" t="n"/>
      <c r="QMD82" s="440" t="n"/>
      <c r="QME82" s="440" t="n"/>
      <c r="QMF82" s="440" t="n"/>
      <c r="QMG82" s="440" t="n"/>
      <c r="QMH82" s="440" t="n"/>
      <c r="QMI82" s="440" t="n"/>
      <c r="QMJ82" s="440" t="n"/>
      <c r="QMK82" s="440" t="n"/>
      <c r="QML82" s="440" t="n"/>
      <c r="QMM82" s="440" t="n"/>
      <c r="QMN82" s="440" t="n"/>
      <c r="QMO82" s="440" t="n"/>
      <c r="QMP82" s="440" t="n"/>
      <c r="QMQ82" s="440" t="n"/>
      <c r="QMR82" s="440" t="n"/>
      <c r="QMS82" s="440" t="n"/>
      <c r="QMT82" s="440" t="n"/>
      <c r="QMU82" s="440" t="n"/>
      <c r="QMV82" s="440" t="n"/>
      <c r="QMW82" s="440" t="n"/>
      <c r="QMX82" s="440" t="n"/>
      <c r="QMY82" s="440" t="n"/>
      <c r="QMZ82" s="440" t="n"/>
      <c r="QNA82" s="440" t="n"/>
      <c r="QNB82" s="440" t="n"/>
      <c r="QNC82" s="440" t="n"/>
      <c r="QND82" s="440" t="n"/>
      <c r="QNE82" s="440" t="n"/>
      <c r="QNF82" s="440" t="n"/>
      <c r="QNG82" s="440" t="n"/>
      <c r="QNH82" s="440" t="n"/>
      <c r="QNI82" s="440" t="n"/>
      <c r="QNJ82" s="440" t="n"/>
      <c r="QNK82" s="440" t="n"/>
      <c r="QNL82" s="440" t="n"/>
      <c r="QNM82" s="440" t="n"/>
      <c r="QNN82" s="440" t="n"/>
      <c r="QNO82" s="440" t="n"/>
      <c r="QNP82" s="440" t="n"/>
      <c r="QNQ82" s="440" t="n"/>
      <c r="QNR82" s="440" t="n"/>
      <c r="QNS82" s="440" t="n"/>
      <c r="QNT82" s="440" t="n"/>
      <c r="QNU82" s="440" t="n"/>
      <c r="QNV82" s="440" t="n"/>
      <c r="QNW82" s="440" t="n"/>
      <c r="QNX82" s="440" t="n"/>
      <c r="QNY82" s="440" t="n"/>
      <c r="QNZ82" s="440" t="n"/>
      <c r="QOA82" s="440" t="n"/>
      <c r="QOB82" s="440" t="n"/>
      <c r="QOC82" s="440" t="n"/>
      <c r="QOD82" s="440" t="n"/>
      <c r="QOE82" s="440" t="n"/>
      <c r="QOF82" s="440" t="n"/>
      <c r="QOG82" s="440" t="n"/>
      <c r="QOH82" s="440" t="n"/>
      <c r="QOI82" s="440" t="n"/>
      <c r="QOJ82" s="440" t="n"/>
      <c r="QOK82" s="440" t="n"/>
      <c r="QOL82" s="440" t="n"/>
      <c r="QOM82" s="440" t="n"/>
      <c r="QON82" s="440" t="n"/>
      <c r="QOO82" s="440" t="n"/>
      <c r="QOP82" s="440" t="n"/>
      <c r="QOQ82" s="440" t="n"/>
      <c r="QOR82" s="440" t="n"/>
      <c r="QOS82" s="440" t="n"/>
      <c r="QOT82" s="440" t="n"/>
      <c r="QOU82" s="440" t="n"/>
      <c r="QOV82" s="440" t="n"/>
      <c r="QOW82" s="440" t="n"/>
      <c r="QOX82" s="440" t="n"/>
      <c r="QOY82" s="440" t="n"/>
      <c r="QOZ82" s="440" t="n"/>
      <c r="QPA82" s="440" t="n"/>
      <c r="QPB82" s="440" t="n"/>
      <c r="QPC82" s="440" t="n"/>
      <c r="QPD82" s="440" t="n"/>
      <c r="QPE82" s="440" t="n"/>
      <c r="QPF82" s="440" t="n"/>
      <c r="QPG82" s="440" t="n"/>
      <c r="QPH82" s="440" t="n"/>
      <c r="QPI82" s="440" t="n"/>
      <c r="QPJ82" s="440" t="n"/>
      <c r="QPK82" s="440" t="n"/>
      <c r="QPL82" s="440" t="n"/>
      <c r="QPM82" s="440" t="n"/>
      <c r="QPN82" s="440" t="n"/>
      <c r="QPO82" s="440" t="n"/>
      <c r="QPP82" s="440" t="n"/>
      <c r="QPQ82" s="440" t="n"/>
      <c r="QPR82" s="440" t="n"/>
      <c r="QPS82" s="440" t="n"/>
      <c r="QPT82" s="440" t="n"/>
      <c r="QPU82" s="440" t="n"/>
      <c r="QPV82" s="440" t="n"/>
      <c r="QPW82" s="440" t="n"/>
      <c r="QPX82" s="440" t="n"/>
      <c r="QPY82" s="440" t="n"/>
      <c r="QPZ82" s="440" t="n"/>
      <c r="QQA82" s="440" t="n"/>
      <c r="QQB82" s="440" t="n"/>
      <c r="QQC82" s="440" t="n"/>
      <c r="QQD82" s="440" t="n"/>
      <c r="QQE82" s="440" t="n"/>
      <c r="QQF82" s="440" t="n"/>
      <c r="QQG82" s="440" t="n"/>
      <c r="QQH82" s="440" t="n"/>
      <c r="QQI82" s="440" t="n"/>
      <c r="QQJ82" s="440" t="n"/>
      <c r="QQK82" s="440" t="n"/>
      <c r="QQL82" s="440" t="n"/>
      <c r="QQM82" s="440" t="n"/>
      <c r="QQN82" s="440" t="n"/>
      <c r="QQO82" s="440" t="n"/>
      <c r="QQP82" s="440" t="n"/>
      <c r="QQQ82" s="440" t="n"/>
      <c r="QQR82" s="440" t="n"/>
      <c r="QQS82" s="440" t="n"/>
      <c r="QQT82" s="440" t="n"/>
      <c r="QQU82" s="440" t="n"/>
      <c r="QQV82" s="440" t="n"/>
      <c r="QQW82" s="440" t="n"/>
      <c r="QQX82" s="440" t="n"/>
      <c r="QQY82" s="440" t="n"/>
      <c r="QQZ82" s="440" t="n"/>
      <c r="QRA82" s="440" t="n"/>
      <c r="QRB82" s="440" t="n"/>
      <c r="QRC82" s="440" t="n"/>
      <c r="QRD82" s="440" t="n"/>
      <c r="QRE82" s="440" t="n"/>
      <c r="QRF82" s="440" t="n"/>
      <c r="QRG82" s="440" t="n"/>
      <c r="QRH82" s="440" t="n"/>
      <c r="QRI82" s="440" t="n"/>
      <c r="QRJ82" s="440" t="n"/>
      <c r="QRK82" s="440" t="n"/>
      <c r="QRL82" s="440" t="n"/>
      <c r="QRM82" s="440" t="n"/>
      <c r="QRN82" s="440" t="n"/>
      <c r="QRO82" s="440" t="n"/>
      <c r="QRP82" s="440" t="n"/>
      <c r="QRQ82" s="440" t="n"/>
      <c r="QRR82" s="440" t="n"/>
      <c r="QRS82" s="440" t="n"/>
      <c r="QRT82" s="440" t="n"/>
      <c r="QRU82" s="440" t="n"/>
      <c r="QRV82" s="440" t="n"/>
      <c r="QRW82" s="440" t="n"/>
      <c r="QRX82" s="440" t="n"/>
      <c r="QRY82" s="440" t="n"/>
      <c r="QRZ82" s="440" t="n"/>
      <c r="QSA82" s="440" t="n"/>
      <c r="QSB82" s="440" t="n"/>
      <c r="QSC82" s="440" t="n"/>
      <c r="QSD82" s="440" t="n"/>
      <c r="QSE82" s="440" t="n"/>
      <c r="QSF82" s="440" t="n"/>
      <c r="QSG82" s="440" t="n"/>
      <c r="QSH82" s="440" t="n"/>
      <c r="QSI82" s="440" t="n"/>
      <c r="QSJ82" s="440" t="n"/>
      <c r="QSK82" s="440" t="n"/>
      <c r="QSL82" s="440" t="n"/>
      <c r="QSM82" s="440" t="n"/>
      <c r="QSN82" s="440" t="n"/>
      <c r="QSO82" s="440" t="n"/>
      <c r="QSP82" s="440" t="n"/>
      <c r="QSQ82" s="440" t="n"/>
      <c r="QSR82" s="440" t="n"/>
      <c r="QSS82" s="440" t="n"/>
      <c r="QST82" s="440" t="n"/>
      <c r="QSU82" s="440" t="n"/>
      <c r="QSV82" s="440" t="n"/>
      <c r="QSW82" s="440" t="n"/>
      <c r="QSX82" s="440" t="n"/>
      <c r="QSY82" s="440" t="n"/>
      <c r="QSZ82" s="440" t="n"/>
      <c r="QTA82" s="440" t="n"/>
      <c r="QTB82" s="440" t="n"/>
      <c r="QTC82" s="440" t="n"/>
      <c r="QTD82" s="440" t="n"/>
      <c r="QTE82" s="440" t="n"/>
      <c r="QTF82" s="440" t="n"/>
      <c r="QTG82" s="440" t="n"/>
      <c r="QTH82" s="440" t="n"/>
      <c r="QTI82" s="440" t="n"/>
      <c r="QTJ82" s="440" t="n"/>
      <c r="QTK82" s="440" t="n"/>
      <c r="QTL82" s="440" t="n"/>
      <c r="QTM82" s="440" t="n"/>
      <c r="QTN82" s="440" t="n"/>
      <c r="QTO82" s="440" t="n"/>
      <c r="QTP82" s="440" t="n"/>
      <c r="QTQ82" s="440" t="n"/>
      <c r="QTR82" s="440" t="n"/>
      <c r="QTS82" s="440" t="n"/>
      <c r="QTT82" s="440" t="n"/>
      <c r="QTU82" s="440" t="n"/>
      <c r="QTV82" s="440" t="n"/>
      <c r="QTW82" s="440" t="n"/>
      <c r="QTX82" s="440" t="n"/>
      <c r="QTY82" s="440" t="n"/>
      <c r="QTZ82" s="440" t="n"/>
      <c r="QUA82" s="440" t="n"/>
      <c r="QUB82" s="440" t="n"/>
      <c r="QUC82" s="440" t="n"/>
      <c r="QUD82" s="440" t="n"/>
      <c r="QUE82" s="440" t="n"/>
      <c r="QUF82" s="440" t="n"/>
      <c r="QUG82" s="440" t="n"/>
      <c r="QUH82" s="440" t="n"/>
      <c r="QUI82" s="440" t="n"/>
      <c r="QUJ82" s="440" t="n"/>
      <c r="QUK82" s="440" t="n"/>
      <c r="QUL82" s="440" t="n"/>
      <c r="QUM82" s="440" t="n"/>
      <c r="QUN82" s="440" t="n"/>
      <c r="QUO82" s="440" t="n"/>
      <c r="QUP82" s="440" t="n"/>
      <c r="QUQ82" s="440" t="n"/>
      <c r="QUR82" s="440" t="n"/>
      <c r="QUS82" s="440" t="n"/>
      <c r="QUT82" s="440" t="n"/>
      <c r="QUU82" s="440" t="n"/>
      <c r="QUV82" s="440" t="n"/>
      <c r="QUW82" s="440" t="n"/>
      <c r="QUX82" s="440" t="n"/>
      <c r="QUY82" s="440" t="n"/>
      <c r="QUZ82" s="440" t="n"/>
      <c r="QVA82" s="440" t="n"/>
      <c r="QVB82" s="440" t="n"/>
      <c r="QVC82" s="440" t="n"/>
      <c r="QVD82" s="440" t="n"/>
      <c r="QVE82" s="440" t="n"/>
      <c r="QVF82" s="440" t="n"/>
      <c r="QVG82" s="440" t="n"/>
      <c r="QVH82" s="440" t="n"/>
      <c r="QVI82" s="440" t="n"/>
      <c r="QVJ82" s="440" t="n"/>
      <c r="QVK82" s="440" t="n"/>
      <c r="QVL82" s="440" t="n"/>
      <c r="QVM82" s="440" t="n"/>
      <c r="QVN82" s="440" t="n"/>
      <c r="QVO82" s="440" t="n"/>
      <c r="QVP82" s="440" t="n"/>
      <c r="QVQ82" s="440" t="n"/>
      <c r="QVR82" s="440" t="n"/>
      <c r="QVS82" s="440" t="n"/>
      <c r="QVT82" s="440" t="n"/>
      <c r="QVU82" s="440" t="n"/>
      <c r="QVV82" s="440" t="n"/>
      <c r="QVW82" s="440" t="n"/>
      <c r="QVX82" s="440" t="n"/>
      <c r="QVY82" s="440" t="n"/>
      <c r="QVZ82" s="440" t="n"/>
      <c r="QWA82" s="440" t="n"/>
      <c r="QWB82" s="440" t="n"/>
      <c r="QWC82" s="440" t="n"/>
      <c r="QWD82" s="440" t="n"/>
      <c r="QWE82" s="440" t="n"/>
      <c r="QWF82" s="440" t="n"/>
      <c r="QWG82" s="440" t="n"/>
      <c r="QWH82" s="440" t="n"/>
      <c r="QWI82" s="440" t="n"/>
      <c r="QWJ82" s="440" t="n"/>
      <c r="QWK82" s="440" t="n"/>
      <c r="QWL82" s="440" t="n"/>
      <c r="QWM82" s="440" t="n"/>
      <c r="QWN82" s="440" t="n"/>
      <c r="QWO82" s="440" t="n"/>
      <c r="QWP82" s="440" t="n"/>
      <c r="QWQ82" s="440" t="n"/>
      <c r="QWR82" s="440" t="n"/>
      <c r="QWS82" s="440" t="n"/>
      <c r="QWT82" s="440" t="n"/>
      <c r="QWU82" s="440" t="n"/>
      <c r="QWV82" s="440" t="n"/>
      <c r="QWW82" s="440" t="n"/>
      <c r="QWX82" s="440" t="n"/>
      <c r="QWY82" s="440" t="n"/>
      <c r="QWZ82" s="440" t="n"/>
      <c r="QXA82" s="440" t="n"/>
      <c r="QXB82" s="440" t="n"/>
      <c r="QXC82" s="440" t="n"/>
      <c r="QXD82" s="440" t="n"/>
      <c r="QXE82" s="440" t="n"/>
      <c r="QXF82" s="440" t="n"/>
      <c r="QXG82" s="440" t="n"/>
      <c r="QXH82" s="440" t="n"/>
      <c r="QXI82" s="440" t="n"/>
      <c r="QXJ82" s="440" t="n"/>
      <c r="QXK82" s="440" t="n"/>
      <c r="QXL82" s="440" t="n"/>
      <c r="QXM82" s="440" t="n"/>
      <c r="QXN82" s="440" t="n"/>
      <c r="QXO82" s="440" t="n"/>
      <c r="QXP82" s="440" t="n"/>
      <c r="QXQ82" s="440" t="n"/>
      <c r="QXR82" s="440" t="n"/>
      <c r="QXS82" s="440" t="n"/>
      <c r="QXT82" s="440" t="n"/>
      <c r="QXU82" s="440" t="n"/>
      <c r="QXV82" s="440" t="n"/>
      <c r="QXW82" s="440" t="n"/>
      <c r="QXX82" s="440" t="n"/>
      <c r="QXY82" s="440" t="n"/>
      <c r="QXZ82" s="440" t="n"/>
      <c r="QYA82" s="440" t="n"/>
      <c r="QYB82" s="440" t="n"/>
      <c r="QYC82" s="440" t="n"/>
      <c r="QYD82" s="440" t="n"/>
      <c r="QYE82" s="440" t="n"/>
      <c r="QYF82" s="440" t="n"/>
      <c r="QYG82" s="440" t="n"/>
      <c r="QYH82" s="440" t="n"/>
      <c r="QYI82" s="440" t="n"/>
      <c r="QYJ82" s="440" t="n"/>
      <c r="QYK82" s="440" t="n"/>
      <c r="QYL82" s="440" t="n"/>
      <c r="QYM82" s="440" t="n"/>
      <c r="QYN82" s="440" t="n"/>
      <c r="QYO82" s="440" t="n"/>
      <c r="QYP82" s="440" t="n"/>
      <c r="QYQ82" s="440" t="n"/>
      <c r="QYR82" s="440" t="n"/>
      <c r="QYS82" s="440" t="n"/>
      <c r="QYT82" s="440" t="n"/>
      <c r="QYU82" s="440" t="n"/>
      <c r="QYV82" s="440" t="n"/>
      <c r="QYW82" s="440" t="n"/>
      <c r="QYX82" s="440" t="n"/>
      <c r="QYY82" s="440" t="n"/>
      <c r="QYZ82" s="440" t="n"/>
      <c r="QZA82" s="440" t="n"/>
      <c r="QZB82" s="440" t="n"/>
      <c r="QZC82" s="440" t="n"/>
      <c r="QZD82" s="440" t="n"/>
      <c r="QZE82" s="440" t="n"/>
      <c r="QZF82" s="440" t="n"/>
      <c r="QZG82" s="440" t="n"/>
      <c r="QZH82" s="440" t="n"/>
      <c r="QZI82" s="440" t="n"/>
      <c r="QZJ82" s="440" t="n"/>
      <c r="QZK82" s="440" t="n"/>
      <c r="QZL82" s="440" t="n"/>
      <c r="QZM82" s="440" t="n"/>
      <c r="QZN82" s="440" t="n"/>
      <c r="QZO82" s="440" t="n"/>
      <c r="QZP82" s="440" t="n"/>
      <c r="QZQ82" s="440" t="n"/>
      <c r="QZR82" s="440" t="n"/>
      <c r="QZS82" s="440" t="n"/>
      <c r="QZT82" s="440" t="n"/>
      <c r="QZU82" s="440" t="n"/>
      <c r="QZV82" s="440" t="n"/>
      <c r="QZW82" s="440" t="n"/>
      <c r="QZX82" s="440" t="n"/>
      <c r="QZY82" s="440" t="n"/>
      <c r="QZZ82" s="440" t="n"/>
      <c r="RAA82" s="440" t="n"/>
      <c r="RAB82" s="440" t="n"/>
      <c r="RAC82" s="440" t="n"/>
      <c r="RAD82" s="440" t="n"/>
      <c r="RAE82" s="440" t="n"/>
      <c r="RAF82" s="440" t="n"/>
      <c r="RAG82" s="440" t="n"/>
      <c r="RAH82" s="440" t="n"/>
      <c r="RAI82" s="440" t="n"/>
      <c r="RAJ82" s="440" t="n"/>
      <c r="RAK82" s="440" t="n"/>
      <c r="RAL82" s="440" t="n"/>
      <c r="RAM82" s="440" t="n"/>
      <c r="RAN82" s="440" t="n"/>
      <c r="RAO82" s="440" t="n"/>
      <c r="RAP82" s="440" t="n"/>
      <c r="RAQ82" s="440" t="n"/>
      <c r="RAR82" s="440" t="n"/>
      <c r="RAS82" s="440" t="n"/>
      <c r="RAT82" s="440" t="n"/>
      <c r="RAU82" s="440" t="n"/>
      <c r="RAV82" s="440" t="n"/>
      <c r="RAW82" s="440" t="n"/>
      <c r="RAX82" s="440" t="n"/>
      <c r="RAY82" s="440" t="n"/>
      <c r="RAZ82" s="440" t="n"/>
      <c r="RBA82" s="440" t="n"/>
      <c r="RBB82" s="440" t="n"/>
      <c r="RBC82" s="440" t="n"/>
      <c r="RBD82" s="440" t="n"/>
      <c r="RBE82" s="440" t="n"/>
      <c r="RBF82" s="440" t="n"/>
      <c r="RBG82" s="440" t="n"/>
      <c r="RBH82" s="440" t="n"/>
      <c r="RBI82" s="440" t="n"/>
      <c r="RBJ82" s="440" t="n"/>
      <c r="RBK82" s="440" t="n"/>
      <c r="RBL82" s="440" t="n"/>
      <c r="RBM82" s="440" t="n"/>
      <c r="RBN82" s="440" t="n"/>
      <c r="RBO82" s="440" t="n"/>
      <c r="RBP82" s="440" t="n"/>
      <c r="RBQ82" s="440" t="n"/>
      <c r="RBR82" s="440" t="n"/>
      <c r="RBS82" s="440" t="n"/>
      <c r="RBT82" s="440" t="n"/>
      <c r="RBU82" s="440" t="n"/>
      <c r="RBV82" s="440" t="n"/>
      <c r="RBW82" s="440" t="n"/>
      <c r="RBX82" s="440" t="n"/>
      <c r="RBY82" s="440" t="n"/>
      <c r="RBZ82" s="440" t="n"/>
      <c r="RCA82" s="440" t="n"/>
      <c r="RCB82" s="440" t="n"/>
      <c r="RCC82" s="440" t="n"/>
      <c r="RCD82" s="440" t="n"/>
      <c r="RCE82" s="440" t="n"/>
      <c r="RCF82" s="440" t="n"/>
      <c r="RCG82" s="440" t="n"/>
      <c r="RCH82" s="440" t="n"/>
      <c r="RCI82" s="440" t="n"/>
      <c r="RCJ82" s="440" t="n"/>
      <c r="RCK82" s="440" t="n"/>
      <c r="RCL82" s="440" t="n"/>
      <c r="RCM82" s="440" t="n"/>
      <c r="RCN82" s="440" t="n"/>
      <c r="RCO82" s="440" t="n"/>
      <c r="RCP82" s="440" t="n"/>
      <c r="RCQ82" s="440" t="n"/>
      <c r="RCR82" s="440" t="n"/>
      <c r="RCS82" s="440" t="n"/>
      <c r="RCT82" s="440" t="n"/>
      <c r="RCU82" s="440" t="n"/>
      <c r="RCV82" s="440" t="n"/>
      <c r="RCW82" s="440" t="n"/>
      <c r="RCX82" s="440" t="n"/>
      <c r="RCY82" s="440" t="n"/>
      <c r="RCZ82" s="440" t="n"/>
      <c r="RDA82" s="440" t="n"/>
      <c r="RDB82" s="440" t="n"/>
      <c r="RDC82" s="440" t="n"/>
      <c r="RDD82" s="440" t="n"/>
      <c r="RDE82" s="440" t="n"/>
      <c r="RDF82" s="440" t="n"/>
      <c r="RDG82" s="440" t="n"/>
      <c r="RDH82" s="440" t="n"/>
      <c r="RDI82" s="440" t="n"/>
      <c r="RDJ82" s="440" t="n"/>
      <c r="RDK82" s="440" t="n"/>
      <c r="RDL82" s="440" t="n"/>
      <c r="RDM82" s="440" t="n"/>
      <c r="RDN82" s="440" t="n"/>
      <c r="RDO82" s="440" t="n"/>
      <c r="RDP82" s="440" t="n"/>
      <c r="RDQ82" s="440" t="n"/>
      <c r="RDR82" s="440" t="n"/>
      <c r="RDS82" s="440" t="n"/>
      <c r="RDT82" s="440" t="n"/>
      <c r="RDU82" s="440" t="n"/>
      <c r="RDV82" s="440" t="n"/>
      <c r="RDW82" s="440" t="n"/>
      <c r="RDX82" s="440" t="n"/>
      <c r="RDY82" s="440" t="n"/>
      <c r="RDZ82" s="440" t="n"/>
      <c r="REA82" s="440" t="n"/>
      <c r="REB82" s="440" t="n"/>
      <c r="REC82" s="440" t="n"/>
      <c r="RED82" s="440" t="n"/>
      <c r="REE82" s="440" t="n"/>
      <c r="REF82" s="440" t="n"/>
      <c r="REG82" s="440" t="n"/>
      <c r="REH82" s="440" t="n"/>
      <c r="REI82" s="440" t="n"/>
      <c r="REJ82" s="440" t="n"/>
      <c r="REK82" s="440" t="n"/>
      <c r="REL82" s="440" t="n"/>
      <c r="REM82" s="440" t="n"/>
      <c r="REN82" s="440" t="n"/>
      <c r="REO82" s="440" t="n"/>
      <c r="REP82" s="440" t="n"/>
      <c r="REQ82" s="440" t="n"/>
      <c r="RER82" s="440" t="n"/>
      <c r="RES82" s="440" t="n"/>
      <c r="RET82" s="440" t="n"/>
      <c r="REU82" s="440" t="n"/>
      <c r="REV82" s="440" t="n"/>
      <c r="REW82" s="440" t="n"/>
      <c r="REX82" s="440" t="n"/>
      <c r="REY82" s="440" t="n"/>
      <c r="REZ82" s="440" t="n"/>
      <c r="RFA82" s="440" t="n"/>
      <c r="RFB82" s="440" t="n"/>
      <c r="RFC82" s="440" t="n"/>
      <c r="RFD82" s="440" t="n"/>
      <c r="RFE82" s="440" t="n"/>
      <c r="RFF82" s="440" t="n"/>
      <c r="RFG82" s="440" t="n"/>
      <c r="RFH82" s="440" t="n"/>
      <c r="RFI82" s="440" t="n"/>
      <c r="RFJ82" s="440" t="n"/>
      <c r="RFK82" s="440" t="n"/>
      <c r="RFL82" s="440" t="n"/>
      <c r="RFM82" s="440" t="n"/>
      <c r="RFN82" s="440" t="n"/>
      <c r="RFO82" s="440" t="n"/>
      <c r="RFP82" s="440" t="n"/>
      <c r="RFQ82" s="440" t="n"/>
      <c r="RFR82" s="440" t="n"/>
      <c r="RFS82" s="440" t="n"/>
      <c r="RFT82" s="440" t="n"/>
      <c r="RFU82" s="440" t="n"/>
      <c r="RFV82" s="440" t="n"/>
      <c r="RFW82" s="440" t="n"/>
      <c r="RFX82" s="440" t="n"/>
      <c r="RFY82" s="440" t="n"/>
      <c r="RFZ82" s="440" t="n"/>
      <c r="RGA82" s="440" t="n"/>
      <c r="RGB82" s="440" t="n"/>
      <c r="RGC82" s="440" t="n"/>
      <c r="RGD82" s="440" t="n"/>
      <c r="RGE82" s="440" t="n"/>
      <c r="RGF82" s="440" t="n"/>
      <c r="RGG82" s="440" t="n"/>
      <c r="RGH82" s="440" t="n"/>
      <c r="RGI82" s="440" t="n"/>
      <c r="RGJ82" s="440" t="n"/>
      <c r="RGK82" s="440" t="n"/>
      <c r="RGL82" s="440" t="n"/>
      <c r="RGM82" s="440" t="n"/>
      <c r="RGN82" s="440" t="n"/>
      <c r="RGO82" s="440" t="n"/>
      <c r="RGP82" s="440" t="n"/>
      <c r="RGQ82" s="440" t="n"/>
      <c r="RGR82" s="440" t="n"/>
      <c r="RGS82" s="440" t="n"/>
      <c r="RGT82" s="440" t="n"/>
      <c r="RGU82" s="440" t="n"/>
      <c r="RGV82" s="440" t="n"/>
      <c r="RGW82" s="440" t="n"/>
      <c r="RGX82" s="440" t="n"/>
      <c r="RGY82" s="440" t="n"/>
      <c r="RGZ82" s="440" t="n"/>
      <c r="RHA82" s="440" t="n"/>
      <c r="RHB82" s="440" t="n"/>
      <c r="RHC82" s="440" t="n"/>
      <c r="RHD82" s="440" t="n"/>
      <c r="RHE82" s="440" t="n"/>
      <c r="RHF82" s="440" t="n"/>
      <c r="RHG82" s="440" t="n"/>
      <c r="RHH82" s="440" t="n"/>
      <c r="RHI82" s="440" t="n"/>
      <c r="RHJ82" s="440" t="n"/>
      <c r="RHK82" s="440" t="n"/>
      <c r="RHL82" s="440" t="n"/>
      <c r="RHM82" s="440" t="n"/>
      <c r="RHN82" s="440" t="n"/>
      <c r="RHO82" s="440" t="n"/>
      <c r="RHP82" s="440" t="n"/>
      <c r="RHQ82" s="440" t="n"/>
      <c r="RHR82" s="440" t="n"/>
      <c r="RHS82" s="440" t="n"/>
      <c r="RHT82" s="440" t="n"/>
      <c r="RHU82" s="440" t="n"/>
      <c r="RHV82" s="440" t="n"/>
      <c r="RHW82" s="440" t="n"/>
      <c r="RHX82" s="440" t="n"/>
      <c r="RHY82" s="440" t="n"/>
      <c r="RHZ82" s="440" t="n"/>
      <c r="RIA82" s="440" t="n"/>
      <c r="RIB82" s="440" t="n"/>
      <c r="RIC82" s="440" t="n"/>
      <c r="RID82" s="440" t="n"/>
      <c r="RIE82" s="440" t="n"/>
      <c r="RIF82" s="440" t="n"/>
      <c r="RIG82" s="440" t="n"/>
      <c r="RIH82" s="440" t="n"/>
      <c r="RII82" s="440" t="n"/>
      <c r="RIJ82" s="440" t="n"/>
      <c r="RIK82" s="440" t="n"/>
      <c r="RIL82" s="440" t="n"/>
      <c r="RIM82" s="440" t="n"/>
      <c r="RIN82" s="440" t="n"/>
      <c r="RIO82" s="440" t="n"/>
      <c r="RIP82" s="440" t="n"/>
      <c r="RIQ82" s="440" t="n"/>
      <c r="RIR82" s="440" t="n"/>
      <c r="RIS82" s="440" t="n"/>
      <c r="RIT82" s="440" t="n"/>
      <c r="RIU82" s="440" t="n"/>
      <c r="RIV82" s="440" t="n"/>
      <c r="RIW82" s="440" t="n"/>
      <c r="RIX82" s="440" t="n"/>
      <c r="RIY82" s="440" t="n"/>
      <c r="RIZ82" s="440" t="n"/>
      <c r="RJA82" s="440" t="n"/>
      <c r="RJB82" s="440" t="n"/>
      <c r="RJC82" s="440" t="n"/>
      <c r="RJD82" s="440" t="n"/>
      <c r="RJE82" s="440" t="n"/>
      <c r="RJF82" s="440" t="n"/>
      <c r="RJG82" s="440" t="n"/>
      <c r="RJH82" s="440" t="n"/>
      <c r="RJI82" s="440" t="n"/>
      <c r="RJJ82" s="440" t="n"/>
      <c r="RJK82" s="440" t="n"/>
      <c r="RJL82" s="440" t="n"/>
      <c r="RJM82" s="440" t="n"/>
      <c r="RJN82" s="440" t="n"/>
      <c r="RJO82" s="440" t="n"/>
      <c r="RJP82" s="440" t="n"/>
      <c r="RJQ82" s="440" t="n"/>
      <c r="RJR82" s="440" t="n"/>
      <c r="RJS82" s="440" t="n"/>
      <c r="RJT82" s="440" t="n"/>
      <c r="RJU82" s="440" t="n"/>
      <c r="RJV82" s="440" t="n"/>
      <c r="RJW82" s="440" t="n"/>
      <c r="RJX82" s="440" t="n"/>
      <c r="RJY82" s="440" t="n"/>
      <c r="RJZ82" s="440" t="n"/>
      <c r="RKA82" s="440" t="n"/>
      <c r="RKB82" s="440" t="n"/>
      <c r="RKC82" s="440" t="n"/>
      <c r="RKD82" s="440" t="n"/>
      <c r="RKE82" s="440" t="n"/>
      <c r="RKF82" s="440" t="n"/>
      <c r="RKG82" s="440" t="n"/>
      <c r="RKH82" s="440" t="n"/>
      <c r="RKI82" s="440" t="n"/>
      <c r="RKJ82" s="440" t="n"/>
      <c r="RKK82" s="440" t="n"/>
      <c r="RKL82" s="440" t="n"/>
      <c r="RKM82" s="440" t="n"/>
      <c r="RKN82" s="440" t="n"/>
      <c r="RKO82" s="440" t="n"/>
      <c r="RKP82" s="440" t="n"/>
      <c r="RKQ82" s="440" t="n"/>
      <c r="RKR82" s="440" t="n"/>
      <c r="RKS82" s="440" t="n"/>
      <c r="RKT82" s="440" t="n"/>
      <c r="RKU82" s="440" t="n"/>
      <c r="RKV82" s="440" t="n"/>
      <c r="RKW82" s="440" t="n"/>
      <c r="RKX82" s="440" t="n"/>
      <c r="RKY82" s="440" t="n"/>
      <c r="RKZ82" s="440" t="n"/>
      <c r="RLA82" s="440" t="n"/>
      <c r="RLB82" s="440" t="n"/>
      <c r="RLC82" s="440" t="n"/>
      <c r="RLD82" s="440" t="n"/>
      <c r="RLE82" s="440" t="n"/>
      <c r="RLF82" s="440" t="n"/>
      <c r="RLG82" s="440" t="n"/>
      <c r="RLH82" s="440" t="n"/>
      <c r="RLI82" s="440" t="n"/>
      <c r="RLJ82" s="440" t="n"/>
      <c r="RLK82" s="440" t="n"/>
      <c r="RLL82" s="440" t="n"/>
      <c r="RLM82" s="440" t="n"/>
      <c r="RLN82" s="440" t="n"/>
      <c r="RLO82" s="440" t="n"/>
      <c r="RLP82" s="440" t="n"/>
      <c r="RLQ82" s="440" t="n"/>
      <c r="RLR82" s="440" t="n"/>
      <c r="RLS82" s="440" t="n"/>
      <c r="RLT82" s="440" t="n"/>
      <c r="RLU82" s="440" t="n"/>
      <c r="RLV82" s="440" t="n"/>
      <c r="RLW82" s="440" t="n"/>
      <c r="RLX82" s="440" t="n"/>
      <c r="RLY82" s="440" t="n"/>
      <c r="RLZ82" s="440" t="n"/>
      <c r="RMA82" s="440" t="n"/>
      <c r="RMB82" s="440" t="n"/>
      <c r="RMC82" s="440" t="n"/>
      <c r="RMD82" s="440" t="n"/>
      <c r="RME82" s="440" t="n"/>
      <c r="RMF82" s="440" t="n"/>
      <c r="RMG82" s="440" t="n"/>
      <c r="RMH82" s="440" t="n"/>
      <c r="RMI82" s="440" t="n"/>
      <c r="RMJ82" s="440" t="n"/>
      <c r="RMK82" s="440" t="n"/>
      <c r="RML82" s="440" t="n"/>
      <c r="RMM82" s="440" t="n"/>
      <c r="RMN82" s="440" t="n"/>
      <c r="RMO82" s="440" t="n"/>
      <c r="RMP82" s="440" t="n"/>
      <c r="RMQ82" s="440" t="n"/>
      <c r="RMR82" s="440" t="n"/>
      <c r="RMS82" s="440" t="n"/>
      <c r="RMT82" s="440" t="n"/>
      <c r="RMU82" s="440" t="n"/>
      <c r="RMV82" s="440" t="n"/>
      <c r="RMW82" s="440" t="n"/>
      <c r="RMX82" s="440" t="n"/>
      <c r="RMY82" s="440" t="n"/>
      <c r="RMZ82" s="440" t="n"/>
      <c r="RNA82" s="440" t="n"/>
      <c r="RNB82" s="440" t="n"/>
      <c r="RNC82" s="440" t="n"/>
      <c r="RND82" s="440" t="n"/>
      <c r="RNE82" s="440" t="n"/>
      <c r="RNF82" s="440" t="n"/>
      <c r="RNG82" s="440" t="n"/>
      <c r="RNH82" s="440" t="n"/>
      <c r="RNI82" s="440" t="n"/>
      <c r="RNJ82" s="440" t="n"/>
      <c r="RNK82" s="440" t="n"/>
      <c r="RNL82" s="440" t="n"/>
      <c r="RNM82" s="440" t="n"/>
      <c r="RNN82" s="440" t="n"/>
      <c r="RNO82" s="440" t="n"/>
      <c r="RNP82" s="440" t="n"/>
      <c r="RNQ82" s="440" t="n"/>
      <c r="RNR82" s="440" t="n"/>
      <c r="RNS82" s="440" t="n"/>
      <c r="RNT82" s="440" t="n"/>
      <c r="RNU82" s="440" t="n"/>
      <c r="RNV82" s="440" t="n"/>
      <c r="RNW82" s="440" t="n"/>
      <c r="RNX82" s="440" t="n"/>
      <c r="RNY82" s="440" t="n"/>
      <c r="RNZ82" s="440" t="n"/>
      <c r="ROA82" s="440" t="n"/>
      <c r="ROB82" s="440" t="n"/>
      <c r="ROC82" s="440" t="n"/>
      <c r="ROD82" s="440" t="n"/>
      <c r="ROE82" s="440" t="n"/>
      <c r="ROF82" s="440" t="n"/>
      <c r="ROG82" s="440" t="n"/>
      <c r="ROH82" s="440" t="n"/>
      <c r="ROI82" s="440" t="n"/>
      <c r="ROJ82" s="440" t="n"/>
      <c r="ROK82" s="440" t="n"/>
      <c r="ROL82" s="440" t="n"/>
      <c r="ROM82" s="440" t="n"/>
      <c r="RON82" s="440" t="n"/>
      <c r="ROO82" s="440" t="n"/>
      <c r="ROP82" s="440" t="n"/>
      <c r="ROQ82" s="440" t="n"/>
      <c r="ROR82" s="440" t="n"/>
      <c r="ROS82" s="440" t="n"/>
      <c r="ROT82" s="440" t="n"/>
      <c r="ROU82" s="440" t="n"/>
      <c r="ROV82" s="440" t="n"/>
      <c r="ROW82" s="440" t="n"/>
      <c r="ROX82" s="440" t="n"/>
      <c r="ROY82" s="440" t="n"/>
      <c r="ROZ82" s="440" t="n"/>
      <c r="RPA82" s="440" t="n"/>
      <c r="RPB82" s="440" t="n"/>
      <c r="RPC82" s="440" t="n"/>
      <c r="RPD82" s="440" t="n"/>
      <c r="RPE82" s="440" t="n"/>
      <c r="RPF82" s="440" t="n"/>
      <c r="RPG82" s="440" t="n"/>
      <c r="RPH82" s="440" t="n"/>
      <c r="RPI82" s="440" t="n"/>
      <c r="RPJ82" s="440" t="n"/>
      <c r="RPK82" s="440" t="n"/>
      <c r="RPL82" s="440" t="n"/>
      <c r="RPM82" s="440" t="n"/>
      <c r="RPN82" s="440" t="n"/>
      <c r="RPO82" s="440" t="n"/>
      <c r="RPP82" s="440" t="n"/>
      <c r="RPQ82" s="440" t="n"/>
      <c r="RPR82" s="440" t="n"/>
      <c r="RPS82" s="440" t="n"/>
      <c r="RPT82" s="440" t="n"/>
      <c r="RPU82" s="440" t="n"/>
      <c r="RPV82" s="440" t="n"/>
      <c r="RPW82" s="440" t="n"/>
      <c r="RPX82" s="440" t="n"/>
      <c r="RPY82" s="440" t="n"/>
      <c r="RPZ82" s="440" t="n"/>
      <c r="RQA82" s="440" t="n"/>
      <c r="RQB82" s="440" t="n"/>
      <c r="RQC82" s="440" t="n"/>
      <c r="RQD82" s="440" t="n"/>
      <c r="RQE82" s="440" t="n"/>
      <c r="RQF82" s="440" t="n"/>
      <c r="RQG82" s="440" t="n"/>
      <c r="RQH82" s="440" t="n"/>
      <c r="RQI82" s="440" t="n"/>
      <c r="RQJ82" s="440" t="n"/>
      <c r="RQK82" s="440" t="n"/>
      <c r="RQL82" s="440" t="n"/>
      <c r="RQM82" s="440" t="n"/>
      <c r="RQN82" s="440" t="n"/>
      <c r="RQO82" s="440" t="n"/>
      <c r="RQP82" s="440" t="n"/>
      <c r="RQQ82" s="440" t="n"/>
      <c r="RQR82" s="440" t="n"/>
      <c r="RQS82" s="440" t="n"/>
      <c r="RQT82" s="440" t="n"/>
      <c r="RQU82" s="440" t="n"/>
      <c r="RQV82" s="440" t="n"/>
      <c r="RQW82" s="440" t="n"/>
      <c r="RQX82" s="440" t="n"/>
      <c r="RQY82" s="440" t="n"/>
      <c r="RQZ82" s="440" t="n"/>
      <c r="RRA82" s="440" t="n"/>
      <c r="RRB82" s="440" t="n"/>
      <c r="RRC82" s="440" t="n"/>
      <c r="RRD82" s="440" t="n"/>
      <c r="RRE82" s="440" t="n"/>
      <c r="RRF82" s="440" t="n"/>
      <c r="RRG82" s="440" t="n"/>
      <c r="RRH82" s="440" t="n"/>
      <c r="RRI82" s="440" t="n"/>
      <c r="RRJ82" s="440" t="n"/>
      <c r="RRK82" s="440" t="n"/>
      <c r="RRL82" s="440" t="n"/>
      <c r="RRM82" s="440" t="n"/>
      <c r="RRN82" s="440" t="n"/>
      <c r="RRO82" s="440" t="n"/>
      <c r="RRP82" s="440" t="n"/>
      <c r="RRQ82" s="440" t="n"/>
      <c r="RRR82" s="440" t="n"/>
      <c r="RRS82" s="440" t="n"/>
      <c r="RRT82" s="440" t="n"/>
      <c r="RRU82" s="440" t="n"/>
      <c r="RRV82" s="440" t="n"/>
      <c r="RRW82" s="440" t="n"/>
      <c r="RRX82" s="440" t="n"/>
      <c r="RRY82" s="440" t="n"/>
      <c r="RRZ82" s="440" t="n"/>
      <c r="RSA82" s="440" t="n"/>
      <c r="RSB82" s="440" t="n"/>
      <c r="RSC82" s="440" t="n"/>
      <c r="RSD82" s="440" t="n"/>
      <c r="RSE82" s="440" t="n"/>
      <c r="RSF82" s="440" t="n"/>
      <c r="RSG82" s="440" t="n"/>
      <c r="RSH82" s="440" t="n"/>
      <c r="RSI82" s="440" t="n"/>
      <c r="RSJ82" s="440" t="n"/>
      <c r="RSK82" s="440" t="n"/>
      <c r="RSL82" s="440" t="n"/>
      <c r="RSM82" s="440" t="n"/>
      <c r="RSN82" s="440" t="n"/>
      <c r="RSO82" s="440" t="n"/>
      <c r="RSP82" s="440" t="n"/>
      <c r="RSQ82" s="440" t="n"/>
      <c r="RSR82" s="440" t="n"/>
      <c r="RSS82" s="440" t="n"/>
      <c r="RST82" s="440" t="n"/>
      <c r="RSU82" s="440" t="n"/>
      <c r="RSV82" s="440" t="n"/>
      <c r="RSW82" s="440" t="n"/>
      <c r="RSX82" s="440" t="n"/>
      <c r="RSY82" s="440" t="n"/>
      <c r="RSZ82" s="440" t="n"/>
      <c r="RTA82" s="440" t="n"/>
      <c r="RTB82" s="440" t="n"/>
      <c r="RTC82" s="440" t="n"/>
      <c r="RTD82" s="440" t="n"/>
      <c r="RTE82" s="440" t="n"/>
      <c r="RTF82" s="440" t="n"/>
      <c r="RTG82" s="440" t="n"/>
      <c r="RTH82" s="440" t="n"/>
      <c r="RTI82" s="440" t="n"/>
      <c r="RTJ82" s="440" t="n"/>
      <c r="RTK82" s="440" t="n"/>
      <c r="RTL82" s="440" t="n"/>
      <c r="RTM82" s="440" t="n"/>
      <c r="RTN82" s="440" t="n"/>
      <c r="RTO82" s="440" t="n"/>
      <c r="RTP82" s="440" t="n"/>
      <c r="RTQ82" s="440" t="n"/>
      <c r="RTR82" s="440" t="n"/>
      <c r="RTS82" s="440" t="n"/>
      <c r="RTT82" s="440" t="n"/>
      <c r="RTU82" s="440" t="n"/>
      <c r="RTV82" s="440" t="n"/>
      <c r="RTW82" s="440" t="n"/>
      <c r="RTX82" s="440" t="n"/>
      <c r="RTY82" s="440" t="n"/>
      <c r="RTZ82" s="440" t="n"/>
      <c r="RUA82" s="440" t="n"/>
      <c r="RUB82" s="440" t="n"/>
      <c r="RUC82" s="440" t="n"/>
      <c r="RUD82" s="440" t="n"/>
      <c r="RUE82" s="440" t="n"/>
      <c r="RUF82" s="440" t="n"/>
      <c r="RUG82" s="440" t="n"/>
      <c r="RUH82" s="440" t="n"/>
      <c r="RUI82" s="440" t="n"/>
      <c r="RUJ82" s="440" t="n"/>
      <c r="RUK82" s="440" t="n"/>
      <c r="RUL82" s="440" t="n"/>
      <c r="RUM82" s="440" t="n"/>
      <c r="RUN82" s="440" t="n"/>
      <c r="RUO82" s="440" t="n"/>
      <c r="RUP82" s="440" t="n"/>
      <c r="RUQ82" s="440" t="n"/>
      <c r="RUR82" s="440" t="n"/>
      <c r="RUS82" s="440" t="n"/>
      <c r="RUT82" s="440" t="n"/>
      <c r="RUU82" s="440" t="n"/>
      <c r="RUV82" s="440" t="n"/>
      <c r="RUW82" s="440" t="n"/>
      <c r="RUX82" s="440" t="n"/>
      <c r="RUY82" s="440" t="n"/>
      <c r="RUZ82" s="440" t="n"/>
      <c r="RVA82" s="440" t="n"/>
      <c r="RVB82" s="440" t="n"/>
      <c r="RVC82" s="440" t="n"/>
      <c r="RVD82" s="440" t="n"/>
      <c r="RVE82" s="440" t="n"/>
      <c r="RVF82" s="440" t="n"/>
      <c r="RVG82" s="440" t="n"/>
      <c r="RVH82" s="440" t="n"/>
      <c r="RVI82" s="440" t="n"/>
      <c r="RVJ82" s="440" t="n"/>
      <c r="RVK82" s="440" t="n"/>
      <c r="RVL82" s="440" t="n"/>
      <c r="RVM82" s="440" t="n"/>
      <c r="RVN82" s="440" t="n"/>
      <c r="RVO82" s="440" t="n"/>
      <c r="RVP82" s="440" t="n"/>
      <c r="RVQ82" s="440" t="n"/>
      <c r="RVR82" s="440" t="n"/>
      <c r="RVS82" s="440" t="n"/>
      <c r="RVT82" s="440" t="n"/>
      <c r="RVU82" s="440" t="n"/>
      <c r="RVV82" s="440" t="n"/>
      <c r="RVW82" s="440" t="n"/>
      <c r="RVX82" s="440" t="n"/>
      <c r="RVY82" s="440" t="n"/>
      <c r="RVZ82" s="440" t="n"/>
      <c r="RWA82" s="440" t="n"/>
      <c r="RWB82" s="440" t="n"/>
      <c r="RWC82" s="440" t="n"/>
      <c r="RWD82" s="440" t="n"/>
      <c r="RWE82" s="440" t="n"/>
      <c r="RWF82" s="440" t="n"/>
      <c r="RWG82" s="440" t="n"/>
      <c r="RWH82" s="440" t="n"/>
      <c r="RWI82" s="440" t="n"/>
      <c r="RWJ82" s="440" t="n"/>
      <c r="RWK82" s="440" t="n"/>
      <c r="RWL82" s="440" t="n"/>
      <c r="RWM82" s="440" t="n"/>
      <c r="RWN82" s="440" t="n"/>
      <c r="RWO82" s="440" t="n"/>
      <c r="RWP82" s="440" t="n"/>
      <c r="RWQ82" s="440" t="n"/>
      <c r="RWR82" s="440" t="n"/>
      <c r="RWS82" s="440" t="n"/>
      <c r="RWT82" s="440" t="n"/>
      <c r="RWU82" s="440" t="n"/>
      <c r="RWV82" s="440" t="n"/>
      <c r="RWW82" s="440" t="n"/>
      <c r="RWX82" s="440" t="n"/>
      <c r="RWY82" s="440" t="n"/>
      <c r="RWZ82" s="440" t="n"/>
      <c r="RXA82" s="440" t="n"/>
      <c r="RXB82" s="440" t="n"/>
      <c r="RXC82" s="440" t="n"/>
      <c r="RXD82" s="440" t="n"/>
      <c r="RXE82" s="440" t="n"/>
      <c r="RXF82" s="440" t="n"/>
      <c r="RXG82" s="440" t="n"/>
      <c r="RXH82" s="440" t="n"/>
      <c r="RXI82" s="440" t="n"/>
      <c r="RXJ82" s="440" t="n"/>
      <c r="RXK82" s="440" t="n"/>
      <c r="RXL82" s="440" t="n"/>
      <c r="RXM82" s="440" t="n"/>
      <c r="RXN82" s="440" t="n"/>
      <c r="RXO82" s="440" t="n"/>
      <c r="RXP82" s="440" t="n"/>
      <c r="RXQ82" s="440" t="n"/>
      <c r="RXR82" s="440" t="n"/>
      <c r="RXS82" s="440" t="n"/>
      <c r="RXT82" s="440" t="n"/>
      <c r="RXU82" s="440" t="n"/>
      <c r="RXV82" s="440" t="n"/>
      <c r="RXW82" s="440" t="n"/>
      <c r="RXX82" s="440" t="n"/>
      <c r="RXY82" s="440" t="n"/>
      <c r="RXZ82" s="440" t="n"/>
      <c r="RYA82" s="440" t="n"/>
      <c r="RYB82" s="440" t="n"/>
      <c r="RYC82" s="440" t="n"/>
      <c r="RYD82" s="440" t="n"/>
      <c r="RYE82" s="440" t="n"/>
      <c r="RYF82" s="440" t="n"/>
      <c r="RYG82" s="440" t="n"/>
      <c r="RYH82" s="440" t="n"/>
      <c r="RYI82" s="440" t="n"/>
      <c r="RYJ82" s="440" t="n"/>
      <c r="RYK82" s="440" t="n"/>
      <c r="RYL82" s="440" t="n"/>
      <c r="RYM82" s="440" t="n"/>
      <c r="RYN82" s="440" t="n"/>
      <c r="RYO82" s="440" t="n"/>
      <c r="RYP82" s="440" t="n"/>
      <c r="RYQ82" s="440" t="n"/>
      <c r="RYR82" s="440" t="n"/>
      <c r="RYS82" s="440" t="n"/>
      <c r="RYT82" s="440" t="n"/>
      <c r="RYU82" s="440" t="n"/>
      <c r="RYV82" s="440" t="n"/>
      <c r="RYW82" s="440" t="n"/>
      <c r="RYX82" s="440" t="n"/>
      <c r="RYY82" s="440" t="n"/>
      <c r="RYZ82" s="440" t="n"/>
      <c r="RZA82" s="440" t="n"/>
      <c r="RZB82" s="440" t="n"/>
      <c r="RZC82" s="440" t="n"/>
      <c r="RZD82" s="440" t="n"/>
      <c r="RZE82" s="440" t="n"/>
      <c r="RZF82" s="440" t="n"/>
      <c r="RZG82" s="440" t="n"/>
      <c r="RZH82" s="440" t="n"/>
      <c r="RZI82" s="440" t="n"/>
      <c r="RZJ82" s="440" t="n"/>
      <c r="RZK82" s="440" t="n"/>
      <c r="RZL82" s="440" t="n"/>
      <c r="RZM82" s="440" t="n"/>
      <c r="RZN82" s="440" t="n"/>
      <c r="RZO82" s="440" t="n"/>
      <c r="RZP82" s="440" t="n"/>
      <c r="RZQ82" s="440" t="n"/>
      <c r="RZR82" s="440" t="n"/>
      <c r="RZS82" s="440" t="n"/>
      <c r="RZT82" s="440" t="n"/>
      <c r="RZU82" s="440" t="n"/>
      <c r="RZV82" s="440" t="n"/>
      <c r="RZW82" s="440" t="n"/>
      <c r="RZX82" s="440" t="n"/>
      <c r="RZY82" s="440" t="n"/>
      <c r="RZZ82" s="440" t="n"/>
      <c r="SAA82" s="440" t="n"/>
      <c r="SAB82" s="440" t="n"/>
      <c r="SAC82" s="440" t="n"/>
      <c r="SAD82" s="440" t="n"/>
      <c r="SAE82" s="440" t="n"/>
      <c r="SAF82" s="440" t="n"/>
      <c r="SAG82" s="440" t="n"/>
      <c r="SAH82" s="440" t="n"/>
      <c r="SAI82" s="440" t="n"/>
      <c r="SAJ82" s="440" t="n"/>
      <c r="SAK82" s="440" t="n"/>
      <c r="SAL82" s="440" t="n"/>
      <c r="SAM82" s="440" t="n"/>
      <c r="SAN82" s="440" t="n"/>
      <c r="SAO82" s="440" t="n"/>
      <c r="SAP82" s="440" t="n"/>
      <c r="SAQ82" s="440" t="n"/>
      <c r="SAR82" s="440" t="n"/>
      <c r="SAS82" s="440" t="n"/>
      <c r="SAT82" s="440" t="n"/>
      <c r="SAU82" s="440" t="n"/>
      <c r="SAV82" s="440" t="n"/>
      <c r="SAW82" s="440" t="n"/>
      <c r="SAX82" s="440" t="n"/>
      <c r="SAY82" s="440" t="n"/>
      <c r="SAZ82" s="440" t="n"/>
      <c r="SBA82" s="440" t="n"/>
      <c r="SBB82" s="440" t="n"/>
      <c r="SBC82" s="440" t="n"/>
      <c r="SBD82" s="440" t="n"/>
      <c r="SBE82" s="440" t="n"/>
      <c r="SBF82" s="440" t="n"/>
      <c r="SBG82" s="440" t="n"/>
      <c r="SBH82" s="440" t="n"/>
      <c r="SBI82" s="440" t="n"/>
      <c r="SBJ82" s="440" t="n"/>
      <c r="SBK82" s="440" t="n"/>
      <c r="SBL82" s="440" t="n"/>
      <c r="SBM82" s="440" t="n"/>
      <c r="SBN82" s="440" t="n"/>
      <c r="SBO82" s="440" t="n"/>
      <c r="SBP82" s="440" t="n"/>
      <c r="SBQ82" s="440" t="n"/>
      <c r="SBR82" s="440" t="n"/>
      <c r="SBS82" s="440" t="n"/>
      <c r="SBT82" s="440" t="n"/>
      <c r="SBU82" s="440" t="n"/>
      <c r="SBV82" s="440" t="n"/>
      <c r="SBW82" s="440" t="n"/>
      <c r="SBX82" s="440" t="n"/>
      <c r="SBY82" s="440" t="n"/>
      <c r="SBZ82" s="440" t="n"/>
      <c r="SCA82" s="440" t="n"/>
      <c r="SCB82" s="440" t="n"/>
      <c r="SCC82" s="440" t="n"/>
      <c r="SCD82" s="440" t="n"/>
      <c r="SCE82" s="440" t="n"/>
      <c r="SCF82" s="440" t="n"/>
      <c r="SCG82" s="440" t="n"/>
      <c r="SCH82" s="440" t="n"/>
      <c r="SCI82" s="440" t="n"/>
      <c r="SCJ82" s="440" t="n"/>
      <c r="SCK82" s="440" t="n"/>
      <c r="SCL82" s="440" t="n"/>
      <c r="SCM82" s="440" t="n"/>
      <c r="SCN82" s="440" t="n"/>
      <c r="SCO82" s="440" t="n"/>
      <c r="SCP82" s="440" t="n"/>
      <c r="SCQ82" s="440" t="n"/>
      <c r="SCR82" s="440" t="n"/>
      <c r="SCS82" s="440" t="n"/>
      <c r="SCT82" s="440" t="n"/>
      <c r="SCU82" s="440" t="n"/>
      <c r="SCV82" s="440" t="n"/>
      <c r="SCW82" s="440" t="n"/>
      <c r="SCX82" s="440" t="n"/>
      <c r="SCY82" s="440" t="n"/>
      <c r="SCZ82" s="440" t="n"/>
      <c r="SDA82" s="440" t="n"/>
      <c r="SDB82" s="440" t="n"/>
      <c r="SDC82" s="440" t="n"/>
      <c r="SDD82" s="440" t="n"/>
      <c r="SDE82" s="440" t="n"/>
      <c r="SDF82" s="440" t="n"/>
      <c r="SDG82" s="440" t="n"/>
      <c r="SDH82" s="440" t="n"/>
      <c r="SDI82" s="440" t="n"/>
      <c r="SDJ82" s="440" t="n"/>
      <c r="SDK82" s="440" t="n"/>
      <c r="SDL82" s="440" t="n"/>
      <c r="SDM82" s="440" t="n"/>
      <c r="SDN82" s="440" t="n"/>
      <c r="SDO82" s="440" t="n"/>
      <c r="SDP82" s="440" t="n"/>
      <c r="SDQ82" s="440" t="n"/>
      <c r="SDR82" s="440" t="n"/>
      <c r="SDS82" s="440" t="n"/>
      <c r="SDT82" s="440" t="n"/>
      <c r="SDU82" s="440" t="n"/>
      <c r="SDV82" s="440" t="n"/>
      <c r="SDW82" s="440" t="n"/>
      <c r="SDX82" s="440" t="n"/>
      <c r="SDY82" s="440" t="n"/>
      <c r="SDZ82" s="440" t="n"/>
      <c r="SEA82" s="440" t="n"/>
      <c r="SEB82" s="440" t="n"/>
      <c r="SEC82" s="440" t="n"/>
      <c r="SED82" s="440" t="n"/>
      <c r="SEE82" s="440" t="n"/>
      <c r="SEF82" s="440" t="n"/>
      <c r="SEG82" s="440" t="n"/>
      <c r="SEH82" s="440" t="n"/>
      <c r="SEI82" s="440" t="n"/>
      <c r="SEJ82" s="440" t="n"/>
      <c r="SEK82" s="440" t="n"/>
      <c r="SEL82" s="440" t="n"/>
      <c r="SEM82" s="440" t="n"/>
      <c r="SEN82" s="440" t="n"/>
      <c r="SEO82" s="440" t="n"/>
      <c r="SEP82" s="440" t="n"/>
      <c r="SEQ82" s="440" t="n"/>
      <c r="SER82" s="440" t="n"/>
      <c r="SES82" s="440" t="n"/>
      <c r="SET82" s="440" t="n"/>
      <c r="SEU82" s="440" t="n"/>
      <c r="SEV82" s="440" t="n"/>
      <c r="SEW82" s="440" t="n"/>
      <c r="SEX82" s="440" t="n"/>
      <c r="SEY82" s="440" t="n"/>
      <c r="SEZ82" s="440" t="n"/>
      <c r="SFA82" s="440" t="n"/>
      <c r="SFB82" s="440" t="n"/>
      <c r="SFC82" s="440" t="n"/>
      <c r="SFD82" s="440" t="n"/>
      <c r="SFE82" s="440" t="n"/>
      <c r="SFF82" s="440" t="n"/>
      <c r="SFG82" s="440" t="n"/>
      <c r="SFH82" s="440" t="n"/>
      <c r="SFI82" s="440" t="n"/>
      <c r="SFJ82" s="440" t="n"/>
      <c r="SFK82" s="440" t="n"/>
      <c r="SFL82" s="440" t="n"/>
      <c r="SFM82" s="440" t="n"/>
      <c r="SFN82" s="440" t="n"/>
      <c r="SFO82" s="440" t="n"/>
      <c r="SFP82" s="440" t="n"/>
      <c r="SFQ82" s="440" t="n"/>
      <c r="SFR82" s="440" t="n"/>
      <c r="SFS82" s="440" t="n"/>
      <c r="SFT82" s="440" t="n"/>
      <c r="SFU82" s="440" t="n"/>
      <c r="SFV82" s="440" t="n"/>
      <c r="SFW82" s="440" t="n"/>
      <c r="SFX82" s="440" t="n"/>
      <c r="SFY82" s="440" t="n"/>
      <c r="SFZ82" s="440" t="n"/>
      <c r="SGA82" s="440" t="n"/>
      <c r="SGB82" s="440" t="n"/>
      <c r="SGC82" s="440" t="n"/>
      <c r="SGD82" s="440" t="n"/>
      <c r="SGE82" s="440" t="n"/>
      <c r="SGF82" s="440" t="n"/>
      <c r="SGG82" s="440" t="n"/>
      <c r="SGH82" s="440" t="n"/>
      <c r="SGI82" s="440" t="n"/>
      <c r="SGJ82" s="440" t="n"/>
      <c r="SGK82" s="440" t="n"/>
      <c r="SGL82" s="440" t="n"/>
      <c r="SGM82" s="440" t="n"/>
      <c r="SGN82" s="440" t="n"/>
      <c r="SGO82" s="440" t="n"/>
      <c r="SGP82" s="440" t="n"/>
      <c r="SGQ82" s="440" t="n"/>
      <c r="SGR82" s="440" t="n"/>
      <c r="SGS82" s="440" t="n"/>
      <c r="SGT82" s="440" t="n"/>
      <c r="SGU82" s="440" t="n"/>
      <c r="SGV82" s="440" t="n"/>
      <c r="SGW82" s="440" t="n"/>
      <c r="SGX82" s="440" t="n"/>
      <c r="SGY82" s="440" t="n"/>
      <c r="SGZ82" s="440" t="n"/>
      <c r="SHA82" s="440" t="n"/>
      <c r="SHB82" s="440" t="n"/>
      <c r="SHC82" s="440" t="n"/>
      <c r="SHD82" s="440" t="n"/>
      <c r="SHE82" s="440" t="n"/>
      <c r="SHF82" s="440" t="n"/>
      <c r="SHG82" s="440" t="n"/>
      <c r="SHH82" s="440" t="n"/>
      <c r="SHI82" s="440" t="n"/>
      <c r="SHJ82" s="440" t="n"/>
      <c r="SHK82" s="440" t="n"/>
      <c r="SHL82" s="440" t="n"/>
      <c r="SHM82" s="440" t="n"/>
      <c r="SHN82" s="440" t="n"/>
      <c r="SHO82" s="440" t="n"/>
      <c r="SHP82" s="440" t="n"/>
      <c r="SHQ82" s="440" t="n"/>
      <c r="SHR82" s="440" t="n"/>
      <c r="SHS82" s="440" t="n"/>
      <c r="SHT82" s="440" t="n"/>
      <c r="SHU82" s="440" t="n"/>
      <c r="SHV82" s="440" t="n"/>
      <c r="SHW82" s="440" t="n"/>
      <c r="SHX82" s="440" t="n"/>
      <c r="SHY82" s="440" t="n"/>
      <c r="SHZ82" s="440" t="n"/>
      <c r="SIA82" s="440" t="n"/>
      <c r="SIB82" s="440" t="n"/>
      <c r="SIC82" s="440" t="n"/>
      <c r="SID82" s="440" t="n"/>
      <c r="SIE82" s="440" t="n"/>
      <c r="SIF82" s="440" t="n"/>
      <c r="SIG82" s="440" t="n"/>
      <c r="SIH82" s="440" t="n"/>
      <c r="SII82" s="440" t="n"/>
      <c r="SIJ82" s="440" t="n"/>
      <c r="SIK82" s="440" t="n"/>
      <c r="SIL82" s="440" t="n"/>
      <c r="SIM82" s="440" t="n"/>
      <c r="SIN82" s="440" t="n"/>
      <c r="SIO82" s="440" t="n"/>
      <c r="SIP82" s="440" t="n"/>
      <c r="SIQ82" s="440" t="n"/>
      <c r="SIR82" s="440" t="n"/>
      <c r="SIS82" s="440" t="n"/>
      <c r="SIT82" s="440" t="n"/>
      <c r="SIU82" s="440" t="n"/>
      <c r="SIV82" s="440" t="n"/>
      <c r="SIW82" s="440" t="n"/>
      <c r="SIX82" s="440" t="n"/>
      <c r="SIY82" s="440" t="n"/>
      <c r="SIZ82" s="440" t="n"/>
      <c r="SJA82" s="440" t="n"/>
      <c r="SJB82" s="440" t="n"/>
      <c r="SJC82" s="440" t="n"/>
      <c r="SJD82" s="440" t="n"/>
      <c r="SJE82" s="440" t="n"/>
      <c r="SJF82" s="440" t="n"/>
      <c r="SJG82" s="440" t="n"/>
      <c r="SJH82" s="440" t="n"/>
      <c r="SJI82" s="440" t="n"/>
      <c r="SJJ82" s="440" t="n"/>
      <c r="SJK82" s="440" t="n"/>
      <c r="SJL82" s="440" t="n"/>
      <c r="SJM82" s="440" t="n"/>
      <c r="SJN82" s="440" t="n"/>
      <c r="SJO82" s="440" t="n"/>
      <c r="SJP82" s="440" t="n"/>
      <c r="SJQ82" s="440" t="n"/>
      <c r="SJR82" s="440" t="n"/>
      <c r="SJS82" s="440" t="n"/>
      <c r="SJT82" s="440" t="n"/>
      <c r="SJU82" s="440" t="n"/>
      <c r="SJV82" s="440" t="n"/>
      <c r="SJW82" s="440" t="n"/>
      <c r="SJX82" s="440" t="n"/>
      <c r="SJY82" s="440" t="n"/>
      <c r="SJZ82" s="440" t="n"/>
      <c r="SKA82" s="440" t="n"/>
      <c r="SKB82" s="440" t="n"/>
      <c r="SKC82" s="440" t="n"/>
      <c r="SKD82" s="440" t="n"/>
      <c r="SKE82" s="440" t="n"/>
      <c r="SKF82" s="440" t="n"/>
      <c r="SKG82" s="440" t="n"/>
      <c r="SKH82" s="440" t="n"/>
      <c r="SKI82" s="440" t="n"/>
      <c r="SKJ82" s="440" t="n"/>
      <c r="SKK82" s="440" t="n"/>
      <c r="SKL82" s="440" t="n"/>
      <c r="SKM82" s="440" t="n"/>
      <c r="SKN82" s="440" t="n"/>
      <c r="SKO82" s="440" t="n"/>
      <c r="SKP82" s="440" t="n"/>
      <c r="SKQ82" s="440" t="n"/>
      <c r="SKR82" s="440" t="n"/>
      <c r="SKS82" s="440" t="n"/>
      <c r="SKT82" s="440" t="n"/>
      <c r="SKU82" s="440" t="n"/>
      <c r="SKV82" s="440" t="n"/>
      <c r="SKW82" s="440" t="n"/>
      <c r="SKX82" s="440" t="n"/>
      <c r="SKY82" s="440" t="n"/>
      <c r="SKZ82" s="440" t="n"/>
      <c r="SLA82" s="440" t="n"/>
      <c r="SLB82" s="440" t="n"/>
      <c r="SLC82" s="440" t="n"/>
      <c r="SLD82" s="440" t="n"/>
      <c r="SLE82" s="440" t="n"/>
      <c r="SLF82" s="440" t="n"/>
      <c r="SLG82" s="440" t="n"/>
      <c r="SLH82" s="440" t="n"/>
      <c r="SLI82" s="440" t="n"/>
      <c r="SLJ82" s="440" t="n"/>
      <c r="SLK82" s="440" t="n"/>
      <c r="SLL82" s="440" t="n"/>
      <c r="SLM82" s="440" t="n"/>
      <c r="SLN82" s="440" t="n"/>
      <c r="SLO82" s="440" t="n"/>
      <c r="SLP82" s="440" t="n"/>
      <c r="SLQ82" s="440" t="n"/>
      <c r="SLR82" s="440" t="n"/>
      <c r="SLS82" s="440" t="n"/>
      <c r="SLT82" s="440" t="n"/>
      <c r="SLU82" s="440" t="n"/>
      <c r="SLV82" s="440" t="n"/>
      <c r="SLW82" s="440" t="n"/>
      <c r="SLX82" s="440" t="n"/>
      <c r="SLY82" s="440" t="n"/>
      <c r="SLZ82" s="440" t="n"/>
      <c r="SMA82" s="440" t="n"/>
      <c r="SMB82" s="440" t="n"/>
      <c r="SMC82" s="440" t="n"/>
      <c r="SMD82" s="440" t="n"/>
      <c r="SME82" s="440" t="n"/>
      <c r="SMF82" s="440" t="n"/>
      <c r="SMG82" s="440" t="n"/>
      <c r="SMH82" s="440" t="n"/>
      <c r="SMI82" s="440" t="n"/>
      <c r="SMJ82" s="440" t="n"/>
      <c r="SMK82" s="440" t="n"/>
      <c r="SML82" s="440" t="n"/>
      <c r="SMM82" s="440" t="n"/>
      <c r="SMN82" s="440" t="n"/>
      <c r="SMO82" s="440" t="n"/>
      <c r="SMP82" s="440" t="n"/>
      <c r="SMQ82" s="440" t="n"/>
      <c r="SMR82" s="440" t="n"/>
      <c r="SMS82" s="440" t="n"/>
      <c r="SMT82" s="440" t="n"/>
      <c r="SMU82" s="440" t="n"/>
      <c r="SMV82" s="440" t="n"/>
      <c r="SMW82" s="440" t="n"/>
      <c r="SMX82" s="440" t="n"/>
      <c r="SMY82" s="440" t="n"/>
      <c r="SMZ82" s="440" t="n"/>
      <c r="SNA82" s="440" t="n"/>
      <c r="SNB82" s="440" t="n"/>
      <c r="SNC82" s="440" t="n"/>
      <c r="SND82" s="440" t="n"/>
      <c r="SNE82" s="440" t="n"/>
      <c r="SNF82" s="440" t="n"/>
      <c r="SNG82" s="440" t="n"/>
      <c r="SNH82" s="440" t="n"/>
      <c r="SNI82" s="440" t="n"/>
      <c r="SNJ82" s="440" t="n"/>
      <c r="SNK82" s="440" t="n"/>
      <c r="SNL82" s="440" t="n"/>
      <c r="SNM82" s="440" t="n"/>
      <c r="SNN82" s="440" t="n"/>
      <c r="SNO82" s="440" t="n"/>
      <c r="SNP82" s="440" t="n"/>
      <c r="SNQ82" s="440" t="n"/>
      <c r="SNR82" s="440" t="n"/>
      <c r="SNS82" s="440" t="n"/>
      <c r="SNT82" s="440" t="n"/>
      <c r="SNU82" s="440" t="n"/>
      <c r="SNV82" s="440" t="n"/>
      <c r="SNW82" s="440" t="n"/>
      <c r="SNX82" s="440" t="n"/>
      <c r="SNY82" s="440" t="n"/>
      <c r="SNZ82" s="440" t="n"/>
      <c r="SOA82" s="440" t="n"/>
      <c r="SOB82" s="440" t="n"/>
      <c r="SOC82" s="440" t="n"/>
      <c r="SOD82" s="440" t="n"/>
      <c r="SOE82" s="440" t="n"/>
      <c r="SOF82" s="440" t="n"/>
      <c r="SOG82" s="440" t="n"/>
      <c r="SOH82" s="440" t="n"/>
      <c r="SOI82" s="440" t="n"/>
      <c r="SOJ82" s="440" t="n"/>
      <c r="SOK82" s="440" t="n"/>
      <c r="SOL82" s="440" t="n"/>
      <c r="SOM82" s="440" t="n"/>
      <c r="SON82" s="440" t="n"/>
      <c r="SOO82" s="440" t="n"/>
      <c r="SOP82" s="440" t="n"/>
      <c r="SOQ82" s="440" t="n"/>
      <c r="SOR82" s="440" t="n"/>
      <c r="SOS82" s="440" t="n"/>
      <c r="SOT82" s="440" t="n"/>
      <c r="SOU82" s="440" t="n"/>
      <c r="SOV82" s="440" t="n"/>
      <c r="SOW82" s="440" t="n"/>
      <c r="SOX82" s="440" t="n"/>
      <c r="SOY82" s="440" t="n"/>
      <c r="SOZ82" s="440" t="n"/>
      <c r="SPA82" s="440" t="n"/>
      <c r="SPB82" s="440" t="n"/>
      <c r="SPC82" s="440" t="n"/>
      <c r="SPD82" s="440" t="n"/>
      <c r="SPE82" s="440" t="n"/>
      <c r="SPF82" s="440" t="n"/>
      <c r="SPG82" s="440" t="n"/>
      <c r="SPH82" s="440" t="n"/>
      <c r="SPI82" s="440" t="n"/>
      <c r="SPJ82" s="440" t="n"/>
      <c r="SPK82" s="440" t="n"/>
      <c r="SPL82" s="440" t="n"/>
      <c r="SPM82" s="440" t="n"/>
      <c r="SPN82" s="440" t="n"/>
      <c r="SPO82" s="440" t="n"/>
      <c r="SPP82" s="440" t="n"/>
      <c r="SPQ82" s="440" t="n"/>
      <c r="SPR82" s="440" t="n"/>
      <c r="SPS82" s="440" t="n"/>
      <c r="SPT82" s="440" t="n"/>
      <c r="SPU82" s="440" t="n"/>
      <c r="SPV82" s="440" t="n"/>
      <c r="SPW82" s="440" t="n"/>
      <c r="SPX82" s="440" t="n"/>
      <c r="SPY82" s="440" t="n"/>
      <c r="SPZ82" s="440" t="n"/>
      <c r="SQA82" s="440" t="n"/>
      <c r="SQB82" s="440" t="n"/>
      <c r="SQC82" s="440" t="n"/>
      <c r="SQD82" s="440" t="n"/>
      <c r="SQE82" s="440" t="n"/>
      <c r="SQF82" s="440" t="n"/>
      <c r="SQG82" s="440" t="n"/>
      <c r="SQH82" s="440" t="n"/>
      <c r="SQI82" s="440" t="n"/>
      <c r="SQJ82" s="440" t="n"/>
      <c r="SQK82" s="440" t="n"/>
      <c r="SQL82" s="440" t="n"/>
      <c r="SQM82" s="440" t="n"/>
      <c r="SQN82" s="440" t="n"/>
      <c r="SQO82" s="440" t="n"/>
      <c r="SQP82" s="440" t="n"/>
      <c r="SQQ82" s="440" t="n"/>
      <c r="SQR82" s="440" t="n"/>
      <c r="SQS82" s="440" t="n"/>
      <c r="SQT82" s="440" t="n"/>
      <c r="SQU82" s="440" t="n"/>
      <c r="SQV82" s="440" t="n"/>
      <c r="SQW82" s="440" t="n"/>
      <c r="SQX82" s="440" t="n"/>
      <c r="SQY82" s="440" t="n"/>
      <c r="SQZ82" s="440" t="n"/>
      <c r="SRA82" s="440" t="n"/>
      <c r="SRB82" s="440" t="n"/>
      <c r="SRC82" s="440" t="n"/>
      <c r="SRD82" s="440" t="n"/>
      <c r="SRE82" s="440" t="n"/>
      <c r="SRF82" s="440" t="n"/>
      <c r="SRG82" s="440" t="n"/>
      <c r="SRH82" s="440" t="n"/>
      <c r="SRI82" s="440" t="n"/>
      <c r="SRJ82" s="440" t="n"/>
      <c r="SRK82" s="440" t="n"/>
      <c r="SRL82" s="440" t="n"/>
      <c r="SRM82" s="440" t="n"/>
      <c r="SRN82" s="440" t="n"/>
      <c r="SRO82" s="440" t="n"/>
      <c r="SRP82" s="440" t="n"/>
      <c r="SRQ82" s="440" t="n"/>
      <c r="SRR82" s="440" t="n"/>
      <c r="SRS82" s="440" t="n"/>
      <c r="SRT82" s="440" t="n"/>
      <c r="SRU82" s="440" t="n"/>
      <c r="SRV82" s="440" t="n"/>
      <c r="SRW82" s="440" t="n"/>
      <c r="SRX82" s="440" t="n"/>
      <c r="SRY82" s="440" t="n"/>
      <c r="SRZ82" s="440" t="n"/>
      <c r="SSA82" s="440" t="n"/>
      <c r="SSB82" s="440" t="n"/>
      <c r="SSC82" s="440" t="n"/>
      <c r="SSD82" s="440" t="n"/>
      <c r="SSE82" s="440" t="n"/>
      <c r="SSF82" s="440" t="n"/>
      <c r="SSG82" s="440" t="n"/>
      <c r="SSH82" s="440" t="n"/>
      <c r="SSI82" s="440" t="n"/>
      <c r="SSJ82" s="440" t="n"/>
      <c r="SSK82" s="440" t="n"/>
      <c r="SSL82" s="440" t="n"/>
      <c r="SSM82" s="440" t="n"/>
      <c r="SSN82" s="440" t="n"/>
      <c r="SSO82" s="440" t="n"/>
      <c r="SSP82" s="440" t="n"/>
      <c r="SSQ82" s="440" t="n"/>
      <c r="SSR82" s="440" t="n"/>
      <c r="SSS82" s="440" t="n"/>
      <c r="SST82" s="440" t="n"/>
      <c r="SSU82" s="440" t="n"/>
      <c r="SSV82" s="440" t="n"/>
      <c r="SSW82" s="440" t="n"/>
      <c r="SSX82" s="440" t="n"/>
      <c r="SSY82" s="440" t="n"/>
      <c r="SSZ82" s="440" t="n"/>
      <c r="STA82" s="440" t="n"/>
      <c r="STB82" s="440" t="n"/>
      <c r="STC82" s="440" t="n"/>
      <c r="STD82" s="440" t="n"/>
      <c r="STE82" s="440" t="n"/>
      <c r="STF82" s="440" t="n"/>
      <c r="STG82" s="440" t="n"/>
      <c r="STH82" s="440" t="n"/>
      <c r="STI82" s="440" t="n"/>
      <c r="STJ82" s="440" t="n"/>
      <c r="STK82" s="440" t="n"/>
      <c r="STL82" s="440" t="n"/>
      <c r="STM82" s="440" t="n"/>
      <c r="STN82" s="440" t="n"/>
      <c r="STO82" s="440" t="n"/>
      <c r="STP82" s="440" t="n"/>
      <c r="STQ82" s="440" t="n"/>
      <c r="STR82" s="440" t="n"/>
      <c r="STS82" s="440" t="n"/>
      <c r="STT82" s="440" t="n"/>
      <c r="STU82" s="440" t="n"/>
      <c r="STV82" s="440" t="n"/>
      <c r="STW82" s="440" t="n"/>
      <c r="STX82" s="440" t="n"/>
      <c r="STY82" s="440" t="n"/>
      <c r="STZ82" s="440" t="n"/>
      <c r="SUA82" s="440" t="n"/>
      <c r="SUB82" s="440" t="n"/>
      <c r="SUC82" s="440" t="n"/>
      <c r="SUD82" s="440" t="n"/>
      <c r="SUE82" s="440" t="n"/>
      <c r="SUF82" s="440" t="n"/>
      <c r="SUG82" s="440" t="n"/>
      <c r="SUH82" s="440" t="n"/>
      <c r="SUI82" s="440" t="n"/>
      <c r="SUJ82" s="440" t="n"/>
      <c r="SUK82" s="440" t="n"/>
      <c r="SUL82" s="440" t="n"/>
      <c r="SUM82" s="440" t="n"/>
      <c r="SUN82" s="440" t="n"/>
      <c r="SUO82" s="440" t="n"/>
      <c r="SUP82" s="440" t="n"/>
      <c r="SUQ82" s="440" t="n"/>
      <c r="SUR82" s="440" t="n"/>
      <c r="SUS82" s="440" t="n"/>
      <c r="SUT82" s="440" t="n"/>
      <c r="SUU82" s="440" t="n"/>
      <c r="SUV82" s="440" t="n"/>
      <c r="SUW82" s="440" t="n"/>
      <c r="SUX82" s="440" t="n"/>
      <c r="SUY82" s="440" t="n"/>
      <c r="SUZ82" s="440" t="n"/>
      <c r="SVA82" s="440" t="n"/>
      <c r="SVB82" s="440" t="n"/>
      <c r="SVC82" s="440" t="n"/>
      <c r="SVD82" s="440" t="n"/>
      <c r="SVE82" s="440" t="n"/>
      <c r="SVF82" s="440" t="n"/>
      <c r="SVG82" s="440" t="n"/>
      <c r="SVH82" s="440" t="n"/>
      <c r="SVI82" s="440" t="n"/>
      <c r="SVJ82" s="440" t="n"/>
      <c r="SVK82" s="440" t="n"/>
      <c r="SVL82" s="440" t="n"/>
      <c r="SVM82" s="440" t="n"/>
      <c r="SVN82" s="440" t="n"/>
      <c r="SVO82" s="440" t="n"/>
      <c r="SVP82" s="440" t="n"/>
      <c r="SVQ82" s="440" t="n"/>
      <c r="SVR82" s="440" t="n"/>
      <c r="SVS82" s="440" t="n"/>
      <c r="SVT82" s="440" t="n"/>
      <c r="SVU82" s="440" t="n"/>
      <c r="SVV82" s="440" t="n"/>
      <c r="SVW82" s="440" t="n"/>
      <c r="SVX82" s="440" t="n"/>
      <c r="SVY82" s="440" t="n"/>
      <c r="SVZ82" s="440" t="n"/>
      <c r="SWA82" s="440" t="n"/>
      <c r="SWB82" s="440" t="n"/>
      <c r="SWC82" s="440" t="n"/>
      <c r="SWD82" s="440" t="n"/>
      <c r="SWE82" s="440" t="n"/>
      <c r="SWF82" s="440" t="n"/>
      <c r="SWG82" s="440" t="n"/>
      <c r="SWH82" s="440" t="n"/>
      <c r="SWI82" s="440" t="n"/>
      <c r="SWJ82" s="440" t="n"/>
      <c r="SWK82" s="440" t="n"/>
      <c r="SWL82" s="440" t="n"/>
      <c r="SWM82" s="440" t="n"/>
      <c r="SWN82" s="440" t="n"/>
      <c r="SWO82" s="440" t="n"/>
      <c r="SWP82" s="440" t="n"/>
      <c r="SWQ82" s="440" t="n"/>
      <c r="SWR82" s="440" t="n"/>
      <c r="SWS82" s="440" t="n"/>
      <c r="SWT82" s="440" t="n"/>
      <c r="SWU82" s="440" t="n"/>
      <c r="SWV82" s="440" t="n"/>
      <c r="SWW82" s="440" t="n"/>
      <c r="SWX82" s="440" t="n"/>
      <c r="SWY82" s="440" t="n"/>
      <c r="SWZ82" s="440" t="n"/>
      <c r="SXA82" s="440" t="n"/>
      <c r="SXB82" s="440" t="n"/>
      <c r="SXC82" s="440" t="n"/>
      <c r="SXD82" s="440" t="n"/>
      <c r="SXE82" s="440" t="n"/>
      <c r="SXF82" s="440" t="n"/>
      <c r="SXG82" s="440" t="n"/>
      <c r="SXH82" s="440" t="n"/>
      <c r="SXI82" s="440" t="n"/>
      <c r="SXJ82" s="440" t="n"/>
      <c r="SXK82" s="440" t="n"/>
      <c r="SXL82" s="440" t="n"/>
      <c r="SXM82" s="440" t="n"/>
      <c r="SXN82" s="440" t="n"/>
      <c r="SXO82" s="440" t="n"/>
      <c r="SXP82" s="440" t="n"/>
      <c r="SXQ82" s="440" t="n"/>
      <c r="SXR82" s="440" t="n"/>
      <c r="SXS82" s="440" t="n"/>
      <c r="SXT82" s="440" t="n"/>
      <c r="SXU82" s="440" t="n"/>
      <c r="SXV82" s="440" t="n"/>
      <c r="SXW82" s="440" t="n"/>
      <c r="SXX82" s="440" t="n"/>
      <c r="SXY82" s="440" t="n"/>
      <c r="SXZ82" s="440" t="n"/>
      <c r="SYA82" s="440" t="n"/>
      <c r="SYB82" s="440" t="n"/>
      <c r="SYC82" s="440" t="n"/>
      <c r="SYD82" s="440" t="n"/>
      <c r="SYE82" s="440" t="n"/>
      <c r="SYF82" s="440" t="n"/>
      <c r="SYG82" s="440" t="n"/>
      <c r="SYH82" s="440" t="n"/>
      <c r="SYI82" s="440" t="n"/>
      <c r="SYJ82" s="440" t="n"/>
      <c r="SYK82" s="440" t="n"/>
      <c r="SYL82" s="440" t="n"/>
      <c r="SYM82" s="440" t="n"/>
      <c r="SYN82" s="440" t="n"/>
      <c r="SYO82" s="440" t="n"/>
      <c r="SYP82" s="440" t="n"/>
      <c r="SYQ82" s="440" t="n"/>
      <c r="SYR82" s="440" t="n"/>
      <c r="SYS82" s="440" t="n"/>
      <c r="SYT82" s="440" t="n"/>
      <c r="SYU82" s="440" t="n"/>
      <c r="SYV82" s="440" t="n"/>
      <c r="SYW82" s="440" t="n"/>
      <c r="SYX82" s="440" t="n"/>
      <c r="SYY82" s="440" t="n"/>
      <c r="SYZ82" s="440" t="n"/>
      <c r="SZA82" s="440" t="n"/>
      <c r="SZB82" s="440" t="n"/>
      <c r="SZC82" s="440" t="n"/>
      <c r="SZD82" s="440" t="n"/>
      <c r="SZE82" s="440" t="n"/>
      <c r="SZF82" s="440" t="n"/>
      <c r="SZG82" s="440" t="n"/>
      <c r="SZH82" s="440" t="n"/>
      <c r="SZI82" s="440" t="n"/>
      <c r="SZJ82" s="440" t="n"/>
      <c r="SZK82" s="440" t="n"/>
      <c r="SZL82" s="440" t="n"/>
      <c r="SZM82" s="440" t="n"/>
      <c r="SZN82" s="440" t="n"/>
      <c r="SZO82" s="440" t="n"/>
      <c r="SZP82" s="440" t="n"/>
      <c r="SZQ82" s="440" t="n"/>
      <c r="SZR82" s="440" t="n"/>
      <c r="SZS82" s="440" t="n"/>
      <c r="SZT82" s="440" t="n"/>
      <c r="SZU82" s="440" t="n"/>
      <c r="SZV82" s="440" t="n"/>
      <c r="SZW82" s="440" t="n"/>
      <c r="SZX82" s="440" t="n"/>
      <c r="SZY82" s="440" t="n"/>
      <c r="SZZ82" s="440" t="n"/>
      <c r="TAA82" s="440" t="n"/>
      <c r="TAB82" s="440" t="n"/>
      <c r="TAC82" s="440" t="n"/>
      <c r="TAD82" s="440" t="n"/>
      <c r="TAE82" s="440" t="n"/>
      <c r="TAF82" s="440" t="n"/>
      <c r="TAG82" s="440" t="n"/>
      <c r="TAH82" s="440" t="n"/>
      <c r="TAI82" s="440" t="n"/>
      <c r="TAJ82" s="440" t="n"/>
      <c r="TAK82" s="440" t="n"/>
      <c r="TAL82" s="440" t="n"/>
      <c r="TAM82" s="440" t="n"/>
      <c r="TAN82" s="440" t="n"/>
      <c r="TAO82" s="440" t="n"/>
      <c r="TAP82" s="440" t="n"/>
      <c r="TAQ82" s="440" t="n"/>
      <c r="TAR82" s="440" t="n"/>
      <c r="TAS82" s="440" t="n"/>
      <c r="TAT82" s="440" t="n"/>
      <c r="TAU82" s="440" t="n"/>
      <c r="TAV82" s="440" t="n"/>
      <c r="TAW82" s="440" t="n"/>
      <c r="TAX82" s="440" t="n"/>
      <c r="TAY82" s="440" t="n"/>
      <c r="TAZ82" s="440" t="n"/>
      <c r="TBA82" s="440" t="n"/>
      <c r="TBB82" s="440" t="n"/>
      <c r="TBC82" s="440" t="n"/>
      <c r="TBD82" s="440" t="n"/>
      <c r="TBE82" s="440" t="n"/>
      <c r="TBF82" s="440" t="n"/>
      <c r="TBG82" s="440" t="n"/>
      <c r="TBH82" s="440" t="n"/>
      <c r="TBI82" s="440" t="n"/>
      <c r="TBJ82" s="440" t="n"/>
      <c r="TBK82" s="440" t="n"/>
      <c r="TBL82" s="440" t="n"/>
      <c r="TBM82" s="440" t="n"/>
      <c r="TBN82" s="440" t="n"/>
      <c r="TBO82" s="440" t="n"/>
      <c r="TBP82" s="440" t="n"/>
      <c r="TBQ82" s="440" t="n"/>
      <c r="TBR82" s="440" t="n"/>
      <c r="TBS82" s="440" t="n"/>
      <c r="TBT82" s="440" t="n"/>
      <c r="TBU82" s="440" t="n"/>
      <c r="TBV82" s="440" t="n"/>
      <c r="TBW82" s="440" t="n"/>
      <c r="TBX82" s="440" t="n"/>
      <c r="TBY82" s="440" t="n"/>
      <c r="TBZ82" s="440" t="n"/>
      <c r="TCA82" s="440" t="n"/>
      <c r="TCB82" s="440" t="n"/>
      <c r="TCC82" s="440" t="n"/>
      <c r="TCD82" s="440" t="n"/>
      <c r="TCE82" s="440" t="n"/>
      <c r="TCF82" s="440" t="n"/>
      <c r="TCG82" s="440" t="n"/>
      <c r="TCH82" s="440" t="n"/>
      <c r="TCI82" s="440" t="n"/>
      <c r="TCJ82" s="440" t="n"/>
      <c r="TCK82" s="440" t="n"/>
      <c r="TCL82" s="440" t="n"/>
      <c r="TCM82" s="440" t="n"/>
      <c r="TCN82" s="440" t="n"/>
      <c r="TCO82" s="440" t="n"/>
      <c r="TCP82" s="440" t="n"/>
      <c r="TCQ82" s="440" t="n"/>
      <c r="TCR82" s="440" t="n"/>
      <c r="TCS82" s="440" t="n"/>
      <c r="TCT82" s="440" t="n"/>
      <c r="TCU82" s="440" t="n"/>
      <c r="TCV82" s="440" t="n"/>
      <c r="TCW82" s="440" t="n"/>
      <c r="TCX82" s="440" t="n"/>
      <c r="TCY82" s="440" t="n"/>
      <c r="TCZ82" s="440" t="n"/>
      <c r="TDA82" s="440" t="n"/>
      <c r="TDB82" s="440" t="n"/>
      <c r="TDC82" s="440" t="n"/>
      <c r="TDD82" s="440" t="n"/>
      <c r="TDE82" s="440" t="n"/>
      <c r="TDF82" s="440" t="n"/>
      <c r="TDG82" s="440" t="n"/>
      <c r="TDH82" s="440" t="n"/>
      <c r="TDI82" s="440" t="n"/>
      <c r="TDJ82" s="440" t="n"/>
      <c r="TDK82" s="440" t="n"/>
      <c r="TDL82" s="440" t="n"/>
      <c r="TDM82" s="440" t="n"/>
      <c r="TDN82" s="440" t="n"/>
      <c r="TDO82" s="440" t="n"/>
      <c r="TDP82" s="440" t="n"/>
      <c r="TDQ82" s="440" t="n"/>
      <c r="TDR82" s="440" t="n"/>
      <c r="TDS82" s="440" t="n"/>
      <c r="TDT82" s="440" t="n"/>
      <c r="TDU82" s="440" t="n"/>
      <c r="TDV82" s="440" t="n"/>
      <c r="TDW82" s="440" t="n"/>
      <c r="TDX82" s="440" t="n"/>
      <c r="TDY82" s="440" t="n"/>
      <c r="TDZ82" s="440" t="n"/>
      <c r="TEA82" s="440" t="n"/>
      <c r="TEB82" s="440" t="n"/>
      <c r="TEC82" s="440" t="n"/>
      <c r="TED82" s="440" t="n"/>
      <c r="TEE82" s="440" t="n"/>
      <c r="TEF82" s="440" t="n"/>
      <c r="TEG82" s="440" t="n"/>
      <c r="TEH82" s="440" t="n"/>
      <c r="TEI82" s="440" t="n"/>
      <c r="TEJ82" s="440" t="n"/>
      <c r="TEK82" s="440" t="n"/>
      <c r="TEL82" s="440" t="n"/>
      <c r="TEM82" s="440" t="n"/>
      <c r="TEN82" s="440" t="n"/>
      <c r="TEO82" s="440" t="n"/>
      <c r="TEP82" s="440" t="n"/>
      <c r="TEQ82" s="440" t="n"/>
      <c r="TER82" s="440" t="n"/>
      <c r="TES82" s="440" t="n"/>
      <c r="TET82" s="440" t="n"/>
      <c r="TEU82" s="440" t="n"/>
      <c r="TEV82" s="440" t="n"/>
      <c r="TEW82" s="440" t="n"/>
      <c r="TEX82" s="440" t="n"/>
      <c r="TEY82" s="440" t="n"/>
      <c r="TEZ82" s="440" t="n"/>
      <c r="TFA82" s="440" t="n"/>
      <c r="TFB82" s="440" t="n"/>
      <c r="TFC82" s="440" t="n"/>
      <c r="TFD82" s="440" t="n"/>
      <c r="TFE82" s="440" t="n"/>
      <c r="TFF82" s="440" t="n"/>
      <c r="TFG82" s="440" t="n"/>
      <c r="TFH82" s="440" t="n"/>
      <c r="TFI82" s="440" t="n"/>
      <c r="TFJ82" s="440" t="n"/>
      <c r="TFK82" s="440" t="n"/>
      <c r="TFL82" s="440" t="n"/>
      <c r="TFM82" s="440" t="n"/>
      <c r="TFN82" s="440" t="n"/>
      <c r="TFO82" s="440" t="n"/>
      <c r="TFP82" s="440" t="n"/>
      <c r="TFQ82" s="440" t="n"/>
      <c r="TFR82" s="440" t="n"/>
      <c r="TFS82" s="440" t="n"/>
      <c r="TFT82" s="440" t="n"/>
      <c r="TFU82" s="440" t="n"/>
      <c r="TFV82" s="440" t="n"/>
      <c r="TFW82" s="440" t="n"/>
      <c r="TFX82" s="440" t="n"/>
      <c r="TFY82" s="440" t="n"/>
      <c r="TFZ82" s="440" t="n"/>
      <c r="TGA82" s="440" t="n"/>
      <c r="TGB82" s="440" t="n"/>
      <c r="TGC82" s="440" t="n"/>
      <c r="TGD82" s="440" t="n"/>
      <c r="TGE82" s="440" t="n"/>
      <c r="TGF82" s="440" t="n"/>
      <c r="TGG82" s="440" t="n"/>
      <c r="TGH82" s="440" t="n"/>
      <c r="TGI82" s="440" t="n"/>
      <c r="TGJ82" s="440" t="n"/>
      <c r="TGK82" s="440" t="n"/>
      <c r="TGL82" s="440" t="n"/>
      <c r="TGM82" s="440" t="n"/>
      <c r="TGN82" s="440" t="n"/>
      <c r="TGO82" s="440" t="n"/>
      <c r="TGP82" s="440" t="n"/>
      <c r="TGQ82" s="440" t="n"/>
      <c r="TGR82" s="440" t="n"/>
      <c r="TGS82" s="440" t="n"/>
      <c r="TGT82" s="440" t="n"/>
      <c r="TGU82" s="440" t="n"/>
      <c r="TGV82" s="440" t="n"/>
      <c r="TGW82" s="440" t="n"/>
      <c r="TGX82" s="440" t="n"/>
      <c r="TGY82" s="440" t="n"/>
      <c r="TGZ82" s="440" t="n"/>
      <c r="THA82" s="440" t="n"/>
      <c r="THB82" s="440" t="n"/>
      <c r="THC82" s="440" t="n"/>
      <c r="THD82" s="440" t="n"/>
      <c r="THE82" s="440" t="n"/>
      <c r="THF82" s="440" t="n"/>
      <c r="THG82" s="440" t="n"/>
      <c r="THH82" s="440" t="n"/>
      <c r="THI82" s="440" t="n"/>
      <c r="THJ82" s="440" t="n"/>
      <c r="THK82" s="440" t="n"/>
      <c r="THL82" s="440" t="n"/>
      <c r="THM82" s="440" t="n"/>
      <c r="THN82" s="440" t="n"/>
      <c r="THO82" s="440" t="n"/>
      <c r="THP82" s="440" t="n"/>
      <c r="THQ82" s="440" t="n"/>
      <c r="THR82" s="440" t="n"/>
      <c r="THS82" s="440" t="n"/>
      <c r="THT82" s="440" t="n"/>
      <c r="THU82" s="440" t="n"/>
      <c r="THV82" s="440" t="n"/>
      <c r="THW82" s="440" t="n"/>
      <c r="THX82" s="440" t="n"/>
      <c r="THY82" s="440" t="n"/>
      <c r="THZ82" s="440" t="n"/>
      <c r="TIA82" s="440" t="n"/>
      <c r="TIB82" s="440" t="n"/>
      <c r="TIC82" s="440" t="n"/>
      <c r="TID82" s="440" t="n"/>
      <c r="TIE82" s="440" t="n"/>
      <c r="TIF82" s="440" t="n"/>
      <c r="TIG82" s="440" t="n"/>
      <c r="TIH82" s="440" t="n"/>
      <c r="TII82" s="440" t="n"/>
      <c r="TIJ82" s="440" t="n"/>
      <c r="TIK82" s="440" t="n"/>
      <c r="TIL82" s="440" t="n"/>
      <c r="TIM82" s="440" t="n"/>
      <c r="TIN82" s="440" t="n"/>
      <c r="TIO82" s="440" t="n"/>
      <c r="TIP82" s="440" t="n"/>
      <c r="TIQ82" s="440" t="n"/>
      <c r="TIR82" s="440" t="n"/>
      <c r="TIS82" s="440" t="n"/>
      <c r="TIT82" s="440" t="n"/>
      <c r="TIU82" s="440" t="n"/>
      <c r="TIV82" s="440" t="n"/>
      <c r="TIW82" s="440" t="n"/>
      <c r="TIX82" s="440" t="n"/>
      <c r="TIY82" s="440" t="n"/>
      <c r="TIZ82" s="440" t="n"/>
      <c r="TJA82" s="440" t="n"/>
      <c r="TJB82" s="440" t="n"/>
      <c r="TJC82" s="440" t="n"/>
      <c r="TJD82" s="440" t="n"/>
      <c r="TJE82" s="440" t="n"/>
      <c r="TJF82" s="440" t="n"/>
      <c r="TJG82" s="440" t="n"/>
      <c r="TJH82" s="440" t="n"/>
      <c r="TJI82" s="440" t="n"/>
      <c r="TJJ82" s="440" t="n"/>
      <c r="TJK82" s="440" t="n"/>
      <c r="TJL82" s="440" t="n"/>
      <c r="TJM82" s="440" t="n"/>
      <c r="TJN82" s="440" t="n"/>
      <c r="TJO82" s="440" t="n"/>
      <c r="TJP82" s="440" t="n"/>
      <c r="TJQ82" s="440" t="n"/>
      <c r="TJR82" s="440" t="n"/>
      <c r="TJS82" s="440" t="n"/>
      <c r="TJT82" s="440" t="n"/>
      <c r="TJU82" s="440" t="n"/>
      <c r="TJV82" s="440" t="n"/>
      <c r="TJW82" s="440" t="n"/>
      <c r="TJX82" s="440" t="n"/>
      <c r="TJY82" s="440" t="n"/>
      <c r="TJZ82" s="440" t="n"/>
      <c r="TKA82" s="440" t="n"/>
      <c r="TKB82" s="440" t="n"/>
      <c r="TKC82" s="440" t="n"/>
      <c r="TKD82" s="440" t="n"/>
      <c r="TKE82" s="440" t="n"/>
      <c r="TKF82" s="440" t="n"/>
      <c r="TKG82" s="440" t="n"/>
      <c r="TKH82" s="440" t="n"/>
      <c r="TKI82" s="440" t="n"/>
      <c r="TKJ82" s="440" t="n"/>
      <c r="TKK82" s="440" t="n"/>
      <c r="TKL82" s="440" t="n"/>
      <c r="TKM82" s="440" t="n"/>
      <c r="TKN82" s="440" t="n"/>
      <c r="TKO82" s="440" t="n"/>
      <c r="TKP82" s="440" t="n"/>
      <c r="TKQ82" s="440" t="n"/>
      <c r="TKR82" s="440" t="n"/>
      <c r="TKS82" s="440" t="n"/>
      <c r="TKT82" s="440" t="n"/>
      <c r="TKU82" s="440" t="n"/>
      <c r="TKV82" s="440" t="n"/>
      <c r="TKW82" s="440" t="n"/>
      <c r="TKX82" s="440" t="n"/>
      <c r="TKY82" s="440" t="n"/>
      <c r="TKZ82" s="440" t="n"/>
      <c r="TLA82" s="440" t="n"/>
      <c r="TLB82" s="440" t="n"/>
      <c r="TLC82" s="440" t="n"/>
      <c r="TLD82" s="440" t="n"/>
      <c r="TLE82" s="440" t="n"/>
      <c r="TLF82" s="440" t="n"/>
      <c r="TLG82" s="440" t="n"/>
      <c r="TLH82" s="440" t="n"/>
      <c r="TLI82" s="440" t="n"/>
      <c r="TLJ82" s="440" t="n"/>
      <c r="TLK82" s="440" t="n"/>
      <c r="TLL82" s="440" t="n"/>
      <c r="TLM82" s="440" t="n"/>
      <c r="TLN82" s="440" t="n"/>
      <c r="TLO82" s="440" t="n"/>
      <c r="TLP82" s="440" t="n"/>
      <c r="TLQ82" s="440" t="n"/>
      <c r="TLR82" s="440" t="n"/>
      <c r="TLS82" s="440" t="n"/>
      <c r="TLT82" s="440" t="n"/>
      <c r="TLU82" s="440" t="n"/>
      <c r="TLV82" s="440" t="n"/>
      <c r="TLW82" s="440" t="n"/>
      <c r="TLX82" s="440" t="n"/>
      <c r="TLY82" s="440" t="n"/>
      <c r="TLZ82" s="440" t="n"/>
      <c r="TMA82" s="440" t="n"/>
      <c r="TMB82" s="440" t="n"/>
      <c r="TMC82" s="440" t="n"/>
      <c r="TMD82" s="440" t="n"/>
      <c r="TME82" s="440" t="n"/>
      <c r="TMF82" s="440" t="n"/>
      <c r="TMG82" s="440" t="n"/>
      <c r="TMH82" s="440" t="n"/>
      <c r="TMI82" s="440" t="n"/>
      <c r="TMJ82" s="440" t="n"/>
      <c r="TMK82" s="440" t="n"/>
      <c r="TML82" s="440" t="n"/>
      <c r="TMM82" s="440" t="n"/>
      <c r="TMN82" s="440" t="n"/>
      <c r="TMO82" s="440" t="n"/>
      <c r="TMP82" s="440" t="n"/>
      <c r="TMQ82" s="440" t="n"/>
      <c r="TMR82" s="440" t="n"/>
      <c r="TMS82" s="440" t="n"/>
      <c r="TMT82" s="440" t="n"/>
      <c r="TMU82" s="440" t="n"/>
      <c r="TMV82" s="440" t="n"/>
      <c r="TMW82" s="440" t="n"/>
      <c r="TMX82" s="440" t="n"/>
      <c r="TMY82" s="440" t="n"/>
      <c r="TMZ82" s="440" t="n"/>
      <c r="TNA82" s="440" t="n"/>
      <c r="TNB82" s="440" t="n"/>
      <c r="TNC82" s="440" t="n"/>
      <c r="TND82" s="440" t="n"/>
      <c r="TNE82" s="440" t="n"/>
      <c r="TNF82" s="440" t="n"/>
      <c r="TNG82" s="440" t="n"/>
      <c r="TNH82" s="440" t="n"/>
      <c r="TNI82" s="440" t="n"/>
      <c r="TNJ82" s="440" t="n"/>
      <c r="TNK82" s="440" t="n"/>
      <c r="TNL82" s="440" t="n"/>
      <c r="TNM82" s="440" t="n"/>
      <c r="TNN82" s="440" t="n"/>
      <c r="TNO82" s="440" t="n"/>
      <c r="TNP82" s="440" t="n"/>
      <c r="TNQ82" s="440" t="n"/>
      <c r="TNR82" s="440" t="n"/>
      <c r="TNS82" s="440" t="n"/>
      <c r="TNT82" s="440" t="n"/>
      <c r="TNU82" s="440" t="n"/>
      <c r="TNV82" s="440" t="n"/>
      <c r="TNW82" s="440" t="n"/>
      <c r="TNX82" s="440" t="n"/>
      <c r="TNY82" s="440" t="n"/>
      <c r="TNZ82" s="440" t="n"/>
      <c r="TOA82" s="440" t="n"/>
      <c r="TOB82" s="440" t="n"/>
      <c r="TOC82" s="440" t="n"/>
      <c r="TOD82" s="440" t="n"/>
      <c r="TOE82" s="440" t="n"/>
      <c r="TOF82" s="440" t="n"/>
      <c r="TOG82" s="440" t="n"/>
      <c r="TOH82" s="440" t="n"/>
      <c r="TOI82" s="440" t="n"/>
      <c r="TOJ82" s="440" t="n"/>
      <c r="TOK82" s="440" t="n"/>
      <c r="TOL82" s="440" t="n"/>
      <c r="TOM82" s="440" t="n"/>
      <c r="TON82" s="440" t="n"/>
      <c r="TOO82" s="440" t="n"/>
      <c r="TOP82" s="440" t="n"/>
      <c r="TOQ82" s="440" t="n"/>
      <c r="TOR82" s="440" t="n"/>
      <c r="TOS82" s="440" t="n"/>
      <c r="TOT82" s="440" t="n"/>
      <c r="TOU82" s="440" t="n"/>
      <c r="TOV82" s="440" t="n"/>
      <c r="TOW82" s="440" t="n"/>
      <c r="TOX82" s="440" t="n"/>
      <c r="TOY82" s="440" t="n"/>
      <c r="TOZ82" s="440" t="n"/>
      <c r="TPA82" s="440" t="n"/>
      <c r="TPB82" s="440" t="n"/>
      <c r="TPC82" s="440" t="n"/>
      <c r="TPD82" s="440" t="n"/>
      <c r="TPE82" s="440" t="n"/>
      <c r="TPF82" s="440" t="n"/>
      <c r="TPG82" s="440" t="n"/>
      <c r="TPH82" s="440" t="n"/>
      <c r="TPI82" s="440" t="n"/>
      <c r="TPJ82" s="440" t="n"/>
      <c r="TPK82" s="440" t="n"/>
      <c r="TPL82" s="440" t="n"/>
      <c r="TPM82" s="440" t="n"/>
      <c r="TPN82" s="440" t="n"/>
      <c r="TPO82" s="440" t="n"/>
      <c r="TPP82" s="440" t="n"/>
      <c r="TPQ82" s="440" t="n"/>
      <c r="TPR82" s="440" t="n"/>
      <c r="TPS82" s="440" t="n"/>
      <c r="TPT82" s="440" t="n"/>
      <c r="TPU82" s="440" t="n"/>
      <c r="TPV82" s="440" t="n"/>
      <c r="TPW82" s="440" t="n"/>
      <c r="TPX82" s="440" t="n"/>
      <c r="TPY82" s="440" t="n"/>
      <c r="TPZ82" s="440" t="n"/>
      <c r="TQA82" s="440" t="n"/>
      <c r="TQB82" s="440" t="n"/>
      <c r="TQC82" s="440" t="n"/>
      <c r="TQD82" s="440" t="n"/>
      <c r="TQE82" s="440" t="n"/>
      <c r="TQF82" s="440" t="n"/>
      <c r="TQG82" s="440" t="n"/>
      <c r="TQH82" s="440" t="n"/>
      <c r="TQI82" s="440" t="n"/>
      <c r="TQJ82" s="440" t="n"/>
      <c r="TQK82" s="440" t="n"/>
      <c r="TQL82" s="440" t="n"/>
      <c r="TQM82" s="440" t="n"/>
      <c r="TQN82" s="440" t="n"/>
      <c r="TQO82" s="440" t="n"/>
      <c r="TQP82" s="440" t="n"/>
      <c r="TQQ82" s="440" t="n"/>
      <c r="TQR82" s="440" t="n"/>
      <c r="TQS82" s="440" t="n"/>
      <c r="TQT82" s="440" t="n"/>
      <c r="TQU82" s="440" t="n"/>
      <c r="TQV82" s="440" t="n"/>
      <c r="TQW82" s="440" t="n"/>
      <c r="TQX82" s="440" t="n"/>
      <c r="TQY82" s="440" t="n"/>
      <c r="TQZ82" s="440" t="n"/>
      <c r="TRA82" s="440" t="n"/>
      <c r="TRB82" s="440" t="n"/>
      <c r="TRC82" s="440" t="n"/>
      <c r="TRD82" s="440" t="n"/>
      <c r="TRE82" s="440" t="n"/>
      <c r="TRF82" s="440" t="n"/>
      <c r="TRG82" s="440" t="n"/>
      <c r="TRH82" s="440" t="n"/>
      <c r="TRI82" s="440" t="n"/>
      <c r="TRJ82" s="440" t="n"/>
      <c r="TRK82" s="440" t="n"/>
      <c r="TRL82" s="440" t="n"/>
      <c r="TRM82" s="440" t="n"/>
      <c r="TRN82" s="440" t="n"/>
      <c r="TRO82" s="440" t="n"/>
      <c r="TRP82" s="440" t="n"/>
      <c r="TRQ82" s="440" t="n"/>
      <c r="TRR82" s="440" t="n"/>
      <c r="TRS82" s="440" t="n"/>
      <c r="TRT82" s="440" t="n"/>
      <c r="TRU82" s="440" t="n"/>
      <c r="TRV82" s="440" t="n"/>
      <c r="TRW82" s="440" t="n"/>
      <c r="TRX82" s="440" t="n"/>
      <c r="TRY82" s="440" t="n"/>
      <c r="TRZ82" s="440" t="n"/>
      <c r="TSA82" s="440" t="n"/>
      <c r="TSB82" s="440" t="n"/>
      <c r="TSC82" s="440" t="n"/>
      <c r="TSD82" s="440" t="n"/>
      <c r="TSE82" s="440" t="n"/>
      <c r="TSF82" s="440" t="n"/>
      <c r="TSG82" s="440" t="n"/>
      <c r="TSH82" s="440" t="n"/>
      <c r="TSI82" s="440" t="n"/>
      <c r="TSJ82" s="440" t="n"/>
      <c r="TSK82" s="440" t="n"/>
      <c r="TSL82" s="440" t="n"/>
      <c r="TSM82" s="440" t="n"/>
      <c r="TSN82" s="440" t="n"/>
      <c r="TSO82" s="440" t="n"/>
      <c r="TSP82" s="440" t="n"/>
      <c r="TSQ82" s="440" t="n"/>
      <c r="TSR82" s="440" t="n"/>
      <c r="TSS82" s="440" t="n"/>
      <c r="TST82" s="440" t="n"/>
      <c r="TSU82" s="440" t="n"/>
      <c r="TSV82" s="440" t="n"/>
      <c r="TSW82" s="440" t="n"/>
      <c r="TSX82" s="440" t="n"/>
      <c r="TSY82" s="440" t="n"/>
      <c r="TSZ82" s="440" t="n"/>
      <c r="TTA82" s="440" t="n"/>
      <c r="TTB82" s="440" t="n"/>
      <c r="TTC82" s="440" t="n"/>
      <c r="TTD82" s="440" t="n"/>
      <c r="TTE82" s="440" t="n"/>
      <c r="TTF82" s="440" t="n"/>
      <c r="TTG82" s="440" t="n"/>
      <c r="TTH82" s="440" t="n"/>
      <c r="TTI82" s="440" t="n"/>
      <c r="TTJ82" s="440" t="n"/>
      <c r="TTK82" s="440" t="n"/>
      <c r="TTL82" s="440" t="n"/>
      <c r="TTM82" s="440" t="n"/>
      <c r="TTN82" s="440" t="n"/>
      <c r="TTO82" s="440" t="n"/>
      <c r="TTP82" s="440" t="n"/>
      <c r="TTQ82" s="440" t="n"/>
      <c r="TTR82" s="440" t="n"/>
      <c r="TTS82" s="440" t="n"/>
      <c r="TTT82" s="440" t="n"/>
      <c r="TTU82" s="440" t="n"/>
      <c r="TTV82" s="440" t="n"/>
      <c r="TTW82" s="440" t="n"/>
      <c r="TTX82" s="440" t="n"/>
      <c r="TTY82" s="440" t="n"/>
      <c r="TTZ82" s="440" t="n"/>
      <c r="TUA82" s="440" t="n"/>
      <c r="TUB82" s="440" t="n"/>
      <c r="TUC82" s="440" t="n"/>
      <c r="TUD82" s="440" t="n"/>
      <c r="TUE82" s="440" t="n"/>
      <c r="TUF82" s="440" t="n"/>
      <c r="TUG82" s="440" t="n"/>
      <c r="TUH82" s="440" t="n"/>
      <c r="TUI82" s="440" t="n"/>
      <c r="TUJ82" s="440" t="n"/>
      <c r="TUK82" s="440" t="n"/>
      <c r="TUL82" s="440" t="n"/>
      <c r="TUM82" s="440" t="n"/>
      <c r="TUN82" s="440" t="n"/>
      <c r="TUO82" s="440" t="n"/>
      <c r="TUP82" s="440" t="n"/>
      <c r="TUQ82" s="440" t="n"/>
      <c r="TUR82" s="440" t="n"/>
      <c r="TUS82" s="440" t="n"/>
      <c r="TUT82" s="440" t="n"/>
      <c r="TUU82" s="440" t="n"/>
      <c r="TUV82" s="440" t="n"/>
      <c r="TUW82" s="440" t="n"/>
      <c r="TUX82" s="440" t="n"/>
      <c r="TUY82" s="440" t="n"/>
      <c r="TUZ82" s="440" t="n"/>
      <c r="TVA82" s="440" t="n"/>
      <c r="TVB82" s="440" t="n"/>
      <c r="TVC82" s="440" t="n"/>
      <c r="TVD82" s="440" t="n"/>
      <c r="TVE82" s="440" t="n"/>
      <c r="TVF82" s="440" t="n"/>
      <c r="TVG82" s="440" t="n"/>
      <c r="TVH82" s="440" t="n"/>
      <c r="TVI82" s="440" t="n"/>
      <c r="TVJ82" s="440" t="n"/>
      <c r="TVK82" s="440" t="n"/>
      <c r="TVL82" s="440" t="n"/>
      <c r="TVM82" s="440" t="n"/>
      <c r="TVN82" s="440" t="n"/>
      <c r="TVO82" s="440" t="n"/>
      <c r="TVP82" s="440" t="n"/>
      <c r="TVQ82" s="440" t="n"/>
      <c r="TVR82" s="440" t="n"/>
      <c r="TVS82" s="440" t="n"/>
      <c r="TVT82" s="440" t="n"/>
      <c r="TVU82" s="440" t="n"/>
      <c r="TVV82" s="440" t="n"/>
      <c r="TVW82" s="440" t="n"/>
      <c r="TVX82" s="440" t="n"/>
      <c r="TVY82" s="440" t="n"/>
      <c r="TVZ82" s="440" t="n"/>
      <c r="TWA82" s="440" t="n"/>
      <c r="TWB82" s="440" t="n"/>
      <c r="TWC82" s="440" t="n"/>
      <c r="TWD82" s="440" t="n"/>
      <c r="TWE82" s="440" t="n"/>
      <c r="TWF82" s="440" t="n"/>
      <c r="TWG82" s="440" t="n"/>
      <c r="TWH82" s="440" t="n"/>
      <c r="TWI82" s="440" t="n"/>
      <c r="TWJ82" s="440" t="n"/>
      <c r="TWK82" s="440" t="n"/>
      <c r="TWL82" s="440" t="n"/>
      <c r="TWM82" s="440" t="n"/>
      <c r="TWN82" s="440" t="n"/>
      <c r="TWO82" s="440" t="n"/>
      <c r="TWP82" s="440" t="n"/>
      <c r="TWQ82" s="440" t="n"/>
      <c r="TWR82" s="440" t="n"/>
      <c r="TWS82" s="440" t="n"/>
      <c r="TWT82" s="440" t="n"/>
      <c r="TWU82" s="440" t="n"/>
      <c r="TWV82" s="440" t="n"/>
      <c r="TWW82" s="440" t="n"/>
      <c r="TWX82" s="440" t="n"/>
      <c r="TWY82" s="440" t="n"/>
      <c r="TWZ82" s="440" t="n"/>
      <c r="TXA82" s="440" t="n"/>
      <c r="TXB82" s="440" t="n"/>
      <c r="TXC82" s="440" t="n"/>
      <c r="TXD82" s="440" t="n"/>
      <c r="TXE82" s="440" t="n"/>
      <c r="TXF82" s="440" t="n"/>
      <c r="TXG82" s="440" t="n"/>
      <c r="TXH82" s="440" t="n"/>
      <c r="TXI82" s="440" t="n"/>
      <c r="TXJ82" s="440" t="n"/>
      <c r="TXK82" s="440" t="n"/>
      <c r="TXL82" s="440" t="n"/>
      <c r="TXM82" s="440" t="n"/>
      <c r="TXN82" s="440" t="n"/>
      <c r="TXO82" s="440" t="n"/>
      <c r="TXP82" s="440" t="n"/>
      <c r="TXQ82" s="440" t="n"/>
      <c r="TXR82" s="440" t="n"/>
      <c r="TXS82" s="440" t="n"/>
      <c r="TXT82" s="440" t="n"/>
      <c r="TXU82" s="440" t="n"/>
      <c r="TXV82" s="440" t="n"/>
      <c r="TXW82" s="440" t="n"/>
      <c r="TXX82" s="440" t="n"/>
      <c r="TXY82" s="440" t="n"/>
      <c r="TXZ82" s="440" t="n"/>
      <c r="TYA82" s="440" t="n"/>
      <c r="TYB82" s="440" t="n"/>
      <c r="TYC82" s="440" t="n"/>
      <c r="TYD82" s="440" t="n"/>
      <c r="TYE82" s="440" t="n"/>
      <c r="TYF82" s="440" t="n"/>
      <c r="TYG82" s="440" t="n"/>
      <c r="TYH82" s="440" t="n"/>
      <c r="TYI82" s="440" t="n"/>
      <c r="TYJ82" s="440" t="n"/>
      <c r="TYK82" s="440" t="n"/>
      <c r="TYL82" s="440" t="n"/>
      <c r="TYM82" s="440" t="n"/>
      <c r="TYN82" s="440" t="n"/>
      <c r="TYO82" s="440" t="n"/>
      <c r="TYP82" s="440" t="n"/>
      <c r="TYQ82" s="440" t="n"/>
      <c r="TYR82" s="440" t="n"/>
      <c r="TYS82" s="440" t="n"/>
      <c r="TYT82" s="440" t="n"/>
      <c r="TYU82" s="440" t="n"/>
      <c r="TYV82" s="440" t="n"/>
      <c r="TYW82" s="440" t="n"/>
      <c r="TYX82" s="440" t="n"/>
      <c r="TYY82" s="440" t="n"/>
      <c r="TYZ82" s="440" t="n"/>
      <c r="TZA82" s="440" t="n"/>
      <c r="TZB82" s="440" t="n"/>
      <c r="TZC82" s="440" t="n"/>
      <c r="TZD82" s="440" t="n"/>
      <c r="TZE82" s="440" t="n"/>
      <c r="TZF82" s="440" t="n"/>
      <c r="TZG82" s="440" t="n"/>
      <c r="TZH82" s="440" t="n"/>
      <c r="TZI82" s="440" t="n"/>
      <c r="TZJ82" s="440" t="n"/>
      <c r="TZK82" s="440" t="n"/>
      <c r="TZL82" s="440" t="n"/>
      <c r="TZM82" s="440" t="n"/>
      <c r="TZN82" s="440" t="n"/>
      <c r="TZO82" s="440" t="n"/>
      <c r="TZP82" s="440" t="n"/>
      <c r="TZQ82" s="440" t="n"/>
      <c r="TZR82" s="440" t="n"/>
      <c r="TZS82" s="440" t="n"/>
      <c r="TZT82" s="440" t="n"/>
      <c r="TZU82" s="440" t="n"/>
      <c r="TZV82" s="440" t="n"/>
      <c r="TZW82" s="440" t="n"/>
      <c r="TZX82" s="440" t="n"/>
      <c r="TZY82" s="440" t="n"/>
      <c r="TZZ82" s="440" t="n"/>
      <c r="UAA82" s="440" t="n"/>
      <c r="UAB82" s="440" t="n"/>
      <c r="UAC82" s="440" t="n"/>
      <c r="UAD82" s="440" t="n"/>
      <c r="UAE82" s="440" t="n"/>
      <c r="UAF82" s="440" t="n"/>
      <c r="UAG82" s="440" t="n"/>
      <c r="UAH82" s="440" t="n"/>
      <c r="UAI82" s="440" t="n"/>
      <c r="UAJ82" s="440" t="n"/>
      <c r="UAK82" s="440" t="n"/>
      <c r="UAL82" s="440" t="n"/>
      <c r="UAM82" s="440" t="n"/>
      <c r="UAN82" s="440" t="n"/>
      <c r="UAO82" s="440" t="n"/>
      <c r="UAP82" s="440" t="n"/>
      <c r="UAQ82" s="440" t="n"/>
      <c r="UAR82" s="440" t="n"/>
      <c r="UAS82" s="440" t="n"/>
      <c r="UAT82" s="440" t="n"/>
      <c r="UAU82" s="440" t="n"/>
      <c r="UAV82" s="440" t="n"/>
      <c r="UAW82" s="440" t="n"/>
      <c r="UAX82" s="440" t="n"/>
      <c r="UAY82" s="440" t="n"/>
      <c r="UAZ82" s="440" t="n"/>
      <c r="UBA82" s="440" t="n"/>
      <c r="UBB82" s="440" t="n"/>
      <c r="UBC82" s="440" t="n"/>
      <c r="UBD82" s="440" t="n"/>
      <c r="UBE82" s="440" t="n"/>
      <c r="UBF82" s="440" t="n"/>
      <c r="UBG82" s="440" t="n"/>
      <c r="UBH82" s="440" t="n"/>
      <c r="UBI82" s="440" t="n"/>
      <c r="UBJ82" s="440" t="n"/>
      <c r="UBK82" s="440" t="n"/>
      <c r="UBL82" s="440" t="n"/>
      <c r="UBM82" s="440" t="n"/>
      <c r="UBN82" s="440" t="n"/>
      <c r="UBO82" s="440" t="n"/>
      <c r="UBP82" s="440" t="n"/>
      <c r="UBQ82" s="440" t="n"/>
      <c r="UBR82" s="440" t="n"/>
      <c r="UBS82" s="440" t="n"/>
      <c r="UBT82" s="440" t="n"/>
      <c r="UBU82" s="440" t="n"/>
      <c r="UBV82" s="440" t="n"/>
      <c r="UBW82" s="440" t="n"/>
      <c r="UBX82" s="440" t="n"/>
      <c r="UBY82" s="440" t="n"/>
      <c r="UBZ82" s="440" t="n"/>
      <c r="UCA82" s="440" t="n"/>
      <c r="UCB82" s="440" t="n"/>
      <c r="UCC82" s="440" t="n"/>
      <c r="UCD82" s="440" t="n"/>
      <c r="UCE82" s="440" t="n"/>
      <c r="UCF82" s="440" t="n"/>
      <c r="UCG82" s="440" t="n"/>
      <c r="UCH82" s="440" t="n"/>
      <c r="UCI82" s="440" t="n"/>
      <c r="UCJ82" s="440" t="n"/>
      <c r="UCK82" s="440" t="n"/>
      <c r="UCL82" s="440" t="n"/>
      <c r="UCM82" s="440" t="n"/>
      <c r="UCN82" s="440" t="n"/>
      <c r="UCO82" s="440" t="n"/>
      <c r="UCP82" s="440" t="n"/>
      <c r="UCQ82" s="440" t="n"/>
      <c r="UCR82" s="440" t="n"/>
      <c r="UCS82" s="440" t="n"/>
      <c r="UCT82" s="440" t="n"/>
      <c r="UCU82" s="440" t="n"/>
      <c r="UCV82" s="440" t="n"/>
      <c r="UCW82" s="440" t="n"/>
      <c r="UCX82" s="440" t="n"/>
      <c r="UCY82" s="440" t="n"/>
      <c r="UCZ82" s="440" t="n"/>
      <c r="UDA82" s="440" t="n"/>
      <c r="UDB82" s="440" t="n"/>
      <c r="UDC82" s="440" t="n"/>
      <c r="UDD82" s="440" t="n"/>
      <c r="UDE82" s="440" t="n"/>
      <c r="UDF82" s="440" t="n"/>
      <c r="UDG82" s="440" t="n"/>
      <c r="UDH82" s="440" t="n"/>
      <c r="UDI82" s="440" t="n"/>
      <c r="UDJ82" s="440" t="n"/>
      <c r="UDK82" s="440" t="n"/>
      <c r="UDL82" s="440" t="n"/>
      <c r="UDM82" s="440" t="n"/>
      <c r="UDN82" s="440" t="n"/>
      <c r="UDO82" s="440" t="n"/>
      <c r="UDP82" s="440" t="n"/>
      <c r="UDQ82" s="440" t="n"/>
      <c r="UDR82" s="440" t="n"/>
      <c r="UDS82" s="440" t="n"/>
      <c r="UDT82" s="440" t="n"/>
      <c r="UDU82" s="440" t="n"/>
      <c r="UDV82" s="440" t="n"/>
      <c r="UDW82" s="440" t="n"/>
      <c r="UDX82" s="440" t="n"/>
      <c r="UDY82" s="440" t="n"/>
      <c r="UDZ82" s="440" t="n"/>
      <c r="UEA82" s="440" t="n"/>
      <c r="UEB82" s="440" t="n"/>
      <c r="UEC82" s="440" t="n"/>
      <c r="UED82" s="440" t="n"/>
      <c r="UEE82" s="440" t="n"/>
      <c r="UEF82" s="440" t="n"/>
      <c r="UEG82" s="440" t="n"/>
      <c r="UEH82" s="440" t="n"/>
      <c r="UEI82" s="440" t="n"/>
      <c r="UEJ82" s="440" t="n"/>
      <c r="UEK82" s="440" t="n"/>
      <c r="UEL82" s="440" t="n"/>
      <c r="UEM82" s="440" t="n"/>
      <c r="UEN82" s="440" t="n"/>
      <c r="UEO82" s="440" t="n"/>
      <c r="UEP82" s="440" t="n"/>
      <c r="UEQ82" s="440" t="n"/>
      <c r="UER82" s="440" t="n"/>
      <c r="UES82" s="440" t="n"/>
      <c r="UET82" s="440" t="n"/>
      <c r="UEU82" s="440" t="n"/>
      <c r="UEV82" s="440" t="n"/>
      <c r="UEW82" s="440" t="n"/>
      <c r="UEX82" s="440" t="n"/>
      <c r="UEY82" s="440" t="n"/>
      <c r="UEZ82" s="440" t="n"/>
      <c r="UFA82" s="440" t="n"/>
      <c r="UFB82" s="440" t="n"/>
      <c r="UFC82" s="440" t="n"/>
      <c r="UFD82" s="440" t="n"/>
      <c r="UFE82" s="440" t="n"/>
      <c r="UFF82" s="440" t="n"/>
      <c r="UFG82" s="440" t="n"/>
      <c r="UFH82" s="440" t="n"/>
      <c r="UFI82" s="440" t="n"/>
      <c r="UFJ82" s="440" t="n"/>
      <c r="UFK82" s="440" t="n"/>
      <c r="UFL82" s="440" t="n"/>
      <c r="UFM82" s="440" t="n"/>
      <c r="UFN82" s="440" t="n"/>
      <c r="UFO82" s="440" t="n"/>
      <c r="UFP82" s="440" t="n"/>
      <c r="UFQ82" s="440" t="n"/>
      <c r="UFR82" s="440" t="n"/>
      <c r="UFS82" s="440" t="n"/>
      <c r="UFT82" s="440" t="n"/>
      <c r="UFU82" s="440" t="n"/>
      <c r="UFV82" s="440" t="n"/>
      <c r="UFW82" s="440" t="n"/>
      <c r="UFX82" s="440" t="n"/>
      <c r="UFY82" s="440" t="n"/>
      <c r="UFZ82" s="440" t="n"/>
      <c r="UGA82" s="440" t="n"/>
      <c r="UGB82" s="440" t="n"/>
      <c r="UGC82" s="440" t="n"/>
      <c r="UGD82" s="440" t="n"/>
      <c r="UGE82" s="440" t="n"/>
      <c r="UGF82" s="440" t="n"/>
      <c r="UGG82" s="440" t="n"/>
      <c r="UGH82" s="440" t="n"/>
      <c r="UGI82" s="440" t="n"/>
      <c r="UGJ82" s="440" t="n"/>
      <c r="UGK82" s="440" t="n"/>
      <c r="UGL82" s="440" t="n"/>
      <c r="UGM82" s="440" t="n"/>
      <c r="UGN82" s="440" t="n"/>
      <c r="UGO82" s="440" t="n"/>
      <c r="UGP82" s="440" t="n"/>
      <c r="UGQ82" s="440" t="n"/>
      <c r="UGR82" s="440" t="n"/>
      <c r="UGS82" s="440" t="n"/>
      <c r="UGT82" s="440" t="n"/>
      <c r="UGU82" s="440" t="n"/>
      <c r="UGV82" s="440" t="n"/>
      <c r="UGW82" s="440" t="n"/>
      <c r="UGX82" s="440" t="n"/>
      <c r="UGY82" s="440" t="n"/>
      <c r="UGZ82" s="440" t="n"/>
      <c r="UHA82" s="440" t="n"/>
      <c r="UHB82" s="440" t="n"/>
      <c r="UHC82" s="440" t="n"/>
      <c r="UHD82" s="440" t="n"/>
      <c r="UHE82" s="440" t="n"/>
      <c r="UHF82" s="440" t="n"/>
      <c r="UHG82" s="440" t="n"/>
      <c r="UHH82" s="440" t="n"/>
      <c r="UHI82" s="440" t="n"/>
      <c r="UHJ82" s="440" t="n"/>
      <c r="UHK82" s="440" t="n"/>
      <c r="UHL82" s="440" t="n"/>
      <c r="UHM82" s="440" t="n"/>
      <c r="UHN82" s="440" t="n"/>
      <c r="UHO82" s="440" t="n"/>
      <c r="UHP82" s="440" t="n"/>
      <c r="UHQ82" s="440" t="n"/>
      <c r="UHR82" s="440" t="n"/>
      <c r="UHS82" s="440" t="n"/>
      <c r="UHT82" s="440" t="n"/>
      <c r="UHU82" s="440" t="n"/>
      <c r="UHV82" s="440" t="n"/>
      <c r="UHW82" s="440" t="n"/>
      <c r="UHX82" s="440" t="n"/>
      <c r="UHY82" s="440" t="n"/>
      <c r="UHZ82" s="440" t="n"/>
      <c r="UIA82" s="440" t="n"/>
      <c r="UIB82" s="440" t="n"/>
      <c r="UIC82" s="440" t="n"/>
      <c r="UID82" s="440" t="n"/>
      <c r="UIE82" s="440" t="n"/>
      <c r="UIF82" s="440" t="n"/>
      <c r="UIG82" s="440" t="n"/>
      <c r="UIH82" s="440" t="n"/>
      <c r="UII82" s="440" t="n"/>
      <c r="UIJ82" s="440" t="n"/>
      <c r="UIK82" s="440" t="n"/>
      <c r="UIL82" s="440" t="n"/>
      <c r="UIM82" s="440" t="n"/>
      <c r="UIN82" s="440" t="n"/>
      <c r="UIO82" s="440" t="n"/>
      <c r="UIP82" s="440" t="n"/>
      <c r="UIQ82" s="440" t="n"/>
      <c r="UIR82" s="440" t="n"/>
      <c r="UIS82" s="440" t="n"/>
      <c r="UIT82" s="440" t="n"/>
      <c r="UIU82" s="440" t="n"/>
      <c r="UIV82" s="440" t="n"/>
      <c r="UIW82" s="440" t="n"/>
      <c r="UIX82" s="440" t="n"/>
      <c r="UIY82" s="440" t="n"/>
      <c r="UIZ82" s="440" t="n"/>
      <c r="UJA82" s="440" t="n"/>
      <c r="UJB82" s="440" t="n"/>
      <c r="UJC82" s="440" t="n"/>
      <c r="UJD82" s="440" t="n"/>
      <c r="UJE82" s="440" t="n"/>
      <c r="UJF82" s="440" t="n"/>
      <c r="UJG82" s="440" t="n"/>
      <c r="UJH82" s="440" t="n"/>
      <c r="UJI82" s="440" t="n"/>
      <c r="UJJ82" s="440" t="n"/>
      <c r="UJK82" s="440" t="n"/>
      <c r="UJL82" s="440" t="n"/>
      <c r="UJM82" s="440" t="n"/>
      <c r="UJN82" s="440" t="n"/>
      <c r="UJO82" s="440" t="n"/>
      <c r="UJP82" s="440" t="n"/>
      <c r="UJQ82" s="440" t="n"/>
      <c r="UJR82" s="440" t="n"/>
      <c r="UJS82" s="440" t="n"/>
      <c r="UJT82" s="440" t="n"/>
      <c r="UJU82" s="440" t="n"/>
      <c r="UJV82" s="440" t="n"/>
      <c r="UJW82" s="440" t="n"/>
      <c r="UJX82" s="440" t="n"/>
      <c r="UJY82" s="440" t="n"/>
      <c r="UJZ82" s="440" t="n"/>
      <c r="UKA82" s="440" t="n"/>
      <c r="UKB82" s="440" t="n"/>
      <c r="UKC82" s="440" t="n"/>
      <c r="UKD82" s="440" t="n"/>
      <c r="UKE82" s="440" t="n"/>
      <c r="UKF82" s="440" t="n"/>
      <c r="UKG82" s="440" t="n"/>
      <c r="UKH82" s="440" t="n"/>
      <c r="UKI82" s="440" t="n"/>
      <c r="UKJ82" s="440" t="n"/>
      <c r="UKK82" s="440" t="n"/>
      <c r="UKL82" s="440" t="n"/>
      <c r="UKM82" s="440" t="n"/>
      <c r="UKN82" s="440" t="n"/>
      <c r="UKO82" s="440" t="n"/>
      <c r="UKP82" s="440" t="n"/>
      <c r="UKQ82" s="440" t="n"/>
      <c r="UKR82" s="440" t="n"/>
      <c r="UKS82" s="440" t="n"/>
      <c r="UKT82" s="440" t="n"/>
      <c r="UKU82" s="440" t="n"/>
      <c r="UKV82" s="440" t="n"/>
      <c r="UKW82" s="440" t="n"/>
      <c r="UKX82" s="440" t="n"/>
      <c r="UKY82" s="440" t="n"/>
      <c r="UKZ82" s="440" t="n"/>
      <c r="ULA82" s="440" t="n"/>
      <c r="ULB82" s="440" t="n"/>
      <c r="ULC82" s="440" t="n"/>
      <c r="ULD82" s="440" t="n"/>
      <c r="ULE82" s="440" t="n"/>
      <c r="ULF82" s="440" t="n"/>
      <c r="ULG82" s="440" t="n"/>
      <c r="ULH82" s="440" t="n"/>
      <c r="ULI82" s="440" t="n"/>
      <c r="ULJ82" s="440" t="n"/>
      <c r="ULK82" s="440" t="n"/>
      <c r="ULL82" s="440" t="n"/>
      <c r="ULM82" s="440" t="n"/>
      <c r="ULN82" s="440" t="n"/>
      <c r="ULO82" s="440" t="n"/>
      <c r="ULP82" s="440" t="n"/>
      <c r="ULQ82" s="440" t="n"/>
      <c r="ULR82" s="440" t="n"/>
      <c r="ULS82" s="440" t="n"/>
      <c r="ULT82" s="440" t="n"/>
      <c r="ULU82" s="440" t="n"/>
      <c r="ULV82" s="440" t="n"/>
      <c r="ULW82" s="440" t="n"/>
      <c r="ULX82" s="440" t="n"/>
      <c r="ULY82" s="440" t="n"/>
      <c r="ULZ82" s="440" t="n"/>
      <c r="UMA82" s="440" t="n"/>
      <c r="UMB82" s="440" t="n"/>
      <c r="UMC82" s="440" t="n"/>
      <c r="UMD82" s="440" t="n"/>
      <c r="UME82" s="440" t="n"/>
      <c r="UMF82" s="440" t="n"/>
      <c r="UMG82" s="440" t="n"/>
      <c r="UMH82" s="440" t="n"/>
      <c r="UMI82" s="440" t="n"/>
      <c r="UMJ82" s="440" t="n"/>
      <c r="UMK82" s="440" t="n"/>
      <c r="UML82" s="440" t="n"/>
      <c r="UMM82" s="440" t="n"/>
      <c r="UMN82" s="440" t="n"/>
      <c r="UMO82" s="440" t="n"/>
      <c r="UMP82" s="440" t="n"/>
      <c r="UMQ82" s="440" t="n"/>
      <c r="UMR82" s="440" t="n"/>
      <c r="UMS82" s="440" t="n"/>
      <c r="UMT82" s="440" t="n"/>
      <c r="UMU82" s="440" t="n"/>
      <c r="UMV82" s="440" t="n"/>
      <c r="UMW82" s="440" t="n"/>
      <c r="UMX82" s="440" t="n"/>
      <c r="UMY82" s="440" t="n"/>
      <c r="UMZ82" s="440" t="n"/>
      <c r="UNA82" s="440" t="n"/>
      <c r="UNB82" s="440" t="n"/>
      <c r="UNC82" s="440" t="n"/>
      <c r="UND82" s="440" t="n"/>
      <c r="UNE82" s="440" t="n"/>
      <c r="UNF82" s="440" t="n"/>
      <c r="UNG82" s="440" t="n"/>
      <c r="UNH82" s="440" t="n"/>
      <c r="UNI82" s="440" t="n"/>
      <c r="UNJ82" s="440" t="n"/>
      <c r="UNK82" s="440" t="n"/>
      <c r="UNL82" s="440" t="n"/>
      <c r="UNM82" s="440" t="n"/>
      <c r="UNN82" s="440" t="n"/>
      <c r="UNO82" s="440" t="n"/>
      <c r="UNP82" s="440" t="n"/>
      <c r="UNQ82" s="440" t="n"/>
      <c r="UNR82" s="440" t="n"/>
      <c r="UNS82" s="440" t="n"/>
      <c r="UNT82" s="440" t="n"/>
      <c r="UNU82" s="440" t="n"/>
      <c r="UNV82" s="440" t="n"/>
      <c r="UNW82" s="440" t="n"/>
      <c r="UNX82" s="440" t="n"/>
      <c r="UNY82" s="440" t="n"/>
      <c r="UNZ82" s="440" t="n"/>
      <c r="UOA82" s="440" t="n"/>
      <c r="UOB82" s="440" t="n"/>
      <c r="UOC82" s="440" t="n"/>
      <c r="UOD82" s="440" t="n"/>
      <c r="UOE82" s="440" t="n"/>
      <c r="UOF82" s="440" t="n"/>
      <c r="UOG82" s="440" t="n"/>
      <c r="UOH82" s="440" t="n"/>
      <c r="UOI82" s="440" t="n"/>
      <c r="UOJ82" s="440" t="n"/>
      <c r="UOK82" s="440" t="n"/>
      <c r="UOL82" s="440" t="n"/>
      <c r="UOM82" s="440" t="n"/>
      <c r="UON82" s="440" t="n"/>
      <c r="UOO82" s="440" t="n"/>
      <c r="UOP82" s="440" t="n"/>
      <c r="UOQ82" s="440" t="n"/>
      <c r="UOR82" s="440" t="n"/>
      <c r="UOS82" s="440" t="n"/>
      <c r="UOT82" s="440" t="n"/>
      <c r="UOU82" s="440" t="n"/>
      <c r="UOV82" s="440" t="n"/>
      <c r="UOW82" s="440" t="n"/>
      <c r="UOX82" s="440" t="n"/>
      <c r="UOY82" s="440" t="n"/>
      <c r="UOZ82" s="440" t="n"/>
      <c r="UPA82" s="440" t="n"/>
      <c r="UPB82" s="440" t="n"/>
      <c r="UPC82" s="440" t="n"/>
      <c r="UPD82" s="440" t="n"/>
      <c r="UPE82" s="440" t="n"/>
      <c r="UPF82" s="440" t="n"/>
      <c r="UPG82" s="440" t="n"/>
      <c r="UPH82" s="440" t="n"/>
      <c r="UPI82" s="440" t="n"/>
      <c r="UPJ82" s="440" t="n"/>
      <c r="UPK82" s="440" t="n"/>
      <c r="UPL82" s="440" t="n"/>
      <c r="UPM82" s="440" t="n"/>
      <c r="UPN82" s="440" t="n"/>
      <c r="UPO82" s="440" t="n"/>
      <c r="UPP82" s="440" t="n"/>
      <c r="UPQ82" s="440" t="n"/>
      <c r="UPR82" s="440" t="n"/>
      <c r="UPS82" s="440" t="n"/>
      <c r="UPT82" s="440" t="n"/>
      <c r="UPU82" s="440" t="n"/>
      <c r="UPV82" s="440" t="n"/>
      <c r="UPW82" s="440" t="n"/>
      <c r="UPX82" s="440" t="n"/>
      <c r="UPY82" s="440" t="n"/>
      <c r="UPZ82" s="440" t="n"/>
      <c r="UQA82" s="440" t="n"/>
      <c r="UQB82" s="440" t="n"/>
      <c r="UQC82" s="440" t="n"/>
      <c r="UQD82" s="440" t="n"/>
      <c r="UQE82" s="440" t="n"/>
      <c r="UQF82" s="440" t="n"/>
      <c r="UQG82" s="440" t="n"/>
      <c r="UQH82" s="440" t="n"/>
      <c r="UQI82" s="440" t="n"/>
      <c r="UQJ82" s="440" t="n"/>
      <c r="UQK82" s="440" t="n"/>
      <c r="UQL82" s="440" t="n"/>
      <c r="UQM82" s="440" t="n"/>
      <c r="UQN82" s="440" t="n"/>
      <c r="UQO82" s="440" t="n"/>
      <c r="UQP82" s="440" t="n"/>
      <c r="UQQ82" s="440" t="n"/>
      <c r="UQR82" s="440" t="n"/>
      <c r="UQS82" s="440" t="n"/>
      <c r="UQT82" s="440" t="n"/>
      <c r="UQU82" s="440" t="n"/>
      <c r="UQV82" s="440" t="n"/>
      <c r="UQW82" s="440" t="n"/>
      <c r="UQX82" s="440" t="n"/>
      <c r="UQY82" s="440" t="n"/>
      <c r="UQZ82" s="440" t="n"/>
      <c r="URA82" s="440" t="n"/>
      <c r="URB82" s="440" t="n"/>
      <c r="URC82" s="440" t="n"/>
      <c r="URD82" s="440" t="n"/>
      <c r="URE82" s="440" t="n"/>
      <c r="URF82" s="440" t="n"/>
      <c r="URG82" s="440" t="n"/>
      <c r="URH82" s="440" t="n"/>
      <c r="URI82" s="440" t="n"/>
      <c r="URJ82" s="440" t="n"/>
      <c r="URK82" s="440" t="n"/>
      <c r="URL82" s="440" t="n"/>
      <c r="URM82" s="440" t="n"/>
      <c r="URN82" s="440" t="n"/>
      <c r="URO82" s="440" t="n"/>
      <c r="URP82" s="440" t="n"/>
      <c r="URQ82" s="440" t="n"/>
      <c r="URR82" s="440" t="n"/>
      <c r="URS82" s="440" t="n"/>
      <c r="URT82" s="440" t="n"/>
      <c r="URU82" s="440" t="n"/>
      <c r="URV82" s="440" t="n"/>
      <c r="URW82" s="440" t="n"/>
      <c r="URX82" s="440" t="n"/>
      <c r="URY82" s="440" t="n"/>
      <c r="URZ82" s="440" t="n"/>
      <c r="USA82" s="440" t="n"/>
      <c r="USB82" s="440" t="n"/>
      <c r="USC82" s="440" t="n"/>
      <c r="USD82" s="440" t="n"/>
      <c r="USE82" s="440" t="n"/>
      <c r="USF82" s="440" t="n"/>
      <c r="USG82" s="440" t="n"/>
      <c r="USH82" s="440" t="n"/>
      <c r="USI82" s="440" t="n"/>
      <c r="USJ82" s="440" t="n"/>
      <c r="USK82" s="440" t="n"/>
      <c r="USL82" s="440" t="n"/>
      <c r="USM82" s="440" t="n"/>
      <c r="USN82" s="440" t="n"/>
      <c r="USO82" s="440" t="n"/>
      <c r="USP82" s="440" t="n"/>
      <c r="USQ82" s="440" t="n"/>
      <c r="USR82" s="440" t="n"/>
      <c r="USS82" s="440" t="n"/>
      <c r="UST82" s="440" t="n"/>
      <c r="USU82" s="440" t="n"/>
      <c r="USV82" s="440" t="n"/>
      <c r="USW82" s="440" t="n"/>
      <c r="USX82" s="440" t="n"/>
      <c r="USY82" s="440" t="n"/>
      <c r="USZ82" s="440" t="n"/>
      <c r="UTA82" s="440" t="n"/>
      <c r="UTB82" s="440" t="n"/>
      <c r="UTC82" s="440" t="n"/>
      <c r="UTD82" s="440" t="n"/>
      <c r="UTE82" s="440" t="n"/>
      <c r="UTF82" s="440" t="n"/>
      <c r="UTG82" s="440" t="n"/>
      <c r="UTH82" s="440" t="n"/>
      <c r="UTI82" s="440" t="n"/>
      <c r="UTJ82" s="440" t="n"/>
      <c r="UTK82" s="440" t="n"/>
      <c r="UTL82" s="440" t="n"/>
      <c r="UTM82" s="440" t="n"/>
      <c r="UTN82" s="440" t="n"/>
      <c r="UTO82" s="440" t="n"/>
      <c r="UTP82" s="440" t="n"/>
      <c r="UTQ82" s="440" t="n"/>
      <c r="UTR82" s="440" t="n"/>
      <c r="UTS82" s="440" t="n"/>
      <c r="UTT82" s="440" t="n"/>
      <c r="UTU82" s="440" t="n"/>
      <c r="UTV82" s="440" t="n"/>
      <c r="UTW82" s="440" t="n"/>
      <c r="UTX82" s="440" t="n"/>
      <c r="UTY82" s="440" t="n"/>
      <c r="UTZ82" s="440" t="n"/>
      <c r="UUA82" s="440" t="n"/>
      <c r="UUB82" s="440" t="n"/>
      <c r="UUC82" s="440" t="n"/>
      <c r="UUD82" s="440" t="n"/>
      <c r="UUE82" s="440" t="n"/>
      <c r="UUF82" s="440" t="n"/>
      <c r="UUG82" s="440" t="n"/>
      <c r="UUH82" s="440" t="n"/>
      <c r="UUI82" s="440" t="n"/>
      <c r="UUJ82" s="440" t="n"/>
      <c r="UUK82" s="440" t="n"/>
      <c r="UUL82" s="440" t="n"/>
      <c r="UUM82" s="440" t="n"/>
      <c r="UUN82" s="440" t="n"/>
      <c r="UUO82" s="440" t="n"/>
      <c r="UUP82" s="440" t="n"/>
      <c r="UUQ82" s="440" t="n"/>
      <c r="UUR82" s="440" t="n"/>
      <c r="UUS82" s="440" t="n"/>
      <c r="UUT82" s="440" t="n"/>
      <c r="UUU82" s="440" t="n"/>
      <c r="UUV82" s="440" t="n"/>
      <c r="UUW82" s="440" t="n"/>
      <c r="UUX82" s="440" t="n"/>
      <c r="UUY82" s="440" t="n"/>
      <c r="UUZ82" s="440" t="n"/>
      <c r="UVA82" s="440" t="n"/>
      <c r="UVB82" s="440" t="n"/>
      <c r="UVC82" s="440" t="n"/>
      <c r="UVD82" s="440" t="n"/>
      <c r="UVE82" s="440" t="n"/>
      <c r="UVF82" s="440" t="n"/>
      <c r="UVG82" s="440" t="n"/>
      <c r="UVH82" s="440" t="n"/>
      <c r="UVI82" s="440" t="n"/>
      <c r="UVJ82" s="440" t="n"/>
      <c r="UVK82" s="440" t="n"/>
      <c r="UVL82" s="440" t="n"/>
      <c r="UVM82" s="440" t="n"/>
      <c r="UVN82" s="440" t="n"/>
      <c r="UVO82" s="440" t="n"/>
      <c r="UVP82" s="440" t="n"/>
      <c r="UVQ82" s="440" t="n"/>
      <c r="UVR82" s="440" t="n"/>
      <c r="UVS82" s="440" t="n"/>
      <c r="UVT82" s="440" t="n"/>
      <c r="UVU82" s="440" t="n"/>
      <c r="UVV82" s="440" t="n"/>
      <c r="UVW82" s="440" t="n"/>
      <c r="UVX82" s="440" t="n"/>
      <c r="UVY82" s="440" t="n"/>
      <c r="UVZ82" s="440" t="n"/>
      <c r="UWA82" s="440" t="n"/>
      <c r="UWB82" s="440" t="n"/>
      <c r="UWC82" s="440" t="n"/>
      <c r="UWD82" s="440" t="n"/>
      <c r="UWE82" s="440" t="n"/>
      <c r="UWF82" s="440" t="n"/>
      <c r="UWG82" s="440" t="n"/>
      <c r="UWH82" s="440" t="n"/>
      <c r="UWI82" s="440" t="n"/>
      <c r="UWJ82" s="440" t="n"/>
      <c r="UWK82" s="440" t="n"/>
      <c r="UWL82" s="440" t="n"/>
      <c r="UWM82" s="440" t="n"/>
      <c r="UWN82" s="440" t="n"/>
      <c r="UWO82" s="440" t="n"/>
      <c r="UWP82" s="440" t="n"/>
      <c r="UWQ82" s="440" t="n"/>
      <c r="UWR82" s="440" t="n"/>
      <c r="UWS82" s="440" t="n"/>
      <c r="UWT82" s="440" t="n"/>
      <c r="UWU82" s="440" t="n"/>
      <c r="UWV82" s="440" t="n"/>
      <c r="UWW82" s="440" t="n"/>
      <c r="UWX82" s="440" t="n"/>
      <c r="UWY82" s="440" t="n"/>
      <c r="UWZ82" s="440" t="n"/>
      <c r="UXA82" s="440" t="n"/>
      <c r="UXB82" s="440" t="n"/>
      <c r="UXC82" s="440" t="n"/>
      <c r="UXD82" s="440" t="n"/>
      <c r="UXE82" s="440" t="n"/>
      <c r="UXF82" s="440" t="n"/>
      <c r="UXG82" s="440" t="n"/>
      <c r="UXH82" s="440" t="n"/>
      <c r="UXI82" s="440" t="n"/>
      <c r="UXJ82" s="440" t="n"/>
      <c r="UXK82" s="440" t="n"/>
      <c r="UXL82" s="440" t="n"/>
      <c r="UXM82" s="440" t="n"/>
      <c r="UXN82" s="440" t="n"/>
      <c r="UXO82" s="440" t="n"/>
      <c r="UXP82" s="440" t="n"/>
      <c r="UXQ82" s="440" t="n"/>
      <c r="UXR82" s="440" t="n"/>
      <c r="UXS82" s="440" t="n"/>
      <c r="UXT82" s="440" t="n"/>
      <c r="UXU82" s="440" t="n"/>
      <c r="UXV82" s="440" t="n"/>
      <c r="UXW82" s="440" t="n"/>
      <c r="UXX82" s="440" t="n"/>
      <c r="UXY82" s="440" t="n"/>
      <c r="UXZ82" s="440" t="n"/>
      <c r="UYA82" s="440" t="n"/>
      <c r="UYB82" s="440" t="n"/>
      <c r="UYC82" s="440" t="n"/>
      <c r="UYD82" s="440" t="n"/>
      <c r="UYE82" s="440" t="n"/>
      <c r="UYF82" s="440" t="n"/>
      <c r="UYG82" s="440" t="n"/>
      <c r="UYH82" s="440" t="n"/>
      <c r="UYI82" s="440" t="n"/>
      <c r="UYJ82" s="440" t="n"/>
      <c r="UYK82" s="440" t="n"/>
      <c r="UYL82" s="440" t="n"/>
      <c r="UYM82" s="440" t="n"/>
      <c r="UYN82" s="440" t="n"/>
      <c r="UYO82" s="440" t="n"/>
      <c r="UYP82" s="440" t="n"/>
      <c r="UYQ82" s="440" t="n"/>
      <c r="UYR82" s="440" t="n"/>
      <c r="UYS82" s="440" t="n"/>
      <c r="UYT82" s="440" t="n"/>
      <c r="UYU82" s="440" t="n"/>
      <c r="UYV82" s="440" t="n"/>
      <c r="UYW82" s="440" t="n"/>
      <c r="UYX82" s="440" t="n"/>
      <c r="UYY82" s="440" t="n"/>
      <c r="UYZ82" s="440" t="n"/>
      <c r="UZA82" s="440" t="n"/>
      <c r="UZB82" s="440" t="n"/>
      <c r="UZC82" s="440" t="n"/>
      <c r="UZD82" s="440" t="n"/>
      <c r="UZE82" s="440" t="n"/>
      <c r="UZF82" s="440" t="n"/>
      <c r="UZG82" s="440" t="n"/>
      <c r="UZH82" s="440" t="n"/>
      <c r="UZI82" s="440" t="n"/>
      <c r="UZJ82" s="440" t="n"/>
      <c r="UZK82" s="440" t="n"/>
      <c r="UZL82" s="440" t="n"/>
      <c r="UZM82" s="440" t="n"/>
      <c r="UZN82" s="440" t="n"/>
      <c r="UZO82" s="440" t="n"/>
      <c r="UZP82" s="440" t="n"/>
      <c r="UZQ82" s="440" t="n"/>
      <c r="UZR82" s="440" t="n"/>
      <c r="UZS82" s="440" t="n"/>
      <c r="UZT82" s="440" t="n"/>
      <c r="UZU82" s="440" t="n"/>
      <c r="UZV82" s="440" t="n"/>
      <c r="UZW82" s="440" t="n"/>
      <c r="UZX82" s="440" t="n"/>
      <c r="UZY82" s="440" t="n"/>
      <c r="UZZ82" s="440" t="n"/>
      <c r="VAA82" s="440" t="n"/>
      <c r="VAB82" s="440" t="n"/>
      <c r="VAC82" s="440" t="n"/>
      <c r="VAD82" s="440" t="n"/>
      <c r="VAE82" s="440" t="n"/>
      <c r="VAF82" s="440" t="n"/>
      <c r="VAG82" s="440" t="n"/>
      <c r="VAH82" s="440" t="n"/>
      <c r="VAI82" s="440" t="n"/>
      <c r="VAJ82" s="440" t="n"/>
      <c r="VAK82" s="440" t="n"/>
      <c r="VAL82" s="440" t="n"/>
      <c r="VAM82" s="440" t="n"/>
      <c r="VAN82" s="440" t="n"/>
      <c r="VAO82" s="440" t="n"/>
      <c r="VAP82" s="440" t="n"/>
      <c r="VAQ82" s="440" t="n"/>
      <c r="VAR82" s="440" t="n"/>
      <c r="VAS82" s="440" t="n"/>
      <c r="VAT82" s="440" t="n"/>
      <c r="VAU82" s="440" t="n"/>
      <c r="VAV82" s="440" t="n"/>
      <c r="VAW82" s="440" t="n"/>
      <c r="VAX82" s="440" t="n"/>
      <c r="VAY82" s="440" t="n"/>
      <c r="VAZ82" s="440" t="n"/>
      <c r="VBA82" s="440" t="n"/>
      <c r="VBB82" s="440" t="n"/>
      <c r="VBC82" s="440" t="n"/>
      <c r="VBD82" s="440" t="n"/>
      <c r="VBE82" s="440" t="n"/>
      <c r="VBF82" s="440" t="n"/>
      <c r="VBG82" s="440" t="n"/>
      <c r="VBH82" s="440" t="n"/>
      <c r="VBI82" s="440" t="n"/>
      <c r="VBJ82" s="440" t="n"/>
      <c r="VBK82" s="440" t="n"/>
      <c r="VBL82" s="440" t="n"/>
      <c r="VBM82" s="440" t="n"/>
      <c r="VBN82" s="440" t="n"/>
      <c r="VBO82" s="440" t="n"/>
      <c r="VBP82" s="440" t="n"/>
      <c r="VBQ82" s="440" t="n"/>
      <c r="VBR82" s="440" t="n"/>
      <c r="VBS82" s="440" t="n"/>
      <c r="VBT82" s="440" t="n"/>
      <c r="VBU82" s="440" t="n"/>
      <c r="VBV82" s="440" t="n"/>
      <c r="VBW82" s="440" t="n"/>
      <c r="VBX82" s="440" t="n"/>
      <c r="VBY82" s="440" t="n"/>
      <c r="VBZ82" s="440" t="n"/>
      <c r="VCA82" s="440" t="n"/>
      <c r="VCB82" s="440" t="n"/>
      <c r="VCC82" s="440" t="n"/>
      <c r="VCD82" s="440" t="n"/>
      <c r="VCE82" s="440" t="n"/>
      <c r="VCF82" s="440" t="n"/>
      <c r="VCG82" s="440" t="n"/>
      <c r="VCH82" s="440" t="n"/>
      <c r="VCI82" s="440" t="n"/>
      <c r="VCJ82" s="440" t="n"/>
      <c r="VCK82" s="440" t="n"/>
      <c r="VCL82" s="440" t="n"/>
      <c r="VCM82" s="440" t="n"/>
      <c r="VCN82" s="440" t="n"/>
      <c r="VCO82" s="440" t="n"/>
      <c r="VCP82" s="440" t="n"/>
      <c r="VCQ82" s="440" t="n"/>
      <c r="VCR82" s="440" t="n"/>
      <c r="VCS82" s="440" t="n"/>
      <c r="VCT82" s="440" t="n"/>
      <c r="VCU82" s="440" t="n"/>
      <c r="VCV82" s="440" t="n"/>
      <c r="VCW82" s="440" t="n"/>
      <c r="VCX82" s="440" t="n"/>
      <c r="VCY82" s="440" t="n"/>
      <c r="VCZ82" s="440" t="n"/>
      <c r="VDA82" s="440" t="n"/>
      <c r="VDB82" s="440" t="n"/>
      <c r="VDC82" s="440" t="n"/>
      <c r="VDD82" s="440" t="n"/>
      <c r="VDE82" s="440" t="n"/>
      <c r="VDF82" s="440" t="n"/>
      <c r="VDG82" s="440" t="n"/>
      <c r="VDH82" s="440" t="n"/>
      <c r="VDI82" s="440" t="n"/>
      <c r="VDJ82" s="440" t="n"/>
      <c r="VDK82" s="440" t="n"/>
      <c r="VDL82" s="440" t="n"/>
      <c r="VDM82" s="440" t="n"/>
      <c r="VDN82" s="440" t="n"/>
      <c r="VDO82" s="440" t="n"/>
      <c r="VDP82" s="440" t="n"/>
      <c r="VDQ82" s="440" t="n"/>
      <c r="VDR82" s="440" t="n"/>
      <c r="VDS82" s="440" t="n"/>
      <c r="VDT82" s="440" t="n"/>
      <c r="VDU82" s="440" t="n"/>
      <c r="VDV82" s="440" t="n"/>
      <c r="VDW82" s="440" t="n"/>
      <c r="VDX82" s="440" t="n"/>
      <c r="VDY82" s="440" t="n"/>
      <c r="VDZ82" s="440" t="n"/>
      <c r="VEA82" s="440" t="n"/>
      <c r="VEB82" s="440" t="n"/>
      <c r="VEC82" s="440" t="n"/>
      <c r="VED82" s="440" t="n"/>
      <c r="VEE82" s="440" t="n"/>
      <c r="VEF82" s="440" t="n"/>
      <c r="VEG82" s="440" t="n"/>
      <c r="VEH82" s="440" t="n"/>
      <c r="VEI82" s="440" t="n"/>
      <c r="VEJ82" s="440" t="n"/>
      <c r="VEK82" s="440" t="n"/>
      <c r="VEL82" s="440" t="n"/>
      <c r="VEM82" s="440" t="n"/>
      <c r="VEN82" s="440" t="n"/>
      <c r="VEO82" s="440" t="n"/>
      <c r="VEP82" s="440" t="n"/>
      <c r="VEQ82" s="440" t="n"/>
      <c r="VER82" s="440" t="n"/>
      <c r="VES82" s="440" t="n"/>
      <c r="VET82" s="440" t="n"/>
      <c r="VEU82" s="440" t="n"/>
      <c r="VEV82" s="440" t="n"/>
      <c r="VEW82" s="440" t="n"/>
      <c r="VEX82" s="440" t="n"/>
      <c r="VEY82" s="440" t="n"/>
      <c r="VEZ82" s="440" t="n"/>
      <c r="VFA82" s="440" t="n"/>
      <c r="VFB82" s="440" t="n"/>
      <c r="VFC82" s="440" t="n"/>
      <c r="VFD82" s="440" t="n"/>
      <c r="VFE82" s="440" t="n"/>
      <c r="VFF82" s="440" t="n"/>
      <c r="VFG82" s="440" t="n"/>
      <c r="VFH82" s="440" t="n"/>
      <c r="VFI82" s="440" t="n"/>
      <c r="VFJ82" s="440" t="n"/>
      <c r="VFK82" s="440" t="n"/>
      <c r="VFL82" s="440" t="n"/>
      <c r="VFM82" s="440" t="n"/>
      <c r="VFN82" s="440" t="n"/>
      <c r="VFO82" s="440" t="n"/>
      <c r="VFP82" s="440" t="n"/>
      <c r="VFQ82" s="440" t="n"/>
      <c r="VFR82" s="440" t="n"/>
      <c r="VFS82" s="440" t="n"/>
      <c r="VFT82" s="440" t="n"/>
      <c r="VFU82" s="440" t="n"/>
      <c r="VFV82" s="440" t="n"/>
      <c r="VFW82" s="440" t="n"/>
      <c r="VFX82" s="440" t="n"/>
      <c r="VFY82" s="440" t="n"/>
      <c r="VFZ82" s="440" t="n"/>
      <c r="VGA82" s="440" t="n"/>
      <c r="VGB82" s="440" t="n"/>
      <c r="VGC82" s="440" t="n"/>
      <c r="VGD82" s="440" t="n"/>
      <c r="VGE82" s="440" t="n"/>
      <c r="VGF82" s="440" t="n"/>
      <c r="VGG82" s="440" t="n"/>
      <c r="VGH82" s="440" t="n"/>
      <c r="VGI82" s="440" t="n"/>
      <c r="VGJ82" s="440" t="n"/>
      <c r="VGK82" s="440" t="n"/>
      <c r="VGL82" s="440" t="n"/>
      <c r="VGM82" s="440" t="n"/>
      <c r="VGN82" s="440" t="n"/>
      <c r="VGO82" s="440" t="n"/>
      <c r="VGP82" s="440" t="n"/>
      <c r="VGQ82" s="440" t="n"/>
      <c r="VGR82" s="440" t="n"/>
      <c r="VGS82" s="440" t="n"/>
      <c r="VGT82" s="440" t="n"/>
      <c r="VGU82" s="440" t="n"/>
      <c r="VGV82" s="440" t="n"/>
      <c r="VGW82" s="440" t="n"/>
      <c r="VGX82" s="440" t="n"/>
      <c r="VGY82" s="440" t="n"/>
      <c r="VGZ82" s="440" t="n"/>
      <c r="VHA82" s="440" t="n"/>
      <c r="VHB82" s="440" t="n"/>
      <c r="VHC82" s="440" t="n"/>
      <c r="VHD82" s="440" t="n"/>
      <c r="VHE82" s="440" t="n"/>
      <c r="VHF82" s="440" t="n"/>
      <c r="VHG82" s="440" t="n"/>
      <c r="VHH82" s="440" t="n"/>
      <c r="VHI82" s="440" t="n"/>
      <c r="VHJ82" s="440" t="n"/>
      <c r="VHK82" s="440" t="n"/>
      <c r="VHL82" s="440" t="n"/>
      <c r="VHM82" s="440" t="n"/>
      <c r="VHN82" s="440" t="n"/>
      <c r="VHO82" s="440" t="n"/>
      <c r="VHP82" s="440" t="n"/>
      <c r="VHQ82" s="440" t="n"/>
      <c r="VHR82" s="440" t="n"/>
      <c r="VHS82" s="440" t="n"/>
      <c r="VHT82" s="440" t="n"/>
      <c r="VHU82" s="440" t="n"/>
      <c r="VHV82" s="440" t="n"/>
      <c r="VHW82" s="440" t="n"/>
      <c r="VHX82" s="440" t="n"/>
      <c r="VHY82" s="440" t="n"/>
      <c r="VHZ82" s="440" t="n"/>
      <c r="VIA82" s="440" t="n"/>
      <c r="VIB82" s="440" t="n"/>
      <c r="VIC82" s="440" t="n"/>
      <c r="VID82" s="440" t="n"/>
      <c r="VIE82" s="440" t="n"/>
      <c r="VIF82" s="440" t="n"/>
      <c r="VIG82" s="440" t="n"/>
      <c r="VIH82" s="440" t="n"/>
      <c r="VII82" s="440" t="n"/>
      <c r="VIJ82" s="440" t="n"/>
      <c r="VIK82" s="440" t="n"/>
      <c r="VIL82" s="440" t="n"/>
      <c r="VIM82" s="440" t="n"/>
      <c r="VIN82" s="440" t="n"/>
      <c r="VIO82" s="440" t="n"/>
      <c r="VIP82" s="440" t="n"/>
      <c r="VIQ82" s="440" t="n"/>
      <c r="VIR82" s="440" t="n"/>
      <c r="VIS82" s="440" t="n"/>
      <c r="VIT82" s="440" t="n"/>
      <c r="VIU82" s="440" t="n"/>
      <c r="VIV82" s="440" t="n"/>
      <c r="VIW82" s="440" t="n"/>
      <c r="VIX82" s="440" t="n"/>
      <c r="VIY82" s="440" t="n"/>
      <c r="VIZ82" s="440" t="n"/>
      <c r="VJA82" s="440" t="n"/>
      <c r="VJB82" s="440" t="n"/>
      <c r="VJC82" s="440" t="n"/>
      <c r="VJD82" s="440" t="n"/>
      <c r="VJE82" s="440" t="n"/>
      <c r="VJF82" s="440" t="n"/>
      <c r="VJG82" s="440" t="n"/>
      <c r="VJH82" s="440" t="n"/>
      <c r="VJI82" s="440" t="n"/>
      <c r="VJJ82" s="440" t="n"/>
      <c r="VJK82" s="440" t="n"/>
      <c r="VJL82" s="440" t="n"/>
      <c r="VJM82" s="440" t="n"/>
      <c r="VJN82" s="440" t="n"/>
      <c r="VJO82" s="440" t="n"/>
      <c r="VJP82" s="440" t="n"/>
      <c r="VJQ82" s="440" t="n"/>
      <c r="VJR82" s="440" t="n"/>
      <c r="VJS82" s="440" t="n"/>
      <c r="VJT82" s="440" t="n"/>
      <c r="VJU82" s="440" t="n"/>
      <c r="VJV82" s="440" t="n"/>
      <c r="VJW82" s="440" t="n"/>
      <c r="VJX82" s="440" t="n"/>
      <c r="VJY82" s="440" t="n"/>
      <c r="VJZ82" s="440" t="n"/>
      <c r="VKA82" s="440" t="n"/>
      <c r="VKB82" s="440" t="n"/>
      <c r="VKC82" s="440" t="n"/>
      <c r="VKD82" s="440" t="n"/>
      <c r="VKE82" s="440" t="n"/>
      <c r="VKF82" s="440" t="n"/>
      <c r="VKG82" s="440" t="n"/>
      <c r="VKH82" s="440" t="n"/>
      <c r="VKI82" s="440" t="n"/>
      <c r="VKJ82" s="440" t="n"/>
      <c r="VKK82" s="440" t="n"/>
      <c r="VKL82" s="440" t="n"/>
      <c r="VKM82" s="440" t="n"/>
      <c r="VKN82" s="440" t="n"/>
      <c r="VKO82" s="440" t="n"/>
      <c r="VKP82" s="440" t="n"/>
      <c r="VKQ82" s="440" t="n"/>
      <c r="VKR82" s="440" t="n"/>
      <c r="VKS82" s="440" t="n"/>
      <c r="VKT82" s="440" t="n"/>
      <c r="VKU82" s="440" t="n"/>
      <c r="VKV82" s="440" t="n"/>
      <c r="VKW82" s="440" t="n"/>
      <c r="VKX82" s="440" t="n"/>
      <c r="VKY82" s="440" t="n"/>
      <c r="VKZ82" s="440" t="n"/>
      <c r="VLA82" s="440" t="n"/>
      <c r="VLB82" s="440" t="n"/>
      <c r="VLC82" s="440" t="n"/>
      <c r="VLD82" s="440" t="n"/>
      <c r="VLE82" s="440" t="n"/>
      <c r="VLF82" s="440" t="n"/>
      <c r="VLG82" s="440" t="n"/>
      <c r="VLH82" s="440" t="n"/>
      <c r="VLI82" s="440" t="n"/>
      <c r="VLJ82" s="440" t="n"/>
      <c r="VLK82" s="440" t="n"/>
      <c r="VLL82" s="440" t="n"/>
      <c r="VLM82" s="440" t="n"/>
      <c r="VLN82" s="440" t="n"/>
      <c r="VLO82" s="440" t="n"/>
      <c r="VLP82" s="440" t="n"/>
      <c r="VLQ82" s="440" t="n"/>
      <c r="VLR82" s="440" t="n"/>
      <c r="VLS82" s="440" t="n"/>
      <c r="VLT82" s="440" t="n"/>
      <c r="VLU82" s="440" t="n"/>
      <c r="VLV82" s="440" t="n"/>
      <c r="VLW82" s="440" t="n"/>
      <c r="VLX82" s="440" t="n"/>
      <c r="VLY82" s="440" t="n"/>
      <c r="VLZ82" s="440" t="n"/>
      <c r="VMA82" s="440" t="n"/>
      <c r="VMB82" s="440" t="n"/>
      <c r="VMC82" s="440" t="n"/>
      <c r="VMD82" s="440" t="n"/>
      <c r="VME82" s="440" t="n"/>
      <c r="VMF82" s="440" t="n"/>
      <c r="VMG82" s="440" t="n"/>
      <c r="VMH82" s="440" t="n"/>
      <c r="VMI82" s="440" t="n"/>
      <c r="VMJ82" s="440" t="n"/>
      <c r="VMK82" s="440" t="n"/>
      <c r="VML82" s="440" t="n"/>
      <c r="VMM82" s="440" t="n"/>
      <c r="VMN82" s="440" t="n"/>
      <c r="VMO82" s="440" t="n"/>
      <c r="VMP82" s="440" t="n"/>
      <c r="VMQ82" s="440" t="n"/>
      <c r="VMR82" s="440" t="n"/>
      <c r="VMS82" s="440" t="n"/>
      <c r="VMT82" s="440" t="n"/>
      <c r="VMU82" s="440" t="n"/>
      <c r="VMV82" s="440" t="n"/>
      <c r="VMW82" s="440" t="n"/>
      <c r="VMX82" s="440" t="n"/>
      <c r="VMY82" s="440" t="n"/>
      <c r="VMZ82" s="440" t="n"/>
      <c r="VNA82" s="440" t="n"/>
      <c r="VNB82" s="440" t="n"/>
      <c r="VNC82" s="440" t="n"/>
      <c r="VND82" s="440" t="n"/>
      <c r="VNE82" s="440" t="n"/>
      <c r="VNF82" s="440" t="n"/>
      <c r="VNG82" s="440" t="n"/>
      <c r="VNH82" s="440" t="n"/>
      <c r="VNI82" s="440" t="n"/>
      <c r="VNJ82" s="440" t="n"/>
      <c r="VNK82" s="440" t="n"/>
      <c r="VNL82" s="440" t="n"/>
      <c r="VNM82" s="440" t="n"/>
      <c r="VNN82" s="440" t="n"/>
      <c r="VNO82" s="440" t="n"/>
      <c r="VNP82" s="440" t="n"/>
      <c r="VNQ82" s="440" t="n"/>
      <c r="VNR82" s="440" t="n"/>
      <c r="VNS82" s="440" t="n"/>
      <c r="VNT82" s="440" t="n"/>
      <c r="VNU82" s="440" t="n"/>
      <c r="VNV82" s="440" t="n"/>
      <c r="VNW82" s="440" t="n"/>
      <c r="VNX82" s="440" t="n"/>
      <c r="VNY82" s="440" t="n"/>
      <c r="VNZ82" s="440" t="n"/>
      <c r="VOA82" s="440" t="n"/>
      <c r="VOB82" s="440" t="n"/>
      <c r="VOC82" s="440" t="n"/>
      <c r="VOD82" s="440" t="n"/>
      <c r="VOE82" s="440" t="n"/>
      <c r="VOF82" s="440" t="n"/>
      <c r="VOG82" s="440" t="n"/>
      <c r="VOH82" s="440" t="n"/>
      <c r="VOI82" s="440" t="n"/>
      <c r="VOJ82" s="440" t="n"/>
      <c r="VOK82" s="440" t="n"/>
      <c r="VOL82" s="440" t="n"/>
      <c r="VOM82" s="440" t="n"/>
      <c r="VON82" s="440" t="n"/>
      <c r="VOO82" s="440" t="n"/>
      <c r="VOP82" s="440" t="n"/>
      <c r="VOQ82" s="440" t="n"/>
      <c r="VOR82" s="440" t="n"/>
      <c r="VOS82" s="440" t="n"/>
      <c r="VOT82" s="440" t="n"/>
      <c r="VOU82" s="440" t="n"/>
      <c r="VOV82" s="440" t="n"/>
      <c r="VOW82" s="440" t="n"/>
      <c r="VOX82" s="440" t="n"/>
      <c r="VOY82" s="440" t="n"/>
      <c r="VOZ82" s="440" t="n"/>
      <c r="VPA82" s="440" t="n"/>
      <c r="VPB82" s="440" t="n"/>
      <c r="VPC82" s="440" t="n"/>
      <c r="VPD82" s="440" t="n"/>
      <c r="VPE82" s="440" t="n"/>
      <c r="VPF82" s="440" t="n"/>
      <c r="VPG82" s="440" t="n"/>
      <c r="VPH82" s="440" t="n"/>
      <c r="VPI82" s="440" t="n"/>
      <c r="VPJ82" s="440" t="n"/>
      <c r="VPK82" s="440" t="n"/>
      <c r="VPL82" s="440" t="n"/>
      <c r="VPM82" s="440" t="n"/>
      <c r="VPN82" s="440" t="n"/>
      <c r="VPO82" s="440" t="n"/>
      <c r="VPP82" s="440" t="n"/>
      <c r="VPQ82" s="440" t="n"/>
      <c r="VPR82" s="440" t="n"/>
      <c r="VPS82" s="440" t="n"/>
      <c r="VPT82" s="440" t="n"/>
      <c r="VPU82" s="440" t="n"/>
      <c r="VPV82" s="440" t="n"/>
      <c r="VPW82" s="440" t="n"/>
      <c r="VPX82" s="440" t="n"/>
      <c r="VPY82" s="440" t="n"/>
      <c r="VPZ82" s="440" t="n"/>
      <c r="VQA82" s="440" t="n"/>
      <c r="VQB82" s="440" t="n"/>
      <c r="VQC82" s="440" t="n"/>
      <c r="VQD82" s="440" t="n"/>
      <c r="VQE82" s="440" t="n"/>
      <c r="VQF82" s="440" t="n"/>
      <c r="VQG82" s="440" t="n"/>
      <c r="VQH82" s="440" t="n"/>
      <c r="VQI82" s="440" t="n"/>
      <c r="VQJ82" s="440" t="n"/>
      <c r="VQK82" s="440" t="n"/>
      <c r="VQL82" s="440" t="n"/>
      <c r="VQM82" s="440" t="n"/>
      <c r="VQN82" s="440" t="n"/>
      <c r="VQO82" s="440" t="n"/>
      <c r="VQP82" s="440" t="n"/>
      <c r="VQQ82" s="440" t="n"/>
      <c r="VQR82" s="440" t="n"/>
      <c r="VQS82" s="440" t="n"/>
      <c r="VQT82" s="440" t="n"/>
      <c r="VQU82" s="440" t="n"/>
      <c r="VQV82" s="440" t="n"/>
      <c r="VQW82" s="440" t="n"/>
      <c r="VQX82" s="440" t="n"/>
      <c r="VQY82" s="440" t="n"/>
      <c r="VQZ82" s="440" t="n"/>
      <c r="VRA82" s="440" t="n"/>
      <c r="VRB82" s="440" t="n"/>
      <c r="VRC82" s="440" t="n"/>
      <c r="VRD82" s="440" t="n"/>
      <c r="VRE82" s="440" t="n"/>
      <c r="VRF82" s="440" t="n"/>
      <c r="VRG82" s="440" t="n"/>
      <c r="VRH82" s="440" t="n"/>
      <c r="VRI82" s="440" t="n"/>
      <c r="VRJ82" s="440" t="n"/>
      <c r="VRK82" s="440" t="n"/>
      <c r="VRL82" s="440" t="n"/>
      <c r="VRM82" s="440" t="n"/>
      <c r="VRN82" s="440" t="n"/>
      <c r="VRO82" s="440" t="n"/>
      <c r="VRP82" s="440" t="n"/>
      <c r="VRQ82" s="440" t="n"/>
      <c r="VRR82" s="440" t="n"/>
      <c r="VRS82" s="440" t="n"/>
      <c r="VRT82" s="440" t="n"/>
      <c r="VRU82" s="440" t="n"/>
      <c r="VRV82" s="440" t="n"/>
      <c r="VRW82" s="440" t="n"/>
      <c r="VRX82" s="440" t="n"/>
      <c r="VRY82" s="440" t="n"/>
      <c r="VRZ82" s="440" t="n"/>
      <c r="VSA82" s="440" t="n"/>
      <c r="VSB82" s="440" t="n"/>
      <c r="VSC82" s="440" t="n"/>
      <c r="VSD82" s="440" t="n"/>
      <c r="VSE82" s="440" t="n"/>
      <c r="VSF82" s="440" t="n"/>
      <c r="VSG82" s="440" t="n"/>
      <c r="VSH82" s="440" t="n"/>
      <c r="VSI82" s="440" t="n"/>
      <c r="VSJ82" s="440" t="n"/>
      <c r="VSK82" s="440" t="n"/>
      <c r="VSL82" s="440" t="n"/>
      <c r="VSM82" s="440" t="n"/>
      <c r="VSN82" s="440" t="n"/>
      <c r="VSO82" s="440" t="n"/>
      <c r="VSP82" s="440" t="n"/>
      <c r="VSQ82" s="440" t="n"/>
      <c r="VSR82" s="440" t="n"/>
      <c r="VSS82" s="440" t="n"/>
      <c r="VST82" s="440" t="n"/>
      <c r="VSU82" s="440" t="n"/>
      <c r="VSV82" s="440" t="n"/>
      <c r="VSW82" s="440" t="n"/>
      <c r="VSX82" s="440" t="n"/>
      <c r="VSY82" s="440" t="n"/>
      <c r="VSZ82" s="440" t="n"/>
      <c r="VTA82" s="440" t="n"/>
      <c r="VTB82" s="440" t="n"/>
      <c r="VTC82" s="440" t="n"/>
      <c r="VTD82" s="440" t="n"/>
      <c r="VTE82" s="440" t="n"/>
      <c r="VTF82" s="440" t="n"/>
      <c r="VTG82" s="440" t="n"/>
      <c r="VTH82" s="440" t="n"/>
      <c r="VTI82" s="440" t="n"/>
      <c r="VTJ82" s="440" t="n"/>
      <c r="VTK82" s="440" t="n"/>
      <c r="VTL82" s="440" t="n"/>
      <c r="VTM82" s="440" t="n"/>
      <c r="VTN82" s="440" t="n"/>
      <c r="VTO82" s="440" t="n"/>
      <c r="VTP82" s="440" t="n"/>
      <c r="VTQ82" s="440" t="n"/>
      <c r="VTR82" s="440" t="n"/>
      <c r="VTS82" s="440" t="n"/>
      <c r="VTT82" s="440" t="n"/>
      <c r="VTU82" s="440" t="n"/>
      <c r="VTV82" s="440" t="n"/>
      <c r="VTW82" s="440" t="n"/>
      <c r="VTX82" s="440" t="n"/>
      <c r="VTY82" s="440" t="n"/>
      <c r="VTZ82" s="440" t="n"/>
      <c r="VUA82" s="440" t="n"/>
      <c r="VUB82" s="440" t="n"/>
      <c r="VUC82" s="440" t="n"/>
      <c r="VUD82" s="440" t="n"/>
      <c r="VUE82" s="440" t="n"/>
      <c r="VUF82" s="440" t="n"/>
      <c r="VUG82" s="440" t="n"/>
      <c r="VUH82" s="440" t="n"/>
      <c r="VUI82" s="440" t="n"/>
      <c r="VUJ82" s="440" t="n"/>
      <c r="VUK82" s="440" t="n"/>
      <c r="VUL82" s="440" t="n"/>
      <c r="VUM82" s="440" t="n"/>
      <c r="VUN82" s="440" t="n"/>
      <c r="VUO82" s="440" t="n"/>
      <c r="VUP82" s="440" t="n"/>
      <c r="VUQ82" s="440" t="n"/>
      <c r="VUR82" s="440" t="n"/>
      <c r="VUS82" s="440" t="n"/>
      <c r="VUT82" s="440" t="n"/>
      <c r="VUU82" s="440" t="n"/>
      <c r="VUV82" s="440" t="n"/>
      <c r="VUW82" s="440" t="n"/>
      <c r="VUX82" s="440" t="n"/>
      <c r="VUY82" s="440" t="n"/>
      <c r="VUZ82" s="440" t="n"/>
      <c r="VVA82" s="440" t="n"/>
      <c r="VVB82" s="440" t="n"/>
      <c r="VVC82" s="440" t="n"/>
      <c r="VVD82" s="440" t="n"/>
      <c r="VVE82" s="440" t="n"/>
      <c r="VVF82" s="440" t="n"/>
      <c r="VVG82" s="440" t="n"/>
      <c r="VVH82" s="440" t="n"/>
      <c r="VVI82" s="440" t="n"/>
      <c r="VVJ82" s="440" t="n"/>
      <c r="VVK82" s="440" t="n"/>
      <c r="VVL82" s="440" t="n"/>
      <c r="VVM82" s="440" t="n"/>
      <c r="VVN82" s="440" t="n"/>
      <c r="VVO82" s="440" t="n"/>
      <c r="VVP82" s="440" t="n"/>
      <c r="VVQ82" s="440" t="n"/>
      <c r="VVR82" s="440" t="n"/>
      <c r="VVS82" s="440" t="n"/>
      <c r="VVT82" s="440" t="n"/>
      <c r="VVU82" s="440" t="n"/>
      <c r="VVV82" s="440" t="n"/>
      <c r="VVW82" s="440" t="n"/>
      <c r="VVX82" s="440" t="n"/>
      <c r="VVY82" s="440" t="n"/>
      <c r="VVZ82" s="440" t="n"/>
      <c r="VWA82" s="440" t="n"/>
      <c r="VWB82" s="440" t="n"/>
      <c r="VWC82" s="440" t="n"/>
      <c r="VWD82" s="440" t="n"/>
      <c r="VWE82" s="440" t="n"/>
      <c r="VWF82" s="440" t="n"/>
      <c r="VWG82" s="440" t="n"/>
      <c r="VWH82" s="440" t="n"/>
      <c r="VWI82" s="440" t="n"/>
      <c r="VWJ82" s="440" t="n"/>
      <c r="VWK82" s="440" t="n"/>
      <c r="VWL82" s="440" t="n"/>
      <c r="VWM82" s="440" t="n"/>
      <c r="VWN82" s="440" t="n"/>
      <c r="VWO82" s="440" t="n"/>
      <c r="VWP82" s="440" t="n"/>
      <c r="VWQ82" s="440" t="n"/>
      <c r="VWR82" s="440" t="n"/>
      <c r="VWS82" s="440" t="n"/>
      <c r="VWT82" s="440" t="n"/>
      <c r="VWU82" s="440" t="n"/>
      <c r="VWV82" s="440" t="n"/>
      <c r="VWW82" s="440" t="n"/>
      <c r="VWX82" s="440" t="n"/>
      <c r="VWY82" s="440" t="n"/>
      <c r="VWZ82" s="440" t="n"/>
      <c r="VXA82" s="440" t="n"/>
      <c r="VXB82" s="440" t="n"/>
      <c r="VXC82" s="440" t="n"/>
      <c r="VXD82" s="440" t="n"/>
      <c r="VXE82" s="440" t="n"/>
      <c r="VXF82" s="440" t="n"/>
      <c r="VXG82" s="440" t="n"/>
      <c r="VXH82" s="440" t="n"/>
      <c r="VXI82" s="440" t="n"/>
      <c r="VXJ82" s="440" t="n"/>
      <c r="VXK82" s="440" t="n"/>
      <c r="VXL82" s="440" t="n"/>
      <c r="VXM82" s="440" t="n"/>
      <c r="VXN82" s="440" t="n"/>
      <c r="VXO82" s="440" t="n"/>
      <c r="VXP82" s="440" t="n"/>
      <c r="VXQ82" s="440" t="n"/>
      <c r="VXR82" s="440" t="n"/>
      <c r="VXS82" s="440" t="n"/>
      <c r="VXT82" s="440" t="n"/>
      <c r="VXU82" s="440" t="n"/>
      <c r="VXV82" s="440" t="n"/>
      <c r="VXW82" s="440" t="n"/>
      <c r="VXX82" s="440" t="n"/>
      <c r="VXY82" s="440" t="n"/>
      <c r="VXZ82" s="440" t="n"/>
      <c r="VYA82" s="440" t="n"/>
      <c r="VYB82" s="440" t="n"/>
      <c r="VYC82" s="440" t="n"/>
      <c r="VYD82" s="440" t="n"/>
      <c r="VYE82" s="440" t="n"/>
      <c r="VYF82" s="440" t="n"/>
      <c r="VYG82" s="440" t="n"/>
      <c r="VYH82" s="440" t="n"/>
      <c r="VYI82" s="440" t="n"/>
      <c r="VYJ82" s="440" t="n"/>
      <c r="VYK82" s="440" t="n"/>
      <c r="VYL82" s="440" t="n"/>
      <c r="VYM82" s="440" t="n"/>
      <c r="VYN82" s="440" t="n"/>
      <c r="VYO82" s="440" t="n"/>
      <c r="VYP82" s="440" t="n"/>
      <c r="VYQ82" s="440" t="n"/>
      <c r="VYR82" s="440" t="n"/>
      <c r="VYS82" s="440" t="n"/>
      <c r="VYT82" s="440" t="n"/>
      <c r="VYU82" s="440" t="n"/>
      <c r="VYV82" s="440" t="n"/>
      <c r="VYW82" s="440" t="n"/>
      <c r="VYX82" s="440" t="n"/>
      <c r="VYY82" s="440" t="n"/>
      <c r="VYZ82" s="440" t="n"/>
      <c r="VZA82" s="440" t="n"/>
      <c r="VZB82" s="440" t="n"/>
      <c r="VZC82" s="440" t="n"/>
      <c r="VZD82" s="440" t="n"/>
      <c r="VZE82" s="440" t="n"/>
      <c r="VZF82" s="440" t="n"/>
      <c r="VZG82" s="440" t="n"/>
      <c r="VZH82" s="440" t="n"/>
      <c r="VZI82" s="440" t="n"/>
      <c r="VZJ82" s="440" t="n"/>
      <c r="VZK82" s="440" t="n"/>
      <c r="VZL82" s="440" t="n"/>
      <c r="VZM82" s="440" t="n"/>
      <c r="VZN82" s="440" t="n"/>
      <c r="VZO82" s="440" t="n"/>
      <c r="VZP82" s="440" t="n"/>
      <c r="VZQ82" s="440" t="n"/>
      <c r="VZR82" s="440" t="n"/>
      <c r="VZS82" s="440" t="n"/>
      <c r="VZT82" s="440" t="n"/>
      <c r="VZU82" s="440" t="n"/>
      <c r="VZV82" s="440" t="n"/>
      <c r="VZW82" s="440" t="n"/>
      <c r="VZX82" s="440" t="n"/>
      <c r="VZY82" s="440" t="n"/>
      <c r="VZZ82" s="440" t="n"/>
      <c r="WAA82" s="440" t="n"/>
      <c r="WAB82" s="440" t="n"/>
      <c r="WAC82" s="440" t="n"/>
      <c r="WAD82" s="440" t="n"/>
      <c r="WAE82" s="440" t="n"/>
      <c r="WAF82" s="440" t="n"/>
      <c r="WAG82" s="440" t="n"/>
      <c r="WAH82" s="440" t="n"/>
      <c r="WAI82" s="440" t="n"/>
      <c r="WAJ82" s="440" t="n"/>
      <c r="WAK82" s="440" t="n"/>
      <c r="WAL82" s="440" t="n"/>
      <c r="WAM82" s="440" t="n"/>
      <c r="WAN82" s="440" t="n"/>
      <c r="WAO82" s="440" t="n"/>
      <c r="WAP82" s="440" t="n"/>
      <c r="WAQ82" s="440" t="n"/>
      <c r="WAR82" s="440" t="n"/>
      <c r="WAS82" s="440" t="n"/>
      <c r="WAT82" s="440" t="n"/>
      <c r="WAU82" s="440" t="n"/>
      <c r="WAV82" s="440" t="n"/>
      <c r="WAW82" s="440" t="n"/>
      <c r="WAX82" s="440" t="n"/>
      <c r="WAY82" s="440" t="n"/>
      <c r="WAZ82" s="440" t="n"/>
      <c r="WBA82" s="440" t="n"/>
      <c r="WBB82" s="440" t="n"/>
      <c r="WBC82" s="440" t="n"/>
      <c r="WBD82" s="440" t="n"/>
      <c r="WBE82" s="440" t="n"/>
      <c r="WBF82" s="440" t="n"/>
      <c r="WBG82" s="440" t="n"/>
      <c r="WBH82" s="440" t="n"/>
      <c r="WBI82" s="440" t="n"/>
      <c r="WBJ82" s="440" t="n"/>
      <c r="WBK82" s="440" t="n"/>
      <c r="WBL82" s="440" t="n"/>
      <c r="WBM82" s="440" t="n"/>
      <c r="WBN82" s="440" t="n"/>
      <c r="WBO82" s="440" t="n"/>
      <c r="WBP82" s="440" t="n"/>
      <c r="WBQ82" s="440" t="n"/>
      <c r="WBR82" s="440" t="n"/>
      <c r="WBS82" s="440" t="n"/>
      <c r="WBT82" s="440" t="n"/>
      <c r="WBU82" s="440" t="n"/>
      <c r="WBV82" s="440" t="n"/>
      <c r="WBW82" s="440" t="n"/>
      <c r="WBX82" s="440" t="n"/>
      <c r="WBY82" s="440" t="n"/>
      <c r="WBZ82" s="440" t="n"/>
      <c r="WCA82" s="440" t="n"/>
      <c r="WCB82" s="440" t="n"/>
      <c r="WCC82" s="440" t="n"/>
      <c r="WCD82" s="440" t="n"/>
      <c r="WCE82" s="440" t="n"/>
      <c r="WCF82" s="440" t="n"/>
      <c r="WCG82" s="440" t="n"/>
      <c r="WCH82" s="440" t="n"/>
      <c r="WCI82" s="440" t="n"/>
      <c r="WCJ82" s="440" t="n"/>
      <c r="WCK82" s="440" t="n"/>
      <c r="WCL82" s="440" t="n"/>
      <c r="WCM82" s="440" t="n"/>
      <c r="WCN82" s="440" t="n"/>
      <c r="WCO82" s="440" t="n"/>
      <c r="WCP82" s="440" t="n"/>
      <c r="WCQ82" s="440" t="n"/>
      <c r="WCR82" s="440" t="n"/>
      <c r="WCS82" s="440" t="n"/>
      <c r="WCT82" s="440" t="n"/>
      <c r="WCU82" s="440" t="n"/>
      <c r="WCV82" s="440" t="n"/>
      <c r="WCW82" s="440" t="n"/>
      <c r="WCX82" s="440" t="n"/>
      <c r="WCY82" s="440" t="n"/>
      <c r="WCZ82" s="440" t="n"/>
      <c r="WDA82" s="440" t="n"/>
      <c r="WDB82" s="440" t="n"/>
      <c r="WDC82" s="440" t="n"/>
      <c r="WDD82" s="440" t="n"/>
      <c r="WDE82" s="440" t="n"/>
      <c r="WDF82" s="440" t="n"/>
      <c r="WDG82" s="440" t="n"/>
      <c r="WDH82" s="440" t="n"/>
      <c r="WDI82" s="440" t="n"/>
      <c r="WDJ82" s="440" t="n"/>
      <c r="WDK82" s="440" t="n"/>
      <c r="WDL82" s="440" t="n"/>
      <c r="WDM82" s="440" t="n"/>
      <c r="WDN82" s="440" t="n"/>
      <c r="WDO82" s="440" t="n"/>
      <c r="WDP82" s="440" t="n"/>
      <c r="WDQ82" s="440" t="n"/>
      <c r="WDR82" s="440" t="n"/>
      <c r="WDS82" s="440" t="n"/>
      <c r="WDT82" s="440" t="n"/>
      <c r="WDU82" s="440" t="n"/>
      <c r="WDV82" s="440" t="n"/>
      <c r="WDW82" s="440" t="n"/>
      <c r="WDX82" s="440" t="n"/>
      <c r="WDY82" s="440" t="n"/>
      <c r="WDZ82" s="440" t="n"/>
      <c r="WEA82" s="440" t="n"/>
      <c r="WEB82" s="440" t="n"/>
      <c r="WEC82" s="440" t="n"/>
      <c r="WED82" s="440" t="n"/>
      <c r="WEE82" s="440" t="n"/>
      <c r="WEF82" s="440" t="n"/>
      <c r="WEG82" s="440" t="n"/>
      <c r="WEH82" s="440" t="n"/>
      <c r="WEI82" s="440" t="n"/>
      <c r="WEJ82" s="440" t="n"/>
      <c r="WEK82" s="440" t="n"/>
      <c r="WEL82" s="440" t="n"/>
      <c r="WEM82" s="440" t="n"/>
      <c r="WEN82" s="440" t="n"/>
      <c r="WEO82" s="440" t="n"/>
      <c r="WEP82" s="440" t="n"/>
      <c r="WEQ82" s="440" t="n"/>
      <c r="WER82" s="440" t="n"/>
      <c r="WES82" s="440" t="n"/>
      <c r="WET82" s="440" t="n"/>
      <c r="WEU82" s="440" t="n"/>
      <c r="WEV82" s="440" t="n"/>
      <c r="WEW82" s="440" t="n"/>
      <c r="WEX82" s="440" t="n"/>
      <c r="WEY82" s="440" t="n"/>
      <c r="WEZ82" s="440" t="n"/>
      <c r="WFA82" s="440" t="n"/>
      <c r="WFB82" s="440" t="n"/>
      <c r="WFC82" s="440" t="n"/>
      <c r="WFD82" s="440" t="n"/>
      <c r="WFE82" s="440" t="n"/>
      <c r="WFF82" s="440" t="n"/>
      <c r="WFG82" s="440" t="n"/>
      <c r="WFH82" s="440" t="n"/>
      <c r="WFI82" s="440" t="n"/>
      <c r="WFJ82" s="440" t="n"/>
      <c r="WFK82" s="440" t="n"/>
      <c r="WFL82" s="440" t="n"/>
      <c r="WFM82" s="440" t="n"/>
      <c r="WFN82" s="440" t="n"/>
      <c r="WFO82" s="440" t="n"/>
      <c r="WFP82" s="440" t="n"/>
      <c r="WFQ82" s="440" t="n"/>
      <c r="WFR82" s="440" t="n"/>
      <c r="WFS82" s="440" t="n"/>
      <c r="WFT82" s="440" t="n"/>
      <c r="WFU82" s="440" t="n"/>
      <c r="WFV82" s="440" t="n"/>
      <c r="WFW82" s="440" t="n"/>
      <c r="WFX82" s="440" t="n"/>
      <c r="WFY82" s="440" t="n"/>
      <c r="WFZ82" s="440" t="n"/>
      <c r="WGA82" s="440" t="n"/>
      <c r="WGB82" s="440" t="n"/>
      <c r="WGC82" s="440" t="n"/>
      <c r="WGD82" s="440" t="n"/>
      <c r="WGE82" s="440" t="n"/>
      <c r="WGF82" s="440" t="n"/>
      <c r="WGG82" s="440" t="n"/>
      <c r="WGH82" s="440" t="n"/>
      <c r="WGI82" s="440" t="n"/>
      <c r="WGJ82" s="440" t="n"/>
      <c r="WGK82" s="440" t="n"/>
      <c r="WGL82" s="440" t="n"/>
      <c r="WGM82" s="440" t="n"/>
      <c r="WGN82" s="440" t="n"/>
      <c r="WGO82" s="440" t="n"/>
      <c r="WGP82" s="440" t="n"/>
      <c r="WGQ82" s="440" t="n"/>
      <c r="WGR82" s="440" t="n"/>
      <c r="WGS82" s="440" t="n"/>
      <c r="WGT82" s="440" t="n"/>
      <c r="WGU82" s="440" t="n"/>
      <c r="WGV82" s="440" t="n"/>
      <c r="WGW82" s="440" t="n"/>
      <c r="WGX82" s="440" t="n"/>
      <c r="WGY82" s="440" t="n"/>
      <c r="WGZ82" s="440" t="n"/>
      <c r="WHA82" s="440" t="n"/>
      <c r="WHB82" s="440" t="n"/>
      <c r="WHC82" s="440" t="n"/>
      <c r="WHD82" s="440" t="n"/>
      <c r="WHE82" s="440" t="n"/>
      <c r="WHF82" s="440" t="n"/>
      <c r="WHG82" s="440" t="n"/>
      <c r="WHH82" s="440" t="n"/>
      <c r="WHI82" s="440" t="n"/>
      <c r="WHJ82" s="440" t="n"/>
      <c r="WHK82" s="440" t="n"/>
      <c r="WHL82" s="440" t="n"/>
      <c r="WHM82" s="440" t="n"/>
      <c r="WHN82" s="440" t="n"/>
      <c r="WHO82" s="440" t="n"/>
      <c r="WHP82" s="440" t="n"/>
      <c r="WHQ82" s="440" t="n"/>
      <c r="WHR82" s="440" t="n"/>
      <c r="WHS82" s="440" t="n"/>
      <c r="WHT82" s="440" t="n"/>
      <c r="WHU82" s="440" t="n"/>
      <c r="WHV82" s="440" t="n"/>
      <c r="WHW82" s="440" t="n"/>
      <c r="WHX82" s="440" t="n"/>
      <c r="WHY82" s="440" t="n"/>
      <c r="WHZ82" s="440" t="n"/>
      <c r="WIA82" s="440" t="n"/>
      <c r="WIB82" s="440" t="n"/>
      <c r="WIC82" s="440" t="n"/>
      <c r="WID82" s="440" t="n"/>
      <c r="WIE82" s="440" t="n"/>
      <c r="WIF82" s="440" t="n"/>
      <c r="WIG82" s="440" t="n"/>
      <c r="WIH82" s="440" t="n"/>
      <c r="WII82" s="440" t="n"/>
      <c r="WIJ82" s="440" t="n"/>
      <c r="WIK82" s="440" t="n"/>
      <c r="WIL82" s="440" t="n"/>
      <c r="WIM82" s="440" t="n"/>
      <c r="WIN82" s="440" t="n"/>
      <c r="WIO82" s="440" t="n"/>
      <c r="WIP82" s="440" t="n"/>
      <c r="WIQ82" s="440" t="n"/>
      <c r="WIR82" s="440" t="n"/>
      <c r="WIS82" s="440" t="n"/>
      <c r="WIT82" s="440" t="n"/>
      <c r="WIU82" s="440" t="n"/>
      <c r="WIV82" s="440" t="n"/>
      <c r="WIW82" s="440" t="n"/>
      <c r="WIX82" s="440" t="n"/>
      <c r="WIY82" s="440" t="n"/>
      <c r="WIZ82" s="440" t="n"/>
      <c r="WJA82" s="440" t="n"/>
      <c r="WJB82" s="440" t="n"/>
      <c r="WJC82" s="440" t="n"/>
      <c r="WJD82" s="440" t="n"/>
      <c r="WJE82" s="440" t="n"/>
      <c r="WJF82" s="440" t="n"/>
      <c r="WJG82" s="440" t="n"/>
      <c r="WJH82" s="440" t="n"/>
      <c r="WJI82" s="440" t="n"/>
      <c r="WJJ82" s="440" t="n"/>
      <c r="WJK82" s="440" t="n"/>
      <c r="WJL82" s="440" t="n"/>
      <c r="WJM82" s="440" t="n"/>
      <c r="WJN82" s="440" t="n"/>
      <c r="WJO82" s="440" t="n"/>
      <c r="WJP82" s="440" t="n"/>
      <c r="WJQ82" s="440" t="n"/>
      <c r="WJR82" s="440" t="n"/>
      <c r="WJS82" s="440" t="n"/>
      <c r="WJT82" s="440" t="n"/>
      <c r="WJU82" s="440" t="n"/>
      <c r="WJV82" s="440" t="n"/>
      <c r="WJW82" s="440" t="n"/>
      <c r="WJX82" s="440" t="n"/>
      <c r="WJY82" s="440" t="n"/>
      <c r="WJZ82" s="440" t="n"/>
      <c r="WKA82" s="440" t="n"/>
      <c r="WKB82" s="440" t="n"/>
      <c r="WKC82" s="440" t="n"/>
      <c r="WKD82" s="440" t="n"/>
      <c r="WKE82" s="440" t="n"/>
      <c r="WKF82" s="440" t="n"/>
      <c r="WKG82" s="440" t="n"/>
      <c r="WKH82" s="440" t="n"/>
      <c r="WKI82" s="440" t="n"/>
      <c r="WKJ82" s="440" t="n"/>
      <c r="WKK82" s="440" t="n"/>
      <c r="WKL82" s="440" t="n"/>
      <c r="WKM82" s="440" t="n"/>
      <c r="WKN82" s="440" t="n"/>
      <c r="WKO82" s="440" t="n"/>
      <c r="WKP82" s="440" t="n"/>
      <c r="WKQ82" s="440" t="n"/>
      <c r="WKR82" s="440" t="n"/>
      <c r="WKS82" s="440" t="n"/>
      <c r="WKT82" s="440" t="n"/>
      <c r="WKU82" s="440" t="n"/>
      <c r="WKV82" s="440" t="n"/>
      <c r="WKW82" s="440" t="n"/>
      <c r="WKX82" s="440" t="n"/>
      <c r="WKY82" s="440" t="n"/>
      <c r="WKZ82" s="440" t="n"/>
      <c r="WLA82" s="440" t="n"/>
      <c r="WLB82" s="440" t="n"/>
      <c r="WLC82" s="440" t="n"/>
      <c r="WLD82" s="440" t="n"/>
      <c r="WLE82" s="440" t="n"/>
      <c r="WLF82" s="440" t="n"/>
      <c r="WLG82" s="440" t="n"/>
      <c r="WLH82" s="440" t="n"/>
      <c r="WLI82" s="440" t="n"/>
      <c r="WLJ82" s="440" t="n"/>
      <c r="WLK82" s="440" t="n"/>
      <c r="WLL82" s="440" t="n"/>
      <c r="WLM82" s="440" t="n"/>
      <c r="WLN82" s="440" t="n"/>
      <c r="WLO82" s="440" t="n"/>
      <c r="WLP82" s="440" t="n"/>
      <c r="WLQ82" s="440" t="n"/>
      <c r="WLR82" s="440" t="n"/>
      <c r="WLS82" s="440" t="n"/>
      <c r="WLT82" s="440" t="n"/>
      <c r="WLU82" s="440" t="n"/>
      <c r="WLV82" s="440" t="n"/>
      <c r="WLW82" s="440" t="n"/>
      <c r="WLX82" s="440" t="n"/>
      <c r="WLY82" s="440" t="n"/>
      <c r="WLZ82" s="440" t="n"/>
      <c r="WMA82" s="440" t="n"/>
      <c r="WMB82" s="440" t="n"/>
      <c r="WMC82" s="440" t="n"/>
      <c r="WMD82" s="440" t="n"/>
      <c r="WME82" s="440" t="n"/>
      <c r="WMF82" s="440" t="n"/>
      <c r="WMG82" s="440" t="n"/>
      <c r="WMH82" s="440" t="n"/>
      <c r="WMI82" s="440" t="n"/>
      <c r="WMJ82" s="440" t="n"/>
      <c r="WMK82" s="440" t="n"/>
      <c r="WML82" s="440" t="n"/>
      <c r="WMM82" s="440" t="n"/>
      <c r="WMN82" s="440" t="n"/>
      <c r="WMO82" s="440" t="n"/>
      <c r="WMP82" s="440" t="n"/>
      <c r="WMQ82" s="440" t="n"/>
      <c r="WMR82" s="440" t="n"/>
      <c r="WMS82" s="440" t="n"/>
      <c r="WMT82" s="440" t="n"/>
      <c r="WMU82" s="440" t="n"/>
      <c r="WMV82" s="440" t="n"/>
      <c r="WMW82" s="440" t="n"/>
      <c r="WMX82" s="440" t="n"/>
      <c r="WMY82" s="440" t="n"/>
      <c r="WMZ82" s="440" t="n"/>
      <c r="WNA82" s="440" t="n"/>
      <c r="WNB82" s="440" t="n"/>
      <c r="WNC82" s="440" t="n"/>
      <c r="WND82" s="440" t="n"/>
      <c r="WNE82" s="440" t="n"/>
      <c r="WNF82" s="440" t="n"/>
      <c r="WNG82" s="440" t="n"/>
      <c r="WNH82" s="440" t="n"/>
      <c r="WNI82" s="440" t="n"/>
      <c r="WNJ82" s="440" t="n"/>
      <c r="WNK82" s="440" t="n"/>
      <c r="WNL82" s="440" t="n"/>
      <c r="WNM82" s="440" t="n"/>
      <c r="WNN82" s="440" t="n"/>
      <c r="WNO82" s="440" t="n"/>
      <c r="WNP82" s="440" t="n"/>
      <c r="WNQ82" s="440" t="n"/>
      <c r="WNR82" s="440" t="n"/>
      <c r="WNS82" s="440" t="n"/>
      <c r="WNT82" s="440" t="n"/>
      <c r="WNU82" s="440" t="n"/>
      <c r="WNV82" s="440" t="n"/>
      <c r="WNW82" s="440" t="n"/>
      <c r="WNX82" s="440" t="n"/>
      <c r="WNY82" s="440" t="n"/>
      <c r="WNZ82" s="440" t="n"/>
      <c r="WOA82" s="440" t="n"/>
      <c r="WOB82" s="440" t="n"/>
      <c r="WOC82" s="440" t="n"/>
      <c r="WOD82" s="440" t="n"/>
      <c r="WOE82" s="440" t="n"/>
      <c r="WOF82" s="440" t="n"/>
      <c r="WOG82" s="440" t="n"/>
      <c r="WOH82" s="440" t="n"/>
      <c r="WOI82" s="440" t="n"/>
      <c r="WOJ82" s="440" t="n"/>
      <c r="WOK82" s="440" t="n"/>
      <c r="WOL82" s="440" t="n"/>
      <c r="WOM82" s="440" t="n"/>
      <c r="WON82" s="440" t="n"/>
      <c r="WOO82" s="440" t="n"/>
      <c r="WOP82" s="440" t="n"/>
      <c r="WOQ82" s="440" t="n"/>
      <c r="WOR82" s="440" t="n"/>
      <c r="WOS82" s="440" t="n"/>
      <c r="WOT82" s="440" t="n"/>
      <c r="WOU82" s="440" t="n"/>
      <c r="WOV82" s="440" t="n"/>
      <c r="WOW82" s="440" t="n"/>
      <c r="WOX82" s="440" t="n"/>
      <c r="WOY82" s="440" t="n"/>
      <c r="WOZ82" s="440" t="n"/>
      <c r="WPA82" s="440" t="n"/>
      <c r="WPB82" s="440" t="n"/>
      <c r="WPC82" s="440" t="n"/>
      <c r="WPD82" s="440" t="n"/>
      <c r="WPE82" s="440" t="n"/>
      <c r="WPF82" s="440" t="n"/>
      <c r="WPG82" s="440" t="n"/>
      <c r="WPH82" s="440" t="n"/>
      <c r="WPI82" s="440" t="n"/>
      <c r="WPJ82" s="440" t="n"/>
      <c r="WPK82" s="440" t="n"/>
      <c r="WPL82" s="440" t="n"/>
      <c r="WPM82" s="440" t="n"/>
      <c r="WPN82" s="440" t="n"/>
      <c r="WPO82" s="440" t="n"/>
      <c r="WPP82" s="440" t="n"/>
      <c r="WPQ82" s="440" t="n"/>
      <c r="WPR82" s="440" t="n"/>
      <c r="WPS82" s="440" t="n"/>
      <c r="WPT82" s="440" t="n"/>
      <c r="WPU82" s="440" t="n"/>
      <c r="WPV82" s="440" t="n"/>
      <c r="WPW82" s="440" t="n"/>
      <c r="WPX82" s="440" t="n"/>
      <c r="WPY82" s="440" t="n"/>
      <c r="WPZ82" s="440" t="n"/>
      <c r="WQA82" s="440" t="n"/>
      <c r="WQB82" s="440" t="n"/>
      <c r="WQC82" s="440" t="n"/>
      <c r="WQD82" s="440" t="n"/>
      <c r="WQE82" s="440" t="n"/>
      <c r="WQF82" s="440" t="n"/>
      <c r="WQG82" s="440" t="n"/>
      <c r="WQH82" s="440" t="n"/>
      <c r="WQI82" s="440" t="n"/>
      <c r="WQJ82" s="440" t="n"/>
      <c r="WQK82" s="440" t="n"/>
      <c r="WQL82" s="440" t="n"/>
      <c r="WQM82" s="440" t="n"/>
      <c r="WQN82" s="440" t="n"/>
      <c r="WQO82" s="440" t="n"/>
      <c r="WQP82" s="440" t="n"/>
      <c r="WQQ82" s="440" t="n"/>
      <c r="WQR82" s="440" t="n"/>
      <c r="WQS82" s="440" t="n"/>
      <c r="WQT82" s="440" t="n"/>
      <c r="WQU82" s="440" t="n"/>
      <c r="WQV82" s="440" t="n"/>
      <c r="WQW82" s="440" t="n"/>
      <c r="WQX82" s="440" t="n"/>
      <c r="WQY82" s="440" t="n"/>
      <c r="WQZ82" s="440" t="n"/>
      <c r="WRA82" s="440" t="n"/>
      <c r="WRB82" s="440" t="n"/>
      <c r="WRC82" s="440" t="n"/>
      <c r="WRD82" s="440" t="n"/>
      <c r="WRE82" s="440" t="n"/>
      <c r="WRF82" s="440" t="n"/>
      <c r="WRG82" s="440" t="n"/>
      <c r="WRH82" s="440" t="n"/>
      <c r="WRI82" s="440" t="n"/>
      <c r="WRJ82" s="440" t="n"/>
      <c r="WRK82" s="440" t="n"/>
      <c r="WRL82" s="440" t="n"/>
      <c r="WRM82" s="440" t="n"/>
      <c r="WRN82" s="440" t="n"/>
      <c r="WRO82" s="440" t="n"/>
      <c r="WRP82" s="440" t="n"/>
      <c r="WRQ82" s="440" t="n"/>
      <c r="WRR82" s="440" t="n"/>
      <c r="WRS82" s="440" t="n"/>
      <c r="WRT82" s="440" t="n"/>
      <c r="WRU82" s="440" t="n"/>
      <c r="WRV82" s="440" t="n"/>
      <c r="WRW82" s="440" t="n"/>
      <c r="WRX82" s="440" t="n"/>
      <c r="WRY82" s="440" t="n"/>
      <c r="WRZ82" s="440" t="n"/>
      <c r="WSA82" s="440" t="n"/>
      <c r="WSB82" s="440" t="n"/>
      <c r="WSC82" s="440" t="n"/>
      <c r="WSD82" s="440" t="n"/>
      <c r="WSE82" s="440" t="n"/>
      <c r="WSF82" s="440" t="n"/>
      <c r="WSG82" s="440" t="n"/>
      <c r="WSH82" s="440" t="n"/>
      <c r="WSI82" s="440" t="n"/>
      <c r="WSJ82" s="440" t="n"/>
      <c r="WSK82" s="440" t="n"/>
      <c r="WSL82" s="440" t="n"/>
      <c r="WSM82" s="440" t="n"/>
      <c r="WSN82" s="440" t="n"/>
      <c r="WSO82" s="440" t="n"/>
      <c r="WSP82" s="440" t="n"/>
      <c r="WSQ82" s="440" t="n"/>
      <c r="WSR82" s="440" t="n"/>
      <c r="WSS82" s="440" t="n"/>
      <c r="WST82" s="440" t="n"/>
      <c r="WSU82" s="440" t="n"/>
      <c r="WSV82" s="440" t="n"/>
      <c r="WSW82" s="440" t="n"/>
      <c r="WSX82" s="440" t="n"/>
      <c r="WSY82" s="440" t="n"/>
      <c r="WSZ82" s="440" t="n"/>
      <c r="WTA82" s="440" t="n"/>
      <c r="WTB82" s="440" t="n"/>
      <c r="WTC82" s="440" t="n"/>
      <c r="WTD82" s="440" t="n"/>
      <c r="WTE82" s="440" t="n"/>
      <c r="WTF82" s="440" t="n"/>
      <c r="WTG82" s="440" t="n"/>
      <c r="WTH82" s="440" t="n"/>
      <c r="WTI82" s="440" t="n"/>
      <c r="WTJ82" s="440" t="n"/>
      <c r="WTK82" s="440" t="n"/>
      <c r="WTL82" s="440" t="n"/>
      <c r="WTM82" s="440" t="n"/>
      <c r="WTN82" s="440" t="n"/>
      <c r="WTO82" s="440" t="n"/>
      <c r="WTP82" s="440" t="n"/>
      <c r="WTQ82" s="440" t="n"/>
      <c r="WTR82" s="440" t="n"/>
      <c r="WTS82" s="440" t="n"/>
      <c r="WTT82" s="440" t="n"/>
      <c r="WTU82" s="440" t="n"/>
      <c r="WTV82" s="440" t="n"/>
      <c r="WTW82" s="440" t="n"/>
      <c r="WTX82" s="440" t="n"/>
      <c r="WTY82" s="440" t="n"/>
      <c r="WTZ82" s="440" t="n"/>
      <c r="WUA82" s="440" t="n"/>
      <c r="WUB82" s="440" t="n"/>
      <c r="WUC82" s="440" t="n"/>
      <c r="WUD82" s="440" t="n"/>
      <c r="WUE82" s="440" t="n"/>
      <c r="WUF82" s="440" t="n"/>
      <c r="WUG82" s="440" t="n"/>
      <c r="WUH82" s="440" t="n"/>
      <c r="WUI82" s="440" t="n"/>
      <c r="WUJ82" s="440" t="n"/>
      <c r="WUK82" s="440" t="n"/>
      <c r="WUL82" s="440" t="n"/>
      <c r="WUM82" s="440" t="n"/>
      <c r="WUN82" s="440" t="n"/>
      <c r="WUO82" s="440" t="n"/>
      <c r="WUP82" s="440" t="n"/>
      <c r="WUQ82" s="440" t="n"/>
      <c r="WUR82" s="440" t="n"/>
      <c r="WUS82" s="440" t="n"/>
      <c r="WUT82" s="440" t="n"/>
      <c r="WUU82" s="440" t="n"/>
      <c r="WUV82" s="440" t="n"/>
      <c r="WUW82" s="440" t="n"/>
      <c r="WUX82" s="440" t="n"/>
      <c r="WUY82" s="440" t="n"/>
      <c r="WUZ82" s="440" t="n"/>
      <c r="WVA82" s="440" t="n"/>
      <c r="WVB82" s="440" t="n"/>
      <c r="WVC82" s="440" t="n"/>
      <c r="WVD82" s="440" t="n"/>
      <c r="WVE82" s="440" t="n"/>
      <c r="WVF82" s="440" t="n"/>
      <c r="WVG82" s="440" t="n"/>
      <c r="WVH82" s="440" t="n"/>
      <c r="WVI82" s="440" t="n"/>
      <c r="WVJ82" s="440" t="n"/>
      <c r="WVK82" s="440" t="n"/>
      <c r="WVL82" s="440" t="n"/>
      <c r="WVM82" s="440" t="n"/>
      <c r="WVN82" s="440" t="n"/>
      <c r="WVO82" s="440" t="n"/>
      <c r="WVP82" s="440" t="n"/>
      <c r="WVQ82" s="440" t="n"/>
      <c r="WVR82" s="440" t="n"/>
      <c r="WVS82" s="440" t="n"/>
      <c r="WVT82" s="440" t="n"/>
      <c r="WVU82" s="440" t="n"/>
      <c r="WVV82" s="440" t="n"/>
      <c r="WVW82" s="440" t="n"/>
      <c r="WVX82" s="440" t="n"/>
      <c r="WVY82" s="440" t="n"/>
      <c r="WVZ82" s="440" t="n"/>
      <c r="WWA82" s="440" t="n"/>
      <c r="WWB82" s="440" t="n"/>
      <c r="WWC82" s="440" t="n"/>
      <c r="WWD82" s="440" t="n"/>
      <c r="WWE82" s="440" t="n"/>
      <c r="WWF82" s="440" t="n"/>
      <c r="WWG82" s="440" t="n"/>
      <c r="WWH82" s="440" t="n"/>
      <c r="WWI82" s="440" t="n"/>
      <c r="WWJ82" s="440" t="n"/>
      <c r="WWK82" s="440" t="n"/>
      <c r="WWL82" s="440" t="n"/>
      <c r="WWM82" s="440" t="n"/>
      <c r="WWN82" s="440" t="n"/>
      <c r="WWO82" s="440" t="n"/>
      <c r="WWP82" s="440" t="n"/>
      <c r="WWQ82" s="440" t="n"/>
      <c r="WWR82" s="440" t="n"/>
      <c r="WWS82" s="440" t="n"/>
      <c r="WWT82" s="440" t="n"/>
      <c r="WWU82" s="440" t="n"/>
      <c r="WWV82" s="440" t="n"/>
      <c r="WWW82" s="440" t="n"/>
      <c r="WWX82" s="440" t="n"/>
      <c r="WWY82" s="440" t="n"/>
      <c r="WWZ82" s="440" t="n"/>
      <c r="WXA82" s="440" t="n"/>
      <c r="WXB82" s="440" t="n"/>
      <c r="WXC82" s="440" t="n"/>
      <c r="WXD82" s="440" t="n"/>
      <c r="WXE82" s="440" t="n"/>
      <c r="WXF82" s="440" t="n"/>
      <c r="WXG82" s="440" t="n"/>
      <c r="WXH82" s="440" t="n"/>
      <c r="WXI82" s="440" t="n"/>
      <c r="WXJ82" s="440" t="n"/>
      <c r="WXK82" s="440" t="n"/>
      <c r="WXL82" s="440" t="n"/>
      <c r="WXM82" s="440" t="n"/>
      <c r="WXN82" s="440" t="n"/>
      <c r="WXO82" s="440" t="n"/>
      <c r="WXP82" s="440" t="n"/>
      <c r="WXQ82" s="440" t="n"/>
      <c r="WXR82" s="440" t="n"/>
      <c r="WXS82" s="440" t="n"/>
      <c r="WXT82" s="440" t="n"/>
      <c r="WXU82" s="440" t="n"/>
      <c r="WXV82" s="440" t="n"/>
      <c r="WXW82" s="440" t="n"/>
      <c r="WXX82" s="440" t="n"/>
      <c r="WXY82" s="440" t="n"/>
      <c r="WXZ82" s="440" t="n"/>
      <c r="WYA82" s="440" t="n"/>
      <c r="WYB82" s="440" t="n"/>
      <c r="WYC82" s="440" t="n"/>
      <c r="WYD82" s="440" t="n"/>
      <c r="WYE82" s="440" t="n"/>
      <c r="WYF82" s="440" t="n"/>
      <c r="WYG82" s="440" t="n"/>
      <c r="WYH82" s="440" t="n"/>
      <c r="WYI82" s="440" t="n"/>
      <c r="WYJ82" s="440" t="n"/>
      <c r="WYK82" s="440" t="n"/>
      <c r="WYL82" s="440" t="n"/>
      <c r="WYM82" s="440" t="n"/>
      <c r="WYN82" s="440" t="n"/>
      <c r="WYO82" s="440" t="n"/>
      <c r="WYP82" s="440" t="n"/>
      <c r="WYQ82" s="440" t="n"/>
      <c r="WYR82" s="440" t="n"/>
      <c r="WYS82" s="440" t="n"/>
      <c r="WYT82" s="440" t="n"/>
      <c r="WYU82" s="440" t="n"/>
      <c r="WYV82" s="440" t="n"/>
      <c r="WYW82" s="440" t="n"/>
      <c r="WYX82" s="440" t="n"/>
      <c r="WYY82" s="440" t="n"/>
      <c r="WYZ82" s="440" t="n"/>
      <c r="WZA82" s="440" t="n"/>
      <c r="WZB82" s="440" t="n"/>
      <c r="WZC82" s="440" t="n"/>
      <c r="WZD82" s="440" t="n"/>
      <c r="WZE82" s="440" t="n"/>
      <c r="WZF82" s="440" t="n"/>
      <c r="WZG82" s="440" t="n"/>
      <c r="WZH82" s="440" t="n"/>
      <c r="WZI82" s="440" t="n"/>
      <c r="WZJ82" s="440" t="n"/>
      <c r="WZK82" s="440" t="n"/>
      <c r="WZL82" s="440" t="n"/>
      <c r="WZM82" s="440" t="n"/>
      <c r="WZN82" s="440" t="n"/>
      <c r="WZO82" s="440" t="n"/>
      <c r="WZP82" s="440" t="n"/>
      <c r="WZQ82" s="440" t="n"/>
      <c r="WZR82" s="440" t="n"/>
      <c r="WZS82" s="440" t="n"/>
      <c r="WZT82" s="440" t="n"/>
      <c r="WZU82" s="440" t="n"/>
      <c r="WZV82" s="440" t="n"/>
      <c r="WZW82" s="440" t="n"/>
      <c r="WZX82" s="440" t="n"/>
      <c r="WZY82" s="440" t="n"/>
      <c r="WZZ82" s="440" t="n"/>
      <c r="XAA82" s="440" t="n"/>
      <c r="XAB82" s="440" t="n"/>
      <c r="XAC82" s="440" t="n"/>
      <c r="XAD82" s="440" t="n"/>
      <c r="XAE82" s="440" t="n"/>
      <c r="XAF82" s="440" t="n"/>
      <c r="XAG82" s="440" t="n"/>
      <c r="XAH82" s="440" t="n"/>
      <c r="XAI82" s="440" t="n"/>
      <c r="XAJ82" s="440" t="n"/>
      <c r="XAK82" s="440" t="n"/>
      <c r="XAL82" s="440" t="n"/>
      <c r="XAM82" s="440" t="n"/>
      <c r="XAN82" s="440" t="n"/>
      <c r="XAO82" s="440" t="n"/>
      <c r="XAP82" s="440" t="n"/>
      <c r="XAQ82" s="440" t="n"/>
      <c r="XAR82" s="440" t="n"/>
      <c r="XAS82" s="440" t="n"/>
      <c r="XAT82" s="440" t="n"/>
      <c r="XAU82" s="440" t="n"/>
      <c r="XAV82" s="440" t="n"/>
      <c r="XAW82" s="440" t="n"/>
      <c r="XAX82" s="440" t="n"/>
      <c r="XAY82" s="440" t="n"/>
      <c r="XAZ82" s="440" t="n"/>
      <c r="XBA82" s="440" t="n"/>
      <c r="XBB82" s="440" t="n"/>
      <c r="XBC82" s="440" t="n"/>
      <c r="XBD82" s="440" t="n"/>
      <c r="XBE82" s="440" t="n"/>
      <c r="XBF82" s="440" t="n"/>
      <c r="XBG82" s="440" t="n"/>
      <c r="XBH82" s="440" t="n"/>
      <c r="XBI82" s="440" t="n"/>
      <c r="XBJ82" s="440" t="n"/>
      <c r="XBK82" s="440" t="n"/>
      <c r="XBL82" s="440" t="n"/>
      <c r="XBM82" s="440" t="n"/>
      <c r="XBN82" s="440" t="n"/>
      <c r="XBO82" s="440" t="n"/>
      <c r="XBP82" s="440" t="n"/>
      <c r="XBQ82" s="440" t="n"/>
      <c r="XBR82" s="440" t="n"/>
      <c r="XBS82" s="440" t="n"/>
      <c r="XBT82" s="440" t="n"/>
      <c r="XBU82" s="440" t="n"/>
      <c r="XBV82" s="440" t="n"/>
      <c r="XBW82" s="440" t="n"/>
      <c r="XBX82" s="440" t="n"/>
      <c r="XBY82" s="440" t="n"/>
      <c r="XBZ82" s="440" t="n"/>
      <c r="XCA82" s="440" t="n"/>
      <c r="XCB82" s="440" t="n"/>
      <c r="XCC82" s="440" t="n"/>
      <c r="XCD82" s="440" t="n"/>
      <c r="XCE82" s="440" t="n"/>
      <c r="XCF82" s="440" t="n"/>
      <c r="XCG82" s="440" t="n"/>
      <c r="XCH82" s="440" t="n"/>
      <c r="XCI82" s="440" t="n"/>
      <c r="XCJ82" s="440" t="n"/>
      <c r="XCK82" s="440" t="n"/>
      <c r="XCL82" s="440" t="n"/>
      <c r="XCM82" s="440" t="n"/>
      <c r="XCN82" s="440" t="n"/>
      <c r="XCO82" s="440" t="n"/>
      <c r="XCP82" s="440" t="n"/>
      <c r="XCQ82" s="440" t="n"/>
      <c r="XCR82" s="440" t="n"/>
      <c r="XCS82" s="440" t="n"/>
      <c r="XCT82" s="440" t="n"/>
      <c r="XCU82" s="440" t="n"/>
      <c r="XCV82" s="440" t="n"/>
      <c r="XCW82" s="440" t="n"/>
      <c r="XCX82" s="440" t="n"/>
      <c r="XCY82" s="440" t="n"/>
      <c r="XCZ82" s="440" t="n"/>
      <c r="XDA82" s="440" t="n"/>
      <c r="XDB82" s="440" t="n"/>
      <c r="XDC82" s="440" t="n"/>
      <c r="XDD82" s="440" t="n"/>
      <c r="XDE82" s="440" t="n"/>
      <c r="XDF82" s="440" t="n"/>
      <c r="XDG82" s="440" t="n"/>
      <c r="XDH82" s="440" t="n"/>
      <c r="XDI82" s="440" t="n"/>
      <c r="XDJ82" s="440" t="n"/>
      <c r="XDK82" s="440" t="n"/>
      <c r="XDL82" s="440" t="n"/>
      <c r="XDM82" s="440" t="n"/>
      <c r="XDN82" s="440" t="n"/>
      <c r="XDO82" s="440" t="n"/>
      <c r="XDP82" s="440" t="n"/>
      <c r="XDQ82" s="440" t="n"/>
      <c r="XDR82" s="440" t="n"/>
      <c r="XDS82" s="440" t="n"/>
      <c r="XDT82" s="440" t="n"/>
      <c r="XDU82" s="440" t="n"/>
      <c r="XDV82" s="440" t="n"/>
      <c r="XDW82" s="440" t="n"/>
      <c r="XDX82" s="440" t="n"/>
      <c r="XDY82" s="440" t="n"/>
      <c r="XDZ82" s="440" t="n"/>
      <c r="XEA82" s="440" t="n"/>
      <c r="XEB82" s="440" t="n"/>
      <c r="XEC82" s="440" t="n"/>
      <c r="XED82" s="440" t="n"/>
      <c r="XEE82" s="440" t="n"/>
      <c r="XEF82" s="440" t="n"/>
      <c r="XEG82" s="440" t="n"/>
      <c r="XEH82" s="440" t="n"/>
      <c r="XEI82" s="440" t="n"/>
      <c r="XEJ82" s="440" t="n"/>
      <c r="XEK82" s="440" t="n"/>
      <c r="XEL82" s="440" t="n"/>
      <c r="XEM82" s="440" t="n"/>
      <c r="XEN82" s="440" t="n"/>
      <c r="XEO82" s="440" t="n"/>
      <c r="XEP82" s="440" t="n"/>
      <c r="XEQ82" s="440" t="n"/>
      <c r="XER82" s="440" t="n"/>
      <c r="XES82" s="440" t="n"/>
    </row>
    <row r="83" ht="273" customFormat="1" customHeight="1" s="183">
      <c r="A83" s="145">
        <f>A82+1</f>
        <v/>
      </c>
      <c r="B83" s="498" t="inlineStr">
        <is>
          <t>income_sec_comp</t>
        </is>
      </c>
      <c r="C83" s="156" t="inlineStr">
        <is>
          <t>income_sec_comp</t>
        </is>
      </c>
      <c r="D83" s="422" t="inlineStr">
        <is>
          <t>Has your household's income from {income_sec} changed in the last 3 months compared to the same period of last year? 
[OPERATOR: SINGLE RESPONSE.]
1)A lot more [increased by more than 50%]
2)Slightly more
3)Same
4)Slightly less
5)A lot less [less than half as much]
6)DON'T KNOW
7)REFUSED</t>
        </is>
      </c>
      <c r="E83" s="158">
        <f>LEN(D83)</f>
        <v/>
      </c>
      <c r="F83" s="422" t="inlineStr">
        <is>
          <t>Le revenu de votre ménage provenant de {income_sec} a-t-il changé au cours des trois derniers mois par rapport à la même période de l'année dernière? 
[OPÉRATEUR/OPÉRATRICE: RÉPONSE UNIQUE.]
1)Très supérieur [augmentation de plus de 50%]
2)Légèrement supérieur
3)Identique
4)Légèrement inférieur
5)Très inférieur [moins de la moitié]
6)NE SAIT PAS
7)REFUSÉ</t>
        </is>
      </c>
      <c r="G83" s="158">
        <f>LEN(F83)</f>
        <v/>
      </c>
      <c r="H83" s="160" t="inlineStr">
        <is>
          <t>Je, mapato ya famille yako kutoka kwa {income_sec} yamebadilika katika miezi 3 iliyopita ikilinganishwa na kipindi kama hicho mwaka uliopita?
[OPERATOR: JIBU MOJA.]
1)Mengi zaidi [imeongezeka kwa zaidi ya 50%]
2)Zaidi kidogo
3)Sawa
4)Kidogo kidogo
5)Chini sana [chini ya nusu zaidi]
6)SIJUE
7)KUKATALA</t>
        </is>
      </c>
      <c r="I83" s="158">
        <f>LEN(H83)</f>
        <v/>
      </c>
      <c r="J83" s="161" t="inlineStr">
        <is>
          <t>Single Choice</t>
        </is>
      </c>
      <c r="K83" s="158" t="inlineStr">
        <is>
          <t>NA</t>
        </is>
      </c>
      <c r="L83" s="158" t="inlineStr">
        <is>
          <t>NA</t>
        </is>
      </c>
      <c r="M83" s="158" t="inlineStr">
        <is>
          <t>Form Type - Buttons</t>
        </is>
      </c>
      <c r="N83" s="149" t="inlineStr">
        <is>
          <t>NA</t>
        </is>
      </c>
      <c r="O83" s="423" t="inlineStr">
        <is>
          <t>1-7= income_thirdaaaaaaaa</t>
        </is>
      </c>
      <c r="P83" s="424" t="n"/>
      <c r="Q83" s="423" t="inlineStr">
        <is>
          <t>if income_sec_comp = 1-7, go to income_third</t>
        </is>
      </c>
      <c r="R83" s="425" t="inlineStr"/>
      <c r="S83" s="166" t="n"/>
      <c r="T83" s="205">
        <f>1</f>
        <v/>
      </c>
      <c r="U83" s="133" t="n"/>
      <c r="W83" s="208" t="inlineStr">
        <is>
          <t>yes</t>
        </is>
      </c>
      <c r="X83" s="726" t="n"/>
      <c r="AA83" s="734" t="n">
        <v>17.26140213012695</v>
      </c>
      <c r="AB83" s="734">
        <f>IF(AA83="","",AA83*T83)</f>
        <v/>
      </c>
      <c r="AC83" s="133" t="inlineStr"/>
    </row>
    <row r="84" ht="409.5" customFormat="1" customHeight="1" s="183">
      <c r="A84" s="145">
        <f>A83+1</f>
        <v/>
      </c>
      <c r="B84" s="498" t="inlineStr">
        <is>
          <t>income_third</t>
        </is>
      </c>
      <c r="C84" s="156" t="inlineStr">
        <is>
          <t>income_third</t>
        </is>
      </c>
      <c r="D84" s="426" t="inlineStr">
        <is>
          <t>What was your household's third most important source of income in the past 3 months?
[OPERATOR: SINGLE RESPONSE. DON'T KNOW AND REFUSED OPTIONS SHOULD RARELY/NOT AVOIDED AS MUCH AS POSSIBLE.]
1)Production and sale of staple crops
2)Production and sale of vegetable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and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third most important source of income
20)DON'T KNOW
21)REFUSED</t>
        </is>
      </c>
      <c r="E84" s="158">
        <f>LEN(D84)</f>
        <v/>
      </c>
      <c r="F84" s="427" t="inlineStr">
        <is>
          <t>Quelle était la troisième source principale de revenus de votre ménage au cours des trois derniers mois?
[OPÉRATEUR/OPÉRATRICE: RÉPONSE UNIQUE. LES OPTIONS «NE SAIT PAS» ET «REFUSÉ» DOIVENT ÊTRE ÉVITÉES AUTANT QUE POSSIBLE].
1)Production et vente de cultures vivrières
2)Production et vente de légumes ou de fruits 
3)Production et vente de cultures de rente
4)Production et vente de bétail ou de produits animaux
5)Production et vente de miel ou de produits apicoles
6)Production et vente de poisson ou de produits aquatiques
7)Collecte et vente de produits forestiers ou de brousse
8)Commerce agricole EXCLUANT les producteurs [formel ou informel]
9)Salaire journalier dans une exploitation et autres emplois occasionnels dans le secteur agricole
10)Emploi stable dans le secteur agricole 
11)Indépendant non-agricole ou profession libérale / médecin / architecte / avocat / y compris restaurant
12)Salaire journalier hors exploitation et autres emplois occasionnels non agricoles
13)Emploi stable dans le secteur non-agricole
14)Emploi public 
15)Revenu non tiré du travail / Charité
16)Revenu non tiré du travail / Transferts sociaux/ pension/ aide humanitaire
17)Revenu non tiré du travail / Envois de fonds des migrants
18)Revenu non tiré du travail / Revenu d'autres loyers
19)Pas de troisième source principale de revenus
20)NE SAIT PAS
21)REFUSÉ</t>
        </is>
      </c>
      <c r="G84" s="158">
        <f>LEN(F84)</f>
        <v/>
      </c>
      <c r="H84" s="160" t="inlineStr">
        <is>
          <t>Ni nini kilikuwa chanzo cha tatu cha mapato kwa kaya yako katika kipindi cha miezi 3 iliyopita?
[OPERATOR: JIBU MOJA. SIJUE NA CHAGUO ZILIZOKUKATALA SI KWA MARA KWA MARA/SIZOEPUKWA KADIRI IWEZEKANAVYO.]
1)Uzalishaji na uuzaji wa mazao ya msingi
2)Uzalishaji na uuzaji wa mboga mboga au matunda
3)Uzalishaji na uuzaji wa mazao ya fedha
4)Uzalishaji na uuzaji wa mifugo au bidhaa za mifugo
5)Uzalishaji na uuzaji wa asali au mazao ya nyuki
6)Uzalishaji na uuzaji wa samaki au bidhaa za majini
7)Ukusanyaji na uuzaji wa mazao ya misitu au misitu
8)Biashara ya kilimo BILA KUWAHITIMIZA wazalishaji [rasmi au isiyo rasmi]
9)Mshahara wa kila siku kwenye mashamba na ajira yingine  za kawaida katika sekta ya kilimo
10)Ajira imara katika sekta ya kilimo
11)Kazi isiyo ya kilimo au taaluma ya huria / daktari / mbunifu / mwanasheria / pamoja na mgahawa
12)Mshahara wa kila siku nje ya shamba na ajira yingine  za kawaida zisizo za kilimo
13)Ajira imara katika sekta isiyo ya kilimo
14)Ajira za umma
15)Mapato yasiyotokana na kazi / Hisabati
16)Mapato yasiyotokana na kazi / Uhamisho wa ustawi / pensheni / misaada ya kibinadamu
17)Mapato yasiyotokana na kazi/Pesa
18)Mapato yasiyotokana na kazi / Mapato kutoka kwa kodi zingine
19)Hakuna chanzo cha tatu muhimu zaidi cha mapato
20)SIJUE
21)KUKATALA</t>
        </is>
      </c>
      <c r="I84" s="158">
        <f>LEN(H84)</f>
        <v/>
      </c>
      <c r="J84" s="161" t="inlineStr">
        <is>
          <t>Single Choice</t>
        </is>
      </c>
      <c r="K84" s="158" t="inlineStr">
        <is>
          <t>NA</t>
        </is>
      </c>
      <c r="L84" s="158" t="inlineStr">
        <is>
          <t>NA</t>
        </is>
      </c>
      <c r="M84" s="446" t="inlineStr">
        <is>
          <t>Form Type - Buttons
exclude selected "income_main"
exclude selected "income_sec"
IsDemographic - income_third</t>
        </is>
      </c>
      <c r="N84" s="149" t="inlineStr">
        <is>
          <t>NA</t>
        </is>
      </c>
      <c r="O84" s="150" t="inlineStr">
        <is>
          <t>1-3 = income_third_crop_check
4 = income_third_ls_check
5 = income_third_amount
6 = income_third_fish_check
7-18 = income_third_amount
19-21 = shock</t>
        </is>
      </c>
      <c r="P84" s="151" t="n"/>
      <c r="Q84" s="393" t="inlineStr">
        <is>
          <t>if options #1-3 selected, go to income_third_crop_check
if options #4 selected, go to income_third_ls_check
if option #6 selected, go to income_third_fish_check 
if options #5, 7-18 selected, go to [income_third_comp OR optional question] 
if options #19-21 selected, go to shock</t>
        </is>
      </c>
      <c r="R84" s="396" t="inlineStr"/>
      <c r="S84" s="166" t="n"/>
      <c r="T84" s="205">
        <f>1</f>
        <v/>
      </c>
      <c r="U84" s="133" t="n"/>
      <c r="W84" s="208" t="inlineStr">
        <is>
          <t>yes</t>
        </is>
      </c>
      <c r="X84" s="726" t="n"/>
      <c r="AA84" s="734" t="n">
        <v>14.47539234161377</v>
      </c>
      <c r="AB84" s="734">
        <f>IF(AA84="","",AA84*T84)</f>
        <v/>
      </c>
      <c r="AC84" s="133" t="inlineStr"/>
    </row>
    <row r="85" ht="189" customFormat="1" customHeight="1" s="430">
      <c r="A85" s="145">
        <f>A84+1</f>
        <v/>
      </c>
      <c r="B85" s="146" t="inlineStr">
        <is>
          <t>income_third_crop_check</t>
        </is>
      </c>
      <c r="C85" s="146" t="inlineStr">
        <is>
          <t>income_third_crop_check</t>
        </is>
      </c>
      <c r="D85" s="162" t="inlineStr">
        <is>
          <t>Are the crops sold also produced by you or anyone in your household?
[OPERATOR: SINGLE RESPONSE.]
1)YES
2)NO
3)DON'T KNOW
4)REFUSED</t>
        </is>
      </c>
      <c r="E85" s="148">
        <f>LEN(D85)</f>
        <v/>
      </c>
      <c r="F85" s="395" t="inlineStr">
        <is>
          <t>Les cultures vendues sont-elles également produites par vous ou quelqu'un de votre ménage?
[OPÉRATEUR/OPÉRATRICE: RÉPONSE UNIQUE.]
1)OUI
2)NON
3)NE SAIT PAS
4)REFUSÉ</t>
        </is>
      </c>
      <c r="G85" s="158">
        <f>LEN(F85)</f>
        <v/>
      </c>
      <c r="H85" s="160" t="inlineStr">
        <is>
          <t>Je, mazao yanayouzwa pia yamezalishwa na wewe au mtu yeyote katika famille yako?
[OPERATOR: JIBU MOJA.]
1)NDIYO
2)HAPANA
3)SIJUE
4)KUKATALA</t>
        </is>
      </c>
      <c r="I85" s="158">
        <f>LEN(H85)</f>
        <v/>
      </c>
      <c r="J85" s="156" t="inlineStr">
        <is>
          <t>Single Choice</t>
        </is>
      </c>
      <c r="K85" s="148" t="inlineStr">
        <is>
          <t>NA</t>
        </is>
      </c>
      <c r="L85" s="148" t="inlineStr">
        <is>
          <t>NA</t>
        </is>
      </c>
      <c r="M85" s="148" t="inlineStr">
        <is>
          <t>Form Type - Buttons</t>
        </is>
      </c>
      <c r="N85" s="149" t="inlineStr">
        <is>
          <t>NA</t>
        </is>
      </c>
      <c r="O85" s="150" t="inlineStr">
        <is>
          <t>1-4 = income_third_amount</t>
        </is>
      </c>
      <c r="P85" s="151" t="n"/>
      <c r="Q85" s="393" t="inlineStr">
        <is>
          <t>if income_third_crop_check = 1-4, go to [income_third_comp OR optional question]</t>
        </is>
      </c>
      <c r="R85" s="396" t="inlineStr"/>
      <c r="S85" s="327" t="n"/>
      <c r="T85" s="428">
        <f>1</f>
        <v/>
      </c>
      <c r="U85" s="429" t="n"/>
      <c r="W85" s="431" t="inlineStr">
        <is>
          <t>yes</t>
        </is>
      </c>
      <c r="X85" s="725" t="n"/>
      <c r="AA85" s="743" t="n">
        <v>8</v>
      </c>
      <c r="AB85" s="743">
        <f>IF(AA85="","",AA85*T85)</f>
        <v/>
      </c>
      <c r="AC85" s="429" t="inlineStr"/>
    </row>
    <row r="86" ht="231" customFormat="1" customHeight="1" s="430">
      <c r="A86" s="145">
        <f>A85+1</f>
        <v/>
      </c>
      <c r="B86" s="146" t="inlineStr">
        <is>
          <t>income_third_ls_check</t>
        </is>
      </c>
      <c r="C86" s="146" t="inlineStr">
        <is>
          <t>income_third_ls_check</t>
        </is>
      </c>
      <c r="D86" s="397" t="inlineStr">
        <is>
          <t>Are the livestock or livestock products sold also produced by you or anyone in your household?
[OPERATOR: SINGLE RESPONSE.]
1)YES
2)NO
3)DON'T KNOW
4)REFUSED</t>
        </is>
      </c>
      <c r="E86" s="148">
        <f>LEN(D86)</f>
        <v/>
      </c>
      <c r="F86" s="395" t="inlineStr">
        <is>
          <t xml:space="preserve">Le bétail ou les produits du bétail vendus sont-ils également produits par vous ou quelqu'un de votre ménage?
[OPÉRATEUR/OPÉRATRICE: RÉPONSE UNIQUE.]
1)OUI
2)NON
3)NE SAIT PAS
4)REFUSÉ
</t>
        </is>
      </c>
      <c r="G86" s="158">
        <f>LEN(F86)</f>
        <v/>
      </c>
      <c r="H86" s="160" t="inlineStr">
        <is>
          <t>Je, mifugo au bidhaa za mifugo zinazouzwa pia zimezalishwa na wewe au mtu yeyote katika famille yako?
[OPERATOR: JIBU MOJA.]
1)NDIYO
2)HAPANA
3)SIJUE
4)KUKATALA</t>
        </is>
      </c>
      <c r="I86" s="158">
        <f>LEN(H86)</f>
        <v/>
      </c>
      <c r="J86" s="156" t="inlineStr">
        <is>
          <t>Single Choice</t>
        </is>
      </c>
      <c r="K86" s="148" t="inlineStr">
        <is>
          <t>NA</t>
        </is>
      </c>
      <c r="L86" s="148" t="inlineStr">
        <is>
          <t>NA</t>
        </is>
      </c>
      <c r="M86" s="148" t="inlineStr">
        <is>
          <t>Form Type - Buttons</t>
        </is>
      </c>
      <c r="N86" s="149" t="inlineStr">
        <is>
          <t>NA</t>
        </is>
      </c>
      <c r="O86" s="150" t="inlineStr">
        <is>
          <t>1-4 = income_third_amount</t>
        </is>
      </c>
      <c r="P86" s="151" t="n"/>
      <c r="Q86" s="393" t="inlineStr">
        <is>
          <t>if income_third_ls_check = 1-4, go to [income_third_comp OR optional question]</t>
        </is>
      </c>
      <c r="R86" s="396" t="inlineStr"/>
      <c r="S86" s="327" t="n"/>
      <c r="T86" s="428">
        <f>1</f>
        <v/>
      </c>
      <c r="U86" s="429" t="n"/>
      <c r="W86" s="431" t="inlineStr">
        <is>
          <t>yes</t>
        </is>
      </c>
      <c r="X86" s="725" t="n"/>
      <c r="AA86" s="743" t="n">
        <v>8</v>
      </c>
      <c r="AB86" s="743">
        <f>IF(AA86="","",AA86*T86)</f>
        <v/>
      </c>
      <c r="AC86" s="429" t="inlineStr"/>
    </row>
    <row r="87" ht="189" customFormat="1" customHeight="1" s="183">
      <c r="A87" s="145">
        <f>A86+1</f>
        <v/>
      </c>
      <c r="B87" s="146" t="inlineStr">
        <is>
          <t>income_third_fish_check</t>
        </is>
      </c>
      <c r="C87" s="146" t="inlineStr">
        <is>
          <t>income_third_fish_check</t>
        </is>
      </c>
      <c r="D87" s="162" t="inlineStr">
        <is>
          <t>Are the fish or aquatic products sold also captured/harvested by you or anyone in your household?
[OPERATOR: SINGLE RESPONSE.]
1)YES
2)NO
3)DON'T KNOW
4)REFUSED</t>
        </is>
      </c>
      <c r="E87" s="148">
        <f>LEN(D87)</f>
        <v/>
      </c>
      <c r="F87" s="395" t="inlineStr">
        <is>
          <t>Le poisson ou les produits aquatiques vendus sont-ils également capturés/récoltés par vous ou un membre de votre ménage?
[OPÉRATEUR/OPÉRATRICE: RÉPONSE UNIQUE.]
1)OUI
2)NON
3)NE SAIT PAS
4)REFUSÉ</t>
        </is>
      </c>
      <c r="G87" s="158">
        <f>LEN(F87)</f>
        <v/>
      </c>
      <c r="H87" s="160" t="inlineStr">
        <is>
          <t>Je, samaki au bidhaa za majini zinazouzwa pia zimevuliwa/kuvunwa na wewe au mtu yeyote katika famille yako?
[OPERATOR: JIBU MOJA.]
1)NDIYO
2)HAPANA
3)SIJUE
4)KUKATALA</t>
        </is>
      </c>
      <c r="I87" s="158">
        <f>LEN(H87)</f>
        <v/>
      </c>
      <c r="J87" s="156" t="inlineStr">
        <is>
          <t>Single Choice</t>
        </is>
      </c>
      <c r="K87" s="148" t="inlineStr">
        <is>
          <t>NA</t>
        </is>
      </c>
      <c r="L87" s="148" t="inlineStr">
        <is>
          <t>NA</t>
        </is>
      </c>
      <c r="M87" s="148" t="inlineStr">
        <is>
          <t>Form Type - Buttons</t>
        </is>
      </c>
      <c r="N87" s="149" t="inlineStr">
        <is>
          <t>NA</t>
        </is>
      </c>
      <c r="O87" s="150" t="inlineStr">
        <is>
          <t>1-4 = income_third_amount</t>
        </is>
      </c>
      <c r="P87" s="151" t="n"/>
      <c r="Q87" s="393" t="inlineStr">
        <is>
          <t>if income_third_fish_check = 1-4, go to [income_third_comp OR optional question]</t>
        </is>
      </c>
      <c r="R87" s="396" t="inlineStr"/>
      <c r="S87" s="327" t="n"/>
      <c r="T87" s="205">
        <f>1</f>
        <v/>
      </c>
      <c r="U87" s="133" t="n"/>
      <c r="W87" s="208" t="inlineStr">
        <is>
          <t>yes</t>
        </is>
      </c>
      <c r="X87" s="726" t="n"/>
      <c r="AA87" s="734" t="n">
        <v>8</v>
      </c>
      <c r="AB87" s="734">
        <f>IF(AA87="","",AA87*T87)</f>
        <v/>
      </c>
      <c r="AC87" s="133" t="inlineStr"/>
    </row>
    <row r="88" ht="210.75" customFormat="1" customHeight="1" s="304">
      <c r="A88" s="145">
        <f>A87+1</f>
        <v/>
      </c>
      <c r="B88" s="399" t="inlineStr">
        <is>
          <t>income_third_amount</t>
        </is>
      </c>
      <c r="C88" s="294" t="inlineStr">
        <is>
          <t>income_third_amount</t>
        </is>
      </c>
      <c r="D88" s="400" t="inlineStr">
        <is>
          <t>How much was earned [in CDF] from your third main source of income, {income_third}, in the past 3 months ?
[OPERATOR: MAKE SURE THE INFORMATION IS RECORDED IN THE CORRECT CURRENCY. ENTER 88888888 FOR DON'T KNOW AND 99999999 FOR REFUSED.]</t>
        </is>
      </c>
      <c r="E88" s="401">
        <f>LEN(D88)</f>
        <v/>
      </c>
      <c r="F88" s="179" t="inlineStr">
        <is>
          <t>Quelle somme [en CDF] a rapporté votre troisième principale source de revenu, {income_third}, au cours des trois derniers mois?
[OPÉRATEUR/OPÉRATRICE: VÉRIFIER QUE LA RÉPONSE EST ENREGISTRÉE DANS LA BONNE DEVISE. SAISIR 88888888 POUR «NE SAIT PAS» ET 99999999 POUR «REFUSÉ».]</t>
        </is>
      </c>
      <c r="G88" s="401">
        <f>LEN(F88)</f>
        <v/>
      </c>
      <c r="H88" s="160" t="inlineStr">
        <is>
          <t>Ni kiasi gani kilipatikana [katika CDF] kutoka kwa chanzo chako kikuu cha tatu cha mapato, {income_third}, katika kipindi cha miezi 3 iliyopita ?
[OPERATOR: HAKIKISHA HABARI IMEREKODIWA KWA SARAFU SAHIHI. INGIA 888888888 KWA SIJUE NA 999999999 KWA KUKUKATALA.]</t>
        </is>
      </c>
      <c r="I88" s="401">
        <f>LEN(H88)</f>
        <v/>
      </c>
      <c r="J88" s="416" t="inlineStr">
        <is>
          <t>Range</t>
        </is>
      </c>
      <c r="K88" s="401" t="inlineStr">
        <is>
          <t>NA</t>
        </is>
      </c>
      <c r="L88" s="401" t="inlineStr">
        <is>
          <t>NA</t>
        </is>
      </c>
      <c r="M88" s="401" t="inlineStr">
        <is>
          <t>Form Type - TextBox</t>
        </is>
      </c>
      <c r="N88" s="298" t="inlineStr">
        <is>
          <t>NA</t>
        </is>
      </c>
      <c r="O88" s="441" t="inlineStr">
        <is>
          <t>10000 - 2000000 = income_third_comp
2000001 - 30000000 = income_third_amount_conf
88888888-88888888 = income_third_comp
99999999-99999999 = income_third_comp</t>
        </is>
      </c>
      <c r="P88" s="442" t="n"/>
      <c r="Q88" s="433" t="inlineStr">
        <is>
          <t>If the income amount is over the threshold set in "Additional information", the respondent will be asked to confirm with income_third_amount_conf. Otherwise, go to income_third_comp or optional question.</t>
        </is>
      </c>
      <c r="R88" s="433" t="inlineStr"/>
      <c r="S88" s="718" t="inlineStr">
        <is>
          <t>We recommend using this pair of questions together.</t>
        </is>
      </c>
      <c r="T88" s="408">
        <f>1</f>
        <v/>
      </c>
      <c r="U88" s="303" t="n"/>
      <c r="W88" s="409" t="inlineStr">
        <is>
          <t>no</t>
        </is>
      </c>
      <c r="X88" s="306" t="n"/>
      <c r="AA88" s="742" t="n">
        <v>24.40109825134277</v>
      </c>
      <c r="AB88" s="742">
        <f>IF(AA88="","",AA88*T88)</f>
        <v/>
      </c>
      <c r="AC88" s="303" t="inlineStr"/>
    </row>
    <row r="89" ht="189" customFormat="1" customHeight="1" s="304">
      <c r="A89" s="145">
        <f>A88+1</f>
        <v/>
      </c>
      <c r="B89" s="399" t="inlineStr">
        <is>
          <t>income_third_amount_conf</t>
        </is>
      </c>
      <c r="C89" s="399" t="inlineStr">
        <is>
          <t>income_third_amount_conf</t>
        </is>
      </c>
      <c r="D89" s="400" t="inlineStr">
        <is>
          <t>Can you confirm the amount of income you just stated is correct?
[OPERATOR: IF THE AMOUNT EARNED FROM THIS INCOME SOURCE OVER THE PAST 3 MONTH IS INDEED OVER 2000000, CLICK ON CONTINUE. OTHERWISE, GO BACK AND CHANGE THE AMOUNT ENTERED.]
1)CONTINUE</t>
        </is>
      </c>
      <c r="E89" s="401">
        <f>LEN(D89)</f>
        <v/>
      </c>
      <c r="F89" s="402" t="inlineStr">
        <is>
          <t>Pouvez-vous confirmer que le montant que vous venez de déclarer est correct?
[OPÉRATEUR/OPÉRATRICE: SI LE MONTANT ISSU DE CETTE SOURCE DE REVENU AU COURS DES TROIS DERNIERS MOIS EST SUPÉRIEUR AU 2000000, CLIQUER SUR CONTINUER. SINON, REVENIR EN ARRIÈRE ET MODIFIER LE MONTANT SAISI.]
1)CONTINUER</t>
        </is>
      </c>
      <c r="G89" s="401">
        <f>LEN(F89)</f>
        <v/>
      </c>
      <c r="H89" s="160" t="inlineStr">
        <is>
          <t>Unaweza kuthibitisha kiasi cha mapato ulichosema ni sahihi?
[OPERATOR: IWAPO KIASI KILICHOCHUKUA KUTOKA KWA CHANZO HIKI CHA MAPATO KATIKA MIEZI 3 ILIYOPITA NI ZAIDI YA 2000000, BENDELEASHA. VINGINEVYO, RUDI NYUMA NA KUBADILI KIASI ILICHOINGIWA.]
1)ENDELEA</t>
        </is>
      </c>
      <c r="I89" s="401">
        <f>LEN(H89)</f>
        <v/>
      </c>
      <c r="J89" s="403" t="inlineStr">
        <is>
          <t>Single Choice</t>
        </is>
      </c>
      <c r="K89" s="296" t="inlineStr">
        <is>
          <t>NA</t>
        </is>
      </c>
      <c r="L89" s="296" t="inlineStr">
        <is>
          <t>NA</t>
        </is>
      </c>
      <c r="M89" s="296" t="inlineStr">
        <is>
          <t>Form Type - Buttons</t>
        </is>
      </c>
      <c r="N89" s="298" t="inlineStr">
        <is>
          <t>NA</t>
        </is>
      </c>
      <c r="O89" s="404" t="inlineStr">
        <is>
          <t>1 = income_third_comp</t>
        </is>
      </c>
      <c r="P89" s="405" t="n"/>
      <c r="Q89" s="404" t="inlineStr">
        <is>
          <t>if income_third_amount_conf = 1, go to income_third_comp or optional question</t>
        </is>
      </c>
      <c r="R89" s="404" t="inlineStr"/>
      <c r="S89" s="740" t="n"/>
      <c r="T89" s="408">
        <f>1</f>
        <v/>
      </c>
      <c r="U89" s="303" t="n"/>
      <c r="W89" s="409" t="inlineStr">
        <is>
          <t>no</t>
        </is>
      </c>
      <c r="X89" s="306" t="n"/>
      <c r="AA89" s="742" t="n">
        <v>2.47</v>
      </c>
      <c r="AB89" s="742">
        <f>IF(AA89="","",AA89*T89)</f>
        <v/>
      </c>
      <c r="AC89" s="303" t="inlineStr"/>
    </row>
    <row r="90" ht="273" customFormat="1" customHeight="1" s="183">
      <c r="A90" s="145">
        <f>A89+1</f>
        <v/>
      </c>
      <c r="B90" s="498" t="inlineStr">
        <is>
          <t>income_third_comp</t>
        </is>
      </c>
      <c r="C90" s="156" t="inlineStr">
        <is>
          <t>income_third_comp</t>
        </is>
      </c>
      <c r="D90" s="364" t="inlineStr">
        <is>
          <t>Has your household's income from {income_third} changed in the last 3 months compared to the same period of last year?
[OPERATOR: SINGLE RESPONSE.]
1)A lot more [increased by more than 50%]
2)Slightly more
3)Same
4)Slightly less
5)A lot less [less than half as much]
6)DON'T KNOW
7)REFUSED</t>
        </is>
      </c>
      <c r="E90" s="158">
        <f>LEN(D90)</f>
        <v/>
      </c>
      <c r="F90" s="422" t="inlineStr">
        <is>
          <t>Le revenu de votre ménage provenant de {income_third} a-t-il changé au cours des trois derniers mois par rapport à la même période de l'année dernière? 
[OPÉRATEUR/OPÉRATRICE: RÉPONSE UNIQUE.]
1)Très supérieur [augmentation de plus de 50%]
2)Légèrement supérieur
3)Identique
4)Légèrement inférieur
5)Très inférieur [moins de la moitié]
6)NE SAIT PAS
7)REFUSÉ</t>
        </is>
      </c>
      <c r="G90" s="158">
        <f>LEN(F90)</f>
        <v/>
      </c>
      <c r="H90" s="160" t="inlineStr">
        <is>
          <t>Je, mapato ya famille yako kutoka kwa {income_third} yamebadilika katika miezi 3 iliyopita ikilinganishwa na kipindi kama hicho mwaka uliopita?
[OPERATOR: JIBU MOJA.]
1)Mengi zaidi [imeongezeka kwa zaidi ya 50%]
2)Zaidi kidogo
3)Sawa
4)Kidogo kidogo
5)Chini sana [chini ya nusu zaidi]
6)SIJUE
7)KUKATALA</t>
        </is>
      </c>
      <c r="I90" s="158">
        <f>LEN(H90)</f>
        <v/>
      </c>
      <c r="J90" s="161" t="inlineStr">
        <is>
          <t>Single Choice</t>
        </is>
      </c>
      <c r="K90" s="158" t="inlineStr">
        <is>
          <t>NA</t>
        </is>
      </c>
      <c r="L90" s="158" t="inlineStr">
        <is>
          <t>NA</t>
        </is>
      </c>
      <c r="M90" s="158" t="inlineStr">
        <is>
          <t>Form Type - Buttons</t>
        </is>
      </c>
      <c r="N90" s="149" t="inlineStr">
        <is>
          <t>NA</t>
        </is>
      </c>
      <c r="O90" s="423" t="inlineStr">
        <is>
          <t>1-7= shock</t>
        </is>
      </c>
      <c r="P90" s="424" t="n"/>
      <c r="Q90" s="423" t="inlineStr">
        <is>
          <t>if income_third_comp = 1-7, go to shock</t>
        </is>
      </c>
      <c r="R90" s="425" t="inlineStr"/>
      <c r="S90" s="166" t="n"/>
      <c r="T90" s="205">
        <f>1</f>
        <v/>
      </c>
      <c r="U90" s="133" t="n"/>
      <c r="W90" s="208" t="inlineStr">
        <is>
          <t>yes</t>
        </is>
      </c>
      <c r="X90" s="726" t="n"/>
      <c r="AA90" s="734" t="n">
        <v>15.87650299072266</v>
      </c>
      <c r="AB90" s="734">
        <f>IF(AA90="","",AA90*T90)</f>
        <v/>
      </c>
      <c r="AC90" s="133" t="inlineStr"/>
    </row>
    <row r="91" ht="409.6" customFormat="1" customHeight="1" s="183" thickBot="1">
      <c r="A91" s="145">
        <f>A90+1</f>
        <v/>
      </c>
      <c r="B91" s="498" t="inlineStr">
        <is>
          <t>shock</t>
        </is>
      </c>
      <c r="C91" s="156" t="inlineStr">
        <is>
          <t>shock_
1) shock_noshock
2) shock_sicknessordeathofhh
3) shock_lostemplorwork
4) shock_otherintrahhshock
5) shock_higherfoodprices
6) shock_higherfuelprices
7) shock_mvtrestrict
8) shock_othereconomicshock
9) shock_pestoutbreak
10) shock_plantdisease
11) shock_animaldisease
12) shock_napasture
13) shock_othercropandlivests
14) shock_coldtemporhail
15) shock_flood
16) shock_hurricane
17) shock_drought
18) shock_earthquake
19) shock_landslides
20) shock_firenatural
21) shock_othernathazard
22) shock_violenceinsecconf
23) shock_theftofprodassets
24) shock_firemanmade
25) shock_othermanmadehazard
26) shock_dk
27) shock_ref</t>
        </is>
      </c>
      <c r="D91" s="443" t="inlineStr">
        <is>
          <t>Has your household or community faced any particular disaster or crisis affecting your household's ability to raise an income and/or to produce food for self consumption in the last 3 months, and if so, which one[s]? 
[OPERATOR: SELECT RELEVANT SHOCKS EXPERIENCED BY THE HOUSEHOLD. MULTIPLE RESPONSES POSSIBLE. REFER TO ECONOMIC SHOCKS, CROP AND LIVESTOCK SHOCKS, INTRA-HOUSEHOLD SHOCK, NATURAL HAZARDS AND HUMAN-INDUCED HAZARDS.]
1)No shock
2)Sickness or accident or death of household member[s] [sickness of breadwinner / unusually high medical expenditure / funeral expenses / death of breadwinner]
3)Lost employment or working opportunities [not due to illness/accident]
4)Other intra-household shock
5)Unusually high food prices
6)Unusually high fuel prices or transport prices 
7)Population movement restrictions [e.g. due to epidemic or infrastructure damage]
8)Other economic shock 
9)Pest outbreak
10)Plant disease
11)Animal disease [affecting many animals] or death
12)Lack of physical access to pasture 
13)Other crop and livestock shock
14)Cold temperatures or hail
15)Flood / riverbank erosion
16)Hurricane / cyclone / tornado
17)Drought / heat stress
18)Earthquake
19)Landslides
20)Fire from natural disaster
21)Other natural hazard
22)Violence and insecurity / conflict
23)Theft of production assets [land / livestock / tools / etc]
24)Fire from human-induced disaster
25)Other human-induced hazard
26)DON'T KNOW
27)REFUSED</t>
        </is>
      </c>
      <c r="E91" s="158">
        <f>LEN(D91)</f>
        <v/>
      </c>
      <c r="F91" s="443" t="inlineStr">
        <is>
          <t>Au cours des trois derniers mois, est-ce que votre ménage ou votre communauté ont été confrontés à une catastrophe ou une crise particulières qui a atteint votre capacité à dégager un revenu et/ou à produire des aliments pour votre propre consommation? Si oui, lesquelles?
[OPÉRATEUR/OPÉRATRICE: SÉLECTIONNER LES CHOCS PERTINENTS SUBIS PAR LE MÉNAGE. PLUSIEURS RÉPONSES POSSIBLES. SE RÉFÉRER AUX CHOCS ÉCONOMIQUES, AUX CHOCS TOUCHANT LES RÉCOLTES ET LE BÉTAIL, AUX CHOCS INTRA-MÉNAGE, AUX RISQUES NATURELS ET AUX RISQUES D'ORIGINE HUMAINE]
1)Aucun choc
2)Maladie/ accident ou décès d'un ou plusieurs membres du ménage [maladie du soutien de famille / dépenses médicales anormalement élevées / frais funéraires / décès du soutien de famille]
3)Perte d'emploi ou d'opportunités de travail [non due à la maladie ou à un accident]
4)Autre choc interne au ménage
5)Prix des denrées alimentaires anormalement élevés
6)Prix des carburants ou des transports anormalement élevés
7)Restrictions de mouvements de population [par exemple en raison d'une épidémie ou de dommages causés aux infrastructures].
8)Autre choc économique 
9)Invasion d'organismes nuisibles
10)Maladie des plantes
11)Maladie animale [touchant de nombreux animaux] ou mort d'animaux
12)Accès difficile aux pâturages
13)Autre choc touchant les cultures et le bétail
14)Températures froides / grêle
15)Inondations / érosion des berges
16)Ouragan / cyclone / tornade
17)Sécheresse / stress dû à la chaleur
18)Tremblement de terre
19)Glissement de terrain
20)Incendie dû à une catastrophe naturelle
21)Autre risque naturel
22)Violence et insécurité / conflit
23)Vol d'actifs de production [terres/ bétail/ outils/ etc.]
24)Incendie dû à une catastrophe d'origine humaine
25)Autre risque d'origine humaine
26)NE SAIT PAS
27)REFUSÉ</t>
        </is>
      </c>
      <c r="G91" s="158">
        <f>LEN(F91)</f>
        <v/>
      </c>
      <c r="H91" s="160" t="inlineStr">
        <is>
          <t>Kaya yako au jumuiya imekabiliwa na maafa au mgogoro wowote unaoathiri uwezo wa kaya yako kuongeza kipato na/au kuzalisha chakula kwa ajili ya matumizi binafsi katika muda wa miezi 3 iliyopita, na kama ni hivyo, ni ipi?
[OPERATOR: CHAGUA MISHTUKO HUSIKA ILIYOPATWA NA KAYA. MAJIBU MENGI YANAWEZEKANA. REJEA MATUKIO YA KIUCHUMI, MISHTUKO YA MAZAO NA MIFUGO, MSHTUKO WA NDANI YA KAYA, MADHARA YA ASILI NA MADHARA YANAYOTOLEWA NA BINADAMU.]
1)Hakuna mshtuko
2)Ugonjwa au ajali au kifo cha wanakaya [ugonjwa wa mtunza riziki / matumizi makubwa ya matibabu / gharama za mazishi / kifo cha mlezi]
3)Kupoteza ajira au nafasi za kazi [si kwa sababu ya ugonjwa/ajali]
4)Mshtuko mwingine wa ndani ya kaya
5)Bei ya juu ya vyakula isiyo ya kawaida
6)Bei ya juu isiyo ya kawaida ya mafuta au bei za usafiri
7)Vizuizi vya harakati za idadi ya watu [k.m. kutokana na janga au uharibifu wa miundombinu]
8)Mshtuko mwingine wa kiuchumi
9)Mlipuko wa wadudu
10)Ugonjwa wa mimea
11)Ugonjwa wa wanyama [unaoathiri wanyama wengi] au kifo
12)Ukosefu wa kupata malisho ya kimwili
13)Mshtuko mwingine wa mazao na mifugo
14)Baridi au mvua ya mawe
15)Mmomonyoko wa mafuriko/kingo za mto
16)Kimbunga / kimbunga / kimbunga
17)Mkazo wa ukame / joto
18)Tetemeko la ardhi
19)Maporomoko ya ardhi
20)Moto kutoka kwa maafa ya asili
21)Hatari yingine  ya asili
22)Vurugu na ukosefu wa usalama / migogoro
23)Wizi wa mali za uzalishaji [ardhi / mifugo / zana / nk]
24)Moto kutokana na maafa yanayosababishwa na binadamu
25)Hatari yingine  inayosababishwa na binadamu
26)SIJUE
27)KUKATALA</t>
        </is>
      </c>
      <c r="I91" s="158">
        <f>LEN(H91)</f>
        <v/>
      </c>
      <c r="J91" s="161" t="inlineStr">
        <is>
          <t>Select All That Apply</t>
        </is>
      </c>
      <c r="K91" s="158" t="inlineStr">
        <is>
          <t>NA</t>
        </is>
      </c>
      <c r="L91" s="158" t="inlineStr">
        <is>
          <t>NA</t>
        </is>
      </c>
      <c r="M91" s="158" t="inlineStr">
        <is>
          <t>Form Type - Checklist 
1,26,27 = IsNone</t>
        </is>
      </c>
      <c r="N91" s="149" t="inlineStr">
        <is>
          <t>1)shock_noshock
2)shock_sicknessordeathofhh
3)shock_lostemplorwork
4)shock_otherintrahhshock
5)shock_higherfoodprices
6)shock_higherfuelprices
7)shock_mvtrestrict
8)shock_othereconomicshock
9)shock_pestoutbreak
10)shock_plantdisease
11)shock_animaldisease
12)shock_napasture
13)shock_othercropandlivests
14)shock_coldtemporhail
15)shock_flood
16)shock_hurricane
17)shock_drought
18)shock_earthquake
19)shock_landslides
20)shock_firenatural
21)shock_othernathazard
22)shock_violenceinsecconf
23)shock_theftofprodassets
24)shock_firemanmade
25)shock_othermanmadehazard
26)shock_dk
27)shock_ref</t>
        </is>
      </c>
      <c r="O91" s="423" t="inlineStr">
        <is>
          <t>1-27 = confl_wellbeing</t>
        </is>
      </c>
      <c r="P91" s="424" t="n"/>
      <c r="Q91" s="423" t="inlineStr">
        <is>
          <t>if shock = 1-27, go to [crp_intro or optional question]</t>
        </is>
      </c>
      <c r="R91" s="444" t="inlineStr"/>
      <c r="S91" s="166" t="n"/>
      <c r="T91" s="205">
        <f>1</f>
        <v/>
      </c>
      <c r="U91" s="133" t="n"/>
      <c r="W91" s="208" t="inlineStr">
        <is>
          <t>yes</t>
        </is>
      </c>
      <c r="X91" s="726" t="n"/>
      <c r="AA91" s="734" t="n">
        <v>37.85363006591797</v>
      </c>
      <c r="AB91" s="734">
        <f>IF(AA91="","",AA91*T91)</f>
        <v/>
      </c>
      <c r="AC91" s="133" t="inlineStr"/>
    </row>
    <row r="92" ht="21.5" customFormat="1" customHeight="1" s="207" thickBot="1">
      <c r="A92" s="710" t="inlineStr">
        <is>
          <t>D. CROP PRODUCTION</t>
        </is>
      </c>
      <c r="B92" s="732" t="n"/>
      <c r="C92" s="732" t="n"/>
      <c r="D92" s="732" t="n"/>
      <c r="E92" s="732" t="n"/>
      <c r="F92" s="732" t="n"/>
      <c r="G92" s="732" t="n"/>
      <c r="H92" s="732" t="n"/>
      <c r="I92" s="732" t="n"/>
      <c r="J92" s="732" t="n"/>
      <c r="K92" s="732" t="n"/>
      <c r="L92" s="732" t="n"/>
      <c r="M92" s="732" t="n"/>
      <c r="N92" s="732" t="n"/>
      <c r="O92" s="732" t="n"/>
      <c r="P92" s="732" t="n"/>
      <c r="Q92" s="732" t="n"/>
      <c r="R92" s="732" t="n"/>
      <c r="S92" s="733" t="n"/>
      <c r="T92" s="205" t="n"/>
      <c r="U92" s="206" t="n"/>
      <c r="W92" s="208" t="n"/>
      <c r="X92" s="209" t="n"/>
      <c r="AA92" s="734" t="n"/>
      <c r="AB92" s="734">
        <f>IF(AA92="","",AA92*T92)</f>
        <v/>
      </c>
      <c r="AC92" s="206">
        <f>IF(W92="yes",AB92,"")</f>
        <v/>
      </c>
    </row>
    <row r="93" ht="409.5" customFormat="1" customHeight="1" s="207">
      <c r="A93" s="445" t="n">
        <v>67</v>
      </c>
      <c r="B93" s="448" t="inlineStr">
        <is>
          <t>confl_wellbeing</t>
        </is>
      </c>
      <c r="C93" s="446" t="inlineStr">
        <is>
          <t>confl_wellbeing
1)confl_wb_none
2)confl_wb_livelihood
3)confl_wb_health
4)confl_wb_transport
5)confl_wb_edu
6)confl_wb_housing
7)confl_wb_food_water
8)confl_wb_safety
9)confl_wb_land_sec
10)confl_wb_nat_disaster
11)confl_wb_corrupt
12)confl_wb_fin_crisis
13)confl_wb_assistance
14)confl_wb_other
15)confl_wb_dk
16)confl_wb_ref</t>
        </is>
      </c>
      <c r="D93" s="253" t="inlineStr">
        <is>
          <t>What are the main problems affecting your household's wellbeing?
[OPERATOR: UP TO THREE RESPONSES ALLOWED.]
1)There are no issues or concerns
2)Unemployment / lack of livelihoods options
3)Health concerns / health care [lack of or inadequate]
4)Transportation [lack of or inadequate]
5)Education [lack of or inadequate]
6)Access to shelter or housing [lack of or inadequate]
7)Access to food/water [lack of or inadequate]
8)Insecurity and the safety of household members
9)Security of land or property [lack of or inadequate]
10)Natural disasters [droughts/ floods/ fires or erosion]
11)Informal payments / corruption
12)Economic / financial crisis [poor currency exchange]
13)Accessing or receiving assistance
14)Other [specify]
15)DON'T KNOW
16)REFUSED</t>
        </is>
      </c>
      <c r="E93" s="253">
        <f>LEN(D93)</f>
        <v/>
      </c>
      <c r="F93" s="253" t="inlineStr">
        <is>
          <t>Quels sont les principaux problèmes qui affectent le bien-être de votre ménage ?
[OPÉRATEUR : JUSQU'À TROIS RÉPONSES POSSIBLES].
1)Aucun problème / préoccupation
2)Chômage / manque d'options de moyens d'existence
3)Problèmes de santé / soins de santé [insuffisants ou inadéquats]
4)Transports [manque ou inadéquation]
5)Éducation [insuffisante ou inadéquate]
6)Accès à un abri ou à un logement [insuffisant ou inadéquat]
7)Accès à la nourriture et à l'eau [insuffisant ou inadéquat]
8)Insécurité et la sécurité des membres du ménage
9)Sécurité des terres ou des biens [insuffisante ou inadéquate]
10)Catastrophes naturelles [sécheresses / inondations/ incendies ou érosion]
11)Paiements informels / corruption
12)Crise économique / financière [mauvais taux de change]
13)Accès à l'aide ou réception de l'aide
14)Autre [préciser]
15)NE SAIT PAS
16)REFUS</t>
        </is>
      </c>
      <c r="G93" s="446">
        <f>LEN(F93)</f>
        <v/>
      </c>
      <c r="H93" s="666" t="inlineStr">
        <is>
          <t>Je, ni masuala gani kuu yanayoathiri ustawi wa jamii?
[OPERATOR: HADI MAJIBU MATATU YANARUHUSIWA]
1)Hakuna matatizo/wasiwasi
2)Ajira/ riziki [ukosefu au kutotosheleza]
3)Huduma za afya [ukosefu au kutotosheleza]
4)Usafiri [ukosefu au kutotosheleza]
5)Elimu [ukosefu au kutotosheleza]
6)Upatikanaji wa makazi au hifadhi [ukosefu au kutotosha]
7)Upatikanaji wa chakula na maji [ukosefu au kutotosheleza]
8) Usalama wa wanafamilia 
9) Usalama wa ardhi au mali [kutosha au kutotosheleza]
10) Majanga ya asili [ukame / mafuriko / moto au mmomonyoko wa ardhi]
11) Ufisadi
12) Ukosefu wa utawala
13) Kupata msaada au kupokea msaada
14)Nyingine [taja]
15)SIJUE
16)KUKATALA</t>
        </is>
      </c>
      <c r="I93" s="446">
        <f>LEN(H93)</f>
        <v/>
      </c>
      <c r="J93" s="683" t="inlineStr">
        <is>
          <t>Open Ended-Select All That Apply</t>
        </is>
      </c>
      <c r="K93" s="448" t="inlineStr">
        <is>
          <t>NA</t>
        </is>
      </c>
      <c r="L93" s="448" t="inlineStr">
        <is>
          <t>NA</t>
        </is>
      </c>
      <c r="M93" s="446" t="inlineStr">
        <is>
          <t>Form Type - Checklist
1,15,16 = IsNone
MinAns = 1
MaxANs = 3</t>
        </is>
      </c>
      <c r="N93" s="446" t="inlineStr">
        <is>
          <t>1)confl_wb_none
2)confl_wb_livelihood
3)confl_wb_health
4)confl_wb_transport
5)confl_wb_edu
6)confl_wb_housing
7)confl_wb_food_water
8)confl_wb_safety
9)confl_wb_land_sec
10)confl_wb_nat_disaster
11)confl_wb_corrupt
12)confl_wb_fin_crisis
13)confl_wb_assistance
14)confl_wb_other
15)confl_wb_dk
16)confl_wb_ref</t>
        </is>
      </c>
      <c r="O93" s="449" t="inlineStr">
        <is>
          <t>1-16 = confl_internal_relations</t>
        </is>
      </c>
      <c r="P93" s="450" t="n"/>
      <c r="Q93" s="451" t="inlineStr">
        <is>
          <t>For any response, go to confl_internal_relations.</t>
        </is>
      </c>
      <c r="R93" s="452" t="inlineStr"/>
      <c r="S93" s="453" t="n"/>
      <c r="T93" s="205" t="n"/>
      <c r="U93" s="206" t="n"/>
      <c r="W93" s="208" t="inlineStr"/>
      <c r="X93" s="209" t="n"/>
      <c r="AA93" s="734" t="n"/>
      <c r="AB93" s="734" t="n"/>
      <c r="AC93" s="206" t="inlineStr"/>
    </row>
    <row r="94" ht="273" customFormat="1" customHeight="1" s="207">
      <c r="A94" s="445" t="n">
        <v>68</v>
      </c>
      <c r="B94" s="448" t="inlineStr">
        <is>
          <t>confl_internal_relations</t>
        </is>
      </c>
      <c r="C94" s="448" t="inlineStr">
        <is>
          <t>confl_internal_relations</t>
        </is>
      </c>
      <c r="D94" s="253" t="inlineStr">
        <is>
          <t>Could you describe the relations between members of your community?
[OPERATOR: SINGLE RESPONSE.]
1)Excellent
2)Good
3)Neither good nor bad
4)Somewhat bad
5)Very bad
6)DON'T KNOW
7)REFUSED</t>
        </is>
      </c>
      <c r="E94" s="253">
        <f>LEN(D94)</f>
        <v/>
      </c>
      <c r="F94" s="253" t="inlineStr">
        <is>
          <t xml:space="preserve">
Pouvez-vous décrire les relations entre les membres de votre communauté ?
[OPÉRATEUR : RÉPONSE UNIQUE.]
1)Excellentes
2)Bonnes
3)Ni bonnes ni mauvaises
4)Plutôt mauvaises
5)Très mauvaises
6)JE NE SAIS PAS
7)REFUS</t>
        </is>
      </c>
      <c r="G94" s="446">
        <f>LEN(F94)</f>
        <v/>
      </c>
      <c r="H94" s="160" t="inlineStr">
        <is>
          <t xml:space="preserve">
Je, unaweza kuelezea uhusiano kati ya wanajamii wako?
[OPERATOR: JIBU MOJA.]
1) Bora
2) Nzuri
3) Sio nzuri au mbaya
4) Badala yake mbaya
5) mbaya sana
6)SIJUE
7)KUKATALA
</t>
        </is>
      </c>
      <c r="I94" s="446">
        <f>LEN(H94)</f>
        <v/>
      </c>
      <c r="J94" s="448" t="inlineStr">
        <is>
          <t>Single Choice</t>
        </is>
      </c>
      <c r="K94" s="448" t="inlineStr">
        <is>
          <t>NA</t>
        </is>
      </c>
      <c r="L94" s="448" t="inlineStr">
        <is>
          <t>NA</t>
        </is>
      </c>
      <c r="M94" s="448" t="inlineStr">
        <is>
          <t>Form Type - Buttons</t>
        </is>
      </c>
      <c r="N94" s="454" t="inlineStr">
        <is>
          <t>NA</t>
        </is>
      </c>
      <c r="O94" s="449" t="inlineStr">
        <is>
          <t>1-7 = confl_external_relations</t>
        </is>
      </c>
      <c r="P94" s="455" t="n"/>
      <c r="Q94" s="456" t="inlineStr">
        <is>
          <t>For any response, go to confl_external_relations.</t>
        </is>
      </c>
      <c r="R94" s="457" t="inlineStr"/>
      <c r="S94" s="458" t="n"/>
      <c r="T94" s="205" t="n"/>
      <c r="U94" s="206" t="n"/>
      <c r="W94" s="208" t="inlineStr"/>
      <c r="X94" s="209" t="n"/>
      <c r="AA94" s="734" t="n"/>
      <c r="AB94" s="734" t="n"/>
      <c r="AC94" s="206" t="inlineStr"/>
    </row>
    <row r="95" ht="273" customFormat="1" customHeight="1" s="207">
      <c r="A95" s="445" t="n">
        <v>69</v>
      </c>
      <c r="B95" s="448" t="inlineStr">
        <is>
          <t>confl_external_relations</t>
        </is>
      </c>
      <c r="C95" s="448" t="inlineStr">
        <is>
          <t>confl_external_relations</t>
        </is>
      </c>
      <c r="D95" s="253" t="inlineStr">
        <is>
          <t>Could you describe the relations between your community and nearby or neigbhouring communities?
[OPERATOR: SINGLE RESPONSE.]
1)Excellent
2)Good
3)Neither good nor bad
4)Somewhat bad
5)Very bad
6)DON'T KNOW
7)REFUSED</t>
        </is>
      </c>
      <c r="E95" s="253">
        <f>LEN(D95)</f>
        <v/>
      </c>
      <c r="F95" s="253" t="inlineStr">
        <is>
          <t>Pouvez-vous décrire les relations entre votre communauté et les communautés voisines ou proches ?
[OPÉRATEUR : RÉPONSE UNIQUE.]
1)Excellentes
2)Bonnes
3)Ni bonnes ni mauvaises
4)Plutôt mauvaises
5)Très mauvaises
6)NE SAIT PAS
7)REFUSÉ</t>
        </is>
      </c>
      <c r="G95" s="446">
        <f>LEN(F95)</f>
        <v/>
      </c>
      <c r="H95" s="160" t="inlineStr">
        <is>
          <t xml:space="preserve">Je, unaweza kuelezea uhusiano kati ya jamii yako na jamii za jirani au zinazokaribiana?
[MPIGA KAZI: JIBU MOJA TU.]
1)  Nzuri sana
2) Nzuri
3) Wala nzuri wala mbaya
4)  Mbaya kidogo
5) Mbaya sana
6) Sijue
7) KUKATALA
</t>
        </is>
      </c>
      <c r="I95" s="446">
        <f>LEN(H95)</f>
        <v/>
      </c>
      <c r="J95" s="448" t="inlineStr">
        <is>
          <t>Single Choice</t>
        </is>
      </c>
      <c r="K95" s="448" t="inlineStr">
        <is>
          <t>NA</t>
        </is>
      </c>
      <c r="L95" s="448" t="inlineStr">
        <is>
          <t>NA</t>
        </is>
      </c>
      <c r="M95" s="448" t="inlineStr">
        <is>
          <t>Form Type - Buttons</t>
        </is>
      </c>
      <c r="N95" s="454" t="inlineStr">
        <is>
          <t>NA</t>
        </is>
      </c>
      <c r="O95" s="449" t="inlineStr">
        <is>
          <t>1-7 = confl_yn</t>
        </is>
      </c>
      <c r="P95" s="459" t="n"/>
      <c r="Q95" s="456" t="inlineStr">
        <is>
          <t>For any response, go to confl_yn.</t>
        </is>
      </c>
      <c r="R95" s="457" t="inlineStr"/>
      <c r="S95" s="458" t="n"/>
      <c r="T95" s="205" t="n"/>
      <c r="U95" s="206" t="n"/>
      <c r="W95" s="208" t="inlineStr"/>
      <c r="X95" s="209" t="n"/>
      <c r="AA95" s="734" t="n"/>
      <c r="AB95" s="734" t="n"/>
      <c r="AC95" s="206" t="inlineStr"/>
    </row>
    <row r="96" ht="189" customFormat="1" customHeight="1" s="207">
      <c r="A96" s="445" t="n">
        <v>70</v>
      </c>
      <c r="B96" s="448" t="inlineStr">
        <is>
          <t>confl_yn</t>
        </is>
      </c>
      <c r="C96" s="448" t="inlineStr">
        <is>
          <t>confl_yn</t>
        </is>
      </c>
      <c r="D96" s="253" t="inlineStr">
        <is>
          <t>Have you or anyone within your household been exposed to any form of insecurity or conflict during the past 12 months?
[OPERATOR: SINGLE RESPONSE.]
1)YES
2)NO
3)DON'T KNOW
4)REFUSED</t>
        </is>
      </c>
      <c r="E96" s="253">
        <f>LEN(D96)</f>
        <v/>
      </c>
      <c r="F96" s="253" t="inlineStr">
        <is>
          <t>Est-ce que vous ou un membre de votre ménage avez été exposé à une quelconque forme d'insécurité ou de conflit au cours des 12 derniers mois?
[OPÉRATEUR/OPÉRATRICE: UNE SEULE RÉPONSE].
1)OUI
2)NON
3)NE SAIT PAS
4)REFUSÉ</t>
        </is>
      </c>
      <c r="G96" s="446">
        <f>LEN(F96)</f>
        <v/>
      </c>
      <c r="H96" s="160" t="inlineStr">
        <is>
          <t>Je, wewe au mtu yeyote katika kaya yako alikumbana na aina yoyote ya ukosefu wa usalama au migogoro katika kipindi cha miezi 12 iliyopita?
[OPERATOR: JIBU MOJA TU]
1)NDIYO
2)HAPANA
3)SIJUE
4)KUKATALA</t>
        </is>
      </c>
      <c r="I96" s="446">
        <f>LEN(H96)</f>
        <v/>
      </c>
      <c r="J96" s="448" t="inlineStr">
        <is>
          <t>Single Choice</t>
        </is>
      </c>
      <c r="K96" s="448" t="inlineStr">
        <is>
          <t>NA</t>
        </is>
      </c>
      <c r="L96" s="448" t="inlineStr">
        <is>
          <t>NA</t>
        </is>
      </c>
      <c r="M96" s="448" t="inlineStr">
        <is>
          <t>Form Type - Buttons</t>
        </is>
      </c>
      <c r="N96" s="454" t="inlineStr">
        <is>
          <t>NA</t>
        </is>
      </c>
      <c r="O96" s="449" t="inlineStr">
        <is>
          <t>1 = confl_prim_insec
2-4 = confl_agri_imp</t>
        </is>
      </c>
      <c r="P96" s="460" t="n"/>
      <c r="Q96" s="461" t="inlineStr">
        <is>
          <t>if confl_yn = 1, go to confl_prim_insec.
Otherwise, go to confl_agri_imp.</t>
        </is>
      </c>
      <c r="R96" s="461" t="inlineStr"/>
      <c r="S96" s="458" t="n"/>
      <c r="T96" s="205" t="n"/>
      <c r="U96" s="206" t="n"/>
      <c r="W96" s="208" t="inlineStr"/>
      <c r="X96" s="209" t="n"/>
      <c r="AA96" s="734" t="n"/>
      <c r="AB96" s="734" t="n"/>
      <c r="AC96" s="206" t="inlineStr"/>
    </row>
    <row r="97" ht="273" customFormat="1" customHeight="1" s="207">
      <c r="A97" s="212" t="n">
        <v>71</v>
      </c>
      <c r="B97" s="282" t="inlineStr">
        <is>
          <t>confl_prim_insec</t>
        </is>
      </c>
      <c r="C97" s="282" t="inlineStr">
        <is>
          <t>confl_prim_insec</t>
        </is>
      </c>
      <c r="D97" s="159" t="inlineStr">
        <is>
          <t>What has been the primary type of insecurity affecting your household?
[OPERATOR: SINGLE RESPONSE.]
1)Disputes or conflicts over land/ water/ pasture or fishing grounds
2)Criminality/ banditry or armed group violence
3)Conflict between community groups
4)Armed conflict
5)Disputes or conflicts over assistance being provided
6)Other [specify]
7)DON'T KNOW
8)REFUSED</t>
        </is>
      </c>
      <c r="E97" s="159">
        <f>LEN(D97)</f>
        <v/>
      </c>
      <c r="F97" s="159" t="inlineStr">
        <is>
          <t>Quel a été le principal type d'insécurité affectant votre ménage?
[OPÉRATEUR/OPÉRATRICE: UNE SEULE RÉPONSE].
1)Disputes ou conflits concernant la terre/ l'eau/ les pâturages ou les zones de pêche
2)Criminalité/ banditisme ou violence de groupes armés
3)Conflit entre groupes communautaires
4)Conflit armé
5)Différends ou conflits concernant l'assistance fournie
6)Autre [préciser]
7)NE SAIT PAS
8)REFUS</t>
        </is>
      </c>
      <c r="G97" s="158">
        <f>LEN(F97)</f>
        <v/>
      </c>
      <c r="H97" s="160" t="inlineStr">
        <is>
          <t>Ni aina gani kuu ya ukosefu wa usalama iliyoathiri kaya yako?
[OPERATOR: JIBU MOJA TU].
1)Migogoro au migogoro kuhusu ardhi/maji au malisho
2)Uhalifu/unyanyasaji wa magenge au ujambazi
3)Migogoro kati ya makundi ya jamii
4)Migogoro ya kutumia silaha
5)Mizozo au migogoro kuhusu usaidizi unaotolewa
6)Nyingine [taja]
7)SIJUE
8)KUKATALA</t>
        </is>
      </c>
      <c r="I97" s="158">
        <f>LEN(H97)</f>
        <v/>
      </c>
      <c r="J97" s="356" t="inlineStr">
        <is>
          <t>Open Ended-Single Choice</t>
        </is>
      </c>
      <c r="K97" s="282" t="inlineStr">
        <is>
          <t>NA</t>
        </is>
      </c>
      <c r="L97" s="282" t="inlineStr">
        <is>
          <t>NA</t>
        </is>
      </c>
      <c r="M97" s="282" t="inlineStr">
        <is>
          <t>Form Type - RadioList</t>
        </is>
      </c>
      <c r="N97" s="282" t="inlineStr">
        <is>
          <t>NA</t>
        </is>
      </c>
      <c r="O97" s="192" t="inlineStr">
        <is>
          <t>1-8 = confl_agri_imp</t>
        </is>
      </c>
      <c r="P97" s="462" t="n"/>
      <c r="Q97" s="192" t="inlineStr">
        <is>
          <t>if confl_prim_insec = 1-8, go to confl_agri_imp.</t>
        </is>
      </c>
      <c r="R97" s="326" t="inlineStr"/>
      <c r="S97" s="463" t="n"/>
      <c r="T97" s="205" t="n"/>
      <c r="U97" s="206" t="n"/>
      <c r="W97" s="208" t="inlineStr"/>
      <c r="X97" s="209" t="n"/>
      <c r="AA97" s="734" t="n"/>
      <c r="AB97" s="734" t="n"/>
      <c r="AC97" s="206" t="inlineStr"/>
    </row>
    <row r="98" ht="409.5" customFormat="1" customHeight="1" s="207">
      <c r="A98" s="445" t="n">
        <v>72</v>
      </c>
      <c r="B98" s="448" t="inlineStr">
        <is>
          <t>confl_agri_imp</t>
        </is>
      </c>
      <c r="C98" s="446" t="inlineStr">
        <is>
          <t>confl_agri_imp
1)confl_agri_none
2)confl_agri_access_field
3)confl_agri_inputs
4)confl_agri_prod_asset
5)confl_agri_water_infra
6)confl_agri_crp_damage
7)confl_agri_crp_theft_occup
8)confl_agri_ls_reduce_mob
9)confl_agri_ls_damage
10)confl_agri_ls_theft
11)confl_agri_land_contam
12)confl_agri_extortion
13)confl_agri_other
14)confl_agri_dk
15)confl_agri_ref</t>
        </is>
      </c>
      <c r="D98" s="253" t="inlineStr">
        <is>
          <t>How has broader impacts of conflict or insecurity affected your household's farming, livestock or fishing activities? 
[OPERATOR: SELECT UP TO THREE IMPACTS.]
1)No effect on my household's agricultural activities
2)Unsafe to access fields or fishing areas [risk of violence / injury / theft]
3)Could not access [or poor quality] agricultural inputs
4)Damage or destruction of productive assets [tools/ machinery]
5)Reduced access to agricultural water / damage to irrigation infrastructure
6)Damage or destruction of crops
7)Theft/occupation of agricultural land
8)Reduced livestock mobility due to insecurity
9)Killing or injury of livestock
10)Theft of livestock
11)Land contaminated by landmines and/or explosive remnants of war
12)Demands for agricultural produce [livestock/ fish/ crops] as payment to influential groups 
13)Other [specify]
14)DON'T KNOW
15)REFUSED</t>
        </is>
      </c>
      <c r="E98" s="253">
        <f>LEN(D98)</f>
        <v/>
      </c>
      <c r="F98" s="253" t="inlineStr">
        <is>
          <t>Comment l'insécurité ou le conflit généralisé a-t-il affecté les activités agricoles, d'élevage ou de pêche de votre ménage? 
[OPÉRATEUR/OPÉRATRICE: SÉLECTIONNER JUSQU'À TROIS IMPACTS]
1)Aucune conséquence sur les activités agricoles de mon ménage
2)Accès dangereux aux champs ou zones de pêche
3)Impossibilité d'accéder aux intrants [semences/ engrais] ou mauvaise qualité de ceux-ci
4)Dommages ou destruction des biens de production [outils/ machines]
5)Accès réduit à l'eau agricole / dommages aux infrastructures d'irrigation
6)Dommages ou destruction des cultures
7)Vol/occupation de terres agricoles
8)Mobilité réduite du bétail en raison de l'insécurité
9)Meurtre ou blessure du bétail
10)Vol de bétail
11)Terres contaminées par des mines terrestres et/ou des restes explosifs de guerre
12)Exigences de produits agricoles [bétail/ récoltes/ poisson] comme paiement aux groupes influents
13)Autre [préciser]
14)NE SAIT PAS
15)REFUSÉ</t>
        </is>
      </c>
      <c r="G98" s="446">
        <f>LEN(F98)</f>
        <v/>
      </c>
      <c r="H98" s="160" t="inlineStr">
        <is>
          <t>Je, ukosefu wa usalama na/au migogoro imeathiri vipi shughuli za kaya yako za kilimo, mifugo au uvuvi?
[OPERATOR: CHAGUA HADI ATHARI TATU]
1)Hakuna madhara kwa shughuli za kilimo za kaya yangu
2)Kutokuwa na uwezo wa kufikia au kupunguza ufikiaji wa mashamba/maeneo ya uvuvi
3)Kutoweza kupata pembejeo [mbegu/mbolea] au ubora wake
4)Uharibifu au uharibifu wa mali ya uzalishaji [zana/mashine]
5)Uharibifu wa miundombinu ya majimaji na/au kupunguza upatikanaji wa maji
6) Uharibifu au uharibifu wa mazao
7) Wizi/ukaaji wa ardhi ya kilimo
8) Kupunguza uhamaji wa mifugo kwa sababu ya ukosefu wa usalama
9) Kufa au kuumia mifugo
10)Wizi wa mifugo
11)Ardhi iliyochafuliwa na mabomu na/au. mabaki ya vita
12)Unyang'anyi [k.m. malipo yanayodaiwa na vikundi vyenye silaha]
13)Nyingine [taja]
14)SIJUE
15)KUKATALA</t>
        </is>
      </c>
      <c r="I98" s="446">
        <f>LEN(H98)</f>
        <v/>
      </c>
      <c r="J98" s="448" t="inlineStr">
        <is>
          <t>Open Ended-Select All That Apply</t>
        </is>
      </c>
      <c r="K98" s="448" t="inlineStr">
        <is>
          <t>NA</t>
        </is>
      </c>
      <c r="L98" s="446" t="inlineStr">
        <is>
          <t>Send if "hh_agricactivity" "Equals" "Yes - crop production" Or "hh_agricactivity" "Equals" "Yes - livestock production" Or "hh_agricactivity" "Equals" "Yes - both crop and livestock production" Or "hh_fish" "Equals" "YES"  if not satisfied go to "confl_foodsec_imp"</t>
        </is>
      </c>
      <c r="M98" s="684" t="inlineStr">
        <is>
          <t>Form Type - Checklist
1,14,15 = IsNone
MinAns = 1
MaxAns = 3</t>
        </is>
      </c>
      <c r="N98" s="446" t="inlineStr">
        <is>
          <t>1)confl_agri_none
2)confl_agri_access_field
3)confl_agri_inputs
4)confl_agri_prod_asset
5)confl_agri_water_infra
6)confl_agri_crp_damage
7)confl_agri_crp_theft_occup
8)confl_agri_ls_reduce_mob
9)confl_agri_ls_damage
10)confl_agri_ls_theft
11)confl_agri_land_contam
12)confl_agri_extortion
13)confl_agri_other
14)confl_agri_dk
15)confl_agri_ref</t>
        </is>
      </c>
      <c r="O98" s="449" t="inlineStr">
        <is>
          <t>1-15 = confl_foodsec_imp</t>
        </is>
      </c>
      <c r="P98" s="464" t="n"/>
      <c r="Q98" s="465" t="inlineStr">
        <is>
          <t>if confl_agri_imp = 1-15, go to confl_foodsec_imp.</t>
        </is>
      </c>
      <c r="R98" s="466" t="inlineStr"/>
      <c r="S98" s="467" t="n"/>
      <c r="T98" s="205" t="n"/>
      <c r="U98" s="206" t="n"/>
      <c r="W98" s="208" t="inlineStr"/>
      <c r="X98" s="209" t="n"/>
      <c r="AA98" s="734" t="n"/>
      <c r="AB98" s="734" t="n"/>
      <c r="AC98" s="206" t="inlineStr"/>
    </row>
    <row r="99" ht="323.15" customFormat="1" customHeight="1" s="207" thickBot="1">
      <c r="A99" s="445" t="n">
        <v>73</v>
      </c>
      <c r="B99" s="470" t="inlineStr">
        <is>
          <t>confl_foodsec_imp</t>
        </is>
      </c>
      <c r="C99" s="468" t="inlineStr">
        <is>
          <t>confl_foodsec_imp
1)confl_fs_none
2)confl_fs_high_cost
3)confl_fs_lack_food_mkt
4)confl_fs_access_mkt
5)confl_fs_reduced_income
6)confl_fs_access_assistance
7)confl_fs_theft_damage
8)confl_fs_illicit_pay
9)confl_fs_other
10)confl_fs_dk
11)confl_fs_ref</t>
        </is>
      </c>
      <c r="D99" s="469" t="inlineStr">
        <is>
          <t>How has insecurity affected your household's access to food?
[OPERATOR: SELECT UP TO THREE IMPACTS.]
1)No effect on my access to food
2)High food costs
3)Lack of food in the markets
4)Unsafe to access markets [risk of violence / injury / theft]
5)Reduced income to buy food
6)Difficult to access assistance [food/ cash or vouchers]
7)Theft/damage to household food stores
8)Demands for informal payments or taxes
9)Other [specify]
10)DON'T KNOW
11)REFUSED</t>
        </is>
      </c>
      <c r="E99" s="469">
        <f>LEN(D99)</f>
        <v/>
      </c>
      <c r="F99" s="469" t="inlineStr">
        <is>
          <t>Comment l'insécurité a-t-elle impacté l'accès de votre ménage à la nourriture?
[OPÉRATEUR/OPÉRATRICE: SÉLECTIONNER JUSQU'À TROIS IMPACTS].
1)Aucun effet sur mon accès à la nourriture
2)Coût élevé de la nourriture
3)Manque de nourriture sur les marchés
4)Accès dangereux aux marchés [risque de violence / blessure / vol]
5)Revenu réduit pour acheter de la nourriture
6)Difficultés d'accès à l'aide [nourriture/ argent ou bons d'achat].
7)Vol/dommages aux réserves alimentaires des ménages
8)Demandes de paiements informels ou de taxes
9)Autre [préciser]
10)NE SAIT PAS
11)REFUSÉ</t>
        </is>
      </c>
      <c r="G99" s="468">
        <f>LEN(F99)</f>
        <v/>
      </c>
      <c r="H99" s="160" t="inlineStr">
        <is>
          <t>Je/ ukosefu wa usalama umeathiri vipi upatikanaji wa chakula wa kaya yako?
[OPERATOR: CHAGUA HADI ATHARI TATU].
1)Hakuna athari kwa upatikanaji wangu wa chakula
2)Gharama kubwa ya chakula
3)Ukosefu wa chakula sokoni
4)Upatikanaji mgumu/hatari kwenye soko
5)Kupunguza mapato ya kununua chakula
6)Ugumu wa kupata msaada [chakula/pesa au vocha]
7)Wizi/uharibifu wa akiba ya chakula cha kaya
8)Mahitaji ya malipo haramu au kodi
9)Nyingine [taja]
10)SIJUE
11)KUKATALA</t>
        </is>
      </c>
      <c r="I99" s="468">
        <f>LEN(H99)</f>
        <v/>
      </c>
      <c r="J99" s="448" t="inlineStr">
        <is>
          <t>Open Ended-Select All That Apply</t>
        </is>
      </c>
      <c r="K99" s="470" t="inlineStr">
        <is>
          <t>NA</t>
        </is>
      </c>
      <c r="L99" s="470" t="inlineStr">
        <is>
          <t>NA</t>
        </is>
      </c>
      <c r="M99" s="685" t="inlineStr">
        <is>
          <t>Form Type - Checklist
1,10,11 = IsNone
MaxAns = 1
MaxAns = 3</t>
        </is>
      </c>
      <c r="N99" s="468" t="inlineStr">
        <is>
          <t>1)confl_fs_none
2)confl_fs_high_cost
3)confl_fs_lack_food_mkt
4)confl_fs_access_mkt
5)confl_fs_reduced_income
6)confl_fs_access_assistance
7)confl_fs_theft_damage
8)confl_fs_illicit_pay
9)confl_fs_other
10)confl_fs_dk
11)confl_fs_ref</t>
        </is>
      </c>
      <c r="O99" s="471" t="inlineStr">
        <is>
          <t>1-11 = crp_intro</t>
        </is>
      </c>
      <c r="P99" s="472" t="n"/>
      <c r="Q99" s="456" t="inlineStr">
        <is>
          <t>if confl_foodsec_imp = 1-11, go to crp_intro.</t>
        </is>
      </c>
      <c r="R99" s="473" t="inlineStr"/>
      <c r="S99" s="474" t="n"/>
      <c r="T99" s="205" t="n"/>
      <c r="U99" s="206" t="n"/>
      <c r="W99" s="208" t="inlineStr"/>
      <c r="X99" s="209" t="n"/>
      <c r="AA99" s="734" t="n"/>
      <c r="AB99" s="734" t="n"/>
      <c r="AC99" s="206" t="inlineStr"/>
    </row>
    <row r="100" ht="135" customFormat="1" customHeight="1" s="183">
      <c r="A100" s="445" t="n">
        <v>74</v>
      </c>
      <c r="B100" s="156" t="inlineStr">
        <is>
          <t>crp_intro</t>
        </is>
      </c>
      <c r="C100" s="156" t="inlineStr">
        <is>
          <t>crp_intro</t>
        </is>
      </c>
      <c r="D100" s="475" t="inlineStr">
        <is>
          <t>We will now ask you some questions about crop production which apply to you and anyone in your household that is involved in crop production or sales. All questions refer to the crops grown during Rainy season.
1)CONTINUE</t>
        </is>
      </c>
      <c r="E100" s="148">
        <f>LEN(D100)</f>
        <v/>
      </c>
      <c r="F100" s="475" t="inlineStr">
        <is>
          <t>Nous allons maintenant vous poser quelques questions sur la production végétale. Ces questions vous concernent ainsi que toute personne de votre ménage impliquée dans la production ou la vente de cultures. Toutes les questions se rapportent aux cultures pratiquées pendant la Saison des pluies. 
1)CONTINUER</t>
        </is>
      </c>
      <c r="G100" s="148">
        <f>LEN(F100)</f>
        <v/>
      </c>
      <c r="H100" s="160" t="inlineStr">
        <is>
          <t>Sasa tutakuuliza baadhi ya maswali kuhusu uzalishaji wa mazao ambayo yanakuhusu wewe na mtu yeyote katika kaya yako anayehusika na uzalishaji au mauzo ya mazao. Maswali yote yanahusu mazao yanayolimwa wakati wa Mvua.
1)ENDELEA</t>
        </is>
      </c>
      <c r="I100" s="148">
        <f>LEN(H100)</f>
        <v/>
      </c>
      <c r="J100" s="276" t="inlineStr">
        <is>
          <t>Single Choice</t>
        </is>
      </c>
      <c r="K100" s="148" t="inlineStr">
        <is>
          <t>NA</t>
        </is>
      </c>
      <c r="L100" s="148" t="inlineStr">
        <is>
          <t>Send if "hh_agricactivity" "Equals" "Yes - crop production" Or "hh_agricactivity" "Equals" "Yes - both crop and livestock production" Or "income_main_crop_check" "Equals" "YES" Or "income_sec_crop_check" "Equals" "YES" Or "income_third_crop_check" "Equals" "YES" if not satisfied go to "crp_salesmain"</t>
        </is>
      </c>
      <c r="M100" s="148" t="inlineStr">
        <is>
          <t>Form Type - Buttons</t>
        </is>
      </c>
      <c r="N100" s="149" t="inlineStr">
        <is>
          <t>NA</t>
        </is>
      </c>
      <c r="O100" s="218" t="inlineStr">
        <is>
          <t>1 = crp_landsize_num</t>
        </is>
      </c>
      <c r="P100" s="476" t="n"/>
      <c r="Q100" s="393" t="inlineStr">
        <is>
          <t>If hh_agricactivity = "Yes - crop production" or "Yes - both crop and livestock production" or if they reported production and sales of crops in one of the three main income sources and confirmed that they are involved in production, then this section will be asked to respondents.
Otherwise, skip to crp_salesmain.
Next question is crp_landsize_num</t>
        </is>
      </c>
      <c r="R100" s="394" t="inlineStr"/>
      <c r="S100" s="477" t="n"/>
      <c r="T100" s="132">
        <f>'Additional information'!$D$17</f>
        <v/>
      </c>
      <c r="U100" s="133" t="n"/>
      <c r="W100" s="208" t="inlineStr">
        <is>
          <t>yes</t>
        </is>
      </c>
      <c r="X100" s="726" t="n"/>
      <c r="AA100" s="734" t="n">
        <v>7.304072856903076</v>
      </c>
      <c r="AB100" s="734">
        <f>IF(AA100="","",AA100*T100)</f>
        <v/>
      </c>
      <c r="AC100" s="133" t="inlineStr"/>
    </row>
    <row r="101" ht="156" customFormat="1" customHeight="1" s="480">
      <c r="A101" s="445" t="n">
        <v>75</v>
      </c>
      <c r="B101" s="158" t="inlineStr">
        <is>
          <t>crp_landsize_num</t>
        </is>
      </c>
      <c r="C101" s="158" t="inlineStr">
        <is>
          <t>crp_landsize_num</t>
        </is>
      </c>
      <c r="D101" s="422" t="inlineStr">
        <is>
          <t>What is the total size of the land you can cultivate?
[OPERATOR: RECORD THE TOTAL LAND SIZE PROVIDED BY THE RESPONDENT. WRITE 8888888 FOR DON'T KNOW AND 9999999 FOR REFUSED. MEASUREMENT UNIT WILL BE SPECIFIED IN THE FOLLOWING QUESTION.]</t>
        </is>
      </c>
      <c r="E101" s="158">
        <f>LEN(D101)</f>
        <v/>
      </c>
      <c r="F101" s="160" t="inlineStr">
        <is>
          <t>Quelle superficie totale pouvez-vous cultiver?
[OPÉRATEUR/OPÉRATRICE: SAISIR LA TAILLE TOTALE DU TERRAIN SIGNALÉE PAR LE RÉPONDANT. ENTRER 8888888 POUR «NE SAIT PAS» ET 9999999 POUR «REFUSÉ» . L'UNITÉ DE MESURE SERA PRÉCISÉE À LA QUESTION SUIVANTE].</t>
        </is>
      </c>
      <c r="G101" s="158">
        <f>LEN(F101)</f>
        <v/>
      </c>
      <c r="H101" s="160" t="inlineStr">
        <is>
          <t>Shamba unaloweza kulima lina ukubwa gani?
[OPERETERA: REKODI JUMLA YA UKUBWA WA ARDHI ULIOTOLEWA NA MHOJIWA. ANDIKA 8888888 KWA SIJUE NA 9999999 KWA KUKUKATALA. KITENGO CHA KIPIMO KITABASIWA KATIKA SWALI LIFUATALO.]</t>
        </is>
      </c>
      <c r="I101" s="158">
        <f>LEN(H101)</f>
        <v/>
      </c>
      <c r="J101" s="282" t="inlineStr">
        <is>
          <t>Range</t>
        </is>
      </c>
      <c r="K101" s="158" t="inlineStr">
        <is>
          <t>NA</t>
        </is>
      </c>
      <c r="L101" s="158" t="inlineStr">
        <is>
          <t>NA</t>
        </is>
      </c>
      <c r="M101" s="158" t="inlineStr">
        <is>
          <t>Form Type - TextBox</t>
        </is>
      </c>
      <c r="N101" s="149" t="inlineStr">
        <is>
          <t>NA</t>
        </is>
      </c>
      <c r="O101" s="423" t="inlineStr">
        <is>
          <t>0-1000000 = crp_landsize_unit
8888888-8888888 = crp_main
9999999-9999999 = crp_main</t>
        </is>
      </c>
      <c r="P101" s="476" t="n"/>
      <c r="Q101" s="393" t="inlineStr">
        <is>
          <t>For any response, go to crp_landsize_unit. Range is between 0 and 1000000. For "Don't know" and "Refused", go to crp_main.</t>
        </is>
      </c>
      <c r="R101" s="478" t="inlineStr"/>
      <c r="S101" s="479" t="n"/>
      <c r="T101" s="132">
        <f>'Additional information'!$D$17</f>
        <v/>
      </c>
      <c r="U101" s="133" t="n"/>
      <c r="W101" s="208" t="inlineStr">
        <is>
          <t>yes</t>
        </is>
      </c>
      <c r="X101" s="726" t="n"/>
      <c r="AA101" s="734" t="n">
        <v>23.93990516662598</v>
      </c>
      <c r="AB101" s="734">
        <f>IF(AA101="","",AA101*T101)</f>
        <v/>
      </c>
      <c r="AC101" s="133" t="inlineStr"/>
    </row>
    <row r="102" ht="210" customFormat="1" customHeight="1" s="480">
      <c r="A102" s="212" t="n">
        <v>76</v>
      </c>
      <c r="B102" s="158" t="inlineStr">
        <is>
          <t>crp_landsize_unit</t>
        </is>
      </c>
      <c r="C102" s="158" t="inlineStr">
        <is>
          <t>crp_landsize_unit</t>
        </is>
      </c>
      <c r="D102" s="422" t="inlineStr">
        <is>
          <t>Unit of measurement for land size: 
[OPERATOR: DO NOT READ. SINGLE RESPONSE.]
1)Acres
2)Hectares
3)Square meters
4)Square feet</t>
        </is>
      </c>
      <c r="E102" s="158">
        <f>LEN(D102)</f>
        <v/>
      </c>
      <c r="F102" s="422" t="inlineStr">
        <is>
          <t>Unité de mesure des terrains cultivés:
 [OPÉRATEUR/OPÉRATRICE: RÉPONSE UNIQUE.]
1)Acres
2)Hectares
3)Mètres carrés
4)Pieds carrés</t>
        </is>
      </c>
      <c r="G102" s="158">
        <f>LEN(F102)</f>
        <v/>
      </c>
      <c r="H102" s="160" t="inlineStr">
        <is>
          <t>Kipimo cha ukubwa wa ardhi:
[OPERATOR: USISOME. JIBU MOJA.]
1)Ekari
2)Hekta
3)Mita za mraba
4)Miguu ya mraba</t>
        </is>
      </c>
      <c r="I102" s="158">
        <f>LEN(H102)</f>
        <v/>
      </c>
      <c r="J102" s="282" t="inlineStr">
        <is>
          <t>Single Choice</t>
        </is>
      </c>
      <c r="K102" s="158" t="inlineStr">
        <is>
          <t>NA</t>
        </is>
      </c>
      <c r="L102" s="158" t="inlineStr">
        <is>
          <t>NA</t>
        </is>
      </c>
      <c r="M102" s="158" t="inlineStr">
        <is>
          <t>Form Type - Buttons</t>
        </is>
      </c>
      <c r="N102" s="149" t="inlineStr">
        <is>
          <t>NA</t>
        </is>
      </c>
      <c r="O102" s="423" t="inlineStr">
        <is>
          <t>1-4 = crp_main</t>
        </is>
      </c>
      <c r="P102" s="476" t="inlineStr">
        <is>
          <t>GeoPoll [5/6/2025]. Kindly confirm if code 5 can be removed?
FAO: ok thanks</t>
        </is>
      </c>
      <c r="Q102" s="393" t="inlineStr">
        <is>
          <t>if crp_landsize_unit = 1-5, go to crp_main</t>
        </is>
      </c>
      <c r="R102" s="394" t="inlineStr"/>
      <c r="S102" s="481" t="n"/>
      <c r="T102" s="132">
        <f>'Additional information'!$D$17</f>
        <v/>
      </c>
      <c r="U102" s="133" t="n"/>
      <c r="W102" s="208" t="inlineStr">
        <is>
          <t>yes</t>
        </is>
      </c>
      <c r="X102" s="726" t="n"/>
      <c r="AA102" s="734" t="n">
        <v>2.249462604522705</v>
      </c>
      <c r="AB102" s="734">
        <f>IF(AA102="","",AA102*T102)</f>
        <v/>
      </c>
      <c r="AC102" s="133" t="inlineStr"/>
    </row>
    <row r="103" ht="409.5" customFormat="1" customHeight="1" s="183">
      <c r="A103" s="212" t="n">
        <v>77</v>
      </c>
      <c r="B103" s="146" t="inlineStr">
        <is>
          <t>crp_main</t>
        </is>
      </c>
      <c r="C103" s="156" t="inlineStr">
        <is>
          <t>crp_main</t>
        </is>
      </c>
      <c r="D103" s="475" t="inlineStr">
        <is>
          <t>What has been the main crop that your household has grown for food and income generation in Rainy season, if any?
[OPERATOR: SINGLE RESPONSE. "NO CROP PRODUCTION" IS IN LAST OPTIONS AT THE END.] 
1)Millet
2)Sorghum
3)Maize
4)Cassava
5)Potatoe
6)Beans
7)Soybeans
8)Plantains
9)Papaya
10)Groundnut/peanut
11)Coffee
12)Rice
13)Wheat
14)Barley
15)Other Cereal
16)Sweet Potatoes
17)Yams
18)Carrots
19)Cocoyam
20)Other tubers
21)Lentils
22)Peas
23)Chickpeas
24)Fava beans
25)Broad beans
26)Other pulses
27)Cabbage
28)Lettuce
29)Spinach-Amaranth
30)Cassava leaves
31)Potatoe leaves
32)Moringa
33)Sorrel Hibiscus / Rosselle
34)Green salad herbs [thyme/ parsley/ mint/ rocca/ other]
35)Cauliflower
36)Other leafy vegetables
37)Tomatoes
38)Cucumber
39)Pumpkin
40)Eggplant/aubergine
41)Zucchini
42)Okra
43)Bell pepper
44)Onions
45)Haricot
46)Green peas
47)Fava beans green
48)Other non leafy vegs
49)Orange
50)Lemon
51)Grapefruit
52)Mandarins/clementines
53)Other citrus fruit
54)Sweet Banana
55)Mango
56)Guava
57)Pineapple
58)Avocado
59)Water Melon
60)Dates
61)Figs
62)Grapes
63)Olives
64)Apple
65)Apricot
66)Cherries
67)Peach/nectarine
68)Strawberries
69)Melon [Cantaloupe]
70)Other fruit
71)Coconuts
72)Cashew Nut
73)Kola Nut
74)Sesame
75)Bambara nut
76)Almond
77)Walnut
78)Other nuts
79)Cocoa
80)Tea
81)Sugarcane
82)Sunflower
83)Other food cash crop
84)Cotton
85)Rubber
86)Jute
87)Fodder
88)Tobacco
89)Qat
90)Other non-food cash crop
91)No crop production
92)DON'T KNOW
93)REFUSED</t>
        </is>
      </c>
      <c r="E103" s="148">
        <f>LEN(D103)</f>
        <v/>
      </c>
      <c r="F103" s="160" t="inlineStr">
        <is>
          <t>Quelle a été la principale culture pratiquée par votre ménage pour se nourrir et générer des revenus pendant la Saison des pluies, si applicable? 
 [OPÉRATEUR/OPÉRATRICE: RÉPONSE UNIQUE. «AUCUNE PRODUCTION VÉGÉTALE» EST PARMI LES DERNIÈRES OPTIONS, À LA FIN DE LA LISTE.] 
1)Mil
2)Sorgho
3)Maïs
4)Manioc
5)Pommes de terre
6)Haricots
7)Soja
8)Banane plantain
9)Papaye
10)Arachide / cacahuète
11)Café
12)Riz
13)Blé
14)Orge
15)Autres céréales
16)Patates douces
17)Ignames
18)Carottes
19)Chou caraïbe
20)Autres tubercules
21)Lentilles
22)Pois
23)Pois chiches
24)Fève
25)Fève large
26)Autres légumineuses
27)Choux
28)Laitue
29)Epinards-Amaranthe
30)Feuilles de manioc
31)Feuilles de pomme de terre
32)Moringa
33)Oseille Hibiscus / Rosselle
34)Herbes aromatiques [thym/ persil/ menthe/ rocca/ autres]
35)Choux-fleur
36)Autres légumes à feuilles
37)Tomates
38)Concombre
39)Citrouille
40)Aubergines/aubergines
41)Courgettes
42)Okra
43)Poivrons
44)Oignons
45)Haricot 
46)Petit pois
47)Pois fève
48)Autres légumes non feuillus
49)Orange
50)Citron
51)Pamplemousse
52)Tangerine/clémentine
53)Autres agrumes
54)Banane douce
55)Mangue
56)Goyave
57)Ananas
58)Avocat
59)Pastèques
60)Dattes
61)Figues
62)Raisins
63)Olives
64)Pomme
65)Abricot
66)Cerises
67)Pêche/nectarine
68)Fraises
69)Melon
70)Autres fruits
71)Noix de coco
72)Noix de cajou
73)Noix de kola
74)Sésame
75)Noix de bambara
76)Amande
77)Noix
78)Autres fruits à coque
79)Cacao
80)Thé
81)Canne à sucre
82)Tournesol
83)Autres cultures vivrières de rente
84)Coton
85)Caoutchouc
86)Jute
87)Fourrage
88)Tabac
89)Qat
90)Autre culture de rente non alimentaire
91)Pas de production agricole
92)NE SAIT PAS
93)REFUSE</t>
        </is>
      </c>
      <c r="G103" s="148">
        <f>LEN(F103)</f>
        <v/>
      </c>
      <c r="H103" s="160" t="inlineStr">
        <is>
          <t>Je, ni zao gani kuu lililokuzwa na kaya yako kwa ajili ya chakula na mapato katika Msimu huu, kama inatumika?
[OPERATOR: JIBU MOJA. “HAKUNA UZALISHAJI WA MBOGA” NI MIONGONI MWA CHAGUO LA MWISHO, MWISHO WA ORODHA.] 
1) Mil
2)Mtama
3) Mahindi
4) Muhogo
5) Viazi
6) Maharage
7) Soya
8) Plantain
9) Papai
10) Karanga / karanga
11) Kahawa
12)Mchele
13)Ngano
14) Shayiri
15)Nafaka zingine
16)Viazi vitamu
17) Magimbi
18)Karoti
19)Kabichi ya Caribbean
20)Mizizi mingine
21) Dengu
22) Mbaazi
23) Njegere
24) Maharage
25) Maharage mapana
26) Mikunde mingine
27) Kabichi
28) lettuce
29) Mchicha-Amaranth
30) Majani ya muhogo
31) Majani ya viazi
32) Mzunze
33) Sorrel Hibiscus / Rosselle
34) Mimea yenye harufu nzuri [thyme/ parsley/ mint/ rocca/ wengine]
35) Cauliflower
36)Mboga nyingine za majani
37)Nyanya
38)Tango
39)Maboga
40)Biringanya/biringani
41) Zucchini
42)Bamia
43)Pilipili
44) Vitunguu
45) Maharage
46) Mbaazi
47) Maharage ya pea
48)Mboga nyingine zisizo za majani
49) Chungwa
50)Ndimu
51) Zabibu
52)Tangerine/clementine
53)Matunda mengine ya machungwa
54)Ndizi tamu
55)Embe
56) Guava
57)Nanasi
58)Wakili
59)Matikiti maji
60)Tarehe
61)Mtini
62) Zabibu
63)Mizeituni
64) Apple
65)Parachichi
66) Cherry
67)Peach/nectarine
68)Stroberi
69) Tikitikiti
70)Matunda mengine
71)Nazi
72)Korosho
73) Kola karanga
74)Ufuta
75)Bambara nuts
76) Almond
77)Karanga
78)Karanga zingine
79)Kakao
80) Chai
81)Sukari
82)Alizeti
83)Mazao mengine ya chakula cha biashara
84)Pamba
85)Mpira
86) Juti
87) Lishe
88)Tumbaku
89)Kati
90)Mazao mengine yasiyo ya chakula
91) Hakuna uzalishaji wa kilimo
92)SIJUI
93)KUKATALA</t>
        </is>
      </c>
      <c r="I103" s="148">
        <f>LEN(H103)</f>
        <v/>
      </c>
      <c r="J103" s="276" t="inlineStr">
        <is>
          <t>Single Choice</t>
        </is>
      </c>
      <c r="K103" s="148" t="inlineStr">
        <is>
          <t>NA</t>
        </is>
      </c>
      <c r="L103" s="148" t="inlineStr">
        <is>
          <t>NA</t>
        </is>
      </c>
      <c r="M103" s="156" t="inlineStr">
        <is>
          <t>Form Type - Dropdown
IsDemographic - crp_main</t>
        </is>
      </c>
      <c r="N103" s="482" t="inlineStr">
        <is>
          <t>1)1.3
2)1.4
3)1.5
4)2.1
5)2.2
6)3.1
7)3.4
8)7.2
9)7.3
10)8.2
11)9.2
12)1.1
13)1.2
14)1.6
15)1.99
16)2.3
17)2.4
18)2.5
19)2.6
20)2.99
21)3.2
22)3.3
23)3.5
24)3.6
25)3.7
26)3.99
27)4.1
28)4.2
29)4.3
30)4.4
31)4.5
32)4.6
33)4.7
34)4.9
35)4.101
36)4.99
37)5.1
38)5.2
39)5.3
40)5.4
41)5.5
42)5.6
43)5.7
44)5.8
45)5.9
46)5.101
47)5.11
48)5.99
49)6.1
50)6.2
51)6.3
52)6.4
53)6.99
54)7.1
55)7.4
56)7.5
57)7.6
58)7.7
59)7.8
60)7.9
61)7.101
62)7.11
63)7.12
64)7.13
65)7.14
66)7.15
67)7.16
68)7.17
69)7.18
70)7.99
71)8.1
72)8.3
73)8.4
74)8.5
75)8.6
76)8.7
77)8.8
78)8.99
79)9.1
80)9.3
81)9.4
82)9.5
83)9.99
84)10.1
85)10.2
86)10.3
87)10.4
88)10.5
89)10.6
90)10.99
91)777
92)888
93)999</t>
        </is>
      </c>
      <c r="O103" s="218" t="inlineStr">
        <is>
          <t>1-90 = crp_irrig_source
91 = crp_main_check
92-93 = crp_salesmain</t>
        </is>
      </c>
      <c r="P103" s="483" t="n"/>
      <c r="Q103" s="484" t="inlineStr">
        <is>
          <t>if crp_main = any type of crop, go to crp_irrig_source;
if crp_main = "No crop production", go to crp_main_check
if crp_main = "Don't know" or "Refused", go to crp_salesmain</t>
        </is>
      </c>
      <c r="R103" s="485" t="inlineStr"/>
      <c r="S103" s="327" t="n"/>
      <c r="T103" s="132">
        <f>'Additional information'!$D$17</f>
        <v/>
      </c>
      <c r="U103" s="133" t="n"/>
      <c r="W103" s="208" t="inlineStr">
        <is>
          <t>yes</t>
        </is>
      </c>
      <c r="X103" s="726" t="n"/>
      <c r="AA103" s="734" t="n">
        <v>23.44011688232422</v>
      </c>
      <c r="AB103" s="734">
        <f>IF(AA103="","",AA103*T103)</f>
        <v/>
      </c>
      <c r="AC103" s="133" t="inlineStr"/>
    </row>
    <row r="104" ht="126" customFormat="1" customHeight="1" s="183">
      <c r="A104" s="445" t="n">
        <v>78</v>
      </c>
      <c r="B104" s="146" t="inlineStr">
        <is>
          <t>crp_main_check</t>
        </is>
      </c>
      <c r="C104" s="156" t="inlineStr">
        <is>
          <t>crp_main_check</t>
        </is>
      </c>
      <c r="D104" s="475" t="inlineStr">
        <is>
          <t>Why did you not produce any crops in Rainy season?
[OPERATOR: SINGLE RESPONSE.]
1)Don’t usually produce during this season 
2)Wasn't able to produce [e.g. due to difficulties]</t>
        </is>
      </c>
      <c r="E104" s="148">
        <f>LEN(D104)</f>
        <v/>
      </c>
      <c r="F104" s="475" t="inlineStr">
        <is>
          <t>Pourquoi n'avez-vous pas produit de cultures pendant la Saison des pluies ?
[OPÉRATEUR/OPÉRATRICE: RÉPONSE UNIQUE.]
1)Ne produit habituellement pas pendant cette saison 
2)N'a pas été en mesure de produire [en raison de difficultés par ex.]</t>
        </is>
      </c>
      <c r="G104" s="148">
        <f>LEN(F104)</f>
        <v/>
      </c>
      <c r="H104" s="160" t="inlineStr">
        <is>
          <t>Kwa nini hamkuzaa mazao yoyote wakati wa Mvula?
[OPERATOR: JIBU MOJA.]
1)Usizae kwa kawaida msimu huu
2)Haikuweza kuzalisha [k.m. kutokana na matatizo]</t>
        </is>
      </c>
      <c r="I104" s="148">
        <f>LEN(H104)</f>
        <v/>
      </c>
      <c r="J104" s="276" t="inlineStr">
        <is>
          <t>Single Choice</t>
        </is>
      </c>
      <c r="K104" s="148" t="inlineStr">
        <is>
          <t>NA</t>
        </is>
      </c>
      <c r="L104" s="148" t="inlineStr">
        <is>
          <t>NA</t>
        </is>
      </c>
      <c r="M104" s="156" t="inlineStr">
        <is>
          <t>Form Type - Buttons</t>
        </is>
      </c>
      <c r="N104" s="149" t="inlineStr">
        <is>
          <t>NA</t>
        </is>
      </c>
      <c r="O104" s="218" t="inlineStr">
        <is>
          <t>1 = crp_salesmain
2 = crp_proddif</t>
        </is>
      </c>
      <c r="P104" s="483" t="n"/>
      <c r="Q104" s="486" t="inlineStr">
        <is>
          <t>if crp_main_check = 1, go to crp_salesmain
if crp_main_check = 2, go to crp_proddif</t>
        </is>
      </c>
      <c r="R104" s="485" t="inlineStr"/>
      <c r="S104" s="327" t="n"/>
      <c r="T104" s="132">
        <f>'Additional information'!$D$17</f>
        <v/>
      </c>
      <c r="U104" s="133" t="n"/>
      <c r="W104" s="208" t="inlineStr">
        <is>
          <t>yes</t>
        </is>
      </c>
      <c r="X104" s="726" t="n"/>
      <c r="AA104" s="734" t="n">
        <v>7.765957355499268</v>
      </c>
      <c r="AB104" s="734">
        <f>IF(AA104="","",AA104*T104)</f>
        <v/>
      </c>
      <c r="AC104" s="133" t="inlineStr"/>
    </row>
    <row r="105" ht="273" customFormat="1" customHeight="1" s="183">
      <c r="A105" s="445" t="n">
        <v>79</v>
      </c>
      <c r="B105" s="158" t="inlineStr">
        <is>
          <t>crp_irrig_source</t>
        </is>
      </c>
      <c r="C105" s="158" t="inlineStr">
        <is>
          <t>crp_irrig_source</t>
        </is>
      </c>
      <c r="D105" s="422" t="inlineStr">
        <is>
          <t>Where do you normally and mainly obtain water for the production of {crp_main}? 
[OPERATOR: SINGLE RESPONSE.]
1)Rainfed
2)Groundwater
3)Natural surface water [river / lake / stream / pond / etc.]
4)Constructed water point [canal / dam / etc.]
5)Public water supply system [e.g. tap water]
6)Other [specify]
7)DON'T KNOW
8)REFUSED</t>
        </is>
      </c>
      <c r="E105" s="158">
        <f>LEN(D105)</f>
        <v/>
      </c>
      <c r="F105" s="159" t="inlineStr">
        <is>
          <t>Quelle est normalement votre principale source d'eau pour la production de {crp_main}? 
[OPÉRATEUR/OPÉRATRICE: RÉPONSE UNIQUE.]
1)Pluie
2)Eaux souterraines
3)Eaux de surface naturelles [rivière / lac / ruisseau / étang / etc.]
4)Point d'eau artificiel [canal / barrage /etc.] 
5)Système public d'approvisionnement en eau [par ex. eau du robinet]
6)Autre [préciser]
7)NE SAIT PAS
8)REFUSÉ</t>
        </is>
      </c>
      <c r="G105" s="158">
        <f>LEN(F105)</f>
        <v/>
      </c>
      <c r="H105" s="160" t="inlineStr">
        <is>
          <t>Kwa kawaida unapata wapi maji kwa ajili ya uzalishaji wa {crp_main}?
[OPERATOR: JIBU MOJA.]
1)Kunyeshewa na mvula
2)Maji ya ardhini
3)Maji ya asili ya uso [mto / ziwa / mkondo / bwawa / nk]
4)Sehemu ya maji iliyojengwa [mfereji / bwawa / nk]
5)Mfumo wa usambazaji wa maji kwa umma [k.m. maji ya bomba]
6)Yingine [taja]
7)SIJUE
8)KUKATALA</t>
        </is>
      </c>
      <c r="I105" s="158">
        <f>LEN(H105)</f>
        <v/>
      </c>
      <c r="J105" s="282" t="inlineStr">
        <is>
          <t>Open Ended-Single Choice</t>
        </is>
      </c>
      <c r="K105" s="158" t="inlineStr">
        <is>
          <t>NA</t>
        </is>
      </c>
      <c r="L105" s="158" t="inlineStr">
        <is>
          <t>NA</t>
        </is>
      </c>
      <c r="M105" s="158" t="inlineStr">
        <is>
          <t>Form Type - RadioList</t>
        </is>
      </c>
      <c r="N105" s="149" t="inlineStr">
        <is>
          <t>NA</t>
        </is>
      </c>
      <c r="O105" s="423" t="inlineStr">
        <is>
          <t>1-8 = crp_irrig_system</t>
        </is>
      </c>
      <c r="P105" s="483" t="n"/>
      <c r="Q105" s="486" t="inlineStr">
        <is>
          <t>if crp_irrig_source = 1-8, go to [crp_area_change or optional question]</t>
        </is>
      </c>
      <c r="R105" s="487" t="inlineStr"/>
      <c r="S105" s="166" t="n"/>
      <c r="T105" s="132">
        <f>'Additional information'!$D$17</f>
        <v/>
      </c>
      <c r="U105" s="133" t="n"/>
      <c r="W105" s="208" t="inlineStr">
        <is>
          <t>yes</t>
        </is>
      </c>
      <c r="X105" s="726" t="n"/>
      <c r="AA105" s="734" t="n">
        <v>16.48175621032715</v>
      </c>
      <c r="AB105" s="734">
        <f>IF(AA105="","",AA105*T105)</f>
        <v/>
      </c>
      <c r="AC105" s="133" t="inlineStr"/>
    </row>
    <row r="106" ht="294" customFormat="1" customHeight="1" s="304">
      <c r="A106" s="445" t="n">
        <v>80</v>
      </c>
      <c r="B106" s="401" t="inlineStr">
        <is>
          <t>crp_irrig_system</t>
        </is>
      </c>
      <c r="C106" s="401" t="inlineStr">
        <is>
          <t>crp_irrig_system</t>
        </is>
      </c>
      <c r="D106" s="300" t="inlineStr">
        <is>
          <t>Do you [your community] use a pump for your own [the communal] irrigation system?
[OPERATOR: SINGLE RESPONSE.]
1)No - everything works on gravity
2)Yes - there is a communal diesel/gas pump
3)Yes - there is a communal manual pump
4)Yes - there is a manual pump in my field
5)Yes - there is a diesel pump in my field
6)DON'T KNOW
7)REFUSED</t>
        </is>
      </c>
      <c r="E106" s="401">
        <f>LEN(D106)</f>
        <v/>
      </c>
      <c r="F106" s="402" t="inlineStr">
        <is>
          <t>Utilisez-vous [ou votre communauté] une pompe pour votre propre système d'irrigation?
[OPÉRATEUR/OPÉRATRICE: RÉPONSE UNIQUE.]
1)Non - tout fonctionne par gravité
2)Oui - une pompe commune diesel/gaz
3)Oui - une pompe manuelle commune
4) Oui - une pompe manuelle située dans mon champ
5)Oui - une pompe diesel située dans mon champ
6)NE SAIT PAS
7)REFUSÉ</t>
        </is>
      </c>
      <c r="G106" s="401">
        <f>LEN(F106)</f>
        <v/>
      </c>
      <c r="H106" s="160" t="inlineStr">
        <is>
          <t>Je, ninyi [jamii yako] mnatumia pampu kwa [matumizi] yenu wenyewe mfumo wenu wa umwagiliaji?
[MWENDESHAJI: JIBU MOJA.]
1)Hapana - kila kitu kinatumia mvuto
2)Yes - kuna pampu ya mafuta ya dizeli/gesi ya pamoja
3)Ndiyo - kuna pampu ya mikono ya pamoja
4)Ndiyo - kuna pampu ya mikono shambani kwangu
5)Ndiyo - kuna pampu ya dizeli shambani kwangu
6)SIJUE
7)NILIKUKATALA</t>
        </is>
      </c>
      <c r="I106" s="401">
        <f>LEN(H106)</f>
        <v/>
      </c>
      <c r="J106" s="294" t="inlineStr">
        <is>
          <t>Single Choice</t>
        </is>
      </c>
      <c r="K106" s="296" t="inlineStr">
        <is>
          <t>NA</t>
        </is>
      </c>
      <c r="L106" s="188" t="inlineStr">
        <is>
          <t>Send if "crp_irrig_source" "Equals" "Groundwater" Or "crp_irrig_source" "Equals" "Natural surface water [river / lake / stream / pond / etc.]" Or "crp_irrig_source" "Equals" "Constructed water point [canal / dam / etc.]" Or "crp_irrig_source" "Equals" "Public water supply system [e.g. tap water]" Or "crp_irrig_source" "Equals" "Other [specify]" if not satisfied go to "crp_irrig_pay"</t>
        </is>
      </c>
      <c r="M106" s="296" t="inlineStr">
        <is>
          <t>Form Type - Buttons</t>
        </is>
      </c>
      <c r="N106" s="298" t="inlineStr">
        <is>
          <t>NA</t>
        </is>
      </c>
      <c r="O106" s="488" t="inlineStr">
        <is>
          <t>1-7 = crp_irrig_pay</t>
        </is>
      </c>
      <c r="P106" s="489" t="inlineStr">
        <is>
          <t>GeoPoll [5/6/2025]. Routed the logic to Q crp_irrig_pay
FAO: Ok thanks</t>
        </is>
      </c>
      <c r="Q106" s="490" t="inlineStr">
        <is>
          <t>if crp_irrig_system = 1-7, go to [crp_area_change or optional question]</t>
        </is>
      </c>
      <c r="R106" s="491" t="inlineStr"/>
      <c r="S106" s="420" t="n"/>
      <c r="T106" s="408" t="n"/>
      <c r="U106" s="303" t="n"/>
      <c r="W106" s="409" t="inlineStr">
        <is>
          <t>no</t>
        </is>
      </c>
      <c r="X106" s="306" t="n"/>
      <c r="AA106" s="742" t="n"/>
      <c r="AB106" s="742" t="n"/>
      <c r="AC106" s="303" t="inlineStr"/>
    </row>
    <row r="107" ht="194.15" customFormat="1" customHeight="1" s="183">
      <c r="A107" s="445" t="n">
        <v>81</v>
      </c>
      <c r="B107" s="186" t="inlineStr">
        <is>
          <t>crp_irrig_pay</t>
        </is>
      </c>
      <c r="C107" s="186" t="inlineStr">
        <is>
          <t>crp_irrig_pay</t>
        </is>
      </c>
      <c r="D107" s="324" t="inlineStr">
        <is>
          <t>Do you have to pay for water rights [e.g. water rights, communal infrastructure maintenance, gas for communal pump, etc.]? 
[OPERATOR: SINGLE RESPONSE.]
1)YES
2)NO
3)DON'T KNOW
4)REFUSED</t>
        </is>
      </c>
      <c r="E107" s="186">
        <f>LEN(D107)</f>
        <v/>
      </c>
      <c r="F107" s="492" t="inlineStr">
        <is>
          <t>Devez-vous payer pour avoir accès à l'eau [par exemple, droits à l'eau, entretien des infrastructures communes, gaz pour la pompe commune, etc.]? 
[OPÉRATEUR/OPÉRATRICE: RÉPONSE UNIQUE.]
1)OUI
2)NON
3)NE SAIT PAS
4)REFUSÉ</t>
        </is>
      </c>
      <c r="G107" s="186">
        <f>LEN(F107)</f>
        <v/>
      </c>
      <c r="H107" s="160" t="inlineStr">
        <is>
          <t>Je, unalazimika kulipa kwa haki za maji [kwa mfano: haki za maji, matengenezo ya miundombinu ya pamoja, gesi kwa pampu ya pamoja, n.k.]? 
[OPERATOR: JIBU MOJA.]
1)NDIYO
2)HAPANA
3)SIJUE
4)KUKATALA</t>
        </is>
      </c>
      <c r="I107" s="186">
        <f>LEN(H107)</f>
        <v/>
      </c>
      <c r="J107" s="184" t="inlineStr">
        <is>
          <t>Single Choice</t>
        </is>
      </c>
      <c r="K107" s="188" t="inlineStr">
        <is>
          <t>NA</t>
        </is>
      </c>
      <c r="L107" s="188" t="inlineStr">
        <is>
          <t>NA</t>
        </is>
      </c>
      <c r="M107" s="188" t="inlineStr">
        <is>
          <t>Form Type - Buttons</t>
        </is>
      </c>
      <c r="N107" s="152" t="inlineStr">
        <is>
          <t>NA</t>
        </is>
      </c>
      <c r="O107" s="425" t="inlineStr">
        <is>
          <t>1-4 = crp_seed_supply</t>
        </is>
      </c>
      <c r="P107" s="493" t="n"/>
      <c r="Q107" s="494" t="inlineStr">
        <is>
          <t>if crp_irrig_pay = 1-4, go to [crp_area_change or optional question]</t>
        </is>
      </c>
      <c r="R107" s="478" t="inlineStr"/>
      <c r="S107" s="166" t="n"/>
      <c r="T107" s="132" t="n"/>
      <c r="U107" s="133" t="n"/>
      <c r="W107" s="194" t="inlineStr">
        <is>
          <t>no</t>
        </is>
      </c>
      <c r="X107" s="726" t="n"/>
      <c r="AA107" s="735" t="n"/>
      <c r="AB107" s="735" t="n"/>
      <c r="AC107" s="133" t="inlineStr"/>
    </row>
    <row r="108" ht="323.5" customFormat="1" customHeight="1" s="183">
      <c r="A108" s="445" t="n">
        <v>82</v>
      </c>
      <c r="B108" s="186" t="inlineStr">
        <is>
          <t>crp_seed_supply</t>
        </is>
      </c>
      <c r="C108" s="186" t="inlineStr">
        <is>
          <t>crp_seed_supply
1) crp_seed_ownprod
2) crp_seed_market
3) crp_seed_company
4) crp_seed_ngo
5) crp_seed_organized_community
6) crp_seed_gov
7) crp_seed_relatives_friends
8) crp_seed_other
9) crp_seed_dk
10) crp_seed_ref</t>
        </is>
      </c>
      <c r="D108" s="324" t="inlineStr">
        <is>
          <t>Who do you normally procure your seeds from? 
[OPERATOR: MULTIPLE RESPONSES POSSIBLE.]
1)Own production
2)Local market or agro-input shop/dealer
3)Private seed company
4)NGOs
5)Community seed banks / farmer networks / farmers' association / etc.
6)Government [e.g. MoA]
7)Relatives or friends
8)Other
9)DON'T KNOW
10)REFUSED</t>
        </is>
      </c>
      <c r="E108" s="186">
        <f>LEN(D108)</f>
        <v/>
      </c>
      <c r="F108" s="179" t="inlineStr">
        <is>
          <t>Où vous procurez-vous habituellement vos semences?
[OPÉRATEUR/OPÉRATRICE: PLUSIEURS RÉPONSES POSSIBLES.]
1)Propre production
2)Marché local ou magasin / négociant d'intrants agricoles
3)Entreprises privées de semences
4)ONG
5)Banques de semences communautaires / réseaux de cultivateurs / associations de cultivateurs / etc.
6)Gouvernement [par ex. ministère de l'Agriculture]
7)Famille ou amis 
8)Autre
9)NE SAIT PAS
10)REFUSÉ</t>
        </is>
      </c>
      <c r="G108" s="186">
        <f>LEN(F108)</f>
        <v/>
      </c>
      <c r="H108" s="160" t="inlineStr">
        <is>
          <t>Kwa kawaida unanunua mbegu zako kutoka kwa nani?
[OPERATOR: MAJIBU MENGI YANAWEZEKANA.]
1)Uzalishaji mwenyewe
2)Soko la ndani au duka la pembejeo za kilimo/mfanyabiashara
3)Kampuni binafsi ya mbegu
4)NGOs
5)Benki za jamii za mbegu/mitandao ya wakulima/chama cha wakulima/n.k.
6)Serikali [k.m. MOA]
7)Jamaa au marafiki
8)Yingine 
9)SIJUE
10)KUKATALA</t>
        </is>
      </c>
      <c r="I108" s="186">
        <f>LEN(H108)</f>
        <v/>
      </c>
      <c r="J108" s="184" t="inlineStr">
        <is>
          <t>Select All That Apply</t>
        </is>
      </c>
      <c r="K108" s="188" t="inlineStr">
        <is>
          <t>NA</t>
        </is>
      </c>
      <c r="L108" s="188" t="inlineStr">
        <is>
          <t>NA</t>
        </is>
      </c>
      <c r="M108" s="188" t="inlineStr">
        <is>
          <t>Form Type - Checklist
9,10 = IsNone</t>
        </is>
      </c>
      <c r="N108" s="152" t="inlineStr">
        <is>
          <t>1)crp_seed_ownprod
2)crp_seed_market
3)crp_seed_company
4)crp_seed_ngo
5)crp_seed_organized_community
6)crp_seed_gov
7)crp_seed_relatives_friends
8)crp_seed_other
9)crp_seed_dk
10)crp_seed_ref</t>
        </is>
      </c>
      <c r="O108" s="495" t="inlineStr">
        <is>
          <t>1-10 = crp_area_change</t>
        </is>
      </c>
      <c r="P108" s="496" t="n"/>
      <c r="Q108" s="497" t="inlineStr">
        <is>
          <t>if crp_seed_supply = 1-10, go to crp_area_change</t>
        </is>
      </c>
      <c r="R108" s="478" t="inlineStr"/>
      <c r="S108" s="166" t="n"/>
      <c r="T108" s="132">
        <f>'Additional information'!$D$17</f>
        <v/>
      </c>
      <c r="U108" s="133" t="n"/>
      <c r="W108" s="194" t="inlineStr">
        <is>
          <t>no</t>
        </is>
      </c>
      <c r="X108" s="726" t="n"/>
      <c r="AA108" s="735" t="n">
        <v>18.51111030578613</v>
      </c>
      <c r="AB108" s="735">
        <f>IF(AA108="","",AA108*T108)</f>
        <v/>
      </c>
      <c r="AC108" s="133" t="inlineStr"/>
    </row>
    <row r="109" ht="252" customFormat="1" customHeight="1" s="183">
      <c r="A109" s="445" t="n">
        <v>83</v>
      </c>
      <c r="B109" s="498" t="inlineStr">
        <is>
          <t>crp_area_change</t>
        </is>
      </c>
      <c r="C109" s="498" t="inlineStr">
        <is>
          <t>crp_area_change</t>
        </is>
      </c>
      <c r="D109" s="422" t="inlineStr">
        <is>
          <t>How did the area planted for {crp_main} from Rainy season compare to last year?
[OPERATOR: SINGLE RESPONSE.]
1)A lot more [increased by more than 50%]
2)Slightly more
3)Same
4)Slightly less
5)A lot less [less than half as much]
6)DON'T KNOW
7)REFUSED</t>
        </is>
      </c>
      <c r="E109" s="158">
        <f>LEN(D109)</f>
        <v/>
      </c>
      <c r="F109" s="159" t="inlineStr">
        <is>
          <t>Comment estimez-vous la superficie plantée de {crp_main} pour la Saison des pluies par rapport à l'année dernière?
[OPÉRATEUR/OPÉRATRICE: RÉPONSE UNIQUE.]
1)Très supérieure [augmentation de plus de 50%]
2)Légèrement supérieure
3)Identique
4)Légèrement inférieure
5)Très inférieure [moins de la moitié]
6)NE SAIT PAS
7)REFUSÉ</t>
        </is>
      </c>
      <c r="G109" s="158">
        <f>LEN(F109)</f>
        <v/>
      </c>
      <c r="H109" s="160" t="inlineStr">
        <is>
          <t>Je, unakadiriaje eneo lililopandwa la {crp_main} kwa Msimu wa sasa ikilinganishwa na mwaka jana?
[OPERATOR: JIBU MOJA.]
1)Juu sana [ongezeko la zaidi ya 50%]
2)Juu kidogo
3)Sawa
4)Chini kidogo
5)Chini sana [chini ya nusu]
6)SIJUE
7)KUKATALA</t>
        </is>
      </c>
      <c r="I109" s="158">
        <f>LEN(H109)</f>
        <v/>
      </c>
      <c r="J109" s="161" t="inlineStr">
        <is>
          <t>Single Choice</t>
        </is>
      </c>
      <c r="K109" s="158" t="inlineStr">
        <is>
          <t>NA</t>
        </is>
      </c>
      <c r="L109" s="158" t="inlineStr">
        <is>
          <t>NA</t>
        </is>
      </c>
      <c r="M109" s="158" t="inlineStr">
        <is>
          <t>Form Type - Buttons</t>
        </is>
      </c>
      <c r="N109" s="149" t="inlineStr">
        <is>
          <t>NA</t>
        </is>
      </c>
      <c r="O109" s="423" t="inlineStr">
        <is>
          <t>1-7 = crp_harv_change</t>
        </is>
      </c>
      <c r="P109" s="424" t="n"/>
      <c r="Q109" s="423" t="inlineStr">
        <is>
          <t>if crp_area_change = 1-7, go to crp_harv_change</t>
        </is>
      </c>
      <c r="R109" s="425" t="inlineStr"/>
      <c r="S109" s="166" t="n"/>
      <c r="T109" s="132">
        <f>'Additional information'!$D$17</f>
        <v/>
      </c>
      <c r="U109" s="133" t="n"/>
      <c r="W109" s="208" t="inlineStr">
        <is>
          <t>yes</t>
        </is>
      </c>
      <c r="X109" s="726" t="n"/>
      <c r="AA109" s="734" t="n">
        <v>20.30868148803711</v>
      </c>
      <c r="AB109" s="734">
        <f>IF(AA109="","",AA109*T109)</f>
        <v/>
      </c>
      <c r="AC109" s="133" t="inlineStr"/>
    </row>
    <row r="110" ht="252" customFormat="1" customHeight="1" s="183">
      <c r="A110" s="445" t="n">
        <v>84</v>
      </c>
      <c r="B110" s="158" t="inlineStr">
        <is>
          <t>crp_harv_change</t>
        </is>
      </c>
      <c r="C110" s="158" t="inlineStr">
        <is>
          <t>crp_harv_change</t>
        </is>
      </c>
      <c r="D110" s="422" t="inlineStr">
        <is>
          <t>How does the expected harvest of {crp_main} in the Rainy season compare to last year? 
[OPERATOR: SINGLE RESPONSE.]
1)A lot more [increased by more than 50%]
2)Slightly more
3)Same
4)Slightly less
5)A lot less [less than half as much]
6)DON'T KNOW
7)REFUSED</t>
        </is>
      </c>
      <c r="E110" s="158">
        <f>LEN(D110)</f>
        <v/>
      </c>
      <c r="F110" s="159" t="inlineStr">
        <is>
          <t>Comment estimez-vous la récolte attendue de {crp_main} pour la Saison des pluies par rapport à l'année dernière?
[OPÉRATEUR/OPÉRATRICE: RÉPONSE UNIQUE.]
1)Très supérieure [augmentation de plus de 50%]
2)Légèrement supérieure
3)Identique
4)Légèrement inférieure
5)Très inférieure [moins de la moitié]
6)NE SAIT PAS
7)REFUSÉ</t>
        </is>
      </c>
      <c r="G110" s="158">
        <f>LEN(F110)</f>
        <v/>
      </c>
      <c r="H110" s="160" t="inlineStr">
        <is>
          <t>Je, unakadiria vipi mavuno ya {crp_main} kwa Msimu wa sasa ikilinganishwa na mwaka jana?
[OPERATOR: JIBU MOJA.]
1)Juu zaidi [zaidi ya 50% ongezeko]
2)Juu kidogo
3)Sawa
4)Chini kidogo
5)Chini sana [chini ya nusu]
6)SIJUE
7)KUKATALA</t>
        </is>
      </c>
      <c r="I110" s="158">
        <f>LEN(H110)</f>
        <v/>
      </c>
      <c r="J110" s="161" t="inlineStr">
        <is>
          <t>Single Choice</t>
        </is>
      </c>
      <c r="K110" s="158" t="inlineStr">
        <is>
          <t>NA</t>
        </is>
      </c>
      <c r="L110" s="158" t="inlineStr">
        <is>
          <t>NA</t>
        </is>
      </c>
      <c r="M110" s="158" t="inlineStr">
        <is>
          <t>Form Type - Buttons</t>
        </is>
      </c>
      <c r="N110" s="149" t="inlineStr">
        <is>
          <t>NA</t>
        </is>
      </c>
      <c r="O110" s="162" t="inlineStr">
        <is>
          <t>1-7 = crp_harv_vol</t>
        </is>
      </c>
      <c r="P110" s="499" t="n"/>
      <c r="Q110" s="500" t="inlineStr">
        <is>
          <t>if crp_harv_change = 1-7, go to [crp_proddif or crp_harv_vol]</t>
        </is>
      </c>
      <c r="R110" s="501" t="inlineStr"/>
      <c r="S110" s="502" t="n"/>
      <c r="T110" s="132">
        <f>'Additional information'!$D$17</f>
        <v/>
      </c>
      <c r="U110" s="133" t="n"/>
      <c r="W110" s="208" t="inlineStr">
        <is>
          <t>yes</t>
        </is>
      </c>
      <c r="X110" s="726" t="n"/>
      <c r="AA110" s="734" t="n">
        <v>15.44861221313477</v>
      </c>
      <c r="AB110" s="734">
        <f>IF(AA110="","",AA110*T110)</f>
        <v/>
      </c>
      <c r="AC110" s="133" t="inlineStr"/>
    </row>
    <row r="111" ht="147" customFormat="1" customHeight="1" s="183">
      <c r="A111" s="445" t="n">
        <v>85</v>
      </c>
      <c r="B111" s="503" t="inlineStr">
        <is>
          <t>crp_harv_vol</t>
        </is>
      </c>
      <c r="C111" s="503" t="inlineStr">
        <is>
          <t>crp_harv_vol</t>
        </is>
      </c>
      <c r="D111" s="178" t="inlineStr">
        <is>
          <t>How much [threshed] {crp_main} did you harvest this Rainy season?
[OPERATOR: RECORD THE RESPONSE GIVEN. UNIT OF MEASUREMENT TO BE SPECIFIED IN NEXT QUESTION. ENTER 8888888 FOR DON'T KNOW &amp; 9999999 FOR REFUSED, TO BE USED RARELY - PROBE!]</t>
        </is>
      </c>
      <c r="E111" s="186">
        <f>LEN(D111)</f>
        <v/>
      </c>
      <c r="F111" s="178" t="inlineStr">
        <is>
          <t>Quelle quantité [battue] de {crp_main} avez-vous récoltée cette Saison des pluies?
[OPÉRATEUR/OPÉRATRICE:  SAISIR LA RÉPONSE DONNÉE. L'UNITÉ DE MESURE DOIT ÊTRE SPÉCIFIÉE À LA QUESTION SUIVANTE. SAISIR 8888888 POUR «NE SAIT PAS» ET 9999999 POUR «REFUSÉ», À UTILISER LE MOINS POSSIBLE - DEMANDER DES PRÉCISIONS!]</t>
        </is>
      </c>
      <c r="G111" s="186">
        <f>LEN(F111)</f>
        <v/>
      </c>
      <c r="H111" s="160" t="inlineStr">
        <is>
          <t>Je, umekusanya [beat] kiasi gani cha {crp_main} Msimu huu wa sasa?
[OPERATOR: WEKA MAJIBU ULIYOPEWA. KITENGO CHA KIPIMO LAZIMA KIBAINISHWE KATIKA SWALI LIFUATALO. INGIA 8888888 KWA “SIJUE” NA 9999999 KWA “KUKATALA”, TUMIA KADRI IWEZEKANAVYO - OMBA UFAFANUZI!]</t>
        </is>
      </c>
      <c r="I111" s="186">
        <f>LEN(H111)</f>
        <v/>
      </c>
      <c r="J111" s="504" t="inlineStr">
        <is>
          <t>Range</t>
        </is>
      </c>
      <c r="K111" s="186" t="inlineStr">
        <is>
          <t>NA</t>
        </is>
      </c>
      <c r="L111" s="186" t="inlineStr">
        <is>
          <t>NA</t>
        </is>
      </c>
      <c r="M111" s="186" t="inlineStr">
        <is>
          <t>Form Type - TextBox</t>
        </is>
      </c>
      <c r="N111" s="152" t="inlineStr">
        <is>
          <t>NA</t>
        </is>
      </c>
      <c r="O111" s="185" t="inlineStr">
        <is>
          <t>1-1000000 = crp_harv_unit
8888888-8888888 =  crp_proddif
9999999-9999999 =  crp_proddif</t>
        </is>
      </c>
      <c r="P111" s="323" t="n"/>
      <c r="Q111" s="187" t="inlineStr">
        <is>
          <t>For any response, go to crp_harv_unit. For "Don't know" or "Refused", go to crp_proddif</t>
        </is>
      </c>
      <c r="R111" s="505" t="inlineStr"/>
      <c r="S111" s="715" t="inlineStr">
        <is>
          <t xml:space="preserve">Keep this block of questions together, if used.
</t>
        </is>
      </c>
      <c r="T111" s="132">
        <f>'Additional information'!$D$17</f>
        <v/>
      </c>
      <c r="U111" s="133" t="n"/>
      <c r="W111" s="194" t="inlineStr">
        <is>
          <t>no</t>
        </is>
      </c>
      <c r="X111" s="726" t="n"/>
      <c r="AA111" s="735" t="n">
        <v>30.34391593933105</v>
      </c>
      <c r="AB111" s="735">
        <f>IF(AA111="","",AA111*T111)</f>
        <v/>
      </c>
      <c r="AC111" s="133" t="inlineStr"/>
    </row>
    <row r="112" ht="302.25" customFormat="1" customHeight="1" s="183">
      <c r="A112" s="445" t="n">
        <v>86</v>
      </c>
      <c r="B112" s="503" t="inlineStr">
        <is>
          <t>crp_harv_unit</t>
        </is>
      </c>
      <c r="C112" s="503" t="inlineStr">
        <is>
          <t>crp_harv_unit</t>
        </is>
      </c>
      <c r="D112" s="506" t="inlineStr">
        <is>
          <t>Unit of measurement for harvested {crp_main} :
[OPERATOR: SINGLE SELECTION]
1)Kilograms [kgs]
2)Tonnes
3)Ounces
4)Pounds
5)Bags
6)Boxes
7)Bundles
8)Packets
9)Other [specify]</t>
        </is>
      </c>
      <c r="E112" s="186">
        <f>LEN(D112)</f>
        <v/>
      </c>
      <c r="F112" s="506" t="inlineStr">
        <is>
          <t>Unité de mesure pour la/le {crp_main} récolté[e]:
[OPÉRATEUR/OPÉRATRICE: RÉPONSE UNIQUE.]
1)Kilogrammes [kg]
2)Tonnes
3)Onces
4)Livres
5)Sacs
6)Boîtes
7)Fagots
8)Paquets
9)Autre [préciser]</t>
        </is>
      </c>
      <c r="G112" s="186">
        <f>LEN(F112)</f>
        <v/>
      </c>
      <c r="H112" s="160" t="inlineStr">
        <is>
          <t>Kipimo cha kipimo cha {crp_main} kilichovunwa:
[OPERATOR: JIBU MOJA.]
1)Kilo [kgs]
2)Tani
3)Onzi
4)Pauni
5)Mifuko
6)Masanduku
7)Vifungu
8)Pakiti
9)Yingine [taja]</t>
        </is>
      </c>
      <c r="I112" s="186">
        <f>LEN(H112)</f>
        <v/>
      </c>
      <c r="J112" s="504" t="inlineStr">
        <is>
          <t>Open Ended-Single Choice</t>
        </is>
      </c>
      <c r="K112" s="186" t="inlineStr">
        <is>
          <t>NA</t>
        </is>
      </c>
      <c r="L112" s="186" t="inlineStr">
        <is>
          <t>NA</t>
        </is>
      </c>
      <c r="M112" s="507" t="inlineStr">
        <is>
          <t>Form Type - RadioList
IsDemographic - crp_harv_unit</t>
        </is>
      </c>
      <c r="N112" s="152" t="inlineStr">
        <is>
          <t>NA</t>
        </is>
      </c>
      <c r="O112" s="185" t="inlineStr">
        <is>
          <t>1-4 = crp_harv_lastyr
5-9 = crp_harv_unit_kg</t>
        </is>
      </c>
      <c r="P112" s="323" t="n"/>
      <c r="Q112" s="187" t="inlineStr">
        <is>
          <t>If crp_harv_unit = 1-4, go to crp_harv_lastyr
If crp_harv_unit = 5-9, go to crp_harv_unit_kg</t>
        </is>
      </c>
      <c r="R112" s="505" t="inlineStr"/>
      <c r="S112" s="739" t="n"/>
      <c r="T112" s="132">
        <f>'Additional information'!$D$17</f>
        <v/>
      </c>
      <c r="U112" s="133" t="n"/>
      <c r="W112" s="194" t="inlineStr">
        <is>
          <t>no</t>
        </is>
      </c>
      <c r="X112" s="726" t="n"/>
      <c r="AA112" s="735" t="n">
        <v>5.47089958190918</v>
      </c>
      <c r="AB112" s="735">
        <f>IF(AA112="","",AA112*T112)</f>
        <v/>
      </c>
      <c r="AC112" s="133" t="inlineStr"/>
    </row>
    <row r="113" ht="84" customFormat="1" customHeight="1" s="183">
      <c r="A113" s="445" t="n">
        <v>87</v>
      </c>
      <c r="B113" s="503" t="inlineStr">
        <is>
          <t>crp_harv_unit_kg</t>
        </is>
      </c>
      <c r="C113" s="503" t="inlineStr">
        <is>
          <t>crp_harv_unit_kg</t>
        </is>
      </c>
      <c r="D113" s="506" t="inlineStr">
        <is>
          <t>How many kilograms [kgs] in each unit?
[OPERATOR: RECORD THE AMOUNT GIVEN. ENTER 88888 FOR DON'T KNOW &amp; 99999 FOR REFUSED]</t>
        </is>
      </c>
      <c r="E113" s="186">
        <f>LEN(D113)</f>
        <v/>
      </c>
      <c r="F113" s="506" t="inlineStr">
        <is>
          <t>Combien de kilogrammes [kg] chaque unité contient-elle?
[OPÉRATEUR/OPÉRATRICE:  SAISIR LA QUANTITÉ ANNONCÉE. SAISIR 88888 POUR «NE SAIT PAS» ET 99999 POUR «REFUSÉ».]</t>
        </is>
      </c>
      <c r="G113" s="186">
        <f>LEN(F113)</f>
        <v/>
      </c>
      <c r="H113" s="160" t="inlineStr">
        <is>
          <t>Ni kilo [kgs] ngapi katika kila uniti?_x000D_
_x000D_
[OPERATOR: REKODI KIASI ULICHOPEWA. INGIA 88888 KWA SIJUE &amp; 99999 KWA KUKATALA]</t>
        </is>
      </c>
      <c r="I113" s="186">
        <f>LEN(H113)</f>
        <v/>
      </c>
      <c r="J113" s="504" t="inlineStr">
        <is>
          <t>Range</t>
        </is>
      </c>
      <c r="K113" s="186" t="inlineStr">
        <is>
          <t>NA</t>
        </is>
      </c>
      <c r="L113" s="186" t="inlineStr">
        <is>
          <t>NA</t>
        </is>
      </c>
      <c r="M113" s="186" t="inlineStr">
        <is>
          <t>Form Type - TextBox</t>
        </is>
      </c>
      <c r="N113" s="152" t="inlineStr">
        <is>
          <t>NA</t>
        </is>
      </c>
      <c r="O113" s="185" t="inlineStr">
        <is>
          <t>1-10000 = crp_harv_lastyr
88888-88888 =  crp_harv_lastyr
99999-99999 =  crp_harv_lastyr</t>
        </is>
      </c>
      <c r="P113" s="323" t="n"/>
      <c r="Q113" s="187" t="inlineStr">
        <is>
          <t>For any response, go to crp_harv_lastyr</t>
        </is>
      </c>
      <c r="R113" s="505" t="inlineStr"/>
      <c r="S113" s="739" t="n"/>
      <c r="T113" s="132">
        <f>'Additional information'!$D$17</f>
        <v/>
      </c>
      <c r="U113" s="133" t="n"/>
      <c r="W113" s="194" t="inlineStr">
        <is>
          <t>no</t>
        </is>
      </c>
      <c r="X113" s="726" t="n"/>
      <c r="AA113" s="735" t="n">
        <v>7.905472755432129</v>
      </c>
      <c r="AB113" s="735">
        <f>IF(AA113="","",AA113*T113)</f>
        <v/>
      </c>
      <c r="AC113" s="133" t="inlineStr"/>
    </row>
    <row r="114" ht="126" customFormat="1" customHeight="1" s="183">
      <c r="A114" s="445" t="n">
        <v>88</v>
      </c>
      <c r="B114" s="503" t="inlineStr">
        <is>
          <t>crp_harv_lastyr</t>
        </is>
      </c>
      <c r="C114" s="503" t="inlineStr">
        <is>
          <t>crp_harv_lastyr</t>
        </is>
      </c>
      <c r="D114" s="508" t="inlineStr">
        <is>
          <t>How many {crp_harv_unit} of [threshed] {crp_main} did you harvest last year during the same season?
[OPERATOR: RECORD THE RESPONSE GIVEN. ENTER 8888888 FOR DON'T KNOW &amp; 9999999 FOR REFUSED, TO BE USED RARELY - PROBE!]</t>
        </is>
      </c>
      <c r="E114" s="186">
        <f>LEN(D114)</f>
        <v/>
      </c>
      <c r="F114" s="508" t="inlineStr">
        <is>
          <t>Combien de {crp_harv_unit} de {crp_main} [battu] avez-vous récolté l'année dernière au cours de la même saison?
[OPÉRATEUR/OPÉRATRICE: SAISIR LA RÉPONSE DONNÉE. ENTRER 8888888 POUR «NE SAIT PAS» ET 9999999 POUR «REFUSÉ», À UTILISER LE MOINS POSSIBLE - DEMANDER DES PRÉCISIONS!]</t>
        </is>
      </c>
      <c r="G114" s="186">
        <f>LEN(F114)</f>
        <v/>
      </c>
      <c r="H114" s="160" t="inlineStr">
        <is>
          <t>Ni {crp_harv_unit} ngapi ya {crp_main} ulivuna mwaka jana katika msimu huo ?
[OPERATOR: REKODI MAJIBU ULIYOPEWA. INGIA 8888888 KWA SIJUE &amp; 9999999 KWA KUKATALA, ILI KUTUMIWA MARA KWA MARA - PROBE!]</t>
        </is>
      </c>
      <c r="I114" s="186">
        <f>LEN(H114)</f>
        <v/>
      </c>
      <c r="J114" s="504" t="inlineStr">
        <is>
          <t>Range</t>
        </is>
      </c>
      <c r="K114" s="186" t="inlineStr">
        <is>
          <t>NA</t>
        </is>
      </c>
      <c r="L114" s="186" t="inlineStr">
        <is>
          <t>NA</t>
        </is>
      </c>
      <c r="M114" s="186" t="inlineStr">
        <is>
          <t>Form Type - TextBox</t>
        </is>
      </c>
      <c r="N114" s="152" t="inlineStr">
        <is>
          <t>NA</t>
        </is>
      </c>
      <c r="O114" s="185" t="inlineStr">
        <is>
          <t>1-1000000 = crp_proddif
8888888-8888888 = crp_proddif
9999999-9999999 = crp_proddif</t>
        </is>
      </c>
      <c r="P114" s="323" t="n"/>
      <c r="Q114" s="187" t="inlineStr">
        <is>
          <t>For any response, go to crp_proddif</t>
        </is>
      </c>
      <c r="R114" s="505" t="inlineStr"/>
      <c r="S114" s="740" t="n"/>
      <c r="T114" s="132">
        <f>'Additional information'!$D$17</f>
        <v/>
      </c>
      <c r="U114" s="133" t="n"/>
      <c r="W114" s="194" t="inlineStr">
        <is>
          <t>no</t>
        </is>
      </c>
      <c r="X114" s="726" t="n"/>
      <c r="AA114" s="735" t="n">
        <v>16.43597793579102</v>
      </c>
      <c r="AB114" s="735">
        <f>IF(AA114="","",AA114*T114)</f>
        <v/>
      </c>
      <c r="AC114" s="133" t="inlineStr"/>
    </row>
    <row r="115" ht="189" customFormat="1" customHeight="1" s="183">
      <c r="A115" s="445" t="n">
        <v>89</v>
      </c>
      <c r="B115" s="158" t="inlineStr">
        <is>
          <t>crp_proddif</t>
        </is>
      </c>
      <c r="C115" s="156" t="inlineStr">
        <is>
          <t>crp_proddif</t>
        </is>
      </c>
      <c r="D115" s="157" t="inlineStr">
        <is>
          <t>Has your household faced any significant difficulty in terms of crop production in Rainy season?
[OPERATOR: SINGLE RESPONSE.]
1)YES
2)NO
3)DON'T KNOW
4)REFUSED</t>
        </is>
      </c>
      <c r="E115" s="158">
        <f>LEN(D115)</f>
        <v/>
      </c>
      <c r="F115" s="159" t="inlineStr">
        <is>
          <t>Votre ménage a-t-il rencontré d'importantes difficultés en matière de production végétale au cours de la Saison des pluies ?
[OPÉRATEUR/OPÉRATRICE: RÉPONSE UNIQUE.]
1)OUI
2)NON
3)NE SAIT PAS
4)REFUSÉ</t>
        </is>
      </c>
      <c r="G115" s="158">
        <f>LEN(F115)</f>
        <v/>
      </c>
      <c r="H115" s="160" t="inlineStr">
        <is>
          <t>Kaya yako imekabiliwa na ugumu wowote katika suala la uzalishaji wa mazao katika msimu wa mvula?
[OPERATOR: JIBU MOJA.]
1)NDIYO
2)HAPANA
3)SIJUE
4)KUKATALA</t>
        </is>
      </c>
      <c r="I115" s="158">
        <f>LEN(H115)</f>
        <v/>
      </c>
      <c r="J115" s="161" t="inlineStr">
        <is>
          <t>Single Choice</t>
        </is>
      </c>
      <c r="K115" s="158" t="inlineStr">
        <is>
          <t>NA</t>
        </is>
      </c>
      <c r="L115" s="158" t="inlineStr">
        <is>
          <t>NA</t>
        </is>
      </c>
      <c r="M115" s="158" t="inlineStr">
        <is>
          <t>Form Type - Buttons</t>
        </is>
      </c>
      <c r="N115" s="149" t="inlineStr">
        <is>
          <t>NA</t>
        </is>
      </c>
      <c r="O115" s="162" t="inlineStr">
        <is>
          <t>1 = crp_proddif_2
2-4 = crp_storage</t>
        </is>
      </c>
      <c r="P115" s="163" t="n"/>
      <c r="Q115" s="162" t="inlineStr">
        <is>
          <t>if crp_proddif = 1, go to crp_proddif_2 ; 
if crp_proddif = 2-4, go to [crp_salesmain or optional question]</t>
        </is>
      </c>
      <c r="R115" s="181" t="inlineStr"/>
      <c r="S115" s="166" t="n"/>
      <c r="T115" s="132">
        <f>'Additional information'!$D$17</f>
        <v/>
      </c>
      <c r="U115" s="133" t="n"/>
      <c r="W115" s="208" t="inlineStr">
        <is>
          <t>yes</t>
        </is>
      </c>
      <c r="X115" s="726" t="n"/>
      <c r="AA115" s="734" t="n">
        <v>11.37532997131348</v>
      </c>
      <c r="AB115" s="734">
        <f>IF(AA115="","",AA115*T115)</f>
        <v/>
      </c>
      <c r="AC115" s="133" t="inlineStr"/>
    </row>
    <row r="116" ht="409.5" customFormat="1" customHeight="1" s="183">
      <c r="A116" s="445" t="n">
        <v>90</v>
      </c>
      <c r="B116" s="287" t="inlineStr">
        <is>
          <t>crp_proddif_2</t>
        </is>
      </c>
      <c r="C116" s="282" t="inlineStr">
        <is>
          <t>crp_proddif_
1) crp_proddif_plant_disease
2) crp_proddif_pest_outbreak
3) crp_proddif_animal_grazing
4) crp_proddif_access_plot
5) crp_proddif_access_fertilize
6) crp_proddif_seed_quality
7) crp_proddif_seed_quantity
8) crp_proddif_access_pesticide
9) crp_proddif_access_labour
10) crp_proddif_access_machinery
11) crp_proddif_access_fuel
12) crp_proddif_soil_erosion
13) crp_proddif_lack_irrigation
14) crp_proddif_excess_water
15) crp_proddif_access_credit
16) crp_proddif_other
17) crp_proddif_dk
18) crp_proddif_ref</t>
        </is>
      </c>
      <c r="D116" s="173" t="inlineStr">
        <is>
          <t>Which difficulty has your household faced with crop production in Rainy season?
[OPERATOR: MULTIPLE RESPONSES POSSIBLE. SELECT OPTION(S) THAT BEST FIT THE INFORMATION PROVIDED BY THE RESPONDENTS.]
1)Plant disease 
2)Pest outbreak [including birds]
3)Uncontrolled animal grazing
4)Access to plot
5)Access to fertilizer [not available on markets or prices too high]
6)Access to quality seeds
7)Access to enough seeds [not available on markets or prices too high]
8)Access to pesticides
9)Access to manpower labour
10)Access to machinery/ tools or animals for ploughing
11)Access to fuel or electricity to power agricultural equipment
12)Soil erosion
13)Not enough irrigation / rainfall water
14)Too much irrigation / water 
15)Access to credit
16)Other
17)DON'T KNOW
18)REFUSED</t>
        </is>
      </c>
      <c r="E116" s="288">
        <f>LEN(D116)</f>
        <v/>
      </c>
      <c r="F116" s="159" t="inlineStr">
        <is>
          <t>Quelles difficultés votre ménage a-t-il rencontrées dans la production végétale au cours de Saison des pluies?
[OPÉRATEUR/OPÉRATRICE: PLUSIEURS RÉPONSES POSSIBLES. SÉLECTIONNER LA/LES OPTIONS CORRESPONDANT LE MIEUX AUX INFORMATIO`NS DONNÉES PAR LE RÉPONDANT.]
1)Maladie des plantes
2)Invasion d'organismes nuisibles [dont oiseaux]
3)Pâturage incontrôlé d'animaux
4)Accès à la parcelle
5)Accès aux engrais [non disponibles sur les marchés ou prix trop élevés]
6)Accès à des semences de qualité
7)Accès à des semences en quantité suffisante [non disponibles sur les marchés ou prix trop élevés]
8)Accès aux pesticides
9)Accès à la main-d'œuvre
10)Accès aux machines/ outils ou animaux pour labourer
11)Accès au carburant ou à l'électricité pour alimenter les équipements agricoles
12)Érosion des sols
13)Eau d'irrigation ou pluie insuffisante
14)Eau d'irrigation ou pluie trop abondante
15)Accès au crédit
16)Autre
17)NE SAIT PAS
18)REFUSÉ</t>
        </is>
      </c>
      <c r="G116" s="288">
        <f>LEN(F116)</f>
        <v/>
      </c>
      <c r="H116" s="160" t="inlineStr">
        <is>
          <t>Kaya yako imekumbana na ugumu gani wa uzalishaji wa mazao katika msimu wa mvula?
[OPERATOR: MAJIBU MENGI YANAWEZEKANA. CHAGUA CHAGUO LINALOFAA VYEMA NA MAELEZO ILIYOTOLEWA NA WAHOJIWA.]
1)Ugonjwa wa mimea
2)Mlipuko wa wadudu [pamoja na ndege]
3)Malisho ya mifugo yasiyodhibitiwa
4)Upatikanaji wa njama
5)Upatikanaji wa mbolea [haipatikani sokoni au bei ya juu sana]
6)Upatikanaji wa mbegu bora
7)Upatikanaji wa mbegu za kutosha [hazipatikani sokoni au bei ya juu sana]
8)Upatikanaji wa viuatilifu
9)Upatikanaji wa nguvu kazi
10)Upatikanaji wa mashine/ zana au wanyama wa kulimia
11)Upatikanaji wa mafuta au umeme wa kusambaza vifaa vya kilimo
12)Mmomonyoko wa udongo
13)Kutokuwepo kwa umwagiliaji/maji ya mvua ya kutosha
14)Umwagiliaji/maji kupita kiasi
15)Upatikanaji wa mkopo
16)Yingine
17)SIJUE
18)KUKATALA</t>
        </is>
      </c>
      <c r="I116" s="288">
        <f>LEN(H116)</f>
        <v/>
      </c>
      <c r="J116" s="156" t="inlineStr">
        <is>
          <t>Select All That Apply</t>
        </is>
      </c>
      <c r="K116" s="288" t="inlineStr">
        <is>
          <t>NA</t>
        </is>
      </c>
      <c r="L116" s="288" t="inlineStr">
        <is>
          <t>NA</t>
        </is>
      </c>
      <c r="M116" s="288" t="inlineStr">
        <is>
          <t>Form Type - Checklist
17,18 = IsNone</t>
        </is>
      </c>
      <c r="N116" s="149" t="inlineStr">
        <is>
          <t>1)crp_proddif_plant_disease
2)crp_proddif_pest_outbreak
3)crp_proddif_animal_grazing
4)crp_proddif_access_plot
5)crp_proddif_access_fertilize
6)crp_proddif_seed_quality
7)crp_proddif_seed_quantity
8)crp_proddif_access_pesticide
9)crp_proddif_access_labour
10)crp_proddif_access_machinery
11)crp_proddif_access_fuel
12)crp_proddif_soil_erosion
13)crp_proddif_lack_irrigation
14)crp_proddif_excess_water
15)crp_proddif_access_credit
16)crp_proddif_other
17)crp_proddif_dk
18)crp_proddif_ref</t>
        </is>
      </c>
      <c r="O116" s="509" t="inlineStr">
        <is>
          <t>1-18 = crp_storage</t>
        </is>
      </c>
      <c r="P116" s="202" t="n"/>
      <c r="Q116" s="157" t="inlineStr">
        <is>
          <t>if crp_proddif_2 = 1-18, go to [crp_salesmain OR optional question]</t>
        </is>
      </c>
      <c r="R116" s="181" t="inlineStr"/>
      <c r="S116" s="166" t="n"/>
      <c r="T116" s="132">
        <f>'Additional information'!$D$17</f>
        <v/>
      </c>
      <c r="U116" s="133" t="n"/>
      <c r="W116" s="208" t="inlineStr">
        <is>
          <t>yes</t>
        </is>
      </c>
      <c r="X116" s="726" t="n"/>
      <c r="AA116" s="734" t="n">
        <v>25.84499931335449</v>
      </c>
      <c r="AB116" s="734">
        <f>IF(AA116="","",AA116*T116)</f>
        <v/>
      </c>
      <c r="AC116" s="133" t="inlineStr"/>
    </row>
    <row r="117" ht="320.5" customFormat="1" customHeight="1" s="183">
      <c r="A117" s="445" t="n">
        <v>91</v>
      </c>
      <c r="B117" s="320" t="inlineStr">
        <is>
          <t>crp_storage</t>
        </is>
      </c>
      <c r="C117" s="320" t="inlineStr">
        <is>
          <t>crp_storage</t>
        </is>
      </c>
      <c r="D117" s="185" t="inlineStr">
        <is>
          <t>Last year, what proportion of your {crp_main} stock did you lose [to pests, rotting, theft, conflict, mould, etc.] after the harvest?
[OPERATOR: SINGLE RESPONSE.]
1)None
2)A little
3)An important part of it but less than half
4)Most of it [half or more]
5)Almost everything 
6)Everything
7)DON'T KNOW
8)REFUSED</t>
        </is>
      </c>
      <c r="E117" s="186">
        <f>LEN(D117)</f>
        <v/>
      </c>
      <c r="F117" s="185" t="inlineStr">
        <is>
          <t>L'année dernière, quelle part du stock de votre {crp_main} avez-vous perdue [en raison des parasites, de la pourriture, de la moisissure, des vols, des conflits,  etc.] après la récolte?
[OPÉRATEUR/OPÉRATRICE: RÉPONSE UNIQUE.]
1)Aucune
2)Une petite part
3)Une part importante mais moins de la moitié
4)Une grande part [la moitié ou plus]
5)La presque totalité 
6)La totalité
7)NE SAIT PAS
8)REFUSÉ</t>
        </is>
      </c>
      <c r="G117" s="186">
        <f>LEN(F117)</f>
        <v/>
      </c>
      <c r="H117" s="160" t="inlineStr">
        <is>
          <t>Mwaka jana, ni sehemu gani ya hisa yako ya {crp_main} ulipoteza [na wadudu, wanaooza, ukungu, buizi, mgorogoro n.k.] baada ya mavuno?
[OPERATOR: JIBU MOJA.]
1)Hakuna
2)Kidogo
3)Sehemu yake muhimu lakini chini ya nusu
4)Nyingi zake [nusu au zaidi]
5)Karibu kila kitu
6)Kila kitu
7)SIJUE
8)KUKATALA</t>
        </is>
      </c>
      <c r="I117" s="186">
        <f>LEN(H117)</f>
        <v/>
      </c>
      <c r="J117" s="322" t="inlineStr">
        <is>
          <t>Single Choice</t>
        </is>
      </c>
      <c r="K117" s="186" t="inlineStr">
        <is>
          <t>NA</t>
        </is>
      </c>
      <c r="L117" s="510" t="inlineStr">
        <is>
          <t>Send if "crp_main" "Equals" "Rice" Or "crp_main" "Equals" "Wheat" Or "crp_main" "Equals" "Millet" Or "crp_main" "Equals" "Sorghum" Or "crp_main" "Equals" "Maize" Or "crp_main" "Equals" "Barley" Or "crp_main" "Equals" "Other Cereal" Or "crp_main" "Equals" "Cassava" Or "crp_main" "Equals" "Potatoe" Or "crp_main" "Equals" "Sweet Potatoes" Or "crp_main" "Equals" "Yams" Or "crp_main" "Equals" "Carrots" Or "crp_main" "Equals" "Cocoyam" Or "crp_main" "Equals" "Other tubers" Or "crp_main" "Equals" "Beans" Or "crp_main" "Equals" "Lentils" Or "crp_main" "Equals" "Peas" Or "crp_main" "Equals" "Soybeans" Or "crp_main" "Equals" "Chickpeas" Or "crp_main" "Equals" "Fava beans" Or "crp_main" "Equals" "Broad beans" Or "crp_main" "Equals" "Other pulses" Or "crp_main" "Equals" "Cabbage" Or "crp_main" "Equals" "Lettuce" Or "crp_main" "Equals" "Spinach-Amaranth" Or "crp_main" "Equals" "Cassava leaves" Or "crp_main" "Equals" "Potatoe leaves" Or "crp_main" "Equals" "Moringa" Or "crp_main" "Equals" "Sorrel Hibiscus / Rosselle" Or "crp_main" "Equals" "Green salad herbs [thyme/ parsley/ mint/ rocca/ other]" Or "crp_main" "Equals" "Cauliflower" Or "crp_main" "Equals" "Other leafy vegetables" Or "crp_main" "Equals" "Tomatoes" Or "crp_main" "Equals" "Cucumber" Or "crp_main" "Equals" "Pumpkin" Or "crp_main" "Equals" "Eggplant/aubergine" Or "crp_main" "Equals" "Zucchini" Or "crp_main" "Equals" "Okra" Or "crp_main" "Equals" "Bell pepper" Or "crp_main" "Equals" "Onions" Or "crp_main" "Equals" "Haricot" Or "crp_main" "Equals" "Green peas" Or "crp_main" "Equals" "Fava beans green" Or "crp_main" "Equals" "Other non leafy vegs" Or "crp_main" "Equals" "Orange" Or "crp_main" "Equals" "Lemon" Or "crp_main" "Equals" "Grapefruit" Or "crp_main" "Equals" "Mandarins/clementines" Or "crp_main" "Equals" "Other citrus fruit" Or "crp_main" "Equals" "Sweet Banana" Or "crp_main" "Equals" "Plantains" Or "crp_main" "Equals" "Papaya" Or "crp_main" "Equals" "Mango" Or "crp_main" "Equals" "Guava" Or "crp_main" "Equals" "Pineapple" Or "crp_main" "Equals" "Avocado" Or "crp_main" "Equals" "Water Melon" Or "crp_main" "Equals" "Dates" Or "crp_main" "Equals" "Figs" Or "crp_main" "Equals" "Grapes" Or "crp_main" "Equals" "Olives" Or "crp_main" "Equals" "Apple" Or "crp_main" "Equals" "Apricot" Or "crp_main" "Equals" "Cherries" Or "crp_main" "Equals" "Peach/nectarine" Or "crp_main" "Equals" "Strawberries" Or "crp_main" "Equals" "Melon [Cantaloupe]" Or "crp_main" "Equals" "Other fruit" Or "crp_main" "Equals" "Coconuts" Or "crp_main" "Equals" "Groundnut/peanut" Or "crp_main" "Equals" "Cashew Nut" Or "crp_main" "Equals" "Kola Nut" Or "crp_main" "Equals" "Sesame" Or "crp_main" "Equals" "Bambara nut" Or "crp_main" "Equals" "Almond" Or "crp_main" "Equals" "Walnut" Or "crp_main" "Equals" "Other nuts" Or "crp_main" "Equals" "Cocoa" Or "crp_main" "Equals" "Coffee" Or "crp_main" "Equals" "Tea" Or "crp_main" "Equals" "Sugarcane" Or "crp_main" "Equals" "Sunflower" Or "crp_main" "Equals" "Other food cash crop" Or "crp_main" "Equals" "Cotton" Or "crp_main" "Equals" "Rubber" Or "crp_main" "Equals" "Jute" Or "crp_main" "Equals" "Fodder" Or "crp_main" "Equals" "Tobacco" Or "crp_main" "Equals" "Qat" Or "crp_main" "Equals" "Other non-food cash crop" if not satisfied go to "crp_salesmain",</t>
        </is>
      </c>
      <c r="M117" s="186" t="inlineStr">
        <is>
          <t>Form Type - Buttons</t>
        </is>
      </c>
      <c r="N117" s="152" t="inlineStr">
        <is>
          <t>NA</t>
        </is>
      </c>
      <c r="O117" s="185" t="inlineStr">
        <is>
          <t>1 = crp_salesmain
2-8 = crp_storage_reason</t>
        </is>
      </c>
      <c r="P117" s="323" t="n"/>
      <c r="Q117" s="185" t="inlineStr">
        <is>
          <t>if the respondent has listed any crop as a main crop, they will be administered this question. If not, they will be sent to the crop marketing module, since the rest of the questions reference the main crop specifically in the question text. 
if crp_storage =  1-8, go to crp_salesmain or optional question</t>
        </is>
      </c>
      <c r="R117" s="190" t="inlineStr"/>
      <c r="S117" s="166" t="n"/>
      <c r="T117" s="132">
        <f>'Additional information'!$D$17</f>
        <v/>
      </c>
      <c r="U117" s="133" t="n"/>
      <c r="W117" s="194" t="inlineStr">
        <is>
          <t>no</t>
        </is>
      </c>
      <c r="X117" s="726" t="n"/>
      <c r="AA117" s="735" t="n">
        <v>12.18603706359863</v>
      </c>
      <c r="AB117" s="735">
        <f>IF(AA117="","",AA117*T117)</f>
        <v/>
      </c>
      <c r="AC117" s="133" t="inlineStr"/>
    </row>
    <row r="118" ht="350.5" customFormat="1" customHeight="1" s="183" thickBot="1">
      <c r="A118" s="445" t="n">
        <v>92</v>
      </c>
      <c r="B118" s="282" t="inlineStr">
        <is>
          <t>crp_storage_reason</t>
        </is>
      </c>
      <c r="C118" s="320" t="inlineStr">
        <is>
          <t>crp_storage_reasons
1)crp_storage_pests
2)crp_storage_rot
3)crp_storage_mould
4)crp_storage_theft
5)crp_storage_natdisaster
6)crp_storage_animals
7)crp_storage_intdestruction
8)crp_storage_other
9)crp_storage_dk
10)crp_storage_ref</t>
        </is>
      </c>
      <c r="D118" s="185" t="inlineStr">
        <is>
          <t>What was the reason for your stock loss after the harvest?
[OPERATOR: MULTIPLE RESPONSES POSSIBLE.]
1)Pests
2)Rotting
3)Mould
4)Theft
5)Destruction by disaster [e.g. flood]
6)Destruction by animals
7)Intentional destruction of storage [e.g. burned]
8)Other [specify]
9)DON'T KNOW
10)REFUSED</t>
        </is>
      </c>
      <c r="E118" s="186">
        <f>LEN(D118)</f>
        <v/>
      </c>
      <c r="F118" s="185" t="inlineStr">
        <is>
          <t>Pour quelles raisons avez vous perdu du stock après la récolte?
[OPÉRATEUR/OPÉRATRICE: PLUSIEURS RÉPONSES POSSIBLES].
1)Ravageurs
2)Pourriture
3)Moisissure
4)Vol
5)Destruction par une catastrophe [par ex une inondation].
6)Destruction par des animaux
7)Destruction intentionnelle de l'entrepôt [par ex incendie].
8)Autre [préciser]
9)NE SAIT PAS
10)REFUSÉ</t>
        </is>
      </c>
      <c r="G118" s="186">
        <f>LEN(F118)</f>
        <v/>
      </c>
      <c r="H118" s="160" t="inlineStr">
        <is>
          <t>Kwa nini ulipoteza hisa baada ya kuvuna?
[OPERATOR: MAJIBU KADHAA YANAWEZEKANA].
1)Wadudu
2)Uozo
3)Ukungu
4)Wizi
5)Kuangamizwa kwa maafa [k.m./mafuriko]
6)Kuangamizwa na wanyama
7)Kuharibu ghala kimakusudi [k.m./moto]
8)Nyingine [taja]
9)SIJUE HAJUI
10)KUKATALA</t>
        </is>
      </c>
      <c r="I118" s="186">
        <f>LEN(H118)</f>
        <v/>
      </c>
      <c r="J118" s="282" t="inlineStr">
        <is>
          <t>Open Ended-Select All That Apply</t>
        </is>
      </c>
      <c r="K118" s="282" t="inlineStr">
        <is>
          <t>NA</t>
        </is>
      </c>
      <c r="L118" s="511" t="inlineStr">
        <is>
          <t>NA</t>
        </is>
      </c>
      <c r="M118" s="186" t="inlineStr">
        <is>
          <t>Form Type - Checklist
9,10 = IsNone</t>
        </is>
      </c>
      <c r="N118" s="165" t="inlineStr">
        <is>
          <t>1)crp_storage_pests
2)crp_storage_rot
3)crp_storage_mould
4)crp_storage_theft
5)crp_storage_natdisaster
6)crp_storage_animals
7)crp_storage_intdestruction
8)crp_storage_other
9)crp_storage_dk
10)crp_storage_ref</t>
        </is>
      </c>
      <c r="O118" s="192" t="inlineStr">
        <is>
          <t>1-10 = crp_salesmain</t>
        </is>
      </c>
      <c r="P118" s="462" t="n"/>
      <c r="Q118" s="190" t="inlineStr">
        <is>
          <t>For any response, go to crp_salesmain or optional question</t>
        </is>
      </c>
      <c r="R118" s="512" t="inlineStr"/>
      <c r="S118" s="166" t="n"/>
      <c r="T118" s="132" t="n"/>
      <c r="U118" s="133" t="n"/>
      <c r="W118" s="194" t="inlineStr"/>
      <c r="X118" s="726" t="n"/>
      <c r="AA118" s="735" t="n"/>
      <c r="AB118" s="735" t="n"/>
      <c r="AC118" s="133" t="inlineStr"/>
    </row>
    <row r="119" ht="21.5" customFormat="1" customHeight="1" s="207" thickBot="1">
      <c r="A119" s="710" t="inlineStr">
        <is>
          <t>D. CROP MARKETING</t>
        </is>
      </c>
      <c r="B119" s="732" t="n"/>
      <c r="C119" s="732" t="n"/>
      <c r="D119" s="732" t="n"/>
      <c r="E119" s="732" t="n"/>
      <c r="F119" s="732" t="n"/>
      <c r="G119" s="732" t="n"/>
      <c r="H119" s="732" t="n"/>
      <c r="I119" s="732" t="n"/>
      <c r="J119" s="732" t="n"/>
      <c r="K119" s="732" t="n"/>
      <c r="L119" s="732" t="n"/>
      <c r="M119" s="732" t="n"/>
      <c r="N119" s="732" t="n"/>
      <c r="O119" s="732" t="n"/>
      <c r="P119" s="732" t="n"/>
      <c r="Q119" s="732" t="n"/>
      <c r="R119" s="732" t="n"/>
      <c r="S119" s="733" t="n"/>
      <c r="T119" s="205" t="n"/>
      <c r="U119" s="206" t="n"/>
      <c r="W119" s="208" t="n"/>
      <c r="X119" s="209" t="n"/>
      <c r="AA119" s="734" t="n"/>
      <c r="AB119" s="734">
        <f>IF(AA119="","",AA119*T119)</f>
        <v/>
      </c>
      <c r="AC119" s="206">
        <f>IF(W119="yes",AB119,"")</f>
        <v/>
      </c>
    </row>
    <row r="120" ht="408" customFormat="1" customHeight="1" s="183">
      <c r="A120" s="155" t="n">
        <v>93</v>
      </c>
      <c r="B120" s="498" t="inlineStr">
        <is>
          <t>crp_salesmain</t>
        </is>
      </c>
      <c r="C120" s="498" t="inlineStr">
        <is>
          <t>crp_salesmain</t>
        </is>
      </c>
      <c r="D120" s="513" t="inlineStr">
        <is>
          <t>What has been the main crop that you have sold over the last 3 months?
[OPERATOR: SELECT ALL CROPS LISTED BY THE RESPONDENT.]
1)Millet
2)Sorghum
3)Maize
4)Cassava
5)Potatoe
6)Beans
7)Soybeans
8)Plantains
9)Papaya
10)Groundnut/peanut
11)Coffee
12)Rice
13)Wheat
14)Barley
15)Other Cereal
16)Sweet Potatoes
17)Yams
18)Carrots
19)Cocoyam
20)Other tubers
21)Lentils
22)Peas
23)Chickpeas
24)Fava beans
25)Broad beans
26)Other pulses
27)Cabbage
28)Lettuce
29)Spinach-Amaranth
30)Cassava leaves
31)Potatoe leaves
32)Moringa
33)Sorrel Hibiscus / Rosselle
34)Green salad herbs [thyme/ parsley/ mint/ rocca/ other]
35)Cauliflower
36)Other leafy vegetables
37)Tomatoes
38)Cucumber
39)Pumpkin
40)Eggplant/aubergine
41)Zucchini
42)Okra
43)Bell pepper
44)Onions
45)Haricot
46)Green peas
47)Fava beans green
48)Other non leafy vegs
49)Orange
50)Lemon
51)Grapefruit
52)Mandarins/clementines
53)Other citrus fruit
54)Sweet Banana
55)Mango
56)Guava
57)Pineapple
58)Avocado
59)Water Melon
60)Dates
61)Figs
62)Grapes
63)Olives
64)Apple
65)Apricot
66)Cherries
67)Peach/nectarine
68)Strawberries
69)Melon [Cantaloupe]
70)Other fruit
71)Coconuts
72)Cashew Nut
73)Kola Nut
74)Sesame
75)Bambara nut
76)Almond
77)Walnut
78)Other nuts
79)Cocoa
80)Tea
81)Sugarcane
82)Sunflower
83)Other food cash crop
84)Cotton
85)Rubber
86)Jute
87)Fodder
88)Tobacco
89)Qat
90)Other non-food cash crop
91)DON'T KNOW
92)REFUSED</t>
        </is>
      </c>
      <c r="E120" s="148">
        <f>LEN(D120)</f>
        <v/>
      </c>
      <c r="F120" s="514" t="inlineStr">
        <is>
          <t>Quelle a été la principale récolte que vous avez vendue au cours des 3 derniers mois 
[OPERATEUR /OPÉRATRICE: SÉLECTIONNER TOUTES LES CULTURES LISTÉES PAR LE RÉPONDANT.]
1)Mil
2)Sorgho
3)Maïs
4)Manioc
5)Pommes de terre
6)Haricots
7)Soja
8)Banane plantain
9)Papaye
10)Arachide / cacahuète
11)Café
12)Riz
13)Blé
14)Orge
15)Autres céréales
16)Patates douces
17)Ignames
18)Carottes
19)Chou caraïbe
20)Autres tubercules
21)Lentilles
22)Pois
23)Pois chiches
24)Fève
25)Fève large
26)Autres légumineuses
27)Choux
28)Laitue
29)Epinards-Amaranthe
30)Feuilles de manioc
31)Feuilles de pomme de terre
32)Moringa
33)Oseille Hibiscus / Rosselle
34)Herbes aromatiques [thym/ persil/ menthe/ rocca/ autres]
35)Choux-fleur
36)Autres légumes à feuilles
37)Tomates
38)Concombre
39)Citrouille
40)Aubergines/aubergines
41)Courgettes
42)Okra
43)Poivrons
44)Oignons
45)Haricot 
46)Petit pois
47)Pois fève
48)Autres légumes non feuillus
49)Orange
50)Citron
51)Pamplemousse
52)Tangerine/clémentine
53)Autres agrumes
54)Banane douce
55)Mangue
56)Goyave
57)Ananas
58)Avocat
59)Pastèques
60)Dattes
61)Figues
62)Raisins
63)Olives
64)Pomme
65)Abricot
66)Cerises
67)Pêche/nectarine
68)Fraises
69)Melon
70)Autres fruits
71)Noix de coco
72)Noix de cajou
73)Noix de kola
74)Sésame
75)Noix de bambara
76)Amande
77)Noix
78)Autres fruits à coque
79)Cacao
80)Thé
81)Canne à sucre
82)Tournesol
83)Autres cultures vivrières de rente
84)Coton
85)Caoutchouc
86)Jute
87)Fourrage
88)Tabac
89)Qat
90)Autre culture de rente non alimentaire
91)NE SAIT PAS
92)REFUSÉ</t>
        </is>
      </c>
      <c r="G120" s="148">
        <f>LEN(F120)</f>
        <v/>
      </c>
      <c r="H120" s="160" t="inlineStr">
        <is>
          <t xml:space="preserve">Je, ni zao gani kuu ulilouza katika miezi 3 iliyopita?
[OPERATOR: CHAGUA MAZAO MAKUU YANAYOONESHWA NA MHOJIWA]  
1) Mil
2)Mtama
3) Mahindi
4) Muhogo
5) Viazi
6) Maharage
7) Soya
8) Plantain
9) Papai
10) Karanga / karanga
11) Kahawa
12)Mchele
13)Ngano
14) Shayiri
15)Nafaka zingine
16)Viazi vitamu
17) Magimbi
18)Karoti
19)Kabichi ya Caribbean
20)Mizizi mingine
21) Dengu
22) Mbaazi
23) Njegere
24) Maharage
25) Maharage mapana
26) Mikunde mingine
27) Kabichi
28) lettuce
29) Mchicha-Amaranth
30) Majani ya muhogo
31) Majani ya viazi
32) Mzunze
33) Sorrel Hibiscus / Rosselle
34) Mimea yenye harufu nzuri [thyme/ parsley/ mint/ rocca/ wengine]
35) Cauliflower
36)Mboga nyingine za majani
37)Nyanya
38)Tango
39)Maboga
40)Biringanya/biringani
41) Zucchini
42)Bamia
43)Pilipili
44) Vitunguu
45) Maharage
46) Mbaazi
47) Maharage ya pea
48)Mboga nyingine zisizo za majani
49) Chungwa
50)Ndimu
51) Zabibu
52)Tangerine/clementine
53)Matunda mengine ya machungwa
54)Ndizi tamu
55)Embe
56) Guava
57)Nanasi
58)Wakili
59)Matikiti maji
60)Tarehe
61)Mtini
62) Zabibu
63)Mizeituni
64) Apple
65)Parachichi
66) Cherry
67)Peach/nectarine
68)Stroberi
69) Tikitikiti
70)Matunda mengine
71)Nazi
72)Korosho
73) Kola karanga
74)Ufuta
75)Bambara nuts
76) Almond
77)Karanga
78)Karanga zingine
79)Kakao
80) Chai
81)Sukari
82)Alizeti
83)Mazao mengine ya chakula cha biashara
84)Pamba
85)Mpira
86) Juti
87) Lishe
88)Tumbaku
89)Kati
90)Mazao mengine yasiyo ya chakula
91)SIJUI
92)KUKATALA
</t>
        </is>
      </c>
      <c r="I120" s="148">
        <f>LEN(H120)</f>
        <v/>
      </c>
      <c r="J120" s="276" t="inlineStr">
        <is>
          <t>Single Choice</t>
        </is>
      </c>
      <c r="K120" s="158" t="inlineStr">
        <is>
          <t>NA</t>
        </is>
      </c>
      <c r="L120" s="156" t="inlineStr">
        <is>
          <t>Send if "income_main" "Equals" "Production and sale of staple crops" Or "income_main" "Equals" "Production and sale of vegetable or fruit" Or "income_main" "Equals" "Production and sale of cashcrops" Or "income_sec" "Equals" "Production and sale of staple crops" Or "income_sec" "Equals" "Production and sale of vegetable or fruit" Or "income_sec" "Equals" "Production and sale of cashcrops"  Or "income_third" "Equals" "Production and sale of staple crops" Or "income_third" "Equals" "Production and sale of vegetable or fruit" Or "income_third" "Equals" "Production and sale of cashcrops" if not satisfied go to "ls_intro"</t>
        </is>
      </c>
      <c r="M120" s="686" t="inlineStr">
        <is>
          <t>Form Type - DropDown
IsDemographic - crp_salesmain</t>
        </is>
      </c>
      <c r="N120" s="482" t="inlineStr">
        <is>
          <t>1)1.3
2)1.4
3)1.5
4)2.1
5)2.2
6)3.1
7)3.4
8)7.2
9)7.3
10)8.2
11)9.2
12)1.1
13)1.2
14)1.6
15)1.99
16)2.3
17)2.4
18)2.5
19)2.6
20)2.99
21)3.2
22)3.3
23)3.5
24)3.6
25)3.7
26)3.99
27)4.1
28)4.2
29)4.3
30)4.4
31)4.5
32)4.6
33)4.7
34)4.9
35)4.101
36)4.99
37)5.1
38)5.2
39)5.3
40)5.4
41)5.5
42)5.6
43)5.7
44)5.8
45)5.9
46)5.101
47)5.11
48)5.99
49)6.1
50)6.2
51)6.3
52)6.4
53)6.99
54)7.1
55)7.4
56)7.5
57)7.6
58)7.7
59)7.8
60)7.9
61)7.101
62)7.11
63)7.12
64)7.13
65)7.14
66)7.15
67)7.16
68)7.17
69)7.18
70)7.99
71)8.1
72)8.3
73)8.4
74)8.5
75)8.6
76)8.7
77)8.8
78)8.99
79)9.1
80)9.3
81)9.4
82)9.5
83)9.99
84)10.1
85)10.2
86)10.3
87)10.4
88)10.5
89)10.6
90)10.99
91)888
92)999</t>
        </is>
      </c>
      <c r="O120" s="162" t="inlineStr">
        <is>
          <t>1-90 = crp_salesdif
91-92 = ls_intro</t>
        </is>
      </c>
      <c r="P120" s="163" t="inlineStr">
        <is>
          <t>GeoPoll [5/6/2025]. Removed reference to "No crop sold in the last 3 months" in the operator instructions. 
FAO: ok thanks</t>
        </is>
      </c>
      <c r="Q120" s="162" t="inlineStr">
        <is>
          <t>If either income_main or income_sec or income_third = "Production and sale of staple crops" or "Production and sale of vegetable/ fruit" or "Production and sale of cashcrops (cocoa, tobacco, etc)", then this section will be asked to respondents.
Otherwise, skip to ls_intro.
For any crop selected, go to crp_salesdif
If "Don't know" or "Refused", go to ls_intro</t>
        </is>
      </c>
      <c r="R120" s="190" t="inlineStr"/>
      <c r="S120" s="166" t="n"/>
      <c r="T120" s="132">
        <f>'Additional information'!$D$17</f>
        <v/>
      </c>
      <c r="U120" s="133" t="n"/>
      <c r="W120" s="208" t="inlineStr">
        <is>
          <t>yes</t>
        </is>
      </c>
      <c r="X120" s="726" t="n"/>
      <c r="AA120" s="734" t="n">
        <v>17.61201477050781</v>
      </c>
      <c r="AB120" s="734">
        <f>IF(AA120="","",AA120*T120)</f>
        <v/>
      </c>
      <c r="AC120" s="133" t="inlineStr"/>
    </row>
    <row r="121" ht="189" customFormat="1" customHeight="1" s="183">
      <c r="A121" s="155" t="n">
        <v>94</v>
      </c>
      <c r="B121" s="148" t="inlineStr">
        <is>
          <t>crp_salesdif</t>
        </is>
      </c>
      <c r="C121" s="156" t="inlineStr">
        <is>
          <t>crp_salesdif</t>
        </is>
      </c>
      <c r="D121" s="147" t="inlineStr">
        <is>
          <t>Has your household faced any significant difficulty in the last 3 months selling your {crp_salesmain}?
[OPERATOR: SINGLE RESPONSE.]
1)YES
2)NO
3)DON'T KNOW
4)REFUSED</t>
        </is>
      </c>
      <c r="E121" s="148">
        <f>LEN(D121)</f>
        <v/>
      </c>
      <c r="F121" s="159" t="inlineStr">
        <is>
          <t>Au cours des trois derniers mois, votre ménage a-t-il rencontré d'importantes difficultés pour vendre ses récoltes de {crp_salesmain}?
[OPÉRATEUR/OPÉRATRICE: RÉPONSE UNIQUE.]
1)OUI
2)NON
3)NE SAIT PAS
4)REFUSÉ</t>
        </is>
      </c>
      <c r="G121" s="148">
        <f>LEN(F121)</f>
        <v/>
      </c>
      <c r="H121" s="160" t="inlineStr">
        <is>
          <t>Kaya yako imekumbana na matatizo makubwa katika miezi 3 iliyopita ya kuuza {crp_salesmain} yako?
[OPERATOR: JIBU MOJA.]
1)NDIYO
2)HAPANA
3)SIJUE
4)KUKATALA</t>
        </is>
      </c>
      <c r="I121" s="148">
        <f>LEN(H121)</f>
        <v/>
      </c>
      <c r="J121" s="276" t="inlineStr">
        <is>
          <t>Single Choice</t>
        </is>
      </c>
      <c r="K121" s="148" t="inlineStr">
        <is>
          <t>NA</t>
        </is>
      </c>
      <c r="L121" s="156" t="inlineStr">
        <is>
          <t>NA</t>
        </is>
      </c>
      <c r="M121" s="148" t="inlineStr">
        <is>
          <t>Form Type - Buttons</t>
        </is>
      </c>
      <c r="N121" s="149" t="inlineStr">
        <is>
          <t>NA</t>
        </is>
      </c>
      <c r="O121" s="150" t="inlineStr">
        <is>
          <t>1 = crp_salesdif_2
2-4 = crp_salesprice</t>
        </is>
      </c>
      <c r="P121" s="151" t="n"/>
      <c r="Q121" s="150" t="inlineStr">
        <is>
          <t>if crp_salesdif = 1, go to crp_salesdif_2 ; 
if crp_salesdif = 2-4, go to crp_salesprice</t>
        </is>
      </c>
      <c r="R121" s="223" t="inlineStr"/>
      <c r="S121" s="327" t="n"/>
      <c r="T121" s="132">
        <f>'Additional information'!$D$17</f>
        <v/>
      </c>
      <c r="U121" s="133" t="n"/>
      <c r="W121" s="208" t="inlineStr">
        <is>
          <t>yes</t>
        </is>
      </c>
      <c r="X121" s="726" t="n"/>
      <c r="AA121" s="734" t="n">
        <v>10.45715618133545</v>
      </c>
      <c r="AB121" s="734">
        <f>IF(AA121="","",AA121*T121)</f>
        <v/>
      </c>
      <c r="AC121" s="133" t="inlineStr"/>
    </row>
    <row r="122" ht="409.5" customFormat="1" customHeight="1" s="183">
      <c r="A122" s="155">
        <f>A121+1</f>
        <v/>
      </c>
      <c r="B122" s="498" t="inlineStr">
        <is>
          <t>crp_salesdif_2</t>
        </is>
      </c>
      <c r="C122" s="156" t="inlineStr">
        <is>
          <t>crp_saledif_
1) crp_saledif_marketing_cost
2) crp_saledif_damage_losses
3) crp_saledif_low_demand
4) crp_saledif_pay_delay
5) crp_saledif_low_price
6) crp_saledif_processing
7) crp_saledif_competition
8) crp_saledif_other
9) crp_saledif_dk
10) crp_saledif_ref</t>
        </is>
      </c>
      <c r="D122" s="173" t="inlineStr">
        <is>
          <t>Which difficulties has your household faced in the last 3 months selling your {crp_salesmain}?
[OPERATOR: MULTIPLE RESPONSES POSSIBLE. SELECT OPTION(S) THAT BEST FIT THE INFORMATION PROVIDED BY THE RESPONDENTS.]
1)High transportation or other marketing costs
2)Other difficulties accessing the market [e.g. insecurity/ poor infrastructure etc.]
3)Lack of demand from usual traders or buyers
4)Payment delays from traders / buyers
5)Low selling prices [e.g. compared to input prices / inflation]
6)Difficulty processing product [lack of processing inputs / equipment / etc]
7)Market flooded with products
8)Other
9)DON'T KNOW
10)REFUSED</t>
        </is>
      </c>
      <c r="E122" s="148">
        <f>LEN(D122)</f>
        <v/>
      </c>
      <c r="F122" s="159" t="inlineStr">
        <is>
          <t>Quelles difficultés votre ménage a-t-il rencontrées au cours des trois derniers mois pour vendre ses cultures principales, {crp_salesmain}?
[OPÉRATEUR/OPÉRATRICE: PLUSIEURS RÉPONSES POSSIBLES. SÉLECTIONNER LA OU LES OPTIONS QUI CORRESPONDENT LE MIEUX AUX INFORMATIONS PROPOSÉES PAR LE RÉPONDANT.]
1)Coûts de transport ou autres coûts de commercialisation élevés
2)Autres difficultés d'accès au marché [par ex insécurité/ mauvaises infrastructures etc.]
3)Baisse de la demande des commerçants ou clients habituels
4)Retards de paiement de la part des négociants/acheteurs
5)Faible prix de vente [par exemple par rapport aux prix des intrants / inflation] 
6)Difficulté de transformation de la production [manque d'intrants / d'équipements de transformation / etc.]
7)Marchés saturés
8)Autre
9)NE SAIT PAS
10)REFUSÉ</t>
        </is>
      </c>
      <c r="G122" s="148">
        <f>LEN(F122)</f>
        <v/>
      </c>
      <c r="H122" s="160" t="inlineStr">
        <is>
          <t>Je, kaya yako imekumbana na matatizo gani katika kipindi cha miezi mitatu iliyopita katika kuuza mazao yake makuu, {crp_salesmain}?
[OPERATOR: MAJIBU KADHAA YANAWEZEKANA. CHAGUA CHAGUO LINALOANDIKIANA VIZURI NA MAELEZO ILIYOPENDEKEZWA NA MHOJIWA.]
1)Gharama kubwa za usafirishaji au gharama zingine za uuzaji
2)Matatizo mengine ya upatikanaji wa soko [k.m. ukosefu wa usalama/miundombinu duni/nk.]
3)Kupungua kwa mahitaji kutoka kwa wafanyabiashara au wateja wa kawaida
4)Kuchelewa kwa malipo kutoka kwa wafanyabiashara/wanunuzi
5)Bei ya chini ya kuuza [km. kuhusiana na bei ya pembejeo/ mfumuko wa bei]
6)Ugumu wa kubadilisha uzalishaji [ukosefu wa pembejeo / vifaa vya usindikaji / nk]
7)Masoko yaliyojaa
8)Nyingine
9)SIJUI
10)KUKATALA</t>
        </is>
      </c>
      <c r="I122" s="148">
        <f>LEN(H122)</f>
        <v/>
      </c>
      <c r="J122" s="156" t="inlineStr">
        <is>
          <t>Select All That Apply</t>
        </is>
      </c>
      <c r="K122" s="158" t="inlineStr">
        <is>
          <t>NA</t>
        </is>
      </c>
      <c r="L122" s="213" t="inlineStr">
        <is>
          <t>NA</t>
        </is>
      </c>
      <c r="M122" s="158" t="inlineStr">
        <is>
          <t>Form Type - Checklist
9,10 = IsNone</t>
        </is>
      </c>
      <c r="N122" s="149" t="inlineStr">
        <is>
          <t>1)crp_saledif_marketing_cost
2)crp_saledif_damage_losses
3)crp_saledif_low_demand
4)crp_saledif_pay_delay
5)crp_saledif_low_price
6)crp_saledif_processing
7)crp_saledif_competition
8)crp_saledif_other
9)crp_saledif_dk
10)crp_saledif_ref</t>
        </is>
      </c>
      <c r="O122" s="162" t="inlineStr">
        <is>
          <t>1-10 = crp_salesprice</t>
        </is>
      </c>
      <c r="P122" s="163" t="n"/>
      <c r="Q122" s="162" t="inlineStr">
        <is>
          <t>if crp_salesdif_2 = 1-10, go to crp_salesprice</t>
        </is>
      </c>
      <c r="R122" s="190" t="inlineStr"/>
      <c r="S122" s="166" t="n"/>
      <c r="T122" s="132">
        <f>'Additional information'!$D$17</f>
        <v/>
      </c>
      <c r="U122" s="133" t="n"/>
      <c r="W122" s="208" t="inlineStr">
        <is>
          <t>yes</t>
        </is>
      </c>
      <c r="X122" s="726" t="n"/>
      <c r="AA122" s="734" t="n">
        <v>20.76996231079102</v>
      </c>
      <c r="AB122" s="734">
        <f>IF(AA122="","",AA122*T122)</f>
        <v/>
      </c>
      <c r="AC122" s="133" t="inlineStr"/>
    </row>
    <row r="123" ht="273.5" customFormat="1" customHeight="1" s="183" thickBot="1">
      <c r="A123" s="155">
        <f>A122+1</f>
        <v/>
      </c>
      <c r="B123" s="498" t="inlineStr">
        <is>
          <t>crp_salesprice</t>
        </is>
      </c>
      <c r="C123" s="156" t="inlineStr">
        <is>
          <t>crp_salesprice</t>
        </is>
      </c>
      <c r="D123" s="157" t="inlineStr">
        <is>
          <t>How does the current price of your household's {crp_salesmain} compare to the average price in the same period of last year? 
[OPERATOR: SINGLE RESPONSE. INSIST ON THE MAIN PRODUCT MENTIONED.]
1)A lot more [increased by more than 50%]
2)Slightly more
3)Same
4)Slightly less
5)A lot less [less than half as much]
6)DON'T KNOW
7)REFUSED</t>
        </is>
      </c>
      <c r="E123" s="158">
        <f>LEN(D123)</f>
        <v/>
      </c>
      <c r="F123" s="159" t="inlineStr">
        <is>
          <t>Comment évaluez-vous le prix actuel de {crp_salesmain} de votre ménage par rapport au prix moyen de la même période de l'année dernière? 
[OPÉRATEUR/OPÉRATRICE: RÉPONSE UNIQUE. INSISTER SUR LA PRINCIPALE PRODUCTION MENTIONNÉE]
1)Très supérieur [augmentation de plus de 50%]
2)Légèrement supérieur
3)Identique
4)Légèrement inférieur
5)Très inférieur [moins de la moitié]
6)NE SAIT PAS
7)REFUSÉ</t>
        </is>
      </c>
      <c r="G123" s="158">
        <f>LEN(F123)</f>
        <v/>
      </c>
      <c r="H123" s="160" t="inlineStr">
        <is>
          <t>Bei ya sasa ya {crp_salesmain} ya famille yako ikilinganishwa na bei ya wastani kwa kipindi kama hicho mwaka uliopita, vipi? 
[OPERATOR: JIBU MOJA. sisitiza BIDHAA KUU ILIYOTAJWA.]
1)Mengi zaidi [imeongezeka kwa zaidi ya 50%]
2)Zaidi kidogo
3)Sawa
4)Kidogo kidogo
5)Chini sana [chini ya nusu zaidi]
6)SIJUE
7)KUKATALA</t>
        </is>
      </c>
      <c r="I123" s="158">
        <f>LEN(H123)</f>
        <v/>
      </c>
      <c r="J123" s="161" t="inlineStr">
        <is>
          <t>Single Choice</t>
        </is>
      </c>
      <c r="K123" s="158" t="inlineStr">
        <is>
          <t>NA</t>
        </is>
      </c>
      <c r="L123" s="158" t="inlineStr">
        <is>
          <t>NA</t>
        </is>
      </c>
      <c r="M123" s="158" t="inlineStr">
        <is>
          <t>Form Type - Buttons</t>
        </is>
      </c>
      <c r="N123" s="149" t="inlineStr">
        <is>
          <t>NA</t>
        </is>
      </c>
      <c r="O123" s="423" t="inlineStr">
        <is>
          <t>1-7 = ls_intro</t>
        </is>
      </c>
      <c r="P123" s="476" t="n"/>
      <c r="Q123" s="393" t="inlineStr">
        <is>
          <t>if crp_salesprice = 1-7, go to ls_intro</t>
        </is>
      </c>
      <c r="R123" s="394" t="inlineStr"/>
      <c r="S123" s="166" t="n"/>
      <c r="T123" s="132">
        <f>'Additional information'!$D$17</f>
        <v/>
      </c>
      <c r="U123" s="133" t="n"/>
      <c r="W123" s="208" t="inlineStr">
        <is>
          <t>yes</t>
        </is>
      </c>
      <c r="X123" s="726" t="n"/>
      <c r="AA123" s="734" t="n">
        <v>23.56972122192383</v>
      </c>
      <c r="AB123" s="734">
        <f>IF(AA123="","",AA123*T123)</f>
        <v/>
      </c>
      <c r="AC123" s="133" t="inlineStr"/>
    </row>
    <row r="124" ht="21.5" customFormat="1" customHeight="1" s="207" thickBot="1">
      <c r="A124" s="710" t="inlineStr">
        <is>
          <t>E. LIVESTOCK PRODUCTION</t>
        </is>
      </c>
      <c r="B124" s="732" t="n"/>
      <c r="C124" s="732" t="n"/>
      <c r="D124" s="732" t="n"/>
      <c r="E124" s="732" t="n"/>
      <c r="F124" s="732" t="n"/>
      <c r="G124" s="732" t="n"/>
      <c r="H124" s="732" t="n"/>
      <c r="I124" s="732" t="n"/>
      <c r="J124" s="732" t="n"/>
      <c r="K124" s="732" t="n"/>
      <c r="L124" s="732" t="n"/>
      <c r="M124" s="732" t="n"/>
      <c r="N124" s="732" t="n"/>
      <c r="O124" s="732" t="n"/>
      <c r="P124" s="732" t="n"/>
      <c r="Q124" s="732" t="n"/>
      <c r="R124" s="732" t="n"/>
      <c r="S124" s="733" t="n"/>
      <c r="T124" s="205" t="n"/>
      <c r="U124" s="206" t="n"/>
      <c r="W124" s="208" t="n"/>
      <c r="X124" s="209" t="n"/>
      <c r="AA124" s="734" t="n"/>
      <c r="AB124" s="734">
        <f>IF(AA124="","",AA124*T124)</f>
        <v/>
      </c>
      <c r="AC124" s="206">
        <f>IF(W124="yes",AB124,"")</f>
        <v/>
      </c>
    </row>
    <row r="125" ht="273" customFormat="1" customHeight="1" s="183">
      <c r="A125" s="145">
        <f>A123+1</f>
        <v/>
      </c>
      <c r="B125" s="515" t="inlineStr">
        <is>
          <t>ls_intro</t>
        </is>
      </c>
      <c r="C125" s="515" t="inlineStr">
        <is>
          <t>ls_intro</t>
        </is>
      </c>
      <c r="D125" s="516" t="inlineStr">
        <is>
          <t>We will now ask you some questions about livestock production which apply to you and anyone in your household that is involved in livestock production or sales. 
1)CONTINUE</t>
        </is>
      </c>
      <c r="E125" s="148">
        <f>LEN(D125)</f>
        <v/>
      </c>
      <c r="F125" s="517" t="inlineStr">
        <is>
          <t>Nous allons maintenant vous poser quelques questions sur la production animale. Ces questions s'appliquent à vous et à toute personne de votre ménage impliquée dans la production ou la vente de bétail. 
1)CONTINUER</t>
        </is>
      </c>
      <c r="G125" s="148">
        <f>LEN(F125)</f>
        <v/>
      </c>
      <c r="H125" s="160" t="inlineStr">
        <is>
          <t>Sasa tutakuuliza baadhi ya maswali kuhusu uzalishaji wa mifugo ambayo yanakuhusu wewe na mtu yeyote katika kaya yako anayejihusisha na uzalishaji au mauzo ya mifugo.
1)ENDELEA</t>
        </is>
      </c>
      <c r="I125" s="148">
        <f>LEN(H125)</f>
        <v/>
      </c>
      <c r="J125" s="148" t="inlineStr">
        <is>
          <t>Single Choice</t>
        </is>
      </c>
      <c r="K125" s="148" t="inlineStr">
        <is>
          <t>NA</t>
        </is>
      </c>
      <c r="L125" s="148" t="inlineStr">
        <is>
          <t>Send if "hh_agricactivity" "Equals" "Yes - livestock production" Or "hh_agricactivity" "Equals" "Yes - both crop and livestock production" Or "income_main_ls_check" "Equals" "YES" Or "income_sec_ls_check" "Equals" "YES" Or "income_third_ls_check" "Equals" "YES" if not satisfied go to "ls_salesmain"</t>
        </is>
      </c>
      <c r="M125" s="148" t="inlineStr">
        <is>
          <t>Form Type - Buttons</t>
        </is>
      </c>
      <c r="N125" s="149" t="inlineStr">
        <is>
          <t>NA</t>
        </is>
      </c>
      <c r="O125" s="150" t="inlineStr">
        <is>
          <t>1 = ls_main</t>
        </is>
      </c>
      <c r="P125" s="151" t="n"/>
      <c r="Q125" s="393" t="inlineStr">
        <is>
          <t>If hh_agricactivity = "Yes - livestock production" or "Yes - both crop and livestock production" or if they reported production and sales of livestocks in one of the three main income sources and confirmed that they are involved in production, then this section will be administered to respondents.
Otherwise, skip to ls_salesmain.</t>
        </is>
      </c>
      <c r="R125" s="394" t="inlineStr"/>
      <c r="S125" s="153" t="n"/>
      <c r="T125" s="205">
        <f>'Additional information'!$D$18</f>
        <v/>
      </c>
      <c r="U125" s="133" t="n"/>
      <c r="W125" s="208" t="inlineStr">
        <is>
          <t>yes</t>
        </is>
      </c>
      <c r="X125" s="726" t="n"/>
      <c r="AA125" s="734" t="n">
        <v>4.50195837020874</v>
      </c>
      <c r="AB125" s="734">
        <f>IF(AA125="","",AA125*T125)</f>
        <v/>
      </c>
      <c r="AC125" s="133" t="inlineStr"/>
    </row>
    <row r="126" ht="409.5" customFormat="1" customHeight="1" s="183">
      <c r="A126" s="145">
        <f>A125+1</f>
        <v/>
      </c>
      <c r="B126" s="146" t="inlineStr">
        <is>
          <t>ls_main</t>
        </is>
      </c>
      <c r="C126" s="156" t="inlineStr">
        <is>
          <t>ls_main</t>
        </is>
      </c>
      <c r="D126" s="147" t="inlineStr">
        <is>
          <t>What was the main animal raised by your household for food or income generation in the last 12 months?
[OPERATOR: SINGLE RESPONSE. ASK ABOUT THE MOST IMPORTANT ANIMAL ONLY.] [HINT: DON'T FORGET TO PROBE ABOUT TRANSHUMANCE - MOVING LIVESTOCK FROM ONE GRAZING GROUND TO ANOTHER.]
1)Cattle [cow / beef / veal / yak / buffalo]
2)Goat
3)Sheep
4)Swine [pig / boar / hog / etc]
5)Equine [donkey / horse / etc]
6)Small domesticated mammals [rabbits / minks / guinea pigs / etc]
7)Poultry [chicken / guineafowl / duck / quail / turkey / etc]
8)Camelids
9)Other
10)DON'T KNOW
11)REFUSED</t>
        </is>
      </c>
      <c r="E126" s="148">
        <f>LEN(D126)</f>
        <v/>
      </c>
      <c r="F126" s="326" t="inlineStr">
        <is>
          <t>Quel animal votre ménage a-t-il principalement élevé pour se nourrir ou générer des revenus au cours des 12 derniers mois?
[OPÉRATEUR/OPÉRATRICE: RÉPONSE UNIQUE. NE RETENIR QUE L'ANIMAL PRINCIPAL.]
[CONSEIL: N'OUBLIEZ PAS DE POSER DES QUESTIONS SUR LA TRANSHUMANCE - LE DÉPLACEMENT DU BÉTAIL D'UN PÂTURAGE À UN AUTRE.]
1)Bovins [vache / bœuf / veau / yak / buffle]
2)Chèvres
3)Moutons
4)Porcins [cochon / sanglier / porc / etc.]
5)Équidés [âne / cheval / etc]
6)Petits mammifères domestiques [lapin / vison / cochon d'Inde / etc.]
7)Volaille [poulet / pintade / canard / caille / dinde / etc.]
8)Camélidés
9)Autre
10)NE SAIT PAS
11)REFUSÉ</t>
        </is>
      </c>
      <c r="G126" s="148">
        <f>LEN(F126)</f>
        <v/>
      </c>
      <c r="H126" s="160" t="inlineStr">
        <is>
          <t>Ipi kilikuwa kiumbe hai kikuu kinachofugwa na famille yako kwa chakula au kipato katika miezi 12 iliyopita?
[OPERATOR: JIBU MOJA. ULIZA KUHUSU MNYAMA MUHIMU ZAIDI PEKEE.] [DOKEZO: USISAHAU KUFANYA UCHUNGUZI KUHUSU MABADILIKO - KUHAMISHA MIFUGO KUTOKA SHAMBA MOJA LA MALISHO HADI LINGINE.]
1)Ngombe [ng'ombe / nyama ya ngombe / nyama ya ngombe / yak / nyati]
2)Mbuzi
3)Kondoo
4)Ngulube [nguruwe / nguruwe / nguruwe / nk]
5)Farasi [punda / farasi / nk]
6)Mamalia wadogo wanaofugwa [sungura / minki / nguruwe wa Guinea / nk]
7)Kuku [kuku / Ndenge ya guine / bata / kware / Uturuki / nk]
8)Ngamia
9)Yingine
10)SIJUE
11)KUKATALA</t>
        </is>
      </c>
      <c r="I126" s="148">
        <f>LEN(H126)</f>
        <v/>
      </c>
      <c r="J126" s="148" t="inlineStr">
        <is>
          <t>Single Choice</t>
        </is>
      </c>
      <c r="K126" s="148" t="inlineStr">
        <is>
          <t>NA</t>
        </is>
      </c>
      <c r="L126" s="148" t="inlineStr">
        <is>
          <t>NA</t>
        </is>
      </c>
      <c r="M126" s="156" t="inlineStr">
        <is>
          <t>Form Type - Buttons
IsDemographic - ls_main</t>
        </is>
      </c>
      <c r="N126" s="149" t="inlineStr">
        <is>
          <t>NA</t>
        </is>
      </c>
      <c r="O126" s="150" t="inlineStr">
        <is>
          <t>1-9 = ls_num_lastyr
10-11 = ls_proddif</t>
        </is>
      </c>
      <c r="P126" s="151" t="n"/>
      <c r="Q126" s="393" t="inlineStr">
        <is>
          <t>if ls_main = 1-9, go to ls_num_lastyr ; 
If ls_main = 10-11, go to ls_proddif</t>
        </is>
      </c>
      <c r="R126" s="394" t="inlineStr"/>
      <c r="S126" s="327" t="n"/>
      <c r="T126" s="205">
        <f>'Additional information'!$D$18</f>
        <v/>
      </c>
      <c r="U126" s="133" t="n"/>
      <c r="W126" s="208" t="inlineStr">
        <is>
          <t>yes</t>
        </is>
      </c>
      <c r="X126" s="726" t="n"/>
      <c r="AA126" s="734" t="n">
        <v>17.40248489379883</v>
      </c>
      <c r="AB126" s="734">
        <f>IF(AA126="","",AA126*T126)</f>
        <v/>
      </c>
      <c r="AC126" s="133" t="inlineStr"/>
    </row>
    <row r="127" ht="84" customFormat="1" customHeight="1" s="183">
      <c r="A127" s="155">
        <f>A126+1</f>
        <v/>
      </c>
      <c r="B127" s="498" t="inlineStr">
        <is>
          <t>ls_num_lastyr</t>
        </is>
      </c>
      <c r="C127" s="156" t="inlineStr">
        <is>
          <t>ls_num_lastyr</t>
        </is>
      </c>
      <c r="D127" s="687" t="inlineStr">
        <is>
          <t>How many {ls_main} did you have at the same time last year?
[OPERATOR: RECORD THE NUMBER OF ANIMALS. ENTER 88888 FOR DON'T KNOW AND 99999 FOR REFUSED.]</t>
        </is>
      </c>
      <c r="E127" s="158">
        <f>LEN(D127)</f>
        <v/>
      </c>
      <c r="F127" s="326" t="inlineStr">
        <is>
          <t>Combien de {ls_main} possédiez-vous à la même periode il y a un an?
[OPÉRATEUR/OPÉRATRICE: SAISIR LE NOMBRE D'ANIMAUX. ENTREZ 88888 POUR «NE SAIT PAS» ET 99999 POUR «REFUSÉ».]</t>
        </is>
      </c>
      <c r="G127" s="158">
        <f>LEN(F127)</f>
        <v/>
      </c>
      <c r="H127" s="160" t="inlineStr">
        <is>
          <t>Je, ulikuwa na {ls_main} ngapi kwa wakati mmoja mwaka jana?
[OPERATOR: REKODI IDADI YA WANYAMA. INGIA 88888 KWA SIJUE NA 99999 KWA KUKUKATALA.]</t>
        </is>
      </c>
      <c r="I127" s="158">
        <f>LEN(H127)</f>
        <v/>
      </c>
      <c r="J127" s="161" t="inlineStr">
        <is>
          <t>Range</t>
        </is>
      </c>
      <c r="K127" s="158" t="inlineStr">
        <is>
          <t>NA</t>
        </is>
      </c>
      <c r="L127" s="158" t="inlineStr">
        <is>
          <t>NA</t>
        </is>
      </c>
      <c r="M127" s="158" t="inlineStr">
        <is>
          <t>Form Type - TextBox</t>
        </is>
      </c>
      <c r="N127" s="149" t="inlineStr">
        <is>
          <t>NA</t>
        </is>
      </c>
      <c r="O127" s="162" t="inlineStr">
        <is>
          <t>0-10000 = ls_num_now
88888-88888 = ls_num_now
99999-99999 = ls_num_now</t>
        </is>
      </c>
      <c r="P127" s="163" t="n"/>
      <c r="Q127" s="162" t="inlineStr">
        <is>
          <t>answers can range from 0-10000; any response goes to ls_num_now</t>
        </is>
      </c>
      <c r="R127" s="223" t="inlineStr"/>
      <c r="S127" s="166" t="n"/>
      <c r="T127" s="205">
        <f>'Additional information'!$D$18</f>
        <v/>
      </c>
      <c r="U127" s="133" t="n"/>
      <c r="W127" s="208" t="inlineStr">
        <is>
          <t>yes</t>
        </is>
      </c>
      <c r="X127" s="726" t="n"/>
      <c r="AA127" s="734" t="n">
        <v>16.33288192749023</v>
      </c>
      <c r="AB127" s="734">
        <f>IF(AA127="","",AA127*T127)</f>
        <v/>
      </c>
      <c r="AC127" s="133" t="inlineStr"/>
    </row>
    <row r="128" ht="84" customFormat="1" customHeight="1" s="183">
      <c r="A128" s="155">
        <f>A127+1</f>
        <v/>
      </c>
      <c r="B128" s="498" t="inlineStr">
        <is>
          <t>ls_num_now</t>
        </is>
      </c>
      <c r="C128" s="156" t="inlineStr">
        <is>
          <t>ls_num_now</t>
        </is>
      </c>
      <c r="D128" s="422" t="inlineStr">
        <is>
          <t>How many {ls_main} do you have now?
[OPERATOR: RECORD THE NUMBER OF ANIMALS. ENTER 88888 FOR DON'T KNOW AND 99999 FOR REFUSED.]</t>
        </is>
      </c>
      <c r="E128" s="158">
        <f>LEN(D128)</f>
        <v/>
      </c>
      <c r="F128" s="326" t="inlineStr">
        <is>
          <t>Combien de {ls_main} avez-vous maintenant ?
[OPÉRATEUR/OPÉRATRICE: SAISIR LE NOMBRE D'ANIMAUX. ENTREZ 88888 POUR «NE SAIT PAS» ET 99999 POUR «REFUSÉ».]</t>
        </is>
      </c>
      <c r="G128" s="158">
        <f>LEN(F128)</f>
        <v/>
      </c>
      <c r="H128" s="160" t="inlineStr">
        <is>
          <t>Una {ls_main} ngapi sasa?
[OPERATOR: REKODI IDADI YA WANYAMA. INGIA 88888 KWA SIJUE NA 99999 KWA KUKUKATALA.]</t>
        </is>
      </c>
      <c r="I128" s="158">
        <f>LEN(H128)</f>
        <v/>
      </c>
      <c r="J128" s="161" t="inlineStr">
        <is>
          <t>Range</t>
        </is>
      </c>
      <c r="K128" s="158" t="inlineStr">
        <is>
          <t>NA</t>
        </is>
      </c>
      <c r="L128" s="158" t="inlineStr">
        <is>
          <t>NA</t>
        </is>
      </c>
      <c r="M128" s="158" t="inlineStr">
        <is>
          <t>Form Type - TextBox</t>
        </is>
      </c>
      <c r="N128" s="149" t="inlineStr">
        <is>
          <t>NA</t>
        </is>
      </c>
      <c r="O128" s="162" t="inlineStr">
        <is>
          <t>0-10000 = ls_num_change
88888-88888 = ls_num_change
99999-99999 = ls_num_change</t>
        </is>
      </c>
      <c r="P128" s="163" t="n"/>
      <c r="Q128" s="162" t="inlineStr">
        <is>
          <t>answers can range from 0-10000; any response goes to ls_num_change</t>
        </is>
      </c>
      <c r="R128" s="223" t="inlineStr"/>
      <c r="S128" s="166" t="n"/>
      <c r="T128" s="205">
        <f>'Additional information'!$D$18</f>
        <v/>
      </c>
      <c r="U128" s="133" t="n"/>
      <c r="W128" s="208" t="inlineStr">
        <is>
          <t>yes</t>
        </is>
      </c>
      <c r="X128" s="726" t="n"/>
      <c r="AA128" s="734" t="n">
        <v>7.41445255279541</v>
      </c>
      <c r="AB128" s="734">
        <f>IF(AA128="","",AA128*T128)</f>
        <v/>
      </c>
      <c r="AC128" s="133" t="inlineStr"/>
    </row>
    <row r="129" ht="409.5" customFormat="1" customHeight="1" s="183">
      <c r="A129" s="155" t="n">
        <v>101</v>
      </c>
      <c r="B129" s="498" t="inlineStr">
        <is>
          <t>ls_num_change</t>
        </is>
      </c>
      <c r="C129" s="156" t="inlineStr">
        <is>
          <t>ls_num_
1) ls_num_no_change
2) ls_num_inc_less_sales
3) ls_num_inc_more_birth
4) ls_num_inc_more_acquired
5) ls_num_inc_received_free
6) ls_num_dec_poor_health
7) ls_num_dec_death
8) ls_num_dec_sales_good_price
9) ls_num_dec_sales_distress
10) ls_num_dec_escape_stolen
11) ls_num_dec_consumed
12) ls_num_inc_dec_other
13) ls_num_inc_dec_dk
14) ls_num_inc_dec_ref</t>
        </is>
      </c>
      <c r="D129" s="173" t="inlineStr">
        <is>
          <t>Why did the number of livestock change?
[OPERATOR: MULTIPLE RESPONSES POSSIBLE.] 
1)No significant change in livestock number
2)Did not sell as many
3)Many more were born
4)Purchased or bartered more animals this year
5)Received animals for free [restocking / gift]
6)Animal death due to malnutrition/ drought/ lack of feed
7)Animal death due to other factors [e.g. diseases/ parasites/ injury]
8)Sold more than usual because of good prices
9)Sold more than usual because of distress sales [unable to feed animal / need money urgently for household basic needs even if sales were unsustainable]
10)Animal escaped or was lost or stolen or killed
11)Killed or gave away more animals than usual for household consumption or celebrations [marriage / funerals / etc]
12)Other
13)DON’T KNOW
14)REFUSED</t>
        </is>
      </c>
      <c r="E129" s="158">
        <f>LEN(D129)</f>
        <v/>
      </c>
      <c r="F129" s="159" t="inlineStr">
        <is>
          <t>Pourquoi le nombre d’animaux que vous possédez a-t-il varié?
[OPÉRATEUR/OPÉRATRICE: PLUSIEURS RÉPONSES POSSIBLES.] 
1)Pas de changement significatif du nombre de têtes de bétail
2)Diminution des ventes
3)Davantage de naissances
4)Davantage d'animaux achetés ou troqués cette année
5)Animaux reçus gratuitement [réapprovisionnement / cadeau]
6)Mort d'animaux due à la malnutrition/ à la sécheresse/ au manque de nourriture 
7)Mort d'animaux due à d'autres facteurs [par ex. maladies/ parasites/ blessures]
8)Davantage de ventes en raison de bons prix
9)Davantage de ventes en raison de ventes de détresse [incapacité à nourrir l'animal / besoin urgent d'argent pour les besoins de base du ménage même si les ventes ne sont pas durables]
10)Animaux échappés/ perdus ou volés ou tués
11)Davantage d'animaux abattus ou donnés pour la consommation du ménage ou pour des cérémonies [mariage / funérailles / etc.]
12)Autre
13)NE SAIT PAS
14)REFUSÉ</t>
        </is>
      </c>
      <c r="G129" s="158">
        <f>LEN(F129)</f>
        <v/>
      </c>
      <c r="H129" s="160" t="inlineStr">
        <is>
          <t>Kwa nini idadi ya mifugo ilibadilika?
[OPERATOR: MAJIBU MENGI YANAWEZEKANA.]
1)Hakuna mabadiliko makubwa katika idadi ya mifugo
2)Hakuuza kama wengi
3)Wengi zaidi walizaliwa
4)Alinunua au kubadilishana wanyama zaidi mwaka huu
5)Wanyama waliopokea bila malipo [kuhifadhi tena / zawadi]
6)Kifo cha wanyama kutokana na utapiamlo/ukame/ukosefu wa chakula
7)Kifo cha mnyama kutokana na mambo mengine [k.m. magonjwa / vimelea / majeraha]
8)Imeuzwa zaidi ya kawaida kwa sababu ya bei nzuri
9)Iliuzwa zaidi ya kawaida kwa sababu ya mauzo ya dhiki [hakuweza kulisha mifugo / kuhitaji pesa kwa dharura kwa mahitaji ya msingi ya kaya hata kama mauzo hayakuwa endelevu]
10)Mnyama alitoroka au alipotea au kuibiwa au kuwa
11)Aliua au alitoa wanyama wengi kuliko kawaida kwa matumizi ya nyumbani au sherehe [ndoa / mazishi / nk]
12)yingine
13)SIJUE
14)KUKATALA</t>
        </is>
      </c>
      <c r="I129" s="158">
        <f>LEN(H129)</f>
        <v/>
      </c>
      <c r="J129" s="156" t="inlineStr">
        <is>
          <t>Select All That Apply</t>
        </is>
      </c>
      <c r="K129" s="158" t="inlineStr">
        <is>
          <t>NA</t>
        </is>
      </c>
      <c r="L129" s="158" t="inlineStr">
        <is>
          <t>NA</t>
        </is>
      </c>
      <c r="M129" s="158" t="inlineStr">
        <is>
          <t>Form Type - Checklist
1,13,14 = IsNone</t>
        </is>
      </c>
      <c r="N129" s="149" t="inlineStr">
        <is>
          <t>1)ls_num_no_change
2)ls_num_inc_less_sales
3)ls_num_inc_more_birth
4)ls_num_inc_more_acquired
5)ls_num_inc_received_free
6)ls_num_dec_poor_health
7)ls_num_dec_death
8)ls_num_dec_sales_good_price
9)ls_num_dec_sales_distress
10)ls_num_dec_escape_stolen
11)ls_num_dec_consumed
12)ls_num_inc_dec_other
13)ls_num_inc_dec_dk
14)ls_num_inc_dec_ref</t>
        </is>
      </c>
      <c r="O129" s="162" t="inlineStr">
        <is>
          <t>1-14 = ls_gone</t>
        </is>
      </c>
      <c r="P129" s="151" t="n"/>
      <c r="Q129" s="393" t="inlineStr">
        <is>
          <t>If ls_num_change 1-14 = [ls_proddif OR optional question]</t>
        </is>
      </c>
      <c r="R129" s="396" t="inlineStr"/>
      <c r="S129" s="166" t="n"/>
      <c r="T129" s="205">
        <f>'Additional information'!$D$18</f>
        <v/>
      </c>
      <c r="U129" s="133" t="n"/>
      <c r="W129" s="208" t="inlineStr">
        <is>
          <t>yes</t>
        </is>
      </c>
      <c r="X129" s="726" t="n"/>
      <c r="AA129" s="734" t="n">
        <v>17.79113578796387</v>
      </c>
      <c r="AB129" s="734">
        <f>IF(AA129="","",AA129*T129)</f>
        <v/>
      </c>
      <c r="AC129" s="133" t="inlineStr"/>
    </row>
    <row r="130" ht="231" customFormat="1" customHeight="1" s="183">
      <c r="A130" s="155" t="n">
        <v>102</v>
      </c>
      <c r="B130" s="282" t="inlineStr">
        <is>
          <t>ls_gone</t>
        </is>
      </c>
      <c r="C130" s="156" t="inlineStr">
        <is>
          <t>ls_gone_
1)ls_gone_lost
2)ls_gone_escape
3)ls_gone_stolen
4)ls_gone_killed
5)ls_gone_dk
6)ls_gone_ref</t>
        </is>
      </c>
      <c r="D130" s="518" t="inlineStr">
        <is>
          <t>Can you specify whether your animals escaped, were lost, stolen or killed? 
[OPERATOR: MULTIPLE RESPONSES POSSIBLE.]
1)Lost during migration
2)Escaped
3)Stolen
4)Killed
5)DON'T KNOW
6)REFUSED</t>
        </is>
      </c>
      <c r="E130" s="158">
        <f>LEN(D130)</f>
        <v/>
      </c>
      <c r="F130" s="159" t="inlineStr">
        <is>
          <t>Pouvez-vous préciser si vos animaux se sont échappés, ont été perdus, volés ou tués ? 
[OPÉRATEUR/OPÉRATRICE: PLUSIEURS RÉPONSES POSSIBLES].
1)Perdus pendant la migration
2)Échappés
3)Volés
4)Tués
5)NE SAIT PAS
6)REFUSÉ</t>
        </is>
      </c>
      <c r="G130" s="158">
        <f>LEN(F130)</f>
        <v/>
      </c>
      <c r="H130" s="160" t="inlineStr">
        <is>
          <t>Je, unaweza kubainisha ikiwa wanyama wako wametoroka, wamepotea, wameibiwa au wameuawa?
[OPERATOR: MAJIBU KADHAA YANAWEZEKANA].
1)Imepotea wakati wa kuhama
2)Ilitoroka
3)Imeibiwa
4)Kuuawa
5)SIJUE
6)KUKATALA</t>
        </is>
      </c>
      <c r="I130" s="158">
        <f>LEN(H130)</f>
        <v/>
      </c>
      <c r="J130" s="156" t="inlineStr">
        <is>
          <t>Select All That Apply</t>
        </is>
      </c>
      <c r="K130" s="282" t="inlineStr">
        <is>
          <t>NA</t>
        </is>
      </c>
      <c r="L130" s="356" t="inlineStr">
        <is>
          <t>Send if "ls_num_change" "Contains" "Animal escaped or was lost or stolen or killed" if not satisfied go to "ls_feed"</t>
        </is>
      </c>
      <c r="M130" s="158" t="inlineStr">
        <is>
          <t>Form Type - Checklist
5,6 = IsNone</t>
        </is>
      </c>
      <c r="N130" s="149" t="inlineStr">
        <is>
          <t>1)ls_gone_lost
2)ls_gone_escape
3)ls_gone_stolen
4)ls_gone_killed
5)ls_gone_dk
6)ls_gone_ref</t>
        </is>
      </c>
      <c r="O130" s="162" t="inlineStr">
        <is>
          <t>1-6 = ls_feed</t>
        </is>
      </c>
      <c r="P130" s="163" t="n"/>
      <c r="Q130" s="519" t="inlineStr">
        <is>
          <t>For any response, go to ls_proddif or optional question</t>
        </is>
      </c>
      <c r="R130" s="394" t="inlineStr"/>
      <c r="S130" s="166" t="n"/>
      <c r="T130" s="205" t="n"/>
      <c r="U130" s="133" t="n"/>
      <c r="W130" s="208" t="inlineStr"/>
      <c r="X130" s="726" t="n"/>
      <c r="AA130" s="734" t="n"/>
      <c r="AB130" s="734" t="n"/>
      <c r="AC130" s="133" t="inlineStr"/>
    </row>
    <row r="131" ht="273" customFormat="1" customHeight="1" s="183">
      <c r="A131" s="155" t="n">
        <v>103</v>
      </c>
      <c r="B131" s="320" t="inlineStr">
        <is>
          <t>ls_feed</t>
        </is>
      </c>
      <c r="C131" s="184" t="inlineStr">
        <is>
          <t>ls_feed
1) ls_feed_open_pasture
2) ls_feed_common_pasture
3) ls_feed_self_produced
4) ls_feed_purchased
5) ls_feed_free_dist
6) ls_feed_other
7) ls_feed_dk
8) ls_feed_ref</t>
        </is>
      </c>
      <c r="D131" s="185" t="inlineStr">
        <is>
          <t>Where do you usually access feed for your {ls_main}?  
[OPERATOR: MULTIPLE RESPONSES POSSIBLE.] 
1)Open pasture
2)Community-managed pasture land
3)Owned or rented field or self-produced fodder
4)Purchase feed or fodder at the market
5)Free distribution [UN/ government/ NGOs/ neighbors/ friends/ family etc.]
6)Other
7)DON'T KNOW
8)REFUSED</t>
        </is>
      </c>
      <c r="E131" s="186">
        <f>LEN(D131)</f>
        <v/>
      </c>
      <c r="F131" s="178" t="inlineStr">
        <is>
          <t>Où vous procurez-vous habituellement l'alimentation pour votre {ls_main}?
[OPÉRATEUR/OPÉRATRICE: PLUSIEURS RÉPONSES POSSIBLES.] 
1)Pâturages ouverts
2)Pâturages gérés par la communauté
3)Champ possédé ou loué ou fourrage auto-produit
4)Achat d'aliments/fourrage sur les marchés
5)Distributions gratuites  [ONU/ Gouvernement/ ONG/ voisins/ amis/ famille etc.]
6)Autre
7)NE SAIT PAS
8)REFUSÉ</t>
        </is>
      </c>
      <c r="G131" s="186">
        <f>LEN(F131)</f>
        <v/>
      </c>
      <c r="H131" s="160" t="inlineStr">
        <is>
          <t>Je/ kwa jumla ni wapi una lishiya {ls_main} yako?
[OPERATOR: MAJIBU MENGI YANAWEZEKANA.]
1)Malisho ya wazi
2)Ardhi ya malisho inayosimamiwa na jamii
3)Shamba linalomilikiwa au kukodishwa au malisho ya mifugo yenyewe
4)Nunua chakula au malisho sokoni
5)Usambazaji wa bure [ONU/Serekali/ONG/Voisins/Rafiki/Djama/etc]
6)Yingine
7)SIJUE
8)KUKATALA</t>
        </is>
      </c>
      <c r="I131" s="186">
        <f>LEN(H131)</f>
        <v/>
      </c>
      <c r="J131" s="184" t="inlineStr">
        <is>
          <t>Select All That Apply</t>
        </is>
      </c>
      <c r="K131" s="186" t="inlineStr">
        <is>
          <t>NA</t>
        </is>
      </c>
      <c r="L131" s="186" t="inlineStr">
        <is>
          <t>NA</t>
        </is>
      </c>
      <c r="M131" s="186" t="inlineStr">
        <is>
          <t>Form Type - Checklist
7,8 = IsNone</t>
        </is>
      </c>
      <c r="N131" s="152" t="inlineStr">
        <is>
          <t>1)ls_feed_open_pasture
2)ls_feed_common_pasture
3)ls_feed_self_produced
4)ls_feed_purchased
5)ls_feed_free_dist
6)ls_feed_other
7)ls_feed_dk
8)ls_feed_ref</t>
        </is>
      </c>
      <c r="O131" s="190" t="inlineStr">
        <is>
          <t>1-8 = ls_proddif</t>
        </is>
      </c>
      <c r="P131" s="520" t="n"/>
      <c r="Q131" s="497" t="inlineStr">
        <is>
          <t>For any response, go to ls_proddif</t>
        </is>
      </c>
      <c r="R131" s="478" t="inlineStr"/>
      <c r="S131" s="166" t="n"/>
      <c r="T131" s="132">
        <f>'Additional information'!$D$18</f>
        <v/>
      </c>
      <c r="U131" s="133" t="n"/>
      <c r="W131" s="194" t="inlineStr">
        <is>
          <t>no</t>
        </is>
      </c>
      <c r="X131" s="726" t="n"/>
      <c r="AA131" s="735" t="n">
        <v>18.08681678771973</v>
      </c>
      <c r="AB131" s="735">
        <f>IF(AA131="","",AA131*T131)</f>
        <v/>
      </c>
      <c r="AC131" s="133" t="inlineStr"/>
    </row>
    <row r="132" ht="189" customFormat="1" customHeight="1" s="183">
      <c r="A132" s="155" t="n">
        <v>104</v>
      </c>
      <c r="B132" s="498" t="inlineStr">
        <is>
          <t>ls_proddif</t>
        </is>
      </c>
      <c r="C132" s="156" t="inlineStr">
        <is>
          <t>ls_proddif</t>
        </is>
      </c>
      <c r="D132" s="157" t="inlineStr">
        <is>
          <t>Has your household faced any significant difficulty with livestock production over the last 3 months?
[OPERATOR: SINGLE RESPONSE.]
1)YES 
2)NO
3)DON'T KNOW
4)REFUSED</t>
        </is>
      </c>
      <c r="E132" s="158">
        <f>LEN(D132)</f>
        <v/>
      </c>
      <c r="F132" s="159" t="inlineStr">
        <is>
          <t>Votre ménage a-t-il rencontré d'importantes difficultés en matière d'élevage au cours des trois derniers mois?
[OPÉRATEUR/OPÉRATRICE: RÉPONSE UNIQUE.]
1)OUI
2)NON
3)NE SAIT PAS
4)REFUSÉ</t>
        </is>
      </c>
      <c r="G132" s="158">
        <f>LEN(F132)</f>
        <v/>
      </c>
      <c r="H132" s="160" t="inlineStr">
        <is>
          <t>Kaya yako imekabiliwa na ugumu wowote wa uzalishaji wa mifugo katika kipindi cha miezi 3 iliyopita?
[OPERATOR: JIBU MOJA.]
1)NDIYO
2)HAPANA
3)SIJUE
4)KUKATALA</t>
        </is>
      </c>
      <c r="I132" s="158">
        <f>LEN(H132)</f>
        <v/>
      </c>
      <c r="J132" s="161" t="inlineStr">
        <is>
          <t>Single Choice</t>
        </is>
      </c>
      <c r="K132" s="158" t="inlineStr">
        <is>
          <t>NA</t>
        </is>
      </c>
      <c r="L132" s="158" t="inlineStr">
        <is>
          <t>NA</t>
        </is>
      </c>
      <c r="M132" s="158" t="inlineStr">
        <is>
          <t>Form Type - Buttons</t>
        </is>
      </c>
      <c r="N132" s="149" t="inlineStr">
        <is>
          <t>NA</t>
        </is>
      </c>
      <c r="O132" s="162" t="inlineStr">
        <is>
          <t>1=ls_proddif_2
2-4= ls_salesmain</t>
        </is>
      </c>
      <c r="P132" s="163" t="n"/>
      <c r="Q132" s="162" t="inlineStr">
        <is>
          <t>if ls_proddif = 1, go to ls_proddif_2 ; 
if ls_proddif = 2-4, go to [ls_salesmain OR optional question]</t>
        </is>
      </c>
      <c r="R132" s="521" t="inlineStr"/>
      <c r="S132" s="166" t="n"/>
      <c r="T132" s="205">
        <f>'Additional information'!$D$18</f>
        <v/>
      </c>
      <c r="U132" s="133" t="n"/>
      <c r="W132" s="208" t="inlineStr">
        <is>
          <t>yes</t>
        </is>
      </c>
      <c r="X132" s="726" t="n"/>
      <c r="AA132" s="734" t="n">
        <v>10.37455940246582</v>
      </c>
      <c r="AB132" s="734">
        <f>IF(AA132="","",AA132*T132)</f>
        <v/>
      </c>
      <c r="AC132" s="133" t="inlineStr"/>
    </row>
    <row r="133" ht="409.6" customFormat="1" customHeight="1" s="183" thickBot="1">
      <c r="A133" s="155" t="n">
        <v>105</v>
      </c>
      <c r="B133" s="287" t="inlineStr">
        <is>
          <t>ls_proddif_2</t>
        </is>
      </c>
      <c r="C133" s="283" t="inlineStr">
        <is>
          <t>ls_proddif_
1) ls_proddif_feed_purchase
2) ls_proddif_access_pasture
3) ls_proddif_access_water
4) ls_proddif_vet_serv
5) ls_proddif_vet_input
6) ls_proddif_diseases
7) ls_proddif_theft
8) ls_proddif_access_market
9) ls_proddif_access_credit
10) ls_proddif_access_labour
11) ls_proddif_other
12) ls_proddif_dk
13) ls_proddif_ref</t>
        </is>
      </c>
      <c r="D133" s="157" t="inlineStr">
        <is>
          <t>Which difficulties has your household faced with livestock production in the last 3 months?
[OPERATOR: MULTIPLE RESPONSES POSSIBLE. SELECT OPTION(S) THAT BEST FIT THE INFORMATION PROVIDED BY THE RESPONDENTS.]
1)Difficulty to purchase feed [e.g. prices or access to market]
2)Access to pasture
3)Access to water
4)Access to veterinary services [vaccinations/ treatments/ spraying/ advisory etc]
5)Access to veterinary inputs [medicine for animals / tools for animal health / etc]
6)Livestock diseases or injury
7)Livestock theft
8)Access to livestock market to buy young animals
9)Access to credit
10)Access to manpower labour 
11)Other
12)DON'T KNOW
13)REFUSED</t>
        </is>
      </c>
      <c r="E133" s="158">
        <f>LEN(D133)</f>
        <v/>
      </c>
      <c r="F133" s="159" t="inlineStr">
        <is>
          <t>Quelles difficultés votre ménage a-t-il rencontrées en matière d'élevage au cours des trois derniers mois ?
[OPÉRATEUR/OPÉRATRICE: PLUSIEURS RÉPONSES POSSIBLES. SÉLECTIONNER LA OU LES OPTIONS QUI CORRESPONDENT LE MIEUX AUX INFORMATIONS PROPOSÉES PAR LES RÉPONDANTS.]
1)Difficulté à acheter des aliments pour animaux [prix ou accès au marché]
2)Accès aux pâturages
3)Accès à l'eau
4)Accès aux services vétérinaires [vaccins / traitements / pulvérisations / conseils / etc.]
5)Accès aux intrants vétérinaires [médicaments pour animaux / outils pour la santé animale / etc.]
6)Maladies ou blessures du bétail
7)Vol de bétail
8)Accès aux marchés de bétail pour acheter de jeunes animaux
9)Accès au crédit
10)Accès à la main-d'œuvre
11)Autre
12)NE SAIT PAS
13)REFUS</t>
        </is>
      </c>
      <c r="G133" s="158">
        <f>LEN(F133)</f>
        <v/>
      </c>
      <c r="H133" s="160" t="inlineStr">
        <is>
          <t>Kaya yako imekumbana na matatizo gani ya uzalishaji wa mifugo katika kipindi cha miezi 3 iliyopita?
[OPERATOR: MAJIBU MENGI YANAWEZEKANA. CHAGUA CHAGUO LINALOFAA VYEMA NA MAELEZO ILIYOTOLEWA NA WAHOJIWA.]
1)Ugumu wa kununua malisho [k.m. bei au upatikanaji wa soko]
2)Upatikanaji wa malisho
3)Upatikanaji wa maji
4)Upatikanaji wa huduma za mifugo [chanjo / matibabu / dawa / ushauri nk]
5)Upatikanaji wa pembejeo za mifugo [dawa kwa wanyama / zana za afya ya wanyama / nk]
6)Magonjwa ya mifugo au kuumia
7)Wizi wa mifugo
8)Upatikanaji wa soko la mifugo kununua mifugo midogo
9)Upatikanaji wa mkopo
10)Upatikanaji wa nguvu kazi
11)yingine 
12)SIJUE
13)KUKATALA</t>
        </is>
      </c>
      <c r="I133" s="158">
        <f>LEN(H133)</f>
        <v/>
      </c>
      <c r="J133" s="156" t="inlineStr">
        <is>
          <t>Select All That Apply</t>
        </is>
      </c>
      <c r="K133" s="158" t="inlineStr">
        <is>
          <t>NA</t>
        </is>
      </c>
      <c r="L133" s="158" t="inlineStr">
        <is>
          <t>NA</t>
        </is>
      </c>
      <c r="M133" s="158" t="inlineStr">
        <is>
          <t>Form Type - Checklist
12,13 = IsNone</t>
        </is>
      </c>
      <c r="N133" s="149" t="inlineStr">
        <is>
          <t>1)ls_proddif_feed_purchase
2)ls_proddif_access_pasture
3)ls_proddif_access_water
4)ls_proddif_vet_serv
5)ls_proddif_vet_input
6)ls_proddif_diseases
7)ls_proddif_theft
8)ls_proddif_access_market
9)ls_proddif_access_credit
10)ls_proddif_access_labour
11)ls_proddif_other
12)ls_proddif_dk
13)ls_proddif_ref</t>
        </is>
      </c>
      <c r="O133" s="522" t="inlineStr">
        <is>
          <t>1-13 = ls_salesmain</t>
        </is>
      </c>
      <c r="P133" s="523" t="n"/>
      <c r="Q133" s="157" t="inlineStr">
        <is>
          <t>if ls_proddif_2 = 1-13, go to ls_salesmain OR optional question</t>
        </is>
      </c>
      <c r="R133" s="181" t="inlineStr"/>
      <c r="S133" s="166" t="n"/>
      <c r="T133" s="205">
        <f>'Additional information'!$D$18</f>
        <v/>
      </c>
      <c r="U133" s="133" t="n"/>
      <c r="W133" s="208" t="inlineStr">
        <is>
          <t>yes</t>
        </is>
      </c>
      <c r="X133" s="726" t="n"/>
      <c r="AA133" s="734" t="n">
        <v>19.61676216125488</v>
      </c>
      <c r="AB133" s="734">
        <f>IF(AA133="","",AA133*T133)</f>
        <v/>
      </c>
      <c r="AC133" s="133" t="inlineStr"/>
    </row>
    <row r="134" ht="21.5" customFormat="1" customHeight="1" s="207" thickBot="1">
      <c r="A134" s="710" t="inlineStr">
        <is>
          <t>E. LIVESTOCK MARKETING</t>
        </is>
      </c>
      <c r="B134" s="732" t="n"/>
      <c r="C134" s="732" t="n"/>
      <c r="D134" s="732" t="n"/>
      <c r="E134" s="732" t="n"/>
      <c r="F134" s="732" t="n"/>
      <c r="G134" s="732" t="n"/>
      <c r="H134" s="732" t="n"/>
      <c r="I134" s="732" t="n"/>
      <c r="J134" s="732" t="n"/>
      <c r="K134" s="732" t="n"/>
      <c r="L134" s="732" t="n"/>
      <c r="M134" s="732" t="n"/>
      <c r="N134" s="732" t="n"/>
      <c r="O134" s="732" t="n"/>
      <c r="P134" s="732" t="n"/>
      <c r="Q134" s="732" t="n"/>
      <c r="R134" s="732" t="n"/>
      <c r="S134" s="733" t="n"/>
      <c r="T134" s="205" t="n"/>
      <c r="U134" s="206" t="n"/>
      <c r="W134" s="208" t="n"/>
      <c r="X134" s="209" t="n"/>
      <c r="AA134" s="734" t="n"/>
      <c r="AB134" s="734">
        <f>IF(AA134="","",AA134*T134)</f>
        <v/>
      </c>
      <c r="AC134" s="206">
        <f>IF(W134="yes",AB134,"")</f>
        <v/>
      </c>
    </row>
    <row r="135" ht="399" customFormat="1" customHeight="1" s="183">
      <c r="A135" s="145">
        <f>A133+1</f>
        <v/>
      </c>
      <c r="B135" s="146" t="inlineStr">
        <is>
          <t>ls_salesmain</t>
        </is>
      </c>
      <c r="C135" s="156" t="inlineStr">
        <is>
          <t>ls_salesmain</t>
        </is>
      </c>
      <c r="D135" s="475" t="inlineStr">
        <is>
          <t>What was the main livestock or livestock product sold by your household in the last 3 months?
[OPERATOR: SINGLE RESPONSE. INSIST ON THE MAIN PRODUCT.]
1)Cattle [cow / beef / veal / yak / buffalo]
2)Goat
3)Sheep
4)Swine [pig / boar / hog / etc]
5)Equine [donkey / horse / etc]
6)Small domesticated mammals [rabbits / minks / guinea pigs / etc]
7)Poultry [chicken / guineafowl / duck / quail / turkey / etc]
8)Camelids
9)Eggs
10)Milk or dairy products
11)Skin or leather or wool
12)DON'T KNOW
13)REFUSED</t>
        </is>
      </c>
      <c r="E135" s="148">
        <f>LEN(D135)</f>
        <v/>
      </c>
      <c r="F135" s="159" t="inlineStr">
        <is>
          <t>Quel était le principal animal ou produit animal vendu par votre ménage au cours des trois derniers mois?
[OPÉRATEUR/OPÉRATRICE: RÉPONSE UNIQUE. INSISTER SUR LE PRODUIT PRINCIPAL.]
1)Bovins [vache / bœuf / veau / yak / buffle]
2)Chèvres
3)Moutons
4)Porcins [cochon / sanglier / porc / etc.]
5)Équidés [âne / cheval / etc.]
6)Petits mammifères domestiques [lapins / visons / cochons d'Inde / etc.]
7)Volailles [poulets / pintades / canards / cailles / dindes / etc.]
8)Camélidés
9)Œufs
10)Lait ou produits laitiers
11)Peau/ cuir ou laine
12)NE SAIT PAS
13)REFUSÉ</t>
        </is>
      </c>
      <c r="G135" s="148">
        <f>LEN(F135)</f>
        <v/>
      </c>
      <c r="H135" s="160" t="inlineStr">
        <is>
          <t>Ni mifugo gani kuu au bidhaa ya mifugo iliyouzishwa na kaya yako katika kipindi cha miezi 3 iliyopita?
[OPERATOR: JIBU MOJA. sisitiza BIDHAA KUU.]
1)Ngombe [ngombe / nyama ya ng'ombe / nyama ya ngombe / yak / nyati]
2)Mbuzi
3)Kondoo
4)Ngulube [nguruwe / nguruwe / nguruwe / nk]
5)Farasi [punda / farasi / nk]
6)Mamalia wadogo wanaofugwa [sungura / minki / nguruwe wa Guinea / nk]
7)Kuku [kuku / Ndege ya guine / bata / kware / Uturuki / nk]
8)Ngamia
9)Mayai
10)Maziwa au bidhaa za maziwa
11)Ngozi au ngozi au pamba
12)SIJUE
13)KUKATALA</t>
        </is>
      </c>
      <c r="I135" s="148">
        <f>LEN(H135)</f>
        <v/>
      </c>
      <c r="J135" s="276" t="inlineStr">
        <is>
          <t>Single Choice</t>
        </is>
      </c>
      <c r="K135" s="148" t="inlineStr">
        <is>
          <t>NA</t>
        </is>
      </c>
      <c r="L135" s="148" t="inlineStr">
        <is>
          <t>Send if "income_main" "Equals" "Production and sale of livestock or livestock products" Or "income_sec" "Equals" "Production and sale of livestock or livestock products" Or "income_third" "Equals" "Production and sale of livestock or livestock products" if not satisfied go to "fish_intro"</t>
        </is>
      </c>
      <c r="M135" s="674" t="inlineStr">
        <is>
          <t>Form Type - Buttons
IsDemographic - ls_salesmain</t>
        </is>
      </c>
      <c r="N135" s="149" t="inlineStr">
        <is>
          <t>NA</t>
        </is>
      </c>
      <c r="O135" s="150" t="inlineStr">
        <is>
          <t>1-11 = ls_salesdif
12-13 = fish_intro</t>
        </is>
      </c>
      <c r="P135" s="151" t="n"/>
      <c r="Q135" s="524" t="inlineStr">
        <is>
          <t>If either income_main or income_sec or income_third = "Production and sale of livestock or livestock products", then this section will be asked to respondents.
Otherwise, skip to fish_main.
if ls_salesmain = 1-11, go to ls_salesdif ; 
if ls_salesmain = 12-13, go to fish_intro</t>
        </is>
      </c>
      <c r="R135" s="223" t="inlineStr"/>
      <c r="S135" s="153" t="n"/>
      <c r="T135" s="205">
        <f>'Additional information'!$D$18</f>
        <v/>
      </c>
      <c r="U135" s="133" t="n"/>
      <c r="W135" s="208" t="inlineStr">
        <is>
          <t>yes</t>
        </is>
      </c>
      <c r="X135" s="726" t="n"/>
      <c r="AA135" s="734" t="n">
        <v>12.99236297607422</v>
      </c>
      <c r="AB135" s="734">
        <f>IF(AA135="","",AA135*T135)</f>
        <v/>
      </c>
      <c r="AC135" s="133" t="inlineStr"/>
    </row>
    <row r="136" ht="189" customFormat="1" customHeight="1" s="183">
      <c r="A136" s="145" t="n">
        <v>107</v>
      </c>
      <c r="B136" s="158" t="inlineStr">
        <is>
          <t>ls_salesdif</t>
        </is>
      </c>
      <c r="C136" s="156" t="inlineStr">
        <is>
          <t>ls_salesdif</t>
        </is>
      </c>
      <c r="D136" s="157" t="inlineStr">
        <is>
          <t>Has your household faced any significant difficulty in the last 3 months selling your {ls_salesmain}?
[OPERATOR: SINGLE RESPONSE.]
1)YES
2)NO
3)DON'T KNOW
4)REFUSED</t>
        </is>
      </c>
      <c r="E136" s="158">
        <f>LEN(D136)</f>
        <v/>
      </c>
      <c r="F136" s="159" t="inlineStr">
        <is>
          <t>Votre ménage a-t-il rencontré d'importantes difficultés pour vendre ses {ls_salesmain} au cours des trois derniers mois ?
[OPÉRATEUR/OPÉRATRICE: RÉPONSE UNIQUE.]
1)OUI
2)NON
3)NE SAIT PAS
4)REFUSÉ</t>
        </is>
      </c>
      <c r="G136" s="158">
        <f>LEN(F136)</f>
        <v/>
      </c>
      <c r="H136" s="160" t="inlineStr">
        <is>
          <t>Kaya yako imekumbana na matatizo makubwa katika miezi 3 iliyopita kuuza {ls_salesmain} yako?
[OPERATOR: JIBU MOJA.]
1)NDIYO
2)HAPANA
3)SIJUE
4)KUKATALA</t>
        </is>
      </c>
      <c r="I136" s="158">
        <f>LEN(H136)</f>
        <v/>
      </c>
      <c r="J136" s="161" t="inlineStr">
        <is>
          <t>Single Choice</t>
        </is>
      </c>
      <c r="K136" s="158" t="inlineStr">
        <is>
          <t>NA</t>
        </is>
      </c>
      <c r="L136" s="158" t="inlineStr">
        <is>
          <t>NA</t>
        </is>
      </c>
      <c r="M136" s="158" t="inlineStr">
        <is>
          <t>Form Type - Buttons</t>
        </is>
      </c>
      <c r="N136" s="149" t="inlineStr">
        <is>
          <t>NA</t>
        </is>
      </c>
      <c r="O136" s="162" t="inlineStr">
        <is>
          <t>1 = ls_salesdif_2
2-4 = ls_salesprice</t>
        </is>
      </c>
      <c r="P136" s="163" t="n"/>
      <c r="Q136" s="162" t="inlineStr">
        <is>
          <t>if ls_salesdif = 1, go to ls_salesdif_2 ; 
if ls_salesdif = 2-4, go to ls_salesprice</t>
        </is>
      </c>
      <c r="R136" s="190" t="inlineStr"/>
      <c r="S136" s="166" t="n"/>
      <c r="T136" s="205">
        <f>'Additional information'!$D$18</f>
        <v/>
      </c>
      <c r="U136" s="133" t="n"/>
      <c r="W136" s="208" t="inlineStr">
        <is>
          <t>yes</t>
        </is>
      </c>
      <c r="X136" s="726" t="n"/>
      <c r="AA136" s="734" t="n">
        <v>8.629570960998535</v>
      </c>
      <c r="AB136" s="734">
        <f>IF(AA136="","",AA136*T136)</f>
        <v/>
      </c>
      <c r="AC136" s="133" t="inlineStr"/>
    </row>
    <row r="137" ht="409.5" customFormat="1" customHeight="1" s="183">
      <c r="A137" s="145" t="n">
        <v>108</v>
      </c>
      <c r="B137" s="498" t="inlineStr">
        <is>
          <t>ls_salesdif_2</t>
        </is>
      </c>
      <c r="C137" s="156" t="inlineStr">
        <is>
          <t>ls_salesdif_
1) ls_salesdif_marketing_cost
2) ls_salesdif_damage_losses
3) ls_salesdif_low_demand
4) ls_salesdif_pay_delay
5) ls_salesdif_low_price
6)  ls_salesdif_slaughterhouse
7) ls_salesdif_processing
8) ls_salesdif_competition
9) ls_salesdif_other
10) ls_salesdif_dk
11) ls_salesdif_ref</t>
        </is>
      </c>
      <c r="D137" s="173" t="inlineStr">
        <is>
          <t>Which difficulties has your household faced in the last 3 months selling your {ls_salesmain}?
[OPERATOR: MULTIPLE RESPONSES POSSIBLE. SELECT OPTION(S) THAT BEST FIT THE INFORMATION PROVIDED BY THE RESPONDENTS.]
1)High transportation or other marketing costs
2)Other difficulties accessing the market [e.g. insecurity/ poor infrastructure etc.]
3)Lack of demand from usual traders or buyers  
4)Payment delays from traders / buyers 
5)Low selling prices [e.g. compared to input prices / inflation]
6)Closure of slaughterhouses or difficulties accessing slaughterhouses
7)Difficulties processing product other than closure of slaughterhouse [lack of access to processing inputs / equipment / etc]
8)Market flooded with products
9)Other
10)DON'T KNOW
11)REFUSED</t>
        </is>
      </c>
      <c r="E137" s="158">
        <f>LEN(D137)</f>
        <v/>
      </c>
      <c r="F137" s="159" t="inlineStr">
        <is>
          <t>Quelles difficultés votre ménage a-t-il rencontrées au cours des trois derniers mois pour vendre {ls_salesmain}?
[OPÉRATEUR/OPÉRATRICE: PLUSIEURS RÉPONSES POSSIBLES. SÉLECTIONNER LA OU LES OPTIONS QUI CORRESPONDENT LE MIEUX AUX INFORMATIONS FOURNIES PAR LES PERSONNES INTERROGÉES.]
1)Coûts de transport ou autres coûts de commercialisation élevés
2)Autres difficultés d'accès au marché [par ex insécurité/ mauvaises infrastructures]
3)Baisse de la demande des commerçants ou clients habituels
4)Retards de paiement de la part des négociants/acheteurs
5)Faibles prix de vente [par exemple par rapport aux prix des intrants / inflation]
6)Fermeture des abattoirs ou difficultés d'accès aux abattoirs
7)Difficultés de transformation du produit autres que la fermeture des abattoirs [manque d'accès aux intrants de transformation / aux équipements / etc.]
8)Marchés saturés
9)Autre
10)NE SAIT PAS
11)REFUSÉ</t>
        </is>
      </c>
      <c r="G137" s="158">
        <f>LEN(F137)</f>
        <v/>
      </c>
      <c r="H137" s="160" t="inlineStr">
        <is>
          <t xml:space="preserve">Je/ kaya yako imekumbana na matatizo gani katika kipindi cha miezi mitatu iliyopita katika kuuza {ls_salesmain}?
[OPERATOR: MAJIBU KADHAA YANAWEZEKANA. CHAGUA CHAGUO LINALOENDANA BORA NA MAELEZO ILIYOTOLEWA NA WAHOJIWA.]
1) Gharama kubwa za usafirishaji au gharama zingine za uuzaji
2) Matatizo mengine ya upatikanaji wa soko [k.m. ukosefu wa usalama/miundombinu duni]
3) Kupungua kwa mahitaji kutoka kwa wafanyabiashara au wateja wa kawaida
4)Kuchelewa kwa malipo kutoka kwa wafanyabiashara/wanunuzi
5)Bei za chini za mauzo [km. kuhusiana na bei ya pembejeo/ mfumuko wa bei]
6) Kufungwa kwa machinjio au matatizo ya upatikanaji wa vichinjio
7) Ugumu katika usindikaji wa bidhaa isipokuwa kufungwa kwa machinjio [ukosefu wa upatikanaji wa pembejeo / vifaa vya usindikaji / n.k.]
8) Masoko yaliyojaa
9) Nyingine
10)SIJUE
11)KUKATALA
</t>
        </is>
      </c>
      <c r="I137" s="158">
        <f>LEN(H137)</f>
        <v/>
      </c>
      <c r="J137" s="156" t="inlineStr">
        <is>
          <t>Select All That Apply</t>
        </is>
      </c>
      <c r="K137" s="158" t="inlineStr">
        <is>
          <t>NA</t>
        </is>
      </c>
      <c r="L137" s="158" t="inlineStr">
        <is>
          <t>NA</t>
        </is>
      </c>
      <c r="M137" s="158" t="inlineStr">
        <is>
          <t>Form Type - Checklist
10,11 = IsNone</t>
        </is>
      </c>
      <c r="N137" s="149" t="inlineStr">
        <is>
          <t>1)ls_salesdif_marketing_cost
2)ls_salesdif_damage_losses
3)ls_salesdif_low_demand
4)ls_salesdif_pay_delay
5)ls_salesdif_low_price
6)ls_salesdif_slaughterhouse
7)ls_salesdif_processing
8)ls_salesdif_competition
9)ls_salesdif_other
10)ls_salesdif_dk
11)ls_salesdif_ref</t>
        </is>
      </c>
      <c r="O137" s="162" t="inlineStr">
        <is>
          <t>1-11 = ls_salesprice</t>
        </is>
      </c>
      <c r="P137" s="163" t="n"/>
      <c r="Q137" s="162" t="inlineStr">
        <is>
          <t>if ls_salesdif_2 = 1-11, go to ls_salesprice</t>
        </is>
      </c>
      <c r="R137" s="190" t="inlineStr"/>
      <c r="S137" s="166" t="n"/>
      <c r="T137" s="205">
        <f>'Additional information'!$D$18</f>
        <v/>
      </c>
      <c r="U137" s="133" t="n"/>
      <c r="W137" s="208" t="inlineStr">
        <is>
          <t>yes</t>
        </is>
      </c>
      <c r="X137" s="726" t="n"/>
      <c r="AA137" s="734" t="n">
        <v>18.25617218017578</v>
      </c>
      <c r="AB137" s="734">
        <f>IF(AA137="","",AA137*T137)</f>
        <v/>
      </c>
      <c r="AC137" s="133" t="inlineStr"/>
    </row>
    <row r="138" ht="273.5" customFormat="1" customHeight="1" s="183" thickBot="1">
      <c r="A138" s="145" t="n">
        <v>109</v>
      </c>
      <c r="B138" s="498" t="inlineStr">
        <is>
          <t>ls_salesprice</t>
        </is>
      </c>
      <c r="C138" s="156" t="inlineStr">
        <is>
          <t>ls_salesprice</t>
        </is>
      </c>
      <c r="D138" s="157" t="inlineStr">
        <is>
          <t>How does the current price of your household's {ls_salesmain} compare to the average price in the same period of last year?
[OPERATOR: SINGLE RESPONSE. INSIST ON THE MAIN PRODUCT MENTIONED.]
1)A lot more [increased by more than 50%]
2)Slightly more
3)Same
4)Slightly less
5)A lot less [less than half as much]
6)DON'T KNOW
7)REFUSED</t>
        </is>
      </c>
      <c r="E138" s="158">
        <f>LEN(D138)</f>
        <v/>
      </c>
      <c r="F138" s="159" t="inlineStr">
        <is>
          <t>Comment évaluez-vous le prix actuel de {ls_salesmain} par rapport au prix moyen de la même période de l'année dernière?
[OPÉRATEUR/OPÉRATRICE: RÉPONSE UNIQUE. INSISTER SUR LE PRINCIPAL PRODUIT MENTIONNÉ AUPARAVANT.]
1)Très supérieur [augmentation de plus de 50%]
2)Légèrement supérieur
3)Identique
4)Légèrement inférieur
5)Très inférieur [moins de la moitié]
6)NE SAIT PAS
7)REFUSÉ</t>
        </is>
      </c>
      <c r="G138" s="158">
        <f>LEN(F138)</f>
        <v/>
      </c>
      <c r="H138" s="160" t="inlineStr">
        <is>
          <t>Bei ya sasa ya famille yako {ls_salesmain} ikilinganishwa na bei ya wastani kwa kipindi kama hicho mwaka uliopita, vipi?
[OPERATOR: JIBU MOJA. SISITIZA BIDHAA KUU ILIYOTAJWA.]
1)Mengi zaidi [imeongezeka kwa zaidi ya 50%]
2)Zaidi kidogo
3)Sawa
4)Kidogo kidogo
5)Chini sana [chini ya nusu zaidi]
6)SIJUE
7)KUKATALA</t>
        </is>
      </c>
      <c r="I138" s="158">
        <f>LEN(H138)</f>
        <v/>
      </c>
      <c r="J138" s="161" t="inlineStr">
        <is>
          <t>Single Choice</t>
        </is>
      </c>
      <c r="K138" s="158" t="inlineStr">
        <is>
          <t>NA</t>
        </is>
      </c>
      <c r="L138" s="158" t="inlineStr">
        <is>
          <t>NA</t>
        </is>
      </c>
      <c r="M138" s="158" t="inlineStr">
        <is>
          <t>Form Type - Buttons</t>
        </is>
      </c>
      <c r="N138" s="149" t="inlineStr">
        <is>
          <t>NA</t>
        </is>
      </c>
      <c r="O138" s="423" t="inlineStr">
        <is>
          <t>1-7 = fish_intro</t>
        </is>
      </c>
      <c r="P138" s="424" t="n"/>
      <c r="Q138" s="423" t="inlineStr">
        <is>
          <t>For options #1-7, go to fish_intro</t>
        </is>
      </c>
      <c r="R138" s="425" t="inlineStr"/>
      <c r="S138" s="166" t="n"/>
      <c r="T138" s="205">
        <f>'Additional information'!$D$18</f>
        <v/>
      </c>
      <c r="U138" s="133" t="n"/>
      <c r="W138" s="208" t="inlineStr">
        <is>
          <t>yes</t>
        </is>
      </c>
      <c r="X138" s="726" t="n"/>
      <c r="AA138" s="734" t="n">
        <v>15.45627975463867</v>
      </c>
      <c r="AB138" s="734">
        <f>IF(AA138="","",AA138*T138)</f>
        <v/>
      </c>
      <c r="AC138" s="133" t="inlineStr"/>
    </row>
    <row r="139" ht="21.5" customFormat="1" customHeight="1" s="207" thickBot="1">
      <c r="A139" s="710" t="inlineStr">
        <is>
          <t>F. FISHERIES PRODUCTION</t>
        </is>
      </c>
      <c r="B139" s="732" t="n"/>
      <c r="C139" s="732" t="n"/>
      <c r="D139" s="732" t="n"/>
      <c r="E139" s="732" t="n"/>
      <c r="F139" s="732" t="n"/>
      <c r="G139" s="732" t="n"/>
      <c r="H139" s="732" t="n"/>
      <c r="I139" s="732" t="n"/>
      <c r="J139" s="732" t="n"/>
      <c r="K139" s="732" t="n"/>
      <c r="L139" s="732" t="n"/>
      <c r="M139" s="732" t="n"/>
      <c r="N139" s="732" t="n"/>
      <c r="O139" s="732" t="n"/>
      <c r="P139" s="732" t="n"/>
      <c r="Q139" s="732" t="n"/>
      <c r="R139" s="732" t="n"/>
      <c r="S139" s="733" t="n"/>
      <c r="T139" s="205" t="n"/>
      <c r="U139" s="206" t="n"/>
      <c r="W139" s="208" t="n"/>
      <c r="X139" s="209" t="n"/>
      <c r="AA139" s="734" t="n"/>
      <c r="AB139" s="734">
        <f>IF(AA139="","",AA139*T139)</f>
        <v/>
      </c>
      <c r="AC139" s="206">
        <f>IF(W139="yes",AB139,"")</f>
        <v/>
      </c>
    </row>
    <row r="140" ht="210" customFormat="1" customHeight="1" s="183">
      <c r="A140" s="145">
        <f>A138+1</f>
        <v/>
      </c>
      <c r="B140" s="146" t="inlineStr">
        <is>
          <t>fish_intro</t>
        </is>
      </c>
      <c r="C140" s="156" t="inlineStr">
        <is>
          <t>fish_intro</t>
        </is>
      </c>
      <c r="D140" s="525" t="inlineStr">
        <is>
          <t>We will now ask you some questions about fishing and aquaculture production which apply to you and anyone in your household that is involved in the capture, culture, or harvest of fish and aquatic products.
1)CONTINUE</t>
        </is>
      </c>
      <c r="E140" s="148">
        <f>LEN(D140)</f>
        <v/>
      </c>
      <c r="F140" s="526" t="inlineStr">
        <is>
          <t>Nous allons maintenant vous poser quelques questions sur la pêche et la production aquacole. Ces questions s'appliquent à vous et à toute personne de votre foyer impliquée dans la capture, l'élevage ou la récolte de poissons et de produits aquatiques.
1)CONTINUER</t>
        </is>
      </c>
      <c r="G140" s="148">
        <f>LEN(F140)</f>
        <v/>
      </c>
      <c r="H140" s="160" t="inlineStr">
        <is>
          <t>Sasa tutakuuliza maswali kuhusu uvuvi na uzalishaji wa samaki na bidhaa za majini ambayo yanawahusu wewe na mtu yeyote katika kaya yako anayehusika na uvuvi, kilimo cha samaki, au uvunaji wa bidhaa za majini.
1)ENDELEA</t>
        </is>
      </c>
      <c r="I140" s="148">
        <f>LEN(H140)</f>
        <v/>
      </c>
      <c r="J140" s="148" t="inlineStr">
        <is>
          <t>Single Choice</t>
        </is>
      </c>
      <c r="K140" s="148" t="inlineStr">
        <is>
          <t>NA</t>
        </is>
      </c>
      <c r="L140" s="148" t="inlineStr">
        <is>
          <t>Send if "income_main_fish_check" "Equals" "YES" Or "income_sec_fish_check" "Equals" "YES" Or "income_third_fish_check" "Equals" "YES" Or "hh_fish" "Equals" "YES" if not satisfied go to "fish_salesmain"</t>
        </is>
      </c>
      <c r="M140" s="158" t="inlineStr">
        <is>
          <t>Form Type - Buttons</t>
        </is>
      </c>
      <c r="N140" s="149" t="inlineStr">
        <is>
          <t>NA</t>
        </is>
      </c>
      <c r="O140" s="150" t="inlineStr">
        <is>
          <t>1 = fish_main</t>
        </is>
      </c>
      <c r="P140" s="151" t="n"/>
      <c r="Q140" s="393" t="inlineStr">
        <is>
          <t>If the respondent reported production and sales of fish in one of the three main income sources and confirmed that they are involved in production, or if they indicated being involved involved in fishing or aquaculture activities in the past 12 months in hh_fish, then this section will be administered to respondents. Otherwise, skip to fies</t>
        </is>
      </c>
      <c r="R140" s="394" t="inlineStr"/>
      <c r="S140" s="153" t="n"/>
      <c r="T140" s="205">
        <f>'Additional information'!$D$19</f>
        <v/>
      </c>
      <c r="U140" s="133" t="n"/>
      <c r="W140" s="208" t="inlineStr">
        <is>
          <t>yes</t>
        </is>
      </c>
      <c r="X140" s="726" t="n"/>
      <c r="AA140" s="734" t="n">
        <v>2.480132341384888</v>
      </c>
      <c r="AB140" s="734">
        <f>IF(AA140="","",AA140*T140)</f>
        <v/>
      </c>
      <c r="AC140" s="133" t="inlineStr"/>
    </row>
    <row r="141" ht="220.5" customFormat="1" customHeight="1" s="183">
      <c r="A141" s="145">
        <f>A140+1</f>
        <v/>
      </c>
      <c r="B141" s="146" t="inlineStr">
        <is>
          <t>fish_main</t>
        </is>
      </c>
      <c r="C141" s="527" t="inlineStr">
        <is>
          <t>fish_main_
1) fish_main_coastal
2) fish_main_offshore_sea
3) fish_main_freshwater
4) fish_main_aquaculture
5) fish_main_dk
6) fish_main_ref</t>
        </is>
      </c>
      <c r="D141" s="173" t="inlineStr">
        <is>
          <t>What type of fishing activity does your household generally practice?
[OPERATOR: MULTIPLE RESPONSES POSSIBLE.]
1)Near coastal/ delta/ lagoon fishing
2)Offshore sea fishing
3)Freshwater fishing [in lakes/ reservoirs/ ponds/ rivers or wetlands]
4)Aquaculture
5)DON'T KNOW
6)REFUSED</t>
        </is>
      </c>
      <c r="E141" s="148">
        <f>LEN(D141)</f>
        <v/>
      </c>
      <c r="F141" s="160" t="inlineStr">
        <is>
          <t>Quel type de pêche votre ménage pratique-t-il généralement ?
[OPÉRATEUR/OPÉRATRICE: RÉPONSE MULTIPLE.]
1)Pêche côtière/ dans les deltas ou les lagunes
2)Pêche en haute mer
3)Pêche en eau douce [lacs/ réservoirs/ étangs/ rivières ou zones humides]
4)Aquaculture
5)NE SAIT PAS
6)REFUSÉ</t>
        </is>
      </c>
      <c r="G141" s="148">
        <f>LEN(F141)</f>
        <v/>
      </c>
      <c r="H141" s="160" t="inlineStr">
        <is>
          <t>Ni aina gani ya shughuli za uvuvi ambazo kaya yako hufanya kwa ujumla?_x000D_
_x000D_
[OPERATOR: MAJIBU MENGI YANAWEZEKANA.]_x000D_
_x000D_
1)Karibu na uvuvi wa pwani / delta / rasi_x000D_
2)Uvuvi wa baharini_x000D_
3)Uvuvi wa maji safi [katika maziwa / hifadhi / madimbwi / mito / au ardhi oevu]_x000D_
4)Ufugaji wa samaki_x000D_
5)SIJUE_x000D_
6)KUKATALA</t>
        </is>
      </c>
      <c r="I141" s="148">
        <f>LEN(H141)</f>
        <v/>
      </c>
      <c r="J141" s="156" t="inlineStr">
        <is>
          <t>Select All That Apply</t>
        </is>
      </c>
      <c r="K141" s="148" t="inlineStr">
        <is>
          <t>NA</t>
        </is>
      </c>
      <c r="L141" s="148" t="inlineStr">
        <is>
          <t>NA</t>
        </is>
      </c>
      <c r="M141" s="148" t="inlineStr">
        <is>
          <t>Form Type - Checklist
5,6 = IsNone</t>
        </is>
      </c>
      <c r="N141" s="149" t="inlineStr">
        <is>
          <t>1)fish_main_coastal
2)fish_main_offshore_sea
3)fish_main_freshwater
4)fish_main_aquaculture
5)fish_main_dk
6)fish_main_ref</t>
        </is>
      </c>
      <c r="O141" s="150" t="inlineStr">
        <is>
          <t>1-6 = fish_change</t>
        </is>
      </c>
      <c r="P141" s="151" t="n"/>
      <c r="Q141" s="150" t="inlineStr">
        <is>
          <t>if fish_main = 1-6, go to fish_change</t>
        </is>
      </c>
      <c r="R141" s="223" t="inlineStr"/>
      <c r="S141" s="327" t="n"/>
      <c r="T141" s="205">
        <f>'Additional information'!$D$19</f>
        <v/>
      </c>
      <c r="U141" s="133" t="n"/>
      <c r="W141" s="208" t="inlineStr">
        <is>
          <t>yes</t>
        </is>
      </c>
      <c r="X141" s="726" t="n"/>
      <c r="AA141" s="734" t="n">
        <v>12.71689510345459</v>
      </c>
      <c r="AB141" s="734">
        <f>IF(AA141="","",AA141*T141)</f>
        <v/>
      </c>
      <c r="AC141" s="133" t="inlineStr"/>
    </row>
    <row r="142" ht="273" customHeight="1">
      <c r="A142" s="145">
        <f>A141+1</f>
        <v/>
      </c>
      <c r="B142" s="511" t="inlineStr">
        <is>
          <t>fish_change</t>
        </is>
      </c>
      <c r="C142" s="511" t="inlineStr">
        <is>
          <t>fish_change</t>
        </is>
      </c>
      <c r="D142" s="173" t="inlineStr">
        <is>
          <t>How does your fish catch [farmed] in the last 3 months [last harvest] compare to the same period [harvest] last year?
[OPERATOR: SINGLE RESPONSE.]
1)A lot more [increased by more than 50%]
2)Slightly more
3)Same
4)Slightly less
5)A lot less [less than half as much]
6)DON'T KNOW
7)REFUSED</t>
        </is>
      </c>
      <c r="E142" s="148">
        <f>LEN(D142)</f>
        <v/>
      </c>
      <c r="F142" s="160" t="inlineStr">
        <is>
          <t>Comment évaluez-vous votre prise de poisson [d'élevage] au cours des 3 derniers mois [dernière récolte] par rapport à la même période [récolte] l'année dernière?
[OPÉRATEUR/OPÉRATRICE: RÉPONSE UNIQUE]
1)Très supérieure [augmentation de plus de 50%]
2)Légèrement supérieure
3)Identique
4)Légèrement inférieure
5)Très inférieure [moins de la moitié]
6)NE SAIT PAS
7)REFUSÉ</t>
        </is>
      </c>
      <c r="G142" s="148">
        <f>LEN(F142)</f>
        <v/>
      </c>
      <c r="H142" s="160" t="inlineStr">
        <is>
          <t>Uvunaji wa samaki wako [waliolimwa] katika miezi 3 iliyopita [uvunaji wa mwisho] ikilinganishwa na kipindi kama hicho [uvunaji] mwaka uliopita, vipi?
[OPERATOR: JIBU MOJA.]
1)Mengi zaidi [imeongezeka kwa zaidi ya 50%]
2)Zaidi kidogo
3)Sawa
4)Kidogo kidogo
5)Chini sana [chini ya nusu zaidi]
6)SIJUE
7)KUKATALA</t>
        </is>
      </c>
      <c r="I142" s="148">
        <f>LEN(H142)</f>
        <v/>
      </c>
      <c r="J142" s="511" t="inlineStr">
        <is>
          <t>Single Choice</t>
        </is>
      </c>
      <c r="K142" s="511" t="inlineStr">
        <is>
          <t>NA</t>
        </is>
      </c>
      <c r="L142" s="511" t="inlineStr">
        <is>
          <t>NA</t>
        </is>
      </c>
      <c r="M142" s="511" t="inlineStr">
        <is>
          <t>Form Type - Buttons</t>
        </is>
      </c>
      <c r="N142" s="149" t="inlineStr">
        <is>
          <t>NA</t>
        </is>
      </c>
      <c r="O142" s="528" t="inlineStr">
        <is>
          <t>1-7 = fish_proddif</t>
        </is>
      </c>
      <c r="P142" s="529" t="n"/>
      <c r="Q142" s="528" t="inlineStr">
        <is>
          <t>if fish_change = 1-7, go to fish_proddif</t>
        </is>
      </c>
      <c r="R142" s="530" t="inlineStr"/>
      <c r="S142" s="166" t="n"/>
      <c r="T142" s="205">
        <f>'Additional information'!$D$19</f>
        <v/>
      </c>
      <c r="U142" s="133" t="n"/>
      <c r="W142" s="208" t="inlineStr">
        <is>
          <t>yes</t>
        </is>
      </c>
      <c r="AA142" s="734" t="n">
        <v>10.51750373840332</v>
      </c>
      <c r="AB142" s="734">
        <f>IF(AA142="","",AA142*T142)</f>
        <v/>
      </c>
      <c r="AC142" s="133" t="inlineStr"/>
    </row>
    <row r="143" ht="189" customFormat="1" customHeight="1" s="183">
      <c r="A143" s="145">
        <f>A142+1</f>
        <v/>
      </c>
      <c r="B143" s="146" t="inlineStr">
        <is>
          <t>fish_proddif</t>
        </is>
      </c>
      <c r="C143" s="156" t="inlineStr">
        <is>
          <t>fish_proddif</t>
        </is>
      </c>
      <c r="D143" s="173" t="inlineStr">
        <is>
          <t>Has your household faced any significant difficulty with fish catch / harvest / farming in the last 3 months?
[OPERATOR: SINGLE RESPONSE.]
1)YES
2)NO
3)DON'T KNOW
4)REFUSED</t>
        </is>
      </c>
      <c r="E143" s="148">
        <f>LEN(D143)</f>
        <v/>
      </c>
      <c r="F143" s="160" t="inlineStr">
        <is>
          <t>Votre ménage a-t-il rencontré d’importantes difficultés avec la pêche / la récolte / l'élevage au cours des 3 derniers mois?
[OPÉRATEUR/OPÉRATRICE: RÉPONSE UNIQUE.]
1)OUI
2)NON
3)NE SAIT PAS
4)REFUSÉ</t>
        </is>
      </c>
      <c r="G143" s="148">
        <f>LEN(F143)</f>
        <v/>
      </c>
      <c r="H143" s="160" t="inlineStr">
        <is>
          <t>Je, familia yako imekumbana na changamoto kubwa yoyote katika uvunaji wa samaki/uvunaji/kilimo cha samaki katika miezi 3 iliyopita?
[OPERATOR: JIBU MOJA.]
1)NDIYO
2)HAPANA
3)SIJUE
4)KUKATALA</t>
        </is>
      </c>
      <c r="I143" s="148">
        <f>LEN(H143)</f>
        <v/>
      </c>
      <c r="J143" s="276" t="inlineStr">
        <is>
          <t>Single Choice</t>
        </is>
      </c>
      <c r="K143" s="148" t="inlineStr">
        <is>
          <t>NA</t>
        </is>
      </c>
      <c r="L143" s="148" t="inlineStr">
        <is>
          <t>NA</t>
        </is>
      </c>
      <c r="M143" s="148" t="inlineStr">
        <is>
          <t>Form Type - Buttons</t>
        </is>
      </c>
      <c r="N143" s="149" t="inlineStr">
        <is>
          <t>NA</t>
        </is>
      </c>
      <c r="O143" s="150" t="inlineStr">
        <is>
          <t>1=fish_proddif_2
2-4= fish_inputdif</t>
        </is>
      </c>
      <c r="P143" s="151" t="n"/>
      <c r="Q143" s="162" t="inlineStr">
        <is>
          <t>if fish_proddif = 1, go to fish_proddif_2 ; 
if fish_proddif = 2-4, go to fish_salesmain OR optional question</t>
        </is>
      </c>
      <c r="R143" s="521" t="inlineStr"/>
      <c r="S143" s="166" t="n"/>
      <c r="T143" s="205">
        <f>'Additional information'!$D$19</f>
        <v/>
      </c>
      <c r="U143" s="133" t="n"/>
      <c r="W143" s="208" t="inlineStr">
        <is>
          <t>yes</t>
        </is>
      </c>
      <c r="X143" s="726" t="n"/>
      <c r="AA143" s="734" t="n">
        <v>6.48249626159668</v>
      </c>
      <c r="AB143" s="734">
        <f>IF(AA143="","",AA143*T143)</f>
        <v/>
      </c>
      <c r="AC143" s="133" t="inlineStr"/>
    </row>
    <row r="144" ht="409.5" customFormat="1" customHeight="1" s="183">
      <c r="A144" s="145">
        <f>A143+1</f>
        <v/>
      </c>
      <c r="B144" s="146" t="inlineStr">
        <is>
          <t>fish_proddif_2</t>
        </is>
      </c>
      <c r="C144" s="156" t="inlineStr">
        <is>
          <t>fish_proddif_
1) fish_proddif_find_fish
2) fish_proddif_pests
3) fish_proddif_access_area
4) fish_proddif_fuel
5) fish_proddif_input_access
6) fish_proddif_labour
7) fish_proddif_infrastructure
8) fish_proddif_damage_equip
9) fish_proddif_other
10) fish_proddif_dk
11) fish_proddif_ref</t>
        </is>
      </c>
      <c r="D144" s="531" t="inlineStr">
        <is>
          <t>Which difficulties has your household faced with fish catch / harvest / farming in the last 3 months?
[OPERATOR: MULTIPLE RESPONSES POSSIBLE. SELECT OPTION(S) THAT BEST FIT THE INFORMATION PROVIDED BY THE RESPONDENTS.]
1)Fish is more difficult to find than in previous years in the same season [fishing]
2)Fish pests and diseases [aquaculture]
3)Access to fishing or aquaculture area [e.g. due to weather or security]
4)Access to fuel [prices higher or not available]
5)Access to other fishing or culture inputs [prices higher or not available]
6)Access to labour or crew labour [prices higher or not available]
7)Damage or destruction of infrastructure [ponds/ cages/ ports/ landing sites]
8)Damage or destruction of boats or gears
9)Other
10)DON'T KNOW
11)REFUSED</t>
        </is>
      </c>
      <c r="E144" s="158">
        <f>LEN(D144)</f>
        <v/>
      </c>
      <c r="F144" s="159" t="inlineStr">
        <is>
          <t>Quelles difficultés votre ménage a-t-il rencontrées dans la capture/récolte/élevage de poisson au cours des trois derniers mois?
[OPÉRATEUR/OPÉRATRICE: PLUSIEURS RÉPONSES POSSIBLES. SÉLECTIONNER LA OU LES OPTIONS QUI CORRESPONDENT LE MIEUX AUX INFORMATIONS PROPOSÉES PAR LES RÉPONDANTS].
1)Le poisson est plus difficile à trouver que les années précédentes à la même saison [pêche]
2)Parasites et maladies des poissons [aquaculture]
3)Accès aux zones de pêche ou d'aquaculture [par exemple en raison des conditions météorologiques ou sécuritaires].
4)Accès au carburant [trop cher ou non disponible]
5)Accès à d'autres intrants de pêche ou de culture [trop chers ou non disponibles]
6)Accès à la main-d'œuvre ou aux équipages [trop chers ou non disponibles]
7)Dommages ou destruction des infrastructures [étangs/ cages/ ports/ sites de débarquement]
8)Dommages ou destruction des bateaux ou du matériel de pêche
9)Autre
10)NE SAIT PAS
11)REFUSÉ</t>
        </is>
      </c>
      <c r="G144" s="158">
        <f>LEN(F144)</f>
        <v/>
      </c>
      <c r="H144" s="160" t="inlineStr">
        <is>
          <t>Vipi, changamoto zipi familia yako imekumbana nazo katika uvunaji wa samaki/uvunaji/ kilimo cha samaki katika miezi 3 iliyopita?
[OPERATOR: MAJIBU MENGI YANAWEZEKANA. CHAGUA CHAGUO LINALOFAA VYEMA NA MAELEZO ILIYOTOLEWA NA WAHOJIWA.]
1)Samaki ni ngumu zaidi kupata kuliko miaka ya nyuma katika msimu huo huo [uvuvi]
2)Wadudu na magonjwa ya samaki [aquaculture]
3)Upatikanaji wa eneo la uvuvi au ufugaji samaki [k.m. kwa sababu ya hali ya hewa au usalama]
4)Upatikanaji wa mafuta [bei ya juu au haipatikani]
5)Upatikanaji wa pembejeo yingine  za uvuvi au utamaduni [bei ya juu au haipatikani]
6)Upatikanaji wa vibarua au wafanyakazi [bei ya juu au haipatikani]
7)Uharibifu au uharibifu wa miundombinu [mabwawa / ngome / bandari / tovuti za kutua]
8)Uharibifu au uharibifu wa boti au gia
9)Yingine
10)SIJUE
11)KUKATALA</t>
        </is>
      </c>
      <c r="I144" s="158">
        <f>LEN(H144)</f>
        <v/>
      </c>
      <c r="J144" s="156" t="inlineStr">
        <is>
          <t>Select All That Apply</t>
        </is>
      </c>
      <c r="K144" s="158" t="inlineStr">
        <is>
          <t>NA</t>
        </is>
      </c>
      <c r="L144" s="158" t="inlineStr">
        <is>
          <t>NA</t>
        </is>
      </c>
      <c r="M144" s="158" t="inlineStr">
        <is>
          <t>Form Type - Checklist
10,11 = IsNone</t>
        </is>
      </c>
      <c r="N144" s="149" t="inlineStr">
        <is>
          <t>1)fish_proddif_find_fish
2)fish_proddif_pests
3)fish_proddif_access_area
4)fish_proddif_fuel
5)fish_proddif_input_access
6)fish_proddif_labour
7)fish_proddif_infrastructure
8)fish_proddif_damage_equip
9)fish_proddif_other
10)fish_proddif_dk
11)fish_proddif_ref</t>
        </is>
      </c>
      <c r="O144" s="532" t="inlineStr">
        <is>
          <t>1-11 = fish_inputdif</t>
        </is>
      </c>
      <c r="P144" s="163" t="n"/>
      <c r="Q144" s="162" t="inlineStr">
        <is>
          <t>If fish_proddif_2 = 1-11, go to fish_salesmain OR optional question</t>
        </is>
      </c>
      <c r="R144" s="181" t="inlineStr"/>
      <c r="S144" s="166" t="n"/>
      <c r="T144" s="205">
        <f>'Additional information'!$D$19</f>
        <v/>
      </c>
      <c r="U144" s="133" t="n"/>
      <c r="W144" s="208" t="inlineStr">
        <is>
          <t>yes</t>
        </is>
      </c>
      <c r="X144" s="726" t="n"/>
      <c r="AA144" s="734" t="n">
        <v>23.64215660095215</v>
      </c>
      <c r="AB144" s="734">
        <f>IF(AA144="","",AA144*T144)</f>
        <v/>
      </c>
      <c r="AC144" s="133" t="inlineStr"/>
    </row>
    <row r="145" ht="409.6" customFormat="1" customHeight="1" s="183" thickBot="1">
      <c r="A145" s="145">
        <f>A144+1</f>
        <v/>
      </c>
      <c r="B145" s="320" t="inlineStr">
        <is>
          <t>fish_inputdif</t>
        </is>
      </c>
      <c r="C145" s="322" t="inlineStr">
        <is>
          <t>fish_inputdif_
1) fish_inputdif_bait_feed
2)fish_inputdif_fingerling
3) fish_inputdif_gear
4) fish_inputdif_ice
5) fish_inputdif_fuel
6) fish_inputdif_repairs
7) fish_inputdif_labour
8) fish_inputdif_other 
9)fish_inputdif_dk
10) fish_inputdif_ref</t>
        </is>
      </c>
      <c r="D145" s="533" t="inlineStr">
        <is>
          <t>Which fishing [culture] input material has your household had difficulties accessing in the last 3 months?
[OPERATOR: MULTIPLE RESPONSE POSSIBLE.]
1)Feed or bait
2)Fingerlings
3)Fishing gear [e.g. rods/ hooks/ nets]
4)Ice
5)Fuel
6)Equipment repairs [including boats] or spare parts
7)Labour
8)Other [specify]
9)DON'T KNOW
10)REFUSED</t>
        </is>
      </c>
      <c r="E145" s="186">
        <f>LEN(D145)</f>
        <v/>
      </c>
      <c r="F145" s="179" t="inlineStr">
        <is>
          <t>Quel matériel de pêche [pour la culture] votre ménage a-t-il eu des difficultés à se procurer au cours des trois derniers mois?
[OPÉRATEUR/OPÉRATRICE: PLUSIEURS RÉPONSES POSSIBLES.]
1)Aliments ou appâts
2)Alevins
3)Matériel de pêche [par exemple cannes à pêche/ hameçons/ filets]
4)Glace
5)Carburant
6)Réparation de l'équipement [y compris bateaux] ou pièces de rechange
7)Main d'oeuvre
8)Autre [préciser]
9)NE SAIT PAS
10)REFUSÉ</t>
        </is>
      </c>
      <c r="G145" s="186">
        <f>LEN(F145)</f>
        <v/>
      </c>
      <c r="H145" s="160" t="inlineStr">
        <is>
          <t>Ni nyenzo gani ya pembejeo ya uvuvi [utamaduni] kaya yako imekuwa na shida kuyipata katika kipindi cha miezi 3 iliyopita?
[OPERATOR: MAJIBU MENGI YANAWEZEKANA.]
1)Chakula au chambo
2)Vidole
3)Zana za uvuvi [k.m. viboko / ndoano / nyavu]
4)Barafu
5)Mafuta
6)Matengenezo ya vifaa [ikiwa ni pamoja na boti] au vipuri
7)Kazi
8)yingine  [taja]
9)SIJUE
10)KUKATALA</t>
        </is>
      </c>
      <c r="I145" s="186">
        <f>LEN(H145)</f>
        <v/>
      </c>
      <c r="J145" s="322" t="inlineStr">
        <is>
          <t>Open Ended-Select All That Apply</t>
        </is>
      </c>
      <c r="K145" s="186" t="inlineStr">
        <is>
          <t>NA</t>
        </is>
      </c>
      <c r="L145" s="186" t="inlineStr">
        <is>
          <t>Send if "fish_proddif_2" "Contains" "Access to other fishing or culture inputs [prices higher or not available]" if not satisfied go to "fish_salesmain"</t>
        </is>
      </c>
      <c r="M145" s="186" t="inlineStr">
        <is>
          <t>Form Type - Checklist
9,10= IsNone</t>
        </is>
      </c>
      <c r="N145" s="152" t="inlineStr">
        <is>
          <t>1)fish_inputdif_bait_feed
2)fish_inputdif_fingerling
3)fish_inputdif_gear
4)fish_inputdif_ice
5)fish_inputdif_fuel
6)fish_inputdif_repairs
7)fish_inputdif_labour
8)fish_inputdif_other 
9)fish_inputdif_dk
10) fish_inputdif_ref</t>
        </is>
      </c>
      <c r="O145" s="190" t="inlineStr">
        <is>
          <t>1-10 = fish_salesmain</t>
        </is>
      </c>
      <c r="P145" s="191" t="n"/>
      <c r="Q145" s="190" t="inlineStr">
        <is>
          <t>Asked only to respondents that answered fish_proddif_2 = 4.
if fish_inputdif = 1-10, go to fish_salesmain</t>
        </is>
      </c>
      <c r="R145" s="190" t="inlineStr"/>
      <c r="S145" s="534" t="n"/>
      <c r="T145" s="132">
        <f>'Additional information'!$D$19</f>
        <v/>
      </c>
      <c r="U145" s="133" t="n"/>
      <c r="W145" s="194" t="inlineStr">
        <is>
          <t>no</t>
        </is>
      </c>
      <c r="X145" s="726" t="n"/>
      <c r="AA145" s="735" t="n">
        <v>19.20000076293945</v>
      </c>
      <c r="AB145" s="735">
        <f>IF(AA145="","",AA145*T145)</f>
        <v/>
      </c>
      <c r="AC145" s="133" t="inlineStr"/>
    </row>
    <row r="146" ht="21.5" customFormat="1" customHeight="1" s="207" thickBot="1">
      <c r="A146" s="710" t="inlineStr">
        <is>
          <t>F. FISHERIES MARKETING</t>
        </is>
      </c>
      <c r="B146" s="732" t="n"/>
      <c r="C146" s="732" t="n"/>
      <c r="D146" s="732" t="n"/>
      <c r="E146" s="732" t="n"/>
      <c r="F146" s="732" t="n"/>
      <c r="G146" s="732" t="n"/>
      <c r="H146" s="732" t="n"/>
      <c r="I146" s="732" t="n"/>
      <c r="J146" s="732" t="n"/>
      <c r="K146" s="732" t="n"/>
      <c r="L146" s="732" t="n"/>
      <c r="M146" s="732" t="n"/>
      <c r="N146" s="732" t="n"/>
      <c r="O146" s="732" t="n"/>
      <c r="P146" s="732" t="n"/>
      <c r="Q146" s="732" t="n"/>
      <c r="R146" s="732" t="n"/>
      <c r="S146" s="733" t="n"/>
      <c r="T146" s="205" t="n"/>
      <c r="U146" s="206" t="n"/>
      <c r="W146" s="208" t="n"/>
      <c r="X146" s="209" t="n"/>
      <c r="AA146" s="734" t="n"/>
      <c r="AB146" s="734">
        <f>IF(AA146="","",AA146*T146)</f>
        <v/>
      </c>
      <c r="AC146" s="206">
        <f>IF(W146="yes",AB146,"")</f>
        <v/>
      </c>
    </row>
    <row r="147" ht="233.15" customFormat="1" customHeight="1" s="183">
      <c r="A147" s="145">
        <f>A145+1</f>
        <v/>
      </c>
      <c r="B147" s="146" t="inlineStr">
        <is>
          <t>fish_salesmain</t>
        </is>
      </c>
      <c r="C147" s="156" t="inlineStr">
        <is>
          <t>fish_salesmain</t>
        </is>
      </c>
      <c r="D147" s="395" t="inlineStr">
        <is>
          <t>What was the main fish or aquatic product sold by your household in the last 3 months?
[OPERATOR: SINGLE RESPONSE.]
1)Fresh product [any kind including invertebrates]
2)Preserved product [including dry/ smoked/ fermented/ salted]
3)Frozen product
4)Canned product
5)Other [specify]
6)DON'T KNOW
7)REFUSED</t>
        </is>
      </c>
      <c r="E147" s="148">
        <f>LEN(D147)</f>
        <v/>
      </c>
      <c r="F147" s="159" t="inlineStr">
        <is>
          <t>Quel était le principal produit piscicole ou aquatique vendu par votre ménage au cours des 3 derniers mois?
[OPÉRATEUR/OPÉRATRICE: RÉPONSE UNIQUE.]
1)Produit frais [toutes sortes y compris invertébrés]
2)Produit conservé [y compris poisson séché/ fumé/ fermenté/ salé]
3)Produit congelé
4)Produit en conserve
5)Autre [préciser]
6)NE SAIT PAS
7)REFUSÉ</t>
        </is>
      </c>
      <c r="G147" s="148">
        <f>LEN(F147)</f>
        <v/>
      </c>
      <c r="H147" s="160" t="inlineStr">
        <is>
          <t>Samaki au bidhaa za majini kuu zilizouzwa na familia yako katika miezi 3 iliyopita ni zipi?
[OPERATOR: JIBU MOJA.]
1)Bidhaa safi [aina yoyote/pamoja na visahani]
2)Bidhaa iliyohifadhiwa [pamoja na kavu/ iliyokaangwa/iliyosagwa/iliyotiwa chumvi]
3)Bidhaa iliyohifadhiwa kwa baridi
4)Bidhaa iliyowekwa kwenye chupa au makopo
5)yingine  [taja]
6)SIJUE
7)KUKATALA</t>
        </is>
      </c>
      <c r="I147" s="148">
        <f>LEN(H147)</f>
        <v/>
      </c>
      <c r="J147" s="276" t="inlineStr">
        <is>
          <t>Open Ended-Single Choice</t>
        </is>
      </c>
      <c r="K147" s="148" t="inlineStr">
        <is>
          <t>NA</t>
        </is>
      </c>
      <c r="L147" s="535" t="inlineStr">
        <is>
          <t>Send if "income_main" "Equals" "Production and sale of fish or aquatic products" Or "income_sec" "Equals" "Production and sale of fish or aquatic products" Or "income_third" "Equals" "Production and sale of fish or aquatic products" if not satisfied go to "fies_intro"</t>
        </is>
      </c>
      <c r="M147" s="148" t="inlineStr">
        <is>
          <t>Form Type - RadioList
IsDemographic - fish_salesmain</t>
        </is>
      </c>
      <c r="N147" s="149" t="inlineStr">
        <is>
          <t>NA</t>
        </is>
      </c>
      <c r="O147" s="218" t="inlineStr">
        <is>
          <t>1-5 = fish_salesdif
6-7 = fies_intro</t>
        </is>
      </c>
      <c r="P147" s="476" t="n"/>
      <c r="Q147" s="536" t="inlineStr">
        <is>
          <t>If either income_main or income_sec or income_third = "Production and sale of fish or aquatic products", then this section will be asked to respondents.
Otherwise, skip to fies.
if fish_salesmain = 1-5, go to fish_salesdif
if fish_salesmain = 6-7, go to fies</t>
        </is>
      </c>
      <c r="R147" s="537" t="inlineStr"/>
      <c r="S147" s="153" t="n"/>
      <c r="T147" s="205">
        <f>'Additional information'!$D$19</f>
        <v/>
      </c>
      <c r="U147" s="133" t="n"/>
      <c r="W147" s="208" t="inlineStr">
        <is>
          <t>yes</t>
        </is>
      </c>
      <c r="X147" s="726" t="n"/>
      <c r="AA147" s="734" t="n">
        <v>9.275494575500488</v>
      </c>
      <c r="AB147" s="734">
        <f>IF(AA147="","",AA147*T147)</f>
        <v/>
      </c>
      <c r="AC147" s="133" t="inlineStr"/>
    </row>
    <row r="148" ht="189" customFormat="1" customHeight="1" s="183">
      <c r="A148" s="155">
        <f>A147+1</f>
        <v/>
      </c>
      <c r="B148" s="158" t="inlineStr">
        <is>
          <t>fish_salesdif</t>
        </is>
      </c>
      <c r="C148" s="158" t="inlineStr">
        <is>
          <t>fish_salesdif</t>
        </is>
      </c>
      <c r="D148" s="173" t="inlineStr">
        <is>
          <t>Has your household faced any significant difficulty marketing / selling your {fish_salesmain} in the last 3 months?
[OPERATOR: SINGLE RESPONSE]
1)YES
2)NO
3)DON'T KNOW
4)REFUSED</t>
        </is>
      </c>
      <c r="E148" s="158">
        <f>LEN(D148)</f>
        <v/>
      </c>
      <c r="F148" s="159" t="inlineStr">
        <is>
          <t>Votre ménage a-t-il rencontré d'importantes difficultés pour commercialiser / vendre ses {fish_salesmain} au cours des trois derniers mois?
[OPÉRATEUR/OPÉRATRICE: RÉPONSE UNIQUE.]
1)OUI
2)NON
3)NE SAIT PAS
4)REFUSÉ</t>
        </is>
      </c>
      <c r="G148" s="158">
        <f>LEN(F148)</f>
        <v/>
      </c>
      <c r="H148" s="160" t="inlineStr">
        <is>
          <t>Kaya yako imekabiliwa na ugumu wowote wa uuzaji / kuuza {fish_salesmain} yako katika miezi 3 iliyopita?
[OPERATOR: JIBU MOJA]
1)NDIYO
2)HAPANA
3)SIJUE
4)KUKATALA</t>
        </is>
      </c>
      <c r="I148" s="158">
        <f>LEN(H148)</f>
        <v/>
      </c>
      <c r="J148" s="161" t="inlineStr">
        <is>
          <t>Single Choice</t>
        </is>
      </c>
      <c r="K148" s="158" t="inlineStr">
        <is>
          <t>NA</t>
        </is>
      </c>
      <c r="L148" s="158" t="inlineStr">
        <is>
          <t>NA</t>
        </is>
      </c>
      <c r="M148" s="158" t="inlineStr">
        <is>
          <t>Form Type - Buttons</t>
        </is>
      </c>
      <c r="N148" s="149" t="inlineStr">
        <is>
          <t>NA</t>
        </is>
      </c>
      <c r="O148" s="162" t="inlineStr">
        <is>
          <t>1 = fish_salesdif_2
2-4 = fish_salesprice</t>
        </is>
      </c>
      <c r="P148" s="202" t="n"/>
      <c r="Q148" s="538" t="inlineStr">
        <is>
          <t>if fish_salesdif = 1, go to fish_salesdif_2 ;
if fish_salesdif = 2-4, go to fish_salesprice</t>
        </is>
      </c>
      <c r="R148" s="539" t="inlineStr"/>
      <c r="S148" s="166" t="n"/>
      <c r="T148" s="205">
        <f>'Additional information'!$D$19</f>
        <v/>
      </c>
      <c r="U148" s="133" t="n"/>
      <c r="W148" s="208" t="inlineStr">
        <is>
          <t>yes</t>
        </is>
      </c>
      <c r="X148" s="726" t="n"/>
      <c r="AA148" s="734" t="n">
        <v>6.415841579437256</v>
      </c>
      <c r="AB148" s="734">
        <f>IF(AA148="","",AA148*T148)</f>
        <v/>
      </c>
      <c r="AC148" s="133" t="inlineStr"/>
    </row>
    <row r="149" ht="409.5" customFormat="1" customHeight="1" s="183">
      <c r="A149" s="155">
        <f>A148+1</f>
        <v/>
      </c>
      <c r="B149" s="498" t="inlineStr">
        <is>
          <t>fish_salesdif_2</t>
        </is>
      </c>
      <c r="C149" s="156" t="inlineStr">
        <is>
          <t>fish_saledif_
1) fish_saledif_marketing_cost
2) fish_saledif_damage_losses
3) fish_saledif_low_demand
4) fish_saledif_pay_delay
5) fish_saledif_low_prices
6) fish_saledif_processing
7) fish_saledif_competition
8) fish_saledif_other
9) fish_saledif_dk
10) fish_saledif_ref</t>
        </is>
      </c>
      <c r="D149" s="173" t="inlineStr">
        <is>
          <t>Which difficulties has your household faced in the last 3 months selling your {fish_salesmain}?
[OPERATOR: MULTIPLE RESPONSES POSSIBLE. SELECT OPTION(S) THAT BEST FIT THE INFORMATION PROVIDED BY THE RESPONDENTS.]
1)High transportation or other marketing costs
2)Other difficulties accessing the market [e.g. insecurity/ poor infrastructure]
3)Lack of demand from usual buyers/traders
4)Payment delays from traders/buyers 
5)Low selling prices [e.g. compared to input prices / inflation]
6)Difficulties processing product [lack of access to processing inputs / equipment / etc]
7)Market flooded with product
8)Other
9)DON'T KNOW
10)REFUSED</t>
        </is>
      </c>
      <c r="E149" s="158">
        <f>LEN(D149)</f>
        <v/>
      </c>
      <c r="F149" s="159" t="inlineStr">
        <is>
          <t>Quelles difficultés votre ménage a-t-il rencontrées au cours des trois derniers mois pour vendre ses {fish_salesmain}?
[OPÉRATEUR/OPÉRATRICE: PLUSIEURS RÉPONSES POSSIBLES. SÉLECTIONNEZ LA OU LES OPTIONS QUI CORRESPONDENT LE MIEUX AUX INFORMATIONS FOURNIES PAR LES PERSONNES INTERROGÉES.]
1)Coûts de transport ou autres coûts de commercialisation élevés
2)Autres difficultés d'accès au marché [par ex insécurité/ mauvaises infrastructures]
3)Baisse de la demande des commerçants/clients habituels
4)Retards de paiement de la part des négociants/acheteurs
5)Faibles prix de vente [par exemple par rapport aux prix des intrants / inflation]
6)Difficultés de transformation du produit [manque d'accès aux intrants de transformation / équipements / etc.]
7)Marchés saturés
8)Autre
9)NE SAIT PAS
10)REFUSÉ</t>
        </is>
      </c>
      <c r="G149" s="158">
        <f>LEN(F149)</f>
        <v/>
      </c>
      <c r="H149" s="160" t="inlineStr">
        <is>
          <t>Je, kaya yako imekumbana na matatizo gani katika kipindi cha miezi mitatu iliyopita katika kuuza {fish_salesmain} yake?
[OPERATOR: MAJIBU KADHAA YANAWEZEKANA. CHAGUA CHAGUO LINALOENDANA BORA NA MAELEZO ILIYOTOLEWA NA WAHOJIWA.]
1) Gharama kubwa za usafirishaji au gharama zingine za uuzaji
2) Matatizo mengine ya upatikanaji wa soko [k.m. ukosefu wa usalama/miundombinu duni]
3) Kupungua kwa mahitaji kutoka kwa wafanyabiashara/wateja wa kawaida
4)Kuchelewa kwa malipo kutoka kwa wafanyabiashara/wanunuzi
5)Bei za chini za mauzo [km. kuhusiana na bei ya pembejeo/ mfumuko wa bei]
6) Ugumu katika usindikaji wa bidhaa [ukosefu wa ufikiaji wa pembejeo / vifaa vya usindikaji / nk]
7) Masoko yaliyojaa
8) Nyingine
9)SIJUI
10)KUKATALA</t>
        </is>
      </c>
      <c r="I149" s="158">
        <f>LEN(H149)</f>
        <v/>
      </c>
      <c r="J149" s="156" t="inlineStr">
        <is>
          <t>Select All That Apply</t>
        </is>
      </c>
      <c r="K149" s="158" t="inlineStr">
        <is>
          <t>NA</t>
        </is>
      </c>
      <c r="L149" s="158" t="inlineStr">
        <is>
          <t>NA</t>
        </is>
      </c>
      <c r="M149" s="158" t="inlineStr">
        <is>
          <t>Form Type - Checklist
9,10 = IsNone</t>
        </is>
      </c>
      <c r="N149" s="149" t="inlineStr">
        <is>
          <t>1)fish_saledif_marketing_cost
2)fish_saledif_damage_losses
3)fish_saledif_low_demand
4)fish_saledif_pay_delay
5)fish_saledif_low_prices
6)fish_saledif_processing
7)fish_saledif_competition
8)fish_saledif_other
9)fish_saledif_dk
10)fish_saledif_ref</t>
        </is>
      </c>
      <c r="O149" s="162" t="inlineStr">
        <is>
          <t>1-10 = fish_salesprice</t>
        </is>
      </c>
      <c r="P149" s="202" t="n"/>
      <c r="Q149" s="509" t="inlineStr">
        <is>
          <t>if fish_salesdif = 1-10, go to fish_salesprice</t>
        </is>
      </c>
      <c r="R149" s="540" t="inlineStr"/>
      <c r="S149" s="166" t="n"/>
      <c r="T149" s="205">
        <f>'Additional information'!$D$19</f>
        <v/>
      </c>
      <c r="U149" s="133" t="n"/>
      <c r="W149" s="208" t="inlineStr">
        <is>
          <t>yes</t>
        </is>
      </c>
      <c r="X149" s="726" t="n"/>
      <c r="AA149" s="734" t="n">
        <v>20.53435134887695</v>
      </c>
      <c r="AB149" s="734">
        <f>IF(AA149="","",AA149*T149)</f>
        <v/>
      </c>
      <c r="AC149" s="133" t="inlineStr"/>
    </row>
    <row r="150" ht="294.5" customFormat="1" customHeight="1" s="183" thickBot="1">
      <c r="A150" s="541">
        <f>A149+1</f>
        <v/>
      </c>
      <c r="B150" s="287" t="inlineStr">
        <is>
          <t>fish_salesprice</t>
        </is>
      </c>
      <c r="C150" s="282" t="inlineStr">
        <is>
          <t>fish_salesprice</t>
        </is>
      </c>
      <c r="D150" s="173" t="inlineStr">
        <is>
          <t>How does the current price of your household's {fish_salesmain} sold compare to the average price in the same period/harvest of last year? 
[OPERATOR: SINGLE RESPONSE. INSIST ON THE MAIN PRODUCT MENTIONED.]
1)A lot more [increased by more than 50%]
2)Slightly more
3)Same
4)Slightly less
5)A lot less [less than half as much]
6)DON'T KNOW
7)REFUSED</t>
        </is>
      </c>
      <c r="E150" s="288">
        <f>LEN(D150)</f>
        <v/>
      </c>
      <c r="F150" s="289" t="inlineStr">
        <is>
          <t>Comment évaluez-vous le prix actuel de {fish_salesmain} vendus par votre ménage par rapport au prix moyen sur la même période/récolte de l'année dernière? 
[OPÉRATEUR/OPÉRATRICE: RÉPONSE UNIQUE. INSISTER SUR LE PRINCIPAL PRODUIT MENTIONNÉ AUPARAVANT.]
1)Très supérieur [augmentation de plus de 50%]
2)Légèrement supérieur
3)Identique
4)Inférieur
5)Très inférieur [moins de la moitié]
6)NE SAIT PAS
7)REFUSÉ</t>
        </is>
      </c>
      <c r="G150" s="288">
        <f>LEN(F150)</f>
        <v/>
      </c>
      <c r="H150" s="160" t="inlineStr">
        <is>
          <t>Bei ya sasa ya samaki inayouzwa na familia yako {fish_salesmain} ikilinganishwa na bei ya wastani kwa kipindi kama hicho/uvunaji mwaka uliopita, vipi? 
[OPERATOR: JIBU MOJA. SISITIZA BIDHAA KUU ILIYOTAJWA.]
1)Mengi zaidi [imeongezeka kwa zaidi ya 50%]
2)Zaidi kidogo
3)Sawa
4)Kidogo kidogo
5)Chini sana [chini ya nusu zaidi]
6)SIJUE
7)KUKATALA</t>
        </is>
      </c>
      <c r="I150" s="288">
        <f>LEN(H150)</f>
        <v/>
      </c>
      <c r="J150" s="542" t="inlineStr">
        <is>
          <t>Single Choice</t>
        </is>
      </c>
      <c r="K150" s="288" t="inlineStr">
        <is>
          <t>NA</t>
        </is>
      </c>
      <c r="L150" s="288" t="inlineStr">
        <is>
          <t>NA</t>
        </is>
      </c>
      <c r="M150" s="288" t="inlineStr">
        <is>
          <t>Form Type - Buttons</t>
        </is>
      </c>
      <c r="N150" s="149" t="inlineStr">
        <is>
          <t>NA</t>
        </is>
      </c>
      <c r="O150" s="509" t="inlineStr">
        <is>
          <t>1-7 = fies_intro</t>
        </is>
      </c>
      <c r="P150" s="543" t="n"/>
      <c r="Q150" s="509" t="inlineStr">
        <is>
          <t>if fish_salesprice = 1-7, go to fies_intro</t>
        </is>
      </c>
      <c r="R150" s="540" t="inlineStr"/>
      <c r="S150" s="166" t="n"/>
      <c r="T150" s="205">
        <f>'Additional information'!$D$19</f>
        <v/>
      </c>
      <c r="U150" s="133" t="n"/>
      <c r="W150" s="208" t="inlineStr">
        <is>
          <t>yes</t>
        </is>
      </c>
      <c r="X150" s="726" t="n"/>
      <c r="AA150" s="734" t="n">
        <v>8.306930541992188</v>
      </c>
      <c r="AB150" s="734">
        <f>IF(AA150="","",AA150*T150)</f>
        <v/>
      </c>
      <c r="AC150" s="133" t="inlineStr"/>
    </row>
    <row r="151" ht="21.5" customFormat="1" customHeight="1" s="207" thickBot="1">
      <c r="A151" s="710" t="inlineStr">
        <is>
          <t>G. FOOD SECURITY AND CONSUMPTION</t>
        </is>
      </c>
      <c r="B151" s="732" t="n"/>
      <c r="C151" s="732" t="n"/>
      <c r="D151" s="732" t="n"/>
      <c r="E151" s="732" t="n"/>
      <c r="F151" s="732" t="n"/>
      <c r="G151" s="732" t="n"/>
      <c r="H151" s="732" t="n"/>
      <c r="I151" s="732" t="n"/>
      <c r="J151" s="732" t="n"/>
      <c r="K151" s="732" t="n"/>
      <c r="L151" s="732" t="n"/>
      <c r="M151" s="732" t="n"/>
      <c r="N151" s="732" t="n"/>
      <c r="O151" s="732" t="n"/>
      <c r="P151" s="732" t="n"/>
      <c r="Q151" s="732" t="n"/>
      <c r="R151" s="732" t="n"/>
      <c r="S151" s="733" t="n"/>
      <c r="T151" s="205" t="n"/>
      <c r="U151" s="206" t="n"/>
      <c r="W151" s="208" t="n"/>
      <c r="X151" s="209" t="n"/>
      <c r="AA151" s="734" t="n"/>
      <c r="AB151" s="734">
        <f>IF(AA151="","",AA151*T151)</f>
        <v/>
      </c>
      <c r="AC151" s="206">
        <f>IF(W151="yes",AB151,"")</f>
        <v/>
      </c>
    </row>
    <row r="152" ht="210" customFormat="1" customHeight="1" s="183">
      <c r="A152" s="145">
        <f>A150+1</f>
        <v/>
      </c>
      <c r="B152" s="146" t="inlineStr">
        <is>
          <t>fies_intro</t>
        </is>
      </c>
      <c r="C152" s="146" t="inlineStr">
        <is>
          <t>fies_intro</t>
        </is>
      </c>
      <c r="D152" s="147" t="inlineStr">
        <is>
          <t>Now I would like to ask you some questions about food consumption, food utilization and coping mechanisms. Make sure to refer to the correct time period for each set of questions. The first set of questions refers to experiences faced by you or any of your household members over the past 30 days. 
[OPERATOR: SINGLE RESPONSE]
1)NEXT</t>
        </is>
      </c>
      <c r="E152" s="148">
        <f>LEN(D152)</f>
        <v/>
      </c>
      <c r="F152" s="147" t="inlineStr">
        <is>
          <t>Je vais maintenant vous poser quelques questions sur votre consommation de nourriture, l'utilisation de la nourriture et les mécanismes d'adaptation. Attention: il faut vous référer à la bonne période pour chaque série de questions. La première série de questions concerne les expériences auxquelles vous ou les membres de votre foyer avez été confrontés au cours des 30 derniers jours. 
[OPÉRATEUR/OPÉRATRICE: RÉPONSE UNIQUE]
1) CONTINUER</t>
        </is>
      </c>
      <c r="G152" s="148">
        <f>LEN(F152)</f>
        <v/>
      </c>
      <c r="H152" s="160" t="inlineStr">
        <is>
          <t>Sasa minapenda kukuuliza baadhi ya maswali kuhusu matumizi ya chakula, matumizi ya chakula na mbinu za kukabiliana na hali hiyo. Hakikisha unarejelea muda sahihi kwa kila seti ya maswali. Seti ya kwanza ya maswali inarejelea uzoefu unaokukabili au lolote kati yako. wanakaya katika siku 30 iliyopita_x000D_
_x000D_
[OPERATOR: JIBU MOJA]_x000D_
_x000D_
1)INAYOFUATA</t>
        </is>
      </c>
      <c r="I152" s="148">
        <f>LEN(H152)</f>
        <v/>
      </c>
      <c r="J152" s="276" t="inlineStr">
        <is>
          <t>Single Choice</t>
        </is>
      </c>
      <c r="K152" s="148" t="inlineStr">
        <is>
          <t>NA</t>
        </is>
      </c>
      <c r="L152" s="148" t="inlineStr">
        <is>
          <t>NA</t>
        </is>
      </c>
      <c r="M152" s="148" t="inlineStr">
        <is>
          <t>Form Type - Buttons</t>
        </is>
      </c>
      <c r="N152" s="149" t="inlineStr">
        <is>
          <t>NA</t>
        </is>
      </c>
      <c r="O152" s="150" t="inlineStr">
        <is>
          <t>1 = fies_worried</t>
        </is>
      </c>
      <c r="P152" s="151" t="n"/>
      <c r="Q152" s="150" t="inlineStr">
        <is>
          <t>if fies = 1, go to fies_worried</t>
        </is>
      </c>
      <c r="R152" s="223" t="inlineStr"/>
      <c r="S152" s="544" t="inlineStr">
        <is>
          <t>Check if the ESS team has an official translation.</t>
        </is>
      </c>
      <c r="T152" s="205" t="n">
        <v>1</v>
      </c>
      <c r="U152" s="133" t="n"/>
      <c r="W152" s="208" t="inlineStr">
        <is>
          <t>yes</t>
        </is>
      </c>
      <c r="X152" s="726" t="n"/>
      <c r="AA152" s="734" t="n">
        <v>8.088166236877441</v>
      </c>
      <c r="AB152" s="734">
        <f>IF(AA152="","",AA152*T152)</f>
        <v/>
      </c>
      <c r="AC152" s="133" t="inlineStr"/>
    </row>
    <row r="153" ht="210" customFormat="1" customHeight="1" s="183">
      <c r="A153" s="155">
        <f>A152+1</f>
        <v/>
      </c>
      <c r="B153" s="498" t="inlineStr">
        <is>
          <t>fies_worried</t>
        </is>
      </c>
      <c r="C153" s="156" t="inlineStr">
        <is>
          <t>fies_worried</t>
        </is>
      </c>
      <c r="D153" s="422" t="inlineStr">
        <is>
          <t>During the last 30 days, was there a time when you or others in your household were worried about not having enough food to eat because of lack of money or other resources?
[OPERATOR: SINGLE RESPONSE]
1)YES
2)NO
3)DON'T KNOW
4)REFUSED</t>
        </is>
      </c>
      <c r="E153" s="158">
        <f>LEN(D153)</f>
        <v/>
      </c>
      <c r="F153" s="289" t="inlineStr">
        <is>
          <t>Au cours de ces 30 derniers jours, vous ou un membre de votre ménage avez-vous été inquiet[e]s de ne pas avoir suffisamment de nourriture par manque d’argent ou d’autres ressources?
[OPÉRATEUR/OPÉRATRICE: RÉPONSE UNIQUE.]
1)OUI
2)NON
3)NE SAIT PAS
4)REFUSÉ</t>
        </is>
      </c>
      <c r="G153" s="158">
        <f>LEN(F153)</f>
        <v/>
      </c>
      <c r="H153" s="160" t="inlineStr">
        <is>
          <t>Katika siku 30 iliyopita, kuna wakati wewe au wengine katika kaya yako walikuwa na wasiwasi wa kukosa chakula cha kutosha kwa sababu ya ukosefu wa pesa au rasilimali yingine ?_x000D_
_x000D_
[OPERATOR: JIBU MOJA]_x000D_
_x000D_
1)NDIYO_x000D_
2)HAPANA_x000D_
3)SIJUE_x000D_
4)KUKATALA</t>
        </is>
      </c>
      <c r="I153" s="158">
        <f>LEN(H153)</f>
        <v/>
      </c>
      <c r="J153" s="161" t="inlineStr">
        <is>
          <t>Single Choice</t>
        </is>
      </c>
      <c r="K153" s="158" t="inlineStr">
        <is>
          <t>NA</t>
        </is>
      </c>
      <c r="L153" s="158" t="inlineStr">
        <is>
          <t>NA</t>
        </is>
      </c>
      <c r="M153" s="158" t="inlineStr">
        <is>
          <t>Form Type - Buttons</t>
        </is>
      </c>
      <c r="N153" s="149" t="inlineStr">
        <is>
          <t>NA</t>
        </is>
      </c>
      <c r="O153" s="162" t="inlineStr">
        <is>
          <t>1-4 = fies_healthy</t>
        </is>
      </c>
      <c r="P153" s="163" t="n"/>
      <c r="Q153" s="545" t="inlineStr">
        <is>
          <t>if fies_worried = 1-4, go to fies_healthy</t>
        </is>
      </c>
      <c r="R153" s="546" t="inlineStr"/>
      <c r="S153" s="166" t="n"/>
      <c r="T153" s="205" t="n">
        <v>1</v>
      </c>
      <c r="U153" s="133" t="n"/>
      <c r="W153" s="208" t="inlineStr">
        <is>
          <t>yes</t>
        </is>
      </c>
      <c r="X153" s="726" t="n"/>
      <c r="AA153" s="734" t="n">
        <v>20.22456741333008</v>
      </c>
      <c r="AB153" s="734">
        <f>IF(AA153="","",AA153*T153)</f>
        <v/>
      </c>
      <c r="AC153" s="133" t="inlineStr"/>
    </row>
    <row r="154" ht="210" customFormat="1" customHeight="1" s="183">
      <c r="A154" s="155">
        <f>A153+1</f>
        <v/>
      </c>
      <c r="B154" s="498" t="inlineStr">
        <is>
          <t>fies_healthy</t>
        </is>
      </c>
      <c r="C154" s="156" t="inlineStr">
        <is>
          <t>fies_healthy</t>
        </is>
      </c>
      <c r="D154" s="422" t="inlineStr">
        <is>
          <t>During the last 30 days, was there a time when you or others in your household were unable to eat healthy and nutritious food because of lack of money or other resources?
[OPERATOR: SINGLE RESPONSE]
1)YES
2)NO
3)DON'T KNOW
4)REFUSED</t>
        </is>
      </c>
      <c r="E154" s="158">
        <f>LEN(D154)</f>
        <v/>
      </c>
      <c r="F154" s="289" t="inlineStr">
        <is>
          <t>Au cours des 30 derniers jours, vous ou un autre membre de votre ménage n'avez-vous pas pu manger une nourriture saine det nutritive par manque d’argent ou d’autres ressources?
[OPÉRATEUR/OPÉRATRICE: RÉPONSE UNIQUE.]
1)OUI
2)NON
3)NE SAIT PAS
4)REFUSÉ</t>
        </is>
      </c>
      <c r="G154" s="158">
        <f>LEN(F154)</f>
        <v/>
      </c>
      <c r="H154" s="160" t="inlineStr">
        <is>
          <t>Katika siku 30 iliyopita, kuna wakati wewe au wengine katika kaya yako hawakuweza kula chakula bora na chenye lishe kwa sababu ya ukosefu wa pesa au rasilimali yingine ?_x000D_
_x000D_
[OPERATOR: JIBU MOJA]_x000D_
_x000D_
1)NDIYO_x000D_
2)HAPANA_x000D_
3)SIJUE_x000D_
4)KUKATALA</t>
        </is>
      </c>
      <c r="I154" s="158">
        <f>LEN(H154)</f>
        <v/>
      </c>
      <c r="J154" s="161" t="inlineStr">
        <is>
          <t>Single Choice</t>
        </is>
      </c>
      <c r="K154" s="158" t="inlineStr">
        <is>
          <t>NA</t>
        </is>
      </c>
      <c r="L154" s="158" t="inlineStr">
        <is>
          <t>NA</t>
        </is>
      </c>
      <c r="M154" s="158" t="inlineStr">
        <is>
          <t>Form Type - Buttons</t>
        </is>
      </c>
      <c r="N154" s="149" t="inlineStr">
        <is>
          <t>NA</t>
        </is>
      </c>
      <c r="O154" s="162" t="inlineStr">
        <is>
          <t>1-4 = fies_fewfoods</t>
        </is>
      </c>
      <c r="P154" s="163" t="n"/>
      <c r="Q154" s="545" t="inlineStr">
        <is>
          <t>if fies_healthy = 1-4, go to fies_fewfoods</t>
        </is>
      </c>
      <c r="R154" s="546" t="inlineStr"/>
      <c r="S154" s="166" t="n"/>
      <c r="T154" s="205" t="n">
        <v>1</v>
      </c>
      <c r="U154" s="133" t="n"/>
      <c r="W154" s="208" t="inlineStr">
        <is>
          <t>yes</t>
        </is>
      </c>
      <c r="X154" s="726" t="n"/>
      <c r="AA154" s="734" t="n">
        <v>14.02606105804443</v>
      </c>
      <c r="AB154" s="734">
        <f>IF(AA154="","",AA154*T154)</f>
        <v/>
      </c>
      <c r="AC154" s="133" t="inlineStr"/>
    </row>
    <row r="155" ht="210" customFormat="1" customHeight="1" s="183">
      <c r="A155" s="155">
        <f>A154+1</f>
        <v/>
      </c>
      <c r="B155" s="498" t="inlineStr">
        <is>
          <t>fies_fewfoods</t>
        </is>
      </c>
      <c r="C155" s="156" t="inlineStr">
        <is>
          <t>fies_fewfoods</t>
        </is>
      </c>
      <c r="D155" s="422" t="inlineStr">
        <is>
          <t>During the last 30 days, was there a time when you or others in your household ate only a few kinds of foods because of lack of money or other resources?
[OPERATOR: SINGLE RESPONSE]
1)YES
2)NO
3)DON'T KNOW
4)REFUSED</t>
        </is>
      </c>
      <c r="E155" s="158">
        <f>LEN(D155)</f>
        <v/>
      </c>
      <c r="F155" s="289" t="inlineStr">
        <is>
          <t>Au cours des 30 derniers jours, vous ou un autre membre de votre ménage avez-vous mangé une nourriture peu variée par manque d’argent ou d’autres ressources?
[OPÉRATEUR/OPÉRATRICE: RÉPONSE UNIQUE.]
1)OUI
2)NON
3)NE SAIT PAS
4)REFUSÉ</t>
        </is>
      </c>
      <c r="G155" s="158">
        <f>LEN(F155)</f>
        <v/>
      </c>
      <c r="H155" s="160" t="inlineStr">
        <is>
          <t>Katika siku 30 iliyopita, kuna wakati wewe au wengine katika kaya yako walikula aina chache tu za vyakula kwa sababu ya ukosefu wa pesa au rasilimali yingine ?_x000D_
_x000D_
[OPERATOR: JIBU MOJA]_x000D_
_x000D_
1)NDIYO_x000D_
2)HAPANA_x000D_
3)SIJUE_x000D_
4)KUKATALA</t>
        </is>
      </c>
      <c r="I155" s="158">
        <f>LEN(H155)</f>
        <v/>
      </c>
      <c r="J155" s="161" t="inlineStr">
        <is>
          <t>Single Choice</t>
        </is>
      </c>
      <c r="K155" s="158" t="inlineStr">
        <is>
          <t>NA</t>
        </is>
      </c>
      <c r="L155" s="158" t="inlineStr">
        <is>
          <t>NA</t>
        </is>
      </c>
      <c r="M155" s="158" t="inlineStr">
        <is>
          <t>Form Type - Buttons</t>
        </is>
      </c>
      <c r="N155" s="149" t="inlineStr">
        <is>
          <t>NA</t>
        </is>
      </c>
      <c r="O155" s="162" t="inlineStr">
        <is>
          <t>1-4 = fies_skipped</t>
        </is>
      </c>
      <c r="P155" s="163" t="n"/>
      <c r="Q155" s="545" t="inlineStr">
        <is>
          <t>if fies_fewfoods = 1-4, go to fies_skipped</t>
        </is>
      </c>
      <c r="R155" s="546" t="inlineStr"/>
      <c r="S155" s="166" t="n"/>
      <c r="T155" s="205" t="n">
        <v>1</v>
      </c>
      <c r="U155" s="133" t="n"/>
      <c r="W155" s="208" t="inlineStr">
        <is>
          <t>yes</t>
        </is>
      </c>
      <c r="X155" s="726" t="n"/>
      <c r="AA155" s="734" t="n">
        <v>11.55850505828857</v>
      </c>
      <c r="AB155" s="734">
        <f>IF(AA155="","",AA155*T155)</f>
        <v/>
      </c>
      <c r="AC155" s="133" t="inlineStr"/>
    </row>
    <row r="156" ht="210" customFormat="1" customHeight="1" s="183">
      <c r="A156" s="155">
        <f>A155+1</f>
        <v/>
      </c>
      <c r="B156" s="498" t="inlineStr">
        <is>
          <t>fies_skipped</t>
        </is>
      </c>
      <c r="C156" s="156" t="inlineStr">
        <is>
          <t>fies_skipped</t>
        </is>
      </c>
      <c r="D156" s="422" t="inlineStr">
        <is>
          <t>During the last 30 days, was there a time when you or others in your household had to skip a meal because of lack of money or other resources to get food?
[OPERATOR: SINGLE RESPONSE]
1)YES
2)NO
3)DON'T KNOW
4)REFUSED</t>
        </is>
      </c>
      <c r="E156" s="158">
        <f>LEN(D156)</f>
        <v/>
      </c>
      <c r="F156" s="289" t="inlineStr">
        <is>
          <t>Au cours des 30 derniers jours, vous ou un autre membre de votre ménage avez-vous dû sauter un repas par manque d’argent ou d’autres ressources?
[OPÉRATEUR/OPÉRATRICE: RÉPONSE UNIQUE.]
1)OUI
2)NON
3)NE SAIT PAS
4)REFUSÉ</t>
        </is>
      </c>
      <c r="G156" s="158">
        <f>LEN(F156)</f>
        <v/>
      </c>
      <c r="H156" s="160" t="inlineStr">
        <is>
          <t>Katika siku 30 iliyopita, kuna wakati wewe au wengine katika kaya yako walilazimika kuruka mlo kwa sababu ya ukosefu wa pesa au rasilimali yingine  ili kupata chakula?_x000D_
_x000D_
[OPERATOR: JIBU MOJA]_x000D_
_x000D_
1)NDIYO_x000D_
2)HAPANA_x000D_
3)SIJUE_x000D_
4)KUKATALA</t>
        </is>
      </c>
      <c r="I156" s="158">
        <f>LEN(H156)</f>
        <v/>
      </c>
      <c r="J156" s="161" t="inlineStr">
        <is>
          <t>Single Choice</t>
        </is>
      </c>
      <c r="K156" s="158" t="inlineStr">
        <is>
          <t>NA</t>
        </is>
      </c>
      <c r="L156" s="158" t="inlineStr">
        <is>
          <t>NA</t>
        </is>
      </c>
      <c r="M156" s="158" t="inlineStr">
        <is>
          <t>Form Type - Buttons</t>
        </is>
      </c>
      <c r="N156" s="149" t="inlineStr">
        <is>
          <t>NA</t>
        </is>
      </c>
      <c r="O156" s="162" t="inlineStr">
        <is>
          <t>1-4 = fies_ateless</t>
        </is>
      </c>
      <c r="P156" s="163" t="n"/>
      <c r="Q156" s="162" t="inlineStr">
        <is>
          <t>if fies_skipped = 1-4, go to fies_ateless</t>
        </is>
      </c>
      <c r="R156" s="190" t="inlineStr"/>
      <c r="S156" s="166" t="n"/>
      <c r="T156" s="205" t="n">
        <v>1</v>
      </c>
      <c r="U156" s="133" t="n"/>
      <c r="W156" s="208" t="inlineStr">
        <is>
          <t>yes</t>
        </is>
      </c>
      <c r="X156" s="726" t="n"/>
      <c r="AA156" s="734" t="n">
        <v>11.37925720214844</v>
      </c>
      <c r="AB156" s="734">
        <f>IF(AA156="","",AA156*T156)</f>
        <v/>
      </c>
      <c r="AC156" s="133" t="inlineStr"/>
    </row>
    <row r="157" ht="210" customFormat="1" customHeight="1" s="183">
      <c r="A157" s="155">
        <f>A156+1</f>
        <v/>
      </c>
      <c r="B157" s="498" t="inlineStr">
        <is>
          <t>fies_ateless</t>
        </is>
      </c>
      <c r="C157" s="156" t="inlineStr">
        <is>
          <t>fies_ateless</t>
        </is>
      </c>
      <c r="D157" s="422" t="inlineStr">
        <is>
          <t>During the last 30 days, was there a time when you or others in your household ate less than you thought you should because of lack of money or other resources?
[OPERATOR: SINGLE RESPONSE]
1)YES
2)NO
3)DON'T KNOW
4)REFUSED</t>
        </is>
      </c>
      <c r="E157" s="158">
        <f>LEN(D157)</f>
        <v/>
      </c>
      <c r="F157" s="289" t="inlineStr">
        <is>
          <t>Au cours des 30 derniers jours, y-a-t-il eu des moments lors desquels vous ou un autre membre de votre ménage avez mangé moins que ce que vous pensiez vous auriez dû manger par manque d'argent ou d'autres ressources?
[OPÉRATEUR/OPÉRATRICE: RÉPONSE UNIQUE.]
1)OUI
2)NON
3)NE SAIT PAS
4)REFUSÉ</t>
        </is>
      </c>
      <c r="G157" s="158">
        <f>LEN(F157)</f>
        <v/>
      </c>
      <c r="H157" s="160" t="inlineStr">
        <is>
          <t>Katika siku 30 iliyopita, kuna wakati wewe au watu wengine wa kaya yako walikula kidogo kuliko ulivyofikiria kwa sababu ya ukosefu wa pesa au rasilimali yingine ?_x000D_
_x000D_
[OPERATOR: JIBU MOJA]_x000D_
_x000D_
1)NDIYO_x000D_
2)HAPANA_x000D_
3)SIJUE_x000D_
4)KUKATALA</t>
        </is>
      </c>
      <c r="I157" s="158">
        <f>LEN(H157)</f>
        <v/>
      </c>
      <c r="J157" s="161" t="inlineStr">
        <is>
          <t>Single Choice</t>
        </is>
      </c>
      <c r="K157" s="158" t="inlineStr">
        <is>
          <t>NA</t>
        </is>
      </c>
      <c r="L157" s="158" t="inlineStr">
        <is>
          <t>NA</t>
        </is>
      </c>
      <c r="M157" s="158" t="inlineStr">
        <is>
          <t>Form Type - Buttons</t>
        </is>
      </c>
      <c r="N157" s="149" t="inlineStr">
        <is>
          <t>NA</t>
        </is>
      </c>
      <c r="O157" s="162" t="inlineStr">
        <is>
          <t>1-4 = fies_ranout</t>
        </is>
      </c>
      <c r="P157" s="163" t="n"/>
      <c r="Q157" s="162" t="inlineStr">
        <is>
          <t>if fies_ateless = 1-4, go to fies_ranout</t>
        </is>
      </c>
      <c r="R157" s="190" t="inlineStr"/>
      <c r="S157" s="166" t="n"/>
      <c r="T157" s="205" t="n">
        <v>1</v>
      </c>
      <c r="U157" s="133" t="n"/>
      <c r="W157" s="208" t="inlineStr">
        <is>
          <t>yes</t>
        </is>
      </c>
      <c r="X157" s="726" t="n"/>
      <c r="AA157" s="734" t="n">
        <v>10.44321727752686</v>
      </c>
      <c r="AB157" s="734">
        <f>IF(AA157="","",AA157*T157)</f>
        <v/>
      </c>
      <c r="AC157" s="133" t="inlineStr"/>
    </row>
    <row r="158" ht="210" customFormat="1" customHeight="1" s="183">
      <c r="A158" s="155">
        <f>A157+1</f>
        <v/>
      </c>
      <c r="B158" s="498" t="inlineStr">
        <is>
          <t>fies_ranout</t>
        </is>
      </c>
      <c r="C158" s="498" t="inlineStr">
        <is>
          <t>fies_ranout</t>
        </is>
      </c>
      <c r="D158" s="395" t="inlineStr">
        <is>
          <t>In the past 30 days, was there ever no food to eat of any kind in your house because of lack of resources to get food?
[OPERATOR: SINGLE RESPONSE]
1)YES
2)NO
3)DON'T KNOW
4)REFUSED</t>
        </is>
      </c>
      <c r="E158" s="158">
        <f>LEN(D158)</f>
        <v/>
      </c>
      <c r="F158" s="395" t="inlineStr">
        <is>
          <t>Au cours des 30 derniers jours, n'y avait-il aucun aliment à manger, de quelque nature que ce soit, dans votre foyer, en raison du manque de ressources pour se procurer de la nourriture?
[OPÉRATEUR/OPÉRATRICE: RÉPONSE UNIQUE.]
1)OUI
2)NON
3)NE SAIT PAS
4)REFUSÉ</t>
        </is>
      </c>
      <c r="G158" s="158">
        <f>LEN(F158)</f>
        <v/>
      </c>
      <c r="H158" s="160" t="inlineStr">
        <is>
          <t>Katika siku 30 iliyopita, je, hapakuwa na chakula cha aina yoyote katika nyumba yako kwa sababu ya ukosefu wa rasilimali za kupata chakula?_x000D_
_x000D_
[OPERATOR: JIBU MOJA]_x000D_
_x000D_
1)NDIYO_x000D_
2)HAPANA_x000D_
3)SIJUE_x000D_
4)KUKATALA</t>
        </is>
      </c>
      <c r="I158" s="158">
        <f>LEN(H158)</f>
        <v/>
      </c>
      <c r="J158" s="161" t="inlineStr">
        <is>
          <t>Single Choice</t>
        </is>
      </c>
      <c r="K158" s="158" t="inlineStr">
        <is>
          <t>NA</t>
        </is>
      </c>
      <c r="L158" s="158" t="inlineStr">
        <is>
          <t>NA</t>
        </is>
      </c>
      <c r="M158" s="158" t="inlineStr">
        <is>
          <t>Form Type - Buttons</t>
        </is>
      </c>
      <c r="N158" s="149" t="inlineStr">
        <is>
          <t>NA</t>
        </is>
      </c>
      <c r="O158" s="162" t="inlineStr">
        <is>
          <t>1=fies_ranout_hhs
2-4 = fies_hungry</t>
        </is>
      </c>
      <c r="P158" s="163" t="n"/>
      <c r="Q158" s="545" t="inlineStr">
        <is>
          <t>if fies_ranout = 1, go to fies_ranout_hhs. Otherwise, go to fies_hungry</t>
        </is>
      </c>
      <c r="R158" s="546" t="inlineStr"/>
      <c r="S158" s="166" t="n"/>
      <c r="T158" s="205" t="n">
        <v>1</v>
      </c>
      <c r="U158" s="133" t="n"/>
      <c r="W158" s="208" t="inlineStr">
        <is>
          <t>yes</t>
        </is>
      </c>
      <c r="X158" s="726" t="n"/>
      <c r="AA158" s="734" t="n">
        <v>10.73201084136963</v>
      </c>
      <c r="AB158" s="734">
        <f>IF(AA158="","",AA158*T158)</f>
        <v/>
      </c>
      <c r="AC158" s="133" t="inlineStr"/>
    </row>
    <row r="159" ht="189" customFormat="1" customHeight="1" s="548">
      <c r="A159" s="155">
        <f>A158+1</f>
        <v/>
      </c>
      <c r="B159" s="498" t="inlineStr">
        <is>
          <t>fies_ranout_hhs</t>
        </is>
      </c>
      <c r="C159" s="498" t="inlineStr">
        <is>
          <t>fies_ranout_hhs</t>
        </is>
      </c>
      <c r="D159" s="547" t="inlineStr">
        <is>
          <t>How often did this happen?
[OPERATOR: SINGLE RESPONSE]
1)Rarely [1-2 times in the past 30 days]
2)Sometimes [3-10 times in the past 30 days]
3)Often [more than 10 times in the last 30 days]
4)DON'T KNOW
5)REFUSED</t>
        </is>
      </c>
      <c r="E159" s="158">
        <f>LEN(D159)</f>
        <v/>
      </c>
      <c r="F159" s="159" t="inlineStr">
        <is>
          <t>Combien de fois cela s'est-il produit?
[OPÉRATEUR/OPÉRATRICE: RÉPONSE UNIQUE]
1)Rarement [1 ou 2 fois au cours des 30 derniers jours]
2)Parfois [entre 3 et 10 fois au cours des 30 derniers jours]
3)Souvent [plus de 10 fois au cours des 30 derniers jours]
4)NE SAIT PAS
5)REFUSÉ</t>
        </is>
      </c>
      <c r="G159" s="158">
        <f>LEN(F159)</f>
        <v/>
      </c>
      <c r="H159" s="160" t="inlineStr">
        <is>
          <t>Hii ilitokea mala ngapi?_x000D_
_x000D_
[OPERATOR: JIBU MOJA]_x000D_
_x000D_
1)Mala chache [mala 1-2 katika siku 30 iliyopita]_x000D_
2)Wakati mwingine [mala 3-10 katika siku 30 iliyopita]_x000D_
3)Mala yingi [zaidi ya mala 10 katika siku 30 iliyopita]_x000D_
4)SIJUE_x000D_
5)KUKATALA</t>
        </is>
      </c>
      <c r="I159" s="158">
        <f>LEN(H159)</f>
        <v/>
      </c>
      <c r="J159" s="161" t="inlineStr">
        <is>
          <t>Single Choice</t>
        </is>
      </c>
      <c r="K159" s="158" t="inlineStr">
        <is>
          <t>NA</t>
        </is>
      </c>
      <c r="L159" s="158" t="inlineStr">
        <is>
          <t>NA</t>
        </is>
      </c>
      <c r="M159" s="158" t="inlineStr">
        <is>
          <t>Form Type - Buttons</t>
        </is>
      </c>
      <c r="N159" s="149" t="inlineStr">
        <is>
          <t>NA</t>
        </is>
      </c>
      <c r="O159" s="162" t="inlineStr">
        <is>
          <t>1-5 = fies_hungry</t>
        </is>
      </c>
      <c r="P159" s="163" t="n"/>
      <c r="Q159" s="162" t="inlineStr">
        <is>
          <t>if fies_ranout_hhs = 1-5, go to fies_hungry</t>
        </is>
      </c>
      <c r="R159" s="190" t="inlineStr"/>
      <c r="S159" s="166" t="n"/>
      <c r="T159" s="205" t="n">
        <v>1</v>
      </c>
      <c r="U159" s="133" t="n"/>
      <c r="W159" s="208" t="inlineStr">
        <is>
          <t>yes</t>
        </is>
      </c>
      <c r="X159" s="726" t="n"/>
      <c r="AA159" s="734" t="n">
        <v>11.58613967895508</v>
      </c>
      <c r="AB159" s="734">
        <f>IF(AA159="","",AA159*T159)</f>
        <v/>
      </c>
      <c r="AC159" s="133" t="inlineStr"/>
    </row>
    <row r="160" ht="189" customFormat="1" customHeight="1" s="183">
      <c r="A160" s="155">
        <f>A159+1</f>
        <v/>
      </c>
      <c r="B160" s="498" t="inlineStr">
        <is>
          <t>fies_hungry</t>
        </is>
      </c>
      <c r="C160" s="156" t="inlineStr">
        <is>
          <t>fies_hungry</t>
        </is>
      </c>
      <c r="D160" s="395" t="inlineStr">
        <is>
          <t>In the past 30 days, did you or any household member ever go to sleep at night hungry because there was not enough food?
[OPERATOR: SINGLE RESPONSE]
1)YES
2)NO
3)DON'T KNOW
4)REFUSED</t>
        </is>
      </c>
      <c r="E160" s="158">
        <f>LEN(D160)</f>
        <v/>
      </c>
      <c r="F160" s="395" t="inlineStr">
        <is>
          <t>Au cours des 30 derniers jours, etiez-vous ou un membre de votre ménage obligé de dormir affamé le soir parce qu'il n'y avait pas assez de nourriture ?
[OPÉRATEUR/OPÉRATRICE: RÉPONSE UNIQUE.]
1)OUI
2)NON
3)NE SAIT PAS
4)REFUSÉ</t>
        </is>
      </c>
      <c r="G160" s="158">
        <f>LEN(F160)</f>
        <v/>
      </c>
      <c r="H160" s="160" t="inlineStr">
        <is>
          <t>Katika siku 30 iliyopita, wewe au mwanakaya yeyote aliwahi kulala na njaa usiku kwa sababu hakukuwa na chakula cha kutosha?_x000D_
_x000D_
[OPERATOR: JIBU MOJA]_x000D_
_x000D_
1)NDIYO_x000D_
2)HAPANA_x000D_
3)SIJUE_x000D_
4)KUKATALA</t>
        </is>
      </c>
      <c r="I160" s="158">
        <f>LEN(H160)</f>
        <v/>
      </c>
      <c r="J160" s="161" t="inlineStr">
        <is>
          <t>Single Choice</t>
        </is>
      </c>
      <c r="K160" s="158" t="inlineStr">
        <is>
          <t>NA</t>
        </is>
      </c>
      <c r="L160" s="158" t="inlineStr">
        <is>
          <t>NA</t>
        </is>
      </c>
      <c r="M160" s="158" t="inlineStr">
        <is>
          <t>Form Type - Buttons</t>
        </is>
      </c>
      <c r="N160" s="149" t="inlineStr">
        <is>
          <t>NA</t>
        </is>
      </c>
      <c r="O160" s="162" t="inlineStr">
        <is>
          <t>1=fies_hungry_hhs
2-4 = fies_whlday</t>
        </is>
      </c>
      <c r="P160" s="163" t="n"/>
      <c r="Q160" s="545" t="inlineStr">
        <is>
          <t>if fies_hungry = 1, go to fies_hungry_hhs. Otherwise, go to fies_whlday</t>
        </is>
      </c>
      <c r="R160" s="546" t="inlineStr"/>
      <c r="S160" s="166" t="n"/>
      <c r="T160" s="205" t="n">
        <v>1</v>
      </c>
      <c r="U160" s="133" t="n"/>
      <c r="W160" s="208" t="inlineStr">
        <is>
          <t>yes</t>
        </is>
      </c>
      <c r="X160" s="726" t="n"/>
      <c r="AA160" s="734" t="n">
        <v>9.75520133972168</v>
      </c>
      <c r="AB160" s="734">
        <f>IF(AA160="","",AA160*T160)</f>
        <v/>
      </c>
      <c r="AC160" s="133" t="inlineStr"/>
    </row>
    <row r="161" ht="189" customFormat="1" customHeight="1" s="183">
      <c r="A161" s="155">
        <f>A160+1</f>
        <v/>
      </c>
      <c r="B161" s="498" t="inlineStr">
        <is>
          <t>fies_hungry_hhs</t>
        </is>
      </c>
      <c r="C161" s="498" t="inlineStr">
        <is>
          <t>fies_hungry_hhs</t>
        </is>
      </c>
      <c r="D161" s="547" t="inlineStr">
        <is>
          <t>How often did this happen?
[OPERATOR: SINGLE RESPONSE]
1)Rarely [1-2 times in the past 30 days]
2)Sometimes [3-10 times in the past 30 days]
3)Often [more than 10 times in the last 30 days]
4)DON'T KNOW
5)REFUSED</t>
        </is>
      </c>
      <c r="E161" s="158">
        <f>LEN(D161)</f>
        <v/>
      </c>
      <c r="F161" s="159" t="inlineStr">
        <is>
          <t>Combien de fois cela s'est-il produit?
[OPÉRATEUR/OPÉRATRICE: RÉPONSE UNIQUE]
1)Rarement [1 ou 2 fois au cours des 30 derniers jours]
2)Parfois [entre 3 et 10 fois au cours des 30 derniers jours]
3)Souvent [plus de 10 fois au cours des 30 derniers jours]
4)NE SAIT PAS
5)REFUSÉ</t>
        </is>
      </c>
      <c r="G161" s="158">
        <f>LEN(F161)</f>
        <v/>
      </c>
      <c r="H161" s="160" t="inlineStr">
        <is>
          <t>Hii ilitokea mala ngapi?
[OPERATOR: JIBU MOJA]
1)Mala chache [mala 1-2 katika siku 30 iliyopita]
2)Wakati mwingine [mala 3-10 katika siku 30 iliyopita]
3)Mala nyingi [zaidi ya mala 10 katika siku 30 iliyopita]
4)SIJUE
5)KUKATALA</t>
        </is>
      </c>
      <c r="I161" s="158">
        <f>LEN(H161)</f>
        <v/>
      </c>
      <c r="J161" s="161" t="inlineStr">
        <is>
          <t>Single Choice</t>
        </is>
      </c>
      <c r="K161" s="158" t="inlineStr">
        <is>
          <t>NA</t>
        </is>
      </c>
      <c r="L161" s="158" t="inlineStr">
        <is>
          <t>NA</t>
        </is>
      </c>
      <c r="M161" s="158" t="inlineStr">
        <is>
          <t>Form Type - Buttons</t>
        </is>
      </c>
      <c r="N161" s="149" t="inlineStr">
        <is>
          <t>NA</t>
        </is>
      </c>
      <c r="O161" s="162" t="inlineStr">
        <is>
          <t>1-5 = fies_whlday</t>
        </is>
      </c>
      <c r="P161" s="163" t="n"/>
      <c r="Q161" s="162" t="inlineStr">
        <is>
          <t>if fies_hungry_hhs = 1-5, go to fies_whlday</t>
        </is>
      </c>
      <c r="R161" s="190" t="inlineStr"/>
      <c r="S161" s="166" t="n"/>
      <c r="T161" s="205" t="n">
        <v>1</v>
      </c>
      <c r="U161" s="133" t="n"/>
      <c r="W161" s="208" t="inlineStr">
        <is>
          <t>yes</t>
        </is>
      </c>
      <c r="X161" s="726" t="n"/>
      <c r="AA161" s="734" t="n">
        <v>7.94479513168335</v>
      </c>
      <c r="AB161" s="734">
        <f>IF(AA161="","",AA161*T161)</f>
        <v/>
      </c>
      <c r="AC161" s="133" t="inlineStr"/>
    </row>
    <row r="162" ht="210" customFormat="1" customHeight="1" s="183">
      <c r="A162" s="541">
        <f>A161+1</f>
        <v/>
      </c>
      <c r="B162" s="287" t="inlineStr">
        <is>
          <t>fies_whlday</t>
        </is>
      </c>
      <c r="C162" s="283" t="inlineStr">
        <is>
          <t>fies_whlday</t>
        </is>
      </c>
      <c r="D162" s="549" t="inlineStr">
        <is>
          <t>In the past 30 days, did you or any household member ever go a whole day and night without eating anything at all because there was not enough food?
[OPERATOR: SINGLE RESPONSE]
1)YES
2)NO
3)DON'T KNOW
4)REFUSED</t>
        </is>
      </c>
      <c r="E162" s="288">
        <f>LEN(D162)</f>
        <v/>
      </c>
      <c r="F162" s="549" t="inlineStr">
        <is>
          <t>Au cours des 30 derniers jours, avez-vous ou un membre de votre ménage passé un jour et une nuit entière sans rien manger parce qu'il n'y avait pas assez de nourriture?
[OPÉRATEUR/OPÉRATRICE: RÉPONSE UNIQUE.]
1)OUI
2)NON
3)NE SAIT PAS
4)REFUSÉ</t>
        </is>
      </c>
      <c r="G162" s="288">
        <f>LEN(F162)</f>
        <v/>
      </c>
      <c r="H162" s="160" t="inlineStr">
        <is>
          <t>Katika siku 30 iliyopita, wewe au mwanakaya yeyote aliwahi kupita mchana na usiku bila kula chochote kwa sababu hakuna chakula cha kutosha?_x000D_
_x000D_
[OPERATOR: JIBU MOJA]_x000D_
_x000D_
1)NDIYO_x000D_
2)HAPANA_x000D_
3)SIJUE_x000D_
4)KUKATALA</t>
        </is>
      </c>
      <c r="I162" s="288">
        <f>LEN(H162)</f>
        <v/>
      </c>
      <c r="J162" s="542" t="inlineStr">
        <is>
          <t>Single Choice</t>
        </is>
      </c>
      <c r="K162" s="288" t="inlineStr">
        <is>
          <t>NA</t>
        </is>
      </c>
      <c r="L162" s="288" t="inlineStr">
        <is>
          <t>NA</t>
        </is>
      </c>
      <c r="M162" s="288" t="inlineStr">
        <is>
          <t>Form Type - Buttons</t>
        </is>
      </c>
      <c r="N162" s="262" t="inlineStr">
        <is>
          <t>NA</t>
        </is>
      </c>
      <c r="O162" s="509" t="inlineStr">
        <is>
          <t>1=fies_whlday_hhs
2-4 = lcsi_intro</t>
        </is>
      </c>
      <c r="P162" s="202" t="n"/>
      <c r="Q162" s="545" t="inlineStr">
        <is>
          <t>if fies_whlday = 1, go to fies_whlday_hhs. Otherwise, go to lcsi_intro OR hdds</t>
        </is>
      </c>
      <c r="R162" s="550" t="inlineStr"/>
      <c r="S162" s="166" t="n"/>
      <c r="T162" s="205" t="n">
        <v>1</v>
      </c>
      <c r="U162" s="133" t="n"/>
      <c r="W162" s="208" t="inlineStr">
        <is>
          <t>yes</t>
        </is>
      </c>
      <c r="X162" s="726" t="n"/>
      <c r="AA162" s="734" t="n">
        <v>7.931224822998047</v>
      </c>
      <c r="AB162" s="734">
        <f>IF(AA162="","",AA162*T162)</f>
        <v/>
      </c>
      <c r="AC162" s="133" t="inlineStr"/>
    </row>
    <row r="163" ht="189.5" customFormat="1" customHeight="1" s="183" thickBot="1">
      <c r="A163" s="195">
        <f>A162+1</f>
        <v/>
      </c>
      <c r="B163" s="551" t="inlineStr">
        <is>
          <t>fies_whlday_hhs</t>
        </is>
      </c>
      <c r="C163" s="551" t="inlineStr">
        <is>
          <t>fies_whlday_hhs</t>
        </is>
      </c>
      <c r="D163" s="552" t="inlineStr">
        <is>
          <t>How often did this happen?
[OPERATOR: SINGLE RESPONSE]
1)Rarely [1-2 times in the past 30 days]
2)Sometimes [3-10 times in the past 30 days]
3)Often [more than 10 times in the last 30 days]
4)DON'T KNOW
5)REFUSED</t>
        </is>
      </c>
      <c r="E163" s="198">
        <f>LEN(D163)</f>
        <v/>
      </c>
      <c r="F163" s="553" t="inlineStr">
        <is>
          <t>Combien de fois cela s'est-il produit?
[OPÉRATEUR/OPÉRATRICE: RÉPONSE UNIQUE]
1)Rarement [1 ou 2 fois au cours des 30 derniers jours]
2)Parfois [entre 3 et 10 fois au cours des 30 derniers jours]
3)Souvent [plus de 10 fois au cours des 30 derniers jours]
4)NE SAIT PAS
5)REFUSÉ</t>
        </is>
      </c>
      <c r="G163" s="198">
        <f>LEN(F163)</f>
        <v/>
      </c>
      <c r="H163" s="160" t="inlineStr">
        <is>
          <t>Hii ilitokea mala ngapi?_x000D_
_x000D_
[OPERATOR: JIBU MOJA]_x000D_
_x000D_
1)Mala chache [mara 1-2 katika siku 30 iliyopita]_x000D_
2)Wakati wingine [mala 3-10 katika siku 30 iliyopita]_x000D_
3)Mala mingi [zaidi ya mala 10 katika siku 30 iliyopita]_x000D_
4)SIJUE_x000D_
5)KUKATALA</t>
        </is>
      </c>
      <c r="I163" s="198">
        <f>LEN(H163)</f>
        <v/>
      </c>
      <c r="J163" s="200" t="inlineStr">
        <is>
          <t>Single Choice</t>
        </is>
      </c>
      <c r="K163" s="198" t="inlineStr">
        <is>
          <t>NA</t>
        </is>
      </c>
      <c r="L163" s="198" t="inlineStr">
        <is>
          <t>NA</t>
        </is>
      </c>
      <c r="M163" s="198" t="inlineStr">
        <is>
          <t>Form Type - Buttons</t>
        </is>
      </c>
      <c r="N163" s="272" t="inlineStr">
        <is>
          <t>NA</t>
        </is>
      </c>
      <c r="O163" s="201" t="inlineStr">
        <is>
          <t>1-5 = lcsi_intro</t>
        </is>
      </c>
      <c r="P163" s="554" t="n"/>
      <c r="Q163" s="545" t="inlineStr">
        <is>
          <t>if fies_whlday_hhs = 1-5, go to lcsi_intro OR hdds</t>
        </is>
      </c>
      <c r="R163" s="550" t="inlineStr"/>
      <c r="S163" s="166" t="n"/>
      <c r="T163" s="205" t="n">
        <v>1</v>
      </c>
      <c r="U163" s="133" t="n"/>
      <c r="W163" s="208" t="inlineStr">
        <is>
          <t>yes</t>
        </is>
      </c>
      <c r="X163" s="726" t="n"/>
      <c r="AA163" s="734" t="n">
        <v>5.339005947113037</v>
      </c>
      <c r="AB163" s="734">
        <f>IF(AA163="","",AA163*T163)</f>
        <v/>
      </c>
      <c r="AC163" s="133" t="inlineStr"/>
    </row>
    <row r="164" ht="294" customFormat="1" customHeight="1" s="183">
      <c r="A164" s="145">
        <f>A163+1</f>
        <v/>
      </c>
      <c r="B164" s="586" t="inlineStr">
        <is>
          <t>lcsi_intro</t>
        </is>
      </c>
      <c r="C164" s="184" t="inlineStr">
        <is>
          <t>lcsi_intro</t>
        </is>
      </c>
      <c r="D164" s="555" t="inlineStr">
        <is>
          <t>Now I would like to ask you another set of questions on coping strategies, referring to the past 30 days.
[OPERATOR: SINGLE RESPONSE]
1)NEXT</t>
        </is>
      </c>
      <c r="E164" s="188">
        <f>LEN(D164)</f>
        <v/>
      </c>
      <c r="F164" s="492" t="inlineStr">
        <is>
          <t>Je voudrais maintenant vous poser une autre série de questions sur les stratégies d'adaptation que vous avez mises en place au cours des 30 derniers jours.
[OPÉRATEUR/OPÉRATRICE: RÉPONSE UNIQUE]
1)CONTINUER</t>
        </is>
      </c>
      <c r="G164" s="188">
        <f>LEN(F164)</f>
        <v/>
      </c>
      <c r="H164" s="160" t="inlineStr">
        <is>
          <t>Sasa minapenda kukuuliza maswali mengine kuhusu mikakati ya kukabiliana na hali hiyo, nikirejea siku 30 iliyopita_x000D_
_x000D_
[OPERATOR: JIBU MOJA]_x000D_
_x000D_
1)INAYOFUATA</t>
        </is>
      </c>
      <c r="I164" s="188">
        <f>LEN(H164)</f>
        <v/>
      </c>
      <c r="J164" s="556" t="inlineStr">
        <is>
          <t>Single Choice</t>
        </is>
      </c>
      <c r="K164" s="188" t="inlineStr">
        <is>
          <t>NA</t>
        </is>
      </c>
      <c r="L164" s="188" t="inlineStr">
        <is>
          <t>NA</t>
        </is>
      </c>
      <c r="M164" s="188" t="inlineStr">
        <is>
          <t>Form Type - Buttons</t>
        </is>
      </c>
      <c r="N164" s="152" t="inlineStr">
        <is>
          <t>NA</t>
        </is>
      </c>
      <c r="O164" s="223" t="inlineStr">
        <is>
          <t>1 = cs_stress_hh_assets</t>
        </is>
      </c>
      <c r="P164" s="557" t="n"/>
      <c r="Q164" s="558" t="inlineStr"/>
      <c r="R164" s="559" t="inlineStr"/>
      <c r="S164" s="534" t="inlineStr">
        <is>
          <t>Coping strategies should be selected based on the local context. Ten (10) coping strategies should be selected; 4 in stress, 3 in crisis and 3 in emergency. 
Please delete coping strategies that you do not want to use in your survey or propose changes for the "English" column (i.e. text) under the "Additional notes" column.</t>
        </is>
      </c>
      <c r="T164" s="132" t="n">
        <v>1</v>
      </c>
      <c r="U164" s="133" t="n"/>
      <c r="W164" s="194" t="inlineStr">
        <is>
          <t>no</t>
        </is>
      </c>
      <c r="X164" s="726" t="n"/>
      <c r="AA164" s="735" t="n">
        <v>3.816555500030518</v>
      </c>
      <c r="AB164" s="735">
        <f>IF(AA164="","",AA164*T164)</f>
        <v/>
      </c>
      <c r="AC164" s="133" t="inlineStr"/>
    </row>
    <row r="165" ht="273" customFormat="1" customHeight="1" s="183">
      <c r="A165" s="155">
        <f>A164+1</f>
        <v/>
      </c>
      <c r="B165" s="184" t="inlineStr">
        <is>
          <t>cs_stress_hh_assets</t>
        </is>
      </c>
      <c r="C165" s="184" t="inlineStr">
        <is>
          <t>cs_stress_hh_assets</t>
        </is>
      </c>
      <c r="D165" s="185" t="inlineStr">
        <is>
          <t>Over the past 30 days, did anyone in your household have to sell household assets / goods [radio, furniture, television, jewelry, etc.] because of lack of food or money?
[OPERATOR: SINGLE RESPONSE]
1)Yes
2)No - because it wasn’t necessary
3)No - because you already sold those assets or did this activity within the last 12 months and you cannot continue to do it
4)Not applicable
5)DON'T KNOW 
6)REFUSED</t>
        </is>
      </c>
      <c r="E165" s="186">
        <f>LEN(D165)</f>
        <v/>
      </c>
      <c r="F165" s="185" t="inlineStr">
        <is>
          <t>Au cours des 30 derniers jours, est-ce que quelqu'un dans votre foyer a dû vendre des actifs/biens ménager [radio, meubles, télévision, bijoux, etc.]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65" s="186">
        <f>LEN(F165)</f>
        <v/>
      </c>
      <c r="H165" s="160" t="inlineStr">
        <is>
          <t>Katika siku 30 iliyopita, kuna mtu yeyote katika kaya yako alilazimika kuuza mali/bidhaa za kaya [redio, samani, televisheni, vito, n.k.] kwa sababu ya ukosefu wa chakula au fesa?_x000D_
_x000D_
[OPERATOR: JIBU MOJA]_x000D_
_x000D_
1)Ndiyo_x000D_
2)Hapana - kwa sababu haikuwa lazima_x000D_
3)Hapana - kwa sababu tayari umeuza mali hizo au ulifanya shughuli hii ndani ya miezi 12 iliyopita na huwezi kuendelea kuifanya._x000D_
4)Haitumikie
5)SIJUE_x000D_
6)KUKATALA</t>
        </is>
      </c>
      <c r="I165" s="186">
        <f>LEN(H165)</f>
        <v/>
      </c>
      <c r="J165" s="189" t="inlineStr">
        <is>
          <t>Single Choice</t>
        </is>
      </c>
      <c r="K165" s="186" t="inlineStr">
        <is>
          <t>NA</t>
        </is>
      </c>
      <c r="L165" s="186" t="inlineStr">
        <is>
          <t>NA</t>
        </is>
      </c>
      <c r="M165" s="186" t="inlineStr">
        <is>
          <t>Form Type - Buttons</t>
        </is>
      </c>
      <c r="N165" s="152" t="inlineStr">
        <is>
          <t>NA</t>
        </is>
      </c>
      <c r="O165" s="190" t="inlineStr">
        <is>
          <t>1-6 = cs_stress_spent_savings</t>
        </is>
      </c>
      <c r="P165" s="560" t="n"/>
      <c r="Q165" s="540" t="inlineStr"/>
      <c r="R165" s="540" t="inlineStr"/>
      <c r="S165" s="166" t="n"/>
      <c r="T165" s="132" t="n">
        <v>1</v>
      </c>
      <c r="U165" s="133" t="n"/>
      <c r="W165" s="194" t="inlineStr">
        <is>
          <t>no</t>
        </is>
      </c>
      <c r="X165" s="726" t="n"/>
      <c r="AA165" s="735" t="n">
        <v>16.82703018188477</v>
      </c>
      <c r="AB165" s="735">
        <f>IF(AA165="","",AA165*T165)</f>
        <v/>
      </c>
      <c r="AC165" s="133" t="inlineStr"/>
    </row>
    <row r="166" ht="252" customFormat="1" customHeight="1" s="183">
      <c r="A166" s="155">
        <f>A165+1</f>
        <v/>
      </c>
      <c r="B166" s="184" t="inlineStr">
        <is>
          <t>cs_stress_spent_savings</t>
        </is>
      </c>
      <c r="C166" s="184" t="inlineStr">
        <is>
          <t>cs_stress_spent_savings</t>
        </is>
      </c>
      <c r="D166" s="185" t="inlineStr">
        <is>
          <t>Over the past 30 days, did anyone in your household have to spend savings because of lack of food or money?
[OPERATOR: SINGLE RESPONSE]
1)Yes
2)No - because it wasn’t necessary
3)No - because you already sold those assets or did this activity within the last 12 months and you cannot continue to do it
4)Not applicable
5)DON'T KNOW 
6)REFUSED</t>
        </is>
      </c>
      <c r="E166" s="186">
        <f>LEN(D166)</f>
        <v/>
      </c>
      <c r="F166" s="185" t="inlineStr">
        <is>
          <t>Au cours des 30 derniers jours, est-ce que quelqu'un dans votre ménage a dû dépenser les économies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66" s="186">
        <f>LEN(F166)</f>
        <v/>
      </c>
      <c r="H166" s="160" t="inlineStr">
        <is>
          <t>Katika siku 30 iliyopita, kuna mtu yeyote katika kaya yako alilazimika kutumia akiba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66" s="186">
        <f>LEN(H166)</f>
        <v/>
      </c>
      <c r="J166" s="189" t="inlineStr">
        <is>
          <t>Single Choice</t>
        </is>
      </c>
      <c r="K166" s="186" t="inlineStr">
        <is>
          <t>NA</t>
        </is>
      </c>
      <c r="L166" s="186" t="inlineStr">
        <is>
          <t>NA</t>
        </is>
      </c>
      <c r="M166" s="186" t="inlineStr">
        <is>
          <t>Form Type - Buttons</t>
        </is>
      </c>
      <c r="N166" s="152" t="inlineStr">
        <is>
          <t>NA</t>
        </is>
      </c>
      <c r="O166" s="190" t="inlineStr">
        <is>
          <t>1-6 =cs_stress_sold_more_animals</t>
        </is>
      </c>
      <c r="P166" s="560" t="n"/>
      <c r="Q166" s="540" t="inlineStr"/>
      <c r="R166" s="540" t="inlineStr"/>
      <c r="S166" s="166" t="n"/>
      <c r="T166" s="132" t="n">
        <v>1</v>
      </c>
      <c r="U166" s="133" t="n"/>
      <c r="W166" s="194" t="inlineStr">
        <is>
          <t>no</t>
        </is>
      </c>
      <c r="X166" s="726" t="n"/>
      <c r="AA166" s="735" t="n">
        <v>12.21140480041504</v>
      </c>
      <c r="AB166" s="735">
        <f>IF(AA166="","",AA166*T166)</f>
        <v/>
      </c>
      <c r="AC166" s="133" t="inlineStr"/>
    </row>
    <row r="167" ht="273" customFormat="1" customHeight="1" s="183">
      <c r="A167" s="155">
        <f>A166+1</f>
        <v/>
      </c>
      <c r="B167" s="184" t="inlineStr">
        <is>
          <t>cs_stress_sold_more_animals</t>
        </is>
      </c>
      <c r="C167" s="184" t="inlineStr">
        <is>
          <t>cs_stress_sold_more_animals</t>
        </is>
      </c>
      <c r="D167" s="185" t="inlineStr">
        <is>
          <t>Over the past 30 days, did anyone in your household have to sell more animals [non-reproductive] than usual because of lack of food or money?
[OPERATOR: SINGLE RESPONSE]
1)Yes
2)No - because it wasn’t necessary
3)No - because you already sold those assets or did this activity within the last 12 months and you cannot continue to do it
4)Not applicable
5)DON'T KNOW 
6)REFUSED</t>
        </is>
      </c>
      <c r="E167" s="186">
        <f>LEN(D167)</f>
        <v/>
      </c>
      <c r="F167" s="185" t="inlineStr">
        <is>
          <t>Au cours des 30 derniers jours, est-ce que quelqu'un dans votre ménage a dû vendre plus d'animaux [non reproducteurs] que d'habitude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67" s="186">
        <f>LEN(F167)</f>
        <v/>
      </c>
      <c r="H167" s="160" t="inlineStr">
        <is>
          <t>Katika siku 30 iliyopita, kuna mtu yeyote katika kaya yako alilazimika kuuza wanyama wengi zaidi [wasiozaa] kuliko kawaida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67" s="186">
        <f>LEN(H167)</f>
        <v/>
      </c>
      <c r="J167" s="189" t="inlineStr">
        <is>
          <t>Single Choice</t>
        </is>
      </c>
      <c r="K167" s="186" t="inlineStr">
        <is>
          <t>NA</t>
        </is>
      </c>
      <c r="L167" s="186" t="inlineStr">
        <is>
          <t>NA</t>
        </is>
      </c>
      <c r="M167" s="186" t="inlineStr">
        <is>
          <t>Form Type - Buttons</t>
        </is>
      </c>
      <c r="N167" s="152" t="inlineStr">
        <is>
          <t>NA</t>
        </is>
      </c>
      <c r="O167" s="190" t="inlineStr">
        <is>
          <t>1-6 = cs_stress_eat_elsewhere</t>
        </is>
      </c>
      <c r="P167" s="560" t="n"/>
      <c r="Q167" s="540" t="inlineStr"/>
      <c r="R167" s="540" t="inlineStr"/>
      <c r="S167" s="166" t="n"/>
      <c r="T167" s="132" t="n">
        <v>1</v>
      </c>
      <c r="U167" s="133" t="n"/>
      <c r="W167" s="194" t="inlineStr">
        <is>
          <t>no</t>
        </is>
      </c>
      <c r="X167" s="726" t="n"/>
      <c r="AA167" s="735" t="n">
        <v>10.39294910430908</v>
      </c>
      <c r="AB167" s="735">
        <f>IF(AA167="","",AA167*T167)</f>
        <v/>
      </c>
      <c r="AC167" s="133" t="inlineStr"/>
    </row>
    <row r="168" ht="273" customFormat="1" customHeight="1" s="183">
      <c r="A168" s="155">
        <f>A167+1</f>
        <v/>
      </c>
      <c r="B168" s="184" t="inlineStr">
        <is>
          <t>cs_stress_eat_elsewhere</t>
        </is>
      </c>
      <c r="C168" s="184" t="inlineStr">
        <is>
          <t>cs_stress_eat_elsewhere</t>
        </is>
      </c>
      <c r="D168" s="185" t="inlineStr">
        <is>
          <t>Over the past 30 days, did anyone in your household have to send household members to eat elsewhere because of lack of food or money?
[OPERATOR: SINGLE RESPONSE]
1)Yes
2)No - because it wasn’t necessary
3)No - because you already sold those assets or did this activity within the last 12 months and you cannot continue to do it
4)Not applicable
5)DON'T KNOW 
6)REFUSED</t>
        </is>
      </c>
      <c r="E168" s="186">
        <f>LEN(D168)</f>
        <v/>
      </c>
      <c r="F168" s="185" t="inlineStr">
        <is>
          <t>Au cours des 30 derniers jours, est-ce que quelqu'un dans votre ménage a dû envoyer certains membres du ménage manger ailleurs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68" s="186">
        <f>LEN(F168)</f>
        <v/>
      </c>
      <c r="H168" s="160" t="inlineStr">
        <is>
          <t>Katika kipindi cha siku 30 zilizopita, je, yeyote katika familia yako alilazimika kutuma wanakaya kwenda kula mahali pengine kwa sababu ya ukosefu wa chakula au pesa?
[MWENDESHAJI: JIBU MOJA]
1)Ndiyo
2)Hapana - kwa sababu haikuwa muhimu
3)Hapana - kwa sababu tayari umeshauza mali hizo au kufanya shughuli hiyo katika miezi 12 iliyopita na huwezi kuendelea nayo
4)Haihusiani
5)SIJUE 
6)NILIKUKATALA</t>
        </is>
      </c>
      <c r="I168" s="186">
        <f>LEN(H168)</f>
        <v/>
      </c>
      <c r="J168" s="189" t="inlineStr">
        <is>
          <t>Single Choice</t>
        </is>
      </c>
      <c r="K168" s="186" t="inlineStr">
        <is>
          <t>NA</t>
        </is>
      </c>
      <c r="L168" s="186" t="inlineStr">
        <is>
          <t>NA</t>
        </is>
      </c>
      <c r="M168" s="186" t="inlineStr">
        <is>
          <t>Form Type - Buttons</t>
        </is>
      </c>
      <c r="N168" s="152" t="inlineStr">
        <is>
          <t>NA</t>
        </is>
      </c>
      <c r="O168" s="190" t="inlineStr">
        <is>
          <t>1-6 = cs_stress_borrowed_or_helped</t>
        </is>
      </c>
      <c r="P168" s="560" t="n"/>
      <c r="Q168" s="540" t="inlineStr"/>
      <c r="R168" s="540" t="inlineStr"/>
      <c r="S168" s="166" t="n"/>
      <c r="T168" s="132" t="n">
        <v>1</v>
      </c>
      <c r="U168" s="133" t="n"/>
      <c r="W168" s="194" t="inlineStr">
        <is>
          <t>no</t>
        </is>
      </c>
      <c r="X168" s="726" t="n"/>
      <c r="AA168" s="735" t="n">
        <v>11.91341400146484</v>
      </c>
      <c r="AB168" s="735">
        <f>IF(AA168="","",AA168*T168)</f>
        <v/>
      </c>
      <c r="AC168" s="133" t="inlineStr"/>
    </row>
    <row r="169" ht="273" customFormat="1" customHeight="1" s="183">
      <c r="A169" s="155">
        <f>A168+1</f>
        <v/>
      </c>
      <c r="B169" s="184" t="inlineStr">
        <is>
          <t>cs_stress_borrowed_or_helped</t>
        </is>
      </c>
      <c r="C169" s="184" t="inlineStr">
        <is>
          <t>cs_stress_borrowed_or_helped</t>
        </is>
      </c>
      <c r="D169" s="185" t="inlineStr">
        <is>
          <t>Over the past 30 days, did anyone in your household have to borrow food or rely on help from friends or relatives because of lack of food or money?
[OPERATOR: SINGLE RESPONSE]
1)Yes
2)No - because it wasn’t necessary
3)No - because you already sold those assets or did this activity within the last 12 months and you cannot continue to do it
4)Not applicable
5)DON'T KNOW 
6)REFUSED</t>
        </is>
      </c>
      <c r="E169" s="186">
        <f>LEN(D169)</f>
        <v/>
      </c>
      <c r="F169" s="185" t="inlineStr">
        <is>
          <t>Au cours des 30 derniers jours, est-ce que quelqu'un dans votre ménage a dû emprunter de la nourriture ou compter sur l'aide d'amis ou de parents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69" s="186">
        <f>LEN(F169)</f>
        <v/>
      </c>
      <c r="H169" s="160" t="inlineStr">
        <is>
          <t>Katika siku 30 iliyopita, kuna mtu yeyote katika kaya yako alilazimika kukopa chakula au kutegemea msaada kutoka kwa marafiki au jamaa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69" s="186">
        <f>LEN(H169)</f>
        <v/>
      </c>
      <c r="J169" s="189" t="inlineStr">
        <is>
          <t>Single Choice</t>
        </is>
      </c>
      <c r="K169" s="186" t="inlineStr">
        <is>
          <t>NA</t>
        </is>
      </c>
      <c r="L169" s="186" t="inlineStr">
        <is>
          <t>NA</t>
        </is>
      </c>
      <c r="M169" s="186" t="inlineStr">
        <is>
          <t>Form Type - Buttons</t>
        </is>
      </c>
      <c r="N169" s="152" t="inlineStr">
        <is>
          <t>NA</t>
        </is>
      </c>
      <c r="O169" s="190" t="inlineStr">
        <is>
          <t>1-6 = cs_stress_credit</t>
        </is>
      </c>
      <c r="P169" s="560" t="n"/>
      <c r="Q169" s="540" t="inlineStr"/>
      <c r="R169" s="540" t="inlineStr"/>
      <c r="S169" s="166" t="n"/>
      <c r="T169" s="132" t="n">
        <v>1</v>
      </c>
      <c r="U169" s="133" t="n"/>
      <c r="W169" s="194" t="inlineStr">
        <is>
          <t>no</t>
        </is>
      </c>
      <c r="X169" s="726" t="n"/>
      <c r="AA169" s="735" t="n">
        <v>11.45889282226562</v>
      </c>
      <c r="AB169" s="735">
        <f>IF(AA169="","",AA169*T169)</f>
        <v/>
      </c>
      <c r="AC169" s="133" t="inlineStr"/>
    </row>
    <row r="170" ht="273" customFormat="1" customHeight="1" s="183">
      <c r="A170" s="155">
        <f>A169+1</f>
        <v/>
      </c>
      <c r="B170" s="184" t="inlineStr">
        <is>
          <t>cs_stress_credit</t>
        </is>
      </c>
      <c r="C170" s="184" t="inlineStr">
        <is>
          <t>cs_stress_credit</t>
        </is>
      </c>
      <c r="D170" s="185" t="inlineStr">
        <is>
          <t>Over the past 30 days, did anyone in your household have to purchase food on credit or borrowed food because of lack of food or money?
[OPERATOR: SINGLE RESPONSE]
1)Yes
2)No - because it wasn’t necessary
3)No - because you already sold those assets or did this activity within the last 12 months and you cannot continue to do it
4)Not applicable
5)DON'T KNOW 
6)REFUSED</t>
        </is>
      </c>
      <c r="E170" s="186">
        <f>LEN(D170)</f>
        <v/>
      </c>
      <c r="F170" s="185" t="inlineStr">
        <is>
          <t>Au cours des 30 derniers jours, est-ce que quelqu'un dans votre ménage a dû acheter de la nourriture à crédit ou emprunter de la nourriture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70" s="186">
        <f>LEN(F170)</f>
        <v/>
      </c>
      <c r="H170" s="160" t="inlineStr">
        <is>
          <t>Katika siku 30 iliyopita, kuna mtu yeyote katika kaya yako alilazimika kununua chakula kwa mkopo au chakula cha kuazima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70" s="186">
        <f>LEN(H170)</f>
        <v/>
      </c>
      <c r="J170" s="189" t="inlineStr">
        <is>
          <t>Single Choice</t>
        </is>
      </c>
      <c r="K170" s="186" t="inlineStr">
        <is>
          <t>NA</t>
        </is>
      </c>
      <c r="L170" s="186" t="inlineStr">
        <is>
          <t>NA</t>
        </is>
      </c>
      <c r="M170" s="186" t="inlineStr">
        <is>
          <t>Form Type - Buttons</t>
        </is>
      </c>
      <c r="N170" s="152" t="inlineStr">
        <is>
          <t>NA</t>
        </is>
      </c>
      <c r="O170" s="190" t="inlineStr">
        <is>
          <t>1-6 = cs_stress_borrowed_money</t>
        </is>
      </c>
      <c r="P170" s="560" t="n"/>
      <c r="Q170" s="540" t="inlineStr"/>
      <c r="R170" s="540" t="inlineStr"/>
      <c r="S170" s="166" t="n"/>
      <c r="T170" s="132" t="n">
        <v>1</v>
      </c>
      <c r="U170" s="133" t="n"/>
      <c r="W170" s="194" t="inlineStr">
        <is>
          <t>no</t>
        </is>
      </c>
      <c r="X170" s="726" t="n"/>
      <c r="AA170" s="735" t="n">
        <v>10.84387874603271</v>
      </c>
      <c r="AB170" s="735">
        <f>IF(AA170="","",AA170*T170)</f>
        <v/>
      </c>
      <c r="AC170" s="133" t="inlineStr"/>
    </row>
    <row r="171" ht="252" customFormat="1" customHeight="1" s="183">
      <c r="A171" s="155">
        <f>A170+1</f>
        <v/>
      </c>
      <c r="B171" s="184" t="inlineStr">
        <is>
          <t>cs_stress_borrowed_money</t>
        </is>
      </c>
      <c r="C171" s="184" t="inlineStr">
        <is>
          <t>cs_stress_borrowed_money</t>
        </is>
      </c>
      <c r="D171" s="185" t="inlineStr">
        <is>
          <t>Over the past 30 days, did anyone in your household have to borrow money because of lack of food or money?
[OPERATOR: SINGLE RESPONSE]
1)Yes
2)No - because it wasn’t necessary
3)No - because you already sold those assets or did this activity within the last 12 months and you cannot continue to do it
4)Not applicable
5)DON'T KNOW 
6)REFUSED</t>
        </is>
      </c>
      <c r="E171" s="186">
        <f>LEN(D171)</f>
        <v/>
      </c>
      <c r="F171" s="185" t="inlineStr">
        <is>
          <t>Au cours des 30 derniers jours, est-ce que quelqu'un dans votre ménage a dû emprunter de l'argent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71" s="186">
        <f>LEN(F171)</f>
        <v/>
      </c>
      <c r="H171" s="160" t="inlineStr">
        <is>
          <t>Katika siku 30 iliyopita, kuna mtu yeyote katika kaya yako alilazimika kukopa pesa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71" s="186">
        <f>LEN(H171)</f>
        <v/>
      </c>
      <c r="J171" s="189" t="inlineStr">
        <is>
          <t>Single Choice</t>
        </is>
      </c>
      <c r="K171" s="186" t="inlineStr">
        <is>
          <t>NA</t>
        </is>
      </c>
      <c r="L171" s="186" t="inlineStr">
        <is>
          <t>NA</t>
        </is>
      </c>
      <c r="M171" s="186" t="inlineStr">
        <is>
          <t>Form Type - Buttons</t>
        </is>
      </c>
      <c r="N171" s="152" t="inlineStr">
        <is>
          <t>NA</t>
        </is>
      </c>
      <c r="O171" s="190" t="inlineStr">
        <is>
          <t>1-6 = cs_crisis_sold_prod_assets</t>
        </is>
      </c>
      <c r="P171" s="560" t="n"/>
      <c r="Q171" s="540" t="inlineStr"/>
      <c r="R171" s="540" t="inlineStr"/>
      <c r="S171" s="166" t="n"/>
      <c r="T171" s="132" t="n">
        <v>1</v>
      </c>
      <c r="U171" s="133" t="n"/>
      <c r="W171" s="194" t="inlineStr">
        <is>
          <t>no</t>
        </is>
      </c>
      <c r="X171" s="726" t="n"/>
      <c r="AA171" s="735" t="n">
        <v>8.231814384460449</v>
      </c>
      <c r="AB171" s="735">
        <f>IF(AA171="","",AA171*T171)</f>
        <v/>
      </c>
      <c r="AC171" s="133" t="inlineStr"/>
    </row>
    <row r="172" ht="294" customFormat="1" customHeight="1" s="183">
      <c r="A172" s="155">
        <f>A171+1</f>
        <v/>
      </c>
      <c r="B172" s="184" t="inlineStr">
        <is>
          <t>cs_crisis_sold_prod_assets</t>
        </is>
      </c>
      <c r="C172" s="184" t="inlineStr">
        <is>
          <t>cs_crisis_sold_prod_assets</t>
        </is>
      </c>
      <c r="D172" s="185" t="inlineStr">
        <is>
          <t>Over the past 30 days, did anyone in your household have to sell productive assets or means of transport [sewing machine, wheelbarrow, bicycle, car, etc.] because of lack of food or money?
[OPERATOR: SINGLE RESPONSE]
1)Yes
2)No - because it wasn’t necessary
3)No - because you already sold those assets or did this activity within the last 12 months and you cannot continue to do it
4)Not applicable
5)DON'T KNOW 
6)REFUSED</t>
        </is>
      </c>
      <c r="E172" s="186">
        <f>LEN(D172)</f>
        <v/>
      </c>
      <c r="F172" s="185" t="inlineStr">
        <is>
          <t>Au cours des 30 derniers jours, est-ce que quelqu'un dans votre ménage a dû vendre des actifs productifs ou des véhicules [machine à coudre, brouette, vélo, voiture, etc.]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72" s="186">
        <f>LEN(F172)</f>
        <v/>
      </c>
      <c r="H172" s="160" t="inlineStr">
        <is>
          <t>Katika siku 30 iliyopita, kuna mtu yeyote katika kaya yako alilazimika kuuza mali za uzalishaji au vyombo vya usafiri [cherehani, toroli, baiskeli, gari, n.k.]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72" s="186">
        <f>LEN(H172)</f>
        <v/>
      </c>
      <c r="J172" s="189" t="inlineStr">
        <is>
          <t>Single Choice</t>
        </is>
      </c>
      <c r="K172" s="186" t="inlineStr">
        <is>
          <t>NA</t>
        </is>
      </c>
      <c r="L172" s="186" t="inlineStr">
        <is>
          <t>NA</t>
        </is>
      </c>
      <c r="M172" s="186" t="inlineStr">
        <is>
          <t>Form Type - Buttons</t>
        </is>
      </c>
      <c r="N172" s="152" t="inlineStr">
        <is>
          <t>NA</t>
        </is>
      </c>
      <c r="O172" s="190" t="inlineStr">
        <is>
          <t>1-6 = cs_crisis_reduced_health_exp</t>
        </is>
      </c>
      <c r="P172" s="560" t="n"/>
      <c r="Q172" s="540" t="inlineStr"/>
      <c r="R172" s="540" t="inlineStr"/>
      <c r="S172" s="166" t="n"/>
      <c r="T172" s="132" t="n">
        <v>1</v>
      </c>
      <c r="U172" s="133" t="n"/>
      <c r="W172" s="194" t="inlineStr">
        <is>
          <t>no</t>
        </is>
      </c>
      <c r="X172" s="726" t="n"/>
      <c r="AA172" s="735" t="n">
        <v>11.93405628204346</v>
      </c>
      <c r="AB172" s="735">
        <f>IF(AA172="","",AA172*T172)</f>
        <v/>
      </c>
      <c r="AC172" s="133" t="inlineStr"/>
    </row>
    <row r="173" ht="273" customFormat="1" customHeight="1" s="183">
      <c r="A173" s="155">
        <f>A172+1</f>
        <v/>
      </c>
      <c r="B173" s="184" t="inlineStr">
        <is>
          <t>cs_crisis_reduced_health_exp</t>
        </is>
      </c>
      <c r="C173" s="184" t="inlineStr">
        <is>
          <t>cs_crisis_reduced_health_exp</t>
        </is>
      </c>
      <c r="D173" s="185" t="inlineStr">
        <is>
          <t>Over the past 30 days, did anyone in your household have to reduce expenses on health [including drugs] because of lack of food or money?
[OPERATOR: SINGLE RESPONSE]
1)Yes
2)No - because it wasn’t necessary
3)No - because you already sold those assets or did this activity within the last 12 months and you cannot continue to do it
4)Not applicable
5)DON'T KNOW 
6)REFUSED</t>
        </is>
      </c>
      <c r="E173" s="186">
        <f>LEN(D173)</f>
        <v/>
      </c>
      <c r="F173" s="185" t="inlineStr">
        <is>
          <t>Au cours des 30 derniers jours, est-ce que quelqu'un dans votre ménage a dû réduire les dépenses de santé [y compris les médicaments]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73" s="186">
        <f>LEN(F173)</f>
        <v/>
      </c>
      <c r="H173" s="160" t="inlineStr">
        <is>
          <t>Katika siku 30 iliyopita, kuna mtu yeyote katika kaya yako alilazimika kupunguza gharama za afya [pamoja na dawa]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73" s="186">
        <f>LEN(H173)</f>
        <v/>
      </c>
      <c r="J173" s="189" t="inlineStr">
        <is>
          <t>Single Choice</t>
        </is>
      </c>
      <c r="K173" s="186" t="inlineStr">
        <is>
          <t>NA</t>
        </is>
      </c>
      <c r="L173" s="186" t="inlineStr">
        <is>
          <t>NA</t>
        </is>
      </c>
      <c r="M173" s="186" t="inlineStr">
        <is>
          <t>Form Type - Buttons</t>
        </is>
      </c>
      <c r="N173" s="152" t="inlineStr">
        <is>
          <t>NA</t>
        </is>
      </c>
      <c r="O173" s="190" t="inlineStr">
        <is>
          <t>1-6 = cs_crisis_harv_immature_crops</t>
        </is>
      </c>
      <c r="P173" s="191" t="n"/>
      <c r="Q173" s="561" t="inlineStr"/>
      <c r="R173" s="562" t="inlineStr"/>
      <c r="S173" s="166" t="n"/>
      <c r="T173" s="132" t="n">
        <v>1</v>
      </c>
      <c r="U173" s="133" t="n"/>
      <c r="W173" s="194" t="inlineStr">
        <is>
          <t>no</t>
        </is>
      </c>
      <c r="X173" s="726" t="n"/>
      <c r="AA173" s="735" t="n">
        <v>12.7567195892334</v>
      </c>
      <c r="AB173" s="735">
        <f>IF(AA173="","",AA173*T173)</f>
        <v/>
      </c>
      <c r="AC173" s="133" t="inlineStr"/>
    </row>
    <row r="174" ht="273" customFormat="1" customHeight="1" s="183">
      <c r="A174" s="155">
        <f>A173+1</f>
        <v/>
      </c>
      <c r="B174" s="184" t="inlineStr">
        <is>
          <t>cs_crisis_harv_immature_crops</t>
        </is>
      </c>
      <c r="C174" s="184" t="inlineStr">
        <is>
          <t>cs_crisis_harv_immature_crops</t>
        </is>
      </c>
      <c r="D174" s="185" t="inlineStr">
        <is>
          <t>Over the past 30 days, did anyone in your household have to harvest immature crops [e.g. green maize] to eat because of lack of food or money?
[OPERATOR: SINGLE RESPONSE]
1)Yes
2)No - because it wasn’t necessary
3)No - because you already sold those assets or did this activity within the last 12 months and you cannot continue to do it
4)Not applicable
5)DON'T KNOW 
6)REFUSED</t>
        </is>
      </c>
      <c r="E174" s="186">
        <f>LEN(D174)</f>
        <v/>
      </c>
      <c r="F174" s="185" t="inlineStr">
        <is>
          <t>Au cours des 30 derniers jours, est-ce que quelqu'un dans votre ménage a dû récolter des cultures immatures [par ex., le maïs vert] pour les manger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74" s="186">
        <f>LEN(F174)</f>
        <v/>
      </c>
      <c r="H174" s="160" t="inlineStr">
        <is>
          <t>Katika siku 30 iliyopita, kuna mtu yeyote katika kaya yako alilazimika kuvuna mazao ambayo hayajakomaa [k.m. mahindi mabichi] ili kula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74" s="186">
        <f>LEN(H174)</f>
        <v/>
      </c>
      <c r="J174" s="189" t="inlineStr">
        <is>
          <t>Single Choice</t>
        </is>
      </c>
      <c r="K174" s="186" t="inlineStr">
        <is>
          <t>NA</t>
        </is>
      </c>
      <c r="L174" s="186" t="inlineStr">
        <is>
          <t>NA</t>
        </is>
      </c>
      <c r="M174" s="186" t="inlineStr">
        <is>
          <t>Form Type - Buttons</t>
        </is>
      </c>
      <c r="N174" s="152" t="inlineStr">
        <is>
          <t>NA</t>
        </is>
      </c>
      <c r="O174" s="190" t="inlineStr">
        <is>
          <t>1-6 = cs_crisis_consume_seed_stock</t>
        </is>
      </c>
      <c r="P174" s="191" t="n"/>
      <c r="Q174" s="563" t="inlineStr"/>
      <c r="R174" s="564" t="inlineStr"/>
      <c r="S174" s="166" t="n"/>
      <c r="T174" s="132" t="n">
        <v>1</v>
      </c>
      <c r="U174" s="133" t="n"/>
      <c r="W174" s="194" t="inlineStr">
        <is>
          <t>no</t>
        </is>
      </c>
      <c r="X174" s="726" t="n"/>
      <c r="AA174" s="735" t="n">
        <v>7.892221450805664</v>
      </c>
      <c r="AB174" s="735">
        <f>IF(AA174="","",AA174*T174)</f>
        <v/>
      </c>
      <c r="AC174" s="133" t="inlineStr"/>
    </row>
    <row r="175" ht="294" customFormat="1" customHeight="1" s="183">
      <c r="A175" s="155">
        <f>A174+1</f>
        <v/>
      </c>
      <c r="B175" s="184" t="inlineStr">
        <is>
          <t>cs_crisis_consume_seed_stock</t>
        </is>
      </c>
      <c r="C175" s="184" t="inlineStr">
        <is>
          <t>cs_crisis_consume_seed_stock</t>
        </is>
      </c>
      <c r="D175" s="185" t="inlineStr">
        <is>
          <t>Over the past 30 days, did anyone in your household consume seed stocks that were to be held/saved for the next planting season because of lack of food or money?
[OPERATOR: SINGLE RESPONSE]
1)Yes
2)No - because it wasn’t necessary
3)No - because you already sold those assets or did this activity within the last 12 months and you cannot continue to do it
4)Not applicable
5)DON'T KNOW 
6)REFUSED</t>
        </is>
      </c>
      <c r="E175" s="186">
        <f>LEN(D175)</f>
        <v/>
      </c>
      <c r="F175" s="185" t="inlineStr">
        <is>
          <t>Au cours des 30 derniers jours, est-ce que quelqu'un dans votre ménage a dû consommer les stocks de semences qui devaient être conservés pour la prochaine campagne de semis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75" s="186">
        <f>LEN(F175)</f>
        <v/>
      </c>
      <c r="H175" s="160" t="inlineStr">
        <is>
          <t>Katika muda wa siku 30 iliyopita, kuna mtu yeyote katika kaya yako alitumia akiba ya mbegu iliyopaswa kuhifadhiwa/kuhifadhiwa kwa msimu ujao wa kupanda kwa sababu ya ukosefu wa chakula au pesa?
[OPERATOR: JIBU MOJA]
1)Ndiyo
2)Hapana - kwa sababu haikuwa lazima
3)Hapana - kwa sababu tayari umeuza mali hizo au ulifanya shughuli hii ndani ya miezi 12 iliyopita na huwezi kuendelea kuifanya.
4)Haitumiki
5)SIJUE
6)KUKATALA</t>
        </is>
      </c>
      <c r="I175" s="186">
        <f>LEN(H175)</f>
        <v/>
      </c>
      <c r="J175" s="189" t="inlineStr">
        <is>
          <t>Single Choice</t>
        </is>
      </c>
      <c r="K175" s="186" t="inlineStr">
        <is>
          <t>NA</t>
        </is>
      </c>
      <c r="L175" s="186" t="inlineStr">
        <is>
          <t>NA</t>
        </is>
      </c>
      <c r="M175" s="186" t="inlineStr">
        <is>
          <t>Form Type - Buttons</t>
        </is>
      </c>
      <c r="N175" s="152" t="inlineStr">
        <is>
          <t>NA</t>
        </is>
      </c>
      <c r="O175" s="190" t="inlineStr">
        <is>
          <t>1-6 = cs_emergency_begged</t>
        </is>
      </c>
      <c r="P175" s="191" t="n"/>
      <c r="Q175" s="563" t="inlineStr"/>
      <c r="R175" s="564" t="inlineStr"/>
      <c r="S175" s="166" t="n"/>
      <c r="T175" s="132" t="n">
        <v>1</v>
      </c>
      <c r="U175" s="133" t="n"/>
      <c r="W175" s="194" t="inlineStr">
        <is>
          <t>no</t>
        </is>
      </c>
      <c r="X175" s="726" t="n"/>
      <c r="AA175" s="735" t="n">
        <v>9.518729209899902</v>
      </c>
      <c r="AB175" s="735">
        <f>IF(AA175="","",AA175*T175)</f>
        <v/>
      </c>
      <c r="AC175" s="133" t="inlineStr"/>
    </row>
    <row r="176" ht="252" customFormat="1" customHeight="1" s="183">
      <c r="A176" s="155">
        <f>A175+1</f>
        <v/>
      </c>
      <c r="B176" s="184" t="inlineStr">
        <is>
          <t>cs_emergency_begged</t>
        </is>
      </c>
      <c r="C176" s="184" t="inlineStr">
        <is>
          <t>cs_emergency_begged</t>
        </is>
      </c>
      <c r="D176" s="185" t="inlineStr">
        <is>
          <t>Over the past 30 days, did anyone in your household have to beg because of lack of food or money?
[OPERATOR: SINGLE RESPONSE]
1)Yes
2)No - because it wasn’t necessary
3)No - because you already sold those assets or did this activity within the last 12 months and you cannot continue to do it
4)Not applicable
5)DON'T KNOW 
6)REFUSED</t>
        </is>
      </c>
      <c r="E176" s="186">
        <f>LEN(D176)</f>
        <v/>
      </c>
      <c r="F176" s="185" t="inlineStr">
        <is>
          <t>Au cours des 30 derniers jours, est-ce que quelqu'un dans votre ménage a dû mendier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76" s="186">
        <f>LEN(F176)</f>
        <v/>
      </c>
      <c r="H176" s="160" t="inlineStr">
        <is>
          <t>Katika siku 30 iliyopita, kuna mtu yeyote katika kaya yako alilazimika kuomba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76" s="186">
        <f>LEN(H176)</f>
        <v/>
      </c>
      <c r="J176" s="189" t="inlineStr">
        <is>
          <t>Single Choice</t>
        </is>
      </c>
      <c r="K176" s="186" t="inlineStr">
        <is>
          <t>NA</t>
        </is>
      </c>
      <c r="L176" s="186" t="inlineStr">
        <is>
          <t>NA</t>
        </is>
      </c>
      <c r="M176" s="186" t="inlineStr">
        <is>
          <t>Form Type - Buttons</t>
        </is>
      </c>
      <c r="N176" s="152" t="inlineStr">
        <is>
          <t>NA</t>
        </is>
      </c>
      <c r="O176" s="190" t="inlineStr">
        <is>
          <t>1-6 = cs_emergency_illegal</t>
        </is>
      </c>
      <c r="P176" s="191" t="n"/>
      <c r="Q176" s="563" t="inlineStr"/>
      <c r="R176" s="564" t="inlineStr"/>
      <c r="S176" s="166" t="n"/>
      <c r="T176" s="132" t="n">
        <v>1</v>
      </c>
      <c r="U176" s="133" t="n"/>
      <c r="W176" s="194" t="inlineStr">
        <is>
          <t>no</t>
        </is>
      </c>
      <c r="X176" s="726" t="n"/>
      <c r="AA176" s="735" t="n">
        <v>9.105807304382324</v>
      </c>
      <c r="AB176" s="735">
        <f>IF(AA176="","",AA176*T176)</f>
        <v/>
      </c>
      <c r="AC176" s="133" t="inlineStr"/>
    </row>
    <row r="177" ht="273" customFormat="1" customHeight="1" s="183">
      <c r="A177" s="155">
        <f>A176+1</f>
        <v/>
      </c>
      <c r="B177" s="184" t="inlineStr">
        <is>
          <t>cs_emergency_illegal</t>
        </is>
      </c>
      <c r="C177" s="184" t="inlineStr">
        <is>
          <t>cs_emergency_illegal</t>
        </is>
      </c>
      <c r="D177" s="185" t="inlineStr">
        <is>
          <t>Over the past 30 days, did anyone in your household have to engage in illegal or degrading income activities [theft, prostitution] because of lack of food or money?
[OPERATOR: SINGLE RESPONSE]
1)Yes
2)No - because it wasn’t necessary
3)No - because you already sold those assets or did this activity within the last 12 months and you cannot continue to do it
4)Not applicable
5)DON'T KNOW 
6)REFUSED</t>
        </is>
      </c>
      <c r="E177" s="186">
        <f>LEN(D177)</f>
        <v/>
      </c>
      <c r="F177" s="185" t="inlineStr">
        <is>
          <t>Au cours des 30 derniers jours, est-ce que quelqu'un dans votre ménage a dû s'engager dans des activités illégales ou dégradantes pour obtenir un revenu [vol, prostitution]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77" s="186">
        <f>LEN(F177)</f>
        <v/>
      </c>
      <c r="H177" s="160" t="inlineStr">
        <is>
          <t>Katika siku 30 iliyopita, kuna mtu yeyote katika kaya yako alilazimika kujihusisha na shughuli haramu au duni za mapato [wizi, ukahaba]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77" s="186">
        <f>LEN(H177)</f>
        <v/>
      </c>
      <c r="J177" s="189" t="inlineStr">
        <is>
          <t>Single Choice</t>
        </is>
      </c>
      <c r="K177" s="186" t="inlineStr">
        <is>
          <t>NA</t>
        </is>
      </c>
      <c r="L177" s="186" t="inlineStr">
        <is>
          <t>NA</t>
        </is>
      </c>
      <c r="M177" s="186" t="inlineStr">
        <is>
          <t>Form Type - Buttons</t>
        </is>
      </c>
      <c r="N177" s="152" t="inlineStr">
        <is>
          <t>NA</t>
        </is>
      </c>
      <c r="O177" s="190" t="inlineStr">
        <is>
          <t>1-6 = cs_emergency_hh_migration</t>
        </is>
      </c>
      <c r="P177" s="191" t="n"/>
      <c r="Q177" s="563" t="inlineStr"/>
      <c r="R177" s="564" t="inlineStr"/>
      <c r="S177" s="166" t="n"/>
      <c r="T177" s="132" t="n">
        <v>1</v>
      </c>
      <c r="U177" s="133" t="n"/>
      <c r="W177" s="194" t="inlineStr">
        <is>
          <t>no</t>
        </is>
      </c>
      <c r="X177" s="726" t="n"/>
      <c r="AA177" s="735" t="n">
        <v>11.21794319152832</v>
      </c>
      <c r="AB177" s="735">
        <f>IF(AA177="","",AA177*T177)</f>
        <v/>
      </c>
      <c r="AC177" s="133" t="inlineStr"/>
    </row>
    <row r="178" ht="273" customFormat="1" customHeight="1" s="577">
      <c r="A178" s="565">
        <f>A177+1</f>
        <v/>
      </c>
      <c r="B178" s="566" t="inlineStr">
        <is>
          <t>cs_emergency_hh_migration</t>
        </is>
      </c>
      <c r="C178" s="566" t="inlineStr">
        <is>
          <t>cs_emergency_hh_migration</t>
        </is>
      </c>
      <c r="D178" s="567" t="inlineStr">
        <is>
          <t>Over the past 30 days, did your entire household have to migrate because of lack of food or money?
[OPERATOR: SINGLE RESPONSE. NOTE THE RESPONDENT REPORTED A RESIDENCE STATUS OF {resp_residencetype} ]
1)Yes
2)No - because it wasn’t necessary
3)No - because you already sold those assets or did this activity within the last 12 months and you cannot continue to do it
4)Not applicable
5)DON'T KNOW 
6)REFUSED</t>
        </is>
      </c>
      <c r="E178" s="507">
        <f>LEN(D178)</f>
        <v/>
      </c>
      <c r="F178" s="567" t="inlineStr">
        <is>
          <t>Au cours des 30 derniers jours, est-ce que votre ménage entier a dû migrer en raison du manque de nourriture ou d'argent ?
[OPÉRATEUR/OPÉRATRICE: RÉPONSE UNIQUE.NOTER QUE LE RÉPONDANT A DÉCLARÉ UN STATUT DE RÉSIDENCE DE {resp_residencetype} ]
1)Oui
2)Non - parce que ce n'était pas nécessaire
3)Non - parce que vous avez déjà vendu ces avoirs ou vous avez mené cette activité au cours des 12 derniers mois et ne pouvez pas continuer à le faire
4)Non applicable
5)NE SAIT PAS 
6)REFUSÉ</t>
        </is>
      </c>
      <c r="G178" s="507">
        <f>LEN(F178)</f>
        <v/>
      </c>
      <c r="H178" s="447" t="inlineStr">
        <is>
          <t>Katika siku 30 iliyopita, kaya yako yote ililazimika kuhama kwa sababu ya ukosefu wa chakula au pesa?
[OPERATOR: JIBU MOJA.KUMBUKA KWAMBA MHOJIWA AMERIPOTI HALI YA MAKAZI KAMA IFUATAVYO {resp_residencetype} ]
1)Ndiyo
2)Hapana - kwa sababu haikuwa lazima
3)Hapana - kwa sababu tayari umeuza mali hizo au ulifanya shughuli hii ndani ya miezi 12 iliyopita na huwezi kuendelea kuifanya.
4)Haitumiki
5)SIJUE
6)KUKATALA</t>
        </is>
      </c>
      <c r="I178" s="507">
        <f>LEN(H178)</f>
        <v/>
      </c>
      <c r="J178" s="568" t="inlineStr">
        <is>
          <t>Single Choice</t>
        </is>
      </c>
      <c r="K178" s="507" t="inlineStr">
        <is>
          <t>NA</t>
        </is>
      </c>
      <c r="L178" s="507" t="inlineStr">
        <is>
          <t>NA</t>
        </is>
      </c>
      <c r="M178" s="507" t="inlineStr">
        <is>
          <t>Form Type - Buttons</t>
        </is>
      </c>
      <c r="N178" s="569" t="inlineStr">
        <is>
          <t>NA</t>
        </is>
      </c>
      <c r="O178" s="570" t="inlineStr">
        <is>
          <t>1-6 = hdds</t>
        </is>
      </c>
      <c r="P178" s="571" t="n"/>
      <c r="Q178" s="572" t="inlineStr"/>
      <c r="R178" s="573" t="inlineStr"/>
      <c r="S178" s="574" t="n"/>
      <c r="T178" s="575" t="n">
        <v>1</v>
      </c>
      <c r="U178" s="576" t="n"/>
      <c r="W178" s="578" t="inlineStr">
        <is>
          <t>no</t>
        </is>
      </c>
      <c r="X178" s="579" t="n"/>
      <c r="AA178" s="744" t="n">
        <v>9.06495475769043</v>
      </c>
      <c r="AB178" s="744">
        <f>IF(AA178="","",AA178*T178)</f>
        <v/>
      </c>
      <c r="AC178" s="576" t="inlineStr"/>
    </row>
    <row r="179" ht="409.5" customFormat="1" customHeight="1" s="183">
      <c r="A179" s="155">
        <f>A178+1</f>
        <v/>
      </c>
      <c r="B179" s="498" t="inlineStr">
        <is>
          <t>hdds</t>
        </is>
      </c>
      <c r="C179" s="156" t="inlineStr">
        <is>
          <t>hdds
1) hdds_cereals
2) hdds_rootstubers
3) hdds_vegetables
4) hdds_fruits
5) hdds_meat
6) hdds_eggs
7) hdds_fish
8) hdds_legumes
9) hdds_milkdairy
10) hdds_oils
11)hdds_sugar
12) hdds_condiments</t>
        </is>
      </c>
      <c r="D179" s="581" t="inlineStr">
        <is>
          <t>Now I would like to ask you a set of questions on food consumption, referring to the 24 hours of yesterday. Please describe the foods [meals and snacks] that you or any household member ate or drank at home yesterday [in the 24 hours of yesterday: breakfast, lunch, dinner and snacks].
[OPERATOR: SELECT ALL FOOD GROUPS CONSUMED IN THE 24 HOURS OF YESTERDAY AS THE RESPONDENT ANSWERS. MULTIPLE RESPONSES POSSIBLE.]
1)Cereals [sorghum / millet / corn / wheat / rice / spaghetti / bread or insert any other locally available grain]
2)Roots and tubers [white sweet potato / potato / yam / cassava or other tubers]
3)Vegetables [all]
4)Fruit [all]
5)Meat/ poultry and offal [beef / pork / lamb / goat / rabbit / wild game / chicken / duck / liver / kidney / heart / or other organ meats]
6)Eggs
7)Fish or shellfish [fresh or dried fish / shellfish]
8)Legume/ nuts and seeds [beans / peas / peanut / lentils / almond / other nuts]
9)Milk and other dairy products [fresh milk / sour / yogurt / cheese / other dairy products]
10)Oils and fat [cooking / butter / margarine / fat / oil / other oil]
11)Sugar or sugary products [honey / jam / donuts / candy / chocolate / biscuits / pastries / cakes and other sweet products]
12)Condiments [cocoa / salt / garlic / spices / yeast / baking powder / tomato or tomato sauce / meat or fish as a condiment] and coffee / tea</t>
        </is>
      </c>
      <c r="E179" s="158">
        <f>LEN(D179)</f>
        <v/>
      </c>
      <c r="F179" s="159" t="inlineStr">
        <is>
          <t>Je voudrais maintenant vous poser une série de questions sur votre consommation alimentaire, avec comme référence les 24 dernières heures de la journée d'hier. Veuillez décrire les aliments [repas et collations] que vous ou tout membre du ménage avez consommés ou bus à la maison au cours de la journée d’hier [dans les 24 dernières heures: petit-déjeuner, déjeuner, dîner et collations].
[OPÉRATEUR/OPÉRATRICE: SÉLECTIONNER TOUS LES GROUPES D'ALIMENTS CONSOMMÉS AU COURS DES 24 HEURES DE LA JOURNÉE PASSÉE DANS LES RÉPONSES DE LA PERSONNE INTERROGÉE. PLUSIEURS RÉPONSES POSSIBLES.]
1)Céréales [sorgho / millet / maïs / blé / riz / spaghettis / pain ou toute autre céréale disponible localement]
2)Racines et tubercules [patate douce blanche / pomme de terre / igname / manioc ou autres tubercules]
3)Légumes [tous]
4)Fruits [tous]
5)Viande/ volaille et abats [bœuf / porc / agneau / chèvre/ lapin / gibier / poulet / canard / foie / rein / cœur ou autres abats]
6)Œufs
7)Poissons ou crustacés [poissons frais ou séchés / crustacés]
8)Légumineuses/ fruits à coque et graines [haricots / pois / arachides / lentilles / amandes et/ou autres fruits à coque]
9)Lait et autres produits laitiers [lait frais / lait caillé / yaourt / fromage / autres produits laitiers]
10)Huiles et graisses [cuisson / beurre / margarine / graisse / huile / autres huiles]
11)Sucre ou produits sucrés [miel / confiture / beignets / bonbons / chocolat / biscuits / pâtisseries / gâteaux et autres produits sucrés]
12)Condiments [cacao / sel / ail / épices / levure / levure chimique / tomate ou sauce tomate / viande ou poisson comme condiment] et café / thé</t>
        </is>
      </c>
      <c r="G179" s="158">
        <f>LEN(F179)</f>
        <v/>
      </c>
      <c r="H179" s="160" t="inlineStr">
        <is>
          <t>Sasa minapenda kukuuliza maswali kuhusu matumizi ya chakula, nikirejea saa 24 za jana. Tafadhali eleza vyakula [vyakula na vitafunwa] ambavyo wewe au mwanakaya yeyote mlikula au kunywa nyumbani jana [katika saa 24. ya jana: kifungua kinywa, chakula cha mchana, chakula cha jioni na vitafunio].
[OPERATOR: CHAGUA VIKUNDI VYOTE VYA VYAKULA VINAVYOTUMWA KATIKA SAA 24 ZA JANA ANAVYOJIBU. MAJIBU MENGI YANAWEZEKANA.]
1)Nafaka [mtama / mtama / mahindi / ngano / wali / tambi / mkate au kuingiza nafaka yingine  yoyote inayopatikana nchini]
2)Mizizi na mizizi [viazi vitamu vyeupe / viazi / viazi vikuu / mihogo au mizizi mingine]
3)Mboga [yote]
4)Matunda [yote]
5)Nyama/ kuku na offal [nyama ya ng'ombe / nguruwe / kondoo / mbuzi / sungura / pori / kuku / bata / ini / figo / moyo / au nyama yingine  ya kiungo]
6)Mayai
7)Samaki au samakigamba [samaki safi au kavu / samakigamba]
8)Kunde/ karanga na mbegu [maharagwe / njegere / karanga / dengu / almond / karanga zingine]
9)Majiba na bidhaa yingine ya majiba [maziwa mapya / sour / mtindi / jibini / bidhaa zingine za majiba]
10)Mafuta na mafuta [kupikia / siagi / majarini / mafuta / mafuta / mafuta mengine]
11)Sukari au bidhaa za sukari [asali / jamu / donuts / peremende / chokoleti / biskuti / keki / keki na bidhaa yingine  tamu]
12)Vitoweo [kakao / chumvi / vitunguu saumu / viungo / chachu / poda ya kuoka / nyanya au mchuzi wa nyanya / nyama au samaki kama kitoweo] na kahawa / chai</t>
        </is>
      </c>
      <c r="I179" s="158">
        <f>LEN(H179)</f>
        <v/>
      </c>
      <c r="J179" s="161" t="inlineStr">
        <is>
          <t>Select All That Apply</t>
        </is>
      </c>
      <c r="K179" s="158" t="inlineStr">
        <is>
          <t>NA</t>
        </is>
      </c>
      <c r="L179" s="158" t="inlineStr">
        <is>
          <t>NA</t>
        </is>
      </c>
      <c r="M179" s="158" t="inlineStr">
        <is>
          <t>Form Type - Checklist</t>
        </is>
      </c>
      <c r="N179" s="149" t="inlineStr">
        <is>
          <t>1)hdds_cereals
2)hdds_rootstubers
3)hdds_vegetables
4)hdds_fruits
5)hdds_meat
6)hdds_eggs
7)hdds_fish
8)hdds_legumes
9)hdds_milkdairy
10)hdds_oils
11)hdds_sugar
12)hdds_condiments</t>
        </is>
      </c>
      <c r="O179" s="162" t="inlineStr">
        <is>
          <t>1-12 = hdds_confirmation</t>
        </is>
      </c>
      <c r="P179" s="163" t="n"/>
      <c r="Q179" s="162" t="inlineStr">
        <is>
          <t>if hdds = 1-12, go to hdds_confirmation</t>
        </is>
      </c>
      <c r="R179" s="190" t="inlineStr"/>
      <c r="S179" s="582" t="n"/>
      <c r="T179" s="205" t="n">
        <v>1</v>
      </c>
      <c r="U179" s="133" t="n"/>
      <c r="W179" s="208" t="inlineStr">
        <is>
          <t>yes</t>
        </is>
      </c>
      <c r="X179" s="726" t="n"/>
      <c r="AA179" s="734" t="n">
        <v>52.17435836791992</v>
      </c>
      <c r="AB179" s="734">
        <f>IF(AA179="","",AA179*T179)</f>
        <v/>
      </c>
      <c r="AC179" s="133" t="inlineStr"/>
    </row>
    <row r="180" ht="252.5" customFormat="1" customHeight="1" s="183" thickBot="1">
      <c r="A180" s="155">
        <f>A179+1</f>
        <v/>
      </c>
      <c r="B180" s="551" t="inlineStr">
        <is>
          <t>hdds_confirmation</t>
        </is>
      </c>
      <c r="C180" s="551" t="inlineStr">
        <is>
          <t>hdds_confirmation</t>
        </is>
      </c>
      <c r="D180" s="197" t="inlineStr">
        <is>
          <t>[OPERATOR: REMEMBER TO PROBE FOR SNACKS, SPECIAL FOODS GIVEN TO CHILDREN OR PREGNANT WOMEN, INGREDIENTS IN MIXED DISHES. AT THE END, PROBE FOR FOOD GROUPS NOT MENTIONED. 
IF YOU HAVE ALREADY PROBED, CLICK CONTINUE. OTHERWISE, GO BACK TO MAKE SURE ALL FOOD GROUPS CONSUMED IN THE 24 HRS OF YESTERDAY WERE SELECTED.]
1)CONTINUE</t>
        </is>
      </c>
      <c r="E180" s="198">
        <f>LEN(D180)</f>
        <v/>
      </c>
      <c r="F180" s="553" t="inlineStr">
        <is>
          <t>[OPÉRATEUR/OPÉRATRICE: N'OUBLIEZ PAS DE DEMANDER DES INFORMATIONS SUR LES COLLATIONS, LES ALIMENTS SPÉCIAUX DONNÉS AUX ENFANTS OU AUX FEMMES ENCEINTES, LES INGRÉDIENTS CONTENUS DANS LES PLATS COMPOSÉS. À LA FIN, RENSEIGNEZ-VOUS SUR LES GROUPES D'ALIMENTS NON CONSOMMÉS. 
SI CES QUESTIONS ONT DÉJÀ ÉTÉ POSÉES, CLIQUER SUR CONTINUER. SINON, REVENEZ EN ARRIÈRE ET ASSUREZ-VOUS QUE TOUS LES GROUPES ALIMENTAIRES CONSOMMÉS AU COURS DES 24 HEURES D'HIER ONT BIEN ÉTÉ SÉLECTIONNÉS.]
1)CONTINUER</t>
        </is>
      </c>
      <c r="G180" s="198">
        <f>LEN(F180)</f>
        <v/>
      </c>
      <c r="H180" s="160" t="inlineStr">
        <is>
          <t>[OPERATOR: KUMBUKA KUFANYA UCHUNGUZI WA VITAFUNO, VYAKULA MAALUM WANAVYOPEWA WATOTO AU WANAWAKE WAJAWAZITO, VIUNGO KATIKA VYOMBO VILIVYOCHANGANYIWA. MWISHO, FAHAMU KWA MAKUNDI YA CHAKULA HAYAJATAJWA._x000D_
_x000D_
IKIWA TAYARI UMEFANYA UCHUNGUZI, BOFYA ENDELEA. VINGINEVYO, RUDI NYUMA ILI KUHAKIKISHA VIKUNDI VYOTE VYA VYAKULA VINAVYOTUMWA KATIKA SAA 24 ZA JANA VIMECHAGULIWA.]_x000D_
_x000D_
1)ENDELEA</t>
        </is>
      </c>
      <c r="I180" s="198">
        <f>LEN(H180)</f>
        <v/>
      </c>
      <c r="J180" s="200" t="inlineStr">
        <is>
          <t>Single Choice</t>
        </is>
      </c>
      <c r="K180" s="198" t="inlineStr">
        <is>
          <t>NA</t>
        </is>
      </c>
      <c r="L180" s="198" t="inlineStr">
        <is>
          <t>NA</t>
        </is>
      </c>
      <c r="M180" s="198" t="inlineStr">
        <is>
          <t>Form Type - Buttons</t>
        </is>
      </c>
      <c r="N180" s="272" t="inlineStr">
        <is>
          <t>NA</t>
        </is>
      </c>
      <c r="O180" s="201" t="inlineStr">
        <is>
          <t>1 = fcs_intro</t>
        </is>
      </c>
      <c r="P180" s="554" t="n"/>
      <c r="Q180" s="583" t="inlineStr">
        <is>
          <t>if hdds_confirmation = 1, go to need or optional question</t>
        </is>
      </c>
      <c r="R180" s="584" t="inlineStr"/>
      <c r="S180" s="585" t="n"/>
      <c r="T180" s="205" t="n">
        <v>1</v>
      </c>
      <c r="U180" s="133" t="n"/>
      <c r="W180" s="208" t="inlineStr">
        <is>
          <t>yes</t>
        </is>
      </c>
      <c r="X180" s="726" t="n"/>
      <c r="AA180" s="734" t="n">
        <v>1.287102341651917</v>
      </c>
      <c r="AB180" s="734">
        <f>IF(AA180="","",AA180*T180)</f>
        <v/>
      </c>
      <c r="AC180" s="133" t="inlineStr"/>
    </row>
    <row r="181" ht="126" customFormat="1" customHeight="1" s="183">
      <c r="A181" s="155">
        <f>A180+1</f>
        <v/>
      </c>
      <c r="B181" s="586" t="inlineStr">
        <is>
          <t>fcs_intro</t>
        </is>
      </c>
      <c r="C181" s="586" t="inlineStr">
        <is>
          <t>fcs_intro</t>
        </is>
      </c>
      <c r="D181" s="587" t="inlineStr">
        <is>
          <t>Now I would like to ask you about the foods and drinks your household ate or drank in the last 7 days during the day and at night [breakfast, lunch, dinner, snacks]. 
1)CONTINUE</t>
        </is>
      </c>
      <c r="E181" s="188">
        <f>LEN(D181)</f>
        <v/>
      </c>
      <c r="F181" s="587" t="inlineStr">
        <is>
          <t>Je voudrais maintenant vous interroger sur les aliments et les boissons consommés dans votre ménage au cours des 7 derniers jours pendant la journée et la nuit [petit-déjeuner, déjeuner, dîner, collations].
1)CONTINUER</t>
        </is>
      </c>
      <c r="G181" s="188">
        <f>LEN(F181)</f>
        <v/>
      </c>
      <c r="H181" s="160" t="inlineStr">
        <is>
          <t>Sasa minapenda kukuuliza kuhusu vyakula na vinywaji ambavyo kaya yako ilikula au kunywa katika siku 7 iliyopita mchana na usiku [kifungua kinywa, chakula cha mchana, chakula cha jioni, vitafunio]._x000D_
_x000D_
1)ENDELEA</t>
        </is>
      </c>
      <c r="I181" s="188">
        <f>LEN(H181)</f>
        <v/>
      </c>
      <c r="J181" s="556" t="inlineStr">
        <is>
          <t>Single Choice</t>
        </is>
      </c>
      <c r="K181" s="188" t="inlineStr">
        <is>
          <t>NA</t>
        </is>
      </c>
      <c r="L181" s="188" t="inlineStr">
        <is>
          <t>NA</t>
        </is>
      </c>
      <c r="M181" s="188" t="inlineStr">
        <is>
          <t>Form Type - Buttons</t>
        </is>
      </c>
      <c r="N181" s="152" t="inlineStr">
        <is>
          <t>NA</t>
        </is>
      </c>
      <c r="O181" s="223" t="inlineStr">
        <is>
          <t>1 = fcs_staple_days</t>
        </is>
      </c>
      <c r="P181" s="588" t="n"/>
      <c r="Q181" s="589" t="inlineStr">
        <is>
          <t>if fcs_intro = 1, go to fcs_staple_days</t>
        </is>
      </c>
      <c r="R181" s="589" t="inlineStr"/>
      <c r="S181" s="280" t="n"/>
      <c r="T181" s="132" t="n">
        <v>1</v>
      </c>
      <c r="U181" s="133" t="n"/>
      <c r="W181" s="194" t="inlineStr">
        <is>
          <t>no</t>
        </is>
      </c>
      <c r="X181" s="726" t="n"/>
      <c r="AA181" s="735" t="n">
        <v>5.644973278045654</v>
      </c>
      <c r="AB181" s="735">
        <f>IF(AA181="","",AA181*T181)</f>
        <v/>
      </c>
      <c r="AC181" s="133" t="inlineStr"/>
    </row>
    <row r="182" ht="168" customFormat="1" customHeight="1" s="183">
      <c r="A182" s="155">
        <f>A181+1</f>
        <v/>
      </c>
      <c r="B182" s="320" t="inlineStr">
        <is>
          <t>fcs_staple_days</t>
        </is>
      </c>
      <c r="C182" s="320" t="inlineStr">
        <is>
          <t>fcs_staple_days</t>
        </is>
      </c>
      <c r="D182" s="324" t="inlineStr">
        <is>
          <t>How many days over the last 7 days, did members of your household eat starches, roots and tubers such as rice, maize, pasta, bread, sorghum, millet, potato, yam, cassava, white sweet potato?
[OPERATOR: RECORD NUMBER OF DAYS 0 - 7.]
[HINT: IF CONSUMED ONLY IN SMALL QUANTITY, DO NOT INCLUDE.]</t>
        </is>
      </c>
      <c r="E182" s="186">
        <f>LEN(D182)</f>
        <v/>
      </c>
      <c r="F182" s="324" t="inlineStr">
        <is>
          <t>Au cours des 7 derniers jours,pendant combien de jours, les membres de votre ménage ont-ils mangé des féculents, racines et tubercules tels que du riz, du maïs, des pâtes, du pain, du sorgho, du millet, des pommes de terre, des ignames, du manioc, des patates douces blanches?
[OPÉRATEUR/OPÉRATRICE: SAISIR LE NOMBRE DE JOURS DE 0 À 7.]
[CONSEIL : SI CONSOMMÉ UNIQUEMENT EN PETITE QUANTITÉ, NE PAS INCLURE.]</t>
        </is>
      </c>
      <c r="G182" s="186">
        <f>LEN(F182)</f>
        <v/>
      </c>
      <c r="H182" s="160" t="inlineStr">
        <is>
          <t>Ni siku ngapi katika siku 7 iliyopita, wanakaya wako walikula wanga, mizizi na mizizi kama wali, mahindi, tambi, mkate, mtama, mtama, viazi, viazi vikuu, mihogo, viazi vitamu nyeupe?
[OPERATOR: REKODI IDADI YA SIKU 0 - 7.]
[DOKEZO: IKITUMIWA KWA KIASI KIDOGO TU, USIJUMUISHE.]</t>
        </is>
      </c>
      <c r="I182" s="186">
        <f>LEN(H182)</f>
        <v/>
      </c>
      <c r="J182" s="189" t="inlineStr">
        <is>
          <t>Range</t>
        </is>
      </c>
      <c r="K182" s="186" t="inlineStr">
        <is>
          <t>NA</t>
        </is>
      </c>
      <c r="L182" s="186" t="inlineStr">
        <is>
          <t>NA</t>
        </is>
      </c>
      <c r="M182" s="186" t="inlineStr">
        <is>
          <t>Form Type - TextBox</t>
        </is>
      </c>
      <c r="N182" s="152" t="inlineStr">
        <is>
          <t>NA</t>
        </is>
      </c>
      <c r="O182" s="190" t="inlineStr">
        <is>
          <t>0-7 = fcs_pulses_days</t>
        </is>
      </c>
      <c r="P182" s="590" t="inlineStr">
        <is>
          <t>GeoPoll [5/6/2025]. Propose to rephrase the French translations so they reference "how many days" instead of "how many times."
FAO: ok thanks</t>
        </is>
      </c>
      <c r="Q182" s="190" t="inlineStr">
        <is>
          <t>For any response, go to fcs_pulses_days</t>
        </is>
      </c>
      <c r="R182" s="190" t="inlineStr"/>
      <c r="S182" s="502" t="n"/>
      <c r="T182" s="132" t="n">
        <v>1</v>
      </c>
      <c r="U182" s="133" t="n"/>
      <c r="W182" s="194" t="inlineStr">
        <is>
          <t>no</t>
        </is>
      </c>
      <c r="X182" s="726" t="n"/>
      <c r="AA182" s="735" t="n">
        <v>26.99896049499512</v>
      </c>
      <c r="AB182" s="735">
        <f>IF(AA182="","",AA182*T182)</f>
        <v/>
      </c>
      <c r="AC182" s="133" t="inlineStr"/>
    </row>
    <row r="183" ht="168" customFormat="1" customHeight="1" s="183">
      <c r="A183" s="155">
        <f>A182+1</f>
        <v/>
      </c>
      <c r="B183" s="320" t="inlineStr">
        <is>
          <t>fcs_pulses_days</t>
        </is>
      </c>
      <c r="C183" s="320" t="inlineStr">
        <is>
          <t>fcs_pulses_days</t>
        </is>
      </c>
      <c r="D183" s="324" t="inlineStr">
        <is>
          <t>How many days over the last 7 days, did members of your household eat pulses and nuts such as beans, lentils, cowpeas, soybean, pigeon peas and peanuts or other nuts?
[OPERATOR: RECORD NUMBER OF DAYS 0 - 7]
[HINT: IF CONSUMED ONLY IN SMALL QUANTITY, DO NOT INCLUDE.]</t>
        </is>
      </c>
      <c r="E183" s="186">
        <f>LEN(D183)</f>
        <v/>
      </c>
      <c r="F183" s="324" t="inlineStr">
        <is>
          <t>Au cours des 7 derniers jours, pendant combien de jours, les membres de votre ménage ont-ils mangé des légumineuses et des fruits à coque tels que des haricots, des lentilles, du niébé, du soja, des pois cajan, des cacahuètes ou d'autres fruits à coque?
[OPÉRATEUR/OPÉRATRICE: SAISIR LE NOMBRE DE JOURS DE 0 À 7.]
[CONSEIL : SI CONSOMMÉ UNIQUEMENT EN PETITE QUANTITÉ, NE PAS INCLURE.]</t>
        </is>
      </c>
      <c r="G183" s="186">
        <f>LEN(F183)</f>
        <v/>
      </c>
      <c r="H183" s="160" t="inlineStr">
        <is>
          <t>Ni siku ngapi katika siku 7 iliyopita, wanakaya wako walikula kunde na karanga kama vile maharagwe, dengu, kunde, soya, mbaazi na karanga au njugu yingine zo?_x000D_
_x000D_
[OPERATOR: REKODI IDADI YA SIKU 0 - 7]_x000D_
[DOKEZO: IKITUMIWA KWA KIASI KIDOGO TU, USIJUMUISHE.]</t>
        </is>
      </c>
      <c r="I183" s="186">
        <f>LEN(H183)</f>
        <v/>
      </c>
      <c r="J183" s="189" t="inlineStr">
        <is>
          <t>Range</t>
        </is>
      </c>
      <c r="K183" s="186" t="inlineStr">
        <is>
          <t>NA</t>
        </is>
      </c>
      <c r="L183" s="186" t="inlineStr">
        <is>
          <t>NA</t>
        </is>
      </c>
      <c r="M183" s="186" t="inlineStr">
        <is>
          <t>Form Type - TextBox</t>
        </is>
      </c>
      <c r="N183" s="152" t="inlineStr">
        <is>
          <t>NA</t>
        </is>
      </c>
      <c r="O183" s="190" t="inlineStr">
        <is>
          <t>0-7 = fcs_vegetables_days</t>
        </is>
      </c>
      <c r="P183" s="590" t="n"/>
      <c r="Q183" s="190" t="inlineStr">
        <is>
          <t>For any response, go to fcs_vegetables_days</t>
        </is>
      </c>
      <c r="R183" s="190" t="inlineStr"/>
      <c r="S183" s="502" t="n"/>
      <c r="T183" s="132" t="n">
        <v>1</v>
      </c>
      <c r="U183" s="133" t="n"/>
      <c r="W183" s="194" t="inlineStr">
        <is>
          <t>no</t>
        </is>
      </c>
      <c r="X183" s="726" t="n"/>
      <c r="AA183" s="735" t="n">
        <v>18.27383232116699</v>
      </c>
      <c r="AB183" s="735">
        <f>IF(AA183="","",AA183*T183)</f>
        <v/>
      </c>
      <c r="AC183" s="133" t="inlineStr"/>
    </row>
    <row r="184" ht="147" customFormat="1" customHeight="1" s="183">
      <c r="A184" s="155">
        <f>A183+1</f>
        <v/>
      </c>
      <c r="B184" s="320" t="inlineStr">
        <is>
          <t>fcs_vegetables_days</t>
        </is>
      </c>
      <c r="C184" s="320" t="inlineStr">
        <is>
          <t>fcs_vegetables_days</t>
        </is>
      </c>
      <c r="D184" s="324" t="inlineStr">
        <is>
          <t>How many days over the last 7 days, did members of your household eat vegetables or leaves such as Funbwa, spinach, cabbage, carrot and/or other leaves/vegetables?
[OPERATOR: RECORD NUMBER OF DAYS 0 - 7] 
[HINT: IF CONSUMED ONLY IN SMALL QUANTITY, DO NOT INCLUDE.]</t>
        </is>
      </c>
      <c r="E184" s="186">
        <f>LEN(D184)</f>
        <v/>
      </c>
      <c r="F184" s="324" t="inlineStr">
        <is>
          <t>Au cours des 7 derniers jours, pendant combien de jours, les membres de votre ménage ont-ils mangé des légumes ou des feuilles tels que des  Fumbwa, épinard, choux, carottes  et/ou d'autres feuilles/légumes?
[OPÉRATEUR/OPÉRATRICE: SAISIR LE NOMBRE DE JOURS DE 0 À 7.]
[CONSEIL : SI CONSOMMÉ UNIQUEMENT EN PETITE QUANTITÉ, NE PAS INCLURE.]</t>
        </is>
      </c>
      <c r="G184" s="186">
        <f>LEN(F184)</f>
        <v/>
      </c>
      <c r="H184" s="160" t="inlineStr">
        <is>
          <t>Ni siku ngapi katika siku 7 iliyopita, wanakaya wako walikula mboga au majani kama vile Fumbwa, épinard, choux, karoti na/au majani/mboga yingine ?
[OPERATOR: REKODI IDADI YA SIKU 0 - 7]
[DOKEZO: IKITUMIWA KWA KIASI KIDOGO TU, USIJUMUISHE.]</t>
        </is>
      </c>
      <c r="I184" s="186">
        <f>LEN(H184)</f>
        <v/>
      </c>
      <c r="J184" s="189" t="inlineStr">
        <is>
          <t>Range</t>
        </is>
      </c>
      <c r="K184" s="186" t="inlineStr">
        <is>
          <t>NA</t>
        </is>
      </c>
      <c r="L184" s="186" t="inlineStr">
        <is>
          <t>NA</t>
        </is>
      </c>
      <c r="M184" s="186" t="inlineStr">
        <is>
          <t>Form Type - TextBox</t>
        </is>
      </c>
      <c r="N184" s="152" t="inlineStr">
        <is>
          <t>NA</t>
        </is>
      </c>
      <c r="O184" s="190" t="inlineStr">
        <is>
          <t>0-7 = fcs_fruit_days</t>
        </is>
      </c>
      <c r="P184" s="590" t="n"/>
      <c r="Q184" s="190" t="inlineStr">
        <is>
          <t>For any response, go to fcs_fruit_days</t>
        </is>
      </c>
      <c r="R184" s="190" t="inlineStr"/>
      <c r="S184" s="502" t="n"/>
      <c r="T184" s="132" t="n">
        <v>1</v>
      </c>
      <c r="U184" s="133" t="n"/>
      <c r="W184" s="194" t="inlineStr">
        <is>
          <t>no</t>
        </is>
      </c>
      <c r="X184" s="726" t="n"/>
      <c r="AA184" s="735" t="n">
        <v>16.35211563110352</v>
      </c>
      <c r="AB184" s="735">
        <f>IF(AA184="","",AA184*T184)</f>
        <v/>
      </c>
      <c r="AC184" s="133" t="inlineStr"/>
    </row>
    <row r="185" ht="147" customFormat="1" customHeight="1" s="183">
      <c r="A185" s="155">
        <f>A184+1</f>
        <v/>
      </c>
      <c r="B185" s="320" t="inlineStr">
        <is>
          <t>fcs_fruit_days</t>
        </is>
      </c>
      <c r="C185" s="320" t="inlineStr">
        <is>
          <t>fcs_fruit_days</t>
        </is>
      </c>
      <c r="D185" s="324" t="inlineStr">
        <is>
          <t>How many days over the last 7 days, did members of your household eat fruit such as bananas, oranges, mangos and/or other fruits?
[OPERATOR: RECORD NUMBER OF DAYS 0 - 7]
[HINT: IF CONSUMED ONLY IN SMALL QUANTITY, DO NOT INCLUDE.]</t>
        </is>
      </c>
      <c r="E185" s="186">
        <f>LEN(D185)</f>
        <v/>
      </c>
      <c r="F185" s="324" t="inlineStr">
        <is>
          <t>Au cours des 7 derniers jours, pendant combien de jours, les membres de votre ménage ont-ils mangé des fruits tels que des  bananes, oranges, mangues et/ou d'autres fruits?
[OPÉRATEUR/OPÉRATRICE: SAISIR LE NOMBRE DE JOURS DE 0 À 7.]
[CONSEIL : SI CONSOMMÉ UNIQUEMENT EN PETITE QUANTITÉ, NE PAS INCLURE.]</t>
        </is>
      </c>
      <c r="G185" s="186">
        <f>LEN(F185)</f>
        <v/>
      </c>
      <c r="H185" s="160" t="inlineStr">
        <is>
          <t>Ni siku ngapi katika siku 7 iliyopita, watu wa kaya yako walikula matunda kama vile ndizi, machungwa, mangue na/au matunda mengine?
[OPERATOR: REKODI IDADI YA SIKU 0 - 7]
[DOKEZO: IKITUMIWA KWA KIASI KIDOGO TU, USIJUMUISHE.]</t>
        </is>
      </c>
      <c r="I185" s="186">
        <f>LEN(H185)</f>
        <v/>
      </c>
      <c r="J185" s="189" t="inlineStr">
        <is>
          <t>Range</t>
        </is>
      </c>
      <c r="K185" s="186" t="inlineStr">
        <is>
          <t>NA</t>
        </is>
      </c>
      <c r="L185" s="186" t="inlineStr">
        <is>
          <t>NA</t>
        </is>
      </c>
      <c r="M185" s="186" t="inlineStr">
        <is>
          <t>Form Type - TextBox</t>
        </is>
      </c>
      <c r="N185" s="152" t="inlineStr">
        <is>
          <t>NA</t>
        </is>
      </c>
      <c r="O185" s="190" t="inlineStr">
        <is>
          <t>0-7 = fcs_meat_fish_days</t>
        </is>
      </c>
      <c r="P185" s="590" t="n"/>
      <c r="Q185" s="190" t="inlineStr">
        <is>
          <t>For any response, go to fcs_meat_fish_days</t>
        </is>
      </c>
      <c r="R185" s="190" t="inlineStr"/>
      <c r="S185" s="502" t="n"/>
      <c r="T185" s="132" t="n">
        <v>1</v>
      </c>
      <c r="U185" s="133" t="n"/>
      <c r="W185" s="194" t="inlineStr">
        <is>
          <t>no</t>
        </is>
      </c>
      <c r="X185" s="726" t="n"/>
      <c r="AA185" s="735" t="n">
        <v>14.01507568359375</v>
      </c>
      <c r="AB185" s="735">
        <f>IF(AA185="","",AA185*T185)</f>
        <v/>
      </c>
      <c r="AC185" s="133" t="inlineStr"/>
    </row>
    <row r="186" ht="168" customFormat="1" customHeight="1" s="183">
      <c r="A186" s="155">
        <f>A185+1</f>
        <v/>
      </c>
      <c r="B186" s="320" t="inlineStr">
        <is>
          <t>fcs_meat_fish_days</t>
        </is>
      </c>
      <c r="C186" s="320" t="inlineStr">
        <is>
          <t>fcs_meat_fish_days</t>
        </is>
      </c>
      <c r="D186" s="324" t="inlineStr">
        <is>
          <t>How many days over the last 7 days, did members of your household eat meat, eggs or fish [any type of meat or fish including insects, birds, bush meat, seafood, or organs]?
[OPERATOR: RECORD NUMBER OF DAYS 0 - 7]
[HINT: IF CONSUMED ONLY IN SMALL QUANTITY, DO NOT INCLUDE.]</t>
        </is>
      </c>
      <c r="E186" s="186">
        <f>LEN(D186)</f>
        <v/>
      </c>
      <c r="F186" s="324" t="inlineStr">
        <is>
          <t>Au cours des 7 derniers jours, pendant combien de jours, les membres de votre ménage ont-ils mangé de la viande, des œufs ou du poisson [tout type de viande ou  poisson, y compris des insectes, oiseaux, viande de brousse, fruits de mer ou abats]?
[OPÉRATEUR/OPÉRATRICE: SAISIR LE NOMBRE DE JOURS DE 0 À 7.]
[CONSEIL : SI CONSOMMÉ UNIQUEMENT EN PETITE QUANTITÉ, NE PAS INCLURE.]</t>
        </is>
      </c>
      <c r="G186" s="186">
        <f>LEN(F186)</f>
        <v/>
      </c>
      <c r="H186" s="160" t="inlineStr">
        <is>
          <t>Ni siku ngapi katika siku 7 iliyopita, watu wa kaya yako walikula nyama, mayai au samaki [aina yoyote ya nyama au samaki ikiwa ni pamoja na wadudu, ndege, nyama ya porini, dagaa, au viungo]?_x000D_
_x000D_
[OPERATOR: REKODI IDADI YA SIKU 0 - 7]_x000D_
[DOKEZO: IKITUMIWA KWA KIASI KIDOGO TU, USIJUMUISHE.]</t>
        </is>
      </c>
      <c r="I186" s="186">
        <f>LEN(H186)</f>
        <v/>
      </c>
      <c r="J186" s="189" t="inlineStr">
        <is>
          <t>Range</t>
        </is>
      </c>
      <c r="K186" s="186" t="inlineStr">
        <is>
          <t>NA</t>
        </is>
      </c>
      <c r="L186" s="186" t="inlineStr">
        <is>
          <t>NA</t>
        </is>
      </c>
      <c r="M186" s="186" t="inlineStr">
        <is>
          <t>Form Type - TextBox</t>
        </is>
      </c>
      <c r="N186" s="152" t="inlineStr">
        <is>
          <t>NA</t>
        </is>
      </c>
      <c r="O186" s="190" t="inlineStr">
        <is>
          <t>0-7 = fcs_dairy_days</t>
        </is>
      </c>
      <c r="P186" s="590" t="n"/>
      <c r="Q186" s="190" t="inlineStr">
        <is>
          <t>For any response, go to fcs_dairy_days</t>
        </is>
      </c>
      <c r="R186" s="190" t="inlineStr"/>
      <c r="S186" s="502" t="n"/>
      <c r="T186" s="132" t="n">
        <v>1</v>
      </c>
      <c r="U186" s="133" t="n"/>
      <c r="W186" s="194" t="inlineStr">
        <is>
          <t>no</t>
        </is>
      </c>
      <c r="X186" s="726" t="n"/>
      <c r="AA186" s="735" t="n">
        <v>17.22746658325195</v>
      </c>
      <c r="AB186" s="735">
        <f>IF(AA186="","",AA186*T186)</f>
        <v/>
      </c>
      <c r="AC186" s="133" t="inlineStr"/>
    </row>
    <row r="187" ht="168" customFormat="1" customHeight="1" s="183">
      <c r="A187" s="155">
        <f>A186+1</f>
        <v/>
      </c>
      <c r="B187" s="320" t="inlineStr">
        <is>
          <t>fcs_dairy_days</t>
        </is>
      </c>
      <c r="C187" s="320" t="inlineStr">
        <is>
          <t>fcs_dairy_days</t>
        </is>
      </c>
      <c r="D187" s="324" t="inlineStr">
        <is>
          <t>How many days over the last 7 days, did members of your household consume fresh milk, sour milk, yogurt, cheese or other dairy products? [Excluding margarine/butter or small amounts of milk for tea/ coffee]
[OPERATOR: RECORD NUMBER OF DAYS 0 - 7]
[HINT: IF CONSUMED ONLY IN SMALL QUANTITY, DO NOT INCLUDE.]</t>
        </is>
      </c>
      <c r="E187" s="186">
        <f>LEN(D187)</f>
        <v/>
      </c>
      <c r="F187" s="324" t="inlineStr">
        <is>
          <t>Au cours des 7 derniers jours, pendant combien de jours, les membres de votre ménage ont-ils consommé du lait frais, du lait aigre, du yaourt, du fromage ou d'autres produits laitiers [à l'exception de la margarine/du beurre ou de petites quantités de lait pour le thé/café]?
[OPÉRATEUR/OPÉRATRICE: SAISIR LE NOMBRE DE JOURS DE 0 À 7.]
[CONSEIL : SI CONSOMMÉ UNIQUEMENT EN PETITE QUANTITÉ, NE PAS INCLURE.]</t>
        </is>
      </c>
      <c r="G187" s="186">
        <f>LEN(F187)</f>
        <v/>
      </c>
      <c r="H187" s="160" t="inlineStr">
        <is>
          <t>Ni siku ngapi katika siku 7 iliyopita, wanafamilia wako walikula maziwa mapya, maziwa ya sour, mtindi, jibini au bidhaa yingine  za maziwa? [Ukiondoa majarini/siagi au kiasi kidogo cha maziwa kwa chai/ kahawa]_x000D_
_x000D_
[OPERATOR: REKODI IDADI YA SIKU 0 - 7]_x000D_
[DOKEZO: IKITUMIWA KWA KIASI KIDOGO TU, USIJUMUISHE.]</t>
        </is>
      </c>
      <c r="I187" s="186">
        <f>LEN(H187)</f>
        <v/>
      </c>
      <c r="J187" s="189" t="inlineStr">
        <is>
          <t>Range</t>
        </is>
      </c>
      <c r="K187" s="186" t="inlineStr">
        <is>
          <t>NA</t>
        </is>
      </c>
      <c r="L187" s="186" t="inlineStr">
        <is>
          <t>NA</t>
        </is>
      </c>
      <c r="M187" s="186" t="inlineStr">
        <is>
          <t>Form Type - TextBox</t>
        </is>
      </c>
      <c r="N187" s="152" t="inlineStr">
        <is>
          <t>NA</t>
        </is>
      </c>
      <c r="O187" s="190" t="inlineStr">
        <is>
          <t>0-7 = fcs_sugar_days</t>
        </is>
      </c>
      <c r="P187" s="590" t="n"/>
      <c r="Q187" s="190" t="inlineStr">
        <is>
          <t>For any response, go to fcs_sugar_days</t>
        </is>
      </c>
      <c r="R187" s="190" t="inlineStr"/>
      <c r="S187" s="502" t="n"/>
      <c r="T187" s="132" t="n">
        <v>1</v>
      </c>
      <c r="U187" s="133" t="n"/>
      <c r="W187" s="194" t="inlineStr">
        <is>
          <t>no</t>
        </is>
      </c>
      <c r="X187" s="726" t="n"/>
      <c r="AA187" s="735" t="n">
        <v>19.49277471670652</v>
      </c>
      <c r="AB187" s="735">
        <f>IF(AA187="","",AA187*T187)</f>
        <v/>
      </c>
      <c r="AC187" s="133" t="inlineStr"/>
    </row>
    <row r="188" ht="168" customFormat="1" customHeight="1" s="183">
      <c r="A188" s="155">
        <f>A187+1</f>
        <v/>
      </c>
      <c r="B188" s="320" t="inlineStr">
        <is>
          <t>fcs_sugar_days</t>
        </is>
      </c>
      <c r="C188" s="320" t="inlineStr">
        <is>
          <t>fcs_sugar_days</t>
        </is>
      </c>
      <c r="D188" s="324" t="inlineStr">
        <is>
          <t>How many days over the last 7 days, did members of your household consume sugar or sweets such as sugar, honey, jam, cakes, candy, cookies, pastries, cakes and other sweets and sugary drinks?
[OPERATOR: RECORD NUMBER OF DAYS 0 - 7]
[HINT: IF CONSUMED ONLY IN SMALL QUANTITY, DO NOT INCLUDE.]</t>
        </is>
      </c>
      <c r="E188" s="186">
        <f>LEN(D188)</f>
        <v/>
      </c>
      <c r="F188" s="324" t="inlineStr">
        <is>
          <t>Au cours des 7 derniers jours, pendant combien de jours, les membres de votre ménage ont-ils consommé du sucre ou des produits sucrés tels que du sucre, du miel, de la confiture, des gâteaux, des bonbons, des biscuits, des pâtisseries et d'autres sucreries et des boissons sucrées?
[OPÉRATEUR/OPÉRATRICE: SAISIR LE NOMBRE DE JOURS DE 0 À 7.]
[CONSEIL : SI CONSOMMÉ UNIQUEMENT EN PETITE QUANTITÉ, NE PAS INCLURE.]</t>
        </is>
      </c>
      <c r="G188" s="186">
        <f>LEN(F188)</f>
        <v/>
      </c>
      <c r="H188" s="160" t="inlineStr">
        <is>
          <t>Ni siku ngapi katika siku 7 iliyopita, watu wa kaya yako walitumia sukari au peremende kama vile sukari, asali, jamu, keki, pipi, biskuti, keki, keki na pipi yingine  na vinywaji vyenye sukari?_x000D_
_x000D_
[OPERATOR: REKODI IDADI YA SIKU 0 - 7]_x000D_
[DOKEZO: IKITUMIWA KWA KIASI KIDOGO TU, USIJUMUISHE.]</t>
        </is>
      </c>
      <c r="I188" s="186">
        <f>LEN(H188)</f>
        <v/>
      </c>
      <c r="J188" s="189" t="inlineStr">
        <is>
          <t>Range</t>
        </is>
      </c>
      <c r="K188" s="186" t="inlineStr">
        <is>
          <t>NA</t>
        </is>
      </c>
      <c r="L188" s="186" t="inlineStr">
        <is>
          <t>NA</t>
        </is>
      </c>
      <c r="M188" s="186" t="inlineStr">
        <is>
          <t>Form Type - TextBox</t>
        </is>
      </c>
      <c r="N188" s="152" t="inlineStr">
        <is>
          <t>NA</t>
        </is>
      </c>
      <c r="O188" s="190" t="inlineStr">
        <is>
          <t>0-7 = fcs_oil_days</t>
        </is>
      </c>
      <c r="P188" s="590" t="n"/>
      <c r="Q188" s="190" t="inlineStr">
        <is>
          <t>For any response, go to fcs_oil_days</t>
        </is>
      </c>
      <c r="R188" s="190" t="inlineStr"/>
      <c r="S188" s="502" t="n"/>
      <c r="T188" s="132" t="n">
        <v>1</v>
      </c>
      <c r="U188" s="133" t="n"/>
      <c r="W188" s="194" t="inlineStr">
        <is>
          <t>no</t>
        </is>
      </c>
      <c r="X188" s="726" t="n"/>
      <c r="AA188" s="735" t="n">
        <v>14.17413425445557</v>
      </c>
      <c r="AB188" s="735">
        <f>IF(AA188="","",AA188*T188)</f>
        <v/>
      </c>
      <c r="AC188" s="133" t="inlineStr"/>
    </row>
    <row r="189" ht="168" customFormat="1" customHeight="1" s="183">
      <c r="A189" s="155">
        <f>A188+1</f>
        <v/>
      </c>
      <c r="B189" s="320" t="inlineStr">
        <is>
          <t>fcs_oil_days</t>
        </is>
      </c>
      <c r="C189" s="320" t="inlineStr">
        <is>
          <t>fcs_oil_days</t>
        </is>
      </c>
      <c r="D189" s="324" t="inlineStr">
        <is>
          <t>How many days over the last 7 days, did members of your household eat oil/fat/butter such as vegetable oil, palm oil, groundnut oil, margarine, other fats / oil?
[OPERATOR: RECORD NUMBER OF DAYS 0 - 7]
[HINT: IF CONSUMED ONLY IN SMALL QUANTITY, DO NOT INCLUDE.]</t>
        </is>
      </c>
      <c r="E189" s="186">
        <f>LEN(D189)</f>
        <v/>
      </c>
      <c r="F189" s="324" t="inlineStr">
        <is>
          <t>Au cours des 7 derniers jours, , pendant combien de jours, les membres de votre ménage ont-ils consommé de l'huile/de la graisse/du beurre tels que des huiles végétales, de l'huile de palme, de l'huile d'arachide, de la margarine, d'autres graisses/huiles?
[OPÉRATEUR/OPÉRATRICE: SAISIR LE NOMBRE DE JOURS DE 0 À 7.]
[CONSEIL : SI CONSOMMÉ UNIQUEMENT EN PETITE QUANTITÉ, NE PAS INCLURE.]</t>
        </is>
      </c>
      <c r="G189" s="186">
        <f>LEN(F189)</f>
        <v/>
      </c>
      <c r="H189" s="160" t="inlineStr">
        <is>
          <t>Ni siku ngapi katika siku 7 iliyopita, wanakaya wako walikula mafuta/mafuta/siagi kama vile mafuta ya mboga, mawese, karanga, majarini, mafuta/mafuta mengine?_x000D_
_x000D_
[OPERATOR: REKODI IDADI YA SIKU 0 - 7]_x000D_
[DOKEZO: IKITUMIWA KWA KIASI KIDOGO TU, USIJUMUISHE.]</t>
        </is>
      </c>
      <c r="I189" s="186">
        <f>LEN(H189)</f>
        <v/>
      </c>
      <c r="J189" s="189" t="inlineStr">
        <is>
          <t>Range</t>
        </is>
      </c>
      <c r="K189" s="186" t="inlineStr">
        <is>
          <t>NA</t>
        </is>
      </c>
      <c r="L189" s="186" t="inlineStr">
        <is>
          <t>NA</t>
        </is>
      </c>
      <c r="M189" s="186" t="inlineStr">
        <is>
          <t>Form Type - TextBox</t>
        </is>
      </c>
      <c r="N189" s="152" t="inlineStr">
        <is>
          <t>NA</t>
        </is>
      </c>
      <c r="O189" s="190" t="inlineStr">
        <is>
          <t>0-7 = fcs_condiments_days</t>
        </is>
      </c>
      <c r="P189" s="590" t="n"/>
      <c r="Q189" s="190" t="inlineStr">
        <is>
          <t>For any response, go to fcs_condiments_days</t>
        </is>
      </c>
      <c r="R189" s="190" t="inlineStr"/>
      <c r="S189" s="502" t="n"/>
      <c r="T189" s="132" t="n">
        <v>1</v>
      </c>
      <c r="U189" s="133" t="n"/>
      <c r="W189" s="194" t="inlineStr">
        <is>
          <t>no</t>
        </is>
      </c>
      <c r="X189" s="726" t="n"/>
      <c r="AA189" s="735" t="n">
        <v>13.37862586975098</v>
      </c>
      <c r="AB189" s="735">
        <f>IF(AA189="","",AA189*T189)</f>
        <v/>
      </c>
      <c r="AC189" s="133" t="inlineStr"/>
    </row>
    <row r="190" ht="147" customFormat="1" customHeight="1" s="183">
      <c r="A190" s="155">
        <f>A189+1</f>
        <v/>
      </c>
      <c r="B190" s="320" t="inlineStr">
        <is>
          <t>fcs_condiments_days</t>
        </is>
      </c>
      <c r="C190" s="320" t="inlineStr">
        <is>
          <t>fcs_condiments_days</t>
        </is>
      </c>
      <c r="D190" s="324" t="inlineStr">
        <is>
          <t>How many days over the last 7 days, did members of your household eat spices or condiments such as tea, coffee, cocoa, salt, garlic, spices, yeast, meat fish as a condiment or small amounts of milk for tea or coffee?
[OPERATOR: RECORD NUMBER OF DAYS 0 - 7]</t>
        </is>
      </c>
      <c r="E190" s="186">
        <f>LEN(D190)</f>
        <v/>
      </c>
      <c r="F190" s="324" t="inlineStr">
        <is>
          <t>Au cours des 7 derniers jours, , pendant combien de jours, les membres de votre ménage ont-ils consommé des épices ou des condiments tels que du thé, du café, du cacao, du sel, de l'ail, des épices, de la levure, de la viande, du poisson comme condiment ou de petites quantités de lait pour le thé ou le café?
[OPÉRATEUR/OPÉRATRICE: SAISIR LE NOMBRE DE JOURS DE 0 À 7]</t>
        </is>
      </c>
      <c r="G190" s="186">
        <f>LEN(F190)</f>
        <v/>
      </c>
      <c r="H190" s="160" t="inlineStr">
        <is>
          <t>Ni siku ngapi katika siku 7 iliyopita, wanakaya wako walikula viungo au vitoweo kama vile chai, kahawa, kakao, chumvi, vitunguu saumu, viungo, chachu, samaki wa nyama kama kitoweo au kiasi kidogo cha maziwa kwa chai au kahawa?_x000D_
_x000D_
[OPERATOR: REKODI IDADI YA SIKU 0 - 7]</t>
        </is>
      </c>
      <c r="I190" s="186">
        <f>LEN(H190)</f>
        <v/>
      </c>
      <c r="J190" s="189" t="inlineStr">
        <is>
          <t>Range</t>
        </is>
      </c>
      <c r="K190" s="186" t="inlineStr">
        <is>
          <t>NA</t>
        </is>
      </c>
      <c r="L190" s="186" t="inlineStr">
        <is>
          <t>NA</t>
        </is>
      </c>
      <c r="M190" s="186" t="inlineStr">
        <is>
          <t>Form Type - TextBox</t>
        </is>
      </c>
      <c r="N190" s="152" t="inlineStr">
        <is>
          <t>NA</t>
        </is>
      </c>
      <c r="O190" s="190" t="inlineStr">
        <is>
          <t>0-7 = rcsi_intro</t>
        </is>
      </c>
      <c r="P190" s="590" t="n"/>
      <c r="Q190" s="190" t="inlineStr">
        <is>
          <t>For any response, go to rcsi_intro</t>
        </is>
      </c>
      <c r="R190" s="190" t="inlineStr"/>
      <c r="S190" s="502" t="n"/>
      <c r="T190" s="132" t="n">
        <v>1</v>
      </c>
      <c r="U190" s="133" t="n"/>
      <c r="W190" s="194" t="inlineStr">
        <is>
          <t>no</t>
        </is>
      </c>
      <c r="X190" s="726" t="n"/>
      <c r="AA190" s="735" t="n">
        <v>12.75652313232422</v>
      </c>
      <c r="AB190" s="735">
        <f>IF(AA190="","",AA190*T190)</f>
        <v/>
      </c>
      <c r="AC190" s="133" t="inlineStr"/>
    </row>
    <row r="191" ht="146" customFormat="1" customHeight="1" s="183">
      <c r="A191" s="155">
        <f>A190+1</f>
        <v/>
      </c>
      <c r="B191" s="320" t="inlineStr">
        <is>
          <t>rcsi_intro</t>
        </is>
      </c>
      <c r="C191" s="320" t="inlineStr">
        <is>
          <t>rcsi_intro</t>
        </is>
      </c>
      <c r="D191" s="324" t="inlineStr">
        <is>
          <t>Now I will ask you about the number of days, in the last 7 days, during which the household has done some of the actions that I will mention to cope with the lack of food or money to buy food.
1)CONTINUE</t>
        </is>
      </c>
      <c r="E191" s="186">
        <f>LEN(D191)</f>
        <v/>
      </c>
      <c r="F191" s="324" t="inlineStr">
        <is>
          <t>Je vais maintenant vous demander au cours des 7 derniers jours, pendant combien de jours, votre ménage a du recourir à certaines mesures pour faire face au manque de nourriture ou d'argent pour acheter de la nourriture.
1)CONTINUER</t>
        </is>
      </c>
      <c r="G191" s="186">
        <f>LEN(F191)</f>
        <v/>
      </c>
      <c r="H191" s="160" t="inlineStr">
        <is>
          <t>“Sasa nitakuuliza kuhusu idadi ya siku, katika siku 7 iliyopita, ambazo kaya imefanya baadhi ya vitendo ambavyo nitavitaja ili kukabiliana na ukosefu wa chakula au fedha za kununulia chakula.
1)ENDELEA</t>
        </is>
      </c>
      <c r="I191" s="186">
        <f>LEN(H191)</f>
        <v/>
      </c>
      <c r="J191" s="189" t="inlineStr">
        <is>
          <t>Single Choice</t>
        </is>
      </c>
      <c r="K191" s="186" t="inlineStr">
        <is>
          <t>NA</t>
        </is>
      </c>
      <c r="L191" s="186" t="inlineStr">
        <is>
          <t>NA</t>
        </is>
      </c>
      <c r="M191" s="186" t="inlineStr">
        <is>
          <t>Form Type - Buttons</t>
        </is>
      </c>
      <c r="N191" s="152" t="inlineStr">
        <is>
          <t>NA</t>
        </is>
      </c>
      <c r="O191" s="190" t="inlineStr">
        <is>
          <t>1 = rcsi_less_preferred_foods</t>
        </is>
      </c>
      <c r="P191" s="590" t="inlineStr">
        <is>
          <t>GeoPoll [5/6/2025]. Propose to rephrase the French translations so they reference "how many days" instead of "how many times."
Fao: ok thanks</t>
        </is>
      </c>
      <c r="Q191" s="190" t="inlineStr">
        <is>
          <t>For any response, go to rcsi_less_preferred_foods</t>
        </is>
      </c>
      <c r="R191" s="190" t="inlineStr"/>
      <c r="S191" s="502" t="n"/>
      <c r="T191" s="132" t="n">
        <v>1</v>
      </c>
      <c r="U191" s="133" t="n"/>
      <c r="W191" s="194" t="inlineStr">
        <is>
          <t>no</t>
        </is>
      </c>
      <c r="X191" s="726" t="n"/>
      <c r="AA191" s="735" t="n">
        <v>5.834917068481445</v>
      </c>
      <c r="AB191" s="735">
        <f>IF(AA191="","",AA191*T191)</f>
        <v/>
      </c>
      <c r="AC191" s="133" t="inlineStr"/>
    </row>
    <row r="192" ht="105" customFormat="1" customHeight="1" s="183">
      <c r="A192" s="155">
        <f>A191+1</f>
        <v/>
      </c>
      <c r="B192" s="320" t="inlineStr">
        <is>
          <t>rcsi_less_preferred_foods</t>
        </is>
      </c>
      <c r="C192" s="320" t="inlineStr">
        <is>
          <t>rcsi_less_preferred_foods</t>
        </is>
      </c>
      <c r="D192" s="591" t="inlineStr">
        <is>
          <t>In the past 7 days, how many days did your household rely on less preferred or less expensive food due to lack of food/money?  
[OPERATOR: RECORD NUMBER OF DAYS 0 - 7 ]</t>
        </is>
      </c>
      <c r="E192" s="186">
        <f>LEN(D192)</f>
        <v/>
      </c>
      <c r="F192" s="324" t="inlineStr">
        <is>
          <t>Au cours des 7 derniers jours, pendant combien de jours, votre ménage s'est-il rabattu sur des aliments qu'il aime moins ou moins chers par manque de nourriture/argent ?  
[OPÉRATEUR/OPÉRATRICE: SAISIR LE NOMBRE DE JOURS DE 0 À 7]</t>
        </is>
      </c>
      <c r="G192" s="186">
        <f>LEN(F192)</f>
        <v/>
      </c>
      <c r="H192" s="160" t="inlineStr">
        <is>
          <t>Katika siku 7 iliyopita, ni siku ngapi kaya yako ilitegemea chakula kisichopendelewa au cha bei ya chini kwa sababu ya ukosefu wa chakula/pesa?_x000D_
_x000D_
[OPERATOR: REKODI IDADI YA SIKU 0 - 7 ]</t>
        </is>
      </c>
      <c r="I192" s="186">
        <f>LEN(H192)</f>
        <v/>
      </c>
      <c r="J192" s="322" t="inlineStr">
        <is>
          <t>Range</t>
        </is>
      </c>
      <c r="K192" s="186" t="inlineStr">
        <is>
          <t>NA</t>
        </is>
      </c>
      <c r="L192" s="186" t="inlineStr">
        <is>
          <t>NA</t>
        </is>
      </c>
      <c r="M192" s="186" t="inlineStr">
        <is>
          <t>Form Type - TextBox</t>
        </is>
      </c>
      <c r="N192" s="152" t="inlineStr">
        <is>
          <t>NA</t>
        </is>
      </c>
      <c r="O192" s="190" t="inlineStr">
        <is>
          <t>0-7 = rcsi_borrowed_food</t>
        </is>
      </c>
      <c r="P192" s="592" t="n"/>
      <c r="Q192" s="589" t="inlineStr">
        <is>
          <t>For any response, go to rcsi_borrowed_food</t>
        </is>
      </c>
      <c r="R192" s="589" t="inlineStr"/>
      <c r="S192" s="502" t="n"/>
      <c r="T192" s="132" t="n">
        <v>1</v>
      </c>
      <c r="U192" s="133" t="n"/>
      <c r="W192" s="194" t="inlineStr">
        <is>
          <t>no</t>
        </is>
      </c>
      <c r="X192" s="726" t="n"/>
      <c r="AA192" s="735" t="n">
        <v>28.60844549470872</v>
      </c>
      <c r="AB192" s="735">
        <f>IF(AA192="","",AA192*T192)</f>
        <v/>
      </c>
      <c r="AC192" s="133" t="inlineStr"/>
    </row>
    <row r="193" ht="105" customFormat="1" customHeight="1" s="183">
      <c r="A193" s="155">
        <f>A192+1</f>
        <v/>
      </c>
      <c r="B193" s="320" t="inlineStr">
        <is>
          <t>rcsi_borrowed_food</t>
        </is>
      </c>
      <c r="C193" s="320" t="inlineStr">
        <is>
          <t>rcsi_borrowed_food</t>
        </is>
      </c>
      <c r="D193" s="591" t="inlineStr">
        <is>
          <t>In the past 7 days, how many days did your household borrow food, or rely on help from a friend or relative due to lack of food or money to buy food? 
[OPERATOR: RECORD NUMBER OF DAYS 0 - 7 ]</t>
        </is>
      </c>
      <c r="E193" s="186">
        <f>LEN(D193)</f>
        <v/>
      </c>
      <c r="F193" s="324" t="inlineStr">
        <is>
          <t>Au cours des 7 derniers jours, pendant combien de jours, votre ménage a-t-il emprunté de la nourriture ou demandé l'aide d'un ami ou d'un parent en raison du manque de nourriture ou d'argent pour acheter de la nourriture ?
[OPÉRATEUR/OPÉRATRICE: SAISIR LE NOMBRE DE JOURS DE 0 À 7]</t>
        </is>
      </c>
      <c r="G193" s="186">
        <f>LEN(F193)</f>
        <v/>
      </c>
      <c r="H193" s="160" t="inlineStr">
        <is>
          <t>Katika siku 7 iliyopita, kaya yako ilikopa chakula kwa siku ngapi, au ilitegemea msaada kutoka kwa rafiki au jamaa kwa sababu ya ukosefu wa chakula au pesa za kununulia chakula?_x000D_
_x000D_
[OPERATOR: REKODI IDADI YA SIKU 0 - 7 ]</t>
        </is>
      </c>
      <c r="I193" s="186">
        <f>LEN(H193)</f>
        <v/>
      </c>
      <c r="J193" s="322" t="inlineStr">
        <is>
          <t>Range</t>
        </is>
      </c>
      <c r="K193" s="186" t="inlineStr">
        <is>
          <t>NA</t>
        </is>
      </c>
      <c r="L193" s="186" t="inlineStr">
        <is>
          <t>NA</t>
        </is>
      </c>
      <c r="M193" s="186" t="inlineStr">
        <is>
          <t>Form Type - TextBox</t>
        </is>
      </c>
      <c r="N193" s="152" t="inlineStr">
        <is>
          <t>NA</t>
        </is>
      </c>
      <c r="O193" s="190" t="inlineStr">
        <is>
          <t>0-7 = rcsi_reduce_number_meals</t>
        </is>
      </c>
      <c r="P193" s="592" t="n"/>
      <c r="Q193" s="589" t="inlineStr">
        <is>
          <t>For any response, go to rcsi_reduce_number_meals</t>
        </is>
      </c>
      <c r="R193" s="589" t="inlineStr"/>
      <c r="S193" s="502" t="n"/>
      <c r="T193" s="132" t="n">
        <v>1</v>
      </c>
      <c r="U193" s="133" t="n"/>
      <c r="W193" s="194" t="inlineStr">
        <is>
          <t>no</t>
        </is>
      </c>
      <c r="X193" s="726" t="n"/>
      <c r="AA193" s="735" t="n">
        <v>14.61820602416992</v>
      </c>
      <c r="AB193" s="735">
        <f>IF(AA193="","",AA193*T193)</f>
        <v/>
      </c>
      <c r="AC193" s="133" t="inlineStr"/>
    </row>
    <row r="194" ht="105" customFormat="1" customHeight="1" s="183">
      <c r="A194" s="155">
        <f>A193+1</f>
        <v/>
      </c>
      <c r="B194" s="593" t="inlineStr">
        <is>
          <t>rcsi_reduce_number_meals</t>
        </is>
      </c>
      <c r="C194" s="593" t="inlineStr">
        <is>
          <t>rcsi_reduce_number_meals</t>
        </is>
      </c>
      <c r="D194" s="591" t="inlineStr">
        <is>
          <t>In the past 7 days, how many days did your household reduce the number of meals eaten in a day due to lack of food or money to buy food?
[OPERATOR: RECORD NUMBER OF DAYS 0 - 7 ]</t>
        </is>
      </c>
      <c r="E194" s="186">
        <f>LEN(D194)</f>
        <v/>
      </c>
      <c r="F194" s="324" t="inlineStr">
        <is>
          <t>Au cours des 7 derniers jours, pendant combien de jours, votre ménage a-t-il réduit le nombre de repas pris dans une journée par manque de nourriture ou d'argent pour acheter de la nourriture ?
[OPÉRATEUR/OPÉRATRICE: SAISIR LE NOMBRE DE JOURS DE 0 À 7]</t>
        </is>
      </c>
      <c r="G194" s="186">
        <f>LEN(F194)</f>
        <v/>
      </c>
      <c r="H194" s="160" t="inlineStr">
        <is>
          <t>Katika siku 7 iliyopita, kaya yako ilipunguza siku ngapi chakula kinacholiwa kwa siku kwa kukosa chakula au pesa ya kununulia chakula?_x000D_
_x000D_
[OPERATOR: REKODI IDADI YA SIKU 0 - 7 ]</t>
        </is>
      </c>
      <c r="I194" s="186">
        <f>LEN(H194)</f>
        <v/>
      </c>
      <c r="J194" s="322" t="inlineStr">
        <is>
          <t>Range</t>
        </is>
      </c>
      <c r="K194" s="186" t="inlineStr">
        <is>
          <t>NA</t>
        </is>
      </c>
      <c r="L194" s="186" t="inlineStr">
        <is>
          <t>NA</t>
        </is>
      </c>
      <c r="M194" s="186" t="inlineStr">
        <is>
          <t>Form Type - TextBox</t>
        </is>
      </c>
      <c r="N194" s="152" t="inlineStr">
        <is>
          <t>NA</t>
        </is>
      </c>
      <c r="O194" s="190" t="inlineStr">
        <is>
          <t>0-7 = rcsi_limit_portions</t>
        </is>
      </c>
      <c r="P194" s="592" t="n"/>
      <c r="Q194" s="589" t="inlineStr">
        <is>
          <t>For any response, go to rcsi_limit_portions</t>
        </is>
      </c>
      <c r="R194" s="589" t="inlineStr"/>
      <c r="S194" s="502" t="n"/>
      <c r="T194" s="132" t="n">
        <v>1</v>
      </c>
      <c r="U194" s="133" t="n"/>
      <c r="W194" s="194" t="inlineStr">
        <is>
          <t>no</t>
        </is>
      </c>
      <c r="X194" s="726" t="n"/>
      <c r="AA194" s="735" t="n">
        <v>13.777663230896</v>
      </c>
      <c r="AB194" s="735">
        <f>IF(AA194="","",AA194*T194)</f>
        <v/>
      </c>
      <c r="AC194" s="133" t="inlineStr"/>
    </row>
    <row r="195" ht="105" customFormat="1" customHeight="1" s="183">
      <c r="A195" s="155">
        <f>A194+1</f>
        <v/>
      </c>
      <c r="B195" s="320" t="inlineStr">
        <is>
          <t>rcsi_limit_portions</t>
        </is>
      </c>
      <c r="C195" s="320" t="inlineStr">
        <is>
          <t>rcsi_limit_portions</t>
        </is>
      </c>
      <c r="D195" s="591" t="inlineStr">
        <is>
          <t>In the past 7 days, how many days did your household limit portion sizes at mealtime due to lack of food or money to buy food? 
[OPERATOR: RECORD NUMBER OF DAYS 0 - 7 ]</t>
        </is>
      </c>
      <c r="E195" s="186">
        <f>LEN(D195)</f>
        <v/>
      </c>
      <c r="F195" s="324" t="inlineStr">
        <is>
          <t>Au cours des 7 derniers jours, pendant combien de jours, votre ménage a-t-il limité la taille des portions consommées pour le repas en raison du manque de nourriture ou d'argent pour acheter de la nourriture ?
[OPÉRATEUR/OPÉRATRICE: SAISIR LE NOMBRE DE JOURS DE 0 À 7]</t>
        </is>
      </c>
      <c r="G195" s="186">
        <f>LEN(F195)</f>
        <v/>
      </c>
      <c r="H195" s="160" t="inlineStr">
        <is>
          <t>Katika siku 7 iliyopita, ni siku ngapi kaya yako ilipunguza ukubwa wa sehemu wakati wa chakula kwa sababu ya ukosefu wa chakula au pesa za kununulia chakula?_x000D_
_x000D_
[OPERATOR: REKODI IDADI YA SIKU 0 - 7 ]</t>
        </is>
      </c>
      <c r="I195" s="186">
        <f>LEN(H195)</f>
        <v/>
      </c>
      <c r="J195" s="322" t="inlineStr">
        <is>
          <t>Range</t>
        </is>
      </c>
      <c r="K195" s="186" t="inlineStr">
        <is>
          <t>NA</t>
        </is>
      </c>
      <c r="L195" s="186" t="inlineStr">
        <is>
          <t>NA</t>
        </is>
      </c>
      <c r="M195" s="186" t="inlineStr">
        <is>
          <t>Form Type - TextBox</t>
        </is>
      </c>
      <c r="N195" s="152" t="inlineStr">
        <is>
          <t>NA</t>
        </is>
      </c>
      <c r="O195" s="190" t="inlineStr">
        <is>
          <t>0-7 = rcsi_restrict_adult_consumpt</t>
        </is>
      </c>
      <c r="P195" s="592" t="n"/>
      <c r="Q195" s="589" t="inlineStr">
        <is>
          <t>For any response, go to rcsi_restrict_adult_consumpt</t>
        </is>
      </c>
      <c r="R195" s="589" t="inlineStr"/>
      <c r="S195" s="280" t="n"/>
      <c r="T195" s="132" t="n">
        <v>1</v>
      </c>
      <c r="U195" s="133" t="n"/>
      <c r="W195" s="194" t="inlineStr">
        <is>
          <t>no</t>
        </is>
      </c>
      <c r="X195" s="726" t="n"/>
      <c r="AA195" s="735" t="n">
        <v>12.39977359771729</v>
      </c>
      <c r="AB195" s="735">
        <f>IF(AA195="","",AA195*T195)</f>
        <v/>
      </c>
      <c r="AC195" s="133" t="inlineStr"/>
    </row>
    <row r="196" ht="126.5" customFormat="1" customHeight="1" s="183" thickBot="1">
      <c r="A196" s="155">
        <f>A195+1</f>
        <v/>
      </c>
      <c r="B196" s="320" t="inlineStr">
        <is>
          <t>rcsi_restrict_adult_consumpt</t>
        </is>
      </c>
      <c r="C196" s="320" t="inlineStr">
        <is>
          <t>rcsi_restrict_adult_consumpt</t>
        </is>
      </c>
      <c r="D196" s="359" t="inlineStr">
        <is>
          <t>In the past 7 days, how many days did your household restrict consumption by adults so children could eat, due to lack of food or money to buy food?
[OPERATOR: RECORD NUMBER OF DAYS 0 - 7 ]</t>
        </is>
      </c>
      <c r="E196" s="186">
        <f>LEN(D196)</f>
        <v/>
      </c>
      <c r="F196" s="359" t="inlineStr">
        <is>
          <t>Au cours des 7 derniers jours, pendant combien de jours, votre ménage a-t-il limité les quantités consommées par les adultes pour que les enfants puissent manger, par manque de nourriture ou d'argent pour acheter de la nourriture ?
[OPÉRATEUR/OPÉRATRICE: SAISIR LE NOMBRE DE JOURS DE 0 À 7]</t>
        </is>
      </c>
      <c r="G196" s="186">
        <f>LEN(F196)</f>
        <v/>
      </c>
      <c r="H196" s="160" t="inlineStr">
        <is>
          <t>Katika siku 7 iliyopita, ni siku ngapi kaya yako ilizuia matumizi ya watu wazima ili watoto waweze kula, kwa sababu ya ukosefu wa chakula au pesa za kununulia chakula?_x000D_
_x000D_
[OPERATOR: REKODI IDADI YA SIKU 0 - 7 ]</t>
        </is>
      </c>
      <c r="I196" s="186">
        <f>LEN(H196)</f>
        <v/>
      </c>
      <c r="J196" s="322" t="inlineStr">
        <is>
          <t>Range</t>
        </is>
      </c>
      <c r="K196" s="435" t="inlineStr">
        <is>
          <t>NA</t>
        </is>
      </c>
      <c r="L196" s="435" t="inlineStr">
        <is>
          <t>NA</t>
        </is>
      </c>
      <c r="M196" s="186" t="inlineStr">
        <is>
          <t>Form Type - TextBox</t>
        </is>
      </c>
      <c r="N196" s="152" t="inlineStr">
        <is>
          <t>NA</t>
        </is>
      </c>
      <c r="O196" s="584" t="inlineStr">
        <is>
          <t>0-7 = need</t>
        </is>
      </c>
      <c r="P196" s="594" t="n"/>
      <c r="Q196" s="595" t="inlineStr">
        <is>
          <t>For any response, go to need</t>
        </is>
      </c>
      <c r="R196" s="595" t="inlineStr"/>
      <c r="S196" s="280" t="n"/>
      <c r="T196" s="132" t="n">
        <v>1</v>
      </c>
      <c r="U196" s="133" t="n"/>
      <c r="W196" s="194" t="inlineStr">
        <is>
          <t>no</t>
        </is>
      </c>
      <c r="X196" s="726" t="n"/>
      <c r="AA196" s="735" t="n">
        <v>13.34388160705566</v>
      </c>
      <c r="AB196" s="735">
        <f>IF(AA196="","",AA196*T196)</f>
        <v/>
      </c>
      <c r="AC196" s="133" t="inlineStr"/>
    </row>
    <row r="197" ht="21.5" customFormat="1" customHeight="1" s="207" thickBot="1">
      <c r="A197" s="710" t="inlineStr">
        <is>
          <t>H. NEEDS ASSISTANCE</t>
        </is>
      </c>
      <c r="B197" s="732" t="n"/>
      <c r="C197" s="732" t="n"/>
      <c r="D197" s="732" t="n"/>
      <c r="E197" s="732" t="n"/>
      <c r="F197" s="732" t="n"/>
      <c r="G197" s="732" t="n"/>
      <c r="H197" s="732" t="n"/>
      <c r="I197" s="732" t="n"/>
      <c r="J197" s="732" t="n"/>
      <c r="K197" s="732" t="n"/>
      <c r="L197" s="732" t="n"/>
      <c r="M197" s="732" t="n"/>
      <c r="N197" s="732" t="n"/>
      <c r="O197" s="732" t="n"/>
      <c r="P197" s="732" t="n"/>
      <c r="Q197" s="732" t="n"/>
      <c r="R197" s="732" t="n"/>
      <c r="S197" s="733" t="n"/>
      <c r="T197" s="205" t="n"/>
      <c r="U197" s="206" t="n"/>
      <c r="W197" s="208" t="n"/>
      <c r="X197" s="209" t="n"/>
      <c r="AA197" s="734" t="n"/>
      <c r="AB197" s="734">
        <f>IF(AA197="","",AA197*T197)</f>
        <v/>
      </c>
      <c r="AC197" s="206">
        <f>IF(W197="yes",AB197,"")</f>
        <v/>
      </c>
    </row>
    <row r="198" ht="213.65" customFormat="1" customHeight="1" s="430">
      <c r="A198" s="596">
        <f>A196+1</f>
        <v/>
      </c>
      <c r="B198" s="146" t="inlineStr">
        <is>
          <t>need</t>
        </is>
      </c>
      <c r="C198" s="156" t="inlineStr">
        <is>
          <t>need</t>
        </is>
      </c>
      <c r="D198" s="173" t="inlineStr">
        <is>
          <t>Does your household need any kind of assistance to support your ability to meet food and income needs over the next 6 months?
[OPERATOR: SINGLE RESPONSE.]
1)YES
2)NO
3)DON'T KNOW
4)REFUSED</t>
        </is>
      </c>
      <c r="E198" s="148">
        <f>LEN(D198)</f>
        <v/>
      </c>
      <c r="F198" s="159" t="inlineStr">
        <is>
          <t>Votre ménage aurait-t-il besoin d'une aide quelconque pour couvrir ses besoins alimentaires et financiers au cours des 6 prochains mois ? 
[OPÉRATEUR/OPÉRATRICE: RÉPONSE UNIQUE.]
1)OUI
2)NON
3)NE SAIT PAS
4)REFUSÉ</t>
        </is>
      </c>
      <c r="G198" s="148">
        <f>LEN(F198)</f>
        <v/>
      </c>
      <c r="H198" s="160" t="inlineStr">
        <is>
          <t>Kaya yako inahitaji msaada kwa ajili ya shughuli ya kilimo [ikijumuisha shughuli za mazao, mifugo na uvuvi/ufugaji wa samaki] katika kipindi cha miezi 3 hadi 6 ijayo?
[OPERATOR: JIBU MOJA.]
1)NDIYO
2)HAPANA
3)SIJUE
4)KUKATALA</t>
        </is>
      </c>
      <c r="I198" s="148">
        <f>LEN(H198)</f>
        <v/>
      </c>
      <c r="J198" s="276" t="inlineStr">
        <is>
          <t>Single Choice</t>
        </is>
      </c>
      <c r="K198" s="148" t="inlineStr">
        <is>
          <t>NA</t>
        </is>
      </c>
      <c r="L198" s="597" t="inlineStr">
        <is>
          <t>Send if "hh_agricactivity" "Equals" "Yes - crop production" Or "hh_agricactivity" "Equals" "Yes - livestock production" Or "hh_agricactivity" "Equals" "Yes - both crop and livestock production" Or "hh_fish" "Equals" "YES" Or "income_main_crop_check" "Equals" "YES" Or "income_sec_crop_check" "Equals" "YES" Or "income_third_crop_check" "Equals" "YES" Or "income_main_ls_check" "Equals" "YES" Or "income_sec_ls_check" "Equals" "YES" Or "income_third_ls_check" "Equals" "YES" Or "income_main_fish_check" "Equals" "YES" Or "income_sec_fish_check" "Equals" "YES" Or "income_third_fish_check" "Equals" "YES" if not satisfied go to "callback"</t>
        </is>
      </c>
      <c r="M198" s="158" t="inlineStr">
        <is>
          <t>Form Type - Buttons</t>
        </is>
      </c>
      <c r="N198" s="149" t="inlineStr">
        <is>
          <t>NA</t>
        </is>
      </c>
      <c r="O198" s="150" t="inlineStr">
        <is>
          <t>1 = need_2
2-4= need_received</t>
        </is>
      </c>
      <c r="P198" s="151" t="n"/>
      <c r="Q198" s="150" t="inlineStr">
        <is>
          <t>Only administered to households involved in agricultural production [crop, livestock and/or fish]. Otherwise, go to "callback". 
if need = 1, go to need_2
if need = 2-4, go to need_received</t>
        </is>
      </c>
      <c r="R198" s="223" t="inlineStr"/>
      <c r="S198" s="153" t="n"/>
      <c r="T198" s="205" t="n">
        <v>1</v>
      </c>
      <c r="U198" s="429" t="n"/>
      <c r="W198" s="431" t="inlineStr">
        <is>
          <t>yes</t>
        </is>
      </c>
      <c r="X198" s="725" t="n"/>
      <c r="AA198" s="743" t="n">
        <v>14.47277355194092</v>
      </c>
      <c r="AB198" s="734">
        <f>IF(AA198="","",AA198*T198)</f>
        <v/>
      </c>
      <c r="AC198" s="133" t="inlineStr"/>
    </row>
    <row r="199" ht="213.65" customFormat="1" customHeight="1" s="430">
      <c r="A199" s="596">
        <f>A198+1</f>
        <v/>
      </c>
      <c r="B199" s="146" t="inlineStr">
        <is>
          <t>need_type</t>
        </is>
      </c>
      <c r="C199" s="156" t="inlineStr"/>
      <c r="D199" s="173" t="inlineStr">
        <is>
          <t>What type of assistance will your household need?
[OPERATOR: MULTIPLE RESPONSE.]
1)Food aid
2)Support for agriculture or related livelihoods [crops, livestock, fisheries, and related marketing]
3)Support for non-agricultural income
4)Support for other essential needs [e.g. shelter, healthcare, education, water, sanitation]
5)DON'T KNOW
6)REFUSED</t>
        </is>
      </c>
      <c r="E199" s="148">
        <f>LEN(D199)</f>
        <v/>
      </c>
      <c r="F199" s="173" t="inlineStr">
        <is>
          <t>Quel est le type d'aide dont votre ménage a besoin ?
[OPÉRATEUR : PLUSIEURS RÉPONSES POSSIBLE.]
1)Aide alimentaire
2)Soutien à l'agriculture ou aux moyens de subsistance liés [cultures, élevage, pêche, commercialisation liée]
3)Soutien aux revenus non agricoles
4)Autres besoins essentiels [par exemple, logement, soins de santé, éducation, eau, assainissement]
5)NE SAIT PAS
6)REFUSÉ</t>
        </is>
      </c>
      <c r="G199" s="148" t="n"/>
      <c r="H199" s="160" t="n"/>
      <c r="I199" s="148" t="n"/>
      <c r="J199" s="276" t="inlineStr">
        <is>
          <t>Open Ended - Select All That Apply</t>
        </is>
      </c>
      <c r="K199" s="173" t="inlineStr">
        <is>
          <t>NA</t>
        </is>
      </c>
      <c r="L199" s="173" t="inlineStr">
        <is>
          <t>NA</t>
        </is>
      </c>
      <c r="M199" s="173" t="inlineStr">
        <is>
          <t>Form Type - Checklist
5,6 = IsNone</t>
        </is>
      </c>
      <c r="N199" s="173" t="inlineStr">
        <is>
          <t>1)need_type_food
2)need_type_ag_livelihood
3)need_type_nonag_livelihood
4)need_type_other
5)need_type_dk
6)need_type_ref</t>
        </is>
      </c>
      <c r="O199" s="173" t="inlineStr">
        <is>
          <t>1-6 = need_type_main</t>
        </is>
      </c>
      <c r="P199" s="173" t="n"/>
      <c r="Q199" s="173" t="inlineStr">
        <is>
          <t>For any response, go to need_type_main</t>
        </is>
      </c>
      <c r="R199" s="223" t="inlineStr"/>
      <c r="S199" s="327" t="n"/>
      <c r="T199" s="205" t="n"/>
      <c r="U199" s="429" t="n"/>
      <c r="W199" s="431" t="inlineStr"/>
      <c r="X199" s="725" t="n"/>
      <c r="AA199" s="743" t="n"/>
      <c r="AB199" s="734" t="n"/>
      <c r="AC199" s="133" t="inlineStr"/>
    </row>
    <row r="200" ht="213.65" customFormat="1" customHeight="1" s="430">
      <c r="A200" s="596" t="n"/>
      <c r="B200" s="173" t="inlineStr">
        <is>
          <t>need_type_main</t>
        </is>
      </c>
      <c r="C200" s="156" t="inlineStr"/>
      <c r="D200" s="173" t="inlineStr">
        <is>
          <t>Which of these types of support is the most important for your household?
[OPERATOR: PLEASE ONLY ASK THE QUESTION IF MORE THAN ONE ANSWER WAS PROVIDED IN THE PREVIOUS QUESTION.]
1)DON'T KNOW
2)REFUSED</t>
        </is>
      </c>
      <c r="E200" s="148">
        <f>LEN(D200)</f>
        <v/>
      </c>
      <c r="F200" s="173" t="inlineStr">
        <is>
          <t>Lequel de ces types d'aide est le plus important pour votre ménage ?
[OPÉRATEUR : NE POSEZ CETTE QUESTION QUE SI PLUS D'UNE RÉPONSE A ÉTÉ DONNÉE À LA QUESTION PRÉCÉDENTE].
1)NE SAIT PAS
2)REFUS</t>
        </is>
      </c>
      <c r="G200" s="173" t="n"/>
      <c r="H200" s="173" t="n"/>
      <c r="I200" s="173" t="n"/>
      <c r="J200" s="173" t="inlineStr">
        <is>
          <t>Single Choice</t>
        </is>
      </c>
      <c r="K200" s="173" t="inlineStr">
        <is>
          <t>NA</t>
        </is>
      </c>
      <c r="L200" s="173" t="inlineStr">
        <is>
          <t>Send if "need_type" "Contains" "Food aid" Or "need_type" "Contains" "Support for non-agricultural income" Or "need_type" "Contains" "Support for other essential needs [e.g. shelter, healthcare, education, water, sanitation" Or "need_type" "Contains" "Support for agriculture or related livelihoods [crop, livestock, fisheries, and related marketing]" if not satisfied go to "need_received"</t>
        </is>
      </c>
      <c r="M200" s="173" t="inlineStr">
        <is>
          <t>Form Type - Buttons
include selected "need_type"
IsDemographic</t>
        </is>
      </c>
      <c r="N200" s="173" t="inlineStr">
        <is>
          <t>NA</t>
        </is>
      </c>
      <c r="O200" s="173" t="inlineStr">
        <is>
          <t>Dynamics = need_2
1-2 = need_2</t>
        </is>
      </c>
      <c r="P200" s="173" t="n"/>
      <c r="Q200" s="173" t="inlineStr">
        <is>
          <t>For any response, go to need_2</t>
        </is>
      </c>
      <c r="R200" s="223" t="inlineStr"/>
      <c r="S200" s="327" t="n"/>
      <c r="T200" s="205" t="n"/>
      <c r="U200" s="429" t="n"/>
      <c r="W200" s="431" t="inlineStr"/>
      <c r="X200" s="725" t="n"/>
      <c r="AA200" s="743" t="n"/>
      <c r="AB200" s="734" t="n"/>
      <c r="AC200" s="133" t="inlineStr"/>
    </row>
    <row r="201" ht="409.6" customFormat="1" customHeight="1" s="183">
      <c r="A201" s="155">
        <f>A198+1</f>
        <v/>
      </c>
      <c r="B201" s="149" t="inlineStr">
        <is>
          <t>need_2</t>
        </is>
      </c>
      <c r="C201" s="149" t="inlineStr">
        <is>
          <t>need_
1) need_food
2) need_cash
3) need_vouchers_fair
4) need_crop_inputs
5) need_crop_infrastructure
6) need_crop_knowledge
7) need_ls_feed
8) need_ls_vet_service
9) need_ls_infrastructure
10) need_ls_knowledge
11) need_fish_inputs
12) need_fish_infrastructure
13) need_fish_knowledge
14) need_env_infra_rehab
15) need_cold_storage
16) need_marketing_supp
17) need_other
18) need_dk
19) need_ref</t>
        </is>
      </c>
      <c r="D201" s="149" t="inlineStr">
        <is>
          <t>Over the next 6 months, what kinds of assistance does your household need to support agricultural livelihood [including both production and marketing]?
[OPERATOR: MULTIPLE RESPONSE. DO NOT READ THE OPTIONS.]
1)Inputs for crop and/or vegetable production [e.g. seeds, fertilizer, tools]
2)Infrastructure for crop and/or vegetable production [e.g. irrigation, canal rehabilitation, pumps]
3)Training &amp; technical knowledge/advice for crop production
4)Livestock feed [fodder or supplementary feed]
5)Veterinary services [e.g. vaccination, dips, deworming]
6)Infrastructure for livestock [e.g. water points, transhumance corridors, shelter, health points]
7)Training &amp; technical knowledge/advice for livestock production
8)Inputs for fishing or aquaculture production
9)Infrastructure for fisheries or aquaculture production [e.g. rehabilitation of port; repair of ponds]
10)Training &amp; technical knowledge/advice for fisheries or aquaculture production
11)Environmental or infrastructure rehabilitation [community-wide]
12)Cold storage
13)Marketing or sales support [e.g. public procurement]
14)Food
15)Cash
16)Vouchers or input trade fairs
17)Other [specify]
18)DON'T KNOW
19)REFUSED</t>
        </is>
      </c>
      <c r="E201" s="149">
        <f>LEN(D201)</f>
        <v/>
      </c>
      <c r="F201" s="149" t="inlineStr">
        <is>
          <t>Au cours des six prochains mois, de quel type d'aide votre ménage a-t-il besoin pour soutenir son activité agricole [cultures, élevage ou pêche/aquaculture] ?
[OPÉRATEUR/OPÉRATRICE: PLUSIEURS RÉPONSES POSSILES. SI POSSIBLE, NE PAS LIRE LES OPTIONS.]
1)Intrants pour la production végétale et/ou de légumes [par exemple, semences, engrais, outils]
2)Infrastructures pour la production végétale et/ou de légumes [par exemple, irrigation, réhabilitation de canaux, pompes]
3)Formations et conseils techniques pour la production végétale
4)Aliments pour le bétail [fourrage ou aliments complémentaires]
5)Services vétérinaires [par exemple, vaccination, bain antiparasitaire, vermifuges]
6)Infrastructures pour le bétail [par exemple, points d'eau, couloirs de transhumance, abris, points santé]
7)Formations et conseils techniques pour la production animale
8)Intrants pour la production de poissons ou l'aquaculture
9)Infrastructures pour la pêche ou l'aquaculture [par exemple, réhabilitation du port, réaménagement des étangs]
10)Formations et conseils techniques pour la pêche ou l'aquaculture
11)Réhabilitation de l'environnement ou des infrastructures [à l'échelle de la communauté]
12)Stockage réfrigéré
13)Soutien à la commercialisation ou aux ventes [par exemple, passation de marchés publics]
14)Nourriture
15)Argent liquide
16)Bons d'achat ou foire aux intrants
17)Autre [préciser]
18)NE SAIT PAS
19)REFUSÉ</t>
        </is>
      </c>
      <c r="G201" s="158">
        <f>LEN(F201)</f>
        <v/>
      </c>
      <c r="H201" s="160" t="n"/>
      <c r="I201" s="158">
        <f>LEN(H201)</f>
        <v/>
      </c>
      <c r="J201" s="282" t="inlineStr">
        <is>
          <t>Open Ended-Select All That Apply</t>
        </is>
      </c>
      <c r="K201" s="158" t="inlineStr">
        <is>
          <t>NA</t>
        </is>
      </c>
      <c r="L201" s="688" t="inlineStr">
        <is>
          <t>Send if "need_type" "Contains" "Support for agriculture or related livelihoods [crop, livestock, fisheries, and related marketing]" if not satisfied go to "need_received"</t>
        </is>
      </c>
      <c r="M201" s="689" t="inlineStr">
        <is>
          <t>Form Type - Checklist
18,19 = IsNone</t>
        </is>
      </c>
      <c r="N201" s="691" t="inlineStr">
        <is>
          <t>1) need_crop_inputs
2) need_crop_infrastructure
3) need_crop_knowledge
4) need_ls_feed
5) need_ls_vet_service
6) need_ls_infrastructure
7) need_ls_knowledge
8) need_fish_inputs
9) need_fish_infrastructure
10) need_fish_knowledge
11) need_env_infra_rehab
12) need_cold_storage
13) need_marketing_supp
14) need_food
15) need_vouchers_fair
16) need_cash
17) need_other
18) need_dk
19) need_ref</t>
        </is>
      </c>
      <c r="O201" s="690" t="inlineStr">
        <is>
          <t>1-19 = need_received</t>
        </is>
      </c>
      <c r="P201" s="151" t="n"/>
      <c r="Q201" s="393" t="inlineStr">
        <is>
          <t>if need_2 = 1-19, go to need_received</t>
        </is>
      </c>
      <c r="R201" s="394" t="inlineStr"/>
      <c r="S201" s="166" t="n"/>
      <c r="T201" s="205" t="n">
        <v>1</v>
      </c>
      <c r="U201" s="133" t="n"/>
      <c r="W201" s="208" t="inlineStr">
        <is>
          <t>yes</t>
        </is>
      </c>
      <c r="X201" s="726" t="n"/>
      <c r="AA201" s="734" t="n">
        <v>33.74076461791992</v>
      </c>
      <c r="AB201" s="734">
        <f>IF(AA201="","",AA201*T201)</f>
        <v/>
      </c>
      <c r="AC201" s="133" t="inlineStr"/>
    </row>
    <row r="202" ht="409.5" customFormat="1" customHeight="1" s="183">
      <c r="A202" s="598">
        <f>A201+1</f>
        <v/>
      </c>
      <c r="B202" s="498" t="inlineStr">
        <is>
          <t>need_received</t>
        </is>
      </c>
      <c r="C202" s="282" t="inlineStr">
        <is>
          <t>need_received_
1) need_received_food
2) need_received_cash
3) need_received_vouchers_fair
4) need_received_crop_assist
5) need_received_ls_assist
6) need_received_fish_assist
7) need_received_rehabilitation
8) need_received_sales_support
9) need_received_other
10) need_received_none
11) need_received_dk
12) need_received_ref</t>
        </is>
      </c>
      <c r="D202" s="173" t="inlineStr">
        <is>
          <t>Has your household received any assistance in the last 3 months, and if so, which kind?
[OPERATOR: MULTIPLE RESPONSE POSSIBLE. READ OUT THE OPTIONS.]
1)Food
2)Cash 
3)Vouchers/input trade fairs
4)Crop and/or vegetable production assistance
5)Livestock assistance
6)Fisheries and/or aquaculture assistance
7)Environmental or infrastructure rehabilitation [community-wide]
8)Marketing or sales support [e.g. public procurement]
9)Other [specify]
10)No assistance received
11)DON'T KNOW 
12)REFUSED</t>
        </is>
      </c>
      <c r="E202" s="288">
        <f>LEN(D202)</f>
        <v/>
      </c>
      <c r="F202" s="260" t="inlineStr">
        <is>
          <t>Votre ménage a-t-il reçu une aide au cours des 3 derniers mois, et si oui, de quel type ?
[OPÉRATEUR/OPÉRATRICE: PLUSIEURS RÉPONSES POSSIBLES. LIRE LES OPTIONS À VOIX HAUTE.]
1)Nourriture
2)Argent liquide 
3)Bons d'achat/foires aux intrants
4)Soutien à la production végétale et/ou de légumes
5)Soutien à l'élevage
6)Soutien à la pêche et/ou à l'aquaculture
7)Réhabilitation de l'environnement ou des infrastructures [à l'échelle de la communauté]
8)Soutien à la commercialisation ou à la vente [par exemple passation de marchés publics]
9)Autre [préciser]
10)Aucune aide reçue
11)NE SAIT PAS 
12)REFUSÉ</t>
        </is>
      </c>
      <c r="G202" s="288">
        <f>LEN(F202)</f>
        <v/>
      </c>
      <c r="H202" s="160" t="inlineStr">
        <is>
          <t>Kaya yako imepokea usaidizi wowote katika miezi 3 iliyopita, na kama ni hivyo, ni aina gani?
[OPERATOR: MAJIBU MENGI YANAWEZEKANA. SOMA CHAGUO.]
1)Chakula
2)Feza
3)Vocha/maonesho ya biashara ya pembejeo
4)Msaada wa uzalishaji wa mazao na/au mboga
5)Msaada wa mifugo
6)Msaada wa uvuvi na/au ufugaji wa samaki
7)Ukarabati wa mazingira au miundombinu [jumuiya nzima]
8)Usaidizi wa masoko au mauzo [k.m. ununuzi wa umma]
9)yingine  [taja]
10)Hakuna usaidizi uliopokelewa
11)SIJUE
12)KUKATALA</t>
        </is>
      </c>
      <c r="I202" s="288">
        <f>LEN(H202)</f>
        <v/>
      </c>
      <c r="J202" s="282" t="inlineStr">
        <is>
          <t>Open Ended-Select All That Apply</t>
        </is>
      </c>
      <c r="K202" s="288" t="inlineStr">
        <is>
          <t>NA</t>
        </is>
      </c>
      <c r="L202" s="288" t="inlineStr">
        <is>
          <t>NA</t>
        </is>
      </c>
      <c r="M202" s="288" t="inlineStr">
        <is>
          <t>Form Type - Checklist
10,11,12 = IsNone</t>
        </is>
      </c>
      <c r="N202" s="149" t="inlineStr">
        <is>
          <t>1)need_received_food
2)need_received_cash
3)need_received_vouchers_fair
4)need_received_crop_assist
5)need_received_ls_assist
6)need_received_fish_assist
7)need_received_rehabilitation
8)need_received_sales_support
9)need_received_other
10)need_received_none
11)need_received_dk
12)need_received_ref</t>
        </is>
      </c>
      <c r="O202" s="509" t="inlineStr">
        <is>
          <t>1-9 = assistance_quality 
10-12 = assistance_provider</t>
        </is>
      </c>
      <c r="P202" s="202" t="n"/>
      <c r="Q202" s="509" t="inlineStr">
        <is>
          <t>if need_received = 1-9, go to assistance_quality.
Otherwise, go to callback.</t>
        </is>
      </c>
      <c r="R202" s="540" t="inlineStr"/>
      <c r="S202" s="166" t="n"/>
      <c r="T202" s="132" t="n">
        <v>1</v>
      </c>
      <c r="U202" s="133" t="n"/>
      <c r="W202" s="208" t="inlineStr">
        <is>
          <t>yes</t>
        </is>
      </c>
      <c r="X202" s="726" t="n"/>
      <c r="AA202" s="734" t="n">
        <v>14.55059909820557</v>
      </c>
      <c r="AB202" s="734">
        <f>IF(AA202="","",AA202*T202)</f>
        <v/>
      </c>
      <c r="AC202" s="133" t="inlineStr"/>
    </row>
    <row r="203" ht="315" customFormat="1" customHeight="1" s="183">
      <c r="A203" s="598">
        <f>A202+1</f>
        <v/>
      </c>
      <c r="B203" s="599" t="inlineStr">
        <is>
          <t>assistance_quality</t>
        </is>
      </c>
      <c r="C203" s="599" t="inlineStr">
        <is>
          <t>o_assistance_quality</t>
        </is>
      </c>
      <c r="D203" s="173" t="inlineStr">
        <is>
          <t>Were you satisfied with the quality of the assistance provided? 
[OPERATOR: SINGLE RESPONSE. QUALITY OF ASSISTANCE IN TERMS OF SUFFICIENT ASSISTANCE FOR PRODUCTION OR SALES DIFFICULTY TO BE OVERCOME.]
1)Yes
2)No - not received on time
3)No - assistance provided did not match my needs [e.g. wrong type of seed]
4)No - quantity was not sufficient
5)No - assistance was not distributed fairly
6)No - quality of assistance provided was poor
7)DON'T KNOW
8)REFUSED</t>
        </is>
      </c>
      <c r="E203" s="288">
        <f>LEN(D203)</f>
        <v/>
      </c>
      <c r="F203" s="289" t="inlineStr">
        <is>
          <t>Avez-vous été satisfait de la qualité de l'assistance reçue?
[OPÉRATEUR/OPÉRATRICE: RÉPONSE UNIQUE. QUALITÉ DE L'ASSISTANCE EN TERMES D'AIDE SUFFISANTE POUR SURMONTER LES DIFFICULTÉS DE PRODUCTION OU DE VENTE.]
1)Oui
2)Non - pas reçue à temps
3)Non - l'aide fournie ne correspondait pas à mes besoins [par ex mauvais type de semences]
4)Non - la quantité était insuffisante
5)Non - l'aide reçue n'a pas été distribuée équitablement
6)Non - l'aide fournie était de mauvaise qualité
7)NE SAIT PAS
8)REFUSÉ</t>
        </is>
      </c>
      <c r="G203" s="288">
        <f>LEN(F203)</f>
        <v/>
      </c>
      <c r="H203" s="160" t="inlineStr">
        <is>
          <t>Uliridhika na ubora wa msaada uliotolewa?
[OPERATOR: JIBU MOJA. UBORA WA MSAADA KATIKA MASHARIKI YA MSAADA WA KUTOSHA KWA UZALISHAJI AU UTATIZO WA MAUZO KUSHINDA.]
1)Ndiyo
2)Hapana - haijapokelewa kwa wakati
3)Hapana - haikukidhi mahitaji yangu
4)Hapana - wingi haukutosha
5)Hapana - kulikuwa na tatizo na mtoa huduma
6)Hapana - kulikuwa na hitilafu ya usaidizi wa mali uliotolewa [k.m. zana zenye ubora duni]
7)SIJUE
8)KUKATALA</t>
        </is>
      </c>
      <c r="I203" s="288">
        <f>LEN(H203)</f>
        <v/>
      </c>
      <c r="J203" s="369" t="inlineStr">
        <is>
          <t>Single Choice</t>
        </is>
      </c>
      <c r="K203" s="288" t="inlineStr">
        <is>
          <t>NA</t>
        </is>
      </c>
      <c r="L203" s="261" t="inlineStr">
        <is>
          <t>NA</t>
        </is>
      </c>
      <c r="M203" s="288" t="inlineStr">
        <is>
          <t>Form Type - Buttons</t>
        </is>
      </c>
      <c r="N203" s="149" t="inlineStr">
        <is>
          <t>NA</t>
        </is>
      </c>
      <c r="O203" s="538" t="inlineStr">
        <is>
          <t>1-8 = assistance_provider</t>
        </is>
      </c>
      <c r="P203" s="600" t="n"/>
      <c r="Q203" s="162" t="inlineStr">
        <is>
          <t>if assistance_quality = 1-8, go to callback or assistance_provider</t>
        </is>
      </c>
      <c r="R203" s="185" t="inlineStr"/>
      <c r="S203" s="166" t="n"/>
      <c r="T203" s="132" t="n">
        <v>1</v>
      </c>
      <c r="U203" s="133" t="n"/>
      <c r="W203" s="208" t="inlineStr">
        <is>
          <t>yes</t>
        </is>
      </c>
      <c r="X203" s="726" t="n"/>
      <c r="AA203" s="734" t="n">
        <v>10.81245613098145</v>
      </c>
      <c r="AB203" s="734">
        <f>IF(AA203="","",AA203*T203)</f>
        <v/>
      </c>
      <c r="AC203" s="133" t="inlineStr"/>
    </row>
    <row r="204" ht="263.15" customFormat="1" customHeight="1" s="183" thickBot="1">
      <c r="A204" s="598">
        <f>A203+1</f>
        <v/>
      </c>
      <c r="B204" s="503" t="inlineStr">
        <is>
          <t>assistance_provider</t>
        </is>
      </c>
      <c r="C204" s="601" t="inlineStr">
        <is>
          <t>assistance_provider
1) assistance_fao
2) assistance_wfp
3) assistance_otherun
4) assistance_gov
5) assistance_ngo
6) assistance_dk
7) assistance_ref</t>
        </is>
      </c>
      <c r="D204" s="533" t="inlineStr">
        <is>
          <t>Who provided your household with this assistance?
[OPERATOR: MULTIPLE RESPONSE.]
1)FAO
2)WFP
3)Other UN agencies
4)Government
5)Non-governmental/local organization
6)DON'T KNOW
7)REFUSED</t>
        </is>
      </c>
      <c r="E204" s="321">
        <f>LEN(D204)</f>
        <v/>
      </c>
      <c r="F204" s="602" t="inlineStr">
        <is>
          <t>Qui a fourni cette aide à votre ménage?
[OPÉRATEUR/OPÉRATRICE: RÉPONSE MULTIPLE.]
1)FAO
2)PAM
3)Autres agences des Nations Unies
4)Gouvernment
5)Organisation non-gouvernmentale/locale
6)NE SAIT PAS
7)REFUSÉ</t>
        </is>
      </c>
      <c r="G204" s="321">
        <f>LEN(F204)</f>
        <v/>
      </c>
      <c r="H204" s="160" t="inlineStr">
        <is>
          <t>Ni nani aliyeipatia kaya yako msaada huu?_x000D_
_x000D_
[OPERATOR: MAJIBU NYINGI.]_x000D_
_x000D_
1)FAO_x000D_
2)WFP_x000D_
3)Mashirika mengine ya Umoja wa Mataifa_x000D_
4)Serikali_x000D_
5)Shirika lisilo la kiserikali/maeneo_x000D_
6)SIJUE_x000D_
7)KUKATALA</t>
        </is>
      </c>
      <c r="I204" s="321">
        <f>LEN(H204)</f>
        <v/>
      </c>
      <c r="J204" s="603" t="inlineStr">
        <is>
          <t>Select All That Apply</t>
        </is>
      </c>
      <c r="K204" s="321" t="inlineStr">
        <is>
          <t>NA</t>
        </is>
      </c>
      <c r="L204" s="604" t="inlineStr">
        <is>
          <t>NA</t>
        </is>
      </c>
      <c r="M204" s="321" t="inlineStr">
        <is>
          <t>Form Type - Checklist
6,7 = IsNone</t>
        </is>
      </c>
      <c r="N204" s="152" t="inlineStr">
        <is>
          <t>1)assistance_provider_CHANGEDTOKEN
3)assistance_otherun
4)assistance_gov
5)assistance_ngo
6)assistance_dk
7)assistance_ref
99)assistance_provider_ADDED99</t>
        </is>
      </c>
      <c r="O204" s="540" t="inlineStr">
        <is>
          <t>1-7 = callback</t>
        </is>
      </c>
      <c r="P204" s="560" t="n"/>
      <c r="Q204" s="190" t="inlineStr">
        <is>
          <t>if assistance_provider = 1-7, go to callback</t>
        </is>
      </c>
      <c r="R204" s="512" t="inlineStr"/>
      <c r="S204" s="605" t="n"/>
      <c r="T204" s="132" t="n">
        <v>1</v>
      </c>
      <c r="U204" s="133" t="n"/>
      <c r="W204" s="194" t="inlineStr">
        <is>
          <t>no</t>
        </is>
      </c>
      <c r="X204" s="726" t="n"/>
      <c r="AA204" s="735" t="n">
        <v>10.81245613098145</v>
      </c>
      <c r="AB204" s="735">
        <f>IF(AA204="","",AA204*T204)</f>
        <v/>
      </c>
      <c r="AC204" s="133" t="inlineStr"/>
    </row>
    <row r="205" ht="21.5" customFormat="1" customHeight="1" s="207" thickBot="1">
      <c r="A205" s="710" t="inlineStr">
        <is>
          <t>I. CLOSING</t>
        </is>
      </c>
      <c r="B205" s="732" t="n"/>
      <c r="C205" s="732" t="n"/>
      <c r="D205" s="732" t="n"/>
      <c r="E205" s="732" t="n"/>
      <c r="F205" s="732" t="n"/>
      <c r="G205" s="732" t="n"/>
      <c r="H205" s="732" t="n"/>
      <c r="I205" s="732" t="n"/>
      <c r="J205" s="732" t="n"/>
      <c r="K205" s="732" t="n"/>
      <c r="L205" s="732" t="n"/>
      <c r="M205" s="732" t="n"/>
      <c r="N205" s="732" t="n"/>
      <c r="O205" s="732" t="n"/>
      <c r="P205" s="732" t="n"/>
      <c r="Q205" s="732" t="n"/>
      <c r="R205" s="732" t="n"/>
      <c r="S205" s="733" t="n"/>
      <c r="T205" s="205" t="n"/>
      <c r="U205" s="206" t="n"/>
      <c r="W205" s="208" t="n"/>
      <c r="X205" s="209" t="n"/>
      <c r="AA205" s="734" t="n"/>
      <c r="AB205" s="734">
        <f>IF(AA205="","",AA205*T205)</f>
        <v/>
      </c>
      <c r="AC205" s="206">
        <f>IF(W205="yes",AB205,"")</f>
        <v/>
      </c>
    </row>
    <row r="206" ht="168" customFormat="1" customHeight="1" s="183">
      <c r="A206" s="145" t="n">
        <v>170</v>
      </c>
      <c r="B206" s="146" t="inlineStr">
        <is>
          <t>callback</t>
        </is>
      </c>
      <c r="C206" s="156" t="inlineStr">
        <is>
          <t>callback</t>
        </is>
      </c>
      <c r="D206" s="147" t="inlineStr">
        <is>
          <t>Your answers will help us to understand and respond to your community needs. May we call you back again in a few months?
[OPERATOR: SINGLE RESPONSE.]
1)YES
2)NO</t>
        </is>
      </c>
      <c r="E206" s="148">
        <f>LEN(D206)</f>
        <v/>
      </c>
      <c r="F206" s="606" t="inlineStr">
        <is>
          <t>Vos réponses nous aideront à comprendre les besoins de votre communauté et à y répondre. Pouvons-nous vous rappeler dans quelques mois?
[OPÉRATEUR/OPÉRATRICE: RÉPONSE UNIQUE.]
1)OUI
2)NON</t>
        </is>
      </c>
      <c r="G206" s="148">
        <f>LEN(F206)</f>
        <v/>
      </c>
      <c r="H206" s="160" t="inlineStr">
        <is>
          <t>Majibu yako yatatusaidia kuelewa na kujibu mahitaji yako ya jumuiya. Je, tunaweza kukupigia tena baada ya miezi michache?_x000D_
_x000D_
[OPERATOR: JIBU MOJA.]_x000D_
_x000D_
1)NDIYO_x000D_
2)HAPANA</t>
        </is>
      </c>
      <c r="I206" s="148">
        <f>LEN(H206)</f>
        <v/>
      </c>
      <c r="J206" s="148" t="inlineStr">
        <is>
          <t>Single Choice</t>
        </is>
      </c>
      <c r="K206" s="148" t="inlineStr">
        <is>
          <t>NA</t>
        </is>
      </c>
      <c r="L206" s="148" t="inlineStr">
        <is>
          <t>NA</t>
        </is>
      </c>
      <c r="M206" s="148" t="inlineStr">
        <is>
          <t>Form Type - Buttons</t>
        </is>
      </c>
      <c r="N206" s="149" t="inlineStr">
        <is>
          <t>NA</t>
        </is>
      </c>
      <c r="O206" s="150" t="inlineStr">
        <is>
          <t>1 = future_int_day
2 = language2</t>
        </is>
      </c>
      <c r="P206" s="151" t="n"/>
      <c r="Q206" s="150" t="inlineStr">
        <is>
          <t>if callback = 1, go to future_int_day
if 2, go to language2</t>
        </is>
      </c>
      <c r="R206" s="223" t="inlineStr"/>
      <c r="S206" s="153" t="n"/>
      <c r="T206" s="205" t="n">
        <v>1</v>
      </c>
      <c r="U206" s="133" t="n"/>
      <c r="W206" s="208" t="inlineStr">
        <is>
          <t>yes</t>
        </is>
      </c>
      <c r="X206" s="726" t="n"/>
      <c r="AA206" s="734" t="n">
        <v>14.94646453857422</v>
      </c>
      <c r="AB206" s="734">
        <f>IF(AA206="","",AA206*T206)</f>
        <v/>
      </c>
      <c r="AC206" s="133" t="inlineStr"/>
    </row>
    <row r="207" ht="248.5" customFormat="1" customHeight="1" s="318">
      <c r="A207" s="145" t="n">
        <v>171</v>
      </c>
      <c r="B207" s="607" t="inlineStr">
        <is>
          <t>future_int_day</t>
        </is>
      </c>
      <c r="C207" s="607" t="inlineStr">
        <is>
          <t>future_int_day_
1) future_int_day_mon
2) future_int_day_tues
3) future_int_day_wed
4) future_int_day_thurs
5) future_int_day_fri
6) future_int_day_sat
7) future_int_day_sun</t>
        </is>
      </c>
      <c r="D207" s="608" t="inlineStr">
        <is>
          <t>For future interviews, in which day[s] can I call you?
[OPERATOR: MULTIPLE ANSWERS POSSIBLE.]
1)Monday
2)Tuesday
3)Wednesday
4)Thursday
5)Friday
6)Saturday
7)Sunday</t>
        </is>
      </c>
      <c r="E207" s="148">
        <f>LEN(D207)</f>
        <v/>
      </c>
      <c r="F207" s="608" t="inlineStr">
        <is>
          <t>Pour les prochains entretiens, quel[s] jour[s] puis-je vous appeler?
[OPÉRATEUR/OPÉRATRICE: PLUSIEURS RÉPONSES POSSIBLES.]
1)Lundi
2)Mardi
3)Mercredi
4)Jeudi
5)Vendredi
6)Samedi
7)Dimanche</t>
        </is>
      </c>
      <c r="G207" s="609">
        <f>LEN(F207)</f>
        <v/>
      </c>
      <c r="H207" s="160" t="inlineStr">
        <is>
          <t>Kwa mahojiano yajayo, ni [siku] zipi ninaweza kukupigia simu?
[OPERATOR: MAJIBU MENGI YANAWEZEKANA.]
1)Jumatatu
2)Jumanne
3)Jumatano
4)Alhamisi
5)Ijumaa
6)Jumamosi
7)Jumapili</t>
        </is>
      </c>
      <c r="I207" s="609">
        <f>LEN(H207)</f>
        <v/>
      </c>
      <c r="J207" s="609" t="inlineStr">
        <is>
          <t>Select All That Apply</t>
        </is>
      </c>
      <c r="K207" s="609" t="inlineStr">
        <is>
          <t>NA</t>
        </is>
      </c>
      <c r="L207" s="609" t="inlineStr">
        <is>
          <t>NA</t>
        </is>
      </c>
      <c r="M207" s="609" t="inlineStr">
        <is>
          <t>Form Type - Checklist</t>
        </is>
      </c>
      <c r="N207" s="149" t="inlineStr">
        <is>
          <t>NA</t>
        </is>
      </c>
      <c r="O207" s="610" t="inlineStr">
        <is>
          <t>1-7 = future_int_time</t>
        </is>
      </c>
      <c r="P207" s="611" t="n"/>
      <c r="Q207" s="248" t="inlineStr">
        <is>
          <t>if l_future_int_day = 1-7, go to future_int_time</t>
        </is>
      </c>
      <c r="R207" s="612" t="inlineStr"/>
      <c r="S207" s="613" t="n"/>
      <c r="T207" s="614" t="n">
        <v>1</v>
      </c>
      <c r="U207" s="315" t="n"/>
      <c r="W207" s="615" t="inlineStr">
        <is>
          <t>yes - panel</t>
        </is>
      </c>
      <c r="AA207" s="745" t="n">
        <v>19.35491371154785</v>
      </c>
      <c r="AB207" s="734">
        <f>IF(AA207="","",AA207*T207)</f>
        <v/>
      </c>
      <c r="AC207" s="133" t="inlineStr"/>
    </row>
    <row r="208" ht="168" customFormat="1" customHeight="1" s="318">
      <c r="A208" s="145" t="n">
        <v>172</v>
      </c>
      <c r="B208" s="607" t="inlineStr">
        <is>
          <t>future_int_time</t>
        </is>
      </c>
      <c r="C208" s="607" t="inlineStr">
        <is>
          <t>future_int_time_ 
1) future_int_time_morn
2) future_int_time_aft
3) future_int_time_eve</t>
        </is>
      </c>
      <c r="D208" s="617" t="inlineStr">
        <is>
          <t>For future interviews, at what time[s] can I call you?
[OPERATOR: MULTIPLE ANSWERS POSSIBLE.]
1)Mornings
2)Afternoons
3)Evenings</t>
        </is>
      </c>
      <c r="E208" s="609">
        <f>LEN(D208)</f>
        <v/>
      </c>
      <c r="F208" s="618" t="inlineStr">
        <is>
          <t>Pour les prochains entretiens, à quel[s] moment[s] de la journée puis-je vous appeler?
[OPÉRATEUR/OPÉRATRICE: PLUSIEURS RÉPONSES POSSIBLES.]
1)Le matin
2)L'après-midi
3)Le soir</t>
        </is>
      </c>
      <c r="G208" s="609">
        <f>LEN(F208)</f>
        <v/>
      </c>
      <c r="H208" s="160" t="inlineStr">
        <is>
          <t xml:space="preserve">Kwa mahojiano yajayo, ninaweza kukupigia simu saa ngapi?
[OPERATOR: MAJIBU MENGI YANAWEZEKANA.]
1)Asubuhi
2)Mchana
3)Mangaribi </t>
        </is>
      </c>
      <c r="I208" s="609">
        <f>LEN(H208)</f>
        <v/>
      </c>
      <c r="J208" s="609" t="inlineStr">
        <is>
          <t>Select All That Apply</t>
        </is>
      </c>
      <c r="K208" s="609" t="inlineStr">
        <is>
          <t>NA</t>
        </is>
      </c>
      <c r="L208" s="609" t="inlineStr">
        <is>
          <t>NA</t>
        </is>
      </c>
      <c r="M208" s="609" t="inlineStr">
        <is>
          <t>Form Type - Checklist</t>
        </is>
      </c>
      <c r="N208" s="149" t="inlineStr">
        <is>
          <t>NA</t>
        </is>
      </c>
      <c r="O208" s="610" t="inlineStr">
        <is>
          <t>1-3 = language2</t>
        </is>
      </c>
      <c r="P208" s="611" t="n"/>
      <c r="Q208" s="248" t="inlineStr">
        <is>
          <t>if future_int_time = 1-3, go to language2</t>
        </is>
      </c>
      <c r="R208" s="612" t="inlineStr"/>
      <c r="S208" s="613" t="n"/>
      <c r="T208" s="614" t="n">
        <v>1</v>
      </c>
      <c r="U208" s="315" t="n"/>
      <c r="W208" s="615" t="inlineStr">
        <is>
          <t>yes - panel</t>
        </is>
      </c>
      <c r="AA208" s="745" t="n">
        <v>15.88939952850342</v>
      </c>
      <c r="AB208" s="734">
        <f>IF(AA208="","",AA208*T208)</f>
        <v/>
      </c>
      <c r="AC208" s="133" t="inlineStr"/>
    </row>
    <row r="209" ht="180.75" customFormat="1" customHeight="1" s="430" thickBot="1">
      <c r="A209" s="619" t="inlineStr">
        <is>
          <t>NA</t>
        </is>
      </c>
      <c r="B209" s="671" t="inlineStr">
        <is>
          <t>language2</t>
        </is>
      </c>
      <c r="C209" s="283" t="inlineStr">
        <is>
          <t>language2</t>
        </is>
      </c>
      <c r="D209" s="620" t="inlineStr">
        <is>
          <t>Select the language that was mostly used to complete the interview.
[OPERATOR: SINGLE RESPONSE.]
1)French
2)English
3)Swahili</t>
        </is>
      </c>
      <c r="E209" s="621">
        <f>LEN(D209)</f>
        <v/>
      </c>
      <c r="F209" s="622" t="inlineStr">
        <is>
          <t>Sélectionner la langue qui a été principalement utilisée pour réaliser l'entretien.
[OPÉRATEUR/OPÉRATRICE: RÉPONSE UNIQUE.]
1)Français
2)Anglais
3)Swahili</t>
        </is>
      </c>
      <c r="G209" s="621">
        <f>LEN(F209)</f>
        <v/>
      </c>
      <c r="H209" s="160" t="inlineStr">
        <is>
          <t>Chagua lugha ambayo ilitumika zaidi kukamilisha mahojiano.
[OPERATOR: JIBU MOJA.]
1)KIFARANSA
2)KISWAHILI
3)TSHILUBA</t>
        </is>
      </c>
      <c r="I209" s="621">
        <f>LEN(H209)</f>
        <v/>
      </c>
      <c r="J209" s="621" t="inlineStr">
        <is>
          <t>Single Choice</t>
        </is>
      </c>
      <c r="K209" s="621" t="inlineStr">
        <is>
          <t>NA</t>
        </is>
      </c>
      <c r="L209" s="621" t="inlineStr">
        <is>
          <t>NA</t>
        </is>
      </c>
      <c r="M209" s="621" t="inlineStr">
        <is>
          <t>Form Type - Buttons</t>
        </is>
      </c>
      <c r="N209" s="149" t="inlineStr">
        <is>
          <t>NA</t>
        </is>
      </c>
      <c r="O209" s="583" t="inlineStr">
        <is>
          <t>1-3 = closeout</t>
        </is>
      </c>
      <c r="P209" s="623" t="n"/>
      <c r="Q209" s="262" t="inlineStr">
        <is>
          <t>NA</t>
        </is>
      </c>
      <c r="R209" s="374" t="inlineStr"/>
      <c r="S209" s="624" t="n"/>
      <c r="T209" s="205" t="n">
        <v>1</v>
      </c>
      <c r="U209" s="133" t="n"/>
      <c r="W209" s="208" t="inlineStr">
        <is>
          <t>yes</t>
        </is>
      </c>
      <c r="X209" s="726" t="n"/>
      <c r="AA209" s="734" t="n">
        <v>17.30915408839179</v>
      </c>
      <c r="AB209" s="734">
        <f>IF(AA209="","",AA209*T209)</f>
        <v/>
      </c>
      <c r="AC209" s="133" t="inlineStr"/>
    </row>
    <row r="210" ht="63.5" customFormat="1" customHeight="1" s="183" thickBot="1">
      <c r="A210" s="625" t="inlineStr">
        <is>
          <t>NA</t>
        </is>
      </c>
      <c r="B210" s="672" t="inlineStr">
        <is>
          <t>closeout</t>
        </is>
      </c>
      <c r="C210" s="379" t="inlineStr">
        <is>
          <t>closeout</t>
        </is>
      </c>
      <c r="D210" s="626" t="inlineStr">
        <is>
          <t>Thank you for your time. The interview has come to an end. You will receive your #TOPUP# airtime credit on this phone within the next 2 days.</t>
        </is>
      </c>
      <c r="E210" s="627">
        <f>LEN(D210)</f>
        <v/>
      </c>
      <c r="F210" s="626" t="inlineStr">
        <is>
          <t>Merci de nous avoir accordé votre temps. L'entretien est terminé. Vous recevrez votre crédit téléphonique #TOPUP# sur ce téléphone dans les deux prochains jours.</t>
        </is>
      </c>
      <c r="G210" s="627">
        <f>LEN(F210)</f>
        <v/>
      </c>
      <c r="H210" s="160" t="inlineStr">
        <is>
          <t>Asante kwa muda wako. Mahojiano yamefikia tamati. Utapokea salio lako la muda wa maongezi la #TOPUP# kwenye simu hii ndani ya siku 2 zijazo.</t>
        </is>
      </c>
      <c r="I210" s="627">
        <f>LEN(H210)</f>
        <v/>
      </c>
      <c r="J210" s="627" t="inlineStr">
        <is>
          <t>NA</t>
        </is>
      </c>
      <c r="K210" s="627" t="inlineStr">
        <is>
          <t>NA</t>
        </is>
      </c>
      <c r="L210" s="627" t="inlineStr">
        <is>
          <t>NA</t>
        </is>
      </c>
      <c r="M210" s="627" t="inlineStr">
        <is>
          <t>NA</t>
        </is>
      </c>
      <c r="N210" s="628" t="inlineStr"/>
      <c r="O210" s="628" t="inlineStr">
        <is>
          <t>NA</t>
        </is>
      </c>
      <c r="P210" s="629" t="n"/>
      <c r="Q210" s="630" t="inlineStr">
        <is>
          <t>NA</t>
        </is>
      </c>
      <c r="R210" s="631" t="inlineStr"/>
      <c r="S210" s="632" t="n"/>
      <c r="T210" s="205" t="n">
        <v>1</v>
      </c>
      <c r="U210" s="726" t="n"/>
      <c r="W210" s="194" t="inlineStr">
        <is>
          <t>no</t>
        </is>
      </c>
      <c r="X210" s="726" t="n"/>
      <c r="AA210" s="746" t="n"/>
      <c r="AB210" s="734">
        <f>IF(AA210="","",AA210*T210)</f>
        <v/>
      </c>
      <c r="AC210" s="133" t="inlineStr"/>
    </row>
    <row r="211" ht="21.5" customHeight="1" thickBot="1">
      <c r="A211" s="625" t="inlineStr">
        <is>
          <t>NA</t>
        </is>
      </c>
      <c r="B211" s="673" t="inlineStr">
        <is>
          <t>End poll callback</t>
        </is>
      </c>
      <c r="C211" s="634" t="inlineStr">
        <is>
          <t>NA</t>
        </is>
      </c>
      <c r="D211" s="635" t="inlineStr">
        <is>
          <t>Call back set</t>
        </is>
      </c>
      <c r="E211" s="636">
        <f>LEN(D211)</f>
        <v/>
      </c>
      <c r="F211" s="635" t="inlineStr">
        <is>
          <t>Call back set</t>
        </is>
      </c>
      <c r="G211" s="627">
        <f>LEN(F211)</f>
        <v/>
      </c>
      <c r="H211" s="160" t="inlineStr">
        <is>
          <t>Call back set</t>
        </is>
      </c>
      <c r="I211" s="627">
        <f>LEN(H211)</f>
        <v/>
      </c>
      <c r="J211" s="636" t="inlineStr">
        <is>
          <t>NA</t>
        </is>
      </c>
      <c r="K211" s="636" t="inlineStr">
        <is>
          <t>NA</t>
        </is>
      </c>
      <c r="L211" s="636" t="inlineStr">
        <is>
          <t>NA</t>
        </is>
      </c>
      <c r="M211" s="636" t="inlineStr">
        <is>
          <t>NA</t>
        </is>
      </c>
      <c r="N211" s="637" t="inlineStr"/>
      <c r="O211" s="637" t="inlineStr">
        <is>
          <t>NA</t>
        </is>
      </c>
      <c r="P211" s="638" t="n"/>
      <c r="Q211" s="639" t="inlineStr">
        <is>
          <t>NA</t>
        </is>
      </c>
      <c r="R211" t="inlineStr"/>
      <c r="W211" t="inlineStr"/>
      <c r="AA211" s="747" t="n"/>
      <c r="AC211" t="inlineStr"/>
    </row>
    <row r="212" ht="21.5" customHeight="1" thickBot="1">
      <c r="A212" s="625" t="inlineStr">
        <is>
          <t>NA</t>
        </is>
      </c>
      <c r="B212" s="282" t="inlineStr">
        <is>
          <t>CallBack-Introduction</t>
        </is>
      </c>
      <c r="C212" s="282" t="inlineStr">
        <is>
          <t>NA</t>
        </is>
      </c>
      <c r="D212" s="644" t="inlineStr">
        <is>
          <t>Introduction</t>
        </is>
      </c>
      <c r="E212" s="158">
        <f>LEN(D212)</f>
        <v/>
      </c>
      <c r="F212" s="644" t="inlineStr">
        <is>
          <t>Introduction</t>
        </is>
      </c>
      <c r="G212" s="627">
        <f>LEN(F212)</f>
        <v/>
      </c>
      <c r="H212" s="160" t="inlineStr">
        <is>
          <t>Introduction</t>
        </is>
      </c>
      <c r="I212" s="627">
        <f>LEN(H212)</f>
        <v/>
      </c>
      <c r="J212" s="636" t="inlineStr">
        <is>
          <t>NA</t>
        </is>
      </c>
      <c r="K212" s="636" t="inlineStr">
        <is>
          <t>NA</t>
        </is>
      </c>
      <c r="L212" s="636" t="inlineStr">
        <is>
          <t>NA</t>
        </is>
      </c>
      <c r="M212" s="636" t="inlineStr">
        <is>
          <t>NA</t>
        </is>
      </c>
      <c r="N212" s="637" t="inlineStr"/>
      <c r="O212" s="637" t="inlineStr">
        <is>
          <t>NA</t>
        </is>
      </c>
      <c r="P212" s="638" t="n"/>
      <c r="Q212" s="639" t="inlineStr">
        <is>
          <t>NA</t>
        </is>
      </c>
      <c r="R212" t="inlineStr"/>
      <c r="W212" t="inlineStr"/>
      <c r="AC212" t="inlineStr"/>
    </row>
    <row r="213" ht="21.5" customHeight="1" thickBot="1">
      <c r="A213" s="625" t="inlineStr">
        <is>
          <t>NA</t>
        </is>
      </c>
      <c r="B213" s="338" t="inlineStr">
        <is>
          <t>CallBack-Confirmation</t>
        </is>
      </c>
      <c r="C213" s="196" t="inlineStr">
        <is>
          <t>NA</t>
        </is>
      </c>
      <c r="D213" s="645" t="inlineStr">
        <is>
          <t>Confirmation</t>
        </is>
      </c>
      <c r="E213" s="646">
        <f>LEN(D213)</f>
        <v/>
      </c>
      <c r="F213" s="645" t="inlineStr">
        <is>
          <t>Confirmation</t>
        </is>
      </c>
      <c r="G213" s="627">
        <f>LEN(F213)</f>
        <v/>
      </c>
      <c r="H213" s="160" t="inlineStr">
        <is>
          <t>Confirmation</t>
        </is>
      </c>
      <c r="I213" s="627">
        <f>LEN(H213)</f>
        <v/>
      </c>
      <c r="J213" s="636" t="inlineStr">
        <is>
          <t>NA</t>
        </is>
      </c>
      <c r="K213" s="636" t="inlineStr">
        <is>
          <t>NA</t>
        </is>
      </c>
      <c r="L213" s="636" t="inlineStr">
        <is>
          <t>NA</t>
        </is>
      </c>
      <c r="M213" s="636" t="inlineStr">
        <is>
          <t>NA</t>
        </is>
      </c>
      <c r="N213" s="637" t="inlineStr"/>
      <c r="O213" s="637" t="inlineStr">
        <is>
          <t>NA</t>
        </is>
      </c>
      <c r="P213" s="638" t="n"/>
      <c r="Q213" s="639" t="inlineStr">
        <is>
          <t>NA</t>
        </is>
      </c>
      <c r="R213" t="inlineStr"/>
      <c r="W213" t="inlineStr"/>
      <c r="AC213" t="inlineStr"/>
    </row>
    <row r="214"/>
    <row r="215" ht="21.5" customHeight="1" thickBot="1"/>
    <row r="216" ht="21.5" customHeight="1" thickBot="1">
      <c r="D216" s="649" t="inlineStr">
        <is>
          <t xml:space="preserve">AVERAGE ESTIMATED DURATION </t>
        </is>
      </c>
      <c r="E216" s="650" t="n"/>
      <c r="F216" s="649" t="inlineStr">
        <is>
          <t>DURÉE MOYENNE ESTIMÉE</t>
        </is>
      </c>
      <c r="G216" s="650" t="n"/>
      <c r="H216" s="651" t="n"/>
      <c r="I216" s="650" t="n"/>
      <c r="J216" s="650" t="n"/>
      <c r="K216" s="650" t="n"/>
      <c r="L216" s="650" t="n"/>
      <c r="M216" s="650" t="n"/>
      <c r="N216" s="650" t="n"/>
      <c r="O216" s="650" t="n"/>
      <c r="P216" s="652" t="n"/>
      <c r="Q216" s="650" t="n"/>
      <c r="R216" s="650" t="n"/>
      <c r="S216" s="650" t="n"/>
      <c r="T216" s="653" t="n"/>
      <c r="AA216" s="654" t="n"/>
      <c r="AB216" s="655">
        <f>(SUM(AB9:AB211))/60</f>
        <v/>
      </c>
      <c r="AC216" s="656">
        <f>SUM(AC2:AC210)/60</f>
        <v/>
      </c>
    </row>
    <row r="217" ht="21.5" customHeight="1" thickBot="1">
      <c r="D217" s="657" t="inlineStr">
        <is>
          <t>AVERAGE ESTIMATED DURATION (without fisheries section)</t>
        </is>
      </c>
      <c r="E217" s="658" t="n"/>
      <c r="F217" s="657" t="inlineStr">
        <is>
          <t>DURÉE MOYENNE ESTIMÉE (sans questions sur la pêche)</t>
        </is>
      </c>
      <c r="G217" s="658" t="n"/>
      <c r="H217" s="659" t="n"/>
      <c r="I217" s="658" t="n"/>
      <c r="J217" s="658" t="n"/>
      <c r="K217" s="658" t="n"/>
      <c r="L217" s="658" t="n"/>
      <c r="M217" s="658" t="n"/>
      <c r="N217" s="658" t="n"/>
      <c r="O217" s="658" t="n"/>
      <c r="P217" s="660" t="n"/>
      <c r="Q217" s="658" t="n"/>
      <c r="R217" s="658" t="n"/>
      <c r="S217" s="658" t="n"/>
      <c r="T217" s="661" t="n"/>
      <c r="AA217" s="662" t="n"/>
      <c r="AB217" s="663">
        <f>(SUM(AB9:AB138)+SUM(AB152:AB211))/60</f>
        <v/>
      </c>
    </row>
    <row r="218" ht="21.5" customHeight="1" thickBot="1">
      <c r="D218" s="649" t="inlineStr">
        <is>
          <t>AVERAGE ESTIMATED DURATION (without fisheries section or panel)</t>
        </is>
      </c>
      <c r="E218" s="650" t="n"/>
      <c r="F218" s="649" t="inlineStr">
        <is>
          <t>DURÉE MOYENNE ESTIMÉE (sans questions sur la pêche ni sur panel)</t>
        </is>
      </c>
      <c r="G218" s="650" t="n"/>
      <c r="H218" s="651" t="n"/>
      <c r="I218" s="650" t="n"/>
      <c r="J218" s="650" t="n"/>
      <c r="K218" s="650" t="n"/>
      <c r="L218" s="650" t="n"/>
      <c r="M218" s="650" t="n"/>
      <c r="N218" s="650" t="n"/>
      <c r="O218" s="650" t="n"/>
      <c r="P218" s="652" t="n"/>
      <c r="Q218" s="650" t="n"/>
      <c r="R218" s="650" t="n"/>
      <c r="S218" s="650" t="n"/>
      <c r="T218" s="653" t="n"/>
      <c r="AA218" s="654" t="n"/>
      <c r="AB218" s="664">
        <f>(SUM(AB9:AB22)+SUM(AB31:AB138)+SUM(AB151:AB206)+SUM(AB209:AB211))/60</f>
        <v/>
      </c>
    </row>
  </sheetData>
  <mergeCells count="21">
    <mergeCell ref="A151:S151"/>
    <mergeCell ref="S70:S71"/>
    <mergeCell ref="A4:S4"/>
    <mergeCell ref="S111:S114"/>
    <mergeCell ref="A134:S134"/>
    <mergeCell ref="A2:R2"/>
    <mergeCell ref="S41:S43"/>
    <mergeCell ref="A92:S92"/>
    <mergeCell ref="A36:S36"/>
    <mergeCell ref="A119:S119"/>
    <mergeCell ref="A1:S1"/>
    <mergeCell ref="A197:S197"/>
    <mergeCell ref="S79:S80"/>
    <mergeCell ref="A146:S146"/>
    <mergeCell ref="A124:S124"/>
    <mergeCell ref="A205:S205"/>
    <mergeCell ref="A65:S65"/>
    <mergeCell ref="S88:S89"/>
    <mergeCell ref="A18:S18"/>
    <mergeCell ref="A139:S139"/>
    <mergeCell ref="S2:S3"/>
  </mergeCells>
  <conditionalFormatting sqref="B5:B8">
    <cfRule type="duplicateValues" priority="1208" dxfId="0"/>
  </conditionalFormatting>
  <conditionalFormatting sqref="B11:B16">
    <cfRule type="duplicateValues" priority="880" dxfId="0"/>
  </conditionalFormatting>
  <conditionalFormatting sqref="B17">
    <cfRule type="duplicateValues" priority="879" dxfId="0"/>
  </conditionalFormatting>
  <conditionalFormatting sqref="B24">
    <cfRule type="duplicateValues" priority="737" dxfId="0"/>
  </conditionalFormatting>
  <conditionalFormatting sqref="B30">
    <cfRule type="duplicateValues" priority="1248" dxfId="0"/>
  </conditionalFormatting>
  <conditionalFormatting sqref="B31:B32">
    <cfRule type="duplicateValues" priority="1701" dxfId="0"/>
  </conditionalFormatting>
  <conditionalFormatting sqref="B33">
    <cfRule type="duplicateValues" priority="489" dxfId="0"/>
  </conditionalFormatting>
  <conditionalFormatting sqref="B35">
    <cfRule type="duplicateValues" priority="107" dxfId="0"/>
  </conditionalFormatting>
  <conditionalFormatting sqref="B41">
    <cfRule type="duplicateValues" priority="891" dxfId="0"/>
  </conditionalFormatting>
  <conditionalFormatting sqref="B42">
    <cfRule type="duplicateValues" priority="893" dxfId="0"/>
  </conditionalFormatting>
  <conditionalFormatting sqref="B43">
    <cfRule type="duplicateValues" priority="1328" dxfId="0"/>
  </conditionalFormatting>
  <conditionalFormatting sqref="B45">
    <cfRule type="duplicateValues" priority="71" dxfId="0"/>
  </conditionalFormatting>
  <conditionalFormatting sqref="B47">
    <cfRule type="duplicateValues" priority="66" dxfId="0"/>
  </conditionalFormatting>
  <conditionalFormatting sqref="B48">
    <cfRule type="duplicateValues" priority="62" dxfId="0"/>
  </conditionalFormatting>
  <conditionalFormatting sqref="B49">
    <cfRule type="duplicateValues" priority="61" dxfId="0"/>
  </conditionalFormatting>
  <conditionalFormatting sqref="B50">
    <cfRule type="duplicateValues" priority="60" dxfId="0"/>
  </conditionalFormatting>
  <conditionalFormatting sqref="B51">
    <cfRule type="duplicateValues" priority="59" dxfId="0"/>
  </conditionalFormatting>
  <conditionalFormatting sqref="B52:B53">
    <cfRule type="duplicateValues" priority="849" dxfId="0"/>
  </conditionalFormatting>
  <conditionalFormatting sqref="B57">
    <cfRule type="duplicateValues" priority="105" dxfId="0"/>
  </conditionalFormatting>
  <conditionalFormatting sqref="B67:B69">
    <cfRule type="duplicateValues" priority="499" dxfId="0"/>
  </conditionalFormatting>
  <conditionalFormatting sqref="B71">
    <cfRule type="duplicateValues" priority="1367" dxfId="0"/>
  </conditionalFormatting>
  <conditionalFormatting sqref="B72">
    <cfRule type="duplicateValues" priority="515" dxfId="0"/>
  </conditionalFormatting>
  <conditionalFormatting sqref="B73">
    <cfRule type="duplicateValues" priority="517" dxfId="0"/>
  </conditionalFormatting>
  <conditionalFormatting sqref="B76:B78">
    <cfRule type="duplicateValues" priority="495" dxfId="0"/>
  </conditionalFormatting>
  <conditionalFormatting sqref="B79">
    <cfRule type="duplicateValues" priority="844" dxfId="0"/>
  </conditionalFormatting>
  <conditionalFormatting sqref="B80">
    <cfRule type="duplicateValues" priority="1405" dxfId="0"/>
  </conditionalFormatting>
  <conditionalFormatting sqref="B81">
    <cfRule type="duplicateValues" priority="508" dxfId="0"/>
  </conditionalFormatting>
  <conditionalFormatting sqref="B82">
    <cfRule type="duplicateValues" priority="509" dxfId="0"/>
  </conditionalFormatting>
  <conditionalFormatting sqref="B85:B87">
    <cfRule type="duplicateValues" priority="491" dxfId="0"/>
  </conditionalFormatting>
  <conditionalFormatting sqref="B89">
    <cfRule type="duplicateValues" priority="873" dxfId="0"/>
  </conditionalFormatting>
  <conditionalFormatting sqref="B90">
    <cfRule type="duplicateValues" priority="505" dxfId="0"/>
  </conditionalFormatting>
  <conditionalFormatting sqref="B109:B110">
    <cfRule type="duplicateValues" priority="1442" dxfId="0"/>
  </conditionalFormatting>
  <conditionalFormatting sqref="B116">
    <cfRule type="duplicateValues" priority="883" dxfId="0"/>
  </conditionalFormatting>
  <conditionalFormatting sqref="B117">
    <cfRule type="duplicateValues" priority="1209" dxfId="0"/>
  </conditionalFormatting>
  <conditionalFormatting sqref="B120">
    <cfRule type="duplicateValues" priority="1480" dxfId="0"/>
  </conditionalFormatting>
  <conditionalFormatting sqref="B131">
    <cfRule type="duplicateValues" priority="884" dxfId="0"/>
  </conditionalFormatting>
  <conditionalFormatting sqref="B133">
    <cfRule type="duplicateValues" priority="882" dxfId="0"/>
    <cfRule type="duplicateValues" priority="881" dxfId="0"/>
  </conditionalFormatting>
  <conditionalFormatting sqref="B137">
    <cfRule type="duplicateValues" priority="1481" dxfId="0"/>
  </conditionalFormatting>
  <conditionalFormatting sqref="B140">
    <cfRule type="duplicateValues" priority="839" dxfId="0"/>
  </conditionalFormatting>
  <conditionalFormatting sqref="B141">
    <cfRule type="duplicateValues" priority="1482" dxfId="0"/>
  </conditionalFormatting>
  <conditionalFormatting sqref="B148:B150">
    <cfRule type="duplicateValues" priority="1483" dxfId="0"/>
  </conditionalFormatting>
  <conditionalFormatting sqref="B158">
    <cfRule type="duplicateValues" priority="864" dxfId="0"/>
  </conditionalFormatting>
  <conditionalFormatting sqref="B159">
    <cfRule type="duplicateValues" priority="862" dxfId="0"/>
  </conditionalFormatting>
  <conditionalFormatting sqref="B161">
    <cfRule type="duplicateValues" priority="860" dxfId="0"/>
  </conditionalFormatting>
  <conditionalFormatting sqref="B163">
    <cfRule type="duplicateValues" priority="858" dxfId="0"/>
  </conditionalFormatting>
  <conditionalFormatting sqref="B180">
    <cfRule type="duplicateValues" priority="856" dxfId="0"/>
  </conditionalFormatting>
  <conditionalFormatting sqref="B181:B189 B191:B193">
    <cfRule type="duplicateValues" priority="889" dxfId="0"/>
  </conditionalFormatting>
  <conditionalFormatting sqref="B190">
    <cfRule type="duplicateValues" priority="744" dxfId="0"/>
  </conditionalFormatting>
  <conditionalFormatting sqref="B194">
    <cfRule type="duplicateValues" priority="742" dxfId="0"/>
  </conditionalFormatting>
  <conditionalFormatting sqref="B195 C181:C189 C191:C193">
    <cfRule type="duplicateValues" priority="1175" dxfId="0"/>
  </conditionalFormatting>
  <conditionalFormatting sqref="B196">
    <cfRule type="duplicateValues" priority="743" dxfId="0"/>
  </conditionalFormatting>
  <conditionalFormatting sqref="B211:B213">
    <cfRule type="duplicateValues" priority="103" dxfId="0"/>
  </conditionalFormatting>
  <conditionalFormatting sqref="B218">
    <cfRule type="duplicateValues" priority="654" dxfId="0"/>
  </conditionalFormatting>
  <conditionalFormatting sqref="B2:B3 B9:B17 B21:B23 B25:B29 B34 B38:B40 B44 B66 B70 B74:B75 B83:B84 B88 B91 B103:B104 B115 B121:B123 B126:B129 B132:B133 B135:B136 B138 B142:B145 B147 B152:B157 B160 B162 B164 B179 B198:B199 B202 B206 B209:B210 B214:B217 B219:B1048576">
    <cfRule type="duplicateValues" priority="886" dxfId="0"/>
  </conditionalFormatting>
  <conditionalFormatting sqref="B46:D46 F46:O46">
    <cfRule type="duplicateValues" priority="65" dxfId="0"/>
  </conditionalFormatting>
  <conditionalFormatting sqref="C23">
    <cfRule type="duplicateValues" priority="1184" dxfId="0"/>
  </conditionalFormatting>
  <conditionalFormatting sqref="C24">
    <cfRule type="duplicateValues" priority="1185" dxfId="0"/>
  </conditionalFormatting>
  <conditionalFormatting sqref="C25:C26 C28:C29">
    <cfRule type="duplicateValues" priority="1186" dxfId="0"/>
  </conditionalFormatting>
  <conditionalFormatting sqref="C27">
    <cfRule type="duplicateValues" priority="1191" dxfId="0"/>
  </conditionalFormatting>
  <conditionalFormatting sqref="C30">
    <cfRule type="duplicateValues" priority="1288" dxfId="0"/>
  </conditionalFormatting>
  <conditionalFormatting sqref="C34">
    <cfRule type="duplicateValues" priority="1327" dxfId="0"/>
  </conditionalFormatting>
  <conditionalFormatting sqref="C38">
    <cfRule type="duplicateValues" priority="1171" dxfId="0"/>
  </conditionalFormatting>
  <conditionalFormatting sqref="C41">
    <cfRule type="duplicateValues" priority="1188" dxfId="0"/>
  </conditionalFormatting>
  <conditionalFormatting sqref="C42">
    <cfRule type="duplicateValues" priority="1189" dxfId="0"/>
  </conditionalFormatting>
  <conditionalFormatting sqref="C43">
    <cfRule type="duplicateValues" priority="1366" dxfId="0"/>
  </conditionalFormatting>
  <conditionalFormatting sqref="C52:C53">
    <cfRule type="duplicateValues" priority="1173" dxfId="0"/>
  </conditionalFormatting>
  <conditionalFormatting sqref="C67">
    <cfRule type="duplicateValues" priority="497" dxfId="0"/>
  </conditionalFormatting>
  <conditionalFormatting sqref="C68">
    <cfRule type="duplicateValues" priority="496" dxfId="0"/>
  </conditionalFormatting>
  <conditionalFormatting sqref="C69">
    <cfRule type="duplicateValues" priority="498" dxfId="0"/>
  </conditionalFormatting>
  <conditionalFormatting sqref="C71">
    <cfRule type="duplicateValues" priority="1404" dxfId="0"/>
  </conditionalFormatting>
  <conditionalFormatting sqref="C72">
    <cfRule type="duplicateValues" priority="1204" dxfId="0"/>
  </conditionalFormatting>
  <conditionalFormatting sqref="C73">
    <cfRule type="duplicateValues" priority="1203" dxfId="0"/>
  </conditionalFormatting>
  <conditionalFormatting sqref="C76">
    <cfRule type="duplicateValues" priority="493" dxfId="0"/>
  </conditionalFormatting>
  <conditionalFormatting sqref="C77">
    <cfRule type="duplicateValues" priority="492" dxfId="0"/>
  </conditionalFormatting>
  <conditionalFormatting sqref="C78">
    <cfRule type="duplicateValues" priority="494" dxfId="0"/>
  </conditionalFormatting>
  <conditionalFormatting sqref="C80">
    <cfRule type="duplicateValues" priority="1441" dxfId="0"/>
  </conditionalFormatting>
  <conditionalFormatting sqref="C81">
    <cfRule type="duplicateValues" priority="1206" dxfId="0"/>
  </conditionalFormatting>
  <conditionalFormatting sqref="C82">
    <cfRule type="duplicateValues" priority="1205" dxfId="0"/>
  </conditionalFormatting>
  <conditionalFormatting sqref="C85:C87">
    <cfRule type="duplicateValues" priority="490" dxfId="0"/>
  </conditionalFormatting>
  <conditionalFormatting sqref="C89">
    <cfRule type="duplicateValues" priority="1161" dxfId="0"/>
  </conditionalFormatting>
  <conditionalFormatting sqref="C109:C110">
    <cfRule type="duplicateValues" priority="1479" dxfId="0"/>
  </conditionalFormatting>
  <conditionalFormatting sqref="C117:C118">
    <cfRule type="duplicateValues" priority="1247" dxfId="0"/>
  </conditionalFormatting>
  <conditionalFormatting sqref="C120">
    <cfRule type="duplicateValues" priority="1194" dxfId="0"/>
  </conditionalFormatting>
  <conditionalFormatting sqref="C148">
    <cfRule type="duplicateValues" priority="1164" dxfId="0"/>
  </conditionalFormatting>
  <conditionalFormatting sqref="C152">
    <cfRule type="duplicateValues" priority="282" dxfId="0"/>
  </conditionalFormatting>
  <conditionalFormatting sqref="C158">
    <cfRule type="duplicateValues" priority="1165" dxfId="0"/>
  </conditionalFormatting>
  <conditionalFormatting sqref="C159">
    <cfRule type="duplicateValues" priority="1166" dxfId="0"/>
  </conditionalFormatting>
  <conditionalFormatting sqref="C161">
    <cfRule type="duplicateValues" priority="1167" dxfId="0"/>
  </conditionalFormatting>
  <conditionalFormatting sqref="C163">
    <cfRule type="duplicateValues" priority="1168" dxfId="0"/>
  </conditionalFormatting>
  <conditionalFormatting sqref="C180">
    <cfRule type="duplicateValues" priority="1169" dxfId="0"/>
  </conditionalFormatting>
  <conditionalFormatting sqref="C190">
    <cfRule type="duplicateValues" priority="1180" dxfId="0"/>
  </conditionalFormatting>
  <conditionalFormatting sqref="C194">
    <cfRule type="duplicateValues" priority="1183" dxfId="0"/>
  </conditionalFormatting>
  <conditionalFormatting sqref="C195">
    <cfRule type="duplicateValues" priority="1181" dxfId="0"/>
  </conditionalFormatting>
  <conditionalFormatting sqref="C196">
    <cfRule type="duplicateValues" priority="1182" dxfId="0"/>
  </conditionalFormatting>
  <conditionalFormatting sqref="D23:D32">
    <cfRule type="expression" priority="115" dxfId="27" stopIfTrue="1">
      <formula>$A23="note"</formula>
    </cfRule>
    <cfRule type="expression" priority="114" dxfId="28" stopIfTrue="1">
      <formula>OR($A23="calculate", $A23="calculate_here")</formula>
    </cfRule>
    <cfRule type="expression" priority="113" dxfId="29" stopIfTrue="1">
      <formula>OR($A23="date", $A23="datetime")</formula>
    </cfRule>
    <cfRule type="expression" priority="112" dxfId="30" stopIfTrue="1">
      <formula>OR($A23="date", $A23="datetime")</formula>
    </cfRule>
    <cfRule type="expression" priority="111" dxfId="31" stopIfTrue="1">
      <formula>$A23="image"</formula>
    </cfRule>
    <cfRule type="expression" priority="110" dxfId="32" stopIfTrue="1">
      <formula>$A23="image"</formula>
    </cfRule>
    <cfRule type="expression" priority="109" dxfId="33" stopIfTrue="1">
      <formula>OR($A23="audio", $A23="video")</formula>
    </cfRule>
    <cfRule type="expression" priority="108" dxfId="9" stopIfTrue="1">
      <formula>OR($A23="audio", $A23="video")</formula>
    </cfRule>
    <cfRule type="expression" priority="130" dxfId="17" stopIfTrue="1">
      <formula>$A23="text"</formula>
    </cfRule>
    <cfRule type="expression" priority="131" dxfId="21" stopIfTrue="1">
      <formula>$A23="end repeat"</formula>
    </cfRule>
    <cfRule type="expression" priority="132" dxfId="20" stopIfTrue="1">
      <formula>$A23="begin repeat"</formula>
    </cfRule>
    <cfRule type="expression" priority="133" dxfId="21" stopIfTrue="1">
      <formula>$A23="begin repeat"</formula>
    </cfRule>
    <cfRule type="expression" priority="134" dxfId="13" stopIfTrue="1">
      <formula>$A23="end group"</formula>
    </cfRule>
    <cfRule type="expression" priority="135" dxfId="23" stopIfTrue="1">
      <formula>$A23="begin group"</formula>
    </cfRule>
    <cfRule type="expression" priority="136" dxfId="13" stopIfTrue="1">
      <formula>$A23="begin group"</formula>
    </cfRule>
    <cfRule type="expression" priority="128" dxfId="11" stopIfTrue="1">
      <formula>$A23="integer"</formula>
    </cfRule>
    <cfRule type="expression" priority="127" dxfId="8" stopIfTrue="1">
      <formula>$A23="integer"</formula>
    </cfRule>
    <cfRule type="expression" priority="126" dxfId="7" stopIfTrue="1">
      <formula>$A23="decimal"</formula>
    </cfRule>
    <cfRule type="expression" priority="125" dxfId="25" stopIfTrue="1">
      <formula>$A23="decimal"</formula>
    </cfRule>
    <cfRule type="expression" priority="124" dxfId="6" stopIfTrue="1">
      <formula>OR(AND(LEFT($A23, 16)="select_multiple ", LEN($A23)&gt;16, NOT(ISNUMBER(SEARCH(" ", $A23, 17)))), AND(LEFT($A23, 11)="select_one ", LEN($A23)&gt;11, NOT(ISNUMBER(SEARCH(" ", $A23, 12)))))</formula>
    </cfRule>
    <cfRule type="expression" priority="123" dxfId="24" stopIfTrue="1">
      <formula>OR(AND(LEFT($A23, 16)="select_multiple ", LEN($A23)&gt;16, NOT(ISNUMBER(SEARCH(" ", $A23, 17)))), AND(LEFT($A23, 11)="select_one ", LEN($A23)&gt;11, NOT(ISNUMBER(SEARCH(" ", $A23, 12)))))</formula>
    </cfRule>
    <cfRule type="expression" priority="122" dxfId="5" stopIfTrue="1">
      <formula>OR($A23="username", $A23="phonenumber", $A23="start", $A23="end", $A23="deviceid", $A23="subscriberid", $A23="simserial")</formula>
    </cfRule>
    <cfRule type="expression" priority="129" dxfId="15" stopIfTrue="1">
      <formula>$A23="text"</formula>
    </cfRule>
    <cfRule type="expression" priority="121" dxfId="19" stopIfTrue="1">
      <formula>OR($A23="audio audit", $A23="text audit")</formula>
    </cfRule>
    <cfRule type="expression" priority="120" dxfId="18" stopIfTrue="1">
      <formula>$A23="geopoint"</formula>
    </cfRule>
    <cfRule type="expression" priority="119" dxfId="16" stopIfTrue="1">
      <formula>$A23="geopoint"</formula>
    </cfRule>
    <cfRule type="expression" priority="118" dxfId="14" stopIfTrue="1">
      <formula>$A23="barcode"</formula>
    </cfRule>
    <cfRule type="expression" priority="117" dxfId="12" stopIfTrue="1">
      <formula>$A23="barcode"</formula>
    </cfRule>
    <cfRule type="expression" priority="116" dxfId="10" stopIfTrue="1">
      <formula>$A23="note"</formula>
    </cfRule>
  </conditionalFormatting>
  <conditionalFormatting sqref="D39">
    <cfRule type="cellIs" priority="850" operator="notEqual" dxfId="0">
      <formula>$D$39</formula>
    </cfRule>
  </conditionalFormatting>
  <conditionalFormatting sqref="D45">
    <cfRule type="duplicateValues" priority="70" dxfId="0"/>
  </conditionalFormatting>
  <conditionalFormatting sqref="D47">
    <cfRule type="duplicateValues" priority="64" dxfId="0"/>
  </conditionalFormatting>
  <conditionalFormatting sqref="D207:D208">
    <cfRule type="expression" priority="96" dxfId="17" stopIfTrue="1">
      <formula>$A207="text"</formula>
    </cfRule>
    <cfRule type="expression" priority="97" dxfId="21" stopIfTrue="1">
      <formula>$A207="end repeat"</formula>
    </cfRule>
    <cfRule type="expression" priority="74" dxfId="9" stopIfTrue="1">
      <formula>OR($A207="audio", $A207="video")</formula>
    </cfRule>
    <cfRule type="expression" priority="92" dxfId="7" stopIfTrue="1">
      <formula>$A207="decimal"</formula>
    </cfRule>
    <cfRule type="expression" priority="95" dxfId="15" stopIfTrue="1">
      <formula>$A207="text"</formula>
    </cfRule>
    <cfRule type="expression" priority="94" dxfId="11" stopIfTrue="1">
      <formula>$A207="integer"</formula>
    </cfRule>
    <cfRule type="expression" priority="93" dxfId="8" stopIfTrue="1">
      <formula>$A207="integer"</formula>
    </cfRule>
    <cfRule type="expression" priority="79" dxfId="29" stopIfTrue="1">
      <formula>OR($A207="date", $A207="datetime")</formula>
    </cfRule>
    <cfRule type="expression" priority="83" dxfId="12" stopIfTrue="1">
      <formula>$A207="barcode"</formula>
    </cfRule>
    <cfRule type="expression" priority="86" dxfId="18" stopIfTrue="1">
      <formula>$A207="geopoint"</formula>
    </cfRule>
    <cfRule type="expression" priority="85" dxfId="16" stopIfTrue="1">
      <formula>$A207="geopoint"</formula>
    </cfRule>
    <cfRule type="expression" priority="84" dxfId="14" stopIfTrue="1">
      <formula>$A207="barcode"</formula>
    </cfRule>
    <cfRule type="expression" priority="82" dxfId="10" stopIfTrue="1">
      <formula>$A207="note"</formula>
    </cfRule>
    <cfRule type="expression" priority="102" dxfId="13" stopIfTrue="1">
      <formula>$A207="begin group"</formula>
    </cfRule>
    <cfRule type="expression" priority="101" dxfId="23" stopIfTrue="1">
      <formula>$A207="begin group"</formula>
    </cfRule>
    <cfRule type="expression" priority="81" dxfId="27" stopIfTrue="1">
      <formula>$A207="note"</formula>
    </cfRule>
    <cfRule type="expression" priority="100" dxfId="13" stopIfTrue="1">
      <formula>$A207="end group"</formula>
    </cfRule>
    <cfRule type="expression" priority="99" dxfId="21" stopIfTrue="1">
      <formula>$A207="begin repeat"</formula>
    </cfRule>
    <cfRule type="expression" priority="98" dxfId="20" stopIfTrue="1">
      <formula>$A207="begin repeat"</formula>
    </cfRule>
    <cfRule type="expression" priority="80" dxfId="28" stopIfTrue="1">
      <formula>OR($A207="calculate", $A207="calculate_here")</formula>
    </cfRule>
    <cfRule type="expression" priority="91" dxfId="25" stopIfTrue="1">
      <formula>$A207="decimal"</formula>
    </cfRule>
    <cfRule type="expression" priority="78" dxfId="30" stopIfTrue="1">
      <formula>OR($A207="date", $A207="datetime")</formula>
    </cfRule>
    <cfRule type="expression" priority="77" dxfId="31" stopIfTrue="1">
      <formula>$A207="image"</formula>
    </cfRule>
    <cfRule type="expression" priority="76" dxfId="32" stopIfTrue="1">
      <formula>$A207="image"</formula>
    </cfRule>
    <cfRule type="expression" priority="75" dxfId="33" stopIfTrue="1">
      <formula>OR($A207="audio", $A207="video")</formula>
    </cfRule>
    <cfRule type="expression" priority="90" dxfId="6" stopIfTrue="1">
      <formula>OR(AND(LEFT($A207, 16)="select_multiple ", LEN($A207)&gt;16, NOT(ISNUMBER(SEARCH(" ", $A207, 17)))), AND(LEFT($A207, 11)="select_one ", LEN($A207)&gt;11, NOT(ISNUMBER(SEARCH(" ", $A207, 12)))))</formula>
    </cfRule>
    <cfRule type="expression" priority="89" dxfId="24" stopIfTrue="1">
      <formula>OR(AND(LEFT($A207, 16)="select_multiple ", LEN($A207)&gt;16, NOT(ISNUMBER(SEARCH(" ", $A207, 17)))), AND(LEFT($A207, 11)="select_one ", LEN($A207)&gt;11, NOT(ISNUMBER(SEARCH(" ", $A207, 12)))))</formula>
    </cfRule>
    <cfRule type="expression" priority="88" dxfId="5" stopIfTrue="1">
      <formula>OR($A207="username", $A207="phonenumber", $A207="start", $A207="end", $A207="deviceid", $A207="subscriberid", $A207="simserial")</formula>
    </cfRule>
    <cfRule type="expression" priority="87" dxfId="19" stopIfTrue="1">
      <formula>OR($A207="audio audit", $A207="text audit")</formula>
    </cfRule>
  </conditionalFormatting>
  <conditionalFormatting sqref="F31:F32">
    <cfRule type="expression" priority="2" dxfId="33" stopIfTrue="1">
      <formula>OR($A31="audio", $A31="video")</formula>
    </cfRule>
    <cfRule type="expression" priority="3" dxfId="32" stopIfTrue="1">
      <formula>$A31="image"</formula>
    </cfRule>
    <cfRule type="expression" priority="4" dxfId="31" stopIfTrue="1">
      <formula>$A31="image"</formula>
    </cfRule>
    <cfRule type="expression" priority="5" dxfId="30" stopIfTrue="1">
      <formula>OR($A31="date", $A31="datetime")</formula>
    </cfRule>
    <cfRule type="expression" priority="6" dxfId="29" stopIfTrue="1">
      <formula>OR($A31="date", $A31="datetime")</formula>
    </cfRule>
    <cfRule type="expression" priority="7" dxfId="28" stopIfTrue="1">
      <formula>OR($A31="calculate", $A31="calculate_here")</formula>
    </cfRule>
    <cfRule type="expression" priority="8" dxfId="27" stopIfTrue="1">
      <formula>$A31="note"</formula>
    </cfRule>
    <cfRule type="expression" priority="24" dxfId="21" stopIfTrue="1">
      <formula>$A31="end repeat"</formula>
    </cfRule>
    <cfRule type="expression" priority="18" dxfId="25" stopIfTrue="1">
      <formula>$A31="decimal"</formula>
    </cfRule>
    <cfRule type="expression" priority="16" dxfId="24" stopIfTrue="1">
      <formula>OR(AND(LEFT($A31, 16)="select_multiple ", LEN($A31)&gt;16, NOT(ISNUMBER(SEARCH(" ", $A31, 17)))), AND(LEFT($A31, 11)="select_one ", LEN($A31)&gt;11, NOT(ISNUMBER(SEARCH(" ", $A31, 12)))))</formula>
    </cfRule>
    <cfRule type="expression" priority="28" dxfId="23" stopIfTrue="1">
      <formula>$A31="begin group"</formula>
    </cfRule>
    <cfRule type="expression" priority="27" dxfId="13" stopIfTrue="1">
      <formula>$A31="end group"</formula>
    </cfRule>
    <cfRule type="expression" priority="26" dxfId="21" stopIfTrue="1">
      <formula>$A31="begin repeat"</formula>
    </cfRule>
    <cfRule type="expression" priority="25" dxfId="20" stopIfTrue="1">
      <formula>$A31="begin repeat"</formula>
    </cfRule>
    <cfRule type="expression" priority="14" dxfId="19" stopIfTrue="1">
      <formula>OR($A31="audio audit", $A31="text audit")</formula>
    </cfRule>
    <cfRule type="expression" priority="13" dxfId="18" stopIfTrue="1">
      <formula>$A31="geopoint"</formula>
    </cfRule>
    <cfRule type="expression" priority="23" dxfId="17" stopIfTrue="1">
      <formula>$A31="text"</formula>
    </cfRule>
    <cfRule type="expression" priority="12" dxfId="16" stopIfTrue="1">
      <formula>$A31="geopoint"</formula>
    </cfRule>
    <cfRule type="expression" priority="22" dxfId="15" stopIfTrue="1">
      <formula>$A31="text"</formula>
    </cfRule>
    <cfRule type="expression" priority="11" dxfId="14" stopIfTrue="1">
      <formula>$A31="barcode"</formula>
    </cfRule>
    <cfRule type="expression" priority="29" dxfId="13" stopIfTrue="1">
      <formula>$A31="begin group"</formula>
    </cfRule>
    <cfRule type="expression" priority="10" dxfId="12" stopIfTrue="1">
      <formula>$A31="barcode"</formula>
    </cfRule>
    <cfRule type="expression" priority="21" dxfId="11" stopIfTrue="1">
      <formula>$A31="integer"</formula>
    </cfRule>
    <cfRule type="expression" priority="9" dxfId="10" stopIfTrue="1">
      <formula>$A31="note"</formula>
    </cfRule>
    <cfRule type="expression" priority="1" dxfId="9" stopIfTrue="1">
      <formula>OR($A31="audio", $A31="video")</formula>
    </cfRule>
    <cfRule type="expression" priority="20" dxfId="8" stopIfTrue="1">
      <formula>$A31="integer"</formula>
    </cfRule>
    <cfRule type="expression" priority="19" dxfId="7" stopIfTrue="1">
      <formula>$A31="decimal"</formula>
    </cfRule>
    <cfRule type="expression" priority="17" dxfId="6" stopIfTrue="1">
      <formula>OR(AND(LEFT($A31, 16)="select_multiple ", LEN($A31)&gt;16, NOT(ISNUMBER(SEARCH(" ", $A31, 17)))), AND(LEFT($A31, 11)="select_one ", LEN($A31)&gt;11, NOT(ISNUMBER(SEARCH(" ", $A31, 12)))))</formula>
    </cfRule>
    <cfRule type="expression" priority="15" dxfId="5" stopIfTrue="1">
      <formula>OR($A31="username", $A31="phonenumber", $A31="start", $A31="end", $A31="deviceid", $A31="subscriberid", $A31="simserial")</formula>
    </cfRule>
  </conditionalFormatting>
  <conditionalFormatting sqref="F45">
    <cfRule type="duplicateValues" priority="69" dxfId="0"/>
  </conditionalFormatting>
  <conditionalFormatting sqref="F47">
    <cfRule type="duplicateValues" priority="63" dxfId="0"/>
  </conditionalFormatting>
  <conditionalFormatting sqref="J45:O45">
    <cfRule type="duplicateValues" priority="68" dxfId="0"/>
  </conditionalFormatting>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B2:G94"/>
  <sheetViews>
    <sheetView workbookViewId="0">
      <pane ySplit="3" topLeftCell="A23" activePane="bottomLeft" state="frozen"/>
      <selection activeCell="D69" sqref="D69"/>
      <selection pane="bottomLeft" activeCell="F4" sqref="F4"/>
    </sheetView>
  </sheetViews>
  <sheetFormatPr baseColWidth="8" defaultColWidth="10.54296875" defaultRowHeight="14.5"/>
  <cols>
    <col width="10.54296875" customWidth="1" style="1" min="1" max="2"/>
    <col width="15.1796875" customWidth="1" style="2" min="3" max="3"/>
    <col hidden="1" width="10.54296875" customWidth="1" style="12" min="4" max="4"/>
    <col width="10.54296875" customWidth="1" style="12" min="5" max="5"/>
    <col width="41.54296875" customWidth="1" style="1" min="6" max="6"/>
    <col width="46.54296875" customWidth="1" style="72" min="7" max="7"/>
    <col width="10.54296875" customWidth="1" style="1" min="8" max="8"/>
    <col width="10.54296875" customWidth="1" style="1" min="9" max="16384"/>
  </cols>
  <sheetData>
    <row r="2">
      <c r="C2" s="4" t="n"/>
      <c r="D2" s="10" t="n"/>
      <c r="E2" s="10" t="n"/>
      <c r="F2" s="5" t="n"/>
      <c r="G2" s="70" t="n"/>
    </row>
    <row r="3" ht="32.15" customHeight="1">
      <c r="B3" s="3" t="n"/>
      <c r="C3" s="82" t="inlineStr">
        <is>
          <t xml:space="preserve">Select top 10 crops </t>
        </is>
      </c>
      <c r="D3" s="83" t="inlineStr">
        <is>
          <t>GeoPoll code</t>
        </is>
      </c>
      <c r="E3" s="83" t="inlineStr">
        <is>
          <t>Dataset code</t>
        </is>
      </c>
      <c r="F3" s="83" t="inlineStr">
        <is>
          <t>Label (EN)</t>
        </is>
      </c>
      <c r="G3" s="82" t="inlineStr">
        <is>
          <t>Label (FR)</t>
        </is>
      </c>
    </row>
    <row r="4" ht="16.4" customHeight="1">
      <c r="B4" s="3" t="n"/>
      <c r="C4" s="84" t="inlineStr">
        <is>
          <t>x</t>
        </is>
      </c>
      <c r="D4" s="85">
        <f t="array" ref="D4:D93">_xlfn.SEQUENCE(90,1,1,1)</f>
        <v/>
      </c>
      <c r="E4" s="86" t="inlineStr">
        <is>
          <t>1.1</t>
        </is>
      </c>
      <c r="F4" s="85" t="inlineStr">
        <is>
          <t>Rice</t>
        </is>
      </c>
      <c r="G4" s="87" t="inlineStr">
        <is>
          <t>Riz</t>
        </is>
      </c>
    </row>
    <row r="5" ht="16.4" customHeight="1">
      <c r="B5" s="3" t="n"/>
      <c r="C5" s="84" t="n"/>
      <c r="D5" s="85" t="n">
        <v>2</v>
      </c>
      <c r="E5" s="86" t="inlineStr">
        <is>
          <t>1.2</t>
        </is>
      </c>
      <c r="F5" s="85" t="inlineStr">
        <is>
          <t>Wheat</t>
        </is>
      </c>
      <c r="G5" s="87" t="inlineStr">
        <is>
          <t>Blé</t>
        </is>
      </c>
    </row>
    <row r="6" ht="16.4" customHeight="1">
      <c r="B6" s="3" t="n"/>
      <c r="C6" s="84" t="inlineStr">
        <is>
          <t>x</t>
        </is>
      </c>
      <c r="D6" s="85" t="n">
        <v>3</v>
      </c>
      <c r="E6" s="86" t="inlineStr">
        <is>
          <t>1.3</t>
        </is>
      </c>
      <c r="F6" s="85" t="inlineStr">
        <is>
          <t>Millet</t>
        </is>
      </c>
      <c r="G6" s="87" t="inlineStr">
        <is>
          <t>Mil</t>
        </is>
      </c>
    </row>
    <row r="7" ht="16.4" customHeight="1">
      <c r="B7" s="3" t="n"/>
      <c r="C7" s="84" t="inlineStr">
        <is>
          <t>x</t>
        </is>
      </c>
      <c r="D7" s="85" t="n">
        <v>4</v>
      </c>
      <c r="E7" s="86" t="inlineStr">
        <is>
          <t>1.4</t>
        </is>
      </c>
      <c r="F7" s="85" t="inlineStr">
        <is>
          <t>Sorghum</t>
        </is>
      </c>
      <c r="G7" s="87" t="inlineStr">
        <is>
          <t>Sorgho</t>
        </is>
      </c>
    </row>
    <row r="8" ht="16.4" customHeight="1">
      <c r="B8" s="3" t="n"/>
      <c r="C8" s="84" t="inlineStr">
        <is>
          <t>x</t>
        </is>
      </c>
      <c r="D8" s="85" t="n">
        <v>5</v>
      </c>
      <c r="E8" s="86" t="inlineStr">
        <is>
          <t>1.5</t>
        </is>
      </c>
      <c r="F8" s="85" t="inlineStr">
        <is>
          <t>Maize</t>
        </is>
      </c>
      <c r="G8" s="87" t="inlineStr">
        <is>
          <t>Maïs</t>
        </is>
      </c>
    </row>
    <row r="9" ht="16.4" customHeight="1">
      <c r="B9" s="3" t="n"/>
      <c r="C9" s="84" t="n"/>
      <c r="D9" s="85" t="n">
        <v>6</v>
      </c>
      <c r="E9" s="86" t="inlineStr">
        <is>
          <t>1.6</t>
        </is>
      </c>
      <c r="F9" s="85" t="inlineStr">
        <is>
          <t>Barley</t>
        </is>
      </c>
      <c r="G9" s="87" t="inlineStr">
        <is>
          <t>Orge</t>
        </is>
      </c>
    </row>
    <row r="10" ht="16.4" customHeight="1">
      <c r="B10" s="3" t="n"/>
      <c r="C10" s="88" t="n"/>
      <c r="D10" s="85" t="n">
        <v>7</v>
      </c>
      <c r="E10" s="86" t="inlineStr">
        <is>
          <t>1.99</t>
        </is>
      </c>
      <c r="F10" s="89" t="inlineStr">
        <is>
          <t>Other Cereal</t>
        </is>
      </c>
      <c r="G10" s="90" t="inlineStr">
        <is>
          <t>Autres céréales</t>
        </is>
      </c>
    </row>
    <row r="11" ht="16.4" customHeight="1">
      <c r="B11" s="3" t="n"/>
      <c r="C11" s="84" t="inlineStr">
        <is>
          <t>x</t>
        </is>
      </c>
      <c r="D11" s="85" t="n">
        <v>8</v>
      </c>
      <c r="E11" s="86" t="inlineStr">
        <is>
          <t>2.1</t>
        </is>
      </c>
      <c r="F11" s="85" t="inlineStr">
        <is>
          <t>Cassava</t>
        </is>
      </c>
      <c r="G11" s="87" t="inlineStr">
        <is>
          <t>Manioc</t>
        </is>
      </c>
    </row>
    <row r="12" ht="16.4" customHeight="1">
      <c r="B12" s="3" t="n"/>
      <c r="C12" s="84" t="inlineStr">
        <is>
          <t>x</t>
        </is>
      </c>
      <c r="D12" s="85" t="n">
        <v>9</v>
      </c>
      <c r="E12" s="86" t="inlineStr">
        <is>
          <t>2.2</t>
        </is>
      </c>
      <c r="F12" s="85" t="inlineStr">
        <is>
          <t>Potatoe</t>
        </is>
      </c>
      <c r="G12" s="87" t="inlineStr">
        <is>
          <t>Pommes de terre</t>
        </is>
      </c>
    </row>
    <row r="13" ht="16.4" customHeight="1">
      <c r="B13" s="3" t="n"/>
      <c r="C13" s="84" t="n"/>
      <c r="D13" s="85" t="n">
        <v>10</v>
      </c>
      <c r="E13" s="86" t="inlineStr">
        <is>
          <t>2.3</t>
        </is>
      </c>
      <c r="F13" s="85" t="inlineStr">
        <is>
          <t>Sweet Potatoes</t>
        </is>
      </c>
      <c r="G13" s="87" t="inlineStr">
        <is>
          <t>Patates douces</t>
        </is>
      </c>
    </row>
    <row r="14" ht="16.4" customHeight="1">
      <c r="B14" s="3" t="n"/>
      <c r="C14" s="84" t="n"/>
      <c r="D14" s="85" t="n">
        <v>11</v>
      </c>
      <c r="E14" s="86" t="inlineStr">
        <is>
          <t>2.4</t>
        </is>
      </c>
      <c r="F14" s="85" t="inlineStr">
        <is>
          <t>Yams</t>
        </is>
      </c>
      <c r="G14" s="87" t="inlineStr">
        <is>
          <t>Ignames</t>
        </is>
      </c>
    </row>
    <row r="15" ht="16.4" customHeight="1">
      <c r="B15" s="3" t="n"/>
      <c r="C15" s="84" t="n"/>
      <c r="D15" s="85" t="n">
        <v>12</v>
      </c>
      <c r="E15" s="86" t="inlineStr">
        <is>
          <t>2.5</t>
        </is>
      </c>
      <c r="F15" s="85" t="inlineStr">
        <is>
          <t>Carrots</t>
        </is>
      </c>
      <c r="G15" s="87" t="inlineStr">
        <is>
          <t>Carottes</t>
        </is>
      </c>
    </row>
    <row r="16" ht="16.4" customHeight="1">
      <c r="B16" s="3" t="n"/>
      <c r="C16" s="84" t="n"/>
      <c r="D16" s="85" t="n">
        <v>13</v>
      </c>
      <c r="E16" s="86" t="inlineStr">
        <is>
          <t>2.6</t>
        </is>
      </c>
      <c r="F16" s="85" t="inlineStr">
        <is>
          <t>Cocoyam</t>
        </is>
      </c>
      <c r="G16" s="87" t="inlineStr">
        <is>
          <t>Chou caraïbe</t>
        </is>
      </c>
    </row>
    <row r="17" ht="16.4" customHeight="1">
      <c r="B17" s="3" t="n"/>
      <c r="C17" s="88" t="n"/>
      <c r="D17" s="85" t="n">
        <v>14</v>
      </c>
      <c r="E17" s="86" t="inlineStr">
        <is>
          <t>2.99</t>
        </is>
      </c>
      <c r="F17" s="89" t="inlineStr">
        <is>
          <t>Other tubers</t>
        </is>
      </c>
      <c r="G17" s="90" t="inlineStr">
        <is>
          <t>Autres tubercules</t>
        </is>
      </c>
    </row>
    <row r="18" ht="16.4" customHeight="1">
      <c r="B18" s="3" t="n"/>
      <c r="C18" s="84" t="inlineStr">
        <is>
          <t>x</t>
        </is>
      </c>
      <c r="D18" s="85" t="n">
        <v>15</v>
      </c>
      <c r="E18" s="86" t="inlineStr">
        <is>
          <t>3.1</t>
        </is>
      </c>
      <c r="F18" s="85" t="inlineStr">
        <is>
          <t>Beans</t>
        </is>
      </c>
      <c r="G18" s="87" t="inlineStr">
        <is>
          <t>Haricots</t>
        </is>
      </c>
    </row>
    <row r="19" ht="16.4" customHeight="1">
      <c r="B19" s="3" t="n"/>
      <c r="C19" s="84" t="n"/>
      <c r="D19" s="85" t="n">
        <v>16</v>
      </c>
      <c r="E19" s="86" t="inlineStr">
        <is>
          <t>3.2</t>
        </is>
      </c>
      <c r="F19" s="85" t="inlineStr">
        <is>
          <t>Lentils</t>
        </is>
      </c>
      <c r="G19" s="87" t="inlineStr">
        <is>
          <t>Lentilles</t>
        </is>
      </c>
    </row>
    <row r="20" ht="16.4" customHeight="1">
      <c r="B20" s="3" t="n"/>
      <c r="C20" s="84" t="n"/>
      <c r="D20" s="85" t="n">
        <v>17</v>
      </c>
      <c r="E20" s="86" t="inlineStr">
        <is>
          <t>3.3</t>
        </is>
      </c>
      <c r="F20" s="85" t="inlineStr">
        <is>
          <t>Peas</t>
        </is>
      </c>
      <c r="G20" s="87" t="inlineStr">
        <is>
          <t>Pois</t>
        </is>
      </c>
    </row>
    <row r="21" ht="16.4" customHeight="1">
      <c r="B21" s="3" t="n"/>
      <c r="C21" s="84" t="inlineStr">
        <is>
          <t>x</t>
        </is>
      </c>
      <c r="D21" s="85" t="n">
        <v>18</v>
      </c>
      <c r="E21" s="86" t="inlineStr">
        <is>
          <t>3.4</t>
        </is>
      </c>
      <c r="F21" s="85" t="inlineStr">
        <is>
          <t>Soybeans</t>
        </is>
      </c>
      <c r="G21" s="87" t="inlineStr">
        <is>
          <t>Soja</t>
        </is>
      </c>
    </row>
    <row r="22" ht="16.4" customHeight="1">
      <c r="B22" s="3" t="n"/>
      <c r="C22" s="84" t="n"/>
      <c r="D22" s="85" t="n">
        <v>19</v>
      </c>
      <c r="E22" s="86" t="inlineStr">
        <is>
          <t>3.5</t>
        </is>
      </c>
      <c r="F22" s="85" t="inlineStr">
        <is>
          <t>Chickpeas</t>
        </is>
      </c>
      <c r="G22" s="87" t="inlineStr">
        <is>
          <t>Pois chiches</t>
        </is>
      </c>
    </row>
    <row r="23" ht="16.4" customHeight="1">
      <c r="B23" s="3" t="n"/>
      <c r="C23" s="84" t="n"/>
      <c r="D23" s="85" t="n">
        <v>20</v>
      </c>
      <c r="E23" s="86" t="inlineStr">
        <is>
          <t>3.6</t>
        </is>
      </c>
      <c r="F23" s="85" t="inlineStr">
        <is>
          <t>Fava beans</t>
        </is>
      </c>
      <c r="G23" s="87" t="inlineStr">
        <is>
          <t>Fève</t>
        </is>
      </c>
    </row>
    <row r="24" ht="16.4" customHeight="1">
      <c r="B24" s="3" t="n"/>
      <c r="C24" s="84" t="n"/>
      <c r="D24" s="85" t="n">
        <v>21</v>
      </c>
      <c r="E24" s="86" t="inlineStr">
        <is>
          <t>3.7</t>
        </is>
      </c>
      <c r="F24" s="85" t="inlineStr">
        <is>
          <t>Broad beans</t>
        </is>
      </c>
      <c r="G24" s="87" t="inlineStr">
        <is>
          <t>Fève large</t>
        </is>
      </c>
    </row>
    <row r="25" ht="16.4" customHeight="1">
      <c r="B25" s="3" t="n"/>
      <c r="C25" s="88" t="n"/>
      <c r="D25" s="85" t="n">
        <v>22</v>
      </c>
      <c r="E25" s="86" t="inlineStr">
        <is>
          <t>3.99</t>
        </is>
      </c>
      <c r="F25" s="89" t="inlineStr">
        <is>
          <t>Other pulses</t>
        </is>
      </c>
      <c r="G25" s="90" t="inlineStr">
        <is>
          <t>Autres légumineuses</t>
        </is>
      </c>
    </row>
    <row r="26" ht="16.4" customHeight="1">
      <c r="B26" s="3" t="n"/>
      <c r="C26" s="84" t="n"/>
      <c r="D26" s="85" t="n">
        <v>23</v>
      </c>
      <c r="E26" s="86" t="inlineStr">
        <is>
          <t>4.1</t>
        </is>
      </c>
      <c r="F26" s="85" t="inlineStr">
        <is>
          <t>Cabbage</t>
        </is>
      </c>
      <c r="G26" s="87" t="inlineStr">
        <is>
          <t>Choux</t>
        </is>
      </c>
    </row>
    <row r="27" ht="16.4" customHeight="1">
      <c r="B27" s="3" t="n"/>
      <c r="C27" s="84" t="n"/>
      <c r="D27" s="85" t="n">
        <v>24</v>
      </c>
      <c r="E27" s="86" t="inlineStr">
        <is>
          <t>4.2</t>
        </is>
      </c>
      <c r="F27" s="85" t="inlineStr">
        <is>
          <t>Lettuce</t>
        </is>
      </c>
      <c r="G27" s="87" t="inlineStr">
        <is>
          <t>Laitue</t>
        </is>
      </c>
    </row>
    <row r="28" ht="16.4" customHeight="1">
      <c r="B28" s="3" t="n"/>
      <c r="C28" s="84" t="n"/>
      <c r="D28" s="85" t="n">
        <v>25</v>
      </c>
      <c r="E28" s="86" t="inlineStr">
        <is>
          <t>4.3</t>
        </is>
      </c>
      <c r="F28" s="85" t="inlineStr">
        <is>
          <t>Spinach-Amaranth</t>
        </is>
      </c>
      <c r="G28" s="87" t="inlineStr">
        <is>
          <t>Epinards-Amaranthe</t>
        </is>
      </c>
    </row>
    <row r="29" ht="16.4" customHeight="1">
      <c r="B29" s="3" t="n"/>
      <c r="C29" s="84" t="n"/>
      <c r="D29" s="85" t="n">
        <v>26</v>
      </c>
      <c r="E29" s="86" t="inlineStr">
        <is>
          <t>4.4</t>
        </is>
      </c>
      <c r="F29" s="85" t="inlineStr">
        <is>
          <t>Cassava leaves</t>
        </is>
      </c>
      <c r="G29" s="87" t="inlineStr">
        <is>
          <t>Feuilles de manioc</t>
        </is>
      </c>
    </row>
    <row r="30" ht="16.4" customHeight="1">
      <c r="B30" s="3" t="n"/>
      <c r="C30" s="84" t="n"/>
      <c r="D30" s="85" t="n">
        <v>27</v>
      </c>
      <c r="E30" s="86" t="inlineStr">
        <is>
          <t>4.5</t>
        </is>
      </c>
      <c r="F30" s="85" t="inlineStr">
        <is>
          <t>Potatoe leaves</t>
        </is>
      </c>
      <c r="G30" s="87" t="inlineStr">
        <is>
          <t>Feuilles de pomme de terre</t>
        </is>
      </c>
    </row>
    <row r="31" ht="16.4" customHeight="1">
      <c r="B31" s="3" t="n"/>
      <c r="C31" s="84" t="n"/>
      <c r="D31" s="85" t="n">
        <v>28</v>
      </c>
      <c r="E31" s="86" t="inlineStr">
        <is>
          <t>4.6</t>
        </is>
      </c>
      <c r="F31" s="85" t="inlineStr">
        <is>
          <t>Moringa</t>
        </is>
      </c>
      <c r="G31" s="87" t="inlineStr">
        <is>
          <t>Moringa</t>
        </is>
      </c>
    </row>
    <row r="32" ht="16.4" customHeight="1">
      <c r="B32" s="3" t="n"/>
      <c r="C32" s="84" t="n"/>
      <c r="D32" s="85" t="n">
        <v>29</v>
      </c>
      <c r="E32" s="86" t="inlineStr">
        <is>
          <t>4.7</t>
        </is>
      </c>
      <c r="F32" s="85" t="inlineStr">
        <is>
          <t>Sorrel Hibiscus / Rosselle</t>
        </is>
      </c>
      <c r="G32" s="87" t="inlineStr">
        <is>
          <t>Oseille Hibiscus / Rosselle</t>
        </is>
      </c>
    </row>
    <row r="33" ht="16.4" customHeight="1">
      <c r="B33" s="3" t="n"/>
      <c r="C33" s="84" t="n"/>
      <c r="D33" s="85" t="n">
        <v>30</v>
      </c>
      <c r="E33" s="86" t="inlineStr">
        <is>
          <t>4.9</t>
        </is>
      </c>
      <c r="F33" s="85" t="inlineStr">
        <is>
          <t>Green salad herbs [thyme, parsley, mint, rocca, other]</t>
        </is>
      </c>
      <c r="G33" s="87" t="inlineStr">
        <is>
          <t>Herbes aromatiques [thym, persil, menthe, rocca, autres]</t>
        </is>
      </c>
    </row>
    <row r="34" ht="16.4" customHeight="1">
      <c r="B34" s="3" t="n"/>
      <c r="C34" s="84" t="n"/>
      <c r="D34" s="85" t="n">
        <v>31</v>
      </c>
      <c r="E34" s="86" t="inlineStr">
        <is>
          <t>4.101</t>
        </is>
      </c>
      <c r="F34" s="85" t="inlineStr">
        <is>
          <t>Cauliflower</t>
        </is>
      </c>
      <c r="G34" s="87" t="inlineStr">
        <is>
          <t>Choux-fleur</t>
        </is>
      </c>
    </row>
    <row r="35" ht="16.4" customHeight="1">
      <c r="B35" s="3" t="n"/>
      <c r="C35" s="88" t="n"/>
      <c r="D35" s="85" t="n">
        <v>32</v>
      </c>
      <c r="E35" s="86" t="inlineStr">
        <is>
          <t>4.99</t>
        </is>
      </c>
      <c r="F35" s="89" t="inlineStr">
        <is>
          <t>Other leafy vegetables</t>
        </is>
      </c>
      <c r="G35" s="90" t="inlineStr">
        <is>
          <t>Autres légumes à feuilles</t>
        </is>
      </c>
    </row>
    <row r="36" ht="16.4" customHeight="1">
      <c r="B36" s="3" t="n"/>
      <c r="C36" s="84" t="n"/>
      <c r="D36" s="85" t="n">
        <v>33</v>
      </c>
      <c r="E36" s="86" t="inlineStr">
        <is>
          <t>5.1</t>
        </is>
      </c>
      <c r="F36" s="85" t="inlineStr">
        <is>
          <t>Tomatoes</t>
        </is>
      </c>
      <c r="G36" s="87" t="inlineStr">
        <is>
          <t>Tomates</t>
        </is>
      </c>
    </row>
    <row r="37" ht="16.4" customHeight="1">
      <c r="B37" s="3" t="n"/>
      <c r="C37" s="84" t="n"/>
      <c r="D37" s="85" t="n">
        <v>34</v>
      </c>
      <c r="E37" s="86" t="inlineStr">
        <is>
          <t>5.2</t>
        </is>
      </c>
      <c r="F37" s="85" t="inlineStr">
        <is>
          <t>Cucumber</t>
        </is>
      </c>
      <c r="G37" s="87" t="inlineStr">
        <is>
          <t>Concombre</t>
        </is>
      </c>
    </row>
    <row r="38" ht="16.4" customHeight="1">
      <c r="B38" s="3" t="n"/>
      <c r="C38" s="84" t="n"/>
      <c r="D38" s="85" t="n">
        <v>35</v>
      </c>
      <c r="E38" s="86" t="inlineStr">
        <is>
          <t>5.3</t>
        </is>
      </c>
      <c r="F38" s="85" t="inlineStr">
        <is>
          <t>Pumpkin</t>
        </is>
      </c>
      <c r="G38" s="87" t="inlineStr">
        <is>
          <t>Citrouille</t>
        </is>
      </c>
    </row>
    <row r="39" ht="16.4" customHeight="1">
      <c r="B39" s="3" t="n"/>
      <c r="C39" s="84" t="n"/>
      <c r="D39" s="85" t="n">
        <v>36</v>
      </c>
      <c r="E39" s="86" t="inlineStr">
        <is>
          <t>5.4</t>
        </is>
      </c>
      <c r="F39" s="85" t="inlineStr">
        <is>
          <t>Eggplant/aubergine</t>
        </is>
      </c>
      <c r="G39" s="87" t="inlineStr">
        <is>
          <t>Aubergines/aubergines</t>
        </is>
      </c>
    </row>
    <row r="40" ht="16.4" customHeight="1">
      <c r="B40" s="3" t="n"/>
      <c r="C40" s="84" t="n"/>
      <c r="D40" s="85" t="n">
        <v>37</v>
      </c>
      <c r="E40" s="86" t="inlineStr">
        <is>
          <t>5.5</t>
        </is>
      </c>
      <c r="F40" s="85" t="inlineStr">
        <is>
          <t>Zucchini</t>
        </is>
      </c>
      <c r="G40" s="87" t="inlineStr">
        <is>
          <t>Courgettes</t>
        </is>
      </c>
    </row>
    <row r="41" ht="16.4" customHeight="1">
      <c r="B41" s="3" t="n"/>
      <c r="C41" s="84" t="n"/>
      <c r="D41" s="85" t="n">
        <v>38</v>
      </c>
      <c r="E41" s="86" t="inlineStr">
        <is>
          <t>5.6</t>
        </is>
      </c>
      <c r="F41" s="85" t="inlineStr">
        <is>
          <t>Okra</t>
        </is>
      </c>
      <c r="G41" s="87" t="inlineStr">
        <is>
          <t>Okra</t>
        </is>
      </c>
    </row>
    <row r="42" ht="16.4" customHeight="1">
      <c r="B42" s="3" t="n"/>
      <c r="C42" s="84" t="n"/>
      <c r="D42" s="85" t="n">
        <v>39</v>
      </c>
      <c r="E42" s="86" t="inlineStr">
        <is>
          <t>5.7</t>
        </is>
      </c>
      <c r="F42" s="85" t="inlineStr">
        <is>
          <t>Bell pepper</t>
        </is>
      </c>
      <c r="G42" s="87" t="inlineStr">
        <is>
          <t>Poivrons</t>
        </is>
      </c>
    </row>
    <row r="43" ht="16.4" customHeight="1">
      <c r="B43" s="3" t="n"/>
      <c r="C43" s="84" t="n"/>
      <c r="D43" s="85" t="n">
        <v>40</v>
      </c>
      <c r="E43" s="86" t="inlineStr">
        <is>
          <t>5.8</t>
        </is>
      </c>
      <c r="F43" s="85" t="inlineStr">
        <is>
          <t>Onions</t>
        </is>
      </c>
      <c r="G43" s="87" t="inlineStr">
        <is>
          <t>Oignons</t>
        </is>
      </c>
    </row>
    <row r="44" ht="16.4" customHeight="1">
      <c r="B44" s="3" t="n"/>
      <c r="C44" s="84" t="n"/>
      <c r="D44" s="85" t="n">
        <v>41</v>
      </c>
      <c r="E44" s="86" t="inlineStr">
        <is>
          <t>5.9</t>
        </is>
      </c>
      <c r="F44" s="85" t="inlineStr">
        <is>
          <t>Haricot</t>
        </is>
      </c>
      <c r="G44" s="87" t="inlineStr">
        <is>
          <t xml:space="preserve">Haricot </t>
        </is>
      </c>
    </row>
    <row r="45" ht="16.4" customHeight="1">
      <c r="B45" s="3" t="n"/>
      <c r="C45" s="84" t="n"/>
      <c r="D45" s="85" t="n">
        <v>42</v>
      </c>
      <c r="E45" s="86" t="inlineStr">
        <is>
          <t>5.101</t>
        </is>
      </c>
      <c r="F45" s="85" t="inlineStr">
        <is>
          <t>Green peas</t>
        </is>
      </c>
      <c r="G45" s="87" t="inlineStr">
        <is>
          <t>Petit pois</t>
        </is>
      </c>
    </row>
    <row r="46" ht="16.4" customHeight="1">
      <c r="B46" s="3" t="n"/>
      <c r="C46" s="84" t="n"/>
      <c r="D46" s="85" t="n">
        <v>43</v>
      </c>
      <c r="E46" s="86" t="inlineStr">
        <is>
          <t>5.11</t>
        </is>
      </c>
      <c r="F46" s="85" t="inlineStr">
        <is>
          <t>Fava beans green</t>
        </is>
      </c>
      <c r="G46" s="87" t="inlineStr">
        <is>
          <t>Pois fève</t>
        </is>
      </c>
    </row>
    <row r="47" ht="16.4" customHeight="1">
      <c r="B47" s="3" t="n"/>
      <c r="C47" s="88" t="n"/>
      <c r="D47" s="85" t="n">
        <v>44</v>
      </c>
      <c r="E47" s="86" t="inlineStr">
        <is>
          <t>5.99</t>
        </is>
      </c>
      <c r="F47" s="89" t="inlineStr">
        <is>
          <t>Other non leafy vegs</t>
        </is>
      </c>
      <c r="G47" s="90" t="inlineStr">
        <is>
          <t>Autres légumes non feuillus</t>
        </is>
      </c>
    </row>
    <row r="48" ht="16.4" customHeight="1">
      <c r="B48" s="3" t="n"/>
      <c r="C48" s="84" t="n"/>
      <c r="D48" s="85" t="n">
        <v>45</v>
      </c>
      <c r="E48" s="86" t="inlineStr">
        <is>
          <t>6.1</t>
        </is>
      </c>
      <c r="F48" s="85" t="inlineStr">
        <is>
          <t>Orange</t>
        </is>
      </c>
      <c r="G48" s="87" t="inlineStr">
        <is>
          <t>Orange</t>
        </is>
      </c>
    </row>
    <row r="49" ht="16.4" customHeight="1">
      <c r="B49" s="3" t="n"/>
      <c r="C49" s="84" t="n"/>
      <c r="D49" s="85" t="n">
        <v>46</v>
      </c>
      <c r="E49" s="86" t="inlineStr">
        <is>
          <t>6.2</t>
        </is>
      </c>
      <c r="F49" s="85" t="inlineStr">
        <is>
          <t>Lemon</t>
        </is>
      </c>
      <c r="G49" s="87" t="inlineStr">
        <is>
          <t>Citron</t>
        </is>
      </c>
    </row>
    <row r="50" ht="16.4" customHeight="1">
      <c r="B50" s="3" t="n"/>
      <c r="C50" s="84" t="n"/>
      <c r="D50" s="85" t="n">
        <v>47</v>
      </c>
      <c r="E50" s="86" t="inlineStr">
        <is>
          <t>6.3</t>
        </is>
      </c>
      <c r="F50" s="85" t="inlineStr">
        <is>
          <t>Grapefruit</t>
        </is>
      </c>
      <c r="G50" s="87" t="inlineStr">
        <is>
          <t>Pamplemousse</t>
        </is>
      </c>
    </row>
    <row r="51" ht="16.4" customHeight="1">
      <c r="B51" s="3" t="n"/>
      <c r="C51" s="84" t="n"/>
      <c r="D51" s="85" t="n">
        <v>48</v>
      </c>
      <c r="E51" s="86" t="inlineStr">
        <is>
          <t>6.4</t>
        </is>
      </c>
      <c r="F51" s="85" t="inlineStr">
        <is>
          <t>Mandarins/clementines</t>
        </is>
      </c>
      <c r="G51" s="87" t="inlineStr">
        <is>
          <t>Tangerine/clémentine</t>
        </is>
      </c>
    </row>
    <row r="52" ht="16.4" customHeight="1">
      <c r="B52" s="3" t="n"/>
      <c r="C52" s="88" t="n"/>
      <c r="D52" s="85" t="n">
        <v>49</v>
      </c>
      <c r="E52" s="86" t="inlineStr">
        <is>
          <t>6.99</t>
        </is>
      </c>
      <c r="F52" s="89" t="inlineStr">
        <is>
          <t>Other citrus fruit</t>
        </is>
      </c>
      <c r="G52" s="90" t="inlineStr">
        <is>
          <t>Autres agrumes</t>
        </is>
      </c>
    </row>
    <row r="53" ht="16.4" customHeight="1">
      <c r="B53" s="3" t="n"/>
      <c r="C53" s="84" t="n"/>
      <c r="D53" s="85" t="n">
        <v>50</v>
      </c>
      <c r="E53" s="86" t="inlineStr">
        <is>
          <t>7.1</t>
        </is>
      </c>
      <c r="F53" s="85" t="inlineStr">
        <is>
          <t>Sweet Banana</t>
        </is>
      </c>
      <c r="G53" s="87" t="inlineStr">
        <is>
          <t>Banane douce</t>
        </is>
      </c>
    </row>
    <row r="54" ht="16.4" customHeight="1">
      <c r="B54" s="3" t="n"/>
      <c r="C54" s="84" t="inlineStr">
        <is>
          <t>x</t>
        </is>
      </c>
      <c r="D54" s="85" t="n">
        <v>51</v>
      </c>
      <c r="E54" s="86" t="inlineStr">
        <is>
          <t>7.2</t>
        </is>
      </c>
      <c r="F54" s="85" t="inlineStr">
        <is>
          <t>Plantains</t>
        </is>
      </c>
      <c r="G54" s="87" t="inlineStr">
        <is>
          <t>Banane plantain</t>
        </is>
      </c>
    </row>
    <row r="55" ht="16.4" customHeight="1">
      <c r="B55" s="3" t="n"/>
      <c r="C55" s="84" t="inlineStr">
        <is>
          <t>x</t>
        </is>
      </c>
      <c r="D55" s="85" t="n">
        <v>52</v>
      </c>
      <c r="E55" s="86" t="inlineStr">
        <is>
          <t>7.3</t>
        </is>
      </c>
      <c r="F55" s="85" t="inlineStr">
        <is>
          <t>Papaya</t>
        </is>
      </c>
      <c r="G55" s="87" t="inlineStr">
        <is>
          <t>Papaye</t>
        </is>
      </c>
    </row>
    <row r="56" ht="16.4" customHeight="1">
      <c r="B56" s="3" t="n"/>
      <c r="C56" s="84" t="n"/>
      <c r="D56" s="85" t="n">
        <v>53</v>
      </c>
      <c r="E56" s="86" t="inlineStr">
        <is>
          <t>7.4</t>
        </is>
      </c>
      <c r="F56" s="85" t="inlineStr">
        <is>
          <t>Mango</t>
        </is>
      </c>
      <c r="G56" s="87" t="inlineStr">
        <is>
          <t>Mangue</t>
        </is>
      </c>
    </row>
    <row r="57" ht="16.4" customHeight="1">
      <c r="B57" s="3" t="n"/>
      <c r="C57" s="84" t="n"/>
      <c r="D57" s="85" t="n">
        <v>54</v>
      </c>
      <c r="E57" s="86" t="inlineStr">
        <is>
          <t>7.5</t>
        </is>
      </c>
      <c r="F57" s="85" t="inlineStr">
        <is>
          <t>Guava</t>
        </is>
      </c>
      <c r="G57" s="87" t="inlineStr">
        <is>
          <t>Goyave</t>
        </is>
      </c>
    </row>
    <row r="58" ht="16.4" customHeight="1">
      <c r="B58" s="3" t="n"/>
      <c r="C58" s="84" t="n"/>
      <c r="D58" s="85" t="n">
        <v>55</v>
      </c>
      <c r="E58" s="86" t="inlineStr">
        <is>
          <t>7.6</t>
        </is>
      </c>
      <c r="F58" s="85" t="inlineStr">
        <is>
          <t>Pineapple</t>
        </is>
      </c>
      <c r="G58" s="87" t="inlineStr">
        <is>
          <t>Ananas</t>
        </is>
      </c>
    </row>
    <row r="59" ht="16.4" customHeight="1">
      <c r="B59" s="3" t="n"/>
      <c r="C59" s="84" t="n"/>
      <c r="D59" s="85" t="n">
        <v>56</v>
      </c>
      <c r="E59" s="86" t="inlineStr">
        <is>
          <t>7.7</t>
        </is>
      </c>
      <c r="F59" s="85" t="inlineStr">
        <is>
          <t>Avocado</t>
        </is>
      </c>
      <c r="G59" s="87" t="inlineStr">
        <is>
          <t>Avocat</t>
        </is>
      </c>
    </row>
    <row r="60" ht="16.4" customHeight="1">
      <c r="B60" s="3" t="n"/>
      <c r="C60" s="84" t="n"/>
      <c r="D60" s="85" t="n">
        <v>57</v>
      </c>
      <c r="E60" s="86" t="inlineStr">
        <is>
          <t>7.8</t>
        </is>
      </c>
      <c r="F60" s="85" t="inlineStr">
        <is>
          <t>Water Melon</t>
        </is>
      </c>
      <c r="G60" s="87" t="inlineStr">
        <is>
          <t>Pastèques</t>
        </is>
      </c>
    </row>
    <row r="61" ht="16.4" customHeight="1">
      <c r="B61" s="3" t="n"/>
      <c r="C61" s="84" t="n"/>
      <c r="D61" s="85" t="n">
        <v>58</v>
      </c>
      <c r="E61" s="86" t="inlineStr">
        <is>
          <t>7.9</t>
        </is>
      </c>
      <c r="F61" s="85" t="inlineStr">
        <is>
          <t>Dates</t>
        </is>
      </c>
      <c r="G61" s="87" t="inlineStr">
        <is>
          <t>Dattes</t>
        </is>
      </c>
    </row>
    <row r="62" ht="16.4" customHeight="1">
      <c r="B62" s="3" t="n"/>
      <c r="C62" s="84" t="n"/>
      <c r="D62" s="85" t="n">
        <v>59</v>
      </c>
      <c r="E62" s="86" t="inlineStr">
        <is>
          <t>7.101</t>
        </is>
      </c>
      <c r="F62" s="85" t="inlineStr">
        <is>
          <t>Figs</t>
        </is>
      </c>
      <c r="G62" s="87" t="inlineStr">
        <is>
          <t>Figues</t>
        </is>
      </c>
    </row>
    <row r="63" ht="16.4" customHeight="1">
      <c r="B63" s="3" t="n"/>
      <c r="C63" s="84" t="n"/>
      <c r="D63" s="85" t="n">
        <v>60</v>
      </c>
      <c r="E63" s="86" t="inlineStr">
        <is>
          <t>7.11</t>
        </is>
      </c>
      <c r="F63" s="85" t="inlineStr">
        <is>
          <t>Grapes</t>
        </is>
      </c>
      <c r="G63" s="87" t="inlineStr">
        <is>
          <t>Raisins</t>
        </is>
      </c>
    </row>
    <row r="64" ht="16.4" customHeight="1">
      <c r="B64" s="3" t="n"/>
      <c r="C64" s="84" t="n"/>
      <c r="D64" s="85" t="n">
        <v>61</v>
      </c>
      <c r="E64" s="86" t="inlineStr">
        <is>
          <t>7.12</t>
        </is>
      </c>
      <c r="F64" s="85" t="inlineStr">
        <is>
          <t>Olives</t>
        </is>
      </c>
      <c r="G64" s="87" t="inlineStr">
        <is>
          <t>Olives</t>
        </is>
      </c>
    </row>
    <row r="65" ht="16.4" customHeight="1">
      <c r="B65" s="3" t="n"/>
      <c r="C65" s="84" t="n"/>
      <c r="D65" s="85" t="n">
        <v>62</v>
      </c>
      <c r="E65" s="86" t="inlineStr">
        <is>
          <t>7.13</t>
        </is>
      </c>
      <c r="F65" s="85" t="inlineStr">
        <is>
          <t>Apple</t>
        </is>
      </c>
      <c r="G65" s="87" t="inlineStr">
        <is>
          <t>Pomme</t>
        </is>
      </c>
    </row>
    <row r="66" ht="16.4" customHeight="1">
      <c r="B66" s="3" t="n"/>
      <c r="C66" s="84" t="n"/>
      <c r="D66" s="85" t="n">
        <v>63</v>
      </c>
      <c r="E66" s="86" t="inlineStr">
        <is>
          <t>7.14</t>
        </is>
      </c>
      <c r="F66" s="85" t="inlineStr">
        <is>
          <t>Apricot</t>
        </is>
      </c>
      <c r="G66" s="87" t="inlineStr">
        <is>
          <t>Abricot</t>
        </is>
      </c>
    </row>
    <row r="67" ht="16.4" customHeight="1">
      <c r="B67" s="3" t="n"/>
      <c r="C67" s="84" t="n"/>
      <c r="D67" s="85" t="n">
        <v>64</v>
      </c>
      <c r="E67" s="86" t="inlineStr">
        <is>
          <t>7.15</t>
        </is>
      </c>
      <c r="F67" s="85" t="inlineStr">
        <is>
          <t>Cherries</t>
        </is>
      </c>
      <c r="G67" s="87" t="inlineStr">
        <is>
          <t>Cerises</t>
        </is>
      </c>
    </row>
    <row r="68" ht="16.4" customHeight="1">
      <c r="B68" s="3" t="n"/>
      <c r="C68" s="84" t="n"/>
      <c r="D68" s="85" t="n">
        <v>65</v>
      </c>
      <c r="E68" s="86" t="inlineStr">
        <is>
          <t>7.16</t>
        </is>
      </c>
      <c r="F68" s="85" t="inlineStr">
        <is>
          <t>Peach/nectarine</t>
        </is>
      </c>
      <c r="G68" s="87" t="inlineStr">
        <is>
          <t>Pêche/nectarine</t>
        </is>
      </c>
    </row>
    <row r="69" ht="16.4" customHeight="1">
      <c r="B69" s="3" t="n"/>
      <c r="C69" s="84" t="n"/>
      <c r="D69" s="85" t="n">
        <v>66</v>
      </c>
      <c r="E69" s="86" t="inlineStr">
        <is>
          <t>7.17</t>
        </is>
      </c>
      <c r="F69" s="85" t="inlineStr">
        <is>
          <t>Strawberries</t>
        </is>
      </c>
      <c r="G69" s="87" t="inlineStr">
        <is>
          <t>Fraises</t>
        </is>
      </c>
    </row>
    <row r="70" ht="16.4" customHeight="1">
      <c r="B70" s="3" t="n"/>
      <c r="C70" s="84" t="n"/>
      <c r="D70" s="85" t="n">
        <v>67</v>
      </c>
      <c r="E70" s="86" t="inlineStr">
        <is>
          <t>7.18</t>
        </is>
      </c>
      <c r="F70" s="85" t="inlineStr">
        <is>
          <t>Melon [Cantaloupe]</t>
        </is>
      </c>
      <c r="G70" s="87" t="inlineStr">
        <is>
          <t>Melon</t>
        </is>
      </c>
    </row>
    <row r="71" ht="16.4" customHeight="1">
      <c r="B71" s="3" t="n"/>
      <c r="C71" s="88" t="n"/>
      <c r="D71" s="85" t="n">
        <v>68</v>
      </c>
      <c r="E71" s="86" t="inlineStr">
        <is>
          <t>7.99</t>
        </is>
      </c>
      <c r="F71" s="89" t="inlineStr">
        <is>
          <t>Other fruit</t>
        </is>
      </c>
      <c r="G71" s="90" t="inlineStr">
        <is>
          <t>Autres fruits</t>
        </is>
      </c>
    </row>
    <row r="72" ht="16.4" customHeight="1">
      <c r="B72" s="3" t="n"/>
      <c r="C72" s="84" t="n"/>
      <c r="D72" s="85" t="n">
        <v>69</v>
      </c>
      <c r="E72" s="86" t="inlineStr">
        <is>
          <t>8.1</t>
        </is>
      </c>
      <c r="F72" s="85" t="inlineStr">
        <is>
          <t>Coconuts</t>
        </is>
      </c>
      <c r="G72" s="87" t="inlineStr">
        <is>
          <t>Noix de coco</t>
        </is>
      </c>
    </row>
    <row r="73" ht="16.4" customHeight="1">
      <c r="B73" s="3" t="n"/>
      <c r="C73" s="84" t="inlineStr">
        <is>
          <t>x</t>
        </is>
      </c>
      <c r="D73" s="85" t="n">
        <v>70</v>
      </c>
      <c r="E73" s="86" t="inlineStr">
        <is>
          <t>8.2</t>
        </is>
      </c>
      <c r="F73" s="85" t="inlineStr">
        <is>
          <t>Groundnut/peanut</t>
        </is>
      </c>
      <c r="G73" s="87" t="inlineStr">
        <is>
          <t>Arachide / cacahuète</t>
        </is>
      </c>
    </row>
    <row r="74" ht="16.4" customHeight="1">
      <c r="B74" s="3" t="n"/>
      <c r="C74" s="84" t="n"/>
      <c r="D74" s="85" t="n">
        <v>71</v>
      </c>
      <c r="E74" s="86" t="inlineStr">
        <is>
          <t>8.3</t>
        </is>
      </c>
      <c r="F74" s="85" t="inlineStr">
        <is>
          <t>Cashew Nut</t>
        </is>
      </c>
      <c r="G74" s="87" t="inlineStr">
        <is>
          <t>Noix de cajou</t>
        </is>
      </c>
    </row>
    <row r="75" ht="16.4" customHeight="1">
      <c r="B75" s="3" t="n"/>
      <c r="C75" s="84" t="n"/>
      <c r="D75" s="85" t="n">
        <v>72</v>
      </c>
      <c r="E75" s="86" t="inlineStr">
        <is>
          <t>8.4</t>
        </is>
      </c>
      <c r="F75" s="85" t="inlineStr">
        <is>
          <t>Kola Nut</t>
        </is>
      </c>
      <c r="G75" s="87" t="inlineStr">
        <is>
          <t>Noix de kola</t>
        </is>
      </c>
    </row>
    <row r="76" ht="16.4" customHeight="1">
      <c r="B76" s="3" t="n"/>
      <c r="C76" s="84" t="n"/>
      <c r="D76" s="85" t="n">
        <v>73</v>
      </c>
      <c r="E76" s="86" t="inlineStr">
        <is>
          <t>8.5</t>
        </is>
      </c>
      <c r="F76" s="85" t="inlineStr">
        <is>
          <t>Sesame</t>
        </is>
      </c>
      <c r="G76" s="87" t="inlineStr">
        <is>
          <t>Sésame</t>
        </is>
      </c>
    </row>
    <row r="77" ht="16.4" customHeight="1">
      <c r="B77" s="3" t="n"/>
      <c r="C77" s="84" t="n"/>
      <c r="D77" s="85" t="n">
        <v>74</v>
      </c>
      <c r="E77" s="86" t="inlineStr">
        <is>
          <t>8.6</t>
        </is>
      </c>
      <c r="F77" s="85" t="inlineStr">
        <is>
          <t>Bambara nut</t>
        </is>
      </c>
      <c r="G77" s="87" t="inlineStr">
        <is>
          <t>Noix de bambara</t>
        </is>
      </c>
    </row>
    <row r="78" ht="16.4" customHeight="1">
      <c r="B78" s="3" t="n"/>
      <c r="C78" s="84" t="n"/>
      <c r="D78" s="85" t="n">
        <v>75</v>
      </c>
      <c r="E78" s="86" t="inlineStr">
        <is>
          <t>8.7</t>
        </is>
      </c>
      <c r="F78" s="85" t="inlineStr">
        <is>
          <t>Almond</t>
        </is>
      </c>
      <c r="G78" s="87" t="inlineStr">
        <is>
          <t>Amande</t>
        </is>
      </c>
    </row>
    <row r="79" ht="16.4" customHeight="1">
      <c r="B79" s="3" t="n"/>
      <c r="C79" s="84" t="n"/>
      <c r="D79" s="85" t="n">
        <v>76</v>
      </c>
      <c r="E79" s="86" t="inlineStr">
        <is>
          <t>8.8</t>
        </is>
      </c>
      <c r="F79" s="85" t="inlineStr">
        <is>
          <t>Walnut</t>
        </is>
      </c>
      <c r="G79" s="87" t="inlineStr">
        <is>
          <t>Noix</t>
        </is>
      </c>
    </row>
    <row r="80" ht="16.4" customHeight="1">
      <c r="B80" s="3" t="n"/>
      <c r="C80" s="88" t="n"/>
      <c r="D80" s="85" t="n">
        <v>77</v>
      </c>
      <c r="E80" s="86" t="inlineStr">
        <is>
          <t>8.99</t>
        </is>
      </c>
      <c r="F80" s="89" t="inlineStr">
        <is>
          <t>Other nuts</t>
        </is>
      </c>
      <c r="G80" s="90" t="inlineStr">
        <is>
          <t>Autres fruits à coque</t>
        </is>
      </c>
    </row>
    <row r="81" ht="16.4" customHeight="1">
      <c r="B81" s="3" t="n"/>
      <c r="C81" s="84" t="n"/>
      <c r="D81" s="85" t="n">
        <v>78</v>
      </c>
      <c r="E81" s="86" t="inlineStr">
        <is>
          <t>9.1</t>
        </is>
      </c>
      <c r="F81" s="85" t="inlineStr">
        <is>
          <t>Cocoa</t>
        </is>
      </c>
      <c r="G81" s="87" t="inlineStr">
        <is>
          <t>Cacao</t>
        </is>
      </c>
    </row>
    <row r="82" ht="16.4" customHeight="1">
      <c r="B82" s="3" t="n"/>
      <c r="C82" s="84" t="inlineStr">
        <is>
          <t>x</t>
        </is>
      </c>
      <c r="D82" s="85" t="n">
        <v>79</v>
      </c>
      <c r="E82" s="86" t="inlineStr">
        <is>
          <t>9.2</t>
        </is>
      </c>
      <c r="F82" s="85" t="inlineStr">
        <is>
          <t>Coffee</t>
        </is>
      </c>
      <c r="G82" s="87" t="inlineStr">
        <is>
          <t>Café</t>
        </is>
      </c>
    </row>
    <row r="83" ht="16.4" customHeight="1">
      <c r="B83" s="3" t="n"/>
      <c r="C83" s="84" t="n"/>
      <c r="D83" s="85" t="n">
        <v>80</v>
      </c>
      <c r="E83" s="86" t="inlineStr">
        <is>
          <t>9.3</t>
        </is>
      </c>
      <c r="F83" s="85" t="inlineStr">
        <is>
          <t>Tea</t>
        </is>
      </c>
      <c r="G83" s="87" t="inlineStr">
        <is>
          <t>Thé</t>
        </is>
      </c>
    </row>
    <row r="84" ht="16.4" customHeight="1">
      <c r="B84" s="3" t="n"/>
      <c r="C84" s="84" t="n"/>
      <c r="D84" s="85" t="n">
        <v>81</v>
      </c>
      <c r="E84" s="86" t="inlineStr">
        <is>
          <t>9.4</t>
        </is>
      </c>
      <c r="F84" s="85" t="inlineStr">
        <is>
          <t>Sugarcane</t>
        </is>
      </c>
      <c r="G84" s="87" t="inlineStr">
        <is>
          <t>Canne à sucre</t>
        </is>
      </c>
    </row>
    <row r="85" ht="16.4" customHeight="1">
      <c r="B85" s="3" t="n"/>
      <c r="C85" s="84" t="n"/>
      <c r="D85" s="85" t="n">
        <v>82</v>
      </c>
      <c r="E85" s="86" t="inlineStr">
        <is>
          <t>9.5</t>
        </is>
      </c>
      <c r="F85" s="85" t="inlineStr">
        <is>
          <t>Sunflower</t>
        </is>
      </c>
      <c r="G85" s="87" t="inlineStr">
        <is>
          <t>Tournesol</t>
        </is>
      </c>
    </row>
    <row r="86" ht="16.4" customHeight="1">
      <c r="B86" s="3" t="n"/>
      <c r="C86" s="88" t="n"/>
      <c r="D86" s="85" t="n">
        <v>83</v>
      </c>
      <c r="E86" s="86" t="inlineStr">
        <is>
          <t>9.99</t>
        </is>
      </c>
      <c r="F86" s="89" t="inlineStr">
        <is>
          <t>Other food cash crop</t>
        </is>
      </c>
      <c r="G86" s="90" t="inlineStr">
        <is>
          <t>Autres cultures vivrières de rente</t>
        </is>
      </c>
    </row>
    <row r="87" ht="16.4" customHeight="1">
      <c r="B87" s="3" t="n"/>
      <c r="C87" s="84" t="n"/>
      <c r="D87" s="85" t="n">
        <v>84</v>
      </c>
      <c r="E87" s="86" t="inlineStr">
        <is>
          <t>10.1</t>
        </is>
      </c>
      <c r="F87" s="85" t="inlineStr">
        <is>
          <t>Cotton</t>
        </is>
      </c>
      <c r="G87" s="87" t="inlineStr">
        <is>
          <t>Coton</t>
        </is>
      </c>
    </row>
    <row r="88" ht="16.4" customHeight="1">
      <c r="B88" s="3" t="n"/>
      <c r="C88" s="84" t="n"/>
      <c r="D88" s="85" t="n">
        <v>85</v>
      </c>
      <c r="E88" s="86" t="inlineStr">
        <is>
          <t>10.2</t>
        </is>
      </c>
      <c r="F88" s="85" t="inlineStr">
        <is>
          <t>Rubber</t>
        </is>
      </c>
      <c r="G88" s="87" t="inlineStr">
        <is>
          <t>Caoutchouc</t>
        </is>
      </c>
    </row>
    <row r="89" ht="16.4" customHeight="1">
      <c r="B89" s="3" t="n"/>
      <c r="C89" s="84" t="n"/>
      <c r="D89" s="85" t="n">
        <v>86</v>
      </c>
      <c r="E89" s="86" t="inlineStr">
        <is>
          <t>10.3</t>
        </is>
      </c>
      <c r="F89" s="85" t="inlineStr">
        <is>
          <t>Jute</t>
        </is>
      </c>
      <c r="G89" s="87" t="inlineStr">
        <is>
          <t>Jute</t>
        </is>
      </c>
    </row>
    <row r="90" ht="16.4" customHeight="1">
      <c r="B90" s="3" t="n"/>
      <c r="C90" s="84" t="n"/>
      <c r="D90" s="85" t="n">
        <v>87</v>
      </c>
      <c r="E90" s="86" t="inlineStr">
        <is>
          <t>10.4</t>
        </is>
      </c>
      <c r="F90" s="85" t="inlineStr">
        <is>
          <t>Fodder</t>
        </is>
      </c>
      <c r="G90" s="87" t="inlineStr">
        <is>
          <t>Fourrage</t>
        </is>
      </c>
    </row>
    <row r="91" ht="16.4" customHeight="1">
      <c r="B91" s="3" t="n"/>
      <c r="C91" s="84" t="n"/>
      <c r="D91" s="85" t="n">
        <v>88</v>
      </c>
      <c r="E91" s="86" t="inlineStr">
        <is>
          <t>10.5</t>
        </is>
      </c>
      <c r="F91" s="85" t="inlineStr">
        <is>
          <t>Tobacco</t>
        </is>
      </c>
      <c r="G91" s="87" t="inlineStr">
        <is>
          <t>Tabac</t>
        </is>
      </c>
    </row>
    <row r="92" ht="16.4" customHeight="1">
      <c r="B92" s="3" t="n"/>
      <c r="C92" s="84" t="n"/>
      <c r="D92" s="85" t="n">
        <v>89</v>
      </c>
      <c r="E92" s="86" t="inlineStr">
        <is>
          <t>10.6</t>
        </is>
      </c>
      <c r="F92" s="85" t="inlineStr">
        <is>
          <t>Qat</t>
        </is>
      </c>
      <c r="G92" s="87" t="inlineStr">
        <is>
          <t>Qat</t>
        </is>
      </c>
    </row>
    <row r="93" ht="16.4" customHeight="1">
      <c r="B93" s="3" t="n"/>
      <c r="C93" s="88" t="n"/>
      <c r="D93" s="85" t="n">
        <v>90</v>
      </c>
      <c r="E93" s="86" t="inlineStr">
        <is>
          <t>10.99</t>
        </is>
      </c>
      <c r="F93" s="89" t="inlineStr">
        <is>
          <t>Other non-food cash crop</t>
        </is>
      </c>
      <c r="G93" s="90" t="inlineStr">
        <is>
          <t>Autre culture de rente non alimentaire</t>
        </is>
      </c>
    </row>
    <row r="94">
      <c r="C94" s="6" t="n"/>
      <c r="D94" s="11" t="n"/>
      <c r="E94" s="11" t="n"/>
      <c r="F94" s="7" t="n"/>
      <c r="G94" s="71" t="n"/>
    </row>
  </sheetData>
  <autoFilter ref="C3:F93"/>
  <conditionalFormatting sqref="D85">
    <cfRule type="duplicateValues" priority="1" dxfId="0"/>
  </conditionalFormatting>
  <conditionalFormatting sqref="D1:D84 D86:D1048576">
    <cfRule type="duplicateValues" priority="2" dxfId="0"/>
  </conditionalFormatting>
  <dataValidations count="1">
    <dataValidation sqref="C4:C9 C11:C16 C18:C24 C26:C34 C36:C46 C48:C51 C53:C70 C72:C79 C81:C85 C87:C92" showDropDown="0" showInputMessage="1" showErrorMessage="1" allowBlank="1" type="list">
      <formula1>"x"</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M20"/>
  <sheetViews>
    <sheetView zoomScale="80" zoomScaleNormal="90" workbookViewId="0">
      <selection activeCell="F6" sqref="F6"/>
    </sheetView>
  </sheetViews>
  <sheetFormatPr baseColWidth="8" defaultColWidth="10.54296875" defaultRowHeight="15.5"/>
  <cols>
    <col width="10.54296875" customWidth="1" style="17" min="1" max="1"/>
    <col width="8.54296875" customWidth="1" style="17" min="2" max="2"/>
    <col width="27.54296875" customWidth="1" style="17" min="3" max="3"/>
    <col width="28" customWidth="1" style="17" min="4" max="5"/>
    <col width="51.1796875" customWidth="1" style="69" min="6" max="7"/>
    <col width="22.54296875" customWidth="1" style="17" min="8" max="9"/>
    <col width="10.54296875" customWidth="1" style="17" min="10" max="11"/>
    <col width="44" customWidth="1" style="17" min="12" max="12"/>
    <col width="10.54296875" customWidth="1" style="17" min="13" max="13"/>
    <col width="10.54296875" customWidth="1" style="17" min="14" max="16384"/>
  </cols>
  <sheetData>
    <row r="1" ht="40.4" customHeight="1" thickBot="1">
      <c r="A1" s="91" t="n"/>
      <c r="B1" s="91" t="n"/>
      <c r="C1" s="92" t="n"/>
      <c r="D1" s="92" t="n"/>
      <c r="E1" s="92" t="n"/>
      <c r="F1" s="93" t="n"/>
      <c r="G1" s="93" t="n"/>
      <c r="H1" s="92" t="n"/>
      <c r="I1" s="92" t="n"/>
      <c r="J1" s="91" t="n"/>
      <c r="K1" s="91" t="n"/>
      <c r="L1" s="91" t="n"/>
      <c r="M1" s="91" t="n"/>
    </row>
    <row r="2" ht="17.15" customHeight="1" thickBot="1">
      <c r="A2" s="94" t="n"/>
      <c r="B2" s="95" t="n"/>
      <c r="C2" s="18" t="inlineStr">
        <is>
          <t>Original</t>
        </is>
      </c>
      <c r="D2" s="19" t="inlineStr">
        <is>
          <t>Replacement (EN)</t>
        </is>
      </c>
      <c r="E2" s="20" t="inlineStr">
        <is>
          <t>Replacement (FR)</t>
        </is>
      </c>
      <c r="F2" s="21" t="inlineStr">
        <is>
          <t>Comment (EN)</t>
        </is>
      </c>
      <c r="G2" s="22" t="inlineStr">
        <is>
          <t>Commentaire (FR)</t>
        </is>
      </c>
      <c r="H2" s="19" t="inlineStr">
        <is>
          <t>Examples (EN)</t>
        </is>
      </c>
      <c r="I2" s="23" t="inlineStr">
        <is>
          <t>Exemples (FR)</t>
        </is>
      </c>
      <c r="J2" s="96" t="n"/>
      <c r="K2" s="91" t="n"/>
      <c r="L2" s="91" t="n"/>
      <c r="M2" s="91" t="n"/>
    </row>
    <row r="3" ht="32.15" customHeight="1">
      <c r="A3" s="94" t="n"/>
      <c r="B3" s="709" t="inlineStr">
        <is>
          <t>FOR CORE QUESTIONS    .
(Mandatory to fill out)    .</t>
        </is>
      </c>
      <c r="C3" s="24" t="inlineStr">
        <is>
          <t>ADMIN1</t>
        </is>
      </c>
      <c r="D3" s="97" t="n"/>
      <c r="E3" s="73" t="inlineStr">
        <is>
          <t>Province</t>
        </is>
      </c>
      <c r="F3" s="25" t="inlineStr">
        <is>
          <t>The first subdivision of the country, after national level; region; province; governorate; etc.</t>
        </is>
      </c>
      <c r="G3" s="98" t="inlineStr">
        <is>
          <t xml:space="preserve">La première subdivision du pays, après le niveau national ; par exemple, région ; province ; gouvernorat ; etc. </t>
        </is>
      </c>
      <c r="H3" s="26" t="inlineStr">
        <is>
          <t>region</t>
        </is>
      </c>
      <c r="I3" s="27" t="inlineStr">
        <is>
          <t>region</t>
        </is>
      </c>
      <c r="J3" s="96" t="n"/>
      <c r="K3" s="91" t="n"/>
      <c r="L3" s="91" t="n"/>
      <c r="M3" s="91" t="n"/>
    </row>
    <row r="4" ht="32.15" customHeight="1">
      <c r="A4" s="94" t="n"/>
      <c r="B4" s="707" t="n"/>
      <c r="C4" s="28" t="inlineStr">
        <is>
          <t>ADMIN2</t>
        </is>
      </c>
      <c r="D4" s="99" t="n"/>
      <c r="E4" s="74" t="inlineStr">
        <is>
          <t>Territoire</t>
        </is>
      </c>
      <c r="F4" s="29" t="inlineStr">
        <is>
          <t>The second subdivision of the country; district; municipality; LGA; etc.</t>
        </is>
      </c>
      <c r="G4" s="98" t="inlineStr">
        <is>
          <t xml:space="preserve">La deuxième subdivision du pays ; par exemple, district, municipalité, LGA, etc. </t>
        </is>
      </c>
      <c r="H4" s="100" t="inlineStr">
        <is>
          <t>district</t>
        </is>
      </c>
      <c r="I4" s="30" t="inlineStr">
        <is>
          <t>district</t>
        </is>
      </c>
      <c r="J4" s="96" t="n"/>
      <c r="K4" s="91" t="n"/>
      <c r="L4" s="91" t="n"/>
      <c r="M4" s="91" t="n"/>
    </row>
    <row r="5" ht="80.15000000000001" customHeight="1">
      <c r="A5" s="94" t="n"/>
      <c r="B5" s="707" t="n"/>
      <c r="C5" s="28" t="inlineStr">
        <is>
          <t>reference year</t>
        </is>
      </c>
      <c r="D5" s="101" t="inlineStr">
        <is>
          <t>last year</t>
        </is>
      </c>
      <c r="E5" s="102" t="inlineStr">
        <is>
          <t>l'année dernière</t>
        </is>
      </c>
      <c r="F5" s="29" t="inlineStr">
        <is>
          <t xml:space="preserve">Comparison questions will need need a reference year. Select whether you want to use "last year" or "a normal year" as a baseline. A "normal year" should refers to an average year from the past 5 years - make sure to train the enumerators accordingly. </t>
        </is>
      </c>
      <c r="G5" s="98" t="inlineStr">
        <is>
          <t xml:space="preserve">Les questions de comparaison auront besoin d'une année de référence. Choisissez si vous voulez utiliser "l'année dernière" ou "une année normale" comme année de référence. Une "année normale" doit correspondre à une année moyenne des 5 dernières années - veillez à former les recenseurs en conséquence. </t>
        </is>
      </c>
      <c r="H5" s="100" t="inlineStr">
        <is>
          <t>a normal year</t>
        </is>
      </c>
      <c r="I5" s="30" t="inlineStr">
        <is>
          <t xml:space="preserve">une année normale </t>
        </is>
      </c>
      <c r="J5" s="96" t="n"/>
      <c r="K5" s="91" t="n"/>
      <c r="L5" s="91" t="n"/>
      <c r="M5" s="91" t="n"/>
    </row>
    <row r="6" ht="76.40000000000001" customHeight="1">
      <c r="A6" s="94" t="n"/>
      <c r="B6" s="707" t="n"/>
      <c r="C6" s="28" t="inlineStr">
        <is>
          <t>season</t>
        </is>
      </c>
      <c r="D6" s="102" t="inlineStr">
        <is>
          <t>Rainy season</t>
        </is>
      </c>
      <c r="E6" s="74" t="inlineStr">
        <is>
          <t>Saison des pluies</t>
        </is>
      </c>
      <c r="F6" s="31" t="inlineStr">
        <is>
          <t>Name the crop season(s) of interest if there are several cropping seasons in the country (e.g. Meher and Belg in Ethiopia, rainy season / flood-recession cropping / irrigated dry season in the Sahel). You can refer to the “last season” or “ongoing season".</t>
        </is>
      </c>
      <c r="G6" s="103" t="inlineStr">
        <is>
          <t>Nommez la ou les saisons culturales concernée(s) en ANGLAIS s'il y en a plusieurs dans le pays (par exemple, Meher et Belg en Ethiopie, saison des pluies / cultures de décrue / saison sèche irriguée au Sahel). Vous pouvez vous référer à la "dernière saison" ou "saison actuelle".</t>
        </is>
      </c>
      <c r="H6" s="104" t="inlineStr">
        <is>
          <t>wet season</t>
        </is>
      </c>
      <c r="I6" s="32" t="inlineStr">
        <is>
          <t>saison des pluies</t>
        </is>
      </c>
      <c r="J6" s="96" t="n"/>
      <c r="K6" s="91" t="n"/>
      <c r="L6" s="91" t="n"/>
      <c r="M6" s="91" t="n"/>
    </row>
    <row r="7" ht="76.40000000000001" customHeight="1">
      <c r="A7" s="94" t="n"/>
      <c r="B7" s="707" t="n"/>
      <c r="C7" s="28" t="inlineStr">
        <is>
          <t>season phase</t>
        </is>
      </c>
      <c r="D7" s="105">
        <f>IF(E7="Pas encore en saison","Not yet in season",IF(E7="Préparation du terrain","Land preparation",IF(E7="Semis / plantation","Planting",IF(E7="Début de la croissance","Early growing",IF(E7="Croissance","Growing",IF(E7="Proche de la récolte","Maturing",IF(E7="Récolte","Harvesting",IF(E7="Post-récolte","Recently finished",""))))))))</f>
        <v/>
      </c>
      <c r="E7" s="74" t="inlineStr">
        <is>
          <t>Proche de la récolte</t>
        </is>
      </c>
      <c r="F7" s="31" t="inlineStr">
        <is>
          <t>Indicate the phase of the season at the time of data collection. If the harvest from the season has not yet occurred, the question on crop harvest (crp_harv_change) will include the word “expected” (where #expected or nothing# is located). If the harvest has occured, "expected" will not be inserted in the question.</t>
        </is>
      </c>
      <c r="G7" s="103" t="inlineStr">
        <is>
          <t xml:space="preserve">Indiquez le stade de la saison culturale au moment de la collecte des données. Si la récolte de la saison n'a pas encore eu lieu, la question sur la récolte des cultures (crp_harv_change) inclura le mot "attendue" (là où se trouve #attendue ou rien#). Si la récolte a eu lieu, "attendue" ne sera pas inséré dans la question. </t>
        </is>
      </c>
      <c r="H7" s="104" t="inlineStr">
        <is>
          <t>Harvesting</t>
        </is>
      </c>
      <c r="I7" s="32" t="inlineStr">
        <is>
          <t>Récolte</t>
        </is>
      </c>
      <c r="J7" s="96" t="n"/>
      <c r="K7" s="91" t="n"/>
      <c r="L7" s="91" t="n"/>
      <c r="M7" s="91" t="n"/>
    </row>
    <row r="8" ht="76.40000000000001" customHeight="1">
      <c r="A8" s="94" t="n"/>
      <c r="B8" s="707" t="n"/>
      <c r="C8" s="33" t="inlineStr">
        <is>
          <t>local measurement unit</t>
        </is>
      </c>
      <c r="D8" s="106" t="n"/>
      <c r="E8" s="107" t="n"/>
      <c r="F8" s="34" t="inlineStr">
        <is>
          <t xml:space="preserve">Specify the local measurement unit for land size, other than acres, hectares, square meters and square feet. If no other unit of measurement is needed, keep this cell blank. </t>
        </is>
      </c>
      <c r="G8" s="35" t="inlineStr">
        <is>
          <t xml:space="preserve">Indiquez l'unité utilisée localement pour mesurer la taille des terrains, autre que les acres, les hectares, les mètres carrés et les pieds carrés. Si aucune autre unité de mesure n'est nécessaire, garder cette cellule vide. </t>
        </is>
      </c>
      <c r="H8" s="104" t="inlineStr">
        <is>
          <t>Jeribs</t>
        </is>
      </c>
      <c r="I8" s="32" t="inlineStr">
        <is>
          <t>Jeribs</t>
        </is>
      </c>
      <c r="J8" s="96" t="n"/>
      <c r="K8" s="91" t="n"/>
      <c r="L8" s="91" t="n"/>
      <c r="M8" s="91" t="n"/>
    </row>
    <row r="9" ht="50.25" customHeight="1" thickBot="1">
      <c r="A9" s="94" t="n"/>
      <c r="B9" s="708" t="n"/>
      <c r="C9" s="36" t="inlineStr">
        <is>
          <t>local measurement unit conversion</t>
        </is>
      </c>
      <c r="D9" s="108">
        <f>IF(E9&lt;&gt;"",E9,"")</f>
        <v/>
      </c>
      <c r="E9" s="109" t="n"/>
      <c r="F9" s="37" t="inlineStr">
        <is>
          <t xml:space="preserve">Include the conversion of the local measurement unit to hectares. In other words, how many local measurement units are in 1 ha. </t>
        </is>
      </c>
      <c r="G9" s="38" t="inlineStr">
        <is>
          <t xml:space="preserve">Indiquez la conversion de l'unité de mesure locale en hectares. En d'autres termes, indiquez combien d'unités de mesure locales y a-t-il dans 1 ha. </t>
        </is>
      </c>
      <c r="H9" s="39" t="n">
        <v>0.2</v>
      </c>
      <c r="I9" s="40" t="n">
        <v>0.2</v>
      </c>
      <c r="J9" s="96" t="n"/>
      <c r="K9" s="91" t="n"/>
      <c r="L9" s="91" t="n"/>
      <c r="M9" s="91" t="n"/>
    </row>
    <row r="10" ht="32.15" customHeight="1">
      <c r="A10" s="94" t="n"/>
      <c r="B10" s="709" t="inlineStr">
        <is>
          <t>FOR OPTIONAL QUESTIONS    .
(Fill out if applicable)    .</t>
        </is>
      </c>
      <c r="C10" s="41" t="inlineStr">
        <is>
          <t>currency</t>
        </is>
      </c>
      <c r="D10" s="110" t="n"/>
      <c r="E10" s="75" t="inlineStr">
        <is>
          <t>CDF</t>
        </is>
      </c>
      <c r="F10" s="42" t="inlineStr">
        <is>
          <t xml:space="preserve">The name of the main currency used nationally; USD; Naira; Rial; Pesos; etc. </t>
        </is>
      </c>
      <c r="G10" s="43" t="inlineStr">
        <is>
          <t xml:space="preserve">Nom de la principale devise utilisée au niveau national; par exemple, USD; Naira; Rial; Pesos; etc. </t>
        </is>
      </c>
      <c r="H10" s="44" t="inlineStr">
        <is>
          <t>Naira</t>
        </is>
      </c>
      <c r="I10" s="45" t="inlineStr">
        <is>
          <t>Naira</t>
        </is>
      </c>
      <c r="J10" s="96" t="n"/>
      <c r="K10" s="91" t="n"/>
      <c r="L10" s="91" t="n"/>
      <c r="M10" s="91" t="n"/>
    </row>
    <row r="11" ht="94.40000000000001" customHeight="1">
      <c r="A11" s="94" t="n"/>
      <c r="B11" s="707" t="n"/>
      <c r="C11" s="46" t="inlineStr">
        <is>
          <t>MIN AMOUNT</t>
        </is>
      </c>
      <c r="D11" s="111" t="n"/>
      <c r="E11" s="112" t="n">
        <v>0</v>
      </c>
      <c r="F11" s="47" t="inlineStr">
        <is>
          <t>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Only digits should be inputted.</t>
        </is>
      </c>
      <c r="G11" s="48" t="inlineStr">
        <is>
          <t>Le montant minimum d'une source de revenu doit être fixé à 0 ou à toute valeur en dessous de laquelle il n'est pas possible d'effectuer une transaction. Par exemple, la plus petite pièce/billet d'une devise peut être de 1000, auquel cas vous fixerez le minimum à 1000. Cette saisie doit être effectuée dans la même devise que celle spécifiée ci-dessus. Seuls des chiffres doivent être saisis.</t>
        </is>
      </c>
      <c r="H11" s="113" t="n">
        <v>5</v>
      </c>
      <c r="I11" s="114" t="n">
        <v>5</v>
      </c>
      <c r="J11" s="96" t="n"/>
      <c r="K11" s="91" t="n"/>
      <c r="L11" s="92" t="n"/>
      <c r="M11" s="91" t="n"/>
    </row>
    <row r="12" ht="158.15" customHeight="1">
      <c r="A12" s="94" t="n"/>
      <c r="B12" s="707" t="n"/>
      <c r="C12" s="28" t="inlineStr">
        <is>
          <t>MAX AMOUNT</t>
        </is>
      </c>
      <c r="D12" s="115" t="n"/>
      <c r="E12" s="76" t="n">
        <v>10000000</v>
      </c>
      <c r="F12" s="31" t="inlineStr">
        <is>
          <t>Set the maximum amount for an income source over 3 months. Enumerators will not be able to input values above this amount in questions related to income amounts. Using previous representative surveys for this population, you can estimate this amount by using the mean income plus five (5) standard deviations, unless the country has high inflation. In the latter case, set the maximum value based on your country context (higher than the proposed approach). Provide this input in the same currency as specified above. Only digits should be inputted.</t>
        </is>
      </c>
      <c r="G12" s="49" t="inlineStr">
        <is>
          <t>Fixez le montant maximum pouvant être généré par une source de revenu sur 3 mois. Il ne sera pas possible pour les enquêteurs d'entrer des valeurs supérieures à ce montant dans les questions relatives aux montants des revenus. En vous basant sur des enquêtes précédentes représentatives de cette population, vous pouvez estimer ce montant en utilisant le revenu moyen plus cinq (5) écarts types, sauf si le pays connaît une forte inflation. Dans ce dernier cas, fixez la valeur maximale en fonction du contexte de votre pays (plus élevée que l'approche proposée).  Cette saisie doit être effectuée dans la même devise que celle spécifiée ci-dessus. Seuls des chiffres doivent être saisis.</t>
        </is>
      </c>
      <c r="H12" s="116" t="n">
        <v>5000000</v>
      </c>
      <c r="I12" s="114" t="n">
        <v>5000000</v>
      </c>
      <c r="J12" s="96" t="n"/>
      <c r="K12" s="94" t="n"/>
      <c r="L12" s="50" t="n"/>
      <c r="M12" s="96" t="n"/>
    </row>
    <row r="13" ht="116.25" customHeight="1">
      <c r="A13" s="94" t="n"/>
      <c r="B13" s="707" t="n"/>
      <c r="C13" s="46" t="inlineStr">
        <is>
          <t>THRESHOLD</t>
        </is>
      </c>
      <c r="D13" s="111" t="n"/>
      <c r="E13" s="74" t="n">
        <v>2000000</v>
      </c>
      <c r="F13" s="34" t="inlineStr">
        <is>
          <t>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Only digits should be inputted.</t>
        </is>
      </c>
      <c r="G13" s="48" t="inlineStr">
        <is>
          <t>Le salaire seuil doit être calculé pour signaler les valeurs aberrantes (réponses qui semblent suspectes). En utilisant des enquêtes précédentes représentatives de cette population, une bonne estimation est la moyenne plus deux écarts types, ce qui devrait dégager le seuil pour les 3 ou 4% des valeurs de revenu les plus élevées.  Cette saisie doit être effectuée dans la même devise que celle spécifiée ci-dessus. Seuls des chiffres doivent être saisis.</t>
        </is>
      </c>
      <c r="H13" s="116" t="n">
        <v>1200000</v>
      </c>
      <c r="I13" s="114" t="n">
        <v>1200000</v>
      </c>
      <c r="J13" s="96" t="n"/>
      <c r="K13" s="91" t="n"/>
      <c r="L13" s="117" t="n"/>
      <c r="M13" s="91" t="n"/>
    </row>
    <row r="14" ht="50.25" customHeight="1">
      <c r="A14" s="94" t="n"/>
      <c r="B14" s="707" t="n"/>
      <c r="C14" s="33" t="inlineStr">
        <is>
          <t>local vegetables</t>
        </is>
      </c>
      <c r="D14" s="118" t="inlineStr">
        <is>
          <t>Funbwa, spinach, cabbage, carrot</t>
        </is>
      </c>
      <c r="E14" s="77" t="inlineStr">
        <is>
          <t>Fumbwa, épinard, choux, carottes</t>
        </is>
      </c>
      <c r="F14" s="31" t="inlineStr">
        <is>
          <t>Input some common local vegetables [to be used as examples in the food consumption score indicator].</t>
        </is>
      </c>
      <c r="G14" s="35" t="inlineStr">
        <is>
          <t>Saisissez quelques légumes locaux courants [à utiliser comme exemples dans l'indicateur de score de consommation alimentaire].</t>
        </is>
      </c>
      <c r="H14" s="104" t="inlineStr">
        <is>
          <t>eggplants, zucchini, cauliflower</t>
        </is>
      </c>
      <c r="I14" s="32" t="inlineStr">
        <is>
          <t>aubergines, courgettes, choux-fleurs</t>
        </is>
      </c>
      <c r="J14" s="96" t="n"/>
      <c r="K14" s="91" t="n"/>
      <c r="L14" s="91" t="n"/>
      <c r="M14" s="91" t="n"/>
    </row>
    <row r="15" ht="50.25" customHeight="1" thickBot="1">
      <c r="A15" s="94" t="n"/>
      <c r="B15" s="708" t="n"/>
      <c r="C15" s="51" t="inlineStr">
        <is>
          <t>local fruits</t>
        </is>
      </c>
      <c r="D15" s="78" t="inlineStr">
        <is>
          <t>bananas, oranges, mangos</t>
        </is>
      </c>
      <c r="E15" s="79" t="inlineStr">
        <is>
          <t>bananes, oranges, mangues</t>
        </is>
      </c>
      <c r="F15" s="52" t="inlineStr">
        <is>
          <t>Input some common local fruits [to be used as examples in the food consumption score indicator].</t>
        </is>
      </c>
      <c r="G15" s="53" t="inlineStr">
        <is>
          <t>Indiquez quelques fruits locaux courants [à utiliser comme exemples dans l'indicateur de score de consommation alimentaire].</t>
        </is>
      </c>
      <c r="H15" s="54" t="inlineStr">
        <is>
          <t>apples, bananas, oranges</t>
        </is>
      </c>
      <c r="I15" s="55" t="inlineStr">
        <is>
          <t>pommes, bananes, oranges</t>
        </is>
      </c>
      <c r="J15" s="96" t="n"/>
      <c r="K15" s="91" t="n"/>
      <c r="L15" s="91" t="n"/>
      <c r="M15" s="91" t="n"/>
    </row>
    <row r="16" ht="5.9" customHeight="1" thickBot="1">
      <c r="A16" s="94" t="n"/>
      <c r="B16" s="119" t="n"/>
      <c r="C16" s="56" t="n"/>
      <c r="D16" s="120" t="n"/>
      <c r="E16" s="121" t="n"/>
      <c r="F16" s="57" t="n"/>
      <c r="G16" s="58" t="n"/>
      <c r="H16" s="59" t="n"/>
      <c r="I16" s="60" t="n"/>
      <c r="J16" s="96" t="n"/>
      <c r="K16" s="91" t="n"/>
      <c r="L16" s="91" t="n"/>
      <c r="M16" s="91" t="n"/>
    </row>
    <row r="17" ht="176.15" customHeight="1">
      <c r="A17" s="94" t="n"/>
      <c r="B17" s="706" t="inlineStr">
        <is>
          <t>FILL OUT FOR QUESTIONNAIRE DURATION ESTIMATION    .</t>
        </is>
      </c>
      <c r="C17" s="61" t="inlineStr">
        <is>
          <t>Expected percentage of respondents cultivating crops</t>
        </is>
      </c>
      <c r="D17" s="748">
        <f>IF(E17="","",E17)</f>
        <v/>
      </c>
      <c r="E17" s="80" t="n">
        <v>0.75</v>
      </c>
      <c r="F17" s="62" t="inlineStr">
        <is>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is>
      </c>
      <c r="G17" s="63" t="inlineStr">
        <is>
          <t>Si l'enquête est représentative et ne comporte pas de quotas, écrivez la proportion de ménages ruraux impliqués dans les cultures au niveau du pays, ou si l'enquête suit un cycle précédent avec un plan d'échantillonnage identique, indiquez simplement le pourcentage du cycle précédent. Si vous utilisez des quotas, calculez le rapport entre le quota et la taille minimale de l'échantillon au niveau où le quota est appliqué (ainsi, si vous avez une taille minimale d'échantillon par strate de 110 avec un quota de 100 producteurs de cultures, alors c'est 100/110 = 91% (le maximum que vous devez écrire est 100%).</t>
        </is>
      </c>
      <c r="H17" s="13" t="n">
        <v>0.91</v>
      </c>
      <c r="I17" s="16" t="n">
        <v>0.91</v>
      </c>
      <c r="J17" s="96" t="n"/>
    </row>
    <row r="18" ht="160.4" customHeight="1">
      <c r="A18" s="94" t="n"/>
      <c r="B18" s="707" t="n"/>
      <c r="C18" s="64" t="inlineStr">
        <is>
          <t>Expected percentage of respondents raising livestock</t>
        </is>
      </c>
      <c r="D18" s="749">
        <f>IF(E18="","",E18)</f>
        <v/>
      </c>
      <c r="E18" s="124" t="n">
        <v>0.2</v>
      </c>
      <c r="F18" s="125" t="inlineStr">
        <is>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is>
      </c>
      <c r="G18" s="65" t="inlineStr">
        <is>
          <t>Si l'enquête est représentative et ne comporte pas de quotas, écrivez la proportion de ménages ruraux impliqués dans l'élevage, ou si l'enquête suit un cycle précédent avec un plan d'échantillonnage identique, indiquez simplement le pourcentage du cycle précédent. Si vous utilisez des quotas, calculez le rapport entre le quota et la taille minimale de l'échantillon au niveau où le quota est appliqué (ainsi, si vous avez une taille minimale d'échantillon par strate de 110 avec un quota de 100 éleveurs, alors c'est 100/110 = 91% (le maximum que vous devez écrire est 100%).</t>
        </is>
      </c>
      <c r="H18" s="14" t="n">
        <v>0.91</v>
      </c>
      <c r="I18" s="8" t="n">
        <v>0.91</v>
      </c>
      <c r="J18" s="96" t="n"/>
    </row>
    <row r="19" ht="145.4" customHeight="1" thickBot="1">
      <c r="A19" s="94" t="n"/>
      <c r="B19" s="708" t="n"/>
      <c r="C19" s="66" t="inlineStr">
        <is>
          <t>Expected percentage of respondents involved in fishery</t>
        </is>
      </c>
      <c r="D19" s="750">
        <f>IF(E19="","",E19)</f>
        <v/>
      </c>
      <c r="E19" s="81" t="n">
        <v>0.05</v>
      </c>
      <c r="F19" s="67" t="inlineStr">
        <is>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is>
      </c>
      <c r="G19" s="68" t="inlineStr">
        <is>
          <t>Si l'enquête est représentative et ne comporte pas de quotas, écrivez la proportion de ménages ruraux impliqués dans la pêche ou l'aquaculture; sinon, si vous utilisez des quotas, calculez le rapport entre le quota et la taille de l'échantillon au niveau où le quota est appliqué (ainsi, si vous n'avez pas fixé de quota, et que vous pensez avoir une proportion représentative de pêcheurs, écrivez simplement le pourcentage de pêcheurs dans la population que vous ciblez, dans l'exemple à droite, 5%).</t>
        </is>
      </c>
      <c r="H19" s="15" t="n">
        <v>0.05</v>
      </c>
      <c r="I19" s="9" t="n">
        <v>0.05</v>
      </c>
      <c r="J19" s="96" t="n"/>
    </row>
    <row r="20">
      <c r="A20" s="91" t="n"/>
      <c r="B20" s="117" t="n"/>
      <c r="C20" s="117" t="n"/>
      <c r="D20" s="117" t="n"/>
      <c r="E20" s="117" t="n"/>
      <c r="F20" s="127" t="n"/>
      <c r="G20" s="127" t="n"/>
      <c r="H20" s="117" t="n"/>
      <c r="I20" s="117" t="n"/>
      <c r="J20" s="91" t="n"/>
    </row>
  </sheetData>
  <mergeCells count="3">
    <mergeCell ref="B3:B9"/>
    <mergeCell ref="B17:B19"/>
    <mergeCell ref="B10:B15"/>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Lawi Analo</dc:creator>
  <dcterms:created xsi:type="dcterms:W3CDTF">2020-12-10T15:46:11Z</dcterms:created>
  <dcterms:modified xsi:type="dcterms:W3CDTF">2026-05-20T10:20:22Z</dcterms:modified>
  <cp:lastModifiedBy>edoardo forzano</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0x010100AA0901C00BE8754680E1F02E394963D6</vt:lpwstr>
  </property>
  <property name="MediaServiceImageTags" fmtid="{D5CDD505-2E9C-101B-9397-08002B2CF9AE}" pid="3">
    <vt:lpwstr/>
  </property>
</Properties>
</file>